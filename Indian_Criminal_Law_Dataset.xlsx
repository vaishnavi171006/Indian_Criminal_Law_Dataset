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set" sheetId="2" state="visible" r:id="rId4"/>
    <sheet name="Section_Master" sheetId="3" state="visible" r:id="rId5"/>
  </sheets>
  <definedNames>
    <definedName function="false" hidden="true" localSheetId="1" name="_xlnm._FilterDatabase" vbProcedure="false">Dataset!$A$1:$K$5001</definedName>
    <definedName function="false" hidden="true" localSheetId="2" name="_xlnm._FilterDatabase" vbProcedure="false">Section_Master!$A$1:$J$477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<sst xmlns="http://schemas.openxmlformats.org/spreadsheetml/2006/main" count="33208" uniqueCount="12169">
  <si>
    <t xml:space="preserve">Indian Criminal Law Dataset (BNS 2023)</t>
  </si>
  <si>
    <t xml:space="preserve">Purpose</t>
  </si>
  <si>
    <t xml:space="preserve">Question/explanation records on sections of the Bharatiya Nyaya Sanhita (BNS) 2023, for lookup and analysis.</t>
  </si>
  <si>
    <t xml:space="preserve">Records</t>
  </si>
  <si>
    <t xml:space="preserve">Sections covered</t>
  </si>
  <si>
    <t xml:space="preserve">Sections with punishment info (incl. N/A)</t>
  </si>
  <si>
    <t xml:space="preserve">Sections verified (Yes)</t>
  </si>
  <si>
    <t xml:space="preserve">Offence sections still blank (to fill)</t>
  </si>
  <si>
    <t xml:space="preserve">HOW TO FILL IN</t>
  </si>
  <si>
    <t xml:space="preserve">1</t>
  </si>
  <si>
    <t xml:space="preserve">Open the Section_Master sheet. Yellow cells are the ones you type in. One row per section.</t>
  </si>
  <si>
    <t xml:space="preserve">2</t>
  </si>
  <si>
    <t xml:space="preserve">Fill Punishment, Cognizable, Bailable, Compoundable and Old_IPC_Section from official sources (BNS text, BNSS 2023 First Schedule, MHA/PRS IPC-BNS comparison tables).</t>
  </si>
  <si>
    <t xml:space="preserve">3</t>
  </si>
  <si>
    <t xml:space="preserve">The Dataset sheet picks these values up automatically for every record of that section (columns F to I are formulas - do not type over them).</t>
  </si>
  <si>
    <t xml:space="preserve">4</t>
  </si>
  <si>
    <t xml:space="preserve">Set Verified to Yes only after you have checked the row against the official source, and paste the link in Official_Source.</t>
  </si>
  <si>
    <t xml:space="preserve">COLUMN GUIDE (Dataset)</t>
  </si>
  <si>
    <t xml:space="preserve">case_ID</t>
  </si>
  <si>
    <t xml:space="preserve">Unique record number.</t>
  </si>
  <si>
    <t xml:space="preserve">Law_name</t>
  </si>
  <si>
    <t xml:space="preserve">Law the record belongs to (currently only BNS).</t>
  </si>
  <si>
    <t xml:space="preserve">Offence_name</t>
  </si>
  <si>
    <t xml:space="preserve">Section heading / topic as given in the source records.</t>
  </si>
  <si>
    <t xml:space="preserve">Case_Description</t>
  </si>
  <si>
    <t xml:space="preserve">Explanation or answer text about the section (not an actual court case).</t>
  </si>
  <si>
    <t xml:space="preserve">BNS_section</t>
  </si>
  <si>
    <t xml:space="preserve">Section number (now stored as a number).</t>
  </si>
  <si>
    <t xml:space="preserve">Punishment, Cognizable, Bailable, Compoundable</t>
  </si>
  <si>
    <t xml:space="preserve">Filled automatically from Section_Master.</t>
  </si>
  <si>
    <t xml:space="preserve">Category</t>
  </si>
  <si>
    <t xml:space="preserve">Record type: definitional_topic, definitional_section, scenario, elements, exceptions, consequence.</t>
  </si>
  <si>
    <t xml:space="preserve">Source</t>
  </si>
  <si>
    <t xml:space="preserve">Origin of the record.</t>
  </si>
  <si>
    <t xml:space="preserve">NOTES AND LIMITATIONS</t>
  </si>
  <si>
    <t xml:space="preserve">All records are tagged "Hugging Face source record". If this dataset is part of a graded project, cite that source clearly and check its licence, or replace the text with your own wording.</t>
  </si>
  <si>
    <t xml:space="preserve">Disclaimer</t>
  </si>
  <si>
    <t xml:space="preserve">Educational dataset. Not legal advice. Verify against the official Act before relying on it.</t>
  </si>
  <si>
    <t xml:space="preserve">Law_name correction</t>
  </si>
  <si>
    <t xml:space="preserve">Sections 359 to 476 are procedural provisions of the BNSS 2023 (appeals, compounding, execution of sentences), not the BNS, which ends at section 358. Law_name for those 118 records was changed from BNS to BNSS.</t>
  </si>
  <si>
    <t xml:space="preserve">Punishment</t>
  </si>
  <si>
    <t xml:space="preserve">Cognizable</t>
  </si>
  <si>
    <t xml:space="preserve">Bailable</t>
  </si>
  <si>
    <t xml:space="preserve">Compoundable</t>
  </si>
  <si>
    <t xml:space="preserve">CASE_0001</t>
  </si>
  <si>
    <t xml:space="preserve">BNS</t>
  </si>
  <si>
    <t xml:space="preserve">Short title, commencement and application</t>
  </si>
  <si>
    <t xml:space="preserve">Any person liable under Indian law to be tried for an offence committed beyond India will be dealt with as if the act was committed within India. The law also applies to any citizen of India outside the country, any person on an Indian-registered ship or aircraft, and anyone committing an offence targeting an Indian computer resource from outside India. [Source: Section 1, BNS 2023]</t>
  </si>
  <si>
    <t xml:space="preserve">definitional_topic</t>
  </si>
  <si>
    <t xml:space="preserve">Hugging Face source record: BNS_1</t>
  </si>
  <si>
    <t xml:space="preserve">CASE_0002</t>
  </si>
  <si>
    <t xml:space="preserve">Section 1 of BNS 2023 establishes the title, commencement date, and jurisdictional application of the Act. It states that every person in India is subject to this code, and extends its reach to Indian citizens globally, people on Indian-registered ships or aircraft, and individuals abroad targeting Indian computer resources. [Source: Section 1, BNS 2023]</t>
  </si>
  <si>
    <t xml:space="preserve">definitional_section</t>
  </si>
  <si>
    <t xml:space="preserve">CASE_0003</t>
  </si>
  <si>
    <t xml:space="preserve">Yes. If an Indian citizen commits a murder in any place outside and beyond India, they can be tried and convicted of murder in any place in India where they may be found. [Source: Section 1, BNS 2023]</t>
  </si>
  <si>
    <t xml:space="preserve">scenario</t>
  </si>
  <si>
    <t xml:space="preserve">CASE_0004</t>
  </si>
  <si>
    <t xml:space="preserve">A person in a place outside and beyond India can be prosecuted under Indian law if they commit an offence that targets a computer resource located in India. [Source: Section 1, BNS 2023]</t>
  </si>
  <si>
    <t xml:space="preserve">elements</t>
  </si>
  <si>
    <t xml:space="preserve">CASE_0005</t>
  </si>
  <si>
    <t xml:space="preserve">Yes, nothing in the Bharatiya Nyaya Sanhita affects the provisions of any Act punishing mutiny and desertion of officers, soldiers, sailors, or airmen in the service of the Government of India, nor does it affect any special or local law. [Source: Section 1, BNS 2023]</t>
  </si>
  <si>
    <t xml:space="preserve">exceptions</t>
  </si>
  <si>
    <t xml:space="preserve">CASE_0006</t>
  </si>
  <si>
    <t xml:space="preserve">The act committed outside India is treated in the exact same manner as if such act had been committed within India, making the person liable to be dealt with according to the provisions of this code. [Source: Section 1, BNS 2023]</t>
  </si>
  <si>
    <t xml:space="preserve">consequence</t>
  </si>
  <si>
    <t xml:space="preserve">CASE_0007</t>
  </si>
  <si>
    <t xml:space="preserve">Definitions</t>
  </si>
  <si>
    <t xml:space="preserve">The definitions section provides specific meanings for various terms used throughout the Act to ensure consistent interpretation. These definitions apply unless the context requires otherwise. [Source: Section 2, BNS 2023]</t>
  </si>
  <si>
    <t xml:space="preserve">Hugging Face source record: BNS_2</t>
  </si>
  <si>
    <t xml:space="preserve">CASE_0008</t>
  </si>
  <si>
    <t xml:space="preserve">Section 2 of BNS 2023 contains the definitions of key terms used throughout the Sanhita. It establishes the legal meaning of specific words to ensure uniform understanding across all subsequent provisions. [Source: Section 2, BNS 2023]</t>
  </si>
  <si>
    <t xml:space="preserve">CASE_0009</t>
  </si>
  <si>
    <t xml:space="preserve">The terms defined in this section carry their specified meanings throughout the Act unless a contrary intention appears from the specific context in which they are used later. [Source: Section 2, BNS 2023]</t>
  </si>
  <si>
    <t xml:space="preserve">CASE_0010</t>
  </si>
  <si>
    <t xml:space="preserve">The definition applies universally across the Act, provided that the context of the specific provision does not indicate a contrary intention. [Source: Section 2, BNS 2023]</t>
  </si>
  <si>
    <t xml:space="preserve">CASE_0011</t>
  </si>
  <si>
    <t xml:space="preserve">Yes, the definitions apply generally, but they are limited by any contrary intention that may appear from the context of a specific provision where the term is used. [Source: Section 2, BNS 2023]</t>
  </si>
  <si>
    <t xml:space="preserve">CASE_0012</t>
  </si>
  <si>
    <t xml:space="preserve">The legal consequence is that the defined word must be interpreted strictly according to its provided meaning everywhere it appears in the Act, overriding general dictionary definitions, unless context dictates otherwise. [Source: Section 2, BNS 2023]</t>
  </si>
  <si>
    <t xml:space="preserve">CASE_0013</t>
  </si>
  <si>
    <t xml:space="preserve">General explanations</t>
  </si>
  <si>
    <t xml:space="preserve">When a criminal act is done by several persons in furtherance of the common intention of all, each of those persons is held liable for that act in the same manner as if it were done by him alone. [Source: Section 3, BNS 2023]</t>
  </si>
  <si>
    <t xml:space="preserve">Hugging Face source record: BNS_3</t>
  </si>
  <si>
    <t xml:space="preserve">CASE_0014</t>
  </si>
  <si>
    <t xml:space="preserve">Section 3 of BNS 2023 provides general explanations for interpreting the code. It establishes that every penal provision is subject to general exceptions, that words referring to acts extend to illegal omissions, and that individuals acting with a common intention or intentionally cooperating in a criminal act are equally liable. [Source: Section 3, BNS 2023]</t>
  </si>
  <si>
    <t xml:space="preserve">CASE_0015</t>
  </si>
  <si>
    <t xml:space="preserve">Both jailors are guilty of murder because they knowingly cooperated in causing the prisoner's death by illegally omitting to furnish him with food during their respective times of attendance. [Source: Section 3, BNS 2023]</t>
  </si>
  <si>
    <t xml:space="preserve">CASE_0016</t>
  </si>
  <si>
    <t xml:space="preserve">Whenever an act is criminal only because it is done with a specific criminal knowledge or intention, each person who joins in the act is liable only if they joined with that specific knowledge or intention. [Source: Section 3, BNS 2023]</t>
  </si>
  <si>
    <t xml:space="preserve">CASE_0017</t>
  </si>
  <si>
    <t xml:space="preserve">No, the definitions of offences do not expressly state this. However, they must be understood subject to the general exception that nothing is an offence if done by a child under seven years of age. [Source: Section 3, BNS 2023]</t>
  </si>
  <si>
    <t xml:space="preserve">CASE_0018</t>
  </si>
  <si>
    <t xml:space="preserve">The law treats causing an effect partly by an act and partly by an omission as the exact same offence as if it were caused entirely by an act or entirely by an omission. [Source: Section 3, BNS 2023]</t>
  </si>
  <si>
    <t xml:space="preserve">CASE_0019</t>
  </si>
  <si>
    <t xml:space="preserve">Punishments</t>
  </si>
  <si>
    <t xml:space="preserve">Offenders can be punished with death, imprisonment for life, rigorous or simple imprisonment, forfeiture of property, fine, and community service. [Source: Section 4, BNS 2023]</t>
  </si>
  <si>
    <t xml:space="preserve">Hugging Face source record: BNS_4</t>
  </si>
  <si>
    <t xml:space="preserve">CASE_0020</t>
  </si>
  <si>
    <t xml:space="preserve">Section 4 of BNS 2023 lists the various punishments to which offenders are liable under the Sanhita. These include death, life imprisonment, two types of imprisonment (rigorous and simple), forfeiture of property, fine, and community service. [Source: Section 4, BNS 2023]</t>
  </si>
  <si>
    <t xml:space="preserve">CASE_0021</t>
  </si>
  <si>
    <t xml:space="preserve">If an offender is sentenced to rigorous imprisonment, the imprisonment must involve hard labour. [Source: Section 4, BNS 2023]</t>
  </si>
  <si>
    <t xml:space="preserve">CASE_0022</t>
  </si>
  <si>
    <t xml:space="preserve">The two descriptions of imprisonment recognized are rigorous imprisonment, which involves hard labour, and simple imprisonment. [Source: Section 4, BNS 2023]</t>
  </si>
  <si>
    <t xml:space="preserve">CASE_0023</t>
  </si>
  <si>
    <t xml:space="preserve">Yes, the section also lists forfeiture of property, fine, and community service as valid punishments. [Source: Section 4, BNS 2023]</t>
  </si>
  <si>
    <t xml:space="preserve">CASE_0024</t>
  </si>
  <si>
    <t xml:space="preserve">One of the possible consequences for an offender is the forfeiture of their property or the imposition of a monetary fine. [Source: Section 4, BNS 2023]</t>
  </si>
  <si>
    <t xml:space="preserve">CASE_0025</t>
  </si>
  <si>
    <t xml:space="preserve">Commutation of sentence</t>
  </si>
  <si>
    <t xml:space="preserve">The appropriate Government, which is either the Central Government or the State Government depending on the offence, has the authority to commute any punishment to another punishment without the offender's consent. [Source: Section 5, BNS 2023]</t>
  </si>
  <si>
    <t xml:space="preserve">Hugging Face source record: BNS_5</t>
  </si>
  <si>
    <t xml:space="preserve">CASE_0026</t>
  </si>
  <si>
    <t xml:space="preserve">Section 5 of BNS 2023 explains that the appropriate Government can commute any sentence to any other punishment under the Sanhita without needing the consent of the offender, in accordance with the Bharatiya Nagarik Suraksha Sanhita, 2023. [Source: Section 5, BNS 2023]</t>
  </si>
  <si>
    <t xml:space="preserve">CASE_0027</t>
  </si>
  <si>
    <t xml:space="preserve">In cases involving a sentence of death or an offence related to the executive power of the Union, the Central Government acts as the appropriate Government and decides on the commutation. [Source: Section 5, BNS 2023]</t>
  </si>
  <si>
    <t xml:space="preserve">CASE_0028</t>
  </si>
  <si>
    <t xml:space="preserve">The government may commute the punishment without requiring the consent of the offender. [Source: Section 5, BNS 2023]</t>
  </si>
  <si>
    <t xml:space="preserve">CASE_0029</t>
  </si>
  <si>
    <t xml:space="preserve">No, the State Government is only the appropriate Government for offences against any law relating to a matter to which the executive power of the State extends. [Source: Section 5, BNS 2023]</t>
  </si>
  <si>
    <t xml:space="preserve">CASE_0030</t>
  </si>
  <si>
    <t xml:space="preserve">The original punishment prescribed to the offender is legally substituted with any other punishment under the code, as determined by the appropriate Government. [Source: Section 5, BNS 2023]</t>
  </si>
  <si>
    <t xml:space="preserve">CASE_0031</t>
  </si>
  <si>
    <t xml:space="preserve">Fractions of terms of punishment</t>
  </si>
  <si>
    <t xml:space="preserve">When calculating fractions of terms of punishment, imprisonment for life is reckoned as equivalent to imprisonment for twenty years. [Source: Section 6, BNS 2023]</t>
  </si>
  <si>
    <t xml:space="preserve">Hugging Face source record: BNS_6</t>
  </si>
  <si>
    <t xml:space="preserve">CASE_0032</t>
  </si>
  <si>
    <t xml:space="preserve">Section 6 of BNS 2023 deals with calculating fractions of terms of punishment. It explicitly states that for the purpose of calculating fractions, life imprisonment is considered equivalent to a twenty-year imprisonment term. [Source: Section 6, BNS 2023]</t>
  </si>
  <si>
    <t xml:space="preserve">CASE_0033</t>
  </si>
  <si>
    <t xml:space="preserve">It would be ten years, because the law requires imprisonment for life to be reckoned as equivalent to imprisonment for twenty years when calculating fractions. [Source: Section 6, BNS 2023]</t>
  </si>
  <si>
    <t xml:space="preserve">CASE_0034</t>
  </si>
  <si>
    <t xml:space="preserve">This rule applies specifically and only when there is a need for calculating fractions of terms of punishment. [Source: Section 6, BNS 2023]</t>
  </si>
  <si>
    <t xml:space="preserve">CASE_0035</t>
  </si>
  <si>
    <t xml:space="preserve">No, the twenty-year equivalence is an exception created solely for the mathematical purpose of calculating fractions of terms of punishment, not for determining the actual duration of a life sentence. [Source: Section 6, BNS 2023]</t>
  </si>
  <si>
    <t xml:space="preserve">CASE_0036</t>
  </si>
  <si>
    <t xml:space="preserve">The consequence is that judges have a fixed mathematical baseline of twenty years to use whenever they are legally required to calculate a fractional portion of a life sentence. [Source: Section 6, BNS 2023]</t>
  </si>
  <si>
    <t xml:space="preserve">CASE_0037</t>
  </si>
  <si>
    <t xml:space="preserve">Sentence may be (in certain cases of imprisonment) wholly or partly rigorous or simple</t>
  </si>
  <si>
    <t xml:space="preserve">Yes, when an offender is punishable with imprisonment that may be of either description, the sentencing Court has the authority to direct whether the imprisonment shall be wholly rigorous, wholly simple, or partly rigorous and partly simple. [Source: Section 7, BNS 2023]</t>
  </si>
  <si>
    <t xml:space="preserve">Hugging Face source record: BNS_7</t>
  </si>
  <si>
    <t xml:space="preserve">CASE_0038</t>
  </si>
  <si>
    <t xml:space="preserve">Section 7 of BNS 2023 gives the Court the discretion to decide the nature of imprisonment when the law allows for either description. The Court can order the sentence to be entirely rigorous, entirely simple, or a mixture of both. [Source: Section 7, BNS 2023]</t>
  </si>
  <si>
    <t xml:space="preserve">CASE_0039</t>
  </si>
  <si>
    <t xml:space="preserve">Yes, the judge is fully competent to direct in the sentence that any part of the imprisonment shall be rigorous and the rest shall be simple. [Source: Section 7, BNS 2023]</t>
  </si>
  <si>
    <t xml:space="preserve">CASE_0040</t>
  </si>
  <si>
    <t xml:space="preserve">The condition is that the offender must be convicted of an offence that is explicitly punishable with imprisonment which may be of either description. [Source: Section 7, BNS 2023]</t>
  </si>
  <si>
    <t xml:space="preserve">CASE_0041</t>
  </si>
  <si>
    <t xml:space="preserve">No, the court is not limited to a single type; it has the explicit option to decree that any part of the imprisonment shall be rigorous and the rest simple. [Source: Section 7, BNS 2023]</t>
  </si>
  <si>
    <t xml:space="preserve">CASE_0042</t>
  </si>
  <si>
    <t xml:space="preserve">The consequence is that the prison authorities must execute the sentence exactly as directed by the court, applying rigorous conditions for the specified period and simple conditions for the remainder, or applying one type for the whole term if so ordered. [Source: Section 7, BNS 2023]</t>
  </si>
  <si>
    <t xml:space="preserve">CASE_0043</t>
  </si>
  <si>
    <t xml:space="preserve">Amount of fine, liability in default of payment of fine, etc</t>
  </si>
  <si>
    <t xml:space="preserve">If an offender defaults on payment of a fine, the Court can direct that the offender suffer imprisonment for a certain term. This default imprisonment is in addition to any other imprisonment the offender is already sentenced to or liable for. [Source: Section 8, BNS 2023]</t>
  </si>
  <si>
    <t xml:space="preserve">Hugging Face source record: BNS_8</t>
  </si>
  <si>
    <t xml:space="preserve">CASE_0044</t>
  </si>
  <si>
    <t xml:space="preserve">Section 8 of BNS 2023 outlines the rules regarding fines and default imprisonment. It states that unlimited fines cannot be excessive, sets maximum default imprisonment terms (up to one-fourth of the maximum offence term), and details proportional release upon partial payment of the fine. [Source: Section 8, BNS 2023]</t>
  </si>
  <si>
    <t xml:space="preserve">CASE_0045</t>
  </si>
  <si>
    <t xml:space="preserve">If seven hundred and fifty rupees are paid or levied at or before the expiration of the first month, the person will be immediately discharged as soon as the first month has expired, because the time served is proportional to the unpaid part of the fine. [Source: Section 8, BNS 2023]</t>
  </si>
  <si>
    <t xml:space="preserve">CASE_0046</t>
  </si>
  <si>
    <t xml:space="preserve">The term of imprisonment in default of payment shall not exceed one-fourth of the maximum fixed term of imprisonment for that specific offence. [Source: Section 8, BNS 2023]</t>
  </si>
  <si>
    <t xml:space="preserve">CASE_0047</t>
  </si>
  <si>
    <t xml:space="preserve">Yes, in such cases, the default imprisonment must be simple, and it cannot exceed two months for fines up to five thousand rupees, four months for fines up to ten thousand rupees, and one year in any other case. [Source: Section 8, BNS 2023]</t>
  </si>
  <si>
    <t xml:space="preserve">CASE_0048</t>
  </si>
  <si>
    <t xml:space="preserve">No, the death of the offender does not discharge any property which would, after his death, be legally liable for his debts from the liability to pay the fine. [Source: Section 8, BNS 2023]</t>
  </si>
  <si>
    <t xml:space="preserve">CASE_0049</t>
  </si>
  <si>
    <t xml:space="preserve">Limit of punishment of offence made up of several offences</t>
  </si>
  <si>
    <t xml:space="preserve">If an offence is made up of parts that are themselves offences, the offender shall not be punished with the punishment of more than one of such offences, unless the law expressly provides otherwise. [Source: Section 9, BNS 2023]</t>
  </si>
  <si>
    <t xml:space="preserve">Hugging Face source record: BNS_9</t>
  </si>
  <si>
    <t xml:space="preserve">CASE_0050</t>
  </si>
  <si>
    <t xml:space="preserve">Section 9 of BNS 2023 establishes limits on punishment when an offence comprises several distinct offences, or falls under multiple definitions. It mandates that the offender cannot receive a more severe punishment than the Court could award for any one of those individual offences. [Source: Section 9, BNS 2023]</t>
  </si>
  <si>
    <t xml:space="preserve">CASE_0051</t>
  </si>
  <si>
    <t xml:space="preserve">No, he is liable to only one punishment for the whole beating, not a separate punishment for every single blow, even though each blow voluntarily caused hurt. [Source: Section 9, BNS 2023]</t>
  </si>
  <si>
    <t xml:space="preserve">CASE_0052</t>
  </si>
  <si>
    <t xml:space="preserve">The rule applies when several acts, where one or more would independently constitute an offence, combine to constitute a different offence. In this case, the punishment cannot exceed what the Court could award for any one of the offences. [Source: Section 9, BNS 2023]</t>
  </si>
  <si>
    <t xml:space="preserve">CASE_0053</t>
  </si>
  <si>
    <t xml:space="preserve">Yes, if a third party interferes during the beating and the offender intentionally strikes that third party, the blow given to the third party is not part of the original act, and the offender is liable to a separate punishment for that distinct blow. [Source: Section 9, BNS 2023]</t>
  </si>
  <si>
    <t xml:space="preserve">CASE_0054</t>
  </si>
  <si>
    <t xml:space="preserve">The outcome is that the Court is restricted from awarding a cumulative sentence; it cannot punish the offender more severely than the maximum punishment allowed for any single one of those defined offences. [Source: Section 9, BNS 2023]</t>
  </si>
  <si>
    <t xml:space="preserve">CASE_0055</t>
  </si>
  <si>
    <t xml:space="preserve">Punishment of person guilty of one of several offences, judgment stating that it is doubtful</t>
  </si>
  <si>
    <t xml:space="preserve">If a judgment states that an offender is guilty of one of several specified offences, but it is doubtful which one, the offender must be punished for the offence that carries the lowest punishment among them. [Source: Section 10, BNS 2023]</t>
  </si>
  <si>
    <t xml:space="preserve">Hugging Face source record: BNS_10</t>
  </si>
  <si>
    <t xml:space="preserve">CASE_0056</t>
  </si>
  <si>
    <t xml:space="preserve">Section 10 of BNS 2023 dictates that when a judgment finds a person guilty of one out of several possible offences without certainty of which one, the court must apply the penalty for the offence with the lowest provided punishment, unless all carry the same punishment. [Source: Section 10, BNS 2023]</t>
  </si>
  <si>
    <t xml:space="preserve">CASE_0057</t>
  </si>
  <si>
    <t xml:space="preserve">The judge is required to punish the defendant for simple theft, assuming it carries the lowest punishment, because the law mandates applying the lowest penalty when there is doubt between specified offences. [Source: Section 10, BNS 2023]</t>
  </si>
  <si>
    <t xml:space="preserve">CASE_0058</t>
  </si>
  <si>
    <t xml:space="preserve">The primary condition is that the judgment must explicitly specify that the person is guilty of one of several offences, while simultaneously stating that it is doubtful exactly which of those specific offences they are guilty of. [Source: Section 10, BNS 2023]</t>
  </si>
  <si>
    <t xml:space="preserve">CASE_0059</t>
  </si>
  <si>
    <t xml:space="preserve">No, the rule to pick the lowest punishment only applies if the same punishment is not provided for all the offences in question. [Source: Section 10, BNS 2023]</t>
  </si>
  <si>
    <t xml:space="preserve">CASE_0060</t>
  </si>
  <si>
    <t xml:space="preserve">The consequence is that the defendant receives the benefit of the doubt regarding severity, ensuring they cannot be subjected to a harsher sentence unless their guilt for that specific, harsher offence is proven beyond doubt. [Source: Section 10, BNS 2023]</t>
  </si>
  <si>
    <t xml:space="preserve">CASE_0061</t>
  </si>
  <si>
    <t xml:space="preserve">Solitary confinement</t>
  </si>
  <si>
    <t xml:space="preserve">A court can order solitary confinement when a person is convicted of an offence for which the Court has the power to sentence them to rigorous imprisonment. [Source: Section 11, BNS 2023]</t>
  </si>
  <si>
    <t xml:space="preserve">Hugging Face source record: BNS_11</t>
  </si>
  <si>
    <t xml:space="preserve">CASE_0062</t>
  </si>
  <si>
    <t xml:space="preserve">Section 11 of BNS 2023 outlines the conditions and limits for solitary confinement. It allows courts to order solitary confinement for offenders facing rigorous imprisonment, subject to a maximum of three months overall, scaled according to the total sentence length. [Source: Section 11, BNS 2023]</t>
  </si>
  <si>
    <t xml:space="preserve">CASE_0063</t>
  </si>
  <si>
    <t xml:space="preserve">The maximum duration the judge can order is a time not exceeding two months, because the total term of imprisonment exceeds six months but does not exceed one year. [Source: Section 11, BNS 2023]</t>
  </si>
  <si>
    <t xml:space="preserve">CASE_0064</t>
  </si>
  <si>
    <t xml:space="preserve">The prerequisite condition is that the person must be convicted of an offence for which the Court under this Sanhita has the power to sentence them to rigorous imprisonment. [Source: Section 11, BNS 2023]</t>
  </si>
  <si>
    <t xml:space="preserve">CASE_0065</t>
  </si>
  <si>
    <t xml:space="preserve">Yes, it cannot exceed one month for sentences up to six months, two months for sentences up to one year, and three months for sentences exceeding one year. [Source: Section 11, BNS 2023]</t>
  </si>
  <si>
    <t xml:space="preserve">CASE_0066</t>
  </si>
  <si>
    <t xml:space="preserve">The absolute maximum consequence is that solitary confinement cannot exceed three months in the whole, regardless of how long the total imprisonment sentence is. [Source: Section 11, BNS 2023]</t>
  </si>
  <si>
    <t xml:space="preserve">CASE_0067</t>
  </si>
  <si>
    <t xml:space="preserve">Limit of solitary confinement</t>
  </si>
  <si>
    <t xml:space="preserve">Solitary confinement must be executed in periods not exceeding fourteen days at a time, with intervals between those periods that are at least as long as the periods of confinement themselves. [Source: Section 12, BNS 2023]</t>
  </si>
  <si>
    <t xml:space="preserve">Hugging Face source record: BNS_12</t>
  </si>
  <si>
    <t xml:space="preserve">CASE_0068</t>
  </si>
  <si>
    <t xml:space="preserve">Section 12 of BNS 2023 imposes strict limits on the execution of solitary confinement to prevent continuous isolation. It mandates a maximum of fourteen days at a time with equal intervals between, and restricts it to seven days per month for sentences exceeding three months. [Source: Section 12, BNS 2023]</t>
  </si>
  <si>
    <t xml:space="preserve">CASE_0069</t>
  </si>
  <si>
    <t xml:space="preserve">No, because when the total imprisonment awarded exceeds three months, solitary confinement cannot exceed seven days in any one month of the whole imprisonment. [Source: Section 12, BNS 2023]</t>
  </si>
  <si>
    <t xml:space="preserve">CASE_0070</t>
  </si>
  <si>
    <t xml:space="preserve">The intervals between the periods of solitary confinement must be of not less duration than the periods of solitary confinement themselves. [Source: Section 12, BNS 2023]</t>
  </si>
  <si>
    <t xml:space="preserve">CASE_0071</t>
  </si>
  <si>
    <t xml:space="preserve">Yes, if the imprisonment awarded exceeds three months, an additional limitation applies: solitary confinement shall not exceed seven days in any one month of the whole imprisonment awarded. [Source: Section 12, BNS 2023]</t>
  </si>
  <si>
    <t xml:space="preserve">CASE_0072</t>
  </si>
  <si>
    <t xml:space="preserve">Prison authorities must carefully schedule the solitary confinement to ensure it is broken up by mandatory intervals and never exceeds the strict 14-day or 7-day-per-month limits, depending on the total sentence length. [Source: Section 12, BNS 2023]</t>
  </si>
  <si>
    <t xml:space="preserve">CASE_0073</t>
  </si>
  <si>
    <t xml:space="preserve">Enhanced punishment for certain offences after previous conviction</t>
  </si>
  <si>
    <t xml:space="preserve">If a person previously convicted of an offence under Chapter X or Chapter XVII punishable by three years or more commits another offence under those chapters with a similar potential sentence, they face an enhanced punishment. [Source: Section 13, BNS 2023]</t>
  </si>
  <si>
    <t xml:space="preserve">Hugging Face source record: BNS_13</t>
  </si>
  <si>
    <t xml:space="preserve">CASE_0074</t>
  </si>
  <si>
    <t xml:space="preserve">Section 13 of BNS 2023 details enhanced punishment for repeat offenders. It states that someone previously convicted of an offence under Chapter X or XVII (punishable by 3+ years) who commits another such offence is subject to life imprisonment or up to ten years' imprisonment. [Source: Section 13, BNS 2023]</t>
  </si>
  <si>
    <t xml:space="preserve">CASE_0075</t>
  </si>
  <si>
    <t xml:space="preserve">Because of his previous conviction, he is subject to enhanced punishment for the subsequent offence, meaning he can face imprisonment for life, or imprisonment of either description for a term extending to ten years. [Source: Section 13, BNS 2023]</t>
  </si>
  <si>
    <t xml:space="preserve">CASE_0076</t>
  </si>
  <si>
    <t xml:space="preserve">The previous conviction must be by a Court in India for an offence punishable under Chapter X or Chapter XVII of the Sanhita, and the offence must be punishable with imprisonment for a term of three years or upwards. [Source: Section 13, BNS 2023]</t>
  </si>
  <si>
    <t xml:space="preserve">CASE_0077</t>
  </si>
  <si>
    <t xml:space="preserve">No, this specific enhancement explicitly applies only to offences punishable under Chapter X or Chapter XVII of the Sanhita. [Source: Section 13, BNS 2023]</t>
  </si>
  <si>
    <t xml:space="preserve">CASE_0078</t>
  </si>
  <si>
    <t xml:space="preserve">The consequence is that the maximum possible penalty for their subsequent offence is severely escalated to imprisonment for life, or imprisonment up to ten years, regardless of the original penalty for that second offence. [Source: Section 13, BNS 2023]</t>
  </si>
  <si>
    <t xml:space="preserve">CASE_0079</t>
  </si>
  <si>
    <t xml:space="preserve">Act done by a person bound, or by mistake of fact believing himself bound, by law</t>
  </si>
  <si>
    <t xml:space="preserve">No, an act is not an offence if it is done by a person who, by reason of a mistake of fact and not a mistake of law, in good faith believes himself to be bound by law to do it. [Source: Section 14, BNS 2023]</t>
  </si>
  <si>
    <t xml:space="preserve">Hugging Face source record: BNS_14</t>
  </si>
  <si>
    <t xml:space="preserve">CASE_0080</t>
  </si>
  <si>
    <t xml:space="preserve">Section 14 of BNS 2023 provides a general exception for acts done by a person bound by law or by a mistake of fact. It protects individuals from criminal liability if they are legally obligated to act, or if they act in good faith under a factual mistake believing they are legally obligated. [Source: Section 14, BNS 2023]</t>
  </si>
  <si>
    <t xml:space="preserve">CASE_0081</t>
  </si>
  <si>
    <t xml:space="preserve">No, the officer has committed no offence because he arrested Z under a good faith mistake of fact, believing himself bound by law to execute the court's order. [Source: Section 14, BNS 2023]</t>
  </si>
  <si>
    <t xml:space="preserve">CASE_0082</t>
  </si>
  <si>
    <t xml:space="preserve">The mistake must be a mistake of fact, not a mistake of law, and the person must have acted in good faith believing themselves to be bound by law. [Source: Section 14, BNS 2023]</t>
  </si>
  <si>
    <t xml:space="preserve">CASE_0083</t>
  </si>
  <si>
    <t xml:space="preserve">No, the section explicitly states that the belief must be by reason of a mistake of fact and not by reason of a mistake of law. A mistake of law does not provide this protection. [Source: Section 14, BNS 2023]</t>
  </si>
  <si>
    <t xml:space="preserve">CASE_0084</t>
  </si>
  <si>
    <t xml:space="preserve">The consequence is that the soldier has committed no offence, as they are acting as a person who is bound by law to do the act in conformity with lawful commands. [Source: Section 14, BNS 2023]</t>
  </si>
  <si>
    <t xml:space="preserve">CASE_0085</t>
  </si>
  <si>
    <t xml:space="preserve">Act of Judge when acting judicially</t>
  </si>
  <si>
    <t xml:space="preserve">No, nothing is an offence which is done by a Judge when acting judicially in the exercise of any power given to them by law. [Source: Section 15, BNS 2023]</t>
  </si>
  <si>
    <t xml:space="preserve">Hugging Face source record: BNS_15</t>
  </si>
  <si>
    <t xml:space="preserve">CASE_0086</t>
  </si>
  <si>
    <t xml:space="preserve">Section 15 of BNS 2023 provides absolute judicial immunity from criminal prosecution. It establishes that any act done by a Judge while acting judicially, in the exercise of their legal powers or powers they believe in good faith they possess, is not an offence. [Source: Section 15, BNS 2023]</t>
  </si>
  <si>
    <t xml:space="preserve">CASE_0087</t>
  </si>
  <si>
    <t xml:space="preserve">No, as long as the judge acted judicially and in good faith believed they were exercising a power given to them by law, their act is not an offence. [Source: Section 15, BNS 2023]</t>
  </si>
  <si>
    <t xml:space="preserve">CASE_0088</t>
  </si>
  <si>
    <t xml:space="preserve">The primary condition is that the Judge must be acting judicially in the exercise of a power given by law, or a power they believe in good faith is given to them by law. [Source: Section 15, BNS 2023]</t>
  </si>
  <si>
    <t xml:space="preserve">CASE_0089</t>
  </si>
  <si>
    <t xml:space="preserve">This exception implies that the immunity only covers acts done when acting judicially; acts outside their judicial capacity are not protected by this section. [Source: Section 15, BNS 2023]</t>
  </si>
  <si>
    <t xml:space="preserve">CASE_0090</t>
  </si>
  <si>
    <t xml:space="preserve">The consequence is that Judges are protected from criminal liability for their rulings and judicial actions, allowing them to perform their duties and exercise their powers independently without fear of personal prosecution. [Source: Section 15, BNS 2023]</t>
  </si>
  <si>
    <t xml:space="preserve">CASE_0091</t>
  </si>
  <si>
    <t xml:space="preserve">Act done pursuant to judgment or order of Court</t>
  </si>
  <si>
    <t xml:space="preserve">No, an act done in pursuance of, or warranted by, a judgment or order of a Court is not an offence, provided the act is done while the judgment or order remains in force. [Source: Section 16, BNS 2023]</t>
  </si>
  <si>
    <t xml:space="preserve">Hugging Face source record: BNS_16</t>
  </si>
  <si>
    <t xml:space="preserve">CASE_0092</t>
  </si>
  <si>
    <t xml:space="preserve">Section 16 of BNS 2023 provides immunity for acts done pursuant to a judgment or order of a Court. It protects individuals executing court orders from criminal liability, even if the Court ultimately lacked jurisdiction, as long as they acted in good faith believing the jurisdiction existed. [Source: Section 16, BNS 2023]</t>
  </si>
  <si>
    <t xml:space="preserve">CASE_0093</t>
  </si>
  <si>
    <t xml:space="preserve">No, the executioner commits no offence, provided they acted in good faith believing that the Court had the proper jurisdiction to pass the judgment or order. [Source: Section 16, BNS 2023]</t>
  </si>
  <si>
    <t xml:space="preserve">CASE_0094</t>
  </si>
  <si>
    <t xml:space="preserve">A necessary condition is that the act must be done whilst such judgment or order remains in force. [Source: Section 16, BNS 2023]</t>
  </si>
  <si>
    <t xml:space="preserve">CASE_0095</t>
  </si>
  <si>
    <t xml:space="preserve">The protection still applies notwithstanding that the Court may have had no jurisdiction, with the explicit exception that the person executing the order must have believed in good faith that the jurisdiction existed. [Source: Section 16, BNS 2023]</t>
  </si>
  <si>
    <t xml:space="preserve">CASE_0096</t>
  </si>
  <si>
    <t xml:space="preserve">The consequence is that officials are legally protected from criminal prosecution when executing active court orders, allowing them to perform their duties without having to independently verify the court's underlying legal jurisdiction. [Source: Section 16, BNS 2023]</t>
  </si>
  <si>
    <t xml:space="preserve">CASE_0097</t>
  </si>
  <si>
    <t xml:space="preserve">Act done by a person justified, or by mistake of fact believing himself justified, by law</t>
  </si>
  <si>
    <t xml:space="preserve">No, an act is not an offence if it is done by a person who is justified by law, or who, due to a mistake of fact and not a mistake of law, in good faith believes themselves to be justified by law in doing it. [Source: Section 17, BNS 2023]</t>
  </si>
  <si>
    <t xml:space="preserve">Hugging Face source record: BNS_17</t>
  </si>
  <si>
    <t xml:space="preserve">CASE_0098</t>
  </si>
  <si>
    <t xml:space="preserve">Section 17 of BNS 2023 provides a defense for acts done by individuals who are justified by law or who act under a good faith mistake of fact believing they are justified. This protects people who intervene in situations reasonably appearing to require legal intervention, even if they are factually mistaken. [Source: Section 17, BNS 2023]</t>
  </si>
  <si>
    <t xml:space="preserve">CASE_0099</t>
  </si>
  <si>
    <t xml:space="preserve">No, he has committed no offence because he acted under a mistake of fact in good faith, believing himself justified by the law that allows citizens to apprehend murderers in the act. [Source: Section 17, BNS 2023]</t>
  </si>
  <si>
    <t xml:space="preserve">CASE_0100</t>
  </si>
  <si>
    <t xml:space="preserve">The mistake must be a mistake of fact made in good faith; the defense explicitly requires that it not be by reason of a mistake of law. [Source: Section 17, BNS 2023]</t>
  </si>
  <si>
    <t xml:space="preserve">CASE_0101</t>
  </si>
  <si>
    <t xml:space="preserve">No, the section explicitly excludes protection for a mistake of law. The belief of justification must stem from a factual misunderstanding of the situation, not a misunderstanding of the law itself. [Source: Section 17, BNS 2023]</t>
  </si>
  <si>
    <t xml:space="preserve">CASE_0102</t>
  </si>
  <si>
    <t xml:space="preserve">The consequence is that citizens are legally empowered and protected from criminal liability if they intervene in good faith to stop what reasonably appears to be a serious crime, even if their factual assessment of the situation turns out to be wrong. [Source: Section 17, BNS 2023]</t>
  </si>
  <si>
    <t xml:space="preserve">CASE_0103</t>
  </si>
  <si>
    <t xml:space="preserve">Accident in doing a lawful act</t>
  </si>
  <si>
    <t xml:space="preserve">No, an act is not an offence if it is done by accident or misfortune, without any criminal intention or knowledge, provided it occurred while doing a lawful act in a lawful manner, by lawful means, and with proper care. [Source: Section 18, BNS 2023]</t>
  </si>
  <si>
    <t xml:space="preserve">Hugging Face source record: BNS_18</t>
  </si>
  <si>
    <t xml:space="preserve">CASE_0104</t>
  </si>
  <si>
    <t xml:space="preserve">Section 18 of BNS 2023 establishes the defense of accident in doing a lawful act. It states that accidental harm is not an offence if the action was inherently lawful, performed using lawful means, lacking criminal intent, and executed with proper care and caution. [Source: Section 18, BNS 2023]</t>
  </si>
  <si>
    <t xml:space="preserve">CASE_0105</t>
  </si>
  <si>
    <t xml:space="preserve">No, if there was no want of proper caution on his part, his act is excusable as an accident or misfortune and is not an offence. [Source: Section 18, BNS 2023]</t>
  </si>
  <si>
    <t xml:space="preserve">CASE_0106</t>
  </si>
  <si>
    <t xml:space="preserve">The lawful act must be done with proper care and caution for the accidental harm to be excused. [Source: Section 18, BNS 2023]</t>
  </si>
  <si>
    <t xml:space="preserve">CASE_0107</t>
  </si>
  <si>
    <t xml:space="preserve">No, the defense is expressly limited; it only applies when the accident happens in the doing of a lawful act in a lawful manner by lawful means. [Source: Section 18, BNS 2023]</t>
  </si>
  <si>
    <t xml:space="preserve">CASE_0108</t>
  </si>
  <si>
    <t xml:space="preserve">The consequence is full exoneration; the act is deemed entirely excusable and does not constitute any criminal offence. [Source: Section 18, BNS 2023]</t>
  </si>
  <si>
    <t xml:space="preserve">CASE_0109</t>
  </si>
  <si>
    <t xml:space="preserve">Act likely to cause harm, but done without criminal intent, and to prevent other harm</t>
  </si>
  <si>
    <t xml:space="preserve">No, an act is not an offence if done without criminal intention, but rather in good faith to prevent or avoid other harm to person or property, even if the doer knew the act was likely to cause some harm. [Source: Section 19, BNS 2023]</t>
  </si>
  <si>
    <t xml:space="preserve">Hugging Face source record: BNS_19</t>
  </si>
  <si>
    <t xml:space="preserve">CASE_0110</t>
  </si>
  <si>
    <t xml:space="preserve">Section 19 of BNS 2023 establishes the defense of necessity. It protects individuals who knowingly cause a lesser harm if they act without criminal intent and in good faith to prevent a greater, imminent harm to people or property. [Source: Section 19, BNS 2023]</t>
  </si>
  <si>
    <t xml:space="preserve">CASE_0111</t>
  </si>
  <si>
    <t xml:space="preserve">No, if he alters course without intention to run down the small boat and in good faith to avoid danger to the larger boat's passengers, he is not guilty, provided the danger avoided was serious enough to excuse the risk. [Source: Section 19, BNS 2023]</t>
  </si>
  <si>
    <t xml:space="preserve">CASE_0112</t>
  </si>
  <si>
    <t xml:space="preserve">It must be determined as a question of fact whether the harm to be prevented was of such a nature and so imminent as to justify or excuse the risk of doing the harmful act. [Source: Section 19, BNS 2023]</t>
  </si>
  <si>
    <t xml:space="preserve">CASE_0113</t>
  </si>
  <si>
    <t xml:space="preserve">No, a crucial limitation is that the act must be done without any criminal intention to cause harm, and purely in good faith for the purpose of avoiding the other harm. [Source: Section 19, BNS 2023]</t>
  </si>
  <si>
    <t xml:space="preserve">CASE_0114</t>
  </si>
  <si>
    <t xml:space="preserve">The consequence is that the person is not guilty of any offence regarding the destruction of the house, provided the harm prevented was imminent and severe enough to excuse the act. [Source: Section 19, BNS 2023]</t>
  </si>
  <si>
    <t xml:space="preserve">CASE_0115</t>
  </si>
  <si>
    <t xml:space="preserve">Act of a child under seven years of age</t>
  </si>
  <si>
    <t xml:space="preserve">No, nothing is an offence which is done by a child under seven years of age. [Source: Section 20, BNS 2023]</t>
  </si>
  <si>
    <t xml:space="preserve">Hugging Face source record: BNS_20</t>
  </si>
  <si>
    <t xml:space="preserve">CASE_0116</t>
  </si>
  <si>
    <t xml:space="preserve">Section 20 of BNS 2023 states a rule of absolute legal immunity based on age, explicitly declaring that no act done by a child under seven years of age is considered an offence. [Source: Section 20, BNS 2023]</t>
  </si>
  <si>
    <t xml:space="preserve">CASE_0117</t>
  </si>
  <si>
    <t xml:space="preserve">No, the child cannot be charged with any offence because the law explicitly dictates that acts done by a child under seven years of age are not offences. [Source: Section 20, BNS 2023]</t>
  </si>
  <si>
    <t xml:space="preserve">CASE_0118</t>
  </si>
  <si>
    <t xml:space="preserve">The sole condition is that the child committing the act must be under seven years of age. [Source: Section 20, BNS 2023]</t>
  </si>
  <si>
    <t xml:space="preserve">CASE_0119</t>
  </si>
  <si>
    <t xml:space="preserve">No, there are no exceptions stated in this section; the immunity for a child under seven is absolute regardless of the nature of the act. [Source: Section 20, BNS 2023]</t>
  </si>
  <si>
    <t xml:space="preserve">CASE_0120</t>
  </si>
  <si>
    <t xml:space="preserve">The consequence is that the legal system completely absolves the toddler of any criminal liability, treating the act as a non-offence. [Source: Section 20, BNS 2023]</t>
  </si>
  <si>
    <t xml:space="preserve">CASE_0121</t>
  </si>
  <si>
    <t xml:space="preserve">Act of a child above seven and under twelve years of age of immature understanding</t>
  </si>
  <si>
    <t xml:space="preserve">A child above seven and under twelve is not guilty of an offence if they have not attained sufficient maturity of understanding to judge the nature and consequences of their conduct on that specific occasion. [Source: Section 21, BNS 2023]</t>
  </si>
  <si>
    <t xml:space="preserve">Hugging Face source record: BNS_21</t>
  </si>
  <si>
    <t xml:space="preserve">CASE_0122</t>
  </si>
  <si>
    <t xml:space="preserve">Section 21 of BNS 2023 provides conditional immunity for children aged between seven and twelve years. It states that an act by such a child is not an offence if the child lacked the mature understanding necessary to comprehend the nature and consequences of what they were doing at the time. [Source: Section 21, BNS 2023]</t>
  </si>
  <si>
    <t xml:space="preserve">CASE_0123</t>
  </si>
  <si>
    <t xml:space="preserve">No, if it is proven that the child had not attained sufficient maturity of understanding to judge the nature and consequences of setting the fire, they commit no offence. [Source: Section 21, BNS 2023]</t>
  </si>
  <si>
    <t xml:space="preserve">CASE_0124</t>
  </si>
  <si>
    <t xml:space="preserve">The court must determine whether the child had attained sufficient maturity of understanding to judge the nature and consequences of their specific conduct on that occasion. [Source: Section 21, BNS 2023]</t>
  </si>
  <si>
    <t xml:space="preserve">CASE_0125</t>
  </si>
  <si>
    <t xml:space="preserve">No, it does not provide automatic immunity for children above seven. The immunity is conditional and depends entirely on the child lacking sufficient maturity of understanding. A mature child in this age bracket can still be held liable. [Source: Section 21, BNS 2023]</t>
  </si>
  <si>
    <t xml:space="preserve">CASE_0126</t>
  </si>
  <si>
    <t xml:space="preserve">Because the child possesses sufficient maturity to judge the nature and consequences of their conduct, they do not qualify for the protection under this section and can be held criminally liable for the theft. [Source: Section 21, BNS 2023]</t>
  </si>
  <si>
    <t xml:space="preserve">CASE_0127</t>
  </si>
  <si>
    <t xml:space="preserve">Act of a person of unsound mind</t>
  </si>
  <si>
    <t xml:space="preserve">No, an act is not an offence if done by a person who, at the time of doing it, is incapable of knowing the nature of the act, or that what they are doing is wrong or contrary to law, by reason of unsoundness of mind. [Source: Section 22, BNS 2023]</t>
  </si>
  <si>
    <t xml:space="preserve">Hugging Face source record: BNS_22</t>
  </si>
  <si>
    <t xml:space="preserve">CASE_0128</t>
  </si>
  <si>
    <t xml:space="preserve">Section 22 of BNS 2023 establishes the legal defense of insanity. It excuses a person from criminal liability if, at the exact time the act was committed, unsoundness of mind made them incapable of understanding the nature of their act or recognizing that it was wrong or illegal. [Source: Section 22, BNS 2023]</t>
  </si>
  <si>
    <t xml:space="preserve">CASE_0129</t>
  </si>
  <si>
    <t xml:space="preserve">No, if his delusions constitute an unsoundness of mind that rendered him incapable of knowing that his act was wrong or contrary to law at the time he did it, he commits no offence. [Source: Section 22, BNS 2023]</t>
  </si>
  <si>
    <t xml:space="preserve">CASE_0130</t>
  </si>
  <si>
    <t xml:space="preserve">The critical requirement is that the incapacity must exist exactly at the time of doing the act. Past or subsequent mental illness is not sufficient to trigger this specific defense. [Source: Section 22, BNS 2023]</t>
  </si>
  <si>
    <t xml:space="preserve">CASE_0131</t>
  </si>
  <si>
    <t xml:space="preserve">No, because despite having a mental illness, if they are still capable of knowing the nature of the act and that it is wrong or contrary to law at the time they do it, the defense does not apply. [Source: Section 22, BNS 2023]</t>
  </si>
  <si>
    <t xml:space="preserve">CASE_0132</t>
  </si>
  <si>
    <t xml:space="preserve">The consequence is that the individual is completely exempted from criminal liability for the act, as the law deems them incapable of forming the necessary criminal intent. [Source: Section 22, BNS 2023]</t>
  </si>
  <si>
    <t xml:space="preserve">CASE_0133</t>
  </si>
  <si>
    <t xml:space="preserve">Act of a person incapable of judgment by reason of intoxication caused against his will</t>
  </si>
  <si>
    <t xml:space="preserve">Yes, but only if the person was so intoxicated they couldn't know the nature of their act or that it was wrong, and crucially, the intoxicating substance must have been administered to them without their knowledge or against their will. [Source: Section 23, BNS 2023]</t>
  </si>
  <si>
    <t xml:space="preserve">Hugging Face source record: BNS_23</t>
  </si>
  <si>
    <t xml:space="preserve">CASE_0134</t>
  </si>
  <si>
    <t xml:space="preserve">Section 23 of BNS 2023 establishes involuntary intoxication as a defense. It states that an act is not an offence if the person was incapacitated by intoxication, provided the intoxicant was given to them without their consent or knowledge. [Source: Section 23, BNS 2023]</t>
  </si>
  <si>
    <t xml:space="preserve">CASE_0135</t>
  </si>
  <si>
    <t xml:space="preserve">No, he commits no offence because he was incapable of knowing the nature of his act due to intoxication that was caused by something administered to him without his knowledge. [Source: Section 23, BNS 2023]</t>
  </si>
  <si>
    <t xml:space="preserve">CASE_0136</t>
  </si>
  <si>
    <t xml:space="preserve">The thing which intoxicated the person must have been administered to them without their knowledge or against their will. [Source: Section 23, BNS 2023]</t>
  </si>
  <si>
    <t xml:space="preserve">CASE_0137</t>
  </si>
  <si>
    <t xml:space="preserve">No, the defense explicitly requires that the intoxication be caused against the person's will or without their knowledge. Voluntary intoxication provides no protection under this section. [Source: Section 23, BNS 2023]</t>
  </si>
  <si>
    <t xml:space="preserve">CASE_0138</t>
  </si>
  <si>
    <t xml:space="preserve">The legal consequence is that the involuntarily intoxicated person is treated similarly to a person of unsound mind and is exonerated from criminal liability for acts committed while in that incapacitated state. [Source: Section 23, BNS 2023]</t>
  </si>
  <si>
    <t xml:space="preserve">CASE_0139</t>
  </si>
  <si>
    <t xml:space="preserve">Offence requiring a particular intent or knowledge committed by one who is intoxicated</t>
  </si>
  <si>
    <t xml:space="preserve">If an offence requires particular knowledge or intent, a voluntarily intoxicated person is liable to be dealt with as if they had the exact same knowledge they would have had if they had been completely sober. [Source: Section 24, BNS 2023]</t>
  </si>
  <si>
    <t xml:space="preserve">Hugging Face source record: BNS_24</t>
  </si>
  <si>
    <t xml:space="preserve">CASE_0140</t>
  </si>
  <si>
    <t xml:space="preserve">Section 24 of BNS 2023 establishes a presumption of knowledge for voluntarily intoxicated offenders. It states that if a crime requires specific knowledge or intent, an intoxicated person is legally presumed to have the knowledge of a sober person, unless the intoxication was involuntary. [Source: Section 24, BNS 2023]</t>
  </si>
  <si>
    <t xml:space="preserve">CASE_0141</t>
  </si>
  <si>
    <t xml:space="preserve">Yes, because his intoxication was voluntary, the law will deal with him as if he had the same knowledge he would have had if sober, which includes knowing the watch belonged to someone else. [Source: Section 24, BNS 2023]</t>
  </si>
  <si>
    <t xml:space="preserve">CASE_0142</t>
  </si>
  <si>
    <t xml:space="preserve">The presumption does not apply if the thing which intoxicated the person was administered to them without their knowledge or against their will. [Source: Section 24, BNS 2023]</t>
  </si>
  <si>
    <t xml:space="preserve">CASE_0143</t>
  </si>
  <si>
    <t xml:space="preserve">The text explicitly states the person shall be dealt with as if he had the same knowledge as he would have had if sober, but it does not expressly state the same presumption applies to intent, leaving a slight distinction between imputed knowledge and imputed intent. [Source: Section 24, BNS 2023]</t>
  </si>
  <si>
    <t xml:space="preserve">CASE_0144</t>
  </si>
  <si>
    <t xml:space="preserve">The consequence is that the defense will fail; the court will impute the knowledge that the goods were stolen to the offender just as if they were sober, stripping away the intoxication defense. [Source: Section 24, BNS 2023]</t>
  </si>
  <si>
    <t xml:space="preserve">CASE_0145</t>
  </si>
  <si>
    <t xml:space="preserve">Act not intended and not known to be likely to cause death or grievous hurt, done by consent</t>
  </si>
  <si>
    <t xml:space="preserve">No, if an act is not intended or known to be likely to cause death or grievous hurt, causing harm to someone over eighteen who explicitly or implicitly consented to the risk is not an offence. [Source: Section 25, BNS 2023]</t>
  </si>
  <si>
    <t xml:space="preserve">Hugging Face source record: BNS_25</t>
  </si>
  <si>
    <t xml:space="preserve">CASE_0146</t>
  </si>
  <si>
    <t xml:space="preserve">Section 25 of BNS 2023 outlines the defense of consent. It protects individuals from criminal liability if they cause non-grievous harm to a consenting adult (over eighteen) during an activity where such harm was a known risk, provided there was no intent to cause death or serious injury. [Source: Section 25, BNS 2023]</t>
  </si>
  <si>
    <t xml:space="preserve">CASE_0147</t>
  </si>
  <si>
    <t xml:space="preserve">No, because the agreement to fence implies consent to suffer harm caused without foul play, and assuming there was no intent to cause grievous hurt or death, the act is not an offence. [Source: Section 25, BNS 2023]</t>
  </si>
  <si>
    <t xml:space="preserve">CASE_0148</t>
  </si>
  <si>
    <t xml:space="preserve">The person giving consent to suffer the harm must be above eighteen years of age. [Source: Section 25, BNS 2023]</t>
  </si>
  <si>
    <t xml:space="preserve">CASE_0149</t>
  </si>
  <si>
    <t xml:space="preserve">No, the defense of consent is explicitly excluded if the act was intended to cause death or grievous hurt, or was known by the doer to be likely to cause death or grievous hurt. [Source: Section 25, BNS 2023]</t>
  </si>
  <si>
    <t xml:space="preserve">CASE_0150</t>
  </si>
  <si>
    <t xml:space="preserve">The consequence is that participants in contact sports or patients undergoing certain risky procedures cannot subsequently press criminal charges for expected, non-grievous injuries they consented to risk, provided there was no malicious intent. [Source: Section 25, BNS 2023]</t>
  </si>
  <si>
    <t xml:space="preserve">CASE_0151</t>
  </si>
  <si>
    <t xml:space="preserve">Act not intended to cause death, done by consent in good faith for person's benefit</t>
  </si>
  <si>
    <t xml:space="preserve">No, if an act is done in good faith for a person's benefit with their consent, and there is no intention to cause death, it is not an offence even if it was known to be likely to cause death. [Source: Section 26, BNS 2023]</t>
  </si>
  <si>
    <t xml:space="preserve">Hugging Face source record: BNS_26</t>
  </si>
  <si>
    <t xml:space="preserve">CASE_0152</t>
  </si>
  <si>
    <t xml:space="preserve">Section 26 of BNS 2023 protects individuals, such as surgeons, who perform high-risk acts for another person's benefit. It states that causing harm is not an offence if done in good faith, with the person's consent, and without the intention to cause death. [Source: Section 26, BNS 2023]</t>
  </si>
  <si>
    <t xml:space="preserve">CASE_0153</t>
  </si>
  <si>
    <t xml:space="preserve">No, the surgeon has committed no offence because they acted in good faith for the patient's benefit, with consent, and without intending to cause death, even though they knew death was a likely outcome. [Source: Section 26, BNS 2023]</t>
  </si>
  <si>
    <t xml:space="preserve">CASE_0154</t>
  </si>
  <si>
    <t xml:space="preserve">The act must be done for the person's benefit in good faith, the person must have given express or implied consent to take the risk, and the doer must not have intended to cause death. [Source: Section 26, BNS 2023]</t>
  </si>
  <si>
    <t xml:space="preserve">CASE_0155</t>
  </si>
  <si>
    <t xml:space="preserve">No, the defense explicitly states that the act must not be intended to cause death. Because euthanasia involves the explicit intention to cause death, this exception does not apply. [Source: Section 26, BNS 2023]</t>
  </si>
  <si>
    <t xml:space="preserve">CASE_0156</t>
  </si>
  <si>
    <t xml:space="preserve">The consequence is that doctors are legally protected from criminal liability when performing dangerous procedures, provided they secure consent and genuinely aim to help the patient rather than kill them. [Source: Section 26, BNS 2023]</t>
  </si>
  <si>
    <t xml:space="preserve">CASE_0157</t>
  </si>
  <si>
    <t xml:space="preserve">Act done in good faith for benefit of child or person of unsound mind, by, or by consent of guardian</t>
  </si>
  <si>
    <t xml:space="preserve">Yes, an act done in good faith for the benefit of a child under twelve or a person of unsound mind is not an offence if it is done by, or with the consent of, their guardian, provided certain life-threatening limits are respected. [Source: Section 27, BNS 2023]</t>
  </si>
  <si>
    <t xml:space="preserve">Hugging Face source record: BNS_27</t>
  </si>
  <si>
    <t xml:space="preserve">CASE_0158</t>
  </si>
  <si>
    <t xml:space="preserve">Section 27 of BNS 2023 establishes that guardians can provide valid consent for acts done for the benefit of children under twelve or people of unsound mind. However, it prohibits guardians from consenting to intentional killing or acts likely to cause death unless necessary to prevent death or grievous disease. [Source: Section 27, BNS 2023]</t>
  </si>
  <si>
    <t xml:space="preserve">CASE_0159</t>
  </si>
  <si>
    <t xml:space="preserve">No, the father is within the exception because the act was done in good faith for the child's benefit to cure a disease, and there was no intention to cause the child's death. [Source: Section 27, BNS 2023]</t>
  </si>
  <si>
    <t xml:space="preserve">CASE_0160</t>
  </si>
  <si>
    <t xml:space="preserve">The consent must be given, either expressly or impliedly, by the guardian or other person having lawful charge of that person of unsound mind. [Source: Section 27, BNS 2023]</t>
  </si>
  <si>
    <t xml:space="preserve">CASE_0161</t>
  </si>
  <si>
    <t xml:space="preserve">No, the exception does not extend to doing anything known to be likely to cause death for any purpose other than preventing death or grievous hurt, or curing any grievous disease or infirmity. [Source: Section 27, BNS 2023]</t>
  </si>
  <si>
    <t xml:space="preserve">CASE_0162</t>
  </si>
  <si>
    <t xml:space="preserve">The consequence is that the doctor is shielded from criminal liability for any harm caused by the surgery, because the parents' consent acts as a valid legal shield on behalf of the minor. [Source: Section 27, BNS 2023]</t>
  </si>
  <si>
    <t xml:space="preserve">CASE_0163</t>
  </si>
  <si>
    <t xml:space="preserve">Consent known to be given under fear or misconception</t>
  </si>
  <si>
    <t xml:space="preserve">Consent is invalid if given under fear of injury, under a misconception of fact, while intoxicated, while of unsound mind, or generally if given by a child under twelve years of age. [Source: Section 28, BNS 2023]</t>
  </si>
  <si>
    <t xml:space="preserve">Hugging Face source record: BNS_28</t>
  </si>
  <si>
    <t xml:space="preserve">CASE_0164</t>
  </si>
  <si>
    <t xml:space="preserve">Section 28 of BNS 2023 defines what invalidates consent across the entire Sanhita. It specifies that consent is legally void if obtained through fear or deceit, or if given by someone incapable of understanding it due to mental illness, intoxication, or being under the age of twelve. [Source: Section 28, BNS 2023]</t>
  </si>
  <si>
    <t xml:space="preserve">CASE_0165</t>
  </si>
  <si>
    <t xml:space="preserve">No, because the consent was given under fear of injury, and the person doing the act knew the consent was a consequence of that fear, rendering it legally invalid. [Source: Section 28, BNS 2023]</t>
  </si>
  <si>
    <t xml:space="preserve">CASE_0166</t>
  </si>
  <si>
    <t xml:space="preserve">The consent must be given under fear of injury or misconception of fact, and crucially, the person receiving the consent must know or have reason to believe it was given due to that fear or misconception. [Source: Section 28, BNS 2023]</t>
  </si>
  <si>
    <t xml:space="preserve">CASE_0167</t>
  </si>
  <si>
    <t xml:space="preserve">Unless the contrary appears from the context of a specific law, consent given by a person under twelve years of age is generally deemed invalid. [Source: Section 28, BNS 2023]</t>
  </si>
  <si>
    <t xml:space="preserve">CASE_0168</t>
  </si>
  <si>
    <t xml:space="preserve">The consequence is that their defense of consent will fail entirely, because the law treats consent from someone unable to understand its nature due to intoxication as if no consent was given at all. [Source: Section 28, BNS 2023]</t>
  </si>
  <si>
    <t xml:space="preserve">CASE_0169</t>
  </si>
  <si>
    <t xml:space="preserve">Exclusion of acts which are offences independently of harm caused</t>
  </si>
  <si>
    <t xml:space="preserve">No, the exceptions allowing consent to excuse harm do not apply to acts that are inherently offences independent of any harm they might cause to the person giving consent. [Source: Section 29, BNS 2023]</t>
  </si>
  <si>
    <t xml:space="preserve">Hugging Face source record: BNS_29</t>
  </si>
  <si>
    <t xml:space="preserve">CASE_0170</t>
  </si>
  <si>
    <t xml:space="preserve">Section 29 of BNS 2023 clarifies that consent cannot legalize acts that are criminalized for reasons other than the harm they cause to the consenting party. For example, you cannot consent to a crime against the state or public morality. [Source: Section 29, BNS 2023]</t>
  </si>
  <si>
    <t xml:space="preserve">CASE_0171</t>
  </si>
  <si>
    <t xml:space="preserve">No, because causing a miscarriage is an offence independently of any harm caused to the woman herself, so her consent does not justify the act. [Source: Section 29, BNS 2023]</t>
  </si>
  <si>
    <t xml:space="preserve">CASE_0172</t>
  </si>
  <si>
    <t xml:space="preserve">The act must be an offence independently of any harm which it may cause, or be intended to cause, to the person giving the consent. [Source: Section 29, BNS 2023]</t>
  </si>
  <si>
    <t xml:space="preserve">CASE_0173</t>
  </si>
  <si>
    <t xml:space="preserve">Yes, the exclusion in this section only applies when the act is an offence independently of that harm. If the only reason it's an offence is the harm to that specific person, their valid consent can excuse it. [Source: Section 29, BNS 2023]</t>
  </si>
  <si>
    <t xml:space="preserve">CASE_0174</t>
  </si>
  <si>
    <t xml:space="preserve">The consequence is that individuals cannot use private agreements or consent to bypass laws designed to protect public order, morality, or third parties not involved in the agreement. [Source: Section 29, BNS 2023]</t>
  </si>
  <si>
    <t xml:space="preserve">CASE_0175</t>
  </si>
  <si>
    <t xml:space="preserve">Act done in good faith for benefit of a person without consent</t>
  </si>
  <si>
    <t xml:space="preserve">Yes, an act done in good faith for a person's benefit is not an offence if it is impossible for them to signify consent, or if they are incapable and have no guardian available to give consent in time. [Source: Section 30, BNS 2023]</t>
  </si>
  <si>
    <t xml:space="preserve">Hugging Face source record: BNS_30</t>
  </si>
  <si>
    <t xml:space="preserve">CASE_0176</t>
  </si>
  <si>
    <t xml:space="preserve">Section 30 of BNS 2023 creates the doctrine of implied consent for emergencies. It protects those who act in good faith to benefit someone who cannot consent (e.g., unconscious) and lacks an accessible guardian, provided the act isn't intentional killing. [Source: Section 30, BNS 2023]</t>
  </si>
  <si>
    <t xml:space="preserve">CASE_0177</t>
  </si>
  <si>
    <t xml:space="preserve">No, even if the child is killed by the fall, the man has committed no offence because he acted in good faith for the child's benefit in an emergency where obtaining formal consent was impossible. [Source: Section 30, BNS 2023]</t>
  </si>
  <si>
    <t xml:space="preserve">CASE_0178</t>
  </si>
  <si>
    <t xml:space="preserve">The circumstances must make it impossible for the person to signify consent, or the person must be incapable of consenting and lack a guardian from whom consent can be obtained in time for the beneficial act. [Source: Section 30, BNS 2023]</t>
  </si>
  <si>
    <t xml:space="preserve">CASE_0179</t>
  </si>
  <si>
    <t xml:space="preserve">No, this exception expressly does not extend to the intentional causing of death, and furthermore, mere pecuniary benefit is explicitly excluded from the definition of a valid benefit under this section. [Source: Section 30, BNS 2023]</t>
  </si>
  <si>
    <t xml:space="preserve">CASE_0180</t>
  </si>
  <si>
    <t xml:space="preserve">The consequence is that they are shielded from criminal liability for assault or battery when they take necessary, immediate, good-faith actions to save the lives or health of incapacitated victims during emergencies. [Source: Section 30, BNS 2023]</t>
  </si>
  <si>
    <t xml:space="preserve">CASE_0181</t>
  </si>
  <si>
    <t xml:space="preserve">Communication made in good faith</t>
  </si>
  <si>
    <t xml:space="preserve">No, a communication made in good faith is not an offence by reason of any harm it causes to the person it is made to, provided it is made for their benefit. [Source: Section 31, BNS 2023]</t>
  </si>
  <si>
    <t xml:space="preserve">Hugging Face source record: BNS_31</t>
  </si>
  <si>
    <t xml:space="preserve">CASE_0182</t>
  </si>
  <si>
    <t xml:space="preserve">Section 31 of BNS 2023 protects good-faith communications. It states that communicating information, even if it causes harm like shock or distress, is not an offence if the communication was made in good faith for the benefit of the recipient. [Source: Section 31, BNS 2023]</t>
  </si>
  <si>
    <t xml:space="preserve">CASE_0183</t>
  </si>
  <si>
    <t xml:space="preserve">No, if the surgeon communicated their opinion in good faith for the patient's benefit, they have committed no offence, even if they knew the communication might likely cause the patient's death through shock. [Source: Section 31, BNS 2023]</t>
  </si>
  <si>
    <t xml:space="preserve">CASE_0184</t>
  </si>
  <si>
    <t xml:space="preserve">The communication must be made in good faith, and it must be made for the benefit of the person receiving it. [Source: Section 31, BNS 2023]</t>
  </si>
  <si>
    <t xml:space="preserve">CASE_0185</t>
  </si>
  <si>
    <t xml:space="preserve">No, the protection does not apply because the communication must be made in good faith and for the benefit of the person receiving it, neither of which are true in a malicious context. [Source: Section 31, BNS 2023]</t>
  </si>
  <si>
    <t xml:space="preserve">CASE_0186</t>
  </si>
  <si>
    <t xml:space="preserve">The consequence is that medical professionals can fulfill their ethical duty to truthfully inform patients about their health without fearing criminal liability if the sheer shock of the necessary information causes a sudden deterioration or death. [Source: Section 31, BNS 2023]</t>
  </si>
  <si>
    <t xml:space="preserve">CASE_0187</t>
  </si>
  <si>
    <t xml:space="preserve">Act to which a person is compelled by threats</t>
  </si>
  <si>
    <t xml:space="preserve">Generally yes, nothing is an offence if done by a person compelled by threats that reasonably cause apprehension of instant death, but this defense explicitly excludes murder and offences against the State punishable with death. [Source: Section 32, BNS 2023]</t>
  </si>
  <si>
    <t xml:space="preserve">Hugging Face source record: BNS_32</t>
  </si>
  <si>
    <t xml:space="preserve">CASE_0188</t>
  </si>
  <si>
    <t xml:space="preserve">Section 32 of BNS 2023 addresses the defense of duress or compulsion by threats. It protects individuals forced to commit crimes under immediate threat of death, provided they didn't voluntarily put themselves in that situation, but it explicitly does not excuse murder or treasonous acts punishable by death. [Source: Section 32, BNS 2023]</t>
  </si>
  <si>
    <t xml:space="preserve">CASE_0189</t>
  </si>
  <si>
    <t xml:space="preserve">No, the locksmith is entitled to the benefit of this exception and is not guilty, because he was compelled by a threat of instant death and did not voluntarily place himself in that situation. [Source: Section 32, BNS 2023]</t>
  </si>
  <si>
    <t xml:space="preserve">CASE_0190</t>
  </si>
  <si>
    <t xml:space="preserve">The threat must be such that, at the time of doing the act, it reasonably causes the apprehension that instant death to the person will otherwise be the consequence. [Source: Section 32, BNS 2023]</t>
  </si>
  <si>
    <t xml:space="preserve">CASE_0191</t>
  </si>
  <si>
    <t xml:space="preserve">No, if a person voluntarily joined a gang of dacoits knowing their character, or joined merely out of fear of being beaten, they placed themselves in that situation and are not entitled to the benefit of this exception for crimes compelled by their associates. [Source: Section 32, BNS 2023]</t>
  </si>
  <si>
    <t xml:space="preserve">CASE_0192</t>
  </si>
  <si>
    <t xml:space="preserve">The dire consequence is that the defense of compulsion entirely fails. The law refuses to excuse the taking of an innocent life even to save one's own, making the person criminally liable for murder despite the threat. [Source: Section 32, BNS 2023]</t>
  </si>
  <si>
    <t xml:space="preserve">CASE_0193</t>
  </si>
  <si>
    <t xml:space="preserve">Act causing slight harm</t>
  </si>
  <si>
    <t xml:space="preserve">No, an act is not an offence if the harm caused, intended, or known to be likely is so slight that no person of ordinary sense and temper would complain of it. [Source: Section 33, BNS 2023]</t>
  </si>
  <si>
    <t xml:space="preserve">Hugging Face source record: BNS_33</t>
  </si>
  <si>
    <t xml:space="preserve">CASE_0194</t>
  </si>
  <si>
    <t xml:space="preserve">Section 33 of BNS 2023 codifies the principle of 'de minimis non curat lex' (the law does not concern itself with trifles). It excludes very slight harm, which an ordinary sensible person would not complain about, from the realm of criminal offences. [Source: Section 33, BNS 2023]</t>
  </si>
  <si>
    <t xml:space="preserve">CASE_0195</t>
  </si>
  <si>
    <t xml:space="preserve">No, because the harm caused by such minor contact is so slight that no person of ordinary sense and temper would complain of it, meaning it cannot legally constitute an offence. [Source: Section 33, BNS 2023]</t>
  </si>
  <si>
    <t xml:space="preserve">CASE_0196</t>
  </si>
  <si>
    <t xml:space="preserve">The standard is an objective one: whether the harm is so slight that no person of ordinary sense and temper would complain of it. [Source: Section 33, BNS 2023]</t>
  </si>
  <si>
    <t xml:space="preserve">CASE_0197</t>
  </si>
  <si>
    <t xml:space="preserve">The text refers to what a person of 'ordinary sense and temper' would do. Therefore, the extreme sensitivity of a specific victim does not automatically override the defense if an ordinary person would have ignored the trifle. [Source: Section 33, BNS 2023]</t>
  </si>
  <si>
    <t xml:space="preserve">CASE_0198</t>
  </si>
  <si>
    <t xml:space="preserve">The consequence is that it prevents the legal system from being overwhelmed by frivolous lawsuits and minor everyday frictions, reserving criminal proceedings for acts that cause meaningful harm. [Source: Section 33, BNS 2023]</t>
  </si>
  <si>
    <t xml:space="preserve">CASE_0199</t>
  </si>
  <si>
    <t xml:space="preserve">Things done in private defence</t>
  </si>
  <si>
    <t xml:space="preserve">No, the law states that nothing is an offence which is done in the valid exercise of the right of private defence. [Source: Section 34, BNS 2023]</t>
  </si>
  <si>
    <t xml:space="preserve">Hugging Face source record: BNS_34</t>
  </si>
  <si>
    <t xml:space="preserve">CASE_0200</t>
  </si>
  <si>
    <t xml:space="preserve">Section 34 of BNS 2023 declares the absolute foundational principle of self-defense. It states simply and broadly that nothing done in the exercise of the right of private defence can be considered a criminal offence. [Source: Section 34, BNS 2023]</t>
  </si>
  <si>
    <t xml:space="preserve">CASE_0201</t>
  </si>
  <si>
    <t xml:space="preserve">No, if she was acting legitimately to protect herself from the assault, her action falls under the right of private defence and is therefore not an offence. [Source: Section 34, BNS 2023]</t>
  </si>
  <si>
    <t xml:space="preserve">CASE_0202</t>
  </si>
  <si>
    <t xml:space="preserve">The sole condition is that the act must be done strictly in the exercise of the right of private defence. [Source: Section 34, BNS 2023]</t>
  </si>
  <si>
    <t xml:space="preserve">CASE_0203</t>
  </si>
  <si>
    <t xml:space="preserve">No, this specific section only establishes the general right. The limits, exceptions, and conditions of that right are detailed in subsequent, related sections of the Sanhita. [Source: Section 34, BNS 2023]</t>
  </si>
  <si>
    <t xml:space="preserve">CASE_0204</t>
  </si>
  <si>
    <t xml:space="preserve">The consequence is that the state legally empowers citizens to protect themselves and their property, prioritizing the immediate safety of the victim over the bodily integrity of the aggressor during an attack. [Source: Section 34, BNS 2023]</t>
  </si>
  <si>
    <t xml:space="preserve">CASE_0205</t>
  </si>
  <si>
    <t xml:space="preserve">Right of private defence of body and of property</t>
  </si>
  <si>
    <t xml:space="preserve">Every person has a right to defend their own body, the body of any other person, and the movable or immovable property of themselves or others. [Source: Section 35, BNS 2023]</t>
  </si>
  <si>
    <t xml:space="preserve">Hugging Face source record: BNS_35</t>
  </si>
  <si>
    <t xml:space="preserve">CASE_0206</t>
  </si>
  <si>
    <t xml:space="preserve">Section 35 of BNS 2023 grants individuals the right to private defence of both body and property. It allows a person to defend themselves or anyone else from physical offences, and to defend their own or anyone else's property against theft, robbery, mischief, or criminal trespass. [Source: Section 35, BNS 2023]</t>
  </si>
  <si>
    <t xml:space="preserve">CASE_0207</t>
  </si>
  <si>
    <t xml:space="preserve">Yes, because the right of private defence of property extends to defending the movable property of any other person against acts falling under the definition of theft or attempted theft. [Source: Section 35, BNS 2023]</t>
  </si>
  <si>
    <t xml:space="preserve">CASE_0208</t>
  </si>
  <si>
    <t xml:space="preserve">The right is triggered against any act or attempted act which is an offence falling under the definition of theft, robbery, mischief, or criminal trespass. [Source: Section 35, BNS 2023]</t>
  </si>
  <si>
    <t xml:space="preserve">CASE_0209</t>
  </si>
  <si>
    <t xml:space="preserve">No, these rights are explicitly subject to the restrictions contained in section 37, which outlines situations where there is no right of private defence. [Source: Section 35, BNS 2023]</t>
  </si>
  <si>
    <t xml:space="preserve">CASE_0210</t>
  </si>
  <si>
    <t xml:space="preserve">The consequence is that the law removes the requirement for a personal connection; an individual is fully legally empowered to intervene and use private defence to protect complete strangers and their property from criminals. [Source: Section 35, BNS 2023]</t>
  </si>
  <si>
    <t xml:space="preserve">CASE_0211</t>
  </si>
  <si>
    <t xml:space="preserve">Right of private defence against act of a person of unsound mind, etc</t>
  </si>
  <si>
    <t xml:space="preserve">Yes, even if the attacker is not legally guilty of an offence due to youth, mental illness, intoxication, or misconception, every person retains the exact same right of private defence against them as if they were a sane, legally culpable adult. [Source: Section 36, BNS 2023]</t>
  </si>
  <si>
    <t xml:space="preserve">Hugging Face source record: BNS_36</t>
  </si>
  <si>
    <t xml:space="preserve">CASE_0212</t>
  </si>
  <si>
    <t xml:space="preserve">Section 36 of BNS 2023 guarantees the right of private defence against individuals who are legally exempt from criminal liability. It clarifies that self-defense is valid against attackers who are minors, of unsound mind, intoxicated, or acting under a misconception. [Source: Section 36, BNS 2023]</t>
  </si>
  <si>
    <t xml:space="preserve">CASE_0213</t>
  </si>
  <si>
    <t xml:space="preserve">Yes. Although the roommate commits no offence because they are acting under a misconception, the man has the same right of private defence against the roommate as he would have if the roommate was not acting under that misconception. [Source: Section 36, BNS 2023]</t>
  </si>
  <si>
    <t xml:space="preserve">CASE_0214</t>
  </si>
  <si>
    <t xml:space="preserve">The right is not invalidated by the attacker's youth, want of maturity of understanding, unsoundness of mind, intoxication, or any misconception on their part. [Source: Section 36, BNS 2023]</t>
  </si>
  <si>
    <t xml:space="preserve">CASE_0215</t>
  </si>
  <si>
    <t xml:space="preserve">No, it only gives the right of private defence against the act as it occurs. It does not grant a right to retaliation or punishment, only the right to defend oneself as one would against any other offender. [Source: Section 36, BNS 2023]</t>
  </si>
  <si>
    <t xml:space="preserve">CASE_0216</t>
  </si>
  <si>
    <t xml:space="preserve">The consequence is that the victim is legally permitted to use necessary force to defend themselves without having to worry about whether the attacker will ultimately be held legally responsible for their actions in court. [Source: Section 36, BNS 2023]</t>
  </si>
  <si>
    <t xml:space="preserve">CASE_0217</t>
  </si>
  <si>
    <t xml:space="preserve">Acts against which there is no right of private defence</t>
  </si>
  <si>
    <t xml:space="preserve">Yes, there is no right of private defence against acts by a public servant acting in good faith under color of office (unless it threatens death or grievous hurt), or in cases where there is time to seek protection from public authorities. [Source: Section 37, BNS 2023]</t>
  </si>
  <si>
    <t xml:space="preserve">Hugging Face source record: BNS_37</t>
  </si>
  <si>
    <t xml:space="preserve">CASE_0218</t>
  </si>
  <si>
    <t xml:space="preserve">Section 37 of BNS 2023 outlines strict limits on self-defense. It prohibits self-defense against good-faith actions of public servants that don't threaten serious harm, requires relying on police if there's time, and absolutely forbids inflicting more harm than is necessary for defence. [Source: Section 37, BNS 2023]</t>
  </si>
  <si>
    <t xml:space="preserve">CASE_0219</t>
  </si>
  <si>
    <t xml:space="preserve">No, because the right of private defence in no case extends to the inflicting of more harm than it is necessary to inflict for the purpose of defence. The severe beating would be an offence. [Source: Section 37, BNS 2023]</t>
  </si>
  <si>
    <t xml:space="preserve">CASE_0220</t>
  </si>
  <si>
    <t xml:space="preserve">The public servant must be acting in good faith under colour of their office, and their act must not reasonably cause the apprehension of death or grievous hurt. [Source: Section 37, BNS 2023]</t>
  </si>
  <si>
    <t xml:space="preserve">CASE_0221</t>
  </si>
  <si>
    <t xml:space="preserve">No, a person is not deprived of the right of private defence against a public servant unless they know, or have reason to believe, that the person doing the act is indeed such a public servant. [Source: Section 37, BNS 2023]</t>
  </si>
  <si>
    <t xml:space="preserve">CASE_0222</t>
  </si>
  <si>
    <t xml:space="preserve">The consequence is that their claim of private defence will be entirely invalidated, because the right does not exist in cases where there is time to have recourse to the protection of the public authorities. [Source: Section 37, BNS 2023]</t>
  </si>
  <si>
    <t xml:space="preserve">CASE_0223</t>
  </si>
  <si>
    <t xml:space="preserve">When right of private defence of body extends to causing death</t>
  </si>
  <si>
    <t xml:space="preserve">A person can kill an attacker if the assault reasonably causes fear of death or grievous hurt, or involves the intention of rape, unnatural lust, kidnapping, abduction, wrongful confinement without recourse to authorities, or an acid attack. [Source: Section 38, BNS 2023]</t>
  </si>
  <si>
    <t xml:space="preserve">Hugging Face source record: BNS_38</t>
  </si>
  <si>
    <t xml:space="preserve">CASE_0224</t>
  </si>
  <si>
    <t xml:space="preserve">Section 38 of BNS 2023 specifies the exact situations where the right of private defence of the body extends to voluntarily causing death. It lists severe threats including deadly assaults, kidnapping, rape, and acid attacks that justify lethal force. [Source: Section 38, BNS 2023]</t>
  </si>
  <si>
    <t xml:space="preserve">CASE_0225</t>
  </si>
  <si>
    <t xml:space="preserve">No, because the right of private defence extends to causing death in the case of an act or attempted act of throwing acid that reasonably causes apprehension of grievous hurt. [Source: Section 38, BNS 2023]</t>
  </si>
  <si>
    <t xml:space="preserve">CASE_0226</t>
  </si>
  <si>
    <t xml:space="preserve">The assault must be such as may reasonably cause the apprehension that death or grievous hurt will otherwise be the consequence of the assault. [Source: Section 38, BNS 2023]</t>
  </si>
  <si>
    <t xml:space="preserve">CASE_0227</t>
  </si>
  <si>
    <t xml:space="preserve">No, the right extends to causing death for wrongful confinement only under circumstances which may reasonably cause the victim to apprehend that they will be unable to have recourse to the public authorities for their release. [Source: Section 38, BNS 2023]</t>
  </si>
  <si>
    <t xml:space="preserve">CASE_0228</t>
  </si>
  <si>
    <t xml:space="preserve">The consequence is that they legally subject themselves to the risk of being killed by their intended victim, as the victim's right of private defence automatically extends to causing death to prevent the abduction. [Source: Section 38, BNS 2023]</t>
  </si>
  <si>
    <t xml:space="preserve">CASE_0229</t>
  </si>
  <si>
    <t xml:space="preserve">When such right extends to causing any harm other than death</t>
  </si>
  <si>
    <t xml:space="preserve">Yes, if the offence is not one of the severe descriptions that justify lethal force, the right of private defence still exists but only extends to voluntarily causing any harm other than death to the assailant. [Source: Section 39, BNS 2023]</t>
  </si>
  <si>
    <t xml:space="preserve">Hugging Face source record: BNS_39</t>
  </si>
  <si>
    <t xml:space="preserve">CASE_0230</t>
  </si>
  <si>
    <t xml:space="preserve">Section 39 of BNS 2023 states that for bodily assaults not listed as severe enough to justify killing (like a simple slap), the right of private defence is limited. A person can cause harm to defend themselves, but they are legally prohibited from causing death. [Source: Section 39, BNS 2023]</t>
  </si>
  <si>
    <t xml:space="preserve">CASE_0231</t>
  </si>
  <si>
    <t xml:space="preserve">You would be guilty of an offence because the assault did not justify lethal force; your right of private defence in that scenario extended only to causing harm other than death. [Source: Section 39, BNS 2023]</t>
  </si>
  <si>
    <t xml:space="preserve">CASE_0232</t>
  </si>
  <si>
    <t xml:space="preserve">The boundary is dictated by the nature of the offence: if it doesn't fall under the severe categories of the preceding section, you may cause any harm other than death, subject always to the general restrictions of Section 37. [Source: Section 39, BNS 2023]</t>
  </si>
  <si>
    <t xml:space="preserve">CASE_0233</t>
  </si>
  <si>
    <t xml:space="preserve">No, because this right is explicitly subject to the restrictions specified in section 37, which absolutely prohibits inflicting more harm than is strictly necessary for the purpose of defence. [Source: Section 39, BNS 2023]</t>
  </si>
  <si>
    <t xml:space="preserve">CASE_0234</t>
  </si>
  <si>
    <t xml:space="preserve">The consequence is that it legally mandates a proportional response; individuals are empowered to repel minor violence with non-lethal force, preventing small disputes from legally escalating into justified killings. [Source: Section 39, BNS 2023]</t>
  </si>
  <si>
    <t xml:space="preserve">CASE_0235</t>
  </si>
  <si>
    <t xml:space="preserve">Commencement and continuance of right of private defence of body</t>
  </si>
  <si>
    <t xml:space="preserve">The right of private defence begins the moment a reasonable apprehension of danger to the body arises from an attempt or threat to commit an offence, even if the actual offence hasn't happened yet. [Source: Section 40, BNS 2023]</t>
  </si>
  <si>
    <t xml:space="preserve">Hugging Face source record: BNS_40</t>
  </si>
  <si>
    <t xml:space="preserve">CASE_0236</t>
  </si>
  <si>
    <t xml:space="preserve">Section 40 of BNS 2023 dictates the timeline of self-defense for the body. It establishes that the right commences immediately upon a reasonable threat of danger and continues precisely as long as that apprehension of danger persists. [Source: Section 40, BNS 2023]</t>
  </si>
  <si>
    <t xml:space="preserve">CASE_0237</t>
  </si>
  <si>
    <t xml:space="preserve">Yes, because the right of private defence commences as soon as a reasonable apprehension of danger arises from the threat, even though the offence of battery has not yet been committed. [Source: Section 40, BNS 2023]</t>
  </si>
  <si>
    <t xml:space="preserve">CASE_0238</t>
  </si>
  <si>
    <t xml:space="preserve">The victim must experience a reasonable apprehension of danger to the body. [Source: Section 40, BNS 2023]</t>
  </si>
  <si>
    <t xml:space="preserve">CASE_0239</t>
  </si>
  <si>
    <t xml:space="preserve">No, because the right of private defence only continues as long as the apprehension of danger to the body continues. Once the attacker runs away, the immediate danger ends, and so does the legal right to use force. [Source: Section 40, BNS 2023]</t>
  </si>
  <si>
    <t xml:space="preserve">CASE_0240</t>
  </si>
  <si>
    <t xml:space="preserve">The consequence is that a person does not have to wait to be physically injured before reacting; they are legally justified in taking preemptive action the moment a credible, imminent threat creates a reasonable fear of bodily harm. [Source: Section 40, BNS 2023]</t>
  </si>
  <si>
    <t xml:space="preserve">CASE_0241</t>
  </si>
  <si>
    <t xml:space="preserve">When right of private defence of property extends to causing death</t>
  </si>
  <si>
    <t xml:space="preserve">Yes, but only under extreme circumstances such as robbery, nighttime house-breaking, arson of a dwelling, or other forms of theft and trespass that reasonably cause you to fear death or grievous hurt if you don't use lethal force. [Source: Section 41, BNS 2023]</t>
  </si>
  <si>
    <t xml:space="preserve">Hugging Face source record: BNS_41</t>
  </si>
  <si>
    <t xml:space="preserve">CASE_0242</t>
  </si>
  <si>
    <t xml:space="preserve">Section 41 of BNS 2023 outlines when the defense of property justifies lethal force. It permits causing death to stop robbery, house-breaking at night, arson on a dwelling, or theft/mischief/trespass that threatens death or grievous hurt. [Source: Section 41, BNS 2023]</t>
  </si>
  <si>
    <t xml:space="preserve">CASE_0243</t>
  </si>
  <si>
    <t xml:space="preserve">No, because the right of private defence of property extends to causing death against mischief by fire committed on any tent used as a human dwelling. [Source: Section 41, BNS 2023]</t>
  </si>
  <si>
    <t xml:space="preserve">CASE_0244</t>
  </si>
  <si>
    <t xml:space="preserve">The house-breaking must occur after sunset and before sunrise. [Source: Section 41, BNS 2023]</t>
  </si>
  <si>
    <t xml:space="preserve">CASE_0245</t>
  </si>
  <si>
    <t xml:space="preserve">No, simple theft only justifies lethal force if it is committed under circumstances that reasonably cause apprehension of death or grievous hurt. A standard pickpocketing would not meet this threshold. [Source: Section 41, BNS 2023]</t>
  </si>
  <si>
    <t xml:space="preserve">CASE_0246</t>
  </si>
  <si>
    <t xml:space="preserve">The consequence is that the robber legally forfeits their right to life during the commission of the act, as the property owner is explicitly authorized by law to voluntarily cause their death to prevent the robbery. [Source: Section 41, BNS 2023]</t>
  </si>
  <si>
    <t xml:space="preserve">CASE_0247</t>
  </si>
  <si>
    <t xml:space="preserve">Yes, you have the right to use non-lethal force to defend your property against criminal trespass, mischief, or theft that does not fall under the severe categories justifying lethal force. [Source: Section 42, BNS 2023]</t>
  </si>
  <si>
    <t xml:space="preserve">Hugging Face source record: BNS_42</t>
  </si>
  <si>
    <t xml:space="preserve">CASE_0248</t>
  </si>
  <si>
    <t xml:space="preserve">Section 42 of BNS 2023 clarifies that for property offences not specified as severe (like simple trespass or daytime theft), the right of private defence permits causing any harm other than death to the wrongdoer, subject to general restrictions. [Source: Section 42, BNS 2023]</t>
  </si>
  <si>
    <t xml:space="preserve">CASE_0249</t>
  </si>
  <si>
    <t xml:space="preserve">No, assuming the force was necessary to stop the mischief, tackling them is a lawful exercise of private defence of property, which extends to causing harm other than death. [Source: Section 42, BNS 2023]</t>
  </si>
  <si>
    <t xml:space="preserve">CASE_0250</t>
  </si>
  <si>
    <t xml:space="preserve">The offences that trigger this right are theft, mischief, or criminal trespass that do not fall under the severe descriptions specified in Section 41. [Source: Section 42, BNS 2023]</t>
  </si>
  <si>
    <t xml:space="preserve">CASE_0251</t>
  </si>
  <si>
    <t xml:space="preserve">No, the right to cause harm other than death is still explicitly subject to the restrictions specified in section 37, which means you cannot inflict more harm than is strictly necessary for defence. [Source: Section 42, BNS 2023]</t>
  </si>
  <si>
    <t xml:space="preserve">CASE_0252</t>
  </si>
  <si>
    <t xml:space="preserve">The consequence is that the homeowner is legally permitted to fight the burglar and cause injuries to protect their property, but they must stop short of intentionally killing the burglar unless the situation escalates into a threat of death or grievous hurt. [Source: Section 42, BNS 2023]</t>
  </si>
  <si>
    <t xml:space="preserve">CASE_0253</t>
  </si>
  <si>
    <t xml:space="preserve">Commencement and continuance of right of private defence of property</t>
  </si>
  <si>
    <t xml:space="preserve">Against theft, the right continues until the offender has retreated with the property, the police are obtained, or the property is recovered. Against robbery, it lasts as long as the fear of death, hurt, or restraint continues. [Source: Section 43, BNS 2023]</t>
  </si>
  <si>
    <t xml:space="preserve">Hugging Face source record: BNS_43</t>
  </si>
  <si>
    <t xml:space="preserve">CASE_0254</t>
  </si>
  <si>
    <t xml:space="preserve">Section 43 of BNS 2023 establishes the timeframe for defending property. It dictates that the right begins with a reasonable threat and ends based on the specific crime: when a thief escapes, when property is recovered, when a robber stops threatening, or when a trespasser leaves. [Source: Section 43, BNS 2023]</t>
  </si>
  <si>
    <t xml:space="preserve">CASE_0255</t>
  </si>
  <si>
    <t xml:space="preserve">The right of private defence against house-breaking after sunset and before sunrise continues as long as the house-trespass which has been begun by such house-breaking continues. Once they leave the property, the right ends. [Source: Section 43, BNS 2023]</t>
  </si>
  <si>
    <t xml:space="preserve">CASE_0256</t>
  </si>
  <si>
    <t xml:space="preserve">The right commences exactly when a reasonable apprehension of danger to the property commences. [Source: Section 43, BNS 2023]</t>
  </si>
  <si>
    <t xml:space="preserve">CASE_0257</t>
  </si>
  <si>
    <t xml:space="preserve">No, because the right of private defence against theft only continues until the offender has effected their retreat with the property. After they have successfully escaped, you must rely on public authorities. [Source: Section 43, BNS 2023]</t>
  </si>
  <si>
    <t xml:space="preserve">CASE_0258</t>
  </si>
  <si>
    <t xml:space="preserve">The consequence is that victims are legally permitted to use force not just during the initial taking of property, but continuously for as long as the robber maintains the threat of instant death, hurt, or restraint against them. [Source: Section 43, BNS 2023]</t>
  </si>
  <si>
    <t xml:space="preserve">CASE_0259</t>
  </si>
  <si>
    <t xml:space="preserve">Right of private defence against deadly assault when there is risk of harm to innocent person</t>
  </si>
  <si>
    <t xml:space="preserve">Yes, if you cannot effectively exercise your right of self-defense against a deadly assault without risking harm to an innocent person, the law extends your right to include running that risk. [Source: Section 44, BNS 2023]</t>
  </si>
  <si>
    <t xml:space="preserve">Hugging Face source record: BNS_44</t>
  </si>
  <si>
    <t xml:space="preserve">CASE_0260</t>
  </si>
  <si>
    <t xml:space="preserve">Section 44 of BNS 2023 states that in a situation of deadly assault where self-defense is necessary but impossible without risking harm to innocent people, the defender is legally permitted to take that risk without committing an offence if bystanders are harmed. [Source: Section 44, BNS 2023]</t>
  </si>
  <si>
    <t xml:space="preserve">CASE_0261</t>
  </si>
  <si>
    <t xml:space="preserve">No, if he could not effectively exercise his right of private defence without firing on the mob, and could not fire without risking the children, he commits no offence by accidentally harming a child. [Source: Section 44, BNS 2023]</t>
  </si>
  <si>
    <t xml:space="preserve">CASE_0262</t>
  </si>
  <si>
    <t xml:space="preserve">The defender must be facing an assault which reasonably causes the apprehension of death. A lesser threat does not justify risking an innocent person. [Source: Section 44, BNS 2023]</t>
  </si>
  <si>
    <t xml:space="preserve">CASE_0263</t>
  </si>
  <si>
    <t xml:space="preserve">No, the section only covers situations where the defender is 'so situated that he cannot effectually exercise that right without risk of harm'. It covers accidental or incidental risk, not the intentional sacrifice of an innocent. [Source: Section 44, BNS 2023]</t>
  </si>
  <si>
    <t xml:space="preserve">CASE_0264</t>
  </si>
  <si>
    <t xml:space="preserve">The consequence is that the law prioritizes the victim's right to survive a lethal attack over the absolute safety of bystanders, ensuring victims aren't paralyzed into inaction by the fear of accidentally harming others during a fight for their life. [Source: Section 44, BNS 2023]</t>
  </si>
  <si>
    <t xml:space="preserve">CASE_0265</t>
  </si>
  <si>
    <t xml:space="preserve">Abetment of a thing</t>
  </si>
  <si>
    <t xml:space="preserve">A person abets a thing if they instigate someone to do it, engage in a conspiracy to do it, or intentionally aid the doing of it by any act or illegal omission. [Source: Section 45, BNS 2023]</t>
  </si>
  <si>
    <t xml:space="preserve">Hugging Face source record: BNS_45</t>
  </si>
  <si>
    <t xml:space="preserve">CASE_0266</t>
  </si>
  <si>
    <t xml:space="preserve">Section 45 of BNS 2023 defines 'abetment'. It states that abetment occurs in three ways: instigating someone to commit an act, engaging in a criminal conspiracy that leads to an act, or intentionally aiding the commission of an act. [Source: Section 45, BNS 2023]</t>
  </si>
  <si>
    <t xml:space="preserve">CASE_0267</t>
  </si>
  <si>
    <t xml:space="preserve">The man has committed abetment by instigation. By willful misrepresentation, he intentionally caused the police officer to apprehend the wrong person. [Source: Section 45, BNS 2023]</t>
  </si>
  <si>
    <t xml:space="preserve">CASE_0268</t>
  </si>
  <si>
    <t xml:space="preserve">For conspiracy to be abetment, an act or illegal omission must take place in pursuance of that conspiracy, and in order to the doing of the intended thing. [Source: Section 45, BNS 2023]</t>
  </si>
  <si>
    <t xml:space="preserve">CASE_0269</t>
  </si>
  <si>
    <t xml:space="preserve">No, because abetment by aiding requires the person to 'intentionally' aid the doing of the thing, or do something 'in order to facilitate' it. Accidental facilitation without intent is not abetment. [Source: Section 45, BNS 2023]</t>
  </si>
  <si>
    <t xml:space="preserve">CASE_0270</t>
  </si>
  <si>
    <t xml:space="preserve">The consequence is that remaining silent can be a criminal act; if a person is legally bound to disclose a material fact but willfully conceals it to procure a wrongful act, they are legally treated as an instigator. [Source: Section 45, BNS 2023]</t>
  </si>
  <si>
    <t xml:space="preserve">CASE_0271</t>
  </si>
  <si>
    <t xml:space="preserve">Abettor</t>
  </si>
  <si>
    <t xml:space="preserve">Yes, to constitute the offence of abetment, it is not necessary that the act abetted should be committed. [Source: Section 46, BNS 2023]</t>
  </si>
  <si>
    <t xml:space="preserve">Hugging Face source record: BNS_46</t>
  </si>
  <si>
    <t xml:space="preserve">CASE_0272</t>
  </si>
  <si>
    <t xml:space="preserve">Section 46 of BNS 2023 defines an abettor. It explains that a person can be guilty of abetting an offence even if the offence isn't completed, if the person abetted is legally incapable of committing a crime, or if they abet someone else to abet the crime. [Source: Section 46, BNS 2023]</t>
  </si>
  <si>
    <t xml:space="preserve">CASE_0273</t>
  </si>
  <si>
    <t xml:space="preserve">Yes, the man is guilty of abetting theft. Even though the six-year-old child is not capable by law of committing an offence, the man who abetted the act is liable as if the child had been capable and committed it. [Source: Section 46, BNS 2023]</t>
  </si>
  <si>
    <t xml:space="preserve">CASE_0274</t>
  </si>
  <si>
    <t xml:space="preserve">The abettor must abet the commission of an act with the same intention or knowledge as would make it an offence if committed by a person capable by law of committing it. [Source: Section 46, BNS 2023]</t>
  </si>
  <si>
    <t xml:space="preserve">CASE_0275</t>
  </si>
  <si>
    <t xml:space="preserve">No, it is not necessary that the abettor should concert the offence with the person who commits it. It is sufficient if the abettor engages in the broader conspiracy in pursuance of which the offence is ultimately committed. [Source: Section 46, BNS 2023]</t>
  </si>
  <si>
    <t xml:space="preserve">CASE_0276</t>
  </si>
  <si>
    <t xml:space="preserve">The consequence is that the person is guilty of abetting murder. Because the abetment of an abetment is an offence, instigating the middleman makes the original instigator liable for the final crime. [Source: Section 46, BNS 2023]</t>
  </si>
  <si>
    <t xml:space="preserve">CASE_0277</t>
  </si>
  <si>
    <t xml:space="preserve">Abetment in India of offences outside India</t>
  </si>
  <si>
    <t xml:space="preserve">Yes, a person abets an offence if they are in India and abet the commission of an act outside India which would constitute an offence if it had been committed in India. [Source: Section 47, BNS 2023]</t>
  </si>
  <si>
    <t xml:space="preserve">Hugging Face source record: BNS_47</t>
  </si>
  <si>
    <t xml:space="preserve">CASE_0278</t>
  </si>
  <si>
    <t xml:space="preserve">Section 47 of BNS 2023 extends Indian criminal jurisdiction to cross-border abetment originating in India. It criminalizes the act of someone inside India instigating or aiding a crime that takes place outside India's borders. [Source: Section 47, BNS 2023]</t>
  </si>
  <si>
    <t xml:space="preserve">CASE_0279</t>
  </si>
  <si>
    <t xml:space="preserve">Yes, the person in Delhi is guilty of abetting murder under Indian law because they, while in India, instigated an act outside India that would be an offence if done in India. [Source: Section 47, BNS 2023]</t>
  </si>
  <si>
    <t xml:space="preserve">CASE_0280</t>
  </si>
  <si>
    <t xml:space="preserve">The act committed without and beyond India must be of a nature that it would constitute an offence if it were committed in India. [Source: Section 47, BNS 2023]</t>
  </si>
  <si>
    <t xml:space="preserve">CASE_0281</t>
  </si>
  <si>
    <t xml:space="preserve">The text does not require the act to be an offence in the foreign country; the only stated condition is that the act would constitute an offence if committed in India. Therefore, the abetment is still an offence under Indian law. [Source: Section 47, BNS 2023]</t>
  </si>
  <si>
    <t xml:space="preserve">CASE_0282</t>
  </si>
  <si>
    <t xml:space="preserve">The consequence is that ringleaders and facilitators who stay safely within India while directing crimes abroad can still be fully prosecuted by Indian courts for their role as abettors. [Source: Section 47, BNS 2023]</t>
  </si>
  <si>
    <t xml:space="preserve">CASE_0283</t>
  </si>
  <si>
    <t xml:space="preserve">Abetment outside India for offence in India</t>
  </si>
  <si>
    <t xml:space="preserve">Yes, a person abets an offence under Indian law if they are outside India but abet the commission of an act inside India which would constitute an offence. [Source: Section 48, BNS 2023]</t>
  </si>
  <si>
    <t xml:space="preserve">Hugging Face source record: BNS_48</t>
  </si>
  <si>
    <t xml:space="preserve">CASE_0284</t>
  </si>
  <si>
    <t xml:space="preserve">Section 48 of BNS 2023 covers abetment originating outside India for crimes committed within India. It criminalizes the actions of individuals abroad who instigate or aid criminal acts taking place on Indian soil. [Source: Section 48, BNS 2023]</t>
  </si>
  <si>
    <t xml:space="preserve">CASE_0285</t>
  </si>
  <si>
    <t xml:space="preserve">Yes, they are guilty of abetting murder because they, while beyond India, abetted the commission of an act in India which constitutes an offence. [Source: Section 48, BNS 2023]</t>
  </si>
  <si>
    <t xml:space="preserve">CASE_0286</t>
  </si>
  <si>
    <t xml:space="preserve">The act being abetted must be commissioned in India. [Source: Section 48, BNS 2023]</t>
  </si>
  <si>
    <t xml:space="preserve">CASE_0287</t>
  </si>
  <si>
    <t xml:space="preserve">No, the section applies to any 'person' who without and beyond India abets a crime in India, making no exception for foreign citizenship or lack of physical presence in India during the abetment. [Source: Section 48, BNS 2023]</t>
  </si>
  <si>
    <t xml:space="preserve">CASE_0288</t>
  </si>
  <si>
    <t xml:space="preserve">The consequence is that foreign hackers or individuals abroad who hire people to commit physical or digital crimes within India's jurisdiction are legally defined as abettors under Indian law and are subject to its penalties. [Source: Section 48, BNS 2023]</t>
  </si>
  <si>
    <t xml:space="preserve">CASE_0289</t>
  </si>
  <si>
    <t xml:space="preserve">Punishment of abetment if act abetted is committed in consequence and where no express provision is made for its punishment</t>
  </si>
  <si>
    <t xml:space="preserve">If the act is committed in consequence of the abetment, and there is no express provision for the punishment of that abetment, the abettor is punished with the exact same punishment provided for the offence itself. [Source: Section 49, BNS 2023]</t>
  </si>
  <si>
    <t xml:space="preserve">Hugging Face source record: BNS_49</t>
  </si>
  <si>
    <t xml:space="preserve">CASE_0290</t>
  </si>
  <si>
    <t xml:space="preserve">Section 49 of BNS 2023 states that when an abetted crime is actually carried out because of the abetment, the abettor receives the same punishment as the main offender, assuming the law doesn't specify a different penalty for abetting that specific crime. [Source: Section 49, BNS 2023]</t>
  </si>
  <si>
    <t xml:space="preserve">CASE_0291</t>
  </si>
  <si>
    <t xml:space="preserve">Because the friend committed the offence in consequence of the instigation, the woman is guilty of abetting the offence and is liable to the exact same punishment as her friend who committed perjury. [Source: Section 49, BNS 2023]</t>
  </si>
  <si>
    <t xml:space="preserve">CASE_0292</t>
  </si>
  <si>
    <t xml:space="preserve">The act abetted must actually be committed in consequence of the instigation, or in pursuance of the conspiracy, or with the aid which constitutes the abetment. [Source: Section 49, BNS 2023]</t>
  </si>
  <si>
    <t xml:space="preserve">CASE_0293</t>
  </si>
  <si>
    <t xml:space="preserve">No, they receive the same punishment only if no express provision is made by the Sanhita for the punishment of such abetment. If the law explicitly assigns a different penalty for abetting a particular crime, that specific provision overrides this general rule. [Source: Section 49, BNS 2023]</t>
  </si>
  <si>
    <t xml:space="preserve">CASE_0294</t>
  </si>
  <si>
    <t xml:space="preserve">The consequence is that the mastermind or facilitator cannot use their physical absence from the crime scene to escape full liability; they will face the same severe prison sentence or fine as the person who actually pulled the trigger or stole the money. [Source: Section 49, BNS 2023]</t>
  </si>
  <si>
    <t xml:space="preserve">CASE_0295</t>
  </si>
  <si>
    <t xml:space="preserve">Punishment of abetment if person abetted does act with different intention from that of abettor</t>
  </si>
  <si>
    <t xml:space="preserve">You will be punished with the punishment provided for the offence that would have been committed if the act had been done with your original intention, regardless of the different intention the actual perpetrator had. [Source: Section 50, BNS 2023]</t>
  </si>
  <si>
    <t xml:space="preserve">Hugging Face source record: BNS_50</t>
  </si>
  <si>
    <t xml:space="preserve">CASE_0296</t>
  </si>
  <si>
    <t xml:space="preserve">Section 50 of BNS 2023 clarifies liability when the abettor and the perpetrator have different mindsets. It states that an abettor is punished based on their own intention or knowledge in instigating the act, not based on the differing intent of the person who actually commits it. [Source: Section 50, BNS 2023]</t>
  </si>
  <si>
    <t xml:space="preserve">CASE_0297</t>
  </si>
  <si>
    <t xml:space="preserve">You would be punished for abetting the offence you intended (e.g., criminal intimidation or causing hurt), because you are punished based on the offence that would have been committed if the act had been done with your original intention, not the murderer's intention. [Source: Section 50, BNS 2023]</t>
  </si>
  <si>
    <t xml:space="preserve">CASE_0298</t>
  </si>
  <si>
    <t xml:space="preserve">The person abetted must do the act with a different intention or knowledge from that of the abettor. [Source: Section 50, BNS 2023]</t>
  </si>
  <si>
    <t xml:space="preserve">CASE_0299</t>
  </si>
  <si>
    <t xml:space="preserve">No, the abettor is protected from the rogue intent of the perpetrator. They are punished with the punishment provided for the offence matching their own intention or knowledge and with no other. [Source: Section 50, BNS 2023]</t>
  </si>
  <si>
    <t xml:space="preserve">CASE_0300</t>
  </si>
  <si>
    <t xml:space="preserve">The consequence is that courts must independently evaluate the mens rea (guilty mind) of the abettor separate from the principal offender, ensuring accomplices are punished precisely for what they intended to happen, not for the independent psychological choices of the actual criminal. [Source: Section 50, BNS 2023]</t>
  </si>
  <si>
    <t xml:space="preserve">CASE_0301</t>
  </si>
  <si>
    <t xml:space="preserve">Liability of abettor when one act abetted and different act done</t>
  </si>
  <si>
    <t xml:space="preserve">Yes, you are liable for the different act as if you directly abetted it, provided the act done was a probable consequence of your abetment and was committed under its influence. [Source: Section 51, BNS 2023]</t>
  </si>
  <si>
    <t xml:space="preserve">Hugging Face source record: BNS_51</t>
  </si>
  <si>
    <t xml:space="preserve">CASE_0302</t>
  </si>
  <si>
    <t xml:space="preserve">Section 51 of BNS 2023 states that an abettor is liable when the person they abetted commits a different act than the one intended, provided the new act was a probable consequence of the original instigation or conspiracy. [Source: Section 51, BNS 2023]</t>
  </si>
  <si>
    <t xml:space="preserve">CASE_0303</t>
  </si>
  <si>
    <t xml:space="preserve">No, the instigator is guilty of abetting the arson, but not the theft, because the theft was a distinct act and not a probable consequence of the burning. [Source: Section 51, BNS 2023]</t>
  </si>
  <si>
    <t xml:space="preserve">CASE_0304</t>
  </si>
  <si>
    <t xml:space="preserve">The different act must be a probable consequence of the abetment, and it must have been committed under the influence of the instigation or in pursuance of the conspiracy. [Source: Section 51, BNS 2023]</t>
  </si>
  <si>
    <t xml:space="preserve">CASE_0305</t>
  </si>
  <si>
    <t xml:space="preserve">No, the abettor's liability is strictly limited by the proviso that the different act must be a probable consequence of the abetment. They are not liable for entirely unrelated or unforeseeable distinct acts. [Source: Section 51, BNS 2023]</t>
  </si>
  <si>
    <t xml:space="preserve">CASE_0306</t>
  </si>
  <si>
    <t xml:space="preserve">The consequence is that if the robbers use those weapons to murder someone during the robbery, the person who merely provided the weapons can be held liable for the murder, as it is a probable consequence of an armed robbery. [Source: Section 51, BNS 2023]</t>
  </si>
  <si>
    <t xml:space="preserve">CASE_0307</t>
  </si>
  <si>
    <t xml:space="preserve">Abettor when liable to cumulative punishment for act abetted and for act done</t>
  </si>
  <si>
    <t xml:space="preserve">Yes, if the additional act constitutes a distinct offence from the abetted act, and both are committed, the abettor is liable to punishment for each of the offences. [Source: Section 52, BNS 2023]</t>
  </si>
  <si>
    <t xml:space="preserve">Hugging Face source record: BNS_52</t>
  </si>
  <si>
    <t xml:space="preserve">CASE_0308</t>
  </si>
  <si>
    <t xml:space="preserve">Section 52 of BNS 2023 establishes cumulative punishment for abettors. If an abettor is liable for a different act under Section 51, and that act is committed alongside the originally abetted act, the abettor can be punished separately for both distinct offences. [Source: Section 52, BNS 2023]</t>
  </si>
  <si>
    <t xml:space="preserve">CASE_0309</t>
  </si>
  <si>
    <t xml:space="preserve">The instigator is liable for both abetting the resistance of arrest and abetting the grievous hurt, assuming they knew that causing such hurt was a likely consequence of resisting the arrest. [Source: Section 52, BNS 2023]</t>
  </si>
  <si>
    <t xml:space="preserve">CASE_0310</t>
  </si>
  <si>
    <t xml:space="preserve">The different act committed must be in addition to the original act abetted, and it must constitute a distinct offence in the eyes of the law. [Source: Section 52, BNS 2023]</t>
  </si>
  <si>
    <t xml:space="preserve">CASE_0311</t>
  </si>
  <si>
    <t xml:space="preserve">No, their liability for the additional offence depends on the rules of Section 51, meaning the additional act must have been a probable consequence of their abetment that they reasonably could have anticipated. [Source: Section 52, BNS 2023]</t>
  </si>
  <si>
    <t xml:space="preserve">CASE_0312</t>
  </si>
  <si>
    <t xml:space="preserve">The consequence is that inciters can be held cumulatively liable for a multitude of distinct offences committed during the riot (like property damage, assault, and arson), leading to significantly stacked prison sentences. [Source: Section 52, BNS 2023]</t>
  </si>
  <si>
    <t xml:space="preserve">CASE_0313</t>
  </si>
  <si>
    <t xml:space="preserve">Liability of abettor for an effect caused by act abetted different from that intended by abettor</t>
  </si>
  <si>
    <t xml:space="preserve">Yes, if you abetted the act with the intent to cause one effect (hurt), but it causes a different effect (death), you are liable for the different effect if you knew the act abetted was likely to cause it. [Source: Section 53, BNS 2023]</t>
  </si>
  <si>
    <t xml:space="preserve">Hugging Face source record: BNS_53</t>
  </si>
  <si>
    <t xml:space="preserve">CASE_0314</t>
  </si>
  <si>
    <t xml:space="preserve">Section 53 of BNS 2023 states that an abettor is liable for the actual effect caused by the abetted act, even if they intended a different effect, provided the abettor knew that the act was likely to cause the effect that actually occurred. [Source: Section 53, BNS 2023]</t>
  </si>
  <si>
    <t xml:space="preserve">CASE_0315</t>
  </si>
  <si>
    <t xml:space="preserve">If the instigator knew that beating someone with an iron rod was likely to cause death, he is liable to be punished with the punishment provided for murder, even though he only intended grievous hurt. [Source: Section 53, BNS 2023]</t>
  </si>
  <si>
    <t xml:space="preserve">CASE_0316</t>
  </si>
  <si>
    <t xml:space="preserve">The abettor must have known that the act they abetted was likely to cause that different, unintended effect. [Source: Section 53, BNS 2023]</t>
  </si>
  <si>
    <t xml:space="preserve">CASE_0317</t>
  </si>
  <si>
    <t xml:space="preserve">If the abettor did not know that the act abetted was likely to cause that specific different effect, they would not be held liable for it under this section. [Source: Section 53, BNS 2023]</t>
  </si>
  <si>
    <t xml:space="preserve">CASE_0318</t>
  </si>
  <si>
    <t xml:space="preserve">The consequence is that the abettor bears the risk of the violence escalating. They cannot hide behind a claim of limited intent if the severe outcome was a known and likely result of the violent act they instigated. [Source: Section 53, BNS 2023]</t>
  </si>
  <si>
    <t xml:space="preserve">CASE_0319</t>
  </si>
  <si>
    <t xml:space="preserve">Abettor present when offence is committed</t>
  </si>
  <si>
    <t xml:space="preserve">If you would be punishable as an abettor while absent, but you are actually present when the offence is committed, the law deems that you have committed the offence yourself. [Source: Section 54, BNS 2023]</t>
  </si>
  <si>
    <t xml:space="preserve">Hugging Face source record: BNS_54</t>
  </si>
  <si>
    <t xml:space="preserve">CASE_0320</t>
  </si>
  <si>
    <t xml:space="preserve">Section 54 of BNS 2023 legally elevates an abettor to a principal offender. It states that whenever a person who would be liable as an abettor is physically present during the commission of the offence, they are deemed to have committed the act directly. [Source: Section 54, BNS 2023]</t>
  </si>
  <si>
    <t xml:space="preserve">CASE_0321</t>
  </si>
  <si>
    <t xml:space="preserve">No, because she was present when the offence was committed, she shall be deemed to have committed the burglary herself, legally making her a primary offender rather than merely an abettor. [Source: Section 54, BNS 2023]</t>
  </si>
  <si>
    <t xml:space="preserve">CASE_0322</t>
  </si>
  <si>
    <t xml:space="preserve">The person must be someone who would be liable to be punished as an abettor if they were absent, and they must be present when the act or offence is actually committed. [Source: Section 54, BNS 2023]</t>
  </si>
  <si>
    <t xml:space="preserve">CASE_0323</t>
  </si>
  <si>
    <t xml:space="preserve">No, you must also be someone who would otherwise be liable as an abettor (meaning you instigated, conspired, or aided). Mere innocent presence without any prior abetment does not trigger this section. [Source: Section 54, BNS 2023]</t>
  </si>
  <si>
    <t xml:space="preserve">CASE_0324</t>
  </si>
  <si>
    <t xml:space="preserve">The consequence is that prosecutors do not need to prove an accomplice directly committed the physical elements of the crime if they can prove prior abetment and physical presence; the law automatically treats them as if they committed the act. [Source: Section 54, BNS 2023]</t>
  </si>
  <si>
    <t xml:space="preserve">CASE_0325</t>
  </si>
  <si>
    <t xml:space="preserve">Abetment of offence punishable with death or imprisonment for life</t>
  </si>
  <si>
    <t xml:space="preserve">If you abet an offence punishable with death or life imprisonment, and the offence is not committed, you can be punished with up to seven years in prison and a fine. [Source: Section 55, BNS 2023]</t>
  </si>
  <si>
    <t xml:space="preserve">Hugging Face source record: BNS_55</t>
  </si>
  <si>
    <t xml:space="preserve">CASE_0326</t>
  </si>
  <si>
    <t xml:space="preserve">Section 55 of BNS 2023 sets the punishment for abetting crimes punishable by death or life imprisonment when the crime is ultimately not committed. It provides a base penalty of up to seven years, which increases to up to fourteen years if any hurt is caused during the abetment. [Source: Section 55, BNS 2023]</t>
  </si>
  <si>
    <t xml:space="preserve">CASE_0327</t>
  </si>
  <si>
    <t xml:space="preserve">Because the abetted offence (murder) was not committed, but an act was done that caused hurt in consequence of the abetment, the instigator is liable to imprisonment for up to fourteen years and a fine. [Source: Section 55, BNS 2023]</t>
  </si>
  <si>
    <t xml:space="preserve">CASE_0328</t>
  </si>
  <si>
    <t xml:space="preserve">The offence that was abetted must be an offence punishable with death or imprisonment for life. [Source: Section 55, BNS 2023]</t>
  </si>
  <si>
    <t xml:space="preserve">CASE_0329</t>
  </si>
  <si>
    <t xml:space="preserve">No, this punishment only applies if no express provision is made under the Sanhita for the punishment of such abetment. If a specific provision exists, it overrides this general rule. [Source: Section 55, BNS 2023]</t>
  </si>
  <si>
    <t xml:space="preserve">CASE_0330</t>
  </si>
  <si>
    <t xml:space="preserve">The consequence is that the conspirators face very serious jail time (up to 7 or 14 years depending on whether hurt was caused), ensuring that highly dangerous plots are severely punished even if the primary goal completely fails. [Source: Section 55, BNS 2023]</t>
  </si>
  <si>
    <t xml:space="preserve">CASE_0331</t>
  </si>
  <si>
    <t xml:space="preserve">Abetment of offence punishable with imprisonment</t>
  </si>
  <si>
    <t xml:space="preserve">Yes, if you abet an offence punishable with imprisonment and it is not committed, you can be punished with up to one-fourth of the longest prison term provided for that offence. [Source: Section 56, BNS 2023]</t>
  </si>
  <si>
    <t xml:space="preserve">Hugging Face source record: BNS_56</t>
  </si>
  <si>
    <t xml:space="preserve">CASE_0332</t>
  </si>
  <si>
    <t xml:space="preserve">Section 56 of BNS 2023 penalizes unsuccessful abetment. If a person abets an offence punishable with imprisonment but the crime isn't carried out, the abettor faces up to one-fourth of the maximum sentence, or one-half if the abettor or the person abetted is a public servant bound to prevent it. [Source: Section 56, BNS 2023]</t>
  </si>
  <si>
    <t xml:space="preserve">CASE_0333</t>
  </si>
  <si>
    <t xml:space="preserve">Yes, the man has committed the offence of abetment. Even though the witness did not give false evidence, the instigator is punishable under this section for the unsuccessful attempt. [Source: Section 56, BNS 2023]</t>
  </si>
  <si>
    <t xml:space="preserve">CASE_0334</t>
  </si>
  <si>
    <t xml:space="preserve">The base punishment extends to one-fourth of the longest term provided for the abetted offence, but it increases to one-half if either the abettor or the person abetted is a public servant whose duty is to prevent that offence. [Source: Section 56, BNS 2023]</t>
  </si>
  <si>
    <t xml:space="preserve">CASE_0335</t>
  </si>
  <si>
    <t xml:space="preserve">No, it only applies if no express provision is made under the Sanhita for the punishment of such abetment. If a specific law dictates a different penalty for a failed abetment, that specific law applies instead. [Source: Section 56, BNS 2023]</t>
  </si>
  <si>
    <t xml:space="preserve">CASE_0336</t>
  </si>
  <si>
    <t xml:space="preserve">The consequence is severely enhanced liability. If a police officer abets a robbery, even if the robbery never happens, the officer faces up to one-half of the maximum sentence for robbery due to their duty to prevent it. [Source: Section 56, BNS 2023]</t>
  </si>
  <si>
    <t xml:space="preserve">CASE_0337</t>
  </si>
  <si>
    <t xml:space="preserve">Abetting commission of offence by public or by more than ten persons</t>
  </si>
  <si>
    <t xml:space="preserve">Yes, whoever abets the commission of an offence by the public generally, or by any group exceeding ten persons, faces up to seven years of imprisonment and a fine. [Source: Section 57, BNS 2023]</t>
  </si>
  <si>
    <t xml:space="preserve">Hugging Face source record: BNS_57</t>
  </si>
  <si>
    <t xml:space="preserve">CASE_0338</t>
  </si>
  <si>
    <t xml:space="preserve">Section 57 of BNS 2023 addresses mass instigation. It prescribes a specific, severe penalty (up to seven years in prison) for anyone who abets the general public or a group of more than ten people to commit an offence. [Source: Section 57, BNS 2023]</t>
  </si>
  <si>
    <t xml:space="preserve">CASE_0339</t>
  </si>
  <si>
    <t xml:space="preserve">By instigating a group of more than ten persons to commit a violent offence, the person has committed the offence of mass abetment defined in this section, regardless of whether the attack actually happens. [Source: Section 57, BNS 2023]</t>
  </si>
  <si>
    <t xml:space="preserve">CASE_0340</t>
  </si>
  <si>
    <t xml:space="preserve">The abetment must be directed at the public generally, or at any number or class of persons exceeding ten in number. [Source: Section 57, BNS 2023]</t>
  </si>
  <si>
    <t xml:space="preserve">CASE_0341</t>
  </si>
  <si>
    <t xml:space="preserve">No, the text specifies "exceeding ten". If you abet exactly ten people, or fewer, this specific section with its seven-year penalty does not apply, though general abetment laws still would. [Source: Section 57, BNS 2023]</t>
  </si>
  <si>
    <t xml:space="preserve">CASE_0342</t>
  </si>
  <si>
    <t xml:space="preserve">The consequence is that they can be swiftly prosecuted and face up to seven years in prison for the act of mass incitement alone, acting as a strong deterrent against weaponizing large crowds or the general public. [Source: Section 57, BNS 2023]</t>
  </si>
  <si>
    <t xml:space="preserve">CASE_0343</t>
  </si>
  <si>
    <t xml:space="preserve">Concealing design to commit offence punishable with death or imprisonment for life</t>
  </si>
  <si>
    <t xml:space="preserve">Yes, if you voluntarily conceal a design to commit an offence punishable by death or life imprisonment to facilitate the crime, or give false information about it, you can be imprisoned for up to seven years if the crime occurs. [Source: Section 58, BNS 2023]</t>
  </si>
  <si>
    <t xml:space="preserve">Hugging Face source record: BNS_58</t>
  </si>
  <si>
    <t xml:space="preserve">CASE_0344</t>
  </si>
  <si>
    <t xml:space="preserve">Section 58 of BNS 2023 criminalizes the active concealment of severe criminal plots. It punishes anyone who, intending to facilitate a crime punishable by death or life imprisonment, hides the plan (including using encryption) or spreads false information about it. [Source: Section 58, BNS 2023]</t>
  </si>
  <si>
    <t xml:space="preserve">CASE_0345</t>
  </si>
  <si>
    <t xml:space="preserve">The man is punishable under this section for making a false representation respecting the design of the dacoity with the intent to facilitate it, thereby misleading the authorities. [Source: Section 58, BNS 2023]</t>
  </si>
  <si>
    <t xml:space="preserve">CASE_0346</t>
  </si>
  <si>
    <t xml:space="preserve">The person must act intending to facilitate, or knowing it to be likely that they will thereby facilitate, the commission of the offence. Mere passive knowledge without the intent to facilitate is not covered here. [Source: Section 58, BNS 2023]</t>
  </si>
  <si>
    <t xml:space="preserve">CASE_0347</t>
  </si>
  <si>
    <t xml:space="preserve">If the offence is not committed, the punishment is reduced to imprisonment of either description for a term which may extend to three years, along with a fine. [Source: Section 58, BNS 2023]</t>
  </si>
  <si>
    <t xml:space="preserve">CASE_0348</t>
  </si>
  <si>
    <t xml:space="preserve">The consequence is that the explicit mention of "use of encryption or any other information hiding tool" legally strips away digital anonymity; using these tools to conceal a deadly plot is a direct, punishable act of facilitation. [Source: Section 58, BNS 2023]</t>
  </si>
  <si>
    <t xml:space="preserve">CASE_0349</t>
  </si>
  <si>
    <t xml:space="preserve">Public servant concealing design to commit offence which it is his duty to prevent</t>
  </si>
  <si>
    <t xml:space="preserve">The officer commits a serious crime. A public servant who voluntarily conceals a criminal design they are duty-bound to prevent, intending to facilitate the crime, faces severely enhanced punishments depending on the severity of the planned crime. [Source: Section 59, BNS 2023]</t>
  </si>
  <si>
    <t xml:space="preserve">Hugging Face source record: BNS_59</t>
  </si>
  <si>
    <t xml:space="preserve">CASE_0350</t>
  </si>
  <si>
    <t xml:space="preserve">Section 59 of BNS 2023 penalizes public servants who conceal criminal plots they have a duty to prevent. If they hide the design or give false information to facilitate the crime, they face up to half the maximum sentence if the crime occurs, or ten years if it's a life/death offence. [Source: Section 59, BNS 2023]</t>
  </si>
  <si>
    <t xml:space="preserve">CASE_0351</t>
  </si>
  <si>
    <t xml:space="preserve">Yes, he has by an illegal omission concealed the existence of the design to commit robbery, intending to facilitate it. He is liable to severe punishment under this section for failing his legal duty. [Source: Section 59, BNS 2023]</t>
  </si>
  <si>
    <t xml:space="preserve">CASE_0352</t>
  </si>
  <si>
    <t xml:space="preserve">It must be an offence which it is their duty as a public servant to prevent. Not every public servant is duty-bound to prevent every crime. [Source: Section 59, BNS 2023]</t>
  </si>
  <si>
    <t xml:space="preserve">CASE_0353</t>
  </si>
  <si>
    <t xml:space="preserve">If the offence is punishable with death or life imprisonment, the public servant can be punished with up to ten years in prison, regardless of whether the offence was ultimately committed or not. [Source: Section 59, BNS 2023]</t>
  </si>
  <si>
    <t xml:space="preserve">CASE_0354</t>
  </si>
  <si>
    <t xml:space="preserve">The consequence is that officers cannot claim passive ignorance or mere negligence when they turn a blind eye to crimes; intentional silence or the use of encryption to hide plots makes them heavily liable as criminal facilitators. [Source: Section 59, BNS 2023]</t>
  </si>
  <si>
    <t xml:space="preserve">CASE_0355</t>
  </si>
  <si>
    <t xml:space="preserve">Concealing design to commit offence punishable with imprisonment</t>
  </si>
  <si>
    <t xml:space="preserve">Yes, if you intend to facilitate a crime punishable with imprisonment, and you voluntarily conceal the plot or lie about it to help the criminals succeed, you can be punished. [Source: Section 60, BNS 2023]</t>
  </si>
  <si>
    <t xml:space="preserve">Hugging Face source record: BNS_60</t>
  </si>
  <si>
    <t xml:space="preserve">CASE_0356</t>
  </si>
  <si>
    <t xml:space="preserve">Section 60 of BNS 2023 deals with concealing plots for offences punishable by standard imprisonment. It penalizes anyone who hides the design of such an offence to facilitate it, imposing up to one-fourth of the maximum sentence if the crime occurs, or one-eighth if it does not. [Source: Section 60, BNS 2023]</t>
  </si>
  <si>
    <t xml:space="preserve">CASE_0357</t>
  </si>
  <si>
    <t xml:space="preserve">Because he made a false representation to facilitate the offence, and the offence was not committed, he is liable to imprisonment extending to one-eighth of the longest term provided for that theft. [Source: Section 60, BNS 2023]</t>
  </si>
  <si>
    <t xml:space="preserve">CASE_0358</t>
  </si>
  <si>
    <t xml:space="preserve">Concealment involves voluntarily hiding the existence of the design by any act or illegal omission, or making any representation which the person knows to be false respecting such design. [Source: Section 60, BNS 2023]</t>
  </si>
  <si>
    <t xml:space="preserve">CASE_0359</t>
  </si>
  <si>
    <t xml:space="preserve">No, the law explicitly requires that the person act intending to facilitate, or knowing it to be likely that they will thereby facilitate, the commission of the offence. Accidental omission is not sufficient. [Source: Section 60, BNS 2023]</t>
  </si>
  <si>
    <t xml:space="preserve">CASE_0360</t>
  </si>
  <si>
    <t xml:space="preserve">The consequence is that the law proportionately ties the punishment of the facilitator to both the severity of the planned crime and whether the plan actually succeeded, ensuring fairness while still deterring the shielding of criminal conspiracies. [Source: Section 60, BNS 2023]</t>
  </si>
  <si>
    <t xml:space="preserve">CASE_0361</t>
  </si>
  <si>
    <t xml:space="preserve">Criminal conspiracy</t>
  </si>
  <si>
    <t xml:space="preserve">It is designated a criminal conspiracy when two or more persons agree with a common object to do an illegal act, or to do a legal act by illegal means. [Source: Section 61, BNS 2023]</t>
  </si>
  <si>
    <t xml:space="preserve">Hugging Face source record: BNS_61</t>
  </si>
  <si>
    <t xml:space="preserve">CASE_0362</t>
  </si>
  <si>
    <t xml:space="preserve">Section 61 of BNS 2023 defines criminal conspiracy as an agreement between two or more people to commit an illegal act, or to use illegal means for a legal act. It also dictates that the punishment matches that of abetment for severe crimes, and specifies up to six months imprisonment for lesser conspiracies. [Source: Section 61, BNS 2023]</t>
  </si>
  <si>
    <t xml:space="preserve">CASE_0363</t>
  </si>
  <si>
    <t xml:space="preserve">Yes, because they agreed with a common object to do an act which is not illegal by illegal means, their agreement constitutes a criminal conspiracy. [Source: Section 61, BNS 2023]</t>
  </si>
  <si>
    <t xml:space="preserve">CASE_0364</t>
  </si>
  <si>
    <t xml:space="preserve">If the agreement is not to commit an offence, it only amounts to a criminal conspiracy if some act besides the agreement is done by one or more parties in pursuance thereof. [Source: Section 61, BNS 2023]</t>
  </si>
  <si>
    <t xml:space="preserve">CASE_0365</t>
  </si>
  <si>
    <t xml:space="preserve">Yes, the law explicitly states it is immaterial whether the illegal act is the ultimate object of such agreement, or is merely incidental to that object. The agreement itself is still a crime. [Source: Section 61, BNS 2023]</t>
  </si>
  <si>
    <t xml:space="preserve">CASE_0366</t>
  </si>
  <si>
    <t xml:space="preserve">The consequence is that law enforcement can prosecute the leaders and planners of a criminal syndicate simply for making the agreement to commit severe crimes, even if they haven't personally carried out the underlying offences yet. [Source: Section 61, BNS 2023]</t>
  </si>
  <si>
    <t xml:space="preserve">CASE_0367</t>
  </si>
  <si>
    <t xml:space="preserve">Punishment for attempting to commit offences punishable with imprisonment for life or other imprisonment</t>
  </si>
  <si>
    <t xml:space="preserve">Yes, whoever attempts to commit an offence and does an act towards its commission is punishable. If there's no specific punishment for the attempt, they face up to one-half of the maximum sentence provided for the actual offence. [Source: Section 62, BNS 2023]</t>
  </si>
  <si>
    <t xml:space="preserve">Hugging Face source record: BNS_62</t>
  </si>
  <si>
    <t xml:space="preserve">CASE_0368</t>
  </si>
  <si>
    <t xml:space="preserve">Section 62 of BNS 2023 provides a general penalty for attempting crimes. If a person attempts an offence and takes an active step towards it, but fails, and no other law specifies the penalty for that attempt, they are punished with up to half the maximum term of the intended offence. [Source: Section 62, BNS 2023]</t>
  </si>
  <si>
    <t xml:space="preserve">CASE_0369</t>
  </si>
  <si>
    <t xml:space="preserve">Yes, the pickpocket is guilty of an attempt to commit theft under this section because he did an act towards the commission of the offence, even though the theft was factually impossible due to the empty pocket. [Source: Section 62, BNS 2023]</t>
  </si>
  <si>
    <t xml:space="preserve">CASE_0370</t>
  </si>
  <si>
    <t xml:space="preserve">The person must attempt to commit an offence (or cause it to be committed), and in doing so, they must actually do any act towards the commission of the offence. [Source: Section 62, BNS 2023]</t>
  </si>
  <si>
    <t xml:space="preserve">CASE_0371</t>
  </si>
  <si>
    <t xml:space="preserve">Only if there is no express provision made by the Sanhita for the punishment of such attempt. Since attempted murder usually has its own specific section and punishment, this general half-sentence rule would not apply there. [Source: Section 62, BNS 2023]</t>
  </si>
  <si>
    <t xml:space="preserve">CASE_0372</t>
  </si>
  <si>
    <t xml:space="preserve">The consequence is that it provides a universal safety net; police and prosecutors do not have to wait for criminals to successfully complete a dangerous crime before arresting them, as the mere active attempt is always criminalized. [Source: Section 62, BNS 2023]</t>
  </si>
  <si>
    <t xml:space="preserve">CASE_0373</t>
  </si>
  <si>
    <t xml:space="preserve">Rape</t>
  </si>
  <si>
    <t xml:space="preserve">Under clause (a), rape includes penetration of the penis to any extent into the vagina, mouth, urethra, or anus. Under clause (b), it includes inserting any object or body part into the vagina, urethra, or anus. Clauses (c) and (d) further include manipulating the body to cause penetration, or applying the mouth to the vagina, anus, or urethra, when done without valid consent. [Source: Section 63, BNS 2023]</t>
  </si>
  <si>
    <t xml:space="preserve">Hugging Face source record: BNS_63</t>
  </si>
  <si>
    <t xml:space="preserve">CASE_0374</t>
  </si>
  <si>
    <t xml:space="preserve">Section 63 of BNS 2023 provides a comprehensive definition of rape. It details the physical acts of non-consensual penetration (penile, object, or oral) and enumerates the seven circumstances that render consent invalid, such as coercion, deception, intoxication, or the victim being a minor. [Source: Section 63, BNS 2023]</t>
  </si>
  <si>
    <t xml:space="preserve">CASE_0375</t>
  </si>
  <si>
    <t xml:space="preserve">Yes, inserting any object into the vagina, urethra, or anus under the threat of hurt (which vitiates consent) clearly falls under the definition of rape in this section. [Source: Section 63, BNS 2023]</t>
  </si>
  <si>
    <t xml:space="preserve">CASE_0376</t>
  </si>
  <si>
    <t xml:space="preserve">Consent means an unequivocal voluntary agreement where the woman, by words, gestures, or communication, expresses willingness to participate in the specific sexual act. [Source: Section 63, BNS 2023]</t>
  </si>
  <si>
    <t xml:space="preserve">CASE_0377</t>
  </si>
  <si>
    <t xml:space="preserve">According to Exception 2 of this section, sexual intercourse or sexual acts by a man with his own wife is not rape, provided the wife is not under eighteen years of age. [Source: Section 63, BNS 2023]</t>
  </si>
  <si>
    <t xml:space="preserve">CASE_0378</t>
  </si>
  <si>
    <t xml:space="preserve">The legal consequence is that her lack of resistance cannot be used to prove she agreed to the act; the law explicitly provides that a woman who does not physically resist shall not by reason only of that fact be regarded as consenting. [Source: Section 63, BNS 2023]</t>
  </si>
  <si>
    <t xml:space="preserve">CASE_0379</t>
  </si>
  <si>
    <t xml:space="preserve">Punishment for rape</t>
  </si>
  <si>
    <t xml:space="preserve">A person who commits rape shall be punished with rigorous imprisonment for a term which shall not be less than ten years, and which may extend to life imprisonment. [Source: Section 64, BNS 2023]</t>
  </si>
  <si>
    <t xml:space="preserve">Hugging Face source record: BNS_64</t>
  </si>
  <si>
    <t xml:space="preserve">CASE_0380</t>
  </si>
  <si>
    <t xml:space="preserve">Section 64 of BNS 2023 outlines the severe punishments for rape. It sets a baseline minimum of 10 years for general rape, and mandates harsher sentences (minimum 10 years to remainder-of-life imprisonment) for aggravated rape committed by police, public servants, relatives, or those in authority. [Source: Section 64, BNS 2023]</t>
  </si>
  <si>
    <t xml:space="preserve">CASE_0381</t>
  </si>
  <si>
    <t xml:space="preserve">He is guilty of aggravated rape under sub-section (2) because he is a police officer committing the act in the premises of a station house on a woman in custody, making him liable for rigorous imprisonment of at least ten years up to the remainder of his natural life. [Source: Section 64, BNS 2023]</t>
  </si>
  <si>
    <t xml:space="preserve">CASE_0382</t>
  </si>
  <si>
    <t xml:space="preserve">For aggravated rape under sub-section (2), imprisonment for life is explicitly defined to mean imprisonment for the remainder of that person's natural life. [Source: Section 64, BNS 2023]</t>
  </si>
  <si>
    <t xml:space="preserve">CASE_0383</t>
  </si>
  <si>
    <t xml:space="preserve">No, these acts are considered exceptions to the standard punishment and fall under aggravated rape in sub-section (2), which carries a harsher maximum penalty extending to imprisonment for the remainder of his natural life. [Source: Section 64, BNS 2023]</t>
  </si>
  <si>
    <t xml:space="preserve">CASE_0384</t>
  </si>
  <si>
    <t xml:space="preserve">The consequence is that they are held to a much stricter legal standard; abusing their authority to commit rape triggers the aggravated punishment clauses, reflecting the law's severe condemnation of exploiting power imbalances. [Source: Section 64, BNS 2023]</t>
  </si>
  <si>
    <t xml:space="preserve">CASE_0385</t>
  </si>
  <si>
    <t xml:space="preserve">Punishment for rape in certain cases</t>
  </si>
  <si>
    <t xml:space="preserve">Yes, raping a woman under sixteen carries a minimum of twenty years imprisonment. If the victim is under twelve years of age, the minimum is twenty years, extending to the remainder of natural life, and it can also be punished with death. [Source: Section 65, BNS 2023]</t>
  </si>
  <si>
    <t xml:space="preserve">Hugging Face source record: BNS_65</t>
  </si>
  <si>
    <t xml:space="preserve">CASE_0386</t>
  </si>
  <si>
    <t xml:space="preserve">Section 65 of BNS 2023 provides the most severe punishments for the rape of minors. It mandates a minimum twenty-year sentence for raping a victim under sixteen, and allows for the death penalty if the victim is under twelve. [Source: Section 65, BNS 2023]</t>
  </si>
  <si>
    <t xml:space="preserve">CASE_0387</t>
  </si>
  <si>
    <t xml:space="preserve">Because the victim is under twelve years of age, the judge has the statutory authority under this section to sentence the perpetrator to death. [Source: Section 65, BNS 2023]</t>
  </si>
  <si>
    <t xml:space="preserve">CASE_0388</t>
  </si>
  <si>
    <t xml:space="preserve">The offender must pay a fine that is just and reasonable to meet the medical expenses and rehabilitation of the victim, and this fine must be paid directly to the victim. [Source: Section 65, BNS 2023]</t>
  </si>
  <si>
    <t xml:space="preserve">CASE_0389</t>
  </si>
  <si>
    <t xml:space="preserve">No, the law removes judicial discretion for lenient sentencing in these cases; it mandates rigorous imprisonment for a term which shall *not be less* than twenty years for a victim under sixteen. [Source: Section 65, BNS 2023]</t>
  </si>
  <si>
    <t xml:space="preserve">CASE_0390</t>
  </si>
  <si>
    <t xml:space="preserve">The consequence is that the state classifies the rape of young minors among the most heinous crimes imaginable, elevating it to a capital offence and prioritizing the direct financial restitution of the victim's medical and rehabilitative needs. [Source: Section 65, BNS 2023]</t>
  </si>
  <si>
    <t xml:space="preserve">CASE_0391</t>
  </si>
  <si>
    <t xml:space="preserve">Punishment for causing death or resulting in persistent vegetative state of victim</t>
  </si>
  <si>
    <t xml:space="preserve">The perpetrator shall be punished with rigorous imprisonment for a minimum of twenty years, extending up to the remainder of their natural life, or with the death penalty. [Source: Section 66, BNS 2023]</t>
  </si>
  <si>
    <t xml:space="preserve">Hugging Face source record: BNS_66</t>
  </si>
  <si>
    <t xml:space="preserve">CASE_0392</t>
  </si>
  <si>
    <t xml:space="preserve">Section 66 of BNS 2023 specifies the punishment for cases where an injury inflicted during the commission of a rape causes the death of the victim or leaves her in a persistent vegetative state. The penalty is a minimum of twenty years in prison, up to a natural life sentence or the death penalty. [Source: Section 66, BNS 2023]</t>
  </si>
  <si>
    <t xml:space="preserve">CASE_0393</t>
  </si>
  <si>
    <t xml:space="preserve">Because he inflicted an injury during the rape that caused the woman to be in a persistent vegetative state, he faces rigorous imprisonment for at least twenty years, natural life imprisonment, or death. [Source: Section 66, BNS 2023]</t>
  </si>
  <si>
    <t xml:space="preserve">CASE_0394</t>
  </si>
  <si>
    <t xml:space="preserve">The maximum non-lethal sentence is imprisonment for life, which the section explicitly defines as imprisonment for the remainder of that person's natural life. [Source: Section 66, BNS 2023]</t>
  </si>
  <si>
    <t xml:space="preserve">CASE_0395</t>
  </si>
  <si>
    <t xml:space="preserve">No, the statute does not require an explicit intent to kill. It only requires that in the course of the rape, the offender inflicts an injury which causes the death or vegetative state, making them strictly liable for the fatal outcome of their violence. [Source: Section 66, BNS 2023]</t>
  </si>
  <si>
    <t xml:space="preserve">CASE_0396</t>
  </si>
  <si>
    <t xml:space="preserve">The consequence is that elevating the violence to lethal or near-lethal levels (like causing a vegetative state) automatically exposes the perpetrator to the highest possible penalties in the justice system, including execution. [Source: Section 66, BNS 2023]</t>
  </si>
  <si>
    <t xml:space="preserve">CASE_0397</t>
  </si>
  <si>
    <t xml:space="preserve">Sexual intercourse by husband upon his wife during separation</t>
  </si>
  <si>
    <t xml:space="preserve">Yes, if a husband has sexual intercourse with his wife without her consent while they are living separately, he can be imprisoned for two to seven years and fined. [Source: Section 67, BNS 2023]</t>
  </si>
  <si>
    <t xml:space="preserve">Hugging Face source record: BNS_67</t>
  </si>
  <si>
    <t xml:space="preserve">CASE_0398</t>
  </si>
  <si>
    <t xml:space="preserve">Section 67 of BNS 2023 criminalizes non-consensual sexual intercourse by a husband upon his wife when they are living separately (either under a legal decree or otherwise). It carries a punishment of two to seven years in prison. [Source: Section 67, BNS 2023]</t>
  </si>
  <si>
    <t xml:space="preserve">CASE_0399</t>
  </si>
  <si>
    <t xml:space="preserve">Yes, because they are living separately (whether under a decree of separation or otherwise) and the act was without her consent, he is liable to imprisonment of two to seven years under this section. [Source: Section 67, BNS 2023]</t>
  </si>
  <si>
    <t xml:space="preserve">CASE_0400</t>
  </si>
  <si>
    <t xml:space="preserve">No, the law explicitly applies whether they are separated under a decree of separation or otherwise, covering informal, de facto separations as well. [Source: Section 67, BNS 2023]</t>
  </si>
  <si>
    <t xml:space="preserve">CASE_0401</t>
  </si>
  <si>
    <t xml:space="preserve">No, the explanation clarifies that "sexual intercourse" in this section means any of the exact same physical acts mentioned in clauses (a) to (d) of the general rape definition in Section 63. [Source: Section 67, BNS 2023]</t>
  </si>
  <si>
    <t xml:space="preserve">CASE_0402</t>
  </si>
  <si>
    <t xml:space="preserve">The consequence is that while standard marital rape is an exception under Section 63, the law removes that marital immunity the moment the spouses begin living separately, protecting the bodily autonomy of estranged wives. [Source: Section 67, BNS 2023]</t>
  </si>
  <si>
    <t xml:space="preserve">CASE_0403</t>
  </si>
  <si>
    <t xml:space="preserve">Sexual intercourse by a person in authority</t>
  </si>
  <si>
    <t xml:space="preserve">Yes, if a person in authority abuses their position to induce or seduce a woman under their charge into sexual intercourse, it is punishable by five to ten years in prison, even if it doesn't strictly amount to rape. [Source: Section 68, BNS 2023]</t>
  </si>
  <si>
    <t xml:space="preserve">Hugging Face source record: BNS_68</t>
  </si>
  <si>
    <t xml:space="preserve">CASE_0404</t>
  </si>
  <si>
    <t xml:space="preserve">Section 68 of BNS 2023 focuses on the abuse of power for sexual exploitation. It penalizes public servants, managers of institutions, and persons in fiduciary relationships who use their authority to induce or seduce women under their charge into sexual intercourse. [Source: Section 68, BNS 2023]</t>
  </si>
  <si>
    <t xml:space="preserve">CASE_0405</t>
  </si>
  <si>
    <t xml:space="preserve">Yes, because he is on the management of a hospital and abused that position of authority to induce a woman in the premises to have sexual intercourse, he is liable to rigorous imprisonment for five to ten years. [Source: Section 68, BNS 2023]</t>
  </si>
  <si>
    <t xml:space="preserve">CASE_0406</t>
  </si>
  <si>
    <t xml:space="preserve">The statute covers persons in a position of authority or fiduciary relationship, public servants, superintendents/managers of jails, custody places, or women's/children's institutions, and hospital management or staff. [Source: Section 68, BNS 2023]</t>
  </si>
  <si>
    <t xml:space="preserve">CASE_0407</t>
  </si>
  <si>
    <t xml:space="preserve">No, this section explicitly covers situations where the sexual intercourse does "not amounting to the offence of rape." The crime is the abuse of authority to induce the act, making the technical presence of coerced "agreement" irrelevant to guilt under this section. [Source: Section 68, BNS 2023]</t>
  </si>
  <si>
    <t xml:space="preserve">CASE_0408</t>
  </si>
  <si>
    <t xml:space="preserve">The consequence is that it legally recognizes that true consent is impossible when one party holds significant structural power over the other's livelihood or freedom, strictly criminalizing the exploitation of that power imbalance. [Source: Section 68, BNS 2023]</t>
  </si>
  <si>
    <t xml:space="preserve">CASE_0409</t>
  </si>
  <si>
    <t xml:space="preserve">Sexual intercourse by employing deceitful means, etc</t>
  </si>
  <si>
    <t xml:space="preserve">Yes, having sexual intercourse by employing deceitful means—such as hiding your identity or making a promise to marry without any intention of keeping it—can be punished with up to ten years in prison. [Source: Section 69, BNS 2023]</t>
  </si>
  <si>
    <t xml:space="preserve">Hugging Face source record: BNS_69</t>
  </si>
  <si>
    <t xml:space="preserve">CASE_0410</t>
  </si>
  <si>
    <t xml:space="preserve">Section 69 of BNS 2023 criminalizes sexual intercourse obtained through deceitful means or a false promise of marriage. If a man has sex with a woman by making a marriage promise he never intended to fulfill, or by using deceit like suppressing his identity, he faces up to ten years imprisonment. [Source: Section 69, BNS 2023]</t>
  </si>
  <si>
    <t xml:space="preserve">CASE_0411</t>
  </si>
  <si>
    <t xml:space="preserve">He has committed the offence of sexual intercourse by deceitful means, as the law explicitly defines deceitful means to include inducement by false promise of employment or promotion, and marrying by suppressing identity. [Source: Section 69, BNS 2023]</t>
  </si>
  <si>
    <t xml:space="preserve">CASE_0412</t>
  </si>
  <si>
    <t xml:space="preserve">It must be proven that the man made the promise to marry the woman without any intention of fulfilling the same at the time the promise was made, merely using it as a ploy for sexual access. [Source: Section 69, BNS 2023]</t>
  </si>
  <si>
    <t xml:space="preserve">CASE_0413</t>
  </si>
  <si>
    <t xml:space="preserve">No, because the section requires that the promise to marry be made without any intention of fulfilling the same. A genuine promise that later falls apart due to normal relationship breakdowns is not considered deceitful means. [Source: Section 69, BNS 2023]</t>
  </si>
  <si>
    <t xml:space="preserve">CASE_0414</t>
  </si>
  <si>
    <t xml:space="preserve">The consequence is that consent obtained through fundamental, identity-altering fraud or completely hollow promises of marriage is legally invalidated, making the sexual act a heavily punishable offence, even if it doesn't meet the traditional physical force criteria for rape. [Source: Section 69, BNS 2023]</t>
  </si>
  <si>
    <t xml:space="preserve">CASE_0415</t>
  </si>
  <si>
    <t xml:space="preserve">Gang rape</t>
  </si>
  <si>
    <t xml:space="preserve">When a woman is raped by a group or by people acting with common intention, each person faces a minimum of twenty years to natural life in prison. If the victim is under eighteen, the punishment is natural life or the death penalty. [Source: Section 70, BNS 2023]</t>
  </si>
  <si>
    <t xml:space="preserve">Hugging Face source record: BNS_70</t>
  </si>
  <si>
    <t xml:space="preserve">CASE_0416</t>
  </si>
  <si>
    <t xml:space="preserve">Section 70 of BNS 2023 sets extreme penalties for gang rape. For an adult victim, the punishment is a minimum of twenty years to life (natural life). For a victim under eighteen, the punishment is mandatory natural life imprisonment or the death penalty. [Source: Section 70, BNS 2023]</t>
  </si>
  <si>
    <t xml:space="preserve">CASE_0417</t>
  </si>
  <si>
    <t xml:space="preserve">Because they acted in furtherance of a common intention, each of those persons (including the one holding her) shall be deemed to have committed the offence of rape and, due to her age, faces mandatory natural life imprisonment or death. [Source: Section 70, BNS 2023]</t>
  </si>
  <si>
    <t xml:space="preserve">CASE_0418</t>
  </si>
  <si>
    <t xml:space="preserve">The law states that where a group acts in furtherance of a common intention, each of those persons shall be deemed to have committed the offence of rape, stripping away any defense of "I was just watching" or "I didn't actually penetrate." [Source: Section 70, BNS 2023]</t>
  </si>
  <si>
    <t xml:space="preserve">CASE_0419</t>
  </si>
  <si>
    <t xml:space="preserve">No, the law allows no leniency or exceptions; if the victim is under eighteen, the statute mandates punishment of imprisonment for life (meaning the remainder of natural life) or with death for each participant. [Source: Section 70, BNS 2023]</t>
  </si>
  <si>
    <t xml:space="preserve">CASE_0420</t>
  </si>
  <si>
    <t xml:space="preserve">The consequence is that the perpetrators are legally forced to bear the financial burden of the atrocity; any fines imposed must be just and reasonable to cover the victim's medical expenses and rehabilitation, and must be paid directly to her. [Source: Section 70, BNS 2023]</t>
  </si>
  <si>
    <t xml:space="preserve">CASE_0421</t>
  </si>
  <si>
    <t xml:space="preserve">Punishment for repeat offenders</t>
  </si>
  <si>
    <t xml:space="preserve">A repeat offender who has been previously convicted of rape or related extreme sexual offences, and is convicted again, shall be punished with natural life imprisonment or the death penalty. [Source: Section 71, BNS 2023]</t>
  </si>
  <si>
    <t xml:space="preserve">Hugging Face source record: BNS_71</t>
  </si>
  <si>
    <t xml:space="preserve">CASE_0422</t>
  </si>
  <si>
    <t xml:space="preserve">Section 71 of BNS 2023 mandates severe enhanced penalties for repeat offenders of specific sexual crimes (Sections 64, 65, 66, or 70). A subsequent conviction under any of these sections requires a sentence of imprisonment for the remainder of natural life, or death. [Source: Section 71, BNS 2023]</t>
  </si>
  <si>
    <t xml:space="preserve">CASE_0423</t>
  </si>
  <si>
    <t xml:space="preserve">Because he has a previous conviction under Section 64 and is subsequently convicted under Section 70, he is a repeat offender and must be punished with imprisonment for the remainder of his natural life, or with death. [Source: Section 71, BNS 2023]</t>
  </si>
  <si>
    <t xml:space="preserve">CASE_0424</t>
  </si>
  <si>
    <t xml:space="preserve">The previous conviction must be for an offence punishable under section 64 (Rape), section 65 (Rape of a minor), section 66 (Causing death/vegetative state), or section 70 (Gang rape). [Source: Section 71, BNS 2023]</t>
  </si>
  <si>
    <t xml:space="preserve">CASE_0425</t>
  </si>
  <si>
    <t xml:space="preserve">No, the first conviction must specifically be under Sections 64, 65, 66, or 70. A prior conviction for a lesser sexual offence like harassment does not trigger the mandatory life/death penalty of this specific section. [Source: Section 71, BNS 2023]</t>
  </si>
  <si>
    <t xml:space="preserve">CASE_0426</t>
  </si>
  <si>
    <t xml:space="preserve">The consequence is a "two strikes" policy for severe sexual violence; the state permanently removes repeat offenders from society either by execution or by ensuring they die in prison, completely eliminating the possibility of a third offence. [Source: Section 71, BNS 2023]</t>
  </si>
  <si>
    <t xml:space="preserve">CASE_0427</t>
  </si>
  <si>
    <t xml:space="preserve">Disclosure of identity of victim of certain offences, etc</t>
  </si>
  <si>
    <t xml:space="preserve">No, printing or publishing the name or any matter that makes known the identity of a victim of rape or related sexual offences is a crime punishable by up to two years in prison and a fine. [Source: Section 72, BNS 2023]</t>
  </si>
  <si>
    <t xml:space="preserve">Hugging Face source record: BNS_72</t>
  </si>
  <si>
    <t xml:space="preserve">CASE_0428</t>
  </si>
  <si>
    <t xml:space="preserve">Section 72 of BNS 2023 strictly prohibits the disclosure of the identity of victims of specific sexual offences. Anyone who prints or publishes their name or identifying details faces up to two years of imprisonment, with only narrow, authorized exceptions allowed. [Source: Section 72, BNS 2023]</t>
  </si>
  <si>
    <t xml:space="preserve">CASE_0429</t>
  </si>
  <si>
    <t xml:space="preserve">Yes, the journalist has published "matter which may make known the identity" of the victim, which is an offence punishable under this section even if the actual name was withheld. [Source: Section 72, BNS 2023]</t>
  </si>
  <si>
    <t xml:space="preserve">CASE_0430</t>
  </si>
  <si>
    <t xml:space="preserve">The officer-in-charge of the police station or the investigating officer can authorize publication in writing if they are acting in good faith for the purposes of the investigation (e.g., to track down kidnappers). [Source: Section 72, BNS 2023]</t>
  </si>
  <si>
    <t xml:space="preserve">CASE_0431</t>
  </si>
  <si>
    <t xml:space="preserve">Yes, if the victim is dead, the next of kin can authorize the publication in writing, but this authorization can only be given to the chairman or secretary of a recognized welfare institution or organization, not directly to general media. [Source: Section 72, BNS 2023]</t>
  </si>
  <si>
    <t xml:space="preserve">CASE_0432</t>
  </si>
  <si>
    <t xml:space="preserve">The consequence is that the law legally shields victims of sexual violence from social stigma and media harassment, ensuring that fear of public exposure does not deter them from reporting the crimes to the police. [Source: Section 72, BNS 2023]</t>
  </si>
  <si>
    <t xml:space="preserve">CASE_0433</t>
  </si>
  <si>
    <t xml:space="preserve">Printing or publishing any matter relating to Court proceedings without permission</t>
  </si>
  <si>
    <t xml:space="preserve">No, printing or publishing any matter related to court proceedings for sexual offences without the previous permission of the Court is illegal and punishable by up to two years in prison. [Source: Section 73, BNS 2023]</t>
  </si>
  <si>
    <t xml:space="preserve">Hugging Face source record: BNS_73</t>
  </si>
  <si>
    <t xml:space="preserve">CASE_0434</t>
  </si>
  <si>
    <t xml:space="preserve">Section 73 of BNS 2023 restricts the reporting of court proceedings for sexual offences. It criminalizes the publication of any matter related to such trials without the Court's prior permission, aiming to protect the privacy of the proceedings, punishable by up to two years in prison. [Source: Section 73, BNS 2023]</t>
  </si>
  <si>
    <t xml:space="preserve">CASE_0435</t>
  </si>
  <si>
    <t xml:space="preserve">Yes, whoever publishes any matter in relation to such proceedings without the previous permission of the Court commits an offence and is liable to imprisonment and a fine. [Source: Section 73, BNS 2023]</t>
  </si>
  <si>
    <t xml:space="preserve">CASE_0436</t>
  </si>
  <si>
    <t xml:space="preserve">The publisher must obtain the "previous permission of such Court" before printing or publishing any matter related to the proceeding. [Source: Section 73, BNS 2023]</t>
  </si>
  <si>
    <t xml:space="preserve">CASE_0437</t>
  </si>
  <si>
    <t xml:space="preserve">No, the explanation explicitly states that the printing or publication of the judgment of any High Court or the Supreme Court does not amount to an offence under this section. [Source: Section 73, BNS 2023]</t>
  </si>
  <si>
    <t xml:space="preserve">CASE_0438</t>
  </si>
  <si>
    <t xml:space="preserve">The consequence is a statutory exception to open justice; the law prioritizes the dignity and privacy of sexual assault victims over the public's right to know the granular, day-to-day details of sensitive trial testimonies. [Source: Section 73, BNS 2023]</t>
  </si>
  <si>
    <t xml:space="preserve">CASE_0439</t>
  </si>
  <si>
    <t xml:space="preserve">Assault or use of criminal force to woman with intent to outrage her modesty</t>
  </si>
  <si>
    <t xml:space="preserve">Assaulting or using criminal force against a woman with the intent to outrage her modesty, or knowing it is likely to do so, is punishable by one to five years in prison and a fine. [Source: Section 74, BNS 2023]</t>
  </si>
  <si>
    <t xml:space="preserve">Hugging Face source record: BNS_74</t>
  </si>
  <si>
    <t xml:space="preserve">CASE_0440</t>
  </si>
  <si>
    <t xml:space="preserve">Section 74 of BNS 2023 criminalizes assault or the use of criminal force against a woman with the specific intent (or knowledge of likelihood) to outrage her modesty. It sets a mandatory minimum sentence of one year, extending up to five years. [Source: Section 74, BNS 2023]</t>
  </si>
  <si>
    <t xml:space="preserve">CASE_0441</t>
  </si>
  <si>
    <t xml:space="preserve">He has used criminal force against the woman, intending to outrage (or knowing it was likely to outrage) her modesty, making him liable for imprisonment of one to five years. [Source: Section 74, BNS 2023]</t>
  </si>
  <si>
    <t xml:space="preserve">CASE_0442</t>
  </si>
  <si>
    <t xml:space="preserve">The prosecution must prove the offender acted intending to outrage her modesty, or knowing it to be likely that he will thereby outrage her modesty. [Source: Section 74, BNS 2023]</t>
  </si>
  <si>
    <t xml:space="preserve">CASE_0443</t>
  </si>
  <si>
    <t xml:space="preserve">No, accidental force lacks the required intent or knowledge of likelihood to outrage her modesty. This section specifically targets intentional, modesty-outraging assaults. [Source: Section 74, BNS 2023]</t>
  </si>
  <si>
    <t xml:space="preserve">CASE_0444</t>
  </si>
  <si>
    <t xml:space="preserve">The consequence is that judges cannot let offenders off with merely a fine or a few days in jail; a conviction guarantees at least one year of imprisonment, reflecting the seriousness with which the law views the violation of a woman's bodily autonomy and dignity. [Source: Section 74, BNS 2023]</t>
  </si>
  <si>
    <t xml:space="preserve">CASE_0445</t>
  </si>
  <si>
    <t xml:space="preserve">Sexual harassment</t>
  </si>
  <si>
    <t xml:space="preserve">Sexual harassment includes unwelcome physical contact, demanding sexual favors, forcing a woman to look at pornography, or making sexually colored remarks. Yes, physical/demand/pornography offences carry up to three years in jail, while remarks carry up to one year. [Source: Section 75, BNS 2023]</t>
  </si>
  <si>
    <t xml:space="preserve">Hugging Face source record: BNS_75</t>
  </si>
  <si>
    <t xml:space="preserve">CASE_0446</t>
  </si>
  <si>
    <t xml:space="preserve">Section 75 of BNS 2023 defines sexual harassment through four specific acts: unwelcome physical advances, demanding sexual favors, showing pornography against her will, and making sexually colored remarks. It prescribes up to three years imprisonment for the first three acts, and up to one year for the remarks. [Source: Section 75, BNS 2023]</t>
  </si>
  <si>
    <t xml:space="preserve">CASE_0447</t>
  </si>
  <si>
    <t xml:space="preserve">Yes, making sexually coloured remarks constitutes the offence of sexual harassment under clause (iv), and he can be punished with up to one year in prison or a fine. [Source: Section 75, BNS 2023]</t>
  </si>
  <si>
    <t xml:space="preserve">CASE_0448</t>
  </si>
  <si>
    <t xml:space="preserve">The acts are: (i) physical contact and advances involving unwelcome and explicit sexual overtures, (ii) a demand or request for sexual favours, and (iii) showing pornography against the will of a woman. [Source: Section 75, BNS 2023]</t>
  </si>
  <si>
    <t xml:space="preserve">CASE_0449</t>
  </si>
  <si>
    <t xml:space="preserve">No, the law specifically uses the words "unwelcome" for physical advances and "against the will" for pornography. Remarks must be sexually colored and, in the context of harassment, implicitly unwelcome to constitute an offence. [Source: Section 75, BNS 2023]</t>
  </si>
  <si>
    <t xml:space="preserve">CASE_0450</t>
  </si>
  <si>
    <t xml:space="preserve">The consequence is a tiered sentencing structure; the law acknowledges that while verbal harassment is a crime (punishable up to 1 year), physical advances, extortion of favors, and forcing pornography are significantly more severe violations requiring harsher maximum penalties (up to 3 years). [Source: Section 75, BNS 2023]</t>
  </si>
  <si>
    <t xml:space="preserve">CASE_0451</t>
  </si>
  <si>
    <t xml:space="preserve">Assault or use of criminal force to woman with intent to disrobe</t>
  </si>
  <si>
    <t xml:space="preserve">Assaulting or using criminal force against a woman with the intent to disrobe her or compel her to be naked is punishable by three to seven years in prison and a fine. [Source: Section 76, BNS 2023]</t>
  </si>
  <si>
    <t xml:space="preserve">Hugging Face source record: BNS_76</t>
  </si>
  <si>
    <t xml:space="preserve">CASE_0452</t>
  </si>
  <si>
    <t xml:space="preserve">Section 76 of BNS 2023 addresses the offence of using assault or criminal force against a woman with the specific intention of disrobing her or compelling her to be naked. It carries a mandatory minimum sentence of three years, extending to seven years. [Source: Section 76, BNS 2023]</t>
  </si>
  <si>
    <t xml:space="preserve">CASE_0453</t>
  </si>
  <si>
    <t xml:space="preserve">Because he assaulted the woman with the intention of disrobing her, he is liable to imprisonment of three to seven years under this section. [Source: Section 76, BNS 2023]</t>
  </si>
  <si>
    <t xml:space="preserve">CASE_0454</t>
  </si>
  <si>
    <t xml:space="preserve">The prosecution must prove that the accused assaulted or used criminal force against the woman, and that they did so with the specific intention of disrobing her or compelling her to be naked. [Source: Section 76, BNS 2023]</t>
  </si>
  <si>
    <t xml:space="preserve">CASE_0455</t>
  </si>
  <si>
    <t xml:space="preserve">No, because the act lacks the criminal intention of disrobing or compelling her to be naked. The force used was for rescue, not with the requisite criminal intent defined in the section. [Source: Section 76, BNS 2023]</t>
  </si>
  <si>
    <t xml:space="preserve">CASE_0456</t>
  </si>
  <si>
    <t xml:space="preserve">The consequence is that the law treats forced disrobing not just as a standard physical assault, but as a severe violation of dignity and modesty that requires mandatory, significant prison time to deter public shaming and sexual violence. [Source: Section 76, BNS 2023]</t>
  </si>
  <si>
    <t xml:space="preserve">CASE_0457</t>
  </si>
  <si>
    <t xml:space="preserve">Voyeurism</t>
  </si>
  <si>
    <t xml:space="preserve">Yes, secretly watching or capturing images of a woman engaging in a private act where she expects privacy constitutes voyeurism. The punishment is one to three years in prison for a first offence, and three to seven years for subsequent convictions. [Source: Section 77, BNS 2023]</t>
  </si>
  <si>
    <t xml:space="preserve">Hugging Face source record: BNS_77</t>
  </si>
  <si>
    <t xml:space="preserve">CASE_0458</t>
  </si>
  <si>
    <t xml:space="preserve">Section 77 of BNS 2023 defines voyeurism as watching or capturing/disseminating images of a woman engaging in a private act where she reasonably expects privacy. It prescribes tiered punishments: 1-3 years for a first conviction, and 3-7 years for repeat offences. [Source: Section 77, BNS 2023]</t>
  </si>
  <si>
    <t xml:space="preserve">CASE_0459</t>
  </si>
  <si>
    <t xml:space="preserve">Yes, Explanation 2 of this section clearly states that if she consented to the capture of the images but not to their dissemination, disseminating them to third persons is considered an offence under this section. [Source: Section 77, BNS 2023]</t>
  </si>
  <si>
    <t xml:space="preserve">CASE_0460</t>
  </si>
  <si>
    <t xml:space="preserve">A "private act" includes acts where genitals, posterior, or breasts are exposed or covered only in underwear, using a lavatory, or doing a sexual act not ordinarily done in public, in a place reasonably expected to provide privacy. [Source: Section 77, BNS 2023]</t>
  </si>
  <si>
    <t xml:space="preserve">CASE_0461</t>
  </si>
  <si>
    <t xml:space="preserve">No, because a public bank lobby is not a place where she would "usually have the expectation of not being observed", so adjusting clothing there does not meet the strict legal criteria of a "private act" under this section. [Source: Section 77, BNS 2023]</t>
  </si>
  <si>
    <t xml:space="preserve">CASE_0462</t>
  </si>
  <si>
    <t xml:space="preserve">The consequence is that "revenge porn" is directly criminalized; the law recognizes that initial consent to capturing an image does not grant blanket consent to share it, making malicious dissemination a punishable act of voyeurism. [Source: Section 77, BNS 2023]</t>
  </si>
  <si>
    <t xml:space="preserve">CASE_0463</t>
  </si>
  <si>
    <t xml:space="preserve">Stalking</t>
  </si>
  <si>
    <t xml:space="preserve">Repeatedly following or contacting a woman despite clear disinterest, or monitoring her electronic communications, constitutes stalking. It is punishable by up to three years in prison for a first offence, and up to five years for repeat offences. [Source: Section 78, BNS 2023]</t>
  </si>
  <si>
    <t xml:space="preserve">Hugging Face source record: BNS_78</t>
  </si>
  <si>
    <t xml:space="preserve">CASE_0464</t>
  </si>
  <si>
    <t xml:space="preserve">Section 78 of BNS 2023 defines stalking as repeatedly following or contacting a woman who has indicated disinterest, or monitoring her internet/electronic communication. It prescribes up to three years imprisonment for the first conviction and up to five years for subsequent ones. [Source: Section 78, BNS 2023]</t>
  </si>
  <si>
    <t xml:space="preserve">CASE_0465</t>
  </si>
  <si>
    <t xml:space="preserve">Yes, by monitoring her internet use and attempting to contact her repeatedly despite a clear indication of disinterest, he has committed the offence of stalking under this section. [Source: Section 78, BNS 2023]</t>
  </si>
  <si>
    <t xml:space="preserve">CASE_0466</t>
  </si>
  <si>
    <t xml:space="preserve">The repeated following or contacting must occur "despite a clear indication of disinterest by such woman". [Source: Section 78, BNS 2023]</t>
  </si>
  <si>
    <t xml:space="preserve">CASE_0467</t>
  </si>
  <si>
    <t xml:space="preserve">No, the conduct does not amount to stalking if it was pursued for preventing or detecting crime by someone entrusted with that responsibility by the State, or if the conduct was reasonable and justified in the particular circumstances. [Source: Section 78, BNS 2023]</t>
  </si>
  <si>
    <t xml:space="preserve">CASE_0468</t>
  </si>
  <si>
    <t xml:space="preserve">The consequence is that the law modernizes the protection of women, recognizing that severe harassment can happen entirely online (cyberstalking) without the perpetrator ever being in the physical presence of the victim. [Source: Section 78, BNS 2023]</t>
  </si>
  <si>
    <t xml:space="preserve">CASE_0469</t>
  </si>
  <si>
    <t xml:space="preserve">Word, gesture or act intended to insult modesty of a woman</t>
  </si>
  <si>
    <t xml:space="preserve">Yes, uttering words, making sounds or gestures, or exhibiting objects intending to insult a woman's modesty, or intruding on her privacy, is a crime punishable by up to three years of simple imprisonment and a fine. [Source: Section 79, BNS 2023]</t>
  </si>
  <si>
    <t xml:space="preserve">Hugging Face source record: BNS_79</t>
  </si>
  <si>
    <t xml:space="preserve">CASE_0470</t>
  </si>
  <si>
    <t xml:space="preserve">Section 79 of BNS 2023 penalizes anyone who, intending to insult a woman's modesty, uses words, sounds, gestures, or exhibits objects meant to be seen or heard by her, or intrudes upon her privacy. The penalty is up to three years of simple imprisonment. [Source: Section 79, BNS 2023]</t>
  </si>
  <si>
    <t xml:space="preserve">CASE_0471</t>
  </si>
  <si>
    <t xml:space="preserve">He has made a gesture intending to insult the modesty of the woman, intending that such gesture shall be seen by her, which makes him punishable under this section for up to three years in prison. [Source: Section 79, BNS 2023]</t>
  </si>
  <si>
    <t xml:space="preserve">CASE_0472</t>
  </si>
  <si>
    <t xml:space="preserve">They must act "intending to insult the modesty of any woman" and intending that the word/sound be heard or the gesture/object be seen by that specific woman. [Source: Section 79, BNS 2023]</t>
  </si>
  <si>
    <t xml:space="preserve">CASE_0473</t>
  </si>
  <si>
    <t xml:space="preserve">Likely no, because the law requires that they speak the words *intending* to insult the modesty of *that* woman, and *intending* that the words be heard by *her*. Accidental overhearing lacks this specific, targeted intent. [Source: Section 79, BNS 2023]</t>
  </si>
  <si>
    <t xml:space="preserve">CASE_0474</t>
  </si>
  <si>
    <t xml:space="preserve">The consequence is that it provides a specific legal mechanism to prosecute street harassers; catcalling, lewd sounds, and flashing objects are explicitly criminalized as attacks on modesty, even if no physical assault occurs. [Source: Section 79, BNS 2023]</t>
  </si>
  <si>
    <t xml:space="preserve">CASE_0475</t>
  </si>
  <si>
    <t xml:space="preserve">Dowry death</t>
  </si>
  <si>
    <t xml:space="preserve">If a woman dies unnaturally within seven years of marriage, and it's shown she faced cruelty or harassment over dowry demands shortly before her death, it is legally deemed a "dowry death," punishable by seven years to life in prison. [Source: Section 80, BNS 2023]</t>
  </si>
  <si>
    <t xml:space="preserve">Hugging Face source record: BNS_80</t>
  </si>
  <si>
    <t xml:space="preserve">CASE_0476</t>
  </si>
  <si>
    <t xml:space="preserve">Section 80 of BNS 2023 defines "dowry death" as the death of a woman caused by burns, bodily injury, or unnatural circumstances within seven years of marriage, where it is shown she was subjected to dowry-related cruelty soon before her death. [Source: Section 80, BNS 2023]</t>
  </si>
  <si>
    <t xml:space="preserve">CASE_0477</t>
  </si>
  <si>
    <t xml:space="preserve">Under this section, because the unnatural death occurred within seven years of marriage and followed dowry-related harassment, it is called a "dowry death," and the husband or relative who harassed her shall be deemed to have caused her death. [Source: Section 80, BNS 2023]</t>
  </si>
  <si>
    <t xml:space="preserve">CASE_0478</t>
  </si>
  <si>
    <t xml:space="preserve">The death must occur within seven years of her marriage, it must occur otherwise than under normal circumstances (burns/injuries/unnatural), and the cruelty or harassment must be shown to have happened "soon before her death". [Source: Section 80, BNS 2023]</t>
  </si>
  <si>
    <t xml:space="preserve">CASE_0479</t>
  </si>
  <si>
    <t xml:space="preserve">No, the section requires that the death be caused by burns, bodily injury, or occur "otherwise than under normal circumstances." A death from a natural medical cause does not fit the criteria for a dowry death charge. [Source: Section 80, BNS 2023]</t>
  </si>
  <si>
    <t xml:space="preserve">CASE_0480</t>
  </si>
  <si>
    <t xml:space="preserve">The consequence is a legal presumption of guilt; if the prosecution proves the unnatural death within seven years and the preceding dowry harassment, the law automatically deems the harassers as the killers, shifting the burden to them to prove otherwise, facing 7 years to life. [Source: Section 80, BNS 2023]</t>
  </si>
  <si>
    <t xml:space="preserve">CASE_0481</t>
  </si>
  <si>
    <t xml:space="preserve">Cohabitation caused by man deceitfully inducing belief of lawful marriage</t>
  </si>
  <si>
    <t xml:space="preserve">A man who deceitfully makes a woman believe she is lawfully married to him, causing her to cohabit or have sexual intercourse with him under that false belief, can be imprisoned for up to ten years. [Source: Section 81, BNS 2023]</t>
  </si>
  <si>
    <t xml:space="preserve">Hugging Face source record: BNS_81</t>
  </si>
  <si>
    <t xml:space="preserve">CASE_0482</t>
  </si>
  <si>
    <t xml:space="preserve">Section 81 of BNS 2023 defines the crime of deceitfully inducing a belief of lawful marriage. It penalizes a man who tricks an unmarried woman into believing she is legally married to him to secure cohabitation or sexual intercourse, with a maximum penalty of ten years imprisonment. [Source: Section 81, BNS 2023]</t>
  </si>
  <si>
    <t xml:space="preserve">CASE_0483</t>
  </si>
  <si>
    <t xml:space="preserve">He has broken the law against cohabitation caused by deceitfully inducing belief of lawful marriage, as he used deceit to make a woman not lawfully married to him believe she was, securing cohabitation. [Source: Section 81, BNS 2023]</t>
  </si>
  <si>
    <t xml:space="preserve">CASE_0484</t>
  </si>
  <si>
    <t xml:space="preserve">The deceit must cause the woman to either cohabit with him OR have sexual intercourse with him, while believing she is lawfully married to him. [Source: Section 81, BNS 2023]</t>
  </si>
  <si>
    <t xml:space="preserve">CASE_0485</t>
  </si>
  <si>
    <t xml:space="preserve">No, the law requires that the man causes the woman to believe she is lawfully married "by deceit". If there is no deceit and she knows the truth, the cohabitation is not criminal under this specific section. [Source: Section 81, BNS 2023]</t>
  </si>
  <si>
    <t xml:space="preserve">CASE_0486</t>
  </si>
  <si>
    <t xml:space="preserve">The consequence is that the law recognizes the profound psychological and social damage of a fake marriage, treating the sexual access gained through such profound fraud as a severe crime comparable to rape. [Source: Section 81, BNS 2023]</t>
  </si>
  <si>
    <t xml:space="preserve">CASE_0487</t>
  </si>
  <si>
    <t xml:space="preserve">Marrying again during lifetime of husband or wife</t>
  </si>
  <si>
    <t xml:space="preserve">Yes, marrying someone else while you already have a living husband or wife (in cases where such second marriage is void) is a crime punishable by up to seven years in prison. Hiding the first marriage from the second spouse raises the penalty to ten years. [Source: Section 82, BNS 2023]</t>
  </si>
  <si>
    <t xml:space="preserve">Hugging Face source record: BNS_82</t>
  </si>
  <si>
    <t xml:space="preserve">CASE_0488</t>
  </si>
  <si>
    <t xml:space="preserve">Section 82 of BNS 2023 criminalizes marrying again during the lifetime of a spouse. Bigamy is punishable by up to seven years in prison. If the offender conceals the existence of the first marriage from the new spouse, the punishment can extend to ten years. [Source: Section 82, BNS 2023]</t>
  </si>
  <si>
    <t xml:space="preserve">CASE_0489</t>
  </si>
  <si>
    <t xml:space="preserve">Because she committed bigamy while having concealed the fact of the former marriage from the person with whom the subsequent marriage was contracted, she is liable under sub-section (2) to imprisonment for up to ten years. [Source: Section 82, BNS 2023]</t>
  </si>
  <si>
    <t xml:space="preserve">CASE_0490</t>
  </si>
  <si>
    <t xml:space="preserve">It is not bigamy if the first marriage was declared void by a competent Court, or if the first spouse has been continually absent and unheard of as alive for seven years, provided the person informs the new spouse of these facts before marrying. [Source: Section 82, BNS 2023]</t>
  </si>
  <si>
    <t xml:space="preserve">CASE_0491</t>
  </si>
  <si>
    <t xml:space="preserve">No, under the exception, if the spouse has been continually absent for the space of seven years and not heard of as alive, the subsequent marriage is not a crime, provided he informs his new bride of the situation. [Source: Section 82, BNS 2023]</t>
  </si>
  <si>
    <t xml:space="preserve">CASE_0492</t>
  </si>
  <si>
    <t xml:space="preserve">The consequence is that the law provides enhanced protection and retribution for the innocent second spouse who was defrauded, treating the deceit involved in hiding the first marriage as an aggravating factor that increases the maximum sentence. [Source: Section 82, BNS 2023]</t>
  </si>
  <si>
    <t xml:space="preserve">CASE_0493</t>
  </si>
  <si>
    <t xml:space="preserve">Marriage ceremony fraudulently gone through without lawful marriage</t>
  </si>
  <si>
    <t xml:space="preserve">Anyone who goes through a marriage ceremony dishonestly or with a fraudulent intention, knowing it does not result in a lawful marriage, can be punished with up to seven years in prison and a fine. [Source: Section 83, BNS 2023]</t>
  </si>
  <si>
    <t xml:space="preserve">Hugging Face source record: BNS_83</t>
  </si>
  <si>
    <t xml:space="preserve">CASE_0494</t>
  </si>
  <si>
    <t xml:space="preserve">Section 83 of BNS 2023 penalizes the act of fraudulently going through a marriage ceremony. If a person dishonestly participates in a marriage ritual knowing it holds no legal validity, they face up to seven years of imprisonment. [Source: Section 83, BNS 2023]</t>
  </si>
  <si>
    <t xml:space="preserve">CASE_0495</t>
  </si>
  <si>
    <t xml:space="preserve">Yes, he went through the ceremony of being married dishonestly or with a fraudulent intention, knowing he is not thereby lawfully married, making him liable for up to seven years in prison. [Source: Section 83, BNS 2023]</t>
  </si>
  <si>
    <t xml:space="preserve">CASE_0496</t>
  </si>
  <si>
    <t xml:space="preserve">It must be proven that they went through the ceremony "dishonestly or with a fraudulent intention", and with the specific knowledge that they were "not thereby lawfully married". [Source: Section 83, BNS 2023]</t>
  </si>
  <si>
    <t xml:space="preserve">CASE_0497</t>
  </si>
  <si>
    <t xml:space="preserve">No, because while they know they aren't lawfully married, they are acting for entertainment, not going through the ceremony "dishonestly or with a fraudulent intention" as required by the law. [Source: Section 83, BNS 2023]</t>
  </si>
  <si>
    <t xml:space="preserve">CASE_0498</t>
  </si>
  <si>
    <t xml:space="preserve">The consequence is that the state protects the institution of marriage by criminalizing the mockery or fraudulent use of its rituals, ensuring that fake weddings cannot be legally used as tools for extortion, deceit, or social fraud. [Source: Section 83, BNS 2023]</t>
  </si>
  <si>
    <t xml:space="preserve">CASE_0499</t>
  </si>
  <si>
    <t xml:space="preserve">Enticing or taking away or detaining with criminal intent a married woman</t>
  </si>
  <si>
    <t xml:space="preserve">Yes, enticing, taking away, or concealing a married woman with the intent to have an illicit sexual relationship with her is a crime punishable by up to two years in prison or a fine. [Source: Section 84, BNS 2023]</t>
  </si>
  <si>
    <t xml:space="preserve">Hugging Face source record: BNS_84</t>
  </si>
  <si>
    <t xml:space="preserve">CASE_0500</t>
  </si>
  <si>
    <t xml:space="preserve">Section 84 of BNS 2023 criminalizes enticing, taking away, concealing, or detaining a married woman. If a person does this knowing she is married, with the intent that she may have illicit intercourse with anyone, they face up to two years in prison. [Source: Section 84, BNS 2023]</t>
  </si>
  <si>
    <t xml:space="preserve">CASE_0501</t>
  </si>
  <si>
    <t xml:space="preserve">He has broken the law against enticing or taking away a married woman, as he concealed her knowing she is a wife, with the intent that she may have illicit intercourse with him. [Source: Section 84, BNS 2023]</t>
  </si>
  <si>
    <t xml:space="preserve">CASE_0502</t>
  </si>
  <si>
    <t xml:space="preserve">No, the law states the intent must be that she may have illicit intercourse "with any person," meaning he is guilty even if he is kidnapping/enticing her to facilitate an affair for someone else. [Source: Section 84, BNS 2023]</t>
  </si>
  <si>
    <t xml:space="preserve">CASE_0503</t>
  </si>
  <si>
    <t xml:space="preserve">No, because the friend is concealing her for protection, not with the required criminal intent that she may have "illicit intercourse with any person." [Source: Section 84, BNS 2023]</t>
  </si>
  <si>
    <t xml:space="preserve">CASE_0504</t>
  </si>
  <si>
    <t xml:space="preserve">The consequence is that the law historically treats a married woman's marital residence and fidelity as something legally protected against third-party interference, penalizing those who actively disrupt a marriage for illicit sexual purposes. [Source: Section 84, BNS 2023]</t>
  </si>
  <si>
    <t xml:space="preserve">CASE_0505</t>
  </si>
  <si>
    <t xml:space="preserve">Husband or relative of husband of a woman subjecting her to cruelty</t>
  </si>
  <si>
    <t xml:space="preserve">If a husband or his relatives subject a woman to cruelty, they can be punished with up to three years in prison and a fine. [Source: Section 85, BNS 2023]</t>
  </si>
  <si>
    <t xml:space="preserve">Hugging Face source record: BNS_85</t>
  </si>
  <si>
    <t xml:space="preserve">CASE_0506</t>
  </si>
  <si>
    <t xml:space="preserve">Section 85 of BNS 2023 addresses domestic cruelty. It states that whoever, being the husband or a relative of the husband, subjects a woman to cruelty, shall be punished with imprisonment extending to three years and a fine. [Source: Section 85, BNS 2023]</t>
  </si>
  <si>
    <t xml:space="preserve">CASE_0507</t>
  </si>
  <si>
    <t xml:space="preserve">Yes, because she is a relative of the husband and is subjecting the woman to cruelty, she is liable for punishment up to three years in prison under this section. [Source: Section 85, BNS 2023]</t>
  </si>
  <si>
    <t xml:space="preserve">CASE_0508</t>
  </si>
  <si>
    <t xml:space="preserve">The section strictly applies only to perpetrators who are "the husband or the relative of the husband of a woman". [Source: Section 85, BNS 2023]</t>
  </si>
  <si>
    <t xml:space="preserve">CASE_0509</t>
  </si>
  <si>
    <t xml:space="preserve">No, this section explicitly only applies to "the husband or the relative of the husband". Cruelty by a boss would fall under different criminal statutes, like harassment or assault. [Source: Section 85, BNS 2023]</t>
  </si>
  <si>
    <t xml:space="preserve">CASE_0510</t>
  </si>
  <si>
    <t xml:space="preserve">The consequence is that the law formally recognizes and creates specific legal recourse for the unique, systemic abuse women often face within their marital homes from their spouses or extended marital families. [Source: Section 85, BNS 2023]</t>
  </si>
  <si>
    <t xml:space="preserve">CASE_0511</t>
  </si>
  <si>
    <t xml:space="preserve">Cruelty defined</t>
  </si>
  <si>
    <t xml:space="preserve">Cruelty includes willful conduct likely to drive a woman to suicide or cause grave injury to her life, limb, or mental/physical health. It also includes harassing her to coerce unlawful demands for property (like dowry). [Source: Section 86, BNS 2023]</t>
  </si>
  <si>
    <t xml:space="preserve">Hugging Face source record: BNS_86</t>
  </si>
  <si>
    <t xml:space="preserve">CASE_0512</t>
  </si>
  <si>
    <t xml:space="preserve">Section 86 of BNS 2023 defines cruelty as willful conduct likely to cause a woman to commit suicide or suffer grave physical or mental injury. It also defines cruelty as harassment aimed at coercing her or her family to meet unlawful property demands, or punishing them for failing to do so. [Source: Section 86, BNS 2023]</t>
  </si>
  <si>
    <t xml:space="preserve">CASE_0513</t>
  </si>
  <si>
    <t xml:space="preserve">Yes, because his willful conduct is of such a nature as is likely to cause grave injury or danger to the mental health of the woman, it satisfies the legal definition of cruelty under clause (a). [Source: Section 86, BNS 2023]</t>
  </si>
  <si>
    <t xml:space="preserve">CASE_0514</t>
  </si>
  <si>
    <t xml:space="preserve">The first category is willful conduct causing physical/mental danger or suicidal ideation. The second category is harassment specifically linked to unlawful property demands (dowry harassment). [Source: Section 86, BNS 2023]</t>
  </si>
  <si>
    <t xml:space="preserve">CASE_0515</t>
  </si>
  <si>
    <t xml:space="preserve">No, normal marital friction is not covered. The law specifies "wilful conduct which is of such a nature as is likely to drive the woman to commit suicide or to cause grave injury or danger," requiring a high threshold of severity. [Source: Section 86, BNS 2023]</t>
  </si>
  <si>
    <t xml:space="preserve">CASE_0516</t>
  </si>
  <si>
    <t xml:space="preserve">The consequence is that the law empowers courts to prosecute domestic abusers for severe psychological and emotional violence, recognizing that domestic cruelty is not limited solely to visible physical beatings. [Source: Section 86, BNS 2023]</t>
  </si>
  <si>
    <t xml:space="preserve">CASE_0517</t>
  </si>
  <si>
    <t xml:space="preserve">Kidnapping, abducting or inducing woman to compel her marriage, etc</t>
  </si>
  <si>
    <t xml:space="preserve">Kidnapping or abducting a woman to compel her into marriage, or to force her into illicit intercourse, is punishable by up to ten years in prison and a fine. [Source: Section 87, BNS 2023]</t>
  </si>
  <si>
    <t xml:space="preserve">Hugging Face source record: BNS_87</t>
  </si>
  <si>
    <t xml:space="preserve">CASE_0518</t>
  </si>
  <si>
    <t xml:space="preserve">Section 87 of BNS 2023 covers kidnapping, abducting, or inducing a woman to compel her into marriage or illicit intercourse. Using criminal intimidation, abuse of authority, or compulsion to achieve these ends is punishable by up to ten years imprisonment. [Source: Section 87, BNS 2023]</t>
  </si>
  <si>
    <t xml:space="preserve">CASE_0519</t>
  </si>
  <si>
    <t xml:space="preserve">Because he used criminal intimidation to induce the woman to go from any place with the intent that she be forced into illicit intercourse, he is punishable by up to ten years in prison under this section. [Source: Section 87, BNS 2023]</t>
  </si>
  <si>
    <t xml:space="preserve">CASE_0520</t>
  </si>
  <si>
    <t xml:space="preserve">The section explicitly criminalizes the use of "criminal intimidation", "abuse of authority", or "any other method of compulsion" to induce a woman to go from any place for illicit intercourse. [Source: Section 87, BNS 2023]</t>
  </si>
  <si>
    <t xml:space="preserve">CASE_0521</t>
  </si>
  <si>
    <t xml:space="preserve">No, the law targets kidnapping or abduction with the intent that she be compelled to marry "against her will". If the woman is a consenting adult acting of her own free will, no crime is committed under this section. [Source: Section 87, BNS 2023]</t>
  </si>
  <si>
    <t xml:space="preserve">CASE_0522</t>
  </si>
  <si>
    <t xml:space="preserve">The consequence is that forced marriages are inherently criminalized at the abduction/coercion stage; the state can aggressively prosecute the perpetrators for the kidnapping and intimidation itself before the forced wedding even takes place. [Source: Section 87, BNS 2023]</t>
  </si>
  <si>
    <t xml:space="preserve">CASE_0523</t>
  </si>
  <si>
    <t xml:space="preserve">Causing miscarriage</t>
  </si>
  <si>
    <t xml:space="preserve">Yes, voluntarily causing a miscarriage is punishable by up to three years in prison, or up to seven years if the woman is "quick with child" (advanced pregnancy). However, it is legal if done in good faith to save the woman's life. [Source: Section 88, BNS 2023]</t>
  </si>
  <si>
    <t xml:space="preserve">Hugging Face source record: BNS_88</t>
  </si>
  <si>
    <t xml:space="preserve">CASE_0524</t>
  </si>
  <si>
    <t xml:space="preserve">Section 88 of BNS 2023 criminalizes voluntarily causing a miscarriage unless done in good faith to save the mother's life. The penalty is up to three years, increasing to up to seven years if the fetus is developed ("quick with child"). [Source: Section 88, BNS 2023]</t>
  </si>
  <si>
    <t xml:space="preserve">CASE_0525</t>
  </si>
  <si>
    <t xml:space="preserve">Yes, the Explanation explicitly states that "a woman who causes herself to miscarry, is within the meaning of this section," making her liable for up to three or seven years depending on the stage of pregnancy. [Source: Section 88, BNS 2023]</t>
  </si>
  <si>
    <t xml:space="preserve">CASE_0526</t>
  </si>
  <si>
    <t xml:space="preserve">The only defense provided within this specific section is if the miscarriage is caused "in good faith for the purpose of saving the life of the woman." [Source: Section 88, BNS 2023]</t>
  </si>
  <si>
    <t xml:space="preserve">CASE_0527</t>
  </si>
  <si>
    <t xml:space="preserve">The distinction relies on whether the woman is "quick with child" (meaning she can feel fetal movement, usually denoting a later stage of pregnancy). If she is, the penalty increases to a maximum of seven years. [Source: Section 88, BNS 2023]</t>
  </si>
  <si>
    <t xml:space="preserve">CASE_0528</t>
  </si>
  <si>
    <t xml:space="preserve">The consequence is that the law treats self-induced, non-medical abortions (outside the legal framework of the Medical Termination of Pregnancy Act) as a criminal offence committed by the pregnant woman against her own fetus. [Source: Section 88, BNS 2023]</t>
  </si>
  <si>
    <t xml:space="preserve">CASE_0529</t>
  </si>
  <si>
    <t xml:space="preserve">Causing miscarriage without woman’s consent</t>
  </si>
  <si>
    <t xml:space="preserve">Causing a miscarriage without the pregnant woman's consent is an extremely severe crime, punishable by life imprisonment or up to ten years in prison, regardless of the stage of pregnancy. [Source: Section 89, BNS 2023]</t>
  </si>
  <si>
    <t xml:space="preserve">Hugging Face source record: BNS_89</t>
  </si>
  <si>
    <t xml:space="preserve">CASE_0530</t>
  </si>
  <si>
    <t xml:space="preserve">Section 89 of BNS 2023 elevates the crime of causing a miscarriage to a much higher severity if done without the woman's consent. It abolishes the "quick with child" distinction for this scenario, prescribing a maximum penalty of life imprisonment or up to ten years. [Source: Section 89, BNS 2023]</t>
  </si>
  <si>
    <t xml:space="preserve">CASE_0531</t>
  </si>
  <si>
    <t xml:space="preserve">Because he committed the offence of causing a miscarriage without the consent of the woman, he is liable to imprisonment for life or up to ten years in prison. [Source: Section 89, BNS 2023]</t>
  </si>
  <si>
    <t xml:space="preserve">CASE_0532</t>
  </si>
  <si>
    <t xml:space="preserve">No, this section explicitly states that the punishment applies "whether the woman is quick with child or not", making the lack of consent the primary aggravating factor. [Source: Section 89, BNS 2023]</t>
  </si>
  <si>
    <t xml:space="preserve">CASE_0533</t>
  </si>
  <si>
    <t xml:space="preserve">Generally no. While Section 88 has a life-saving exception, Section 89 severely punishes acting "without the consent of the woman." Medical ethics and law require consent from capable patients, prioritizing bodily autonomy. [Source: Section 89, BNS 2023]</t>
  </si>
  <si>
    <t xml:space="preserve">CASE_0534</t>
  </si>
  <si>
    <t xml:space="preserve">The consequence is that the state recognizes forced miscarriage as a profound violation of both fetal life and maternal bodily autonomy, treating the circumvention of the mother's consent as an atrocity warranting life imprisonment. [Source: Section 89, BNS 2023]</t>
  </si>
  <si>
    <t xml:space="preserve">CASE_0535</t>
  </si>
  <si>
    <t xml:space="preserve">Death caused by act done with intent to cause miscarriage</t>
  </si>
  <si>
    <t xml:space="preserve">If a person acts with intent to cause a miscarriage and causes the woman's death, they face up to ten years in prison. If they did this without the woman's consent, the punishment increases to life imprisonment. [Source: Section 90, BNS 2023]</t>
  </si>
  <si>
    <t xml:space="preserve">Hugging Face source record: BNS_90</t>
  </si>
  <si>
    <t xml:space="preserve">CASE_0536</t>
  </si>
  <si>
    <t xml:space="preserve">Section 90 of BNS 2023 dictates that causing a pregnant woman's death while attempting to cause a miscarriage is punishable by up to ten years. If the act was done without her consent, the penalty is life imprisonment. [Source: Section 90, BNS 2023]</t>
  </si>
  <si>
    <t xml:space="preserve">CASE_0537</t>
  </si>
  <si>
    <t xml:space="preserve">Yes, they are guilty and face up to ten years in prison. The Explanation clearly states it is not essential to this offence that the offender should know the act is likely to cause death. [Source: Section 90, BNS 2023]</t>
  </si>
  <si>
    <t xml:space="preserve">CASE_0538</t>
  </si>
  <si>
    <t xml:space="preserve">The standard tier is up to ten years imprisonment. However, if the act intended to cause the miscarriage was done "without the consent of the woman," the tier elevates to life imprisonment. [Source: Section 90, BNS 2023]</t>
  </si>
  <si>
    <t xml:space="preserve">CASE_0539</t>
  </si>
  <si>
    <t xml:space="preserve">No, the statute imposes strict liability for the resulting death. As long as the intent to cause the miscarriage was present, the lack of knowledge that the act was deadly is not a valid defense against this charge. [Source: Section 90, BNS 2023]</t>
  </si>
  <si>
    <t xml:space="preserve">CASE_0540</t>
  </si>
  <si>
    <t xml:space="preserve">The consequence is that illegal abortion providers act at their own absolute peril regarding the mother's life; any fatal complication automatically results in severe homicide-level charges, regardless of their medical intent or lack of malice toward the mother. [Source: Section 90, BNS 2023]</t>
  </si>
  <si>
    <t xml:space="preserve">CASE_0541</t>
  </si>
  <si>
    <t xml:space="preserve">Act done with intent to prevent child being born alive or to cause to die after birth</t>
  </si>
  <si>
    <t xml:space="preserve">Doing an act before a child's birth with the intent to prevent it from being born alive, or to cause it to die after birth, is punishable by up to ten years in prison and a fine, unless done in good faith to save the mother's life. [Source: Section 91, BNS 2023]</t>
  </si>
  <si>
    <t xml:space="preserve">Hugging Face source record: BNS_91</t>
  </si>
  <si>
    <t xml:space="preserve">CASE_0542</t>
  </si>
  <si>
    <t xml:space="preserve">Section 91 of BNS 2023 penalizes acts done before a child's birth with the specific intention of either preventing the child from being born alive (feticide) or causing it to die after birth (infanticide). The punishment is up to ten years imprisonment. [Source: Section 91, BNS 2023]</t>
  </si>
  <si>
    <t xml:space="preserve">CASE_0543</t>
  </si>
  <si>
    <t xml:space="preserve">Yes, he did an act before birth with the intention of causing the child to die after its birth, and the child did die as a result, making him liable for up to ten years in prison. [Source: Section 91, BNS 2023]</t>
  </si>
  <si>
    <t xml:space="preserve">CASE_0544</t>
  </si>
  <si>
    <t xml:space="preserve">The only defense is if the act is "caused in good faith for the purpose of saving the life of the mother." [Source: Section 91, BNS 2023]</t>
  </si>
  <si>
    <t xml:space="preserve">CASE_0545</t>
  </si>
  <si>
    <t xml:space="preserve">No, standard legal abortions do not fall under this section. This section specifically targets malicious acts intended to kill a child near birth or cause it to die shortly after, treating it as akin to a near-homicide of a developing child. [Source: Section 91, BNS 2023]</t>
  </si>
  <si>
    <t xml:space="preserve">CASE_0546</t>
  </si>
  <si>
    <t xml:space="preserve">The consequence is that perpetrators cannot escape murder-like charges simply because the fatal injury was inflicted *before* the child was legally considered a full person; if the pre-birth injury intentionally causes death during or after birth, severe penalties apply. [Source: Section 91, BNS 2023]</t>
  </si>
  <si>
    <t xml:space="preserve">CASE_0547</t>
  </si>
  <si>
    <t xml:space="preserve">Causing death of quick unborn child by act amounting to culpable homicide</t>
  </si>
  <si>
    <t xml:space="preserve">If a person does an act that would amount to culpable homicide if the woman died, but instead it causes the death of her "quick" (developed) unborn child, they can be punished with up to ten years in prison. [Source: Section 92, BNS 2023]</t>
  </si>
  <si>
    <t xml:space="preserve">Hugging Face source record: BNS_92</t>
  </si>
  <si>
    <t xml:space="preserve">CASE_0548</t>
  </si>
  <si>
    <t xml:space="preserve">Section 92 of BNS 2023 applies when an offender commits an act against a pregnant woman that would constitute culpable homicide if she died. If she survives but her "quick unborn child" dies as a result, the offender is punished with up to ten years imprisonment. [Source: Section 92, BNS 2023]</t>
  </si>
  <si>
    <t xml:space="preserve">CASE_0549</t>
  </si>
  <si>
    <t xml:space="preserve">As per the Illustration, because he did an act likely to cause the death of the woman (which would be culpable homicide), and thereby caused the death of the quick unborn child, he is guilty of an offence under Section 92. [Source: Section 92, BNS 2023]</t>
  </si>
  <si>
    <t xml:space="preserve">CASE_0550</t>
  </si>
  <si>
    <t xml:space="preserve">The law requires that the unborn child must be a "quick unborn child" (meaning the mother can feel its movements, indicating an advanced stage of pregnancy). [Source: Section 92, BNS 2023]</t>
  </si>
  <si>
    <t xml:space="preserve">CASE_0551</t>
  </si>
  <si>
    <t xml:space="preserve">No, because Section 92 specifically requires that the act be done under circumstances where "if he thereby caused death he would be guilty of culpable homicide." Mild negligence does not amount to culpable homicide. [Source: Section 92, BNS 2023]</t>
  </si>
  <si>
    <t xml:space="preserve">CASE_0552</t>
  </si>
  <si>
    <t xml:space="preserve">The consequence is that the law effectively transfers the murderous intent from the mother to the advanced fetus; the perpetrator is held criminally liable for a severe fetal homicide even though their primary target was the mother. [Source: Section 92, BNS 2023]</t>
  </si>
  <si>
    <t xml:space="preserve">CASE_0553</t>
  </si>
  <si>
    <t xml:space="preserve">Exposure and abandonment of child under twelve years of age, by parent or person having</t>
  </si>
  <si>
    <t xml:space="preserve">A parent or caretaker who exposes or leaves a child under twelve years of age in any place with the intention of wholly abandoning them can be punished with up to seven years in prison. [Source: Section 93, BNS 2023]</t>
  </si>
  <si>
    <t xml:space="preserve">Hugging Face source record: BNS_93</t>
  </si>
  <si>
    <t xml:space="preserve">CASE_0554</t>
  </si>
  <si>
    <t xml:space="preserve">Section 93 of BNS 2023 criminalizes the exposure and abandonment of a child under twelve by their parent or caretaker. Leaving a child in any place with the intent to wholly abandon them carries a penalty of up to seven years in prison. [Source: Section 93, BNS 2023]</t>
  </si>
  <si>
    <t xml:space="preserve">CASE_0555</t>
  </si>
  <si>
    <t xml:space="preserve">She has committed the offence of exposure and abandonment of a child, as she is the mother of a child under twelve and left the child with the intention of wholly abandoning them. [Source: Section 93, BNS 2023]</t>
  </si>
  <si>
    <t xml:space="preserve">CASE_0556</t>
  </si>
  <si>
    <t xml:space="preserve">The child must be under the age of twelve years. [Source: Section 93, BNS 2023]</t>
  </si>
  <si>
    <t xml:space="preserve">CASE_0557</t>
  </si>
  <si>
    <t xml:space="preserve">No, the Explanation clarifies that this section does not prevent the offender from being tried for murder or culpable homicide if the child actually dies as a consequence of the exposure. [Source: Section 93, BNS 2023]</t>
  </si>
  <si>
    <t xml:space="preserve">CASE_0558</t>
  </si>
  <si>
    <t xml:space="preserve">The consequence is that the law enforces a strict duty of care; parents cannot unilaterally terminate their obligations by simply discarding young children, making abandonment a severe criminal act independent of whether the child actually gets physically hurt. [Source: Section 93, BNS 2023]</t>
  </si>
  <si>
    <t xml:space="preserve">CASE_0559</t>
  </si>
  <si>
    <t xml:space="preserve">Concealment of birth by secret disposal of dead body</t>
  </si>
  <si>
    <t xml:space="preserve">Yes, secretly burying or disposing of the dead body of a child (whether it died before, during, or after birth) to intentionally conceal the birth is a crime punishable by up to two years in prison. [Source: Section 94, BNS 2023]</t>
  </si>
  <si>
    <t xml:space="preserve">Hugging Face source record: BNS_94</t>
  </si>
  <si>
    <t xml:space="preserve">CASE_0560</t>
  </si>
  <si>
    <t xml:space="preserve">Section 94 of BNS 2023 prohibits the concealment of a birth through the secret disposal of a dead body. Anyone who secretly buries or disposes of an infant's corpse to hide the fact of its birth faces up to two years imprisonment. [Source: Section 94, BNS 2023]</t>
  </si>
  <si>
    <t xml:space="preserve">CASE_0561</t>
  </si>
  <si>
    <t xml:space="preserve">Yes, by secretly burying the dead body of the child to intentionally conceal the birth, she has committed an offence punishable by up to two years in prison under this section. [Source: Section 94, BNS 2023]</t>
  </si>
  <si>
    <t xml:space="preserve">CASE_0562</t>
  </si>
  <si>
    <t xml:space="preserve">No, the law applies whether such child died "before or after or during its birth." The crime is the act of secret disposal to conceal the birth, independent of the cause of death. [Source: Section 94, BNS 2023]</t>
  </si>
  <si>
    <t xml:space="preserve">CASE_0563</t>
  </si>
  <si>
    <t xml:space="preserve">No, because a lawful, recorded funeral lacks the element of "secretly burying" to "intentionally conceal or endeavour to conceal the birth." The law targets clandestine disposals meant to hide the pregnancy/birth from society or authorities. [Source: Section 94, BNS 2023]</t>
  </si>
  <si>
    <t xml:space="preserve">CASE_0564</t>
  </si>
  <si>
    <t xml:space="preserve">The consequence is that the state mandates transparency regarding all human births and deaths; criminalizing secret disposals prevents individuals from easily covering up infanticides, illegal abortions, or maternal deaths under the guise of unrecorded stillbirths. [Source: Section 94, BNS 2023]</t>
  </si>
  <si>
    <t xml:space="preserve">CASE_0565</t>
  </si>
  <si>
    <t xml:space="preserve">Hiring, employing or engaging a child to commit an offence</t>
  </si>
  <si>
    <t xml:space="preserve">Anyone who hires or employs a child to commit a crime faces a minimum of three years and up to ten years in prison. If the child actually commits the crime, the adult is also punished for that specific crime as if they committed it themselves. [Source: Section 95, BNS 2023]</t>
  </si>
  <si>
    <t xml:space="preserve">Hugging Face source record: BNS_95</t>
  </si>
  <si>
    <t xml:space="preserve">CASE_0566</t>
  </si>
  <si>
    <t xml:space="preserve">Section 95 of BNS 2023 severely penalizes hiring or engaging a child to commit an offence, setting a minimum sentence of three years up to ten years. If the offence is carried out, the adult is additionally punished as if they personally committed the underlying crime. [Source: Section 95, BNS 2023]</t>
  </si>
  <si>
    <t xml:space="preserve">CASE_0567</t>
  </si>
  <si>
    <t xml:space="preserve">The smuggler is liable for 3 to 10 years for employing the child, AND because the offence of weapon smuggling was committed, the smuggler is also punished with the penalty for weapon smuggling as if he had carried the weapons himself. [Source: Section 95, BNS 2023]</t>
  </si>
  <si>
    <t xml:space="preserve">CASE_0568</t>
  </si>
  <si>
    <t xml:space="preserve">Yes, the Explanation explicitly states that hiring, employing, engaging, or using a child for sexual exploitation or pornography is covered within the meaning of this section. [Source: Section 95, BNS 2023]</t>
  </si>
  <si>
    <t xml:space="preserve">CASE_0569</t>
  </si>
  <si>
    <t xml:space="preserve">Not under Section 95, as it requires active "hiring, employing or engaging" the child to commit an offence. Passive receipt of stolen goods or mere negligence is handled under different legal sections. [Source: Section 95, BNS 2023]</t>
  </si>
  <si>
    <t xml:space="preserve">CASE_0570</t>
  </si>
  <si>
    <t xml:space="preserve">The consequence is that it closes a major loophole; crime bosses can no longer shield themselves by using minors (who face lenient juvenile penalties) as foot soldiers, because the bosses will now face severe, compounded adult penalties for the children's actions. [Source: Section 95, BNS 2023]</t>
  </si>
  <si>
    <t xml:space="preserve">CASE_0571</t>
  </si>
  <si>
    <t xml:space="preserve">Procuration of child</t>
  </si>
  <si>
    <t xml:space="preserve">Procuration of a child involves inducing a child to go anywhere or do any act with the intention or knowledge that the child will likely be forced or seduced into illicit intercourse. It is punishable by up to ten years in prison and a fine. [Source: Section 96, BNS 2023]</t>
  </si>
  <si>
    <t xml:space="preserve">Hugging Face source record: BNS_96</t>
  </si>
  <si>
    <t xml:space="preserve">CASE_0572</t>
  </si>
  <si>
    <t xml:space="preserve">Section 96 of BNS 2023 penalizes anyone who induces a child to move locations or perform acts, intending or knowing it is likely that the child will be forced or seduced into illicit intercourse with another person, carrying a penalty of up to ten years imprisonment. [Source: Section 96, BNS 2023]</t>
  </si>
  <si>
    <t xml:space="preserve">CASE_0573</t>
  </si>
  <si>
    <t xml:space="preserve">Yes, by inducing the child to go to another place knowing it is likely she will be forced or seduced to illicit intercourse with another person, he is guilty of procuration of a child and faces up to ten years in prison. [Source: Section 96, BNS 2023]</t>
  </si>
  <si>
    <t xml:space="preserve">CASE_0574</t>
  </si>
  <si>
    <t xml:space="preserve">It must be proven that they acted with the intent that the child be forced/seduced to illicit intercourse, or with the knowledge that it was "likely" such a thing would happen. [Source: Section 96, BNS 2023]</t>
  </si>
  <si>
    <t xml:space="preserve">CASE_0575</t>
  </si>
  <si>
    <t xml:space="preserve">No, because the driver lacks the requisite criminal "intent" or "knowledge that it is likely" that the child will be forced or seduced into illicit intercourse. Mere transportation without criminal knowledge does not constitute procuration. [Source: Section 96, BNS 2023]</t>
  </si>
  <si>
    <t xml:space="preserve">CASE_0576</t>
  </si>
  <si>
    <t xml:space="preserve">The consequence is that it criminalizes the "recruiters" or "facilitators" within trafficking rings; people who merely convince or lure children into dangerous situations are punished severely even if they are not the end-stage abusers. [Source: Section 96, BNS 2023]</t>
  </si>
  <si>
    <t xml:space="preserve">CASE_0577</t>
  </si>
  <si>
    <t xml:space="preserve">Kidnapping or abducting child under ten years of age with intent to steal from its person</t>
  </si>
  <si>
    <t xml:space="preserve">Kidnapping or abducting a child under ten years old with the intention of dishonestly taking movable property from their person is punishable by up to seven years in prison and a fine. [Source: Section 97, BNS 2023]</t>
  </si>
  <si>
    <t xml:space="preserve">Hugging Face source record: BNS_97</t>
  </si>
  <si>
    <t xml:space="preserve">CASE_0578</t>
  </si>
  <si>
    <t xml:space="preserve">Section 97 of BNS 2023 addresses kidnapping or abducting a child under ten years of age with the specific intent to dishonestly take movable property (like jewelry or clothing) from the child's person. It carries a penalty of up to seven years imprisonment. [Source: Section 97, BNS 2023]</t>
  </si>
  <si>
    <t xml:space="preserve">CASE_0579</t>
  </si>
  <si>
    <t xml:space="preserve">The appropriate charge is kidnapping or abducting a child under ten years of age with the intent to steal from its person, punishable by up to seven years in prison. [Source: Section 97, BNS 2023]</t>
  </si>
  <si>
    <t xml:space="preserve">CASE_0580</t>
  </si>
  <si>
    <t xml:space="preserve">The child must be "under the age of ten years". [Source: Section 97, BNS 2023]</t>
  </si>
  <si>
    <t xml:space="preserve">CASE_0581</t>
  </si>
  <si>
    <t xml:space="preserve">No, because Section 97 strictly applies only to children "under the age of ten years." The kidnapping and theft of the teenager would be prosecuted under general kidnapping and robbery/theft sections instead. [Source: Section 97, BNS 2023]</t>
  </si>
  <si>
    <t xml:space="preserve">CASE_0582</t>
  </si>
  <si>
    <t xml:space="preserve">The consequence is that the law acknowledges the unique vulnerability of very young children who are often targeted purely for the valuables placed on them by their parents, ensuring a severe kidnapping penalty applies even if no ransom is demanded. [Source: Section 97, BNS 2023]</t>
  </si>
  <si>
    <t xml:space="preserve">CASE_0583</t>
  </si>
  <si>
    <t xml:space="preserve">Selling child for purposes of prostitution, etc</t>
  </si>
  <si>
    <t xml:space="preserve">Selling, hiring out, or disposing of a child with the intent or knowledge that they will be used for prostitution or illicit intercourse is punishable by up to ten years in prison and a fine. [Source: Section 98, BNS 2023]</t>
  </si>
  <si>
    <t xml:space="preserve">Hugging Face source record: BNS_98</t>
  </si>
  <si>
    <t xml:space="preserve">CASE_0584</t>
  </si>
  <si>
    <t xml:space="preserve">Section 98 of BNS 2023 criminalizes selling, letting to hire, or disposing of a child intending or knowing they will be used for prostitution, illicit intercourse, or any unlawful/immoral purpose. It is punishable by up to ten years imprisonment. [Source: Section 98, BNS 2023]</t>
  </si>
  <si>
    <t xml:space="preserve">CASE_0585</t>
  </si>
  <si>
    <t xml:space="preserve">The parent is liable to imprisonment for up to ten years for selling or disposing of the child with the intent or knowledge that she would be used for the purpose of prostitution. [Source: Section 98, BNS 2023]</t>
  </si>
  <si>
    <t xml:space="preserve">CASE_0586</t>
  </si>
  <si>
    <t xml:space="preserve">The court legally presumes, until the contrary is proved, that the person disposing of her did so with the specific intent that she would be used for the purpose of prostitution. [Source: Section 98, BNS 2023]</t>
  </si>
  <si>
    <t xml:space="preserve">CASE_0587</t>
  </si>
  <si>
    <t xml:space="preserve">It defines "illicit intercourse" as sexual intercourse between persons not united by marriage or by any recognized union/tie that constitutes a quasi-marital relation under their personal law or custom. [Source: Section 98, BNS 2023]</t>
  </si>
  <si>
    <t xml:space="preserve">CASE_0588</t>
  </si>
  <si>
    <t xml:space="preserve">The consequence is that it shifts the burden of proof; prosecutors do not need to independently prove the seller's intent if the buyer is a known brothel manager, making it much easier to secure convictions against those who sell children into the sex trade. [Source: Section 98, BNS 2023]</t>
  </si>
  <si>
    <t xml:space="preserve">CASE_0589</t>
  </si>
  <si>
    <t xml:space="preserve">Buying child for purposes of prostitution, etc</t>
  </si>
  <si>
    <t xml:space="preserve">Buying, hiring, or obtaining possession of a child with the intent or knowledge that they will be used for prostitution or illicit intercourse is a severe crime punishable by a minimum of seven years, extending up to fourteen years in prison. [Source: Section 99, BNS 2023]</t>
  </si>
  <si>
    <t xml:space="preserve">Hugging Face source record: BNS_99</t>
  </si>
  <si>
    <t xml:space="preserve">CASE_0590</t>
  </si>
  <si>
    <t xml:space="preserve">Section 99 of BNS 2023 targets the demand side of child trafficking, penalizing anyone who buys, hires, or obtains a child for prostitution or immoral purposes. It mandates a strict minimum sentence of seven years, up to a maximum of fourteen years. [Source: Section 99, BNS 2023]</t>
  </si>
  <si>
    <t xml:space="preserve">CASE_0591</t>
  </si>
  <si>
    <t xml:space="preserve">Because he bought or obtained possession of the child for illicit intercourse, he faces a mandatory minimum sentence of "not less than seven years" which may extend to fourteen years in prison. [Source: Section 99, BNS 2023]</t>
  </si>
  <si>
    <t xml:space="preserve">CASE_0592</t>
  </si>
  <si>
    <t xml:space="preserve">While the seller faces "up to ten years", the buyer faces a much harsher penalty with a strict mandatory minimum of seven years, extending up to fourteen years. [Source: Section 98, BNS 2023; Section 99, BNS 2023]</t>
  </si>
  <si>
    <t xml:space="preserve">CASE_0593</t>
  </si>
  <si>
    <t xml:space="preserve">No, because the section requires obtaining the child "with intent that such child shall... be employed or used for the purpose of prostitution or illicit intercourse... or for any unlawful and immoral purpose." Rescuing lacks this criminal intent. [Source: Section 99, BNS 2023]</t>
  </si>
  <si>
    <t xml:space="preserve">CASE_0594</t>
  </si>
  <si>
    <t xml:space="preserve">The consequence is that the state aggressively targets the financial demand that drives child trafficking; by ensuring that buyers face guaranteed, lengthy prison time (minimum 7 years), it aims to destroy the economic market for child exploitation. [Source: Section 99, BNS 2023]</t>
  </si>
  <si>
    <t xml:space="preserve">CASE_0595</t>
  </si>
  <si>
    <t xml:space="preserve">Culpable homicide</t>
  </si>
  <si>
    <t xml:space="preserve">Culpable homicide is causing death by doing an act with the intention of causing death, or the intention of causing a bodily injury likely to cause death, or with the knowledge that the act is likely to cause death. [Source: Section 100, BNS 2023]</t>
  </si>
  <si>
    <t xml:space="preserve">Hugging Face source record: BNS_100</t>
  </si>
  <si>
    <t xml:space="preserve">CASE_0596</t>
  </si>
  <si>
    <t xml:space="preserve">Section 100 of BNS 2023 defines culpable homicide as causing death through an act done with the intention of causing death, the intention of causing bodily injury likely to cause death, or the knowledge that the act is likely to cause death. [Source: Section 100, BNS 2023]</t>
  </si>
  <si>
    <t xml:space="preserve">CASE_0597</t>
  </si>
  <si>
    <t xml:space="preserve">The man who tricked his friend is guilty of culpable homicide because he induced the act intending or knowing it was likely to cause the neighbor's death. The friend who fired may be guilty of no offence as he lacked intent/knowledge. [Source: Section 100, BNS 2023]</t>
  </si>
  <si>
    <t xml:space="preserve">CASE_0598</t>
  </si>
  <si>
    <t xml:space="preserve">The attacker "shall be deemed to have caused his death," meaning the pre-existing disease or infirmity does not excuse the attacker from culpable homicide if the injury accelerated the death. [Source: Section 100, BNS 2023]</t>
  </si>
  <si>
    <t xml:space="preserve">CASE_0599</t>
  </si>
  <si>
    <t xml:space="preserve">No, Explanation 2 states that the person who causes the fatal bodily injury is deemed to have caused the death, even if resorting to proper remedies and skillful treatment might have prevented the death. [Source: Section 100, BNS 2023]</t>
  </si>
  <si>
    <t xml:space="preserve">CASE_0600</t>
  </si>
  <si>
    <t xml:space="preserve">The consequence is that while killing a fetus in the womb is not homicide, it *can* amount to culpable homicide if any part of the child has been brought forth (partially born), even if the child hasn't breathed or been completely born yet. [Source: Section 100, BNS 2023]</t>
  </si>
  <si>
    <t xml:space="preserve">CASE_0601</t>
  </si>
  <si>
    <t xml:space="preserve">Murder</t>
  </si>
  <si>
    <t xml:space="preserve">Murder is an aggravated form of culpable homicide where the intent to cause death is clear, the bodily injury intended is known to be fatal or is objectively sufficient to cause death, or the act is imminently dangerous without excuse. [Source: Section 101, BNS 2023]</t>
  </si>
  <si>
    <t xml:space="preserve">Hugging Face source record: BNS_101</t>
  </si>
  <si>
    <t xml:space="preserve">CASE_0602</t>
  </si>
  <si>
    <t xml:space="preserve">Section 101 of BNS 2023 establishes four clauses making culpable homicide murder: specific intent to kill, intent to cause known fatal injury, inflicting injury sufficient in ordinary course to cause death, or acting with imminent danger without excuse. It also lists five Exceptions where the crime reverts to culpable homicide not amounting to murder. [Source: Section 101, BNS 2023]</t>
  </si>
  <si>
    <t xml:space="preserve">CASE_0603</t>
  </si>
  <si>
    <t xml:space="preserve">Yes, under clause (b), because the act causing death was done with the intention of causing such bodily injury as the offender knew was likely to cause the death of that specific person. [Source: Section 101, BNS 2023]</t>
  </si>
  <si>
    <t xml:space="preserve">CASE_0604</t>
  </si>
  <si>
    <t xml:space="preserve">Under Exception 1, the offender must be deprived of self-control by grave/sudden provocation and kill the provoker. However, the provocation cannot be sought by the offender, given by a public servant obeying the law, or given in lawful private defense. [Source: Section 101, BNS 2023]</t>
  </si>
  <si>
    <t xml:space="preserve">CASE_0605</t>
  </si>
  <si>
    <t xml:space="preserve">No, under Exception 4, culpable homicide is not murder if committed without premeditation in a sudden fight in the heat of passion upon a sudden quarrel, provided the offender didn't take undue advantage. [Source: Section 101, BNS 2023]</t>
  </si>
  <si>
    <t xml:space="preserve">CASE_0606</t>
  </si>
  <si>
    <t xml:space="preserve">The consequence is that if an adult victim (above 18) voluntarily consents to suffer death or take the risk of death, the killer's offence is reduced from murder to culpable homicide not amounting to murder. [Source: Section 101, BNS 2023]</t>
  </si>
  <si>
    <t xml:space="preserve">CASE_0607</t>
  </si>
  <si>
    <t xml:space="preserve">Culpable homicide by causing death of person other than person whose death was</t>
  </si>
  <si>
    <t xml:space="preserve">If a person intends or knows they are likely to cause death, and accidentally kills someone they didn't intend to, the law treats the crime exactly as if they had killed their intended target (the doctrine of transferred malice). [Source: Section 102, BNS 2023]</t>
  </si>
  <si>
    <t xml:space="preserve">Hugging Face source record: BNS_102</t>
  </si>
  <si>
    <t xml:space="preserve">CASE_0608</t>
  </si>
  <si>
    <t xml:space="preserve">Section 102 of BNS 2023 dictates that if a person commits culpable homicide by killing someone whose death they neither intended nor foresaw, the crime is still of the exact same description as if they had killed their intended target. [Source: Section 102, BNS 2023]</t>
  </si>
  <si>
    <t xml:space="preserve">CASE_0609</t>
  </si>
  <si>
    <t xml:space="preserve">The assassin is guilty of the murder of the child, because under this section, the culpable homicide committed is of the same description as if he had caused the death of the politician he intended to kill. [Source: Section 102, BNS 2023]</t>
  </si>
  <si>
    <t xml:space="preserve">CASE_0610</t>
  </si>
  <si>
    <t xml:space="preserve">No, the section explicitly applies when the offender causes the death of a person "whose death he neither intends nor knows himself to be likely to cause." [Source: Section 102, BNS 2023]</t>
  </si>
  <si>
    <t xml:space="preserve">CASE_0611</t>
  </si>
  <si>
    <t xml:space="preserve">No, this section prevents that defense. The legal severity of the crime transfers entirely from the intended victim to the actual victim. [Source: Section 102, BNS 2023]</t>
  </si>
  <si>
    <t xml:space="preserve">CASE_0612</t>
  </si>
  <si>
    <t xml:space="preserve">The consequence is that it ensures criminals cannot escape full murder charges when their deadly actions indiscriminately harm innocent bystanders, cementing the legal principle that deadly intent, once acted upon, carries full liability regardless of who the bullet strikes. [Source: Section 102, BNS 2023]</t>
  </si>
  <si>
    <t xml:space="preserve">CASE_0613</t>
  </si>
  <si>
    <t xml:space="preserve">Punishment for murder</t>
  </si>
  <si>
    <t xml:space="preserve">The standard punishment for murder is death or life imprisonment, plus a fine. If the murder is committed by a mob of five or more people based on identity (like caste, race, or sex), every member faces death or life imprisonment and a fine. [Source: Section 103, BNS 2023]</t>
  </si>
  <si>
    <t xml:space="preserve">Hugging Face source record: BNS_103</t>
  </si>
  <si>
    <t xml:space="preserve">CASE_0614</t>
  </si>
  <si>
    <t xml:space="preserve">Section 103 of BNS 2023 mandates that murder be punished with death or life imprisonment. Sub-section (2) specifically addresses mob lynching/hate crimes, stipulating that if a group of five or more commits murder based on race, caste, sex, etc., each member receives death or life imprisonment. [Source: Section 103, BNS 2023]</t>
  </si>
  <si>
    <t xml:space="preserve">CASE_0615</t>
  </si>
  <si>
    <t xml:space="preserve">Under sub-section (2), because a group of five or more persons acting in concert committed murder on the ground of personal belief/community, each member of the group shall be punished with death or life imprisonment. [Source: Section 103, BNS 2023]</t>
  </si>
  <si>
    <t xml:space="preserve">CASE_0616</t>
  </si>
  <si>
    <t xml:space="preserve">It requires a group of "five or more persons acting in concert," and the murder must be committed on the ground of "race, caste or community, sex, place of birth, language, personal belief or any other similar ground." [Source: Section 103, BNS 2023]</t>
  </si>
  <si>
    <t xml:space="preserve">CASE_0617</t>
  </si>
  <si>
    <t xml:space="preserve">No, because sub-section (2) explicitly requires a group of "five or more persons". However, they would still face death or life imprisonment under the general murder provision in sub-section (1). [Source: Section 103, BNS 2023]</t>
  </si>
  <si>
    <t xml:space="preserve">CASE_0618</t>
  </si>
  <si>
    <t xml:space="preserve">The consequence is that the law now formally recognizes and specifically codifies "mob lynching" and hate crimes as distinct, aggravated forms of murder, ensuring collective accountability for identity-based violence. [Source: Section 103, BNS 2023]</t>
  </si>
  <si>
    <t xml:space="preserve">CASE_0619</t>
  </si>
  <si>
    <t xml:space="preserve">Punishment for murder by life-convict</t>
  </si>
  <si>
    <t xml:space="preserve">An individual who commits murder while already under a sentence of life imprisonment will be punished with death or with a life sentence that strictly means the remainder of their natural life. [Source: Section 104, BNS 2023]</t>
  </si>
  <si>
    <t xml:space="preserve">Hugging Face source record: BNS_104</t>
  </si>
  <si>
    <t xml:space="preserve">CASE_0620</t>
  </si>
  <si>
    <t xml:space="preserve">Section 104 of BNS 2023 states that whoever, being under a sentence of life imprisonment, commits murder shall be punished with death or with imprisonment for the remainder of their natural life. [Source: Section 104, BNS 2023]</t>
  </si>
  <si>
    <t xml:space="preserve">CASE_0621</t>
  </si>
  <si>
    <t xml:space="preserve">The judge must sentence the prisoner to death, or to life imprisonment which, according to this section, shall strictly mean the remainder of that person's natural life, removing the possibility of standard parole or remission. [Source: Section 104, BNS 2023]</t>
  </si>
  <si>
    <t xml:space="preserve">CASE_0622</t>
  </si>
  <si>
    <t xml:space="preserve">It explicitly clarifies that in this specific scenario, imprisonment for life "shall mean the remainder of that person’s natural life." [Source: Section 104, BNS 2023]</t>
  </si>
  <si>
    <t xml:space="preserve">CASE_0623</t>
  </si>
  <si>
    <t xml:space="preserve">No, this specific section only applies to whoever is "under sentence of imprisonment for life." A prisoner serving a shorter term would be charged under the standard murder provisions of Section 103. [Source: Section 104, BNS 2023]</t>
  </si>
  <si>
    <t xml:space="preserve">CASE_0624</t>
  </si>
  <si>
    <t xml:space="preserve">The consequence is that it provides a supreme deterrent against prison violence by lifers; since a standard life sentence might otherwise allow for eventual release, this ensures repeat killers are either executed or permanently locked away until death. [Source: Section 104, BNS 2023]</t>
  </si>
  <si>
    <t xml:space="preserve">CASE_0625</t>
  </si>
  <si>
    <t xml:space="preserve">Punishment for culpable homicide not amounting to murder</t>
  </si>
  <si>
    <t xml:space="preserve">Culpable homicide not amounting to murder is punishable by up to life imprisonment or 5 to 10 years if done with intent to kill/injure. If done only with the knowledge it might cause death (without intent), it is punishable by up to 10 years. [Source: Section 105, BNS 2023]</t>
  </si>
  <si>
    <t xml:space="preserve">Hugging Face source record: BNS_105</t>
  </si>
  <si>
    <t xml:space="preserve">CASE_0626</t>
  </si>
  <si>
    <t xml:space="preserve">Section 105 of BNS 2023 provides a two-tiered punishment system. If the act was done with the intent to cause death or fatal injury, the penalty is life imprisonment or 5-10 years. If done only with the knowledge of likely death but no intent, the penalty is up to 10 years. [Source: Section 105, BNS 2023]</t>
  </si>
  <si>
    <t xml:space="preserve">CASE_0627</t>
  </si>
  <si>
    <t xml:space="preserve">Because the act was done with the intention of causing death or fatal bodily injury (even though provoked), he falls under the first tier and shall be punished with life imprisonment, or 5 to 10 years in prison. [Source: Section 105, BNS 2023]</t>
  </si>
  <si>
    <t xml:space="preserve">CASE_0628</t>
  </si>
  <si>
    <t xml:space="preserve">The heavier tier applies if there is "intention" to cause death or fatal injury. The lighter tier applies if the act is done with mere "knowledge that it is likely to cause death, but without any intention to cause death". [Source: Section 105, BNS 2023]</t>
  </si>
  <si>
    <t xml:space="preserve">CASE_0629</t>
  </si>
  <si>
    <t xml:space="preserve">Yes, if the act is done with intent to cause death or fatal injury, and the judge opts for a term instead of life, the term "shall not be less than five years". [Source: Section 105, BNS 2023]</t>
  </si>
  <si>
    <t xml:space="preserve">CASE_0630</t>
  </si>
  <si>
    <t xml:space="preserve">The consequence is that judges can proportionately punish offenders based on their level of malice; deliberate, intentional acts (even if mitigated by provocation) receive harsher minimums than reckless acts where the offender knew death was possible but didn't desire it. [Source: Section 105, BNS 2023]</t>
  </si>
  <si>
    <t xml:space="preserve">CASE_0631</t>
  </si>
  <si>
    <t xml:space="preserve">Causing death by negligence</t>
  </si>
  <si>
    <t xml:space="preserve">Under BNS 2023, causing death by negligence is generally punishable by up to five years in prison. However, if the act is done by a registered medical practitioner while performing a medical procedure, the maximum punishment is reduced to two years. [Source: Section 106, BNS 2023]</t>
  </si>
  <si>
    <t xml:space="preserve">Hugging Face source record: BNS_106</t>
  </si>
  <si>
    <t xml:space="preserve">CASE_0632</t>
  </si>
  <si>
    <t xml:space="preserve">Section 106 of BNS 2023 establishes penalties for causing death by rash/negligent acts not amounting to homicide. Sub-section (1) imposes up to 5 years for general negligence, but only up to 2 years for registered medical practitioners. Sub-section (2) imposes up to 10 years for hit-and-run drivers who escape without reporting the incident. [Source: Section 106, BNS 2023]</t>
  </si>
  <si>
    <t xml:space="preserve">CASE_0633</t>
  </si>
  <si>
    <t xml:space="preserve">No. Under sub-section (1), the construction worker faces up to five years in prison for general negligence, while the registered medical practitioner faces a reduced maximum of up to two years for negligence during a medical procedure. [Source: Section 106, BNS 2023]</t>
  </si>
  <si>
    <t xml:space="preserve">CASE_0634</t>
  </si>
  <si>
    <t xml:space="preserve">To avoid the elevated 10-year penalty under sub-section (2), the driver must not escape, and they must report the incident to a police officer or a Magistrate soon after it occurs. [Source: Section 106, BNS 2023]</t>
  </si>
  <si>
    <t xml:space="preserve">CASE_0635</t>
  </si>
  <si>
    <t xml:space="preserve">No, the Explanation specifies that it only applies to a "registered medical practitioner," meaning someone with recognized medical qualifications whose name is entered in the National or State Medical Register. [Source: Section 106, BNS 2023]</t>
  </si>
  <si>
    <t xml:space="preserve">CASE_0636</t>
  </si>
  <si>
    <t xml:space="preserve">The consequence is that the law strongly disincentivizes "hit-and-run" incidents; drivers who cause fatal accidents but flee to evade responsibility face double the standard negligence penalty (up to 10 years instead of 5). [Source: Section 106, BNS 2023]</t>
  </si>
  <si>
    <t xml:space="preserve">CASE_0637</t>
  </si>
  <si>
    <t xml:space="preserve">Abetment of suicide of child or person of unsound mind</t>
  </si>
  <si>
    <t xml:space="preserve">Abetting the suicide of a child, a person of unsound mind, a delirious person, or an intoxicated person is a severe crime punishable by death, life imprisonment, or up to ten years in prison, plus a fine. [Source: Section 107, BNS 2023]</t>
  </si>
  <si>
    <t xml:space="preserve">Hugging Face source record: BNS_107</t>
  </si>
  <si>
    <t xml:space="preserve">CASE_0638</t>
  </si>
  <si>
    <t xml:space="preserve">Section 107 of BNS 2023 severely punishes anyone who abets the suicide of highly vulnerable individuals—specifically children, persons of unsound mind, delirious persons, or intoxicated persons. The penalty is death, life imprisonment, or up to 10 years imprisonment. [Source: Section 107, BNS 2023]</t>
  </si>
  <si>
    <t xml:space="preserve">CASE_0639</t>
  </si>
  <si>
    <t xml:space="preserve">Because the victim was a person of unsound mind, the caregiver is guilty of abetment of suicide under this specific section and can be punished with death or life imprisonment. [Source: Section 107, BNS 2023]</t>
  </si>
  <si>
    <t xml:space="preserve">CASE_0640</t>
  </si>
  <si>
    <t xml:space="preserve">The four categories are: any child, any person of unsound mind, any delirious person, and any person in a state of intoxication. [Source: Section 107, BNS 2023]</t>
  </si>
  <si>
    <t xml:space="preserve">CASE_0641</t>
  </si>
  <si>
    <t xml:space="preserve">No, abetting the suicide of a healthy, sober adult falls under the general abetment of suicide law (Section 108), not this aggravated section, which is strictly reserved for those lacking mental capacity or maturity. [Source: Section 107, BNS 2023]</t>
  </si>
  <si>
    <t xml:space="preserve">CASE_0642</t>
  </si>
  <si>
    <t xml:space="preserve">The consequence reflects the law's view that causing the death of someone incapable of making a rational choice to die (due to youth or mental impairment) by manipulating them into suicide is morally and legally equivalent to outright murder. [Source: Section 107, BNS 2023]</t>
  </si>
  <si>
    <t xml:space="preserve">CASE_0643</t>
  </si>
  <si>
    <t xml:space="preserve">Abetment of suicide</t>
  </si>
  <si>
    <t xml:space="preserve">If any person commits suicide, whoever abets (instigates, encourages, or assists) the commission of that suicide is punishable by up to ten years in prison and a fine. [Source: Section 108, BNS 2023]</t>
  </si>
  <si>
    <t xml:space="preserve">Hugging Face source record: BNS_108</t>
  </si>
  <si>
    <t xml:space="preserve">CASE_0644</t>
  </si>
  <si>
    <t xml:space="preserve">Section 108 of BNS 2023 establishes that if any person commits suicide, anyone who abets the suicide shall be punished with imprisonment for a term which may extend to ten years, and shall also be liable to fine. [Source: Section 108, BNS 2023]</t>
  </si>
  <si>
    <t xml:space="preserve">CASE_0645</t>
  </si>
  <si>
    <t xml:space="preserve">Yes, if the harassment and extortion are proven to have instigated or driven the employee to the act, the employer can be charged with abetment of suicide and face up to ten years in prison. [Source: Section 108, BNS 2023]</t>
  </si>
  <si>
    <t xml:space="preserve">CASE_0646</t>
  </si>
  <si>
    <t xml:space="preserve">The victim must actually commit suicide. The section explicitly begins with the condition, "If any person commits suicide..." [Source: Section 108, BNS 2023]</t>
  </si>
  <si>
    <t xml:space="preserve">CASE_0647</t>
  </si>
  <si>
    <t xml:space="preserve">No, if the victim is a child, the crime falls under the much stricter Section 107 (Abetment of suicide of child), which carries the death penalty or life imprisonment, rather than the general 10-year limit of Section 108. [Source: Section 108, BNS 2023]</t>
  </si>
  <si>
    <t xml:space="preserve">CASE_0648</t>
  </si>
  <si>
    <t xml:space="preserve">The consequence is that severe psychological abuse, bullying, or harassment that directly causes a person to take their own life is criminalized, ensuring abusers can be held criminally responsible for a death even if they never laid a hand on the victim. [Source: Section 108, BNS 2023]</t>
  </si>
  <si>
    <t xml:space="preserve">CASE_0649</t>
  </si>
  <si>
    <t xml:space="preserve">Attempt to murder</t>
  </si>
  <si>
    <t xml:space="preserve">Attempting to commit murder is generally punishable by up to 10 years in prison. However, if the victim is actually hurt during the attempt, the penalty can extend to life imprisonment. [Source: Section 109, BNS 2023]</t>
  </si>
  <si>
    <t xml:space="preserve">Hugging Face source record: BNS_109</t>
  </si>
  <si>
    <t xml:space="preserve">CASE_0650</t>
  </si>
  <si>
    <t xml:space="preserve">Section 109 of BNS 2023 penalizes acts done with murderous intent. Sub-section (1) provides up to 10 years imprisonment for the attempt, escalating to life imprisonment if hurt is caused. Sub-section (2) mandates death or remainder-of-life imprisonment if the offender is already a life-convict and causes hurt. [Source: Section 109, BNS 2023]</t>
  </si>
  <si>
    <t xml:space="preserve">CASE_0651</t>
  </si>
  <si>
    <t xml:space="preserve">Under Illustration (d), by purchasing the poison, mixing it, and placing it where it would be served, the offender has moved beyond mere preparation and committed the offence of attempt to murder. [Source: Section 109, BNS 2023]</t>
  </si>
  <si>
    <t xml:space="preserve">CASE_0652</t>
  </si>
  <si>
    <t xml:space="preserve">The primary tier provides up to 10 years for a mere attempt. The escalated tier (up to life imprisonment) applies specifically "if hurt is caused to any person by such act". [Source: Section 109, BNS 2023]</t>
  </si>
  <si>
    <t xml:space="preserve">CASE_0653</t>
  </si>
  <si>
    <t xml:space="preserve">No. As per Illustration (c), merely buying and loading a gun constitutes preparation. He has "not yet committed the offence" of attempted murder until he takes a direct step toward the act, such as firing the gun at the victim. [Source: Section 109, BNS 2023]</t>
  </si>
  <si>
    <t xml:space="preserve">CASE_0654</t>
  </si>
  <si>
    <t xml:space="preserve">The consequence is an absolute zero-tolerance policy for life-convicts; if an inmate already serving life attempts to murder a guard or fellow inmate and causes any hurt, they face a mandatory escalation to the death penalty or a strict natural-life sentence. [Source: Section 109, BNS 2023]</t>
  </si>
  <si>
    <t xml:space="preserve">CASE_0655</t>
  </si>
  <si>
    <t xml:space="preserve">Attempt to commit culpable homicide</t>
  </si>
  <si>
    <t xml:space="preserve">Attempting to commit culpable homicide not amounting to murder is punishable by up to three years in prison. If the victim is actually hurt during the attempt, the penalty increases to up to seven years. [Source: Section 110, BNS 2023]</t>
  </si>
  <si>
    <t xml:space="preserve">Hugging Face source record: BNS_110</t>
  </si>
  <si>
    <t xml:space="preserve">CASE_0656</t>
  </si>
  <si>
    <t xml:space="preserve">Section 110 of BNS 2023 criminalizes the attempt to commit culpable homicide not amounting to murder. It prescribes a base penalty of up to 3 years imprisonment, which escalates to up to 7 years if the victim suffers hurt during the attempt. [Source: Section 110, BNS 2023]</t>
  </si>
  <si>
    <t xml:space="preserve">CASE_0657</t>
  </si>
  <si>
    <t xml:space="preserve">Under the Illustration, because he fired on grave and sudden provocation (which would reduce the crime from murder to culpable homicide if death occurred), he is guilty of attempt to commit culpable homicide and faces up to three years in prison. [Source: Section 110, BNS 2023]</t>
  </si>
  <si>
    <t xml:space="preserve">CASE_0658</t>
  </si>
  <si>
    <t xml:space="preserve">The penalty escalates to up to seven years "if hurt is caused to any person by such act." [Source: Section 110, BNS 2023]</t>
  </si>
  <si>
    <t xml:space="preserve">CASE_0659</t>
  </si>
  <si>
    <t xml:space="preserve">This section strictly applies when the offender acts under circumstances that legally mitigate the crime (like grave provocation or sudden fight) such that, if death had occurred, it would only be culpable homicide, not murder. Section 109 lacks these mitigating circumstances. [Source: Section 110, BNS 2023]</t>
  </si>
  <si>
    <t xml:space="preserve">CASE_0660</t>
  </si>
  <si>
    <t xml:space="preserve">The consequence is proportional justice; the law recognizes that someone who tries to kill in the heat of a sudden, provoked passion is less legally culpable than a cold-blooded attempted murderer, and caps their maximum sentence much lower (7 years vs. life). [Source: Section 110, BNS 2023]</t>
  </si>
  <si>
    <t xml:space="preserve">CASE_0661</t>
  </si>
  <si>
    <t xml:space="preserve">Organised crime</t>
  </si>
  <si>
    <t xml:space="preserve">Organised crime involves a group indulging in continuing unlawful activities (like kidnapping, extortion, or cyber-crimes) using violence or unlawful means for material benefit. Punishments range from five years to life, or death if a murder is involved, accompanied by heavy minimum fines. [Source: Section 111, BNS 2023]</t>
  </si>
  <si>
    <t xml:space="preserve">Hugging Face source record: BNS_111</t>
  </si>
  <si>
    <t xml:space="preserve">CASE_0662</t>
  </si>
  <si>
    <t xml:space="preserve">Section 111 of BNS 2023 defines organised crime as any continuing unlawful activity committed by a syndicate using coercion or violence for material gain. It establishes severe penalties: death or life imprisonment under sub-section (2)(a) if death results, and minimum five-year sentences under sub-sections (3) and (4) for abetting or mere membership in the syndicate. [Source: Section 111, BNS 2023]</t>
  </si>
  <si>
    <t xml:space="preserve">CASE_0663</t>
  </si>
  <si>
    <t xml:space="preserve">Because the offence resulted in death, under sub-section (2)(a), the boss shall be punished with death or life imprisonment, and shall be liable to a fine which shall not be less than ten lakh rupees. [Source: Section 111, BNS 2023]</t>
  </si>
  <si>
    <t xml:space="preserve">CASE_0664</t>
  </si>
  <si>
    <t xml:space="preserve">Under Explanation (ii), the activity must involve a cognizable offence punishable by three years or more, and more than one charge-sheet must have been filed against the syndicate before a competent Court within the preceding ten years, with the Court having taken cognizance. [Source: Section 111, BNS 2023]</t>
  </si>
  <si>
    <t xml:space="preserve">CASE_0665</t>
  </si>
  <si>
    <t xml:space="preserve">No, the proviso to sub-section (5) explicitly states that the punishment for harbouring or concealing an offender does not apply in cases where the harbour or concealment is by the spouse of the offender. [Source: Section 111, BNS 2023]</t>
  </si>
  <si>
    <t xml:space="preserve">CASE_0666</t>
  </si>
  <si>
    <t xml:space="preserve">The consequence is that it attacks the financial infrastructure of gangs; anyone holding movable or immovable property on behalf of a syndicate member that they cannot satisfactorily account for faces three to ten years in prison. [Source: Section 111, BNS 2023]</t>
  </si>
  <si>
    <t xml:space="preserve">CASE_0667</t>
  </si>
  <si>
    <t xml:space="preserve">Petty organised crime</t>
  </si>
  <si>
    <t xml:space="preserve">Committing acts like theft, snatching, cheating, or unauthorized ticket selling as a member of a group or gang is considered "petty organised crime," punishable by one to seven years in prison. [Source: Section 112, BNS 2023]</t>
  </si>
  <si>
    <t xml:space="preserve">Hugging Face source record: BNS_112</t>
  </si>
  <si>
    <t xml:space="preserve">CASE_0668</t>
  </si>
  <si>
    <t xml:space="preserve">Section 112 of BNS 2023 categorizes crimes like trick theft, snatching, cheating, unauthorized betting, and selling exam papers committed by a group or gang as petty organised crime. Sub-section (2) prescribes a punishment of one to seven years imprisonment. [Source: Section 112, BNS 2023]</t>
  </si>
  <si>
    <t xml:space="preserve">CASE_0669</t>
  </si>
  <si>
    <t xml:space="preserve">Because they are a group committing theft through card skimming, they are committing petty organised crime under sub-section (1), punishable by one to seven years in prison under sub-section (2). [Source: Section 112, BNS 2023]</t>
  </si>
  <si>
    <t xml:space="preserve">CASE_0670</t>
  </si>
  <si>
    <t xml:space="preserve">No, sub-section (1) specifies that whoever commits these acts "either singly or jointly," as long as they are "a member of a group or gang," is said to commit petty organised crime. [Source: Section 112, BNS 2023]</t>
  </si>
  <si>
    <t xml:space="preserve">CASE_0671</t>
  </si>
  <si>
    <t xml:space="preserve">No, Section 112 does not include the complex "continuing unlawful activity" prerequisite of Section 111; it simply requires the act to be committed by a member of a group or gang. [Source: Section 112, BNS 2023]</t>
  </si>
  <si>
    <t xml:space="preserve">CASE_0672</t>
  </si>
  <si>
    <t xml:space="preserve">The consequence is that it provides law enforcement a specialized tool to dismantle low-level, high-volume criminal networks (like coordinated pickpocketing rings or exam-cheating mafias) without having to meet the extremely high evidentiary bar of the major organized crime statute. [Source: Section 112, BNS 2023]</t>
  </si>
  <si>
    <t xml:space="preserve">CASE_0673</t>
  </si>
  <si>
    <t xml:space="preserve">Terrorist act</t>
  </si>
  <si>
    <t xml:space="preserve">A terrorist act involves using bombs, weapons, hazardous substances, or criminal force with the intent to threaten India's unity, security, or economy, or to strike terror in people. It also includes kidnapping to compel a government, or counterfeiting currency to destabilize the economy. [Source: Section 113, BNS 2023]</t>
  </si>
  <si>
    <t xml:space="preserve">Hugging Face source record: BNS_113</t>
  </si>
  <si>
    <t xml:space="preserve">CASE_0674</t>
  </si>
  <si>
    <t xml:space="preserve">Section 113 of BNS 2023 comprehensively defines terrorist acts (including bombings, assassinations, and economic sabotage via counterfeiting) intended to threaten India's security or strike terror. Sub-section (2) mandates death or life imprisonment if death occurs, and 5 years to life for other terrorist acts. [Source: Section 113, BNS 2023]</t>
  </si>
  <si>
    <t xml:space="preserve">CASE_0675</t>
  </si>
  <si>
    <t xml:space="preserve">Yes, under sub-section (1)(a)(iv), damaging the monetary stability of India by way of production, smuggling, or circulation of counterfeit Indian currency with the intent to threaten economic security constitutes a terrorist act. [Source: Section 113, BNS 2023]</t>
  </si>
  <si>
    <t xml:space="preserve">CASE_0676</t>
  </si>
  <si>
    <t xml:space="preserve">The acts must be done with the intent "to threaten or likely to threaten the unity, integrity, sovereignty, security, or economic security of India" or "to strike terror or likely to strike terror in the people." [Source: Section 113, BNS 2023]</t>
  </si>
  <si>
    <t xml:space="preserve">CASE_0677</t>
  </si>
  <si>
    <t xml:space="preserve">No, the proviso to sub-section (6) explicitly states that the punishment for voluntarily harbouring or concealing a terrorist does not apply if the harbour or concealment is by the spouse of the offender. [Source: Section 113, BNS 2023]</t>
  </si>
  <si>
    <t xml:space="preserve">CASE_0678</t>
  </si>
  <si>
    <t xml:space="preserve">The consequence is that it creates a specific procedural safeguard; to prevent arbitrary application of anti-terror laws, an officer not below the rank of Superintendent of Police must explicitly decide whether to register the case under BNS Section 113 or under the specialized Unlawful Activities (Prevention) Act, 1967. [Source: Section 113, BNS 2023]</t>
  </si>
  <si>
    <t xml:space="preserve">CASE_0679</t>
  </si>
  <si>
    <t xml:space="preserve">Hurt</t>
  </si>
  <si>
    <t xml:space="preserve">Causing "hurt" simply means causing bodily pain, disease, or infirmity to any person. [Source: Section 114, BNS 2023]</t>
  </si>
  <si>
    <t xml:space="preserve">Hugging Face source record: BNS_114</t>
  </si>
  <si>
    <t xml:space="preserve">CASE_0680</t>
  </si>
  <si>
    <t xml:space="preserve">Section 114 of BNS 2023 defines hurt concisely: whoever causes bodily pain, disease, or infirmity to any person is said to cause hurt. [Source: Section 114, BNS 2023]</t>
  </si>
  <si>
    <t xml:space="preserve">CASE_0681</t>
  </si>
  <si>
    <t xml:space="preserve">Yes, by causing a "disease" or "infirmity" to the person, the prankster has met the definition of causing hurt under this section. [Source: Section 114, BNS 2023]</t>
  </si>
  <si>
    <t xml:space="preserve">CASE_0682</t>
  </si>
  <si>
    <t xml:space="preserve">The three outcomes are bodily pain, disease, or infirmity. [Source: Section 114, BNS 2023]</t>
  </si>
  <si>
    <t xml:space="preserve">CASE_0683</t>
  </si>
  <si>
    <t xml:space="preserve">No, the definition only requires causing "bodily pain." Therefore, a hard slap or a punch that only causes pain without leaving a visible mark still qualifies as hurt. [Source: Section 114, BNS 2023]</t>
  </si>
  <si>
    <t xml:space="preserve">CASE_0684</t>
  </si>
  <si>
    <t xml:space="preserve">The consequence is that criminal law protects individuals not just from severe traumatic injuries, but from any non-consensual infliction of pain or sickness, providing a foundational baseline for prosecuting all levels of physical assault. [Source: Section 114, BNS 2023]</t>
  </si>
  <si>
    <t xml:space="preserve">CASE_0685</t>
  </si>
  <si>
    <t xml:space="preserve">Voluntarily causing hurt</t>
  </si>
  <si>
    <t xml:space="preserve">Intentionally causing bodily pain, disease, or infirmity to someone is punishable by up to one year in prison, or a fine up to ten thousand rupees, or both. [Source: Section 115, BNS 2023]</t>
  </si>
  <si>
    <t xml:space="preserve">Hugging Face source record: BNS_115</t>
  </si>
  <si>
    <t xml:space="preserve">CASE_0686</t>
  </si>
  <si>
    <t xml:space="preserve">Section 115 of BNS 2023 defines voluntarily causing hurt as acting with the intent or knowledge of causing bodily pain, disease, or infirmity. Sub-section (2) prescribes a penalty of up to one year imprisonment or a fine up to ten thousand rupees for this offence. [Source: Section 115, BNS 2023]</t>
  </si>
  <si>
    <t xml:space="preserve">CASE_0687</t>
  </si>
  <si>
    <t xml:space="preserve">Because he acted with the intention of causing hurt, he has voluntarily caused hurt under sub-section (1), and under sub-section (2), he can be punished with imprisonment extending up to one year. [Source: Section 115, BNS 2023]</t>
  </si>
  <si>
    <t xml:space="preserve">CASE_0688</t>
  </si>
  <si>
    <t xml:space="preserve">The act must be done with the "intention" of causing hurt, or with the "knowledge" that he is likely thereby to cause hurt. [Source: Section 115, BNS 2023]</t>
  </si>
  <si>
    <t xml:space="preserve">CASE_0689</t>
  </si>
  <si>
    <t xml:space="preserve">No, sub-section (2) explicitly states "except in the case provided for by sub-section (1) of section 122," meaning that hurt caused under sudden provocation (covered by Section 122) has a different legal standard and penalty. [Source: Section 115, BNS 2023]</t>
  </si>
  <si>
    <t xml:space="preserve">CASE_0690</t>
  </si>
  <si>
    <t xml:space="preserve">The consequence is that accidental bumps or clumsiness that cause pain are not criminalized; the law only punishes the infliction of pain when accompanied by explicit malicious intent or reckless knowledge. [Source: Section 115, BNS 2023]</t>
  </si>
  <si>
    <t xml:space="preserve">CASE_0691</t>
  </si>
  <si>
    <t xml:space="preserve">Grievous hurt</t>
  </si>
  <si>
    <t xml:space="preserve">Grievous hurt includes emasculation, permanent loss of sight/hearing, destruction or permanent impairment of any member/joint, permanent disfiguration of the head/face, bone/tooth fractures, or any hurt endangering life or causing severe pain/inability to follow ordinary pursuits for 15 days. [Source: Section 116, BNS 2023]</t>
  </si>
  <si>
    <t xml:space="preserve">Hugging Face source record: BNS_116</t>
  </si>
  <si>
    <t xml:space="preserve">CASE_0692</t>
  </si>
  <si>
    <t xml:space="preserve">Section 116 of BNS 2023 exhaustively lists eight specific kinds of hurt designated as "grievous": emasculation, permanent privation of sight or hearing, privation/impairment of any member/joint, permanent head/face disfiguration, fracture/dislocation of a bone/tooth, and severe hurt causing 15 days of severe pain or incapacitation. [Source: Section 116, BNS 2023]</t>
  </si>
  <si>
    <t xml:space="preserve">CASE_0693</t>
  </si>
  <si>
    <t xml:space="preserve">Yes, under clause (Seventh), the fracture or dislocation of a bone or tooth is specifically designated as grievous hurt. [Source: Section 116, BNS 2023]</t>
  </si>
  <si>
    <t xml:space="preserve">CASE_0694</t>
  </si>
  <si>
    <t xml:space="preserve">Under clause (Eighth), the hurt must cause the sufferer to be in severe bodily pain, or unable to follow his ordinary pursuits, for the space of fifteen days. [Source: Section 116, BNS 2023]</t>
  </si>
  <si>
    <t xml:space="preserve">CASE_0695</t>
  </si>
  <si>
    <t xml:space="preserve">No, unless the bone is actually fractured or dislocated, or the injury endangers life, or it incapacitates them/causes severe pain for a full fifteen days, it remains simple hurt, not grievous hurt. [Source: Section 116, BNS 2023]</t>
  </si>
  <si>
    <t xml:space="preserve">CASE_0696</t>
  </si>
  <si>
    <t xml:space="preserve">The consequence is that it removes judicial ambiguity in defining severe bodily harm; prosecutors can easily elevate a standard assault charge to an aggravated "grievous hurt" charge simply by proving the injury matches one of these eight explicit statutory definitions. [Source: Section 116, BNS 2023]</t>
  </si>
  <si>
    <t xml:space="preserve">CASE_0697</t>
  </si>
  <si>
    <t xml:space="preserve">Voluntarily causing grievous hurt</t>
  </si>
  <si>
    <t xml:space="preserve">Voluntarily causing grievous hurt is generally punishable by up to seven years in prison. If the injury puts the victim in a permanent vegetative state or permanent disability, the minimum sentence is ten years, up to life imprisonment. [Source: Section 117, BNS 2023]</t>
  </si>
  <si>
    <t xml:space="preserve">Hugging Face source record: BNS_117</t>
  </si>
  <si>
    <t xml:space="preserve">CASE_0698</t>
  </si>
  <si>
    <t xml:space="preserve">Section 117 of BNS 2023 establishes penalties for intentionally or knowingly causing grievous hurt. Sub-section (2) provides up to 7 years imprisonment. Sub-section (3) escalates this to 10 years to life if permanent disability or vegetative state occurs. Sub-section (4) provides up to 7 years for mob attacks based on identity. [Source: Section 117, BNS 2023]</t>
  </si>
  <si>
    <t xml:space="preserve">CASE_0699</t>
  </si>
  <si>
    <t xml:space="preserve">Because the attacker intended to cause grievous hurt (broken bone) and actually caused grievous hurt resulting in a persistent vegetative state, under sub-section (3), they shall be punished with rigorous imprisonment for a minimum of ten years, which may extend to life. [Source: Section 117, BNS 2023]</t>
  </si>
  <si>
    <t xml:space="preserve">CASE_0700</t>
  </si>
  <si>
    <t xml:space="preserve">The Explanation states that if a person intends or knows they are likely to cause one kind of grievous hurt, but actually causes a different kind of grievous hurt, they are still legally said to have "voluntarily caused grievous hurt." [Source: Section 117, BNS 2023]</t>
  </si>
  <si>
    <t xml:space="preserve">CASE_0701</t>
  </si>
  <si>
    <t xml:space="preserve">No, sub-section (4) explicitly requires "a group of five or more persons acting in concert" to trigger that specific liability for causing grievous hurt based on identity. [Source: Section 117, BNS 2023]</t>
  </si>
  <si>
    <t xml:space="preserve">CASE_0702</t>
  </si>
  <si>
    <t xml:space="preserve">The consequence is that it treats injuries that completely destroy a person's quality of life (permanent disability or vegetative state) as near-equivalents to murder, imposing a strict minimum sentence of ten years up to natural-life imprisonment. [Source: Section 117, BNS 2023]</t>
  </si>
  <si>
    <t xml:space="preserve">CASE_0703</t>
  </si>
  <si>
    <t xml:space="preserve">Voluntarily causing hurt or grievous hurt by dangerous weapons or means</t>
  </si>
  <si>
    <t xml:space="preserve">Using dangerous weapons, explosives, poison, fire, or animals to voluntarily cause hurt elevates the penalty to up to three years. If these dangerous means are used to cause *grievous* hurt, the penalty escalates to a minimum of one year, up to ten years or life imprisonment. [Source: Section 118, BNS 2023]</t>
  </si>
  <si>
    <t xml:space="preserve">Hugging Face source record: BNS_118</t>
  </si>
  <si>
    <t xml:space="preserve">CASE_0704</t>
  </si>
  <si>
    <t xml:space="preserve">Section 118 of BNS 2023 aggregates penalties for using lethal weapons, fire, poison, explosives, or animals to cause harm. Sub-section (1) provides up to 3 years for causing simple hurt this way, while sub-section (2) provides 1 to 10 years, or life imprisonment, for causing grievous hurt via these means. [Source: Section 118, BNS 2023]</t>
  </si>
  <si>
    <t xml:space="preserve">CASE_0705</t>
  </si>
  <si>
    <t xml:space="preserve">He is charged under sub-section (2) for voluntarily causing grievous hurt "by means of any animal" (a method defined in sub-section 1), and faces life imprisonment or a term from one to ten years. [Source: Section 118, BNS 2023]</t>
  </si>
  <si>
    <t xml:space="preserve">CASE_0706</t>
  </si>
  <si>
    <t xml:space="preserve">The categorized means include: instruments for shooting/stabbing/cutting, fire/heated substances, poison/corrosive substances, explosive substances, deleterious inhalants/substances, and animals. [Source: Section 118, BNS 2023]</t>
  </si>
  <si>
    <t xml:space="preserve">CASE_0707</t>
  </si>
  <si>
    <t xml:space="preserve">No, both sub-sections explicitly state "except in the case provided for by section 122," which handles hurt/grievous hurt caused on grave and sudden provocation under a different sentencing framework. [Source: Section 118, BNS 2023]</t>
  </si>
  <si>
    <t xml:space="preserve">CASE_0708</t>
  </si>
  <si>
    <t xml:space="preserve">The consequence is that the law heavily penalizes the *method* of violence independent of the *result*; even if a knife or acid attack only results in minor simple hurt, the use of such deadly means automatically triples the maximum sentence (from 1 year to 3 years) compared to an unarmed assault. [Source: Section 118, BNS 2023]</t>
  </si>
  <si>
    <t xml:space="preserve">CASE_0709</t>
  </si>
  <si>
    <t xml:space="preserve">Voluntarily causing hurt or grievous hurt to extort property, or to constrain to an illegal</t>
  </si>
  <si>
    <t xml:space="preserve">Causing hurt to extort property or force an illegal act is punishable by up to ten years in prison. If the perpetrator causes *grievous* hurt for these purposes, the penalty increases to life imprisonment or up to ten years. [Source: Section 119, BNS 2023]</t>
  </si>
  <si>
    <t xml:space="preserve">Hugging Face source record: BNS_119</t>
  </si>
  <si>
    <t xml:space="preserve">CASE_0710</t>
  </si>
  <si>
    <t xml:space="preserve">Section 119 of BNS 2023 criminalizes causing bodily harm to extort property or constrain someone to do an illegal act. Sub-section (1) punishes simple hurt for this purpose with up to 10 years. Sub-section (2) punishes grievous hurt for this purpose with life imprisonment or up to 10 years. [Source: Section 119, BNS 2023]</t>
  </si>
  <si>
    <t xml:space="preserve">CASE_0711</t>
  </si>
  <si>
    <t xml:space="preserve">Under sub-section (2), because they voluntarily caused grievous hurt for the purpose of extortion or constraining an illegal act, they shall be punished with imprisonment for life, or up to ten years in prison. [Source: Section 119, BNS 2023]</t>
  </si>
  <si>
    <t xml:space="preserve">CASE_0712</t>
  </si>
  <si>
    <t xml:space="preserve">The two motives are: 1) extorting any property or valuable security, and 2) constraining the sufferer (or interested person) to do anything illegal or which may facilitate an offence. [Source: Section 119, BNS 2023]</t>
  </si>
  <si>
    <t xml:space="preserve">CASE_0713</t>
  </si>
  <si>
    <t xml:space="preserve">No, standard assault without the specific motive of extortion or constraining an illegal act falls under standard hurt (Section 115) which only carries up to one year in prison, not ten. [Source: Section 119, BNS 2023]</t>
  </si>
  <si>
    <t xml:space="preserve">CASE_0714</t>
  </si>
  <si>
    <t xml:space="preserve">The consequence is a massive escalation in penalty; a basic punch that usually carries 1 year in prison jumps to 10 years if that punch was thrown to force the victim to hand over their wallet or commit a crime, recognizing extortionate violence as a severe threat to public order. [Source: Section 119, BNS 2023]</t>
  </si>
  <si>
    <t xml:space="preserve">CASE_0715</t>
  </si>
  <si>
    <t xml:space="preserve">Voluntarily causing hurt or grievous hurt to extort confession, or to compel restoration of</t>
  </si>
  <si>
    <t xml:space="preserve">Voluntarily causing hurt to extort a confession, gather information about an offence, or compel the return of property is punishable by up to seven years in prison. If grievous hurt is caused, the penalty increases to up to ten years. [Source: Section 120, BNS 2023]</t>
  </si>
  <si>
    <t xml:space="preserve">Hugging Face source record: BNS_120</t>
  </si>
  <si>
    <t xml:space="preserve">CASE_0716</t>
  </si>
  <si>
    <t xml:space="preserve">Section 120 of BNS 2023 criminalizes causing hurt (up to 7 years) or grievous hurt (up to 10 years) for the purpose of extorting a confession, extracting information about an offence, or compelling the restoration of property. It directly targets police misconduct and coercive debt collection. [Source: Section 120, BNS 2023]</t>
  </si>
  <si>
    <t xml:space="preserve">CASE_0717</t>
  </si>
  <si>
    <t xml:space="preserve">Under sub-section (2) and corresponding Illustration (b), the officer voluntarily caused grievous hurt to extort information leading to the detection of an offence/restoration of property, and is punishable by up to ten years in prison. [Source: Section 120, BNS 2023]</t>
  </si>
  <si>
    <t xml:space="preserve">CASE_0718</t>
  </si>
  <si>
    <t xml:space="preserve">Causing hurt for the purpose of "constraining the sufferer... to restore or to cause the restoration of any property or valuable security or to satisfy any claim or demand" triggers this section. [Source: Section 120, BNS 2023]</t>
  </si>
  <si>
    <t xml:space="preserve">CASE_0719</t>
  </si>
  <si>
    <t xml:space="preserve">No, while the Illustrations focus on police and revenue officers, the statute begins with "Whoever," meaning it applies equally to private citizens (like a landlord violently torturing a tenant to collect rent). [Source: Section 120, BNS 2023]</t>
  </si>
  <si>
    <t xml:space="preserve">CASE_0720</t>
  </si>
  <si>
    <t xml:space="preserve">The consequence is that it explicitly criminalizes the "third degree"; any police officer who resorts to physical violence or torture to solve cases or recover stolen goods faces severe felony charges, reinforcing the absolute prohibition against custodial torture. [Source: Section 120, BNS 2023]</t>
  </si>
  <si>
    <t xml:space="preserve">CASE_0721</t>
  </si>
  <si>
    <t xml:space="preserve">Voluntarily causing hurt or grievous hurt to deter public servant from his duty</t>
  </si>
  <si>
    <t xml:space="preserve">Causing hurt to a public servant to deter them from their duty is punishable by up to five years in prison. If the attacker causes grievous hurt, the penalty increases to a minimum of one year and up to ten years in prison. [Source: Section 121, BNS 2023]</t>
  </si>
  <si>
    <t xml:space="preserve">Hugging Face source record: BNS_121</t>
  </si>
  <si>
    <t xml:space="preserve">CASE_0722</t>
  </si>
  <si>
    <t xml:space="preserve">Section 121 of BNS 2023 provides enhanced penalties for assaulting public servants. Sub-section (1) punishes causing simple hurt to deter a public servant with up to 5 years imprisonment. Sub-section (2) punishes causing grievous hurt with 1 to 10 years imprisonment. [Source: Section 121, BNS 2023]</t>
  </si>
  <si>
    <t xml:space="preserve">CASE_0723</t>
  </si>
  <si>
    <t xml:space="preserve">Under sub-section (1), because the owner voluntarily caused hurt to deter a public servant from discharging his duty, he is punishable by imprisonment for a term which may extend to five years. [Source: Section 121, BNS 2023]</t>
  </si>
  <si>
    <t xml:space="preserve">CASE_0724</t>
  </si>
  <si>
    <t xml:space="preserve">The hurt must be caused to a public servant while they are discharging their duty, or with the intent to prevent/deter them from discharging their duty, or in consequence of something they did in the lawful discharge of their duty. [Source: Section 121, BNS 2023]</t>
  </si>
  <si>
    <t xml:space="preserve">CASE_0725</t>
  </si>
  <si>
    <t xml:space="preserve">No, this section specifically requires the violence to be related to the public servant "discharging his duty as such public servant" or in consequence of their official actions. A purely personal dispute falls under standard assault laws. [Source: Section 121, BNS 2023]</t>
  </si>
  <si>
    <t xml:space="preserve">CASE_0726</t>
  </si>
  <si>
    <t xml:space="preserve">The consequence is that it heavily deters citizens from using violence to obstruct government operations, ensuring that state machinery (like law enforcement, revenue collection, and regulation) can function without constant physical threats to its personnel. [Source: Section 121, BNS 2023]</t>
  </si>
  <si>
    <t xml:space="preserve">CASE_0727</t>
  </si>
  <si>
    <t xml:space="preserve">Voluntarily causing hurt or grievous hurt on provocation</t>
  </si>
  <si>
    <t xml:space="preserve">If a person causes hurt on grave and sudden provocation, the maximum penalty drops significantly to just one month in prison. If they cause grievous hurt under the same provocation, the maximum penalty drops to five years. [Source: Section 122, BNS 2023]</t>
  </si>
  <si>
    <t xml:space="preserve">Hugging Face source record: BNS_122</t>
  </si>
  <si>
    <t xml:space="preserve">CASE_0728</t>
  </si>
  <si>
    <t xml:space="preserve">Section 122 of BNS 2023 mitigates penalties for hurt caused under grave and sudden provocation. Sub-section (1) caps the penalty for simple hurt at 1 month imprisonment. Sub-section (2) caps the penalty for grievous hurt at 5 years. [Source: Section 122, BNS 2023]</t>
  </si>
  <si>
    <t xml:space="preserve">CASE_0729</t>
  </si>
  <si>
    <t xml:space="preserve">Because he voluntarily caused grievous hurt on grave and sudden provocation, under sub-section (2), his maximum punishment is mitigated to five years imprisonment, rather than the standard seven years for grievous hurt. [Source: Section 122, BNS 2023]</t>
  </si>
  <si>
    <t xml:space="preserve">CASE_0730</t>
  </si>
  <si>
    <t xml:space="preserve">The attacker must neither intend nor know himself to be likely to cause hurt "to any person other than the person who gave the provocation." [Source: Section 122, BNS 2023]</t>
  </si>
  <si>
    <t xml:space="preserve">CASE_0731</t>
  </si>
  <si>
    <t xml:space="preserve">No, the Explanation states this section is subject to the proviso of Exception 1 of Section 101, which explicitly disqualifies provocation if it was sought or voluntarily provoked by the offender as an excuse to cause harm. [Source: Section 122, BNS 2023]</t>
  </si>
  <si>
    <t xml:space="preserve">CASE_0732</t>
  </si>
  <si>
    <t xml:space="preserve">The consequence is that the law acknowledges human frailty and loss of self-control; while vigilante violence is still illegal, a brief lapse in judgment caused by severe, unexpected provocation is punished far less harshly than premeditated malice. [Source: Section 122, BNS 2023]</t>
  </si>
  <si>
    <t xml:space="preserve">CASE_0733</t>
  </si>
  <si>
    <t xml:space="preserve">Causing hurt by means of poison, etc., with intent to commit an offence</t>
  </si>
  <si>
    <t xml:space="preserve">Administering poison or any stupefying, intoxicating, or unwholesome drug to cause hurt, or to facilitate another crime, is punishable by up to ten years in prison. [Source: Section 123, BNS 2023]</t>
  </si>
  <si>
    <t xml:space="preserve">Hugging Face source record: BNS_123</t>
  </si>
  <si>
    <t xml:space="preserve">CASE_0734</t>
  </si>
  <si>
    <t xml:space="preserve">Section 123 of BNS 2023 criminalizes the administration of poison or stupefying/intoxicating drugs with the intent to cause hurt, or with the intent to commit or facilitate an offence. It prescribes a punishment of up to 10 years imprisonment. [Source: Section 123, BNS 2023]</t>
  </si>
  <si>
    <t xml:space="preserve">CASE_0735</t>
  </si>
  <si>
    <t xml:space="preserve">The thief is guilty under this section because they administered a stupefying/unwholesome drug with the intent to facilitate the commission of an offence (robbery), and faces up to ten years in prison. [Source: Section 123, BNS 2023]</t>
  </si>
  <si>
    <t xml:space="preserve">CASE_0736</t>
  </si>
  <si>
    <t xml:space="preserve">Administering the drug with the intent "to commit or to facilitate the commission of an offence" also triggers the 10-year penalty. [Source: Section 123, BNS 2023]</t>
  </si>
  <si>
    <t xml:space="preserve">CASE_0737</t>
  </si>
  <si>
    <t xml:space="preserve">No, the offence requires the *intent* to cause hurt, the *intent* to commit/facilitate an offence, or the *knowledge* that it is likely to cause hurt. An honest accident lacks this mens rea. [Source: Section 123, BNS 2023]</t>
  </si>
  <si>
    <t xml:space="preserve">CASE_0738</t>
  </si>
  <si>
    <t xml:space="preserve">The consequence is that date-rape scenarios (using roofies/alcohol) and premeditated incapacitation for theft are treated with the exact same severe gravity (up to 10 years) as attempting to slowly poison someone's organs. [Source: Section 123, BNS 2023]</t>
  </si>
  <si>
    <t xml:space="preserve">CASE_0739</t>
  </si>
  <si>
    <t xml:space="preserve">Voluntarily causing grievous hurt by use of acid, etc.</t>
  </si>
  <si>
    <t xml:space="preserve">Causing damage, burns, or disfigurement by throwing acid is punishable by a minimum of ten years up to life imprisonment, along with a fine that must be paid directly to the victim for medical expenses. Merely attempting an acid attack carries a 5 to 7 year sentence. [Source: Section 124, BNS 2023]</t>
  </si>
  <si>
    <t xml:space="preserve">Hugging Face source record: BNS_124</t>
  </si>
  <si>
    <t xml:space="preserve">CASE_0740</t>
  </si>
  <si>
    <t xml:space="preserve">Section 124 of BNS 2023 imposes a strict penalty of 10 years to life imprisonment for causing damage or deformity by throwing or administering acid (sub-section 1). Sub-section (2) punishes attempted acid attacks with 5 to 7 years imprisonment. Fines must cover the victim's medical expenses. [Source: Section 124, BNS 2023]</t>
  </si>
  <si>
    <t xml:space="preserve">CASE_0741</t>
  </si>
  <si>
    <t xml:space="preserve">Under sub-section (2), because the attacker attempted to throw acid with the intention of causing damage/deformity, they shall be punished with imprisonment for a term between five and seven years, even though no physical injury occurred. [Source: Section 124, BNS 2023]</t>
  </si>
  <si>
    <t xml:space="preserve">CASE_0742</t>
  </si>
  <si>
    <t xml:space="preserve">The two provisos state that the fine shall be "just and reasonable to meet the medical expenses of the treatment of the victim" and that the fine "shall be paid to the victim." [Source: Section 124, BNS 2023]</t>
  </si>
  <si>
    <t xml:space="preserve">CASE_0743</t>
  </si>
  <si>
    <t xml:space="preserve">Yes, Explanation 1 explicitly expands the definition of "acid" to include "any substance which has acidic or corrosive character or burning nature" capable of causing scarring, disfigurement, or disability. [Source: Section 124, BNS 2023]</t>
  </si>
  <si>
    <t xml:space="preserve">CASE_0744</t>
  </si>
  <si>
    <t xml:space="preserve">The consequence is that the defense cannot argue for a lesser sentence by claiming the victim's scars can eventually be fixed by plastic surgery; the damage/deformity "shall not be required to be irreversible" for the 10-year-to-life sentence to apply. [Source: Section 124, BNS 2023]</t>
  </si>
  <si>
    <t xml:space="preserve">CASE_0745</t>
  </si>
  <si>
    <t xml:space="preserve">Act endangering life or personal safety of others</t>
  </si>
  <si>
    <t xml:space="preserve">Doing a rash or negligent act that endangers human life is punishable by up to three months in prison. If the act actually causes simple hurt, it goes up to six months; if it causes grievous hurt, it goes up to three years. [Source: Section 125, BNS 2023]</t>
  </si>
  <si>
    <t xml:space="preserve">Hugging Face source record: BNS_125</t>
  </si>
  <si>
    <t xml:space="preserve">CASE_0746</t>
  </si>
  <si>
    <t xml:space="preserve">Section 125 of BNS 2023 creates a three-tier system for rash/negligent acts endangering life. The base act carries up to 3 months imprisonment. Under clause (a), if simple hurt results, the penalty is up to 6 months. Under clause (b), if grievous hurt results, it is up to 3 years. [Source: Section 125, BNS 2023]</t>
  </si>
  <si>
    <t xml:space="preserve">CASE_0747</t>
  </si>
  <si>
    <t xml:space="preserve">Because his negligent act endangered life and ultimately caused grievous hurt, under clause (b), he shall be punished with imprisonment for a term which may extend to three years. [Source: Section 125, BNS 2023]</t>
  </si>
  <si>
    <t xml:space="preserve">CASE_0748</t>
  </si>
  <si>
    <t xml:space="preserve">The act must be done "rashly" or "negligently" to the extent that it endangers human life or the personal safety of others. Intent to harm is not required. [Source: Section 125, BNS 2023]</t>
  </si>
  <si>
    <t xml:space="preserve">CASE_0749</t>
  </si>
  <si>
    <t xml:space="preserve">No, if the rash or negligent act causes *death*, it is no longer covered by this section; it escalates to Section 106 (Causing death by negligence), which carries a standard penalty of up to five years. [Source: Section 125, BNS 2023]</t>
  </si>
  <si>
    <t xml:space="preserve">CASE_0750</t>
  </si>
  <si>
    <t xml:space="preserve">The consequence is that law enforcement can intervene and prosecute objectively dangerous behavior (like severe reckless driving or mishandling explosives) *before* a tragedy occurs, preventing harm rather than just reacting to it. [Source: Section 125, BNS 2023]</t>
  </si>
  <si>
    <t xml:space="preserve">CASE_0751</t>
  </si>
  <si>
    <t xml:space="preserve">Wrongful restraint</t>
  </si>
  <si>
    <t xml:space="preserve">Wrongful restraint occurs when someone intentionally obstructs another person from proceeding in a direction they have a legal right to go. It is punishable by up to one month in prison or a fine up to 5,000 rupees. [Source: Section 126, BNS 2023]</t>
  </si>
  <si>
    <t xml:space="preserve">Hugging Face source record: BNS_126</t>
  </si>
  <si>
    <t xml:space="preserve">CASE_0752</t>
  </si>
  <si>
    <t xml:space="preserve">Section 126 of BNS 2023 defines wrongful restraint as voluntarily obstructing a person from proceeding in a direction they have a right to proceed. Sub-section (2) prescribes a penalty of up to 1 month simple imprisonment or a fine up to 5,000 rupees. [Source: Section 126, BNS 2023]</t>
  </si>
  <si>
    <t xml:space="preserve">CASE_0753</t>
  </si>
  <si>
    <t xml:space="preserve">Yes, under the Illustration for Section 126, because the rival has a right to pass along the public path and the shopkeeper voluntarily obstructs him without a good faith belief in a lawful right to do so, he is guilty of wrongful restraint. [Source: Section 126, BNS 2023]</t>
  </si>
  <si>
    <t xml:space="preserve">CASE_0754</t>
  </si>
  <si>
    <t xml:space="preserve">The obstruction must prevent the person "from proceeding in any direction in which that person has a right to proceed." [Source: Section 126, BNS 2023]</t>
  </si>
  <si>
    <t xml:space="preserve">CASE_0755</t>
  </si>
  <si>
    <t xml:space="preserve">No, the Exception states that obstructing a private way over land/water which a person in good faith believes they have a lawful right to obstruct is not an offence under this section. [Source: Section 126, BNS 2023]</t>
  </si>
  <si>
    <t xml:space="preserve">CASE_0756</t>
  </si>
  <si>
    <t xml:space="preserve">The consequence is that merely blocking someone's path in one direction (restraint) is treated as a very minor misdemeanor (1 month maximum), whereas totally trapping someone (confinement) is treated as a much more serious offence. [Source: Section 126, BNS 2023]</t>
  </si>
  <si>
    <t xml:space="preserve">CASE_0757</t>
  </si>
  <si>
    <t xml:space="preserve">Wrongful confinement</t>
  </si>
  <si>
    <t xml:space="preserve">Wrongfully confining someone within certain limits is punishable by up to one year in prison. The penalty increases significantly based on the duration of the confinement (e.g., 3+ days is up to 3 years, 10+ days is up to 5 years) or if done for extortion. [Source: Section 127, BNS 2023]</t>
  </si>
  <si>
    <t xml:space="preserve">Hugging Face source record: BNS_127</t>
  </si>
  <si>
    <t xml:space="preserve">CASE_0758</t>
  </si>
  <si>
    <t xml:space="preserve">Section 127 of BNS 2023 defines wrongful confinement as restraining a person to prevent them from proceeding beyond circumscribing limits. Penalties scale up: up to 1 year for basic confinement, up to 3 years for 3+ days, up to 5 years for 10+ days, and up to 3 years extra for secretive/extortionate confinement. [Source: Section 127, BNS 2023]</t>
  </si>
  <si>
    <t xml:space="preserve">CASE_0759</t>
  </si>
  <si>
    <t xml:space="preserve">Because he wrongfully confined the person for ten days or more, under sub-section (4), he is punishable with imprisonment for a term which may extend to five years, plus a mandatory minimum fine. [Source: Section 127, BNS 2023]</t>
  </si>
  <si>
    <t xml:space="preserve">CASE_0760</t>
  </si>
  <si>
    <t xml:space="preserve">Restraint only blocks a person from going in a specific direction, while confinement completely prevents the person "from proceedings beyond certain circumscribing limits" (i.e., trapping them). [Source: Section 127, BNS 2023]</t>
  </si>
  <si>
    <t xml:space="preserve">CASE_0761</t>
  </si>
  <si>
    <t xml:space="preserve">The kidnapper faces up to two years imprisonment *in addition* to any other term of imprisonment they are liable for under the chapter. [Source: Section 127, BNS 2023]</t>
  </si>
  <si>
    <t xml:space="preserve">CASE_0762</t>
  </si>
  <si>
    <t xml:space="preserve">The consequence is that the law incentivizes the swift release of captives; kidnappers face exponentially harsher maximum sentences the longer they hold someone against their will, escalating from 1 year to 5 years based purely on duration. [Source: Section 127, BNS 2023]</t>
  </si>
  <si>
    <t xml:space="preserve">CASE_0763</t>
  </si>
  <si>
    <t xml:space="preserve">Force</t>
  </si>
  <si>
    <t xml:space="preserve">Using force means causing motion, changing the motion, or stopping the motion of a person (or a substance that touches them/their clothes) using bodily power, by disposing of a substance, or by inducing an animal to move. [Source: Section 128, BNS 2023]</t>
  </si>
  <si>
    <t xml:space="preserve">Hugging Face source record: BNS_128</t>
  </si>
  <si>
    <t xml:space="preserve">CASE_0764</t>
  </si>
  <si>
    <t xml:space="preserve">Section 128 of BNS 2023 defines force as causing, changing, or ceasing motion to another person, or to a substance that contacts them/their clothes. It specifies three ways to cause this motion: by bodily power, by disposing a substance, or by inducing an animal. [Source: Section 128, BNS 2023]</t>
  </si>
  <si>
    <t xml:space="preserve">CASE_0765</t>
  </si>
  <si>
    <t xml:space="preserve">Yes, under clause (b), the prankster disposed a substance (the wire) in a manner that caused a change/cessation of motion to the victim without any further act on his part, fulfilling the legal definition of using force. [Source: Section 128, BNS 2023]</t>
  </si>
  <si>
    <t xml:space="preserve">CASE_0766</t>
  </si>
  <si>
    <t xml:space="preserve">The three ways are: (a) by his own bodily power; (b) by disposing any substance so motion takes place without further action; and (c) by inducing any animal to move/change/cease motion. [Source: Section 128, BNS 2023]</t>
  </si>
  <si>
    <t xml:space="preserve">CASE_0767</t>
  </si>
  <si>
    <t xml:space="preserve">No, because the motion was not caused by bodily power acting upon them, the disposing of a substance, or the inducing of an animal. It was a purely psychological reaction to sound, which doesn't fit the physical definition of force here. [Source: Section 128, BNS 2023]</t>
  </si>
  <si>
    <t xml:space="preserve">CASE_0768</t>
  </si>
  <si>
    <t xml:space="preserve">The consequence is that the law eliminates loopholes for indirect physical assault; setting a trap, pouring boiling water, or siccing a dog on someone are legally treated as the exact same direct use of "force" as punching them with a fist. [Source: Section 128, BNS 2023]</t>
  </si>
  <si>
    <t xml:space="preserve">CASE_0769</t>
  </si>
  <si>
    <t xml:space="preserve">Criminal force</t>
  </si>
  <si>
    <t xml:space="preserve">Force becomes "criminal force" when it is used intentionally, without the person's consent, either to commit an offence, or with the intent/knowledge that it will cause injury, fear, or annoyance to that person. [Source: Section 129, BNS 2023]</t>
  </si>
  <si>
    <t xml:space="preserve">Hugging Face source record: BNS_129</t>
  </si>
  <si>
    <t xml:space="preserve">CASE_0770</t>
  </si>
  <si>
    <t xml:space="preserve">Section 129 of BNS 2023 stipulates that force is criminal when used intentionally and without consent to commit an offence, or when intended/known to be likely to cause injury, fear, or annoyance to the victim. [Source: Section 129, BNS 2023]</t>
  </si>
  <si>
    <t xml:space="preserve">CASE_0771</t>
  </si>
  <si>
    <t xml:space="preserve">Yes, under Illustration (g), by pouring the boiling water he intentionally causes motion in a substance that contacts the bather. Since he did this without consent, knowing it would cause injury/annoyance, he has used criminal force. [Source: Section 129, BNS 2023]</t>
  </si>
  <si>
    <t xml:space="preserve">CASE_0772</t>
  </si>
  <si>
    <t xml:space="preserve">The offender must intend or know it is likely that the force will cause "injury, fear or annoyance" to the person. [Source: Section 129, BNS 2023]</t>
  </si>
  <si>
    <t xml:space="preserve">CASE_0773</t>
  </si>
  <si>
    <t xml:space="preserve">No, because while it is intentional force without explicit active consent, it is not done to commit an offence, nor is it done intending to cause injury, fear, or annoyance (it is done to heal/save). [Source: Section 129, BNS 2023]</t>
  </si>
  <si>
    <t xml:space="preserve">CASE_0774</t>
  </si>
  <si>
    <t xml:space="preserve">The consequence is that non-injurious physical harassment—like intentionally pushing past someone in the street, aggressively splashing water on them, or forcibly pulling up a veil—is fully criminalized even if it doesn't cause physical pain. [Source: Section 129, BNS 2023]</t>
  </si>
  <si>
    <t xml:space="preserve">CASE_0775</t>
  </si>
  <si>
    <t xml:space="preserve">Assault</t>
  </si>
  <si>
    <t xml:space="preserve">In Indian law, "assault" is not the act of hitting someone (that is criminal force or hurt); assault is merely making a gesture or preparation that makes someone reasonably fear that you are about to use criminal force against them (like raising a fist). [Source: Section 130, BNS 2023]</t>
  </si>
  <si>
    <t xml:space="preserve">Hugging Face source record: BNS_130</t>
  </si>
  <si>
    <t xml:space="preserve">CASE_0776</t>
  </si>
  <si>
    <t xml:space="preserve">Section 130 of BNS 2023 defines assault as making any gesture or preparation intending/knowing it is likely to cause any person present to apprehend that criminal force is about to be used against them. [Source: Section 130, BNS 2023]</t>
  </si>
  <si>
    <t xml:space="preserve">CASE_0777</t>
  </si>
  <si>
    <t xml:space="preserve">Yes, under Illustration (c), taking up the stick is a gesture/preparation, and while the words alone aren't an assault, the gesture explained by the threatening words causes the apprehension of criminal force, making it an assault. [Source: Section 130, BNS 2023]</t>
  </si>
  <si>
    <t xml:space="preserve">CASE_0778</t>
  </si>
  <si>
    <t xml:space="preserve">It must cause the victim "to apprehend that he who makes that gesture or preparation is about to use criminal force to that person." [Source: Section 130, BNS 2023]</t>
  </si>
  <si>
    <t xml:space="preserve">CASE_0779</t>
  </si>
  <si>
    <t xml:space="preserve">No, the Explanation explicitly states that "Mere words do not amount to an assault." There must be a physical gesture or preparation accompanying the words to cause the apprehension of immediate force. [Source: Section 130, BNS 2023]</t>
  </si>
  <si>
    <t xml:space="preserve">CASE_0780</t>
  </si>
  <si>
    <t xml:space="preserve">The consequence is that the law criminalizes the *threat* of imminent violence independently of actual physical contact. It protects a person's right to be free from the fear and anticipation of being attacked, allowing police to arrest someone before a blow is actually struck. [Source: Section 130, BNS 2023]</t>
  </si>
  <si>
    <t xml:space="preserve">CASE_0781</t>
  </si>
  <si>
    <t xml:space="preserve">Punishment for assault or criminal force otherwise than on grave provocation</t>
  </si>
  <si>
    <t xml:space="preserve">The basic punishment for assault or using criminal force (when not done under grave and sudden provocation) is up to three months in prison, or a fine up to 1,000 rupees, or both. [Source: Section 131, BNS 2023]</t>
  </si>
  <si>
    <t xml:space="preserve">Hugging Face source record: BNS_131</t>
  </si>
  <si>
    <t xml:space="preserve">CASE_0782</t>
  </si>
  <si>
    <t xml:space="preserve">Section 131 of BNS 2023 prescribes a punishment of up to 3 months imprisonment or a fine up to 1,000 rupees for assault or criminal force, provided it is not committed under grave and sudden provocation. [Source: Section 131, BNS 2023]</t>
  </si>
  <si>
    <t xml:space="preserve">CASE_0783</t>
  </si>
  <si>
    <t xml:space="preserve">Because he used criminal force otherwise than on grave and sudden provocation, he shall be punished with imprisonment for a term which may extend to three months. [Source: Section 131, BNS 2023]</t>
  </si>
  <si>
    <t xml:space="preserve">CASE_0784</t>
  </si>
  <si>
    <t xml:space="preserve">Provocation cannot mitigate the offence if: 1) the provocation was sought/voluntarily provoked by the offender as an excuse, or 2) the provocation was given by a public servant acting in the lawful exercise of their powers. [Source: Section 131, BNS 2023]</t>
  </si>
  <si>
    <t xml:space="preserve">CASE_0785</t>
  </si>
  <si>
    <t xml:space="preserve">No, Explanation 1 clause (c) explicitly states that provocation given by anything done in the lawful exercise of the right of private defence will not mitigate the punishment for an offence under this section. [Source: Section 131, BNS 2023]</t>
  </si>
  <si>
    <t xml:space="preserve">CASE_0786</t>
  </si>
  <si>
    <t xml:space="preserve">The consequence is that the law does not provide a rigid mathematical formula for what counts as "grave and sudden"; instead, whether the provocation was sufficient to mitigate the offence is explicitly left as a "question of fact" for the judge/jury to decide case-by-case. [Source: Section 131, BNS 2023]</t>
  </si>
  <si>
    <t xml:space="preserve">CASE_0787</t>
  </si>
  <si>
    <t xml:space="preserve">Assault or criminal force to deter public servant from discharge of his duty</t>
  </si>
  <si>
    <t xml:space="preserve">Assaulting or using criminal force to deter a public servant from their duty is punishable by up to two years in prison, or a fine, or both. [Source: Section 132, BNS 2023]</t>
  </si>
  <si>
    <t xml:space="preserve">Hugging Face source record: BNS_132</t>
  </si>
  <si>
    <t xml:space="preserve">CASE_0788</t>
  </si>
  <si>
    <t xml:space="preserve">Section 132 of BNS 2023 penalizes assaulting or using criminal force against a public servant to deter them from their duty, or in consequence of their lawful actions, with imprisonment up to 2 years. [Source: Section 132, BNS 2023]</t>
  </si>
  <si>
    <t xml:space="preserve">CASE_0789</t>
  </si>
  <si>
    <t xml:space="preserve">The citizen is punishable under Section 132 because they assaulted a public servant with intent to deter that person from discharging his duty, facing up to two years in prison. [Source: Section 132, BNS 2023]</t>
  </si>
  <si>
    <t xml:space="preserve">CASE_0790</t>
  </si>
  <si>
    <t xml:space="preserve">Section 121 specifically deals with voluntarily causing "hurt" (actual pain/injury) to a public servant and carries up to 5 years, while Section 132 deals with "assault or criminal force" (threats or non-injurious physical contact like shoving) and carries up to 2 years. [Source: Section 132, BNS 2023]</t>
  </si>
  <si>
    <t xml:space="preserve">CASE_0791</t>
  </si>
  <si>
    <t xml:space="preserve">No, this section only applies when the public servant is acting "in the execution of his duty" or "in the lawful discharge of his duty." An illegal, unconstitutional act is not a lawful discharge of duty. [Source: Section 132, BNS 2023]</t>
  </si>
  <si>
    <t xml:space="preserve">CASE_0792</t>
  </si>
  <si>
    <t xml:space="preserve">The consequence is a significant sentence enhancement; while basic assault/criminal force (Section 131) carries a maximum of 3 months in prison, doing the exact same action to a public servant to deter them (Section 132) multiplies the maximum penalty eightfold to 2 years. [Source: Section 132, BNS 2023]</t>
  </si>
  <si>
    <t xml:space="preserve">CASE_0793</t>
  </si>
  <si>
    <t xml:space="preserve">Assault or criminal force with intent to dishonour person, otherwise than on grave</t>
  </si>
  <si>
    <t xml:space="preserve">Assaulting or using criminal force with the specific intent to dishonour a person (and not under grave provocation) is punishable by up to two years in prison, or a fine, or both. [Source: Section 133, BNS 2023]</t>
  </si>
  <si>
    <t xml:space="preserve">Hugging Face source record: BNS_133</t>
  </si>
  <si>
    <t xml:space="preserve">CASE_0794</t>
  </si>
  <si>
    <t xml:space="preserve">Section 133 of BNS 2023 prescribes up to 2 years imprisonment for anyone who assaults or uses criminal force against a person with the intent to dishonour them, provided it is not done under grave and sudden provocation. [Source: Section 133, BNS 2023]</t>
  </si>
  <si>
    <t xml:space="preserve">CASE_0795</t>
  </si>
  <si>
    <t xml:space="preserve">Because the bully used criminal force intending thereby to dishonour that person, he shall be punished under this section with imprisonment for a term which may extend to two years. [Source: Section 133, BNS 2023]</t>
  </si>
  <si>
    <t xml:space="preserve">CASE_0796</t>
  </si>
  <si>
    <t xml:space="preserve">The offender must act "intending thereby to dishonour that person." [Source: Section 133, BNS 2023]</t>
  </si>
  <si>
    <t xml:space="preserve">CASE_0797</t>
  </si>
  <si>
    <t xml:space="preserve">No, the section explicitly states that the assault/criminal force must be "otherwise than on grave and sudden provocation given by that person" for this specific penalty to apply. [Source: Section 133, BNS 2023]</t>
  </si>
  <si>
    <t xml:space="preserve">CASE_0798</t>
  </si>
  <si>
    <t xml:space="preserve">The consequence is that the law recognizes the severe psychological and social damage caused by humiliating physical acts (like blackening a face or parading someone naked), punishing the *dignitary* harm much more harshly (2 years) than the *physical* harm of a simple shove (3 months). [Source: Section 133, BNS 2023]</t>
  </si>
  <si>
    <t xml:space="preserve">CASE_0799</t>
  </si>
  <si>
    <t xml:space="preserve">Assault or criminal force in attempt to commit theft of property carried by a person</t>
  </si>
  <si>
    <t xml:space="preserve">Assaulting or using criminal force in an attempt to steal property that a person is wearing or carrying (like a purse snatching or chain snatching) is punishable by up to two years in prison. [Source: Section 134, BNS 2023]</t>
  </si>
  <si>
    <t xml:space="preserve">Hugging Face source record: BNS_134</t>
  </si>
  <si>
    <t xml:space="preserve">CASE_0800</t>
  </si>
  <si>
    <t xml:space="preserve">Section 134 of BNS 2023 imposes up to 2 years imprisonment for assaulting or using criminal force against a person in an attempt to commit theft of property they are wearing or carrying. [Source: Section 134, BNS 2023]</t>
  </si>
  <si>
    <t xml:space="preserve">CASE_0801</t>
  </si>
  <si>
    <t xml:space="preserve">Because the thief used criminal force in an attempt to commit theft of property the woman was carrying, they shall be punished under this section with imprisonment for a term which may extend to two years. [Source: Section 134, BNS 2023]</t>
  </si>
  <si>
    <t xml:space="preserve">CASE_0802</t>
  </si>
  <si>
    <t xml:space="preserve">The property must be property "which that person is then wearing or carrying." [Source: Section 134, BNS 2023]</t>
  </si>
  <si>
    <t xml:space="preserve">CASE_0803</t>
  </si>
  <si>
    <t xml:space="preserve">No, the television is not property the homeowner is "then wearing or carrying," so while other assault or robbery charges would apply, this specific section targeting pickpockets and muggers would not. [Source: Section 134, BNS 2023]</t>
  </si>
  <si>
    <t xml:space="preserve">CASE_0804</t>
  </si>
  <si>
    <t xml:space="preserve">The consequence is that street crimes like chain-snatching and purse-snatching are recognized as inherently violent acts against the person (punishable by up to 2 years), closing the gap between simple theft and full-blown robbery. [Source: Section 134, BNS 2023]</t>
  </si>
  <si>
    <t xml:space="preserve">CASE_0805</t>
  </si>
  <si>
    <t xml:space="preserve">Assault or criminal force in attempt to wrongfully confine a person</t>
  </si>
  <si>
    <t xml:space="preserve">Assaulting or using criminal force in an attempt to wrongfully confine someone is punishable by up to one year in prison, or a fine up to 5,000 rupees, or both. [Source: Section 135, BNS 2023]</t>
  </si>
  <si>
    <t xml:space="preserve">Hugging Face source record: BNS_135</t>
  </si>
  <si>
    <t xml:space="preserve">CASE_0806</t>
  </si>
  <si>
    <t xml:space="preserve">Section 135 of BNS 2023 prescribes up to 1 year imprisonment or a fine up to 5,000 rupees for assaulting or using criminal force in an attempt to wrongfully confine a person. [Source: Section 135, BNS 2023]</t>
  </si>
  <si>
    <t xml:space="preserve">CASE_0807</t>
  </si>
  <si>
    <t xml:space="preserve">Because he used criminal force in attempting wrongfully to confine that person, he is punishable under this section with imprisonment for a term which may extend to one year. [Source: Section 135, BNS 2023]</t>
  </si>
  <si>
    <t xml:space="preserve">CASE_0808</t>
  </si>
  <si>
    <t xml:space="preserve">The assault or criminal force must be used "in attempting wrongfully to confine that person." [Source: Section 135, BNS 2023]</t>
  </si>
  <si>
    <t xml:space="preserve">CASE_0809</t>
  </si>
  <si>
    <t xml:space="preserve">No, Section 135 applies to the *attempt* to wrongfully confine. If the confinement is successful, the primary charge escalates to actual wrongful confinement under Section 127, which carries its own set of penalties. [Source: Section 135, BNS 2023]</t>
  </si>
  <si>
    <t xml:space="preserve">CASE_0810</t>
  </si>
  <si>
    <t xml:space="preserve">The consequence is that standard assault (3 months) automatically quadruples in severity (to 1 year) if the state proves the *reason* for the assault was to trap or imprison the victim, taking the threat to personal liberty highly seriously. [Source: Section 135, BNS 2023]</t>
  </si>
  <si>
    <t xml:space="preserve">CASE_0811</t>
  </si>
  <si>
    <t xml:space="preserve">Assault or criminal force on grave provocation</t>
  </si>
  <si>
    <t xml:space="preserve">Assault or criminal force committed under grave and sudden provocation is punishable by up to one month of simple imprisonment, or a fine up to 1,000 rupees, or both. [Source: Section 136, BNS 2023]</t>
  </si>
  <si>
    <t xml:space="preserve">Hugging Face source record: BNS_136</t>
  </si>
  <si>
    <t xml:space="preserve">CASE_0812</t>
  </si>
  <si>
    <t xml:space="preserve">Section 136 of BNS 2023 reduces the punishment for assault or criminal force to a maximum of 1 month simple imprisonment or a 1,000 rupee fine if the act was committed on grave and sudden provocation given by the victim. [Source: Section 136, BNS 2023]</t>
  </si>
  <si>
    <t xml:space="preserve">CASE_0813</t>
  </si>
  <si>
    <t xml:space="preserve">Because he used criminal force on grave and sudden provocation, he shall be punished under this section with simple imprisonment for a term which may extend to one month, or a fine up to 1,000 rupees. [Source: Section 136, BNS 2023]</t>
  </si>
  <si>
    <t xml:space="preserve">CASE_0814</t>
  </si>
  <si>
    <t xml:space="preserve">No, the Explanation states this section is subject to the same Explanation as Section 131, which explicitly disqualifies provocation that is sought or voluntarily provoked by the offender. [Source: Section 136, BNS 2023]</t>
  </si>
  <si>
    <t xml:space="preserve">CASE_0815</t>
  </si>
  <si>
    <t xml:space="preserve">No, as per the incorporated Explanation from Section 131, provocation given by a public servant in the lawful exercise of their powers does not mitigate the offence. [Source: Section 136, BNS 2023]</t>
  </si>
  <si>
    <t xml:space="preserve">CASE_0816</t>
  </si>
  <si>
    <t xml:space="preserve">The consequence is that the law distinguishes between cold-blooded malice and a temporary, understandable (though still illegal) loss of self-control, reducing the maximum prison time from 3 months to 1 month for acts committed in the heat of passion. [Source: Section 136, BNS 2023]</t>
  </si>
  <si>
    <t xml:space="preserve">CASE_0817</t>
  </si>
  <si>
    <t xml:space="preserve">Kidnapping</t>
  </si>
  <si>
    <t xml:space="preserve">Indian law recognizes two kinds of kidnapping: "kidnapping from India" (conveying someone outside the country without consent) and "kidnapping from lawful guardianship" (taking/enticing a minor or mentally unsound person away from their guardian without consent). [Source: Section 137, BNS 2023]</t>
  </si>
  <si>
    <t xml:space="preserve">Hugging Face source record: BNS_137</t>
  </si>
  <si>
    <t xml:space="preserve">CASE_0818</t>
  </si>
  <si>
    <t xml:space="preserve">Section 137 of BNS 2023 defines "kidnapping from India" (taking someone beyond national borders without consent) and "kidnapping from lawful guardianship" (taking a child or unsound person from their guardian without consent). Both are punished by up to 7 years imprisonment under sub-section (2). [Source: Section 137, BNS 2023]</t>
  </si>
  <si>
    <t xml:space="preserve">CASE_0819</t>
  </si>
  <si>
    <t xml:space="preserve">Under clause (b), because he took a child out of the keeping of the lawful guardian without consent, he has committed kidnapping from lawful guardianship, punishable by up to seven years in prison. [Source: Section 137, BNS 2023]</t>
  </si>
  <si>
    <t xml:space="preserve">CASE_0820</t>
  </si>
  <si>
    <t xml:space="preserve">Clause (b) specifically protects "any child or any person of unsound mind." [Source: Section 137, BNS 2023]</t>
  </si>
  <si>
    <t xml:space="preserve">CASE_0821</t>
  </si>
  <si>
    <t xml:space="preserve">No, the Exception protects a person who in good faith believes himself to be the father or entitled to lawful custody of an illegitimate child, provided the act is not committed for an immoral or unlawful purpose. [Source: Section 137, BNS 2023]</t>
  </si>
  <si>
    <t xml:space="preserve">CASE_0822</t>
  </si>
  <si>
    <t xml:space="preserve">The consequence is that forcefully or deceitfully moving someone across an international border is treated as a distinct, severe sovereignty and human rights violation, carrying up to 7 years in prison, separate from the domestic custody issues of clause (b). [Source: Section 137, BNS 2023]</t>
  </si>
  <si>
    <t xml:space="preserve">CASE_0823</t>
  </si>
  <si>
    <t xml:space="preserve">Abduction</t>
  </si>
  <si>
    <t xml:space="preserve">While kidnapping specifically involves minors, persons of unsound mind, or taking someone out of India, "abduction" applies to anyone and occurs when a person is compelled by force, or induced by deceitful means, to go from any place. [Source: Section 138, BNS 2023]</t>
  </si>
  <si>
    <t xml:space="preserve">Hugging Face source record: BNS_138</t>
  </si>
  <si>
    <t xml:space="preserve">CASE_0824</t>
  </si>
  <si>
    <t xml:space="preserve">Section 138 of BNS 2023 defines abduction as compelling any person by force, or inducing them by any deceitful means, to go from any place. [Source: Section 138, BNS 2023]</t>
  </si>
  <si>
    <t xml:space="preserve">CASE_0825</t>
  </si>
  <si>
    <t xml:space="preserve">Yes, because he induced the person to go from a place by deceitful means, he is said to "abduct" that person under Section 138. [Source: Section 138, BNS 2023]</t>
  </si>
  <si>
    <t xml:space="preserve">CASE_0826</t>
  </si>
  <si>
    <t xml:space="preserve">The two methods are: compelling by "force," or inducing by "deceitful means." [Source: Section 138, BNS 2023]</t>
  </si>
  <si>
    <t xml:space="preserve">CASE_0827</t>
  </si>
  <si>
    <t xml:space="preserve">No, because she was neither compelled by force nor induced by deceitful means; voluntary movement by a competent adult is not abduction. [Source: Section 138, BNS 2023]</t>
  </si>
  <si>
    <t xml:space="preserve">CASE_0828</t>
  </si>
  <si>
    <t xml:space="preserve">The consequence is that the law recognizes two distinct evils: kidnapping focuses on violating *guardianship* rights (often involving minors who cannot consent), while abduction focuses on violating the *free will* of an individual (through force or fraud) regardless of their age. [Source: Section 138, BNS 2023]</t>
  </si>
  <si>
    <t xml:space="preserve">CASE_0829</t>
  </si>
  <si>
    <t xml:space="preserve">Kidnapping or maiming a child for purposes of begging</t>
  </si>
  <si>
    <t xml:space="preserve">Kidnapping a child for begging carries a minimum of ten years up to life in prison. If the offender actually maims (mutilates) the child for begging, the penalty is a mandatory minimum of twenty years up to natural life in prison. [Source: Section 139, BNS 2023]</t>
  </si>
  <si>
    <t xml:space="preserve">Hugging Face source record: BNS_139</t>
  </si>
  <si>
    <t xml:space="preserve">CASE_0830</t>
  </si>
  <si>
    <t xml:space="preserve">Section 139 of BNS 2023 imposes 10 years to life imprisonment for kidnapping a child for begging (sub-section 1), and a minimum of 20 years to natural life imprisonment for maiming a child for begging (sub-section 2). [Source: Section 139, BNS 2023]</t>
  </si>
  <si>
    <t xml:space="preserve">CASE_0831</t>
  </si>
  <si>
    <t xml:space="preserve">Because they maimed the child in order to employ him for begging, under sub-section (2), they shall be punishable with imprisonment which shall not be less than twenty years, and which may extend to natural life. [Source: Section 139, BNS 2023]</t>
  </si>
  <si>
    <t xml:space="preserve">CASE_0832</t>
  </si>
  <si>
    <t xml:space="preserve">It shall be legally presumed, unless proved otherwise, that the person kidnapped or obtained custody of the child specifically to use them for begging. [Source: Section 139, BNS 2023]</t>
  </si>
  <si>
    <t xml:space="preserve">CASE_0833</t>
  </si>
  <si>
    <t xml:space="preserve">It includes performing; sub-section 4(i) explicitly defines begging to include soliciting alms under the pretence of singing, dancing, fortune telling, or performing tricks. [Source: Section 139, BNS 2023]</t>
  </si>
  <si>
    <t xml:space="preserve">CASE_0834</t>
  </si>
  <si>
    <t xml:space="preserve">The consequence is that the state treats child mutilation and child trafficking for forced begging as among the most heinous crimes in the penal code, ensuring that organized begging syndicates face near-permanent incarceration (20 years to natural life) if caught. [Source: Section 139, BNS 2023]</t>
  </si>
  <si>
    <t xml:space="preserve">CASE_0835</t>
  </si>
  <si>
    <t xml:space="preserve">Kidnapping or abducting in order to murder or for ransom, etc.</t>
  </si>
  <si>
    <t xml:space="preserve">Kidnapping or abducting someone to murder them is punishable by up to life imprisonment. If the kidnapping is for ransom, or to compel a government/organization to act by threatening the victim's life, the penalty is death or life imprisonment. [Source: Section 140, BNS 2023]</t>
  </si>
  <si>
    <t xml:space="preserve">Hugging Face source record: BNS_140</t>
  </si>
  <si>
    <t xml:space="preserve">CASE_0836</t>
  </si>
  <si>
    <t xml:space="preserve">Section 140 of BNS 2023 penalizes aggravated kidnapping/abduction: for murder (up to life imprisonment, sub-section 1); for ransom/coercion with death threats (death or life imprisonment, sub-section 2); for secret confinement (up to 7 years, sub-section 3); and for grievous hurt, slavery, or unnatural lust (up to 10 years, sub-section 4). [Source: Section 140, BNS 2023]</t>
  </si>
  <si>
    <t xml:space="preserve">CASE_0837</t>
  </si>
  <si>
    <t xml:space="preserve">Under sub-section (2), because they abducted a person and threatened death to compel the Government to do an act, they are punishable with death, or imprisonment for life. [Source: Section 140, BNS 2023]</t>
  </si>
  <si>
    <t xml:space="preserve">CASE_0838</t>
  </si>
  <si>
    <t xml:space="preserve">The three purposes are: subjecting the person to 1) grievous hurt, 2) slavery, or 3) the unnatural lust of any person. [Source: Section 140, BNS 2023]</t>
  </si>
  <si>
    <t xml:space="preserve">CASE_0839</t>
  </si>
  <si>
    <t xml:space="preserve">No, it also applies if the person is kidnapped/abducted to "be so disposed of as to be put in danger of being murdered," meaning handing a victim over to a hostile party or leaving them in a deadly situation also qualifies. [Source: Section 140, BNS 2023]</t>
  </si>
  <si>
    <t xml:space="preserve">CASE_0840</t>
  </si>
  <si>
    <t xml:space="preserve">The consequence is that political hostage-taking and terrorism are explicitly classified alongside profit-driven ransom kidnapping as capital offences, allowing courts to sentence terrorists who take hostages to the death penalty. [Source: Section 140, BNS 2023]</t>
  </si>
  <si>
    <t xml:space="preserve">CASE_0841</t>
  </si>
  <si>
    <t xml:space="preserve">Importation of girl or boy from foreign country</t>
  </si>
  <si>
    <t xml:space="preserve">Importing a girl under 21 or a boy under 18 from a foreign country with the intent or knowledge that they will be forced or seduced into illicit intercourse is punishable by up to ten years in prison and a fine. [Source: Section 141, BNS 2023]</t>
  </si>
  <si>
    <t xml:space="preserve">Hugging Face source record: BNS_141</t>
  </si>
  <si>
    <t xml:space="preserve">CASE_0842</t>
  </si>
  <si>
    <t xml:space="preserve">Section 141 of BNS 2023 imposes up to 10 years imprisonment and a fine for importing a girl under 21 or a boy under 18 into India, with the intent or knowledge that they will be subjected to illicit intercourse. [Source: Section 141, BNS 2023]</t>
  </si>
  <si>
    <t xml:space="preserve">CASE_0843</t>
  </si>
  <si>
    <t xml:space="preserve">Because they imported a girl under the age of twenty-one years from a foreign country with the intent that she be forced into illicit intercourse, they are punishable under this section with imprisonment up to ten years. [Source: Section 141, BNS 2023]</t>
  </si>
  <si>
    <t xml:space="preserve">CASE_0844</t>
  </si>
  <si>
    <t xml:space="preserve">The section protects "any girl under the age of twenty-one years" and "any boy under the age of eighteen years." [Source: Section 141, BNS 2023]</t>
  </si>
  <si>
    <t xml:space="preserve">CASE_0845</t>
  </si>
  <si>
    <t xml:space="preserve">No, this specific section only applies to the importation of girls under twenty-one and boys under eighteen; older victims would fall under general trafficking (Section 143) or slavery provisions. [Source: Section 141, BNS 2023]</t>
  </si>
  <si>
    <t xml:space="preserve">CASE_0846</t>
  </si>
  <si>
    <t xml:space="preserve">The consequence is that prosecutors can charge human smugglers with a severe 10-year felony the moment the minor victim crosses the border into India, without having to wait for the actual sexual exploitation to occur, disrupting international sex trafficking rings early. [Source: Section 141, BNS 2023]</t>
  </si>
  <si>
    <t xml:space="preserve">CASE_0847</t>
  </si>
  <si>
    <t xml:space="preserve">Wrongfully concealing or keeping in confinement, kidnapped or abducted person</t>
  </si>
  <si>
    <t xml:space="preserve">If a person knows someone has been kidnapped or abducted, and wrongfully conceals or confines them, they are punished exactly as if they had committed the kidnapping themselves, based on their own intent or purpose. [Source: Section 142, BNS 2023]</t>
  </si>
  <si>
    <t xml:space="preserve">Hugging Face source record: BNS_142</t>
  </si>
  <si>
    <t xml:space="preserve">CASE_0848</t>
  </si>
  <si>
    <t xml:space="preserve">Section 142 of BNS 2023 stipulates that anyone who knowingly conceals or confines a kidnapped/abducted person shall be punished in the same manner as if they had personally kidnapped or abducted the person for the same purpose. [Source: Section 142, BNS 2023]</t>
  </si>
  <si>
    <t xml:space="preserve">CASE_0849</t>
  </si>
  <si>
    <t xml:space="preserve">Because the farmer knowingly and wrongfully confined a kidnapped person for the purpose of ransom, under this section, he is punished as if he himself had kidnapped the person for ransom (which carries death or life imprisonment under Section 140). [Source: Section 142, BNS 2023]</t>
  </si>
  <si>
    <t xml:space="preserve">CASE_0850</t>
  </si>
  <si>
    <t xml:space="preserve">The person must act "knowing that any person has been kidnapped or has been abducted." [Source: Section 142, BNS 2023]</t>
  </si>
  <si>
    <t xml:space="preserve">CASE_0851</t>
  </si>
  <si>
    <t xml:space="preserve">No, the statute explicitly requires that the person acting must *know* that the person being concealed/confined has been kidnapped or abducted. Without that knowledge, this specific liability does not attach. [Source: Section 142, BNS 2023]</t>
  </si>
  <si>
    <t xml:space="preserve">CASE_0852</t>
  </si>
  <si>
    <t xml:space="preserve">The consequence is that it completely dismantles the "safehouse" network that kidnappers rely on; individuals cannot argue they were "just holding the person" to get a lighter sentence, as the law treats hiding a victim as legally equivalent to stealing them. [Source: Section 142, BNS 2023]</t>
  </si>
  <si>
    <t xml:space="preserve">CASE_0853</t>
  </si>
  <si>
    <t xml:space="preserve">Trafficking of person</t>
  </si>
  <si>
    <t xml:space="preserve">Trafficking involves recruiting, transporting, or receiving someone for exploitation (like slavery, sex work, or organ removal) using threats, force, fraud, or inducement. It carries a minimum of seven years in prison, up to life for multiple victims, children, or if police are involved. [Source: Section 143, BNS 2023]</t>
  </si>
  <si>
    <t xml:space="preserve">Hugging Face source record: BNS_143</t>
  </si>
  <si>
    <t xml:space="preserve">CASE_0854</t>
  </si>
  <si>
    <t xml:space="preserve">Section 143 defines trafficking as recruiting/transporting/receiving persons for exploitation via force, fraud, abduction, or inducement. Basic trafficking is 7-10 years (sub-section 2). Trafficking children or multiple persons elevates the penalty to 10 years to life, or 14 years to life, respectively. [Source: Section 143, BNS 2023]</t>
  </si>
  <si>
    <t xml:space="preserve">CASE_0855</t>
  </si>
  <si>
    <t xml:space="preserve">Yes, under sub-section (1), because the recruiter transported/received persons for the purpose of exploitation by "practising fraud, or deception," he commits the offence of trafficking and faces a minimum of seven years in prison. [Source: Section 143, BNS 2023]</t>
  </si>
  <si>
    <t xml:space="preserve">CASE_0856</t>
  </si>
  <si>
    <t xml:space="preserve">Exploitation includes: physical exploitation, sexual exploitation, slavery/practices similar to slavery, servitude, beggary, or forced removal of organs. [Source: Section 143, BNS 2023]</t>
  </si>
  <si>
    <t xml:space="preserve">CASE_0857</t>
  </si>
  <si>
    <t xml:space="preserve">No, Explanation 2 explicitly states that "The consent of the victim is immaterial in determination of the offence of trafficking." [Source: Section 143, BNS 2023]</t>
  </si>
  <si>
    <t xml:space="preserve">CASE_0858</t>
  </si>
  <si>
    <t xml:space="preserve">The consequence is that corruption in human trafficking is met with zero tolerance; if a police officer or public servant is involved in trafficking, they bypass all lighter sentencing tiers and face a mandatory minimum of natural life in prison. [Source: Section 143, BNS 2023]</t>
  </si>
  <si>
    <t xml:space="preserve">CASE_0859</t>
  </si>
  <si>
    <t xml:space="preserve">Exploitation of a trafficked person</t>
  </si>
  <si>
    <t xml:space="preserve">Engaging a trafficked person for sexual exploitation is a crime. If the trafficked person is an adult, the penalty is 3 to 7 years in prison. If the victim is a trafficked child, the penalty is 5 to 10 years in prison. [Source: Section 144, BNS 2023]</t>
  </si>
  <si>
    <t xml:space="preserve">Hugging Face source record: BNS_144</t>
  </si>
  <si>
    <t xml:space="preserve">CASE_0860</t>
  </si>
  <si>
    <t xml:space="preserve">Section 144 criminalizes engaging a trafficked person for sexual exploitation. Sub-section (1) punishes exploiting a trafficked child with 5 to 10 years imprisonment. Sub-section (2) punishes exploiting a trafficked adult with 3 to 7 years imprisonment. Both require the offender to know or have reason to believe the person was trafficked. [Source: Section 144, BNS 2023]</t>
  </si>
  <si>
    <t xml:space="preserve">CASE_0861</t>
  </si>
  <si>
    <t xml:space="preserve">Because he engaged the person for sexual exploitation having reason to believe she was trafficked, under sub-section (2), he is punishable with rigorous imprisonment for a minimum of three years, up to seven years. [Source: Section 144, BNS 2023]</t>
  </si>
  <si>
    <t xml:space="preserve">CASE_0862</t>
  </si>
  <si>
    <t xml:space="preserve">The prosecution must prove the person acted "knowingly or having reason to believe" that the person/child had been trafficked. [Source: Section 144, BNS 2023]</t>
  </si>
  <si>
    <t xml:space="preserve">CASE_0863</t>
  </si>
  <si>
    <t xml:space="preserve">No, this specific section only penalizes engaging the trafficked person "for sexual exploitation in any manner." Exploitation for labor would be prosecuted under the main trafficking statutes (Section 143) or slavery provisions. [Source: Section 144, BNS 2023]</t>
  </si>
  <si>
    <t xml:space="preserve">CASE_0864</t>
  </si>
  <si>
    <t xml:space="preserve">The consequence is that the law targets the economic demand side of human trafficking; "Johns" or customers who fuel the sex trafficking industry can no longer claim they didn't do the actual kidnapping, as buying sex from a known victim is now a severe felony carrying 3 to 10 years. [Source: Section 144, BNS 2023]</t>
  </si>
  <si>
    <t xml:space="preserve">CASE_0865</t>
  </si>
  <si>
    <t xml:space="preserve">Habitual dealing in slaves</t>
  </si>
  <si>
    <t xml:space="preserve">Habitually buying, selling, importing, exporting, or trafficking in slaves is punishable by life imprisonment, or up to ten years in prison, along with a fine. [Source: Section 145, BNS 2023]</t>
  </si>
  <si>
    <t xml:space="preserve">Hugging Face source record: BNS_145</t>
  </si>
  <si>
    <t xml:space="preserve">CASE_0866</t>
  </si>
  <si>
    <t xml:space="preserve">Section 145 of BNS 2023 targets the systemic slave trade, stating that whoever habitually imports, exports, removes, buys, sells, traffics, or deals in slaves shall be punished with life imprisonment or up to 10 years imprisonment, plus a fine. [Source: Section 145, BNS 2023]</t>
  </si>
  <si>
    <t xml:space="preserve">CASE_0867</t>
  </si>
  <si>
    <t xml:space="preserve">Because they "habitually" import, buy, sell, and deal in slaves as an ongoing enterprise, they are punishable under this section with imprisonment for life, or up to ten years in prison. [Source: Section 145, BNS 2023]</t>
  </si>
  <si>
    <t xml:space="preserve">CASE_0868</t>
  </si>
  <si>
    <t xml:space="preserve">The word "habitually" signifies that this section targets those who engage in the slave trade as a continuous practice or business. [Source: Section 145, BNS 2023]</t>
  </si>
  <si>
    <t xml:space="preserve">CASE_0869</t>
  </si>
  <si>
    <t xml:space="preserve">No, Section 145 requires the offender to act "habitually." A single transaction would be prosecuted under other sections dealing with slavery, trafficking (Section 143), or kidnapping. [Source: Section 145, BNS 2023]</t>
  </si>
  <si>
    <t xml:space="preserve">CASE_0870</t>
  </si>
  <si>
    <t xml:space="preserve">The consequence is that it allows the state to permanently dismantle slave-trading networks by imposing maximum, life-long sentences on the brokers, auctioneers, and human smugglers who make slavery a sustained commercial enterprise. [Source: Section 145, BNS 2023]</t>
  </si>
  <si>
    <t xml:space="preserve">CASE_0871</t>
  </si>
  <si>
    <t xml:space="preserve">Unlawful compulsory labour</t>
  </si>
  <si>
    <t xml:space="preserve">Unlawfully compelling any person to labor against their will is punishable by up to one year in prison, or a fine, or both. [Source: Section 146, BNS 2023]</t>
  </si>
  <si>
    <t xml:space="preserve">Hugging Face source record: BNS_146</t>
  </si>
  <si>
    <t xml:space="preserve">CASE_0872</t>
  </si>
  <si>
    <t xml:space="preserve">Section 146 of BNS 2023 prescribes imprisonment up to 1 year, or a fine, or both, for whoever unlawfully compels any person to labor against that person's will. [Source: Section 146, BNS 2023]</t>
  </si>
  <si>
    <t xml:space="preserve">CASE_0873</t>
  </si>
  <si>
    <t xml:space="preserve">Because the landlord unlawfully compelled the person to labour against their will, the landlord is punishable under this section with imprisonment up to one year. [Source: Section 146, BNS 2023]</t>
  </si>
  <si>
    <t xml:space="preserve">CASE_0874</t>
  </si>
  <si>
    <t xml:space="preserve">The labour must be compelled "against the will of that person." [Source: Section 146, BNS 2023]</t>
  </si>
  <si>
    <t xml:space="preserve">CASE_0875</t>
  </si>
  <si>
    <t xml:space="preserve">No, the section explicitly states the compulsion to labor must be done "unlawfully." Lawful compulsory labor ordered by a court is not an offence under this section. [Source: Section 146, BNS 2023]</t>
  </si>
  <si>
    <t xml:space="preserve">CASE_0876</t>
  </si>
  <si>
    <t xml:space="preserve">The consequence is that it allows prosecutors to charge localized, non-systemic instances of forced labor (like forcing a debtor to work for a day) with a proportionate 1-year penalty, without needing to prove the complex elements of trafficking or slavery. [Source: Section 146, BNS 2023]</t>
  </si>
  <si>
    <t xml:space="preserve">CASE_0877</t>
  </si>
  <si>
    <t xml:space="preserve">Waging, or attempting to wage war, or abetting waging of war, against Government of India</t>
  </si>
  <si>
    <t xml:space="preserve">Waging war, attempting to wage war, or abetting the waging of war against the Government of India is punishable by death or life imprisonment, and a fine. [Source: Section 147, BNS 2023]</t>
  </si>
  <si>
    <t xml:space="preserve">Hugging Face source record: BNS_147</t>
  </si>
  <si>
    <t xml:space="preserve">CASE_0878</t>
  </si>
  <si>
    <t xml:space="preserve">Section 147 of BNS 2023 mandates the death penalty or life imprisonment for anyone who wages, attempts to wage, or abets the waging of war against the Government of India. [Source: Section 147, BNS 2023]</t>
  </si>
  <si>
    <t xml:space="preserve">CASE_0879</t>
  </si>
  <si>
    <t xml:space="preserve">As per the Illustration, by joining an insurrection against the Government of India, he has committed the offence defined in this section and faces death or life imprisonment. [Source: Section 147, BNS 2023]</t>
  </si>
  <si>
    <t xml:space="preserve">CASE_0880</t>
  </si>
  <si>
    <t xml:space="preserve">The three degrees are: 1) actually waging war, 2) attempting to wage such war, and 3) abetting the waging of such war. [Source: Section 147, BNS 2023]</t>
  </si>
  <si>
    <t xml:space="preserve">CASE_0881</t>
  </si>
  <si>
    <t xml:space="preserve">No, peaceful protest does not constitute "waging war." Waging war implies an armed insurrection or violent use of force intended to overthrow or coerce the sovereign government. [Source: Section 147, BNS 2023]</t>
  </si>
  <si>
    <t xml:space="preserve">CASE_0882</t>
  </si>
  <si>
    <t xml:space="preserve">The consequence is that the law treats treasonous insurrection as so dangerous to the survival of the State that it does not wait for the rebellion to succeed or fully materialize; the mere attempt is treated as the ultimate crime. [Source: Section 147, BNS 2023]</t>
  </si>
  <si>
    <t xml:space="preserve">CASE_0883</t>
  </si>
  <si>
    <t xml:space="preserve">Conspiracy to commit offences punishable by section 147</t>
  </si>
  <si>
    <t xml:space="preserve">Yes, conspiring to wage war against the Government or overawe it using criminal force is punishable by life imprisonment or up to ten years in prison, even if no illegal act takes place to further the conspiracy. [Source: Section 148, BNS 2023]</t>
  </si>
  <si>
    <t xml:space="preserve">Hugging Face source record: BNS_148</t>
  </si>
  <si>
    <t xml:space="preserve">CASE_0884</t>
  </si>
  <si>
    <t xml:space="preserve">Section 148 of BNS 2023 imposes life imprisonment or up to 10 years imprisonment for conspiring (within or outside India) to wage war against the Government, or conspiring to overawe the Central/State Government using criminal force. [Source: Section 148, BNS 2023]</t>
  </si>
  <si>
    <t xml:space="preserve">CASE_0885</t>
  </si>
  <si>
    <t xml:space="preserve">Because they conspired to overawe the Central Government by means of criminal force, they are punishable under this section with life imprisonment or up to ten years, even though they took no further action. [Source: Section 148, BNS 2023]</t>
  </si>
  <si>
    <t xml:space="preserve">CASE_0886</t>
  </si>
  <si>
    <t xml:space="preserve">It waives the requirement of an overt act; it is "not necessary that any act or illegal omission shall take place in pursuance" of the conspiracy to constitute the offence under this section. [Source: Section 148, BNS 2023]</t>
  </si>
  <si>
    <t xml:space="preserve">CASE_0887</t>
  </si>
  <si>
    <t xml:space="preserve">Yes, the section explicitly covers whoever conspires "within or without and beyond India," granting extraterritorial jurisdiction over plots against the Indian State. [Source: Section 148, BNS 2023]</t>
  </si>
  <si>
    <t xml:space="preserve">CASE_0888</t>
  </si>
  <si>
    <t xml:space="preserve">The consequence is that the State has maximum preemptive power; law enforcement can arrest and secure life sentences for treasonous conspirators the moment an agreement to rebel is reached, preventing any possibility of the plot advancing. [Source: Section 148, BNS 2023]</t>
  </si>
  <si>
    <t xml:space="preserve">CASE_0889</t>
  </si>
  <si>
    <t xml:space="preserve">Collecting arms, etc., with intention of waging war against Government of India</t>
  </si>
  <si>
    <t xml:space="preserve">Collecting men, arms, or ammunition to prepare to wage war against the Government of India is punishable by life imprisonment or up to ten years in prison, and a fine. [Source: Section 149, BNS 2023]</t>
  </si>
  <si>
    <t xml:space="preserve">Hugging Face source record: BNS_149</t>
  </si>
  <si>
    <t xml:space="preserve">CASE_0890</t>
  </si>
  <si>
    <t xml:space="preserve">Section 149 of BNS 2023 prescribes life imprisonment or up to 10 years imprisonment for anyone who collects men, arms, or ammunition, or otherwise prepares to wage war, with the intention of waging war against the Government of India. [Source: Section 149, BNS 2023]</t>
  </si>
  <si>
    <t xml:space="preserve">CASE_0891</t>
  </si>
  <si>
    <t xml:space="preserve">Because the sympathizer collected arms and ammunition with the intention of being prepared to wage war against the Government, they are punishable under this section with life imprisonment or up to ten years. [Source: Section 149, BNS 2023]</t>
  </si>
  <si>
    <t xml:space="preserve">CASE_0892</t>
  </si>
  <si>
    <t xml:space="preserve">The section explicitly lists collecting 1) men, 2) arms, or 3) ammunition. [Source: Section 149, BNS 2023]</t>
  </si>
  <si>
    <t xml:space="preserve">CASE_0893</t>
  </si>
  <si>
    <t xml:space="preserve">No, Section 149 specifically requires "the intention of either waging or being prepared to wage war against the Government of India." Without that treasonous intent, they would be charged under general arms trafficking laws, not this section. [Source: Section 149, BNS 2023]</t>
  </si>
  <si>
    <t xml:space="preserve">CASE_0894</t>
  </si>
  <si>
    <t xml:space="preserve">The consequence is that while general criminal law rarely punishes mere preparation (only attempts), the extreme danger of insurrection means the State criminalizes the logistical setup of an insurgency (gathering fighters/guns) just as harshly as a full-blown conspiracy. [Source: Section 149, BNS 2023]</t>
  </si>
  <si>
    <t xml:space="preserve">CASE_0895</t>
  </si>
  <si>
    <t xml:space="preserve">Concealing with intent to facilitate design to wage war</t>
  </si>
  <si>
    <t xml:space="preserve">Concealing the existence of a design to wage war against the Government, with the intent or knowledge that hiding it will facilitate the war, is punishable by up to ten years in prison and a fine. [Source: Section 150, BNS 2023]</t>
  </si>
  <si>
    <t xml:space="preserve">Hugging Face source record: BNS_150</t>
  </si>
  <si>
    <t xml:space="preserve">CASE_0896</t>
  </si>
  <si>
    <t xml:space="preserve">Section 150 of BNS 2023 imposes up to 10 years imprisonment on anyone who, by act or illegal omission, conceals a design to wage war against the Government, intending or knowing it is likely to facilitate the war. [Source: Section 150, BNS 2023]</t>
  </si>
  <si>
    <t xml:space="preserve">CASE_0897</t>
  </si>
  <si>
    <t xml:space="preserve">By an act that concealed a design to wage war, intending to facilitate that war, the official is punishable under this section with imprisonment up to ten years. [Source: Section 150, BNS 2023]</t>
  </si>
  <si>
    <t xml:space="preserve">CASE_0898</t>
  </si>
  <si>
    <t xml:space="preserve">Concealment can be done either "by any act" or "by any illegal omission" (failing to report it when legally obligated to do so). [Source: Section 150, BNS 2023]</t>
  </si>
  <si>
    <t xml:space="preserve">CASE_0899</t>
  </si>
  <si>
    <t xml:space="preserve">No, the statute requires that the person concealed it "intending by such concealment to facilitate, or knowing it to be likely that such concealment will facilitate, the waging of such war." Accidents lack this treasonous intent. [Source: Section 150, BNS 2023]</t>
  </si>
  <si>
    <t xml:space="preserve">CASE_0900</t>
  </si>
  <si>
    <t xml:space="preserve">The consequence is that individuals who have a legal duty to report threats to the State (like police, magistrates, or even citizens under certain laws) can be imprisoned for 10 years simply for looking the other way and staying silent when they discover a rebellion forming. [Source: Section 150, BNS 2023]</t>
  </si>
  <si>
    <t xml:space="preserve">CASE_0901</t>
  </si>
  <si>
    <t xml:space="preserve">Assaulting President, Governor, etc., with intent to compel or restrain exercise of any lawful power</t>
  </si>
  <si>
    <t xml:space="preserve">Assaulting, wrongfully restraining, or overawing the President of India or a State Governor with criminal force to compel them to exercise (or refrain from exercising) their lawful powers is punishable by up to seven years in prison and a fine. [Source: Section 151, BNS 2023]</t>
  </si>
  <si>
    <t xml:space="preserve">Hugging Face source record: BNS_151</t>
  </si>
  <si>
    <t xml:space="preserve">CASE_0902</t>
  </si>
  <si>
    <t xml:space="preserve">Section 151 of BNS 2023 imposes up to 7 years imprisonment and a fine on anyone who assaults, restrains, or uses criminal force against the President of India or a State Governor with the intent to induce or compel them regarding the exercise of their lawful powers. [Source: Section 151, BNS 2023]</t>
  </si>
  <si>
    <t xml:space="preserve">CASE_0903</t>
  </si>
  <si>
    <t xml:space="preserve">Because they wrongfully restrained the Governor with the intention of compelling him to exercise his lawful power, they are punishable under this section with imprisonment up to seven years. [Source: Section 151, BNS 2023]</t>
  </si>
  <si>
    <t xml:space="preserve">CASE_0904</t>
  </si>
  <si>
    <t xml:space="preserve">The intent must be "inducing or compelling the President of India, or Governor of any State, to exercise or refrain from exercising in any manner any of the lawful powers of such President or Governor." [Source: Section 151, BNS 2023]</t>
  </si>
  <si>
    <t xml:space="preserve">CASE_0905</t>
  </si>
  <si>
    <t xml:space="preserve">No, Section 151 requires the intent to compel or restrain the exercise of the Governor's "lawful powers" (their official duties). A personal assault would be charged under standard assault statutes. [Source: Section 151, BNS 2023]</t>
  </si>
  <si>
    <t xml:space="preserve">CASE_0906</t>
  </si>
  <si>
    <t xml:space="preserve">The consequence is that physical intimidation aimed at coercing the heads of state is treated not just as a crime against the person, but as a severe political crime against the democratic process itself, elevating a 3-month assault charge to a 7-year felony. [Source: Section 151, BNS 2023]</t>
  </si>
  <si>
    <t xml:space="preserve">CASE_0907</t>
  </si>
  <si>
    <t xml:space="preserve">Act endangering sovereignty, unity and integrity of India</t>
  </si>
  <si>
    <t xml:space="preserve">Exciting or attempting to excite secession, armed rebellion, subversive activities, or endangering the sovereignty, unity, and integrity of India (by words, signs, or financial means) is punishable by life imprisonment or up to seven years in prison. [Source: Section 152, BNS 2023]</t>
  </si>
  <si>
    <t xml:space="preserve">Hugging Face source record: BNS_152</t>
  </si>
  <si>
    <t xml:space="preserve">CASE_0908</t>
  </si>
  <si>
    <t xml:space="preserve">Section 152 of BNS 2023 penalizes purposely or knowingly exciting secession, armed rebellion, subversive activities, or endangering India's sovereignty and unity using words, signs, or financial means, with life imprisonment or up to 7 years imprisonment. [Source: Section 152, BNS 2023]</t>
  </si>
  <si>
    <t xml:space="preserve">CASE_0909</t>
  </si>
  <si>
    <t xml:space="preserve">Because he used electronic communication and financial means to purposely excite secession and endanger the unity of India, he is punishable under Section 152 with life imprisonment or up to seven years. [Source: Section 152, BNS 2023]</t>
  </si>
  <si>
    <t xml:space="preserve">CASE_0910</t>
  </si>
  <si>
    <t xml:space="preserve">The offence can be committed by 1) spoken or written words, 2) signs/visible representation, 3) electronic communication, or 4) the use of financial means. [Source: Section 152, BNS 2023]</t>
  </si>
  <si>
    <t xml:space="preserve">CASE_0911</t>
  </si>
  <si>
    <t xml:space="preserve">No, the Explanation specifically protects "Comments expressing disapprobation of the measures... of the Government with a view to obtain their alteration by lawful means," provided they do not excite secession, armed rebellion, or subversive activities. [Source: Section 152, BNS 2023]</t>
  </si>
  <si>
    <t xml:space="preserve">CASE_0912</t>
  </si>
  <si>
    <t xml:space="preserve">The consequence is a shift in focus; instead of punishing mere "disaffection" against the government (the old sedition standard), the law now specifically targets tangible threats to the nation itself—secession, armed rebellion, and subversive activities that endanger sovereignty. [Source: Section 152, BNS 2023]</t>
  </si>
  <si>
    <t xml:space="preserve">CASE_0913</t>
  </si>
  <si>
    <t xml:space="preserve">Waging war against Government of any foreign State at peace with Government of India</t>
  </si>
  <si>
    <t xml:space="preserve">Yes, waging war, attempting to wage war, or abetting war against the Government of any foreign State that is at peace with India is punishable by life imprisonment or up to seven years in prison, plus a fine. [Source: Section 153, BNS 2023]</t>
  </si>
  <si>
    <t xml:space="preserve">Hugging Face source record: BNS_153</t>
  </si>
  <si>
    <t xml:space="preserve">CASE_0914</t>
  </si>
  <si>
    <t xml:space="preserve">Section 153 of BNS 2023 makes it a crime, punishable by life imprisonment or up to 7 years imprisonment, to wage, attempt to wage, or abet the waging of war against the Government of any foreign State at peace with the Government of India. [Source: Section 153, BNS 2023]</t>
  </si>
  <si>
    <t xml:space="preserve">CASE_0915</t>
  </si>
  <si>
    <t xml:space="preserve">Because they waged or attempted to wage war against the Government of a foreign State at peace with India, they are punishable under this section with life imprisonment or up to seven years. [Source: Section 153, BNS 2023]</t>
  </si>
  <si>
    <t xml:space="preserve">CASE_0916</t>
  </si>
  <si>
    <t xml:space="preserve">The foreign State must be "at peace with the Government of India." [Source: Section 153, BNS 2023]</t>
  </si>
  <si>
    <t xml:space="preserve">CASE_0917</t>
  </si>
  <si>
    <t xml:space="preserve">No, because the foreign State is no longer "at peace with the Government of India," acts of war against them would not fall under the prohibition of this section. [Source: Section 153, BNS 2023]</t>
  </si>
  <si>
    <t xml:space="preserve">CASE_0918</t>
  </si>
  <si>
    <t xml:space="preserve">The consequence is that India prevents its territory from being used as a safe haven by mercenaries or non-state actors looking to destabilize allied or neutral nations, thereby protecting India from diplomatic crises and retaliatory strikes. [Source: Section 153, BNS 2023]</t>
  </si>
  <si>
    <t xml:space="preserve">CASE_0919</t>
  </si>
  <si>
    <t xml:space="preserve">Committing depredation on territories of foreign State at peace with Government of India</t>
  </si>
  <si>
    <t xml:space="preserve">Committing or preparing to commit depredation (raiding/plundering) on the territories of a foreign State at peace with India is punishable by up to seven years in prison, fine, and forfeiture of property. [Source: Section 154, BNS 2023]</t>
  </si>
  <si>
    <t xml:space="preserve">Hugging Face source record: BNS_154</t>
  </si>
  <si>
    <t xml:space="preserve">CASE_0920</t>
  </si>
  <si>
    <t xml:space="preserve">Section 154 of BNS 2023 prescribes up to 7 years imprisonment, plus fines and asset forfeiture, for committing or preparing to commit depredation on the territories of a foreign State at peace with India. [Source: Section 154, BNS 2023]</t>
  </si>
  <si>
    <t xml:space="preserve">CASE_0921</t>
  </si>
  <si>
    <t xml:space="preserve">Because they committed depredation on the territories of a foreign State at peace with India, they are punishable under Section 154 with up to seven years in prison and forfeiture of the stolen property and the trucks used. [Source: Section 154, BNS 2023]</t>
  </si>
  <si>
    <t xml:space="preserve">CASE_0922</t>
  </si>
  <si>
    <t xml:space="preserve">The section mandates the "forfeiture of any property used or intended to be used in committing such depredation, or acquired by such depredation." [Source: Section 154, BNS 2023]</t>
  </si>
  <si>
    <t xml:space="preserve">CASE_0923</t>
  </si>
  <si>
    <t xml:space="preserve">No, this specific section only applies to depredation committed "on the territories of any foreign State." Domestic raids would be prosecuted under robbery, dacoity, or domestic terrorism laws. [Source: Section 154, BNS 2023]</t>
  </si>
  <si>
    <t xml:space="preserve">CASE_0924</t>
  </si>
  <si>
    <t xml:space="preserve">The consequence is that Indian law enforcement can arrest the raiders and seize their vehicles and weapons before they cross the border to commit the plunder, preventing international incidents rather than just punishing them afterward. [Source: Section 154, BNS 2023]</t>
  </si>
  <si>
    <t xml:space="preserve">CASE_0925</t>
  </si>
  <si>
    <t xml:space="preserve">Receiving property taken by war or depredation mentioned in sections 153 and 154</t>
  </si>
  <si>
    <t xml:space="preserve">Yes, receiving property knowing it was taken during an illegal war or depredation against a peaceful foreign state (as defined in Sections 153 and 154) is punishable by up to seven years in prison and forfeiture of the property. [Source: Section 155, BNS 2023]</t>
  </si>
  <si>
    <t xml:space="preserve">Hugging Face source record: BNS_155</t>
  </si>
  <si>
    <t xml:space="preserve">CASE_0926</t>
  </si>
  <si>
    <t xml:space="preserve">Section 155 of BNS 2023 imposes up to 7 years imprisonment, fine, and forfeiture of property on anyone who receives property knowing it was acquired via war against a peaceful foreign State (Section 153) or cross-border depredation (Section 154). [Source: Section 155, BNS 2023]</t>
  </si>
  <si>
    <t xml:space="preserve">CASE_0927</t>
  </si>
  <si>
    <t xml:space="preserve">Because he received property knowing the same to have been taken in the commission of depredation (Section 154), he is punishable under Section 155 with imprisonment up to seven years, and the gold will be forfeited. [Source: Section 155, BNS 2023]</t>
  </si>
  <si>
    <t xml:space="preserve">CASE_0928</t>
  </si>
  <si>
    <t xml:space="preserve">The receiver must act "knowing the same to have been taken in the commission of any of the offences mentioned in sections 153 and 154" (illegal war or depredation against a peaceful state). [Source: Section 155, BNS 2023]</t>
  </si>
  <si>
    <t xml:space="preserve">CASE_0929</t>
  </si>
  <si>
    <t xml:space="preserve">No, they would be charged with general receipt of stolen property (Section 317), not Section 155, because they lacked the knowledge that the property was taken during an international war or cross-border depredation. [Source: Section 155, BNS 2023]</t>
  </si>
  <si>
    <t xml:space="preserve">CASE_0930</t>
  </si>
  <si>
    <t xml:space="preserve">The consequence is that by severely punishing the buyers and fencing networks within India, the State destroys the economic incentive for militias and gangs to launch illegal raids into neighboring countries, protecting regional stability. [Source: Section 155, BNS 2023]</t>
  </si>
  <si>
    <t xml:space="preserve">CASE_0931</t>
  </si>
  <si>
    <t xml:space="preserve">Public servant voluntarily allowing prisoner of State or war to escape</t>
  </si>
  <si>
    <t xml:space="preserve">A public servant who has custody of a State prisoner or prisoner of war and voluntarily allows them to escape is punishable by life imprisonment or up to ten years in prison, plus a fine. [Source: Section 156, BNS 2023]</t>
  </si>
  <si>
    <t xml:space="preserve">Hugging Face source record: BNS_156</t>
  </si>
  <si>
    <t xml:space="preserve">CASE_0932</t>
  </si>
  <si>
    <t xml:space="preserve">Section 156 of BNS 2023 mandates life imprisonment or up to 10 years imprisonment, plus a fine, for any public servant who voluntarily allows a State prisoner or prisoner of war in their custody to escape. [Source: Section 156, BNS 2023]</t>
  </si>
  <si>
    <t xml:space="preserve">CASE_0933</t>
  </si>
  <si>
    <t xml:space="preserve">Because he is a public servant who voluntarily allowed a prisoner of war in his custody to escape, he is punishable under this section with life imprisonment or up to ten years in prison. [Source: Section 156, BNS 2023]</t>
  </si>
  <si>
    <t xml:space="preserve">CASE_0934</t>
  </si>
  <si>
    <t xml:space="preserve">The escaped person must be either a "State prisoner" or a "prisoner of war." [Source: Section 156, BNS 2023]</t>
  </si>
  <si>
    <t xml:space="preserve">CASE_0935</t>
  </si>
  <si>
    <t xml:space="preserve">No, Section 156 specifically applies only to the escape of a "State prisoner or prisoner of war." Letting a common criminal escape would fall under general dereliction of duty or corruption statutes (e.g., Section 261). [Source: Section 156, BNS 2023]</t>
  </si>
  <si>
    <t xml:space="preserve">CASE_0936</t>
  </si>
  <si>
    <t xml:space="preserve">The consequence is that the State treats the deliberate release of its most dangerous political/military enemies by its own officials not just as corruption, but as tantamount to treason, imposing a near-maximum penalty to deter inside jobs. [Source: Section 156, BNS 2023]</t>
  </si>
  <si>
    <t xml:space="preserve">CASE_0937</t>
  </si>
  <si>
    <t xml:space="preserve">Public servant negligently suffering such prisoner to escape</t>
  </si>
  <si>
    <t xml:space="preserve">A public servant whose negligence allows a State prisoner or prisoner of war to escape is punishable by simple imprisonment for up to three years, and a fine. [Source: Section 157, BNS 2023]</t>
  </si>
  <si>
    <t xml:space="preserve">Hugging Face source record: BNS_157</t>
  </si>
  <si>
    <t xml:space="preserve">CASE_0938</t>
  </si>
  <si>
    <t xml:space="preserve">Section 157 of BNS 2023 prescribes simple imprisonment up to 3 years and a fine for a public servant who negligently suffers a State prisoner or prisoner of war in their custody to escape. [Source: Section 157, BNS 2023]</t>
  </si>
  <si>
    <t xml:space="preserve">CASE_0939</t>
  </si>
  <si>
    <t xml:space="preserve">Yes, because he negligently suffered a State prisoner to escape from confinement, he is punishable under this section with simple imprisonment up to three years. [Source: Section 157, BNS 2023]</t>
  </si>
  <si>
    <t xml:space="preserve">CASE_0940</t>
  </si>
  <si>
    <t xml:space="preserve">Section 157 applies when the public servant acts "negligently" (carelessness), whereas Section 156 applies when the public servant acts "voluntarily" (intentional facilitation). [Source: Section 157, BNS 2023]</t>
  </si>
  <si>
    <t xml:space="preserve">CASE_0941</t>
  </si>
  <si>
    <t xml:space="preserve">No, the statute explicitly limits the punishment to "simple imprisonment" for a term which may extend to three years, reflecting that the act was a careless mistake rather than malicious treason. [Source: Section 157, BNS 2023]</t>
  </si>
  <si>
    <t xml:space="preserve">CASE_0942</t>
  </si>
  <si>
    <t xml:space="preserve">The consequence is that it places an extraordinarily high legal duty of care on guards holding prisoners of war/State; they cannot simply be fired for a mistake, but face up to 3 years in prison if their lack of diligence allows a national security threat to go free. [Source: Section 157, BNS 2023]</t>
  </si>
  <si>
    <t xml:space="preserve">CASE_0943</t>
  </si>
  <si>
    <t xml:space="preserve">Aiding escape of, rescuing or harbouring such prisoner</t>
  </si>
  <si>
    <t xml:space="preserve">Anyone who knowingly aids a State prisoner or prisoner of war to escape, rescues them, harbours them after escape, or resists their recapture is punishable by life imprisonment or up to ten years in prison. [Source: Section 158, BNS 2023]</t>
  </si>
  <si>
    <t xml:space="preserve">Hugging Face source record: BNS_158</t>
  </si>
  <si>
    <t xml:space="preserve">CASE_0944</t>
  </si>
  <si>
    <t xml:space="preserve">Section 158 of BNS 2023 imposes life imprisonment or up to 10 years imprisonment, plus a fine, on anyone who knowingly aids, rescues, harbours, or resists the recapture of a State prisoner or prisoner of war. [Source: Section 158, BNS 2023]</t>
  </si>
  <si>
    <t xml:space="preserve">CASE_0945</t>
  </si>
  <si>
    <t xml:space="preserve">Because he knowingly harboured and concealed a prisoner of war who had escaped from lawful custody, he is punishable under Section 158 with life imprisonment or up to ten years. [Source: Section 158, BNS 2023]</t>
  </si>
  <si>
    <t xml:space="preserve">CASE_0946</t>
  </si>
  <si>
    <t xml:space="preserve">A prisoner on parole is said to escape from lawful custody if he "goes beyond the limits within which he is allowed to be at large." [Source: Section 158, BNS 2023]</t>
  </si>
  <si>
    <t xml:space="preserve">CASE_0947</t>
  </si>
  <si>
    <t xml:space="preserve">No, the statute explicitly requires that the person "knowingly aids or assists" or harbours the prisoner. Without knowledge of the person's status, they lack the requisite intent for this severe offence. [Source: Section 158, BNS 2023]</t>
  </si>
  <si>
    <t xml:space="preserve">CASE_0948</t>
  </si>
  <si>
    <t xml:space="preserve">The consequence is that anyone who physically interferes with law enforcement or military trying to re-arrest the escaped State prisoner faces the exact same maximum penalty (life imprisonment) as the people who orchestrated the escape in the first place. [Source: Section 158, BNS 2023]</t>
  </si>
  <si>
    <t xml:space="preserve">CASE_0949</t>
  </si>
  <si>
    <t xml:space="preserve">Abetting mutiny, or attempting to seduce a soldier, sailor or airman from his duty</t>
  </si>
  <si>
    <t xml:space="preserve">Abetting a mutiny or attempting to seduce an officer, soldier, sailor, or airman from their allegiance or duty to the Government of India is punishable by life imprisonment or up to ten years in prison. [Source: Section 159, BNS 2023]</t>
  </si>
  <si>
    <t xml:space="preserve">Hugging Face source record: BNS_159</t>
  </si>
  <si>
    <t xml:space="preserve">CASE_0950</t>
  </si>
  <si>
    <t xml:space="preserve">Section 159 of BNS 2023 prescribes life imprisonment or up to 10 years imprisonment for whoever abets mutiny or attempts to seduce any officer, soldier, sailor, or airman of the Indian Government from their allegiance or duty. [Source: Section 159, BNS 2023]</t>
  </si>
  <si>
    <t xml:space="preserve">CASE_0951</t>
  </si>
  <si>
    <t xml:space="preserve">Because he attempted to seduce soldiers from their allegiance and duty, he is punishable under this section with life imprisonment or up to ten years. [Source: Section 159, BNS 2023]</t>
  </si>
  <si>
    <t xml:space="preserve">CASE_0952</t>
  </si>
  <si>
    <t xml:space="preserve">The section explicitly lists an officer, soldier, sailor, or airman in the "Army, Navy or Air Force of the Government of India." [Source: Section 159, BNS 2023]</t>
  </si>
  <si>
    <t xml:space="preserve">CASE_0953</t>
  </si>
  <si>
    <t xml:space="preserve">No, this section specifically protects the allegiance and duty of personnel in the "Army, Navy or Air Force of the Government of India," not private security or civilians. [Source: Section 159, BNS 2023]</t>
  </si>
  <si>
    <t xml:space="preserve">CASE_0954</t>
  </si>
  <si>
    <t xml:space="preserve">The consequence is that the State can aggressively prosecute individuals for the mere act of trying to subvert military loyalty, shutting down psychological operations or domestic subversion before a single soldier actually mutinies. [Source: Section 159, BNS 2023]</t>
  </si>
  <si>
    <t xml:space="preserve">CASE_0955</t>
  </si>
  <si>
    <t xml:space="preserve">Abetment of mutiny, if mutiny is committed in consequence thereof</t>
  </si>
  <si>
    <t xml:space="preserve">If a person abets a mutiny in the Army, Navy, or Air Force, and the mutiny actually takes place as a result, the abettor is punishable by death, life imprisonment, or up to ten years in prison. [Source: Section 160, BNS 2023]</t>
  </si>
  <si>
    <t xml:space="preserve">Hugging Face source record: BNS_160</t>
  </si>
  <si>
    <t xml:space="preserve">CASE_0956</t>
  </si>
  <si>
    <t xml:space="preserve">Section 160 of BNS 2023 elevates the punishment to include the death penalty (alongside life or up to 10 years imprisonment) for anyone who abets a mutiny in the armed forces, if the mutiny is actually committed in consequence of that abetment. [Source: Section 160, BNS 2023]</t>
  </si>
  <si>
    <t xml:space="preserve">CASE_0957</t>
  </si>
  <si>
    <t xml:space="preserve">Because he abetted the mutiny by an officer, and the mutiny was committed in consequence of that abetment, the politician is punishable under this section with death or life imprisonment. [Source: Section 160, BNS 2023]</t>
  </si>
  <si>
    <t xml:space="preserve">CASE_0958</t>
  </si>
  <si>
    <t xml:space="preserve">The prosecution must prove that the mutiny was actually "committed in consequence of that abetment." [Source: Section 160, BNS 2023]</t>
  </si>
  <si>
    <t xml:space="preserve">CASE_0959</t>
  </si>
  <si>
    <t xml:space="preserve">No, because the mutiny was not "committed in consequence thereof." He would instead be charged under Section 159 (attempting to seduce/abetting without consequence), which maxes out at life imprisonment, not death. [Source: Section 160, BNS 2023]</t>
  </si>
  <si>
    <t xml:space="preserve">CASE_0960</t>
  </si>
  <si>
    <t xml:space="preserve">The consequence is that the law treats the civilian mastermind who causes the military to rebel as being just as legally culpable—and deserving of the ultimate punishment—as the treasonous soldiers who actually take up arms against the State. [Source: Section 160, BNS 2023]</t>
  </si>
  <si>
    <t xml:space="preserve">CASE_0961</t>
  </si>
  <si>
    <t xml:space="preserve">Abetment of assault by soldier, sailor or airman on his superior officer, when in execution of his office</t>
  </si>
  <si>
    <t xml:space="preserve">Abetting an assault by a soldier, sailor, or airman on their superior officer while the officer is executing their duties is punishable by up to three years in prison and a fine. [Source: Section 161, BNS 2023]</t>
  </si>
  <si>
    <t xml:space="preserve">Hugging Face source record: BNS_161</t>
  </si>
  <si>
    <t xml:space="preserve">CASE_0962</t>
  </si>
  <si>
    <t xml:space="preserve">Section 161 of BNS 2023 imposes up to 3 years imprisonment and a fine on anyone who abets an assault by a soldier, sailor, or airman against their superior officer who is in the execution of their office. [Source: Section 161, BNS 2023]</t>
  </si>
  <si>
    <t xml:space="preserve">CASE_0963</t>
  </si>
  <si>
    <t xml:space="preserve">Because the contractor abetted an assault by a soldier on a superior officer who was in the execution of his office, the contractor is punishable under Section 161 with imprisonment up to three years. [Source: Section 161, BNS 2023]</t>
  </si>
  <si>
    <t xml:space="preserve">CASE_0964</t>
  </si>
  <si>
    <t xml:space="preserve">The superior officer must be "in the execution of his office" (actively performing their official military duties). [Source: Section 161, BNS 2023]</t>
  </si>
  <si>
    <t xml:space="preserve">CASE_0965</t>
  </si>
  <si>
    <t xml:space="preserve">No, the statute requires the superior officer to be "in the execution of his office." An off-duty personal dispute would likely fall under general abetment of assault, not this specific military-related section. [Source: Section 161, BNS 2023]</t>
  </si>
  <si>
    <t xml:space="preserve">CASE_0966</t>
  </si>
  <si>
    <t xml:space="preserve">The consequence is that it protects the chain of command by treating civilian interference that instigates violence against military leadership during official duties as a serious threat to military discipline, carrying up to 3 years in prison even if the assault never happens. [Source: Section 161, BNS 2023]</t>
  </si>
  <si>
    <t xml:space="preserve">CASE_0967</t>
  </si>
  <si>
    <t xml:space="preserve">Abetment of such assault, if assault committed</t>
  </si>
  <si>
    <t xml:space="preserve">If a person abets a soldier's assault on a superior officer (who is executing their duties), and the assault is actually committed as a result, the punishment increases to up to seven years in prison and a fine. [Source: Section 162, BNS 2023]</t>
  </si>
  <si>
    <t xml:space="preserve">Hugging Face source record: BNS_162</t>
  </si>
  <si>
    <t xml:space="preserve">CASE_0968</t>
  </si>
  <si>
    <t xml:space="preserve">Section 162 of BNS 2023 raises the penalty to up to 7 years imprisonment (from 3 years under Section 161) if an assault by a soldier on a superior officer is actually committed in consequence of the abetment. [Source: Section 162, BNS 2023]</t>
  </si>
  <si>
    <t xml:space="preserve">CASE_0969</t>
  </si>
  <si>
    <t xml:space="preserve">Because the assault on the superior officer was committed in consequence of his abetment, the agitator is punishable under this section with imprisonment up to seven years. [Source: Section 162, BNS 2023]</t>
  </si>
  <si>
    <t xml:space="preserve">CASE_0970</t>
  </si>
  <si>
    <t xml:space="preserve">Section 161 applies to the mere abetment (incitement) of the assault, while Section 162 applies only "if such assault be committed in consequence of that abetment." [Source: Section 162, BNS 2023]</t>
  </si>
  <si>
    <t xml:space="preserve">CASE_0971</t>
  </si>
  <si>
    <t xml:space="preserve">No, because the assault was not "committed in consequence of that abetment," the agitator would be charged under Section 161 (which carries a lighter 3-year maximum penalty) rather than Section 162. [Source: Section 162, BNS 2023]</t>
  </si>
  <si>
    <t xml:space="preserve">CASE_0972</t>
  </si>
  <si>
    <t xml:space="preserve">The consequence is that civilians who successfully provoke violent breakdowns in military discipline are held strictly accountable for the resulting chaos, facing severe 7-year sentences to deter outside meddling in the armed forces. [Source: Section 162, BNS 2023]</t>
  </si>
  <si>
    <t xml:space="preserve">CASE_0973</t>
  </si>
  <si>
    <t xml:space="preserve">Abetment of desertion of soldier, sailor or airman</t>
  </si>
  <si>
    <t xml:space="preserve">Abetting the desertion of any officer, soldier, sailor, or airman in the Indian armed forces is punishable by up to two years in prison, or a fine, or both. [Source: Section 163, BNS 2023]</t>
  </si>
  <si>
    <t xml:space="preserve">Hugging Face source record: BNS_163</t>
  </si>
  <si>
    <t xml:space="preserve">CASE_0974</t>
  </si>
  <si>
    <t xml:space="preserve">Section 163 of BNS 2023 imposes imprisonment up to 2 years, or a fine, or both, on anyone who abets the desertion of an officer, soldier, sailor, or airman in the Army, Navy, or Air Force. [Source: Section 163, BNS 2023]</t>
  </si>
  <si>
    <t xml:space="preserve">CASE_0975</t>
  </si>
  <si>
    <t xml:space="preserve">Yes, because the parent abetted the desertion of a soldier, they are punishable under this section with imprisonment up to two years or a fine. [Source: Section 163, BNS 2023]</t>
  </si>
  <si>
    <t xml:space="preserve">CASE_0976</t>
  </si>
  <si>
    <t xml:space="preserve">No, the statute criminalizes "Whoever abets the desertion," meaning the act of encouraging or facilitating the desertion is an offence regardless of whether the soldier actually manages to desert. [Source: Section 163, BNS 2023]</t>
  </si>
  <si>
    <t xml:space="preserve">CASE_0977</t>
  </si>
  <si>
    <t xml:space="preserve">No, the section explicitly only covers the desertion of personnel "in the Army, Navy or Air Force of the Government of India." [Source: Section 163, BNS 2023]</t>
  </si>
  <si>
    <t xml:space="preserve">CASE_0978</t>
  </si>
  <si>
    <t xml:space="preserve">The consequence is that while the military handles the court-martial of the deserting soldier, the civilian justice system can simultaneously prosecute and imprison the civilians who orchestrated or encouraged the desertion, protecting military manpower from external interference. [Source: Section 163, BNS 2023]</t>
  </si>
  <si>
    <t xml:space="preserve">CASE_0979</t>
  </si>
  <si>
    <t xml:space="preserve">Harbouring deserter</t>
  </si>
  <si>
    <t xml:space="preserve">Yes, knowingly harbouring a military deserter is punishable by up to two years in prison or a fine, though an exception is made for spouses. [Source: Section 164, BNS 2023]</t>
  </si>
  <si>
    <t xml:space="preserve">Hugging Face source record: BNS_164</t>
  </si>
  <si>
    <t xml:space="preserve">CASE_0980</t>
  </si>
  <si>
    <t xml:space="preserve">Section 164 of BNS 2023 prescribes up to 2 years imprisonment, or a fine, for anyone who harbours a soldier, sailor, or airman, knowing or having reason to believe they have deserted. [Source: Section 164, BNS 2023]</t>
  </si>
  <si>
    <t xml:space="preserve">CASE_0981</t>
  </si>
  <si>
    <t xml:space="preserve">Because they harboured a person they knew had deserted the Air Force, they are punishable under Section 164 with up to two years in prison or a fine. [Source: Section 164, BNS 2023]</t>
  </si>
  <si>
    <t xml:space="preserve">CASE_0982</t>
  </si>
  <si>
    <t xml:space="preserve">Under the Exception clause, the provision does not apply if the harbour is given "by the spouse of the deserter." [Source: Section 164, BNS 2023]</t>
  </si>
  <si>
    <t xml:space="preserve">CASE_0983</t>
  </si>
  <si>
    <t xml:space="preserve">No, the statute requires the person to act "knowing or having reason to believe" that the individual has deserted. Without that knowledge or reasonable suspicion, harbouring is not a crime. [Source: Section 164, BNS 2023]</t>
  </si>
  <si>
    <t xml:space="preserve">CASE_0984</t>
  </si>
  <si>
    <t xml:space="preserve">The consequence is that the law recognizes the overwhelming moral and emotional pressure on a husband or wife to shelter their spouse, effectively deciding that the State will not criminalize the marital bond even when it impedes the apprehension of a military deserter. [Source: Section 164, BNS 2023]</t>
  </si>
  <si>
    <t xml:space="preserve">CASE_0985</t>
  </si>
  <si>
    <t xml:space="preserve">Deserter concealed on board merchant vessel through negligence of master</t>
  </si>
  <si>
    <t xml:space="preserve">Yes, the master of a merchant vessel can be fined up to 3,000 rupees if a deserter is concealed on board due to the master's negligence or lack of discipline, even if they were ignorant of the stowaway. [Source: Section 165, BNS 2023]</t>
  </si>
  <si>
    <t xml:space="preserve">Hugging Face source record: BNS_165</t>
  </si>
  <si>
    <t xml:space="preserve">CASE_0986</t>
  </si>
  <si>
    <t xml:space="preserve">Section 165 of BNS 2023 makes the master of a merchant vessel liable for a penalty up to 3,000 rupees if a military deserter is concealed on board and the master might have known about it but for their neglect of duty or want of discipline. [Source: Section 165, BNS 2023]</t>
  </si>
  <si>
    <t xml:space="preserve">CASE_0987</t>
  </si>
  <si>
    <t xml:space="preserve">Yes, even though ignorant of the concealment, the captain is liable for a penalty up to 3,000 rupees because he might have known of it but for his neglect of duty. [Source: Section 165, BNS 2023]</t>
  </si>
  <si>
    <t xml:space="preserve">CASE_0988</t>
  </si>
  <si>
    <t xml:space="preserve">The master is liable if the concealment occurred due to 1) "some neglect of his duty" or 2) "some want of discipline on board of the vessel." [Source: Section 165, BNS 2023]</t>
  </si>
  <si>
    <t xml:space="preserve">CASE_0989</t>
  </si>
  <si>
    <t xml:space="preserve">No, the penalty only applies if the master "might have known of such concealment but for some neglect of his duty... or... want of discipline." If there was no negligence, there is no liability. [Source: Section 165, BNS 2023]</t>
  </si>
  <si>
    <t xml:space="preserve">CASE_0990</t>
  </si>
  <si>
    <t xml:space="preserve">The consequence is that commercial shipping companies are forced to aggressively police their own vessels and maintain tight security, preventing commercial ports from becoming easy escape routes for deserting military personnel. [Source: Section 165, BNS 2023]</t>
  </si>
  <si>
    <t xml:space="preserve">CASE_0991</t>
  </si>
  <si>
    <t xml:space="preserve">Abetment of act of insubordination by soldier, sailor or airman</t>
  </si>
  <si>
    <t xml:space="preserve">Abetting an act of insubordination by military personnel, if the insubordination is actually committed as a result, is punishable by up to two years in prison, or a fine, or both. [Source: Section 166, BNS 2023]</t>
  </si>
  <si>
    <t xml:space="preserve">Hugging Face source record: BNS_166</t>
  </si>
  <si>
    <t xml:space="preserve">CASE_0992</t>
  </si>
  <si>
    <t xml:space="preserve">Section 166 of BNS 2023 imposes up to 2 years imprisonment, or a fine, or both, on anyone who abets what they know to be an act of insubordination by a soldier, sailor, or airman, provided the act is actually committed in consequence of that abetment. [Source: Section 166, BNS 2023]</t>
  </si>
  <si>
    <t xml:space="preserve">CASE_0993</t>
  </si>
  <si>
    <t xml:space="preserve">Yes, because the protester abetted an act of insubordination, and the act was committed in consequence of that abetment, the protester is punishable under Section 166 with imprisonment up to two years. [Source: Section 166, BNS 2023]</t>
  </si>
  <si>
    <t xml:space="preserve">CASE_0994</t>
  </si>
  <si>
    <t xml:space="preserve">The abettor must abet "what he knows to be an act of insubordination." [Source: Section 166, BNS 2023]</t>
  </si>
  <si>
    <t xml:space="preserve">CASE_0995</t>
  </si>
  <si>
    <t xml:space="preserve">No, Section 166 explicitly requires that "such act of insubordination be committed in consequence of that abetment." If it is not committed, this specific section does not apply. [Source: Section 166, BNS 2023]</t>
  </si>
  <si>
    <t xml:space="preserve">CASE_0996</t>
  </si>
  <si>
    <t xml:space="preserve">The consequence is that unlike Section 161 (where mere incitement of an assault is a crime), simple vocal encouragement of general disobedience is tolerated as free speech unless it crosses the line into actually causing a breakdown of military discipline. [Source: Section 166, BNS 2023]</t>
  </si>
  <si>
    <t xml:space="preserve">CASE_0997</t>
  </si>
  <si>
    <t xml:space="preserve">Persons subject to certain Acts</t>
  </si>
  <si>
    <t xml:space="preserve">No, personnel subject to the Air Force Act, Army Act, or Navy Act cannot be punished under Chapter VIII of the BNS for offences like mutiny or desertion; they are disciplined under their specific military laws. [Source: Section 167, BNS 2023]</t>
  </si>
  <si>
    <t xml:space="preserve">Hugging Face source record: BNS_167</t>
  </si>
  <si>
    <t xml:space="preserve">CASE_0998</t>
  </si>
  <si>
    <t xml:space="preserve">Section 167 of BNS 2023 states that no person subject to the Air Force Act, 1950, Army Act, 1950, or Navy Act, 1957, shall be subject to punishment under the BNS for any of the offences defined in Chapter VIII. [Source: Section 167, BNS 2023]</t>
  </si>
  <si>
    <t xml:space="preserve">CASE_0999</t>
  </si>
  <si>
    <t xml:space="preserve">No, because he is a person subject to the Army Act, 1950, he cannot be subjected to punishment under the BNS for offences in this Chapter, and must be court-martialed instead. [Source: Section 167, BNS 2023]</t>
  </si>
  <si>
    <t xml:space="preserve">CASE_1000</t>
  </si>
  <si>
    <t xml:space="preserve">The three Acts are the Air Force Act, 1950, the Army Act, 1950, and the Navy Act, 1957. [Source: Section 167, BNS 2023]</t>
  </si>
  <si>
    <t xml:space="preserve">CASE_1001</t>
  </si>
  <si>
    <t xml:space="preserve">No, civilians are not subject to the Army, Navy, or Air Force Acts. Therefore, they are fully subject to punishment under the BNS for these offences. [Source: Section 167, BNS 2023]</t>
  </si>
  <si>
    <t xml:space="preserve">CASE_1002</t>
  </si>
  <si>
    <t xml:space="preserve">The consequence is that it clearly divides the legal system: military courts handle the discipline of uniformed service members under strict military law, while the BNS handles civilians who interfere with the military, preventing double jeopardy or jurisdictional clashes. [Source: Section 167, BNS 2023]</t>
  </si>
  <si>
    <t xml:space="preserve">CASE_1003</t>
  </si>
  <si>
    <t xml:space="preserve">Wearing garb or carrying token used by soldier, sailor or airman</t>
  </si>
  <si>
    <t xml:space="preserve">Yes, a civilian who wears a military uniform or carries a military token with the intent to be believed as a soldier, sailor, or airman is punishable by up to three months in prison or a fine up to 2,000 rupees. [Source: Section 168, BNS 2023]</t>
  </si>
  <si>
    <t xml:space="preserve">Hugging Face source record: BNS_168</t>
  </si>
  <si>
    <t xml:space="preserve">CASE_1004</t>
  </si>
  <si>
    <t xml:space="preserve">Section 168 of BNS 2023 prescribes up to 3 months imprisonment, or a fine up to 2,000 rupees, for anyone who, not being a member of the armed forces, wears a garb or token resembling military use with the intent that they be believed to be a soldier, sailor, or airman. [Source: Section 168, BNS 2023]</t>
  </si>
  <si>
    <t xml:space="preserve">CASE_1005</t>
  </si>
  <si>
    <t xml:space="preserve">Because he wore a garb resembling a soldier's with the intention that he be believed to be a soldier, he is punishable under Section 168 with up to three months in prison. [Source: Section 168, BNS 2023]</t>
  </si>
  <si>
    <t xml:space="preserve">CASE_1006</t>
  </si>
  <si>
    <t xml:space="preserve">The person must wear the garb "with the intention that it may be believed that he is such a soldier, sailor or airman." [Source: Section 168, BNS 2023]</t>
  </si>
  <si>
    <t xml:space="preserve">CASE_1007</t>
  </si>
  <si>
    <t xml:space="preserve">No, because the actor is performing and audiences know it is a play, the actor lacks the "intention that it may be believed that he is such a soldier," so the section does not apply. [Source: Section 168, BNS 2023]</t>
  </si>
  <si>
    <t xml:space="preserve">CASE_1008</t>
  </si>
  <si>
    <t xml:space="preserve">The consequence is that police can immediately arrest individuals impersonating military personnel to prevent them from accessing secure bases, obtaining classified information, or scamming civilians, without waiting for an actual act of fraud to occur. [Source: Section 168, BNS 2023]</t>
  </si>
  <si>
    <t xml:space="preserve">CASE_1009</t>
  </si>
  <si>
    <t xml:space="preserve">Candidate, electoral right defined</t>
  </si>
  <si>
    <t xml:space="preserve">An "electoral right" is defined as a person's right to stand as a candidate, not to stand, to withdraw from being a candidate, to vote, or to refrain from voting at an election. [Source: Section 169, BNS 2023]</t>
  </si>
  <si>
    <t xml:space="preserve">Hugging Face source record: BNS_169</t>
  </si>
  <si>
    <t xml:space="preserve">CASE_1010</t>
  </si>
  <si>
    <t xml:space="preserve">Section 169 of BNS 2023 defines a "candidate" as a person nominated at any election, and an "electoral right" as the right to stand, not stand, withdraw as a candidate, vote, or refrain from voting. [Source: Section 169, BNS 2023]</t>
  </si>
  <si>
    <t xml:space="preserve">CASE_1011</t>
  </si>
  <si>
    <t xml:space="preserve">Under Section 169 clause (b), the right "not to stand as" a candidate is explicitly defined as an electoral right, so interfering with it falls under election offences. [Source: Section 169, BNS 2023]</t>
  </si>
  <si>
    <t xml:space="preserve">CASE_1012</t>
  </si>
  <si>
    <t xml:space="preserve">A person becomes a candidate when they have "been nominated as a candidate at any election." [Source: Section 169, BNS 2023]</t>
  </si>
  <si>
    <t xml:space="preserve">CASE_1013</t>
  </si>
  <si>
    <t xml:space="preserve">No, under clause (a), a "candidate" specifically means a person "who has been nominated," so mere aspirational politicians are not covered until official nomination. [Source: Section 169, BNS 2023]</t>
  </si>
  <si>
    <t xml:space="preserve">CASE_1014</t>
  </si>
  <si>
    <t xml:space="preserve">The consequence is that the law protects citizens and candidates from being bullied, bribed, or coerced into dropping out of a race or staying home on election day, ensuring elections are not manipulated by suppressing participation. [Source: Section 169, BNS 2023]</t>
  </si>
  <si>
    <t xml:space="preserve">CASE_1015</t>
  </si>
  <si>
    <t xml:space="preserve">Bribery</t>
  </si>
  <si>
    <t xml:space="preserve">Yes, giving any gratification to induce someone to exercise an electoral right (which includes withdrawing as a candidate) is the offence of bribery in elections. [Source: Section 170, BNS 2023]</t>
  </si>
  <si>
    <t xml:space="preserve">Hugging Face source record: BNS_170</t>
  </si>
  <si>
    <t xml:space="preserve">CASE_1016</t>
  </si>
  <si>
    <t xml:space="preserve">Section 170 of BNS 2023 defines bribery as giving gratification to induce or reward someone for exercising an electoral right, or accepting gratification as a reward for exercising such a right. [Source: Section 170, BNS 2023]</t>
  </si>
  <si>
    <t xml:space="preserve">CASE_1017</t>
  </si>
  <si>
    <t xml:space="preserve">Yes, under sub-section (1), giving a gratification to induce a person to exercise an electoral right (withdrawing) constitutes the offence of bribery. [Source: Section 170, BNS 2023]</t>
  </si>
  <si>
    <t xml:space="preserve">CASE_1018</t>
  </si>
  <si>
    <t xml:space="preserve">Yes, the section states that a person who accepts a gratification as a motive for doing what he does not intend to do "shall be deemed to have accepted the gratification as a reward," so he is still guilty. [Source: Section 170, BNS 2023]</t>
  </si>
  <si>
    <t xml:space="preserve">CASE_1019</t>
  </si>
  <si>
    <t xml:space="preserve">No, the proviso explicitly states that "a declaration of public policy or a promise of public action shall not be an offence under this section." [Source: Section 170, BNS 2023]</t>
  </si>
  <si>
    <t xml:space="preserve">CASE_1020</t>
  </si>
  <si>
    <t xml:space="preserve">The consequence is that an attempted bribe is treated legally as a completed bribe; prosecutors do not have to prove that money actually changed hands, only that the corrupt offer was made. [Source: Section 170, BNS 2023]</t>
  </si>
  <si>
    <t xml:space="preserve">CASE_1021</t>
  </si>
  <si>
    <t xml:space="preserve">Undue influence at elections</t>
  </si>
  <si>
    <t xml:space="preserve">Undue influence at an election occurs when someone voluntarily interferes or attempts to interfere with the free exercise of any electoral right, such as by threatening a voter or candidate. [Source: Section 171, BNS 2023]</t>
  </si>
  <si>
    <t xml:space="preserve">Hugging Face source record: BNS_171</t>
  </si>
  <si>
    <t xml:space="preserve">CASE_1022</t>
  </si>
  <si>
    <t xml:space="preserve">Section 171 of BNS 2023 defines undue influence as voluntarily interfering or attempting to interfere with the free exercise of any electoral right, explicitly including threatening a candidate/voter with injury or inducing fear of divine displeasure. [Source: Section 171, BNS 2023]</t>
  </si>
  <si>
    <t xml:space="preserve">CASE_1023</t>
  </si>
  <si>
    <t xml:space="preserve">Yes, under sub-section (2)(b), inducing a voter to believe they will become an object of "Divine displeasure or of spiritual censure" is deemed to interfere with the free exercise of an electoral right, constituting undue influence. [Source: Section 171, BNS 2023]</t>
  </si>
  <si>
    <t xml:space="preserve">CASE_1024</t>
  </si>
  <si>
    <t xml:space="preserve">The two methods are: (a) threatening injury of any kind, and (b) inducing belief of Divine displeasure or spiritual censure. [Source: Section 171, BNS 2023]</t>
  </si>
  <si>
    <t xml:space="preserve">CASE_1025</t>
  </si>
  <si>
    <t xml:space="preserve">No, under sub-section (3), "A declaration of public policy or a promise of public action... shall not be deemed to be interference" within the meaning of this section. [Source: Section 171, BNS 2023]</t>
  </si>
  <si>
    <t xml:space="preserve">CASE_1026</t>
  </si>
  <si>
    <t xml:space="preserve">The consequence is that the law protects voters from religious coercion, preventing religious figures or institutions from weaponizing faith to manipulate democratic elections. [Source: Section 171, BNS 2023]</t>
  </si>
  <si>
    <t xml:space="preserve">CASE_1027</t>
  </si>
  <si>
    <t xml:space="preserve">Personation at elections</t>
  </si>
  <si>
    <t xml:space="preserve">Applying for a voting paper in the name of another person (living, dead, or fictitious), or voting twice in one's own name, is the offence of "personation at an election." [Source: Section 172, BNS 2023]</t>
  </si>
  <si>
    <t xml:space="preserve">Hugging Face source record: BNS_172</t>
  </si>
  <si>
    <t xml:space="preserve">CASE_1028</t>
  </si>
  <si>
    <t xml:space="preserve">Section 172 of BNS 2023 states that applying for a ballot in another person's name, a fictitious name, or applying a second time in one's own name after already voting, constitutes the offence of personation at an election. [Source: Section 172, BNS 2023]</t>
  </si>
  <si>
    <t xml:space="preserve">CASE_1029</t>
  </si>
  <si>
    <t xml:space="preserve">Because he, having voted once, applied at the same election for a voting paper in his own name, he committed the offence of personation at an election. [Source: Section 172, BNS 2023]</t>
  </si>
  <si>
    <t xml:space="preserve">CASE_1030</t>
  </si>
  <si>
    <t xml:space="preserve">A person might assume the name of another person who is 1) living, 2) dead, or 3) a fictitious name. [Source: Section 172, BNS 2023]</t>
  </si>
  <si>
    <t xml:space="preserve">CASE_1031</t>
  </si>
  <si>
    <t xml:space="preserve">No, the proviso explicitly states that nothing in the section applies to a person "authorised to vote as proxy for an elector under any law... in so far as he votes as a proxy." [Source: Section 172, BNS 2023]</t>
  </si>
  <si>
    <t xml:space="preserve">CASE_1032</t>
  </si>
  <si>
    <t xml:space="preserve">The consequence is that campaign managers or party workers who hire or organize fake voters can be charged with the exact same offence of personation as the individuals who actually cast the fraudulent ballots. [Source: Section 172, BNS 2023]</t>
  </si>
  <si>
    <t xml:space="preserve">CASE_1033</t>
  </si>
  <si>
    <t xml:space="preserve">Punishment for bribery</t>
  </si>
  <si>
    <t xml:space="preserve">The offence of bribery at an election is punishable by up to one year in prison, or a fine, or both. However, if the bribery is done by "treating" (giving food or drink), it is punished only with a fine. [Source: Section 173, BNS 2023]</t>
  </si>
  <si>
    <t xml:space="preserve">Hugging Face source record: BNS_173</t>
  </si>
  <si>
    <t xml:space="preserve">CASE_1034</t>
  </si>
  <si>
    <t xml:space="preserve">Section 173 of BNS 2023 prescribes imprisonment up to 1 year, or a fine, or both for bribery, with a proviso that bribery by "treating" (food, drink, entertainment) is punishable by fine only. [Source: Section 173, BNS 2023]</t>
  </si>
  <si>
    <t xml:space="preserve">CASE_1035</t>
  </si>
  <si>
    <t xml:space="preserve">No, because the gratification consisted of food and drink, this is classified as bribery by "treating," which the proviso states shall be punished with a fine only, not imprisonment. [Source: Section 173, BNS 2023]</t>
  </si>
  <si>
    <t xml:space="preserve">CASE_1036</t>
  </si>
  <si>
    <t xml:space="preserve">The four items are food, drink, entertainment, or provision. [Source: Section 173, BNS 2023]</t>
  </si>
  <si>
    <t xml:space="preserve">CASE_1037</t>
  </si>
  <si>
    <t xml:space="preserve">No, cash does not fall under the definition of "treating" (food, drink, entertainment, provision). Therefore, cash bribery is punishable by up to one year in prison or a fine. [Source: Section 173, BNS 2023]</t>
  </si>
  <si>
    <t xml:space="preserve">CASE_1038</t>
  </si>
  <si>
    <t xml:space="preserve">The consequence is that the law recognizes a difference in severity between hard corruption (buying votes with cash) and traditional campaign hospitality (giving out food/entertainment), punishing the latter less harshly (fine only) to avoid criminalizing standard campaign events with jail time. [Source: Section 173, BNS 2023]</t>
  </si>
  <si>
    <t xml:space="preserve">CASE_1039</t>
  </si>
  <si>
    <t xml:space="preserve">Punishment for undue influence or personation at an election</t>
  </si>
  <si>
    <t xml:space="preserve">The offences of undue influence (like intimidation) or personation (fake voting) at an election are punishable by up to one year in prison, or a fine, or both. [Source: Section 174, BNS 2023]</t>
  </si>
  <si>
    <t xml:space="preserve">Hugging Face source record: BNS_174</t>
  </si>
  <si>
    <t xml:space="preserve">CASE_1040</t>
  </si>
  <si>
    <t xml:space="preserve">Section 174 of BNS 2023 prescribes a uniform punishment of imprisonment up to 1 year, or a fine, or both, for whoever commits the offence of undue influence or personation at an election. [Source: Section 174, BNS 2023]</t>
  </si>
  <si>
    <t xml:space="preserve">CASE_1041</t>
  </si>
  <si>
    <t xml:space="preserve">No, under Section 174, both undue influence and personation carry the exact same maximum penalty: imprisonment of either description for a term which may extend to one year, or a fine, or both. [Source: Section 174, BNS 2023]</t>
  </si>
  <si>
    <t xml:space="preserve">CASE_1042</t>
  </si>
  <si>
    <t xml:space="preserve">It combines the offences of "undue influence" and "personation." [Source: Section 174, BNS 2023]</t>
  </si>
  <si>
    <t xml:space="preserve">CASE_1043</t>
  </si>
  <si>
    <t xml:space="preserve">No, Section 174 has no proviso or exception; all forms of undue influence and personation are eligible for the full penalty of up to one year in prison. [Source: Section 174, BNS 2023]</t>
  </si>
  <si>
    <t xml:space="preserve">CASE_1044</t>
  </si>
  <si>
    <t xml:space="preserve">The consequence is that voter fraud is treated as a serious criminal act, allowing the State to imprison individuals who attempt to subvert the democratic process by stealing the identities of living or dead citizens. [Source: Section 174, BNS 2023]</t>
  </si>
  <si>
    <t xml:space="preserve">CASE_1045</t>
  </si>
  <si>
    <t xml:space="preserve">False statement in connection with an election</t>
  </si>
  <si>
    <t xml:space="preserve">Publishing a false statement of fact about a candidate's personal character or conduct, knowing it to be false and intending to affect the election result, is punishable by a fine. [Source: Section 175, BNS 2023]</t>
  </si>
  <si>
    <t xml:space="preserve">Hugging Face source record: BNS_175</t>
  </si>
  <si>
    <t xml:space="preserve">CASE_1046</t>
  </si>
  <si>
    <t xml:space="preserve">Section 175 of BNS 2023 imposes a fine on anyone who, with intent to affect an election result, publishes a false statement of fact (which they know/believe is false) regarding the personal character or conduct of a candidate. [Source: Section 175, BNS 2023]</t>
  </si>
  <si>
    <t xml:space="preserve">CASE_1047</t>
  </si>
  <si>
    <t xml:space="preserve">Because the editor published a false statement of fact regarding the candidate's personal character with intent to affect the election result, the editor shall be punished with a fine under Section 175. [Source: Section 175, BNS 2023]</t>
  </si>
  <si>
    <t xml:space="preserve">CASE_1048</t>
  </si>
  <si>
    <t xml:space="preserve">The false statement must relate to the "personal character or conduct of any candidate." [Source: Section 175, BNS 2023]</t>
  </si>
  <si>
    <t xml:space="preserve">CASE_1049</t>
  </si>
  <si>
    <t xml:space="preserve">No, the section specifically penalizes false statements in relation to the "personal character or conduct" of a candidate. False claims about public policy or political platforms do not fall under this section. [Source: Section 175, BNS 2023]</t>
  </si>
  <si>
    <t xml:space="preserve">CASE_1050</t>
  </si>
  <si>
    <t xml:space="preserve">The consequence is that while the law seeks to deter malicious smear campaigns during elections, it avoids chilling political speech with the threat of jail time, balancing electoral integrity with freedom of expression. [Source: Section 175, BNS 2023]</t>
  </si>
  <si>
    <t xml:space="preserve">CASE_1051</t>
  </si>
  <si>
    <t xml:space="preserve">Illegal payments in connection with an election</t>
  </si>
  <si>
    <t xml:space="preserve">Incurring or authorizing expenses to promote a candidate's election without their written authority is punishable by a fine of up to 10,000 rupees. [Source: Section 176, BNS 2023]</t>
  </si>
  <si>
    <t xml:space="preserve">Hugging Face source record: BNS_176</t>
  </si>
  <si>
    <t xml:space="preserve">CASE_1052</t>
  </si>
  <si>
    <t xml:space="preserve">Section 176 of BNS 2023 imposes a fine up to 10,000 rupees on anyone who incurs or authorises expenses for public meetings, advertisements, or other promotional materials for a candidate without the candidate's general or special authority in writing. [Source: Section 176, BNS 2023]</t>
  </si>
  <si>
    <t xml:space="preserve">CASE_1053</t>
  </si>
  <si>
    <t xml:space="preserve">Because the supporter incurred expenses for the purpose of promoting the election of the candidate without written authority, the supporter is punishable under Section 176 with a fine up to ten thousand rupees. [Source: Section 176, BNS 2023]</t>
  </si>
  <si>
    <t xml:space="preserve">CASE_1054</t>
  </si>
  <si>
    <t xml:space="preserve">The authority must be "general or special authority in writing of a candidate." [Source: Section 176, BNS 2023]</t>
  </si>
  <si>
    <t xml:space="preserve">CASE_1055</t>
  </si>
  <si>
    <t xml:space="preserve">No, the proviso states that if the unauthorized expenses do not exceed ten rupees, and the person obtains written approval from the candidate within ten days, they are deemed to have incurred the expenses with authority. [Source: Section 176, BNS 2023]</t>
  </si>
  <si>
    <t xml:space="preserve">CASE_1056</t>
  </si>
  <si>
    <t xml:space="preserve">The consequence is that candidates retain strict legal control and accountability over the finances of their campaign, preventing shadow groups or rogue supporters from violating election spending limits on the candidate's behalf. [Source: Section 176, BNS 2023]</t>
  </si>
  <si>
    <t xml:space="preserve">CASE_1057</t>
  </si>
  <si>
    <t xml:space="preserve">Failure to keep election accounts</t>
  </si>
  <si>
    <t xml:space="preserve">Failing to keep legally required accounts of election expenses is punishable by a fine of up to 5,000 rupees. [Source: Section 177, BNS 2023]</t>
  </si>
  <si>
    <t xml:space="preserve">Hugging Face source record: BNS_177</t>
  </si>
  <si>
    <t xml:space="preserve">CASE_1058</t>
  </si>
  <si>
    <t xml:space="preserve">Section 177 of BNS 2023 prescribes a fine up to 5,000 rupees for anyone who is required by law to keep accounts of expenses incurred at or in connection with an election, but fails to do so. [Source: Section 177, BNS 2023]</t>
  </si>
  <si>
    <t xml:space="preserve">CASE_1059</t>
  </si>
  <si>
    <t xml:space="preserve">Because he was required by law to keep accounts of election expenses and failed to do so, he is punishable under Section 177 with a fine up to five thousand rupees. [Source: Section 177, BNS 2023]</t>
  </si>
  <si>
    <t xml:space="preserve">CASE_1060</t>
  </si>
  <si>
    <t xml:space="preserve">No, it relies on external laws, applying only to those "being required by any law for the time being in force or any rule having the force of law to keep accounts." [Source: Section 177, BNS 2023]</t>
  </si>
  <si>
    <t xml:space="preserve">CASE_1061</t>
  </si>
  <si>
    <t xml:space="preserve">No, because an ordinary voter is not "required by any law... to keep accounts of expenses" related to their personal act of voting, this section does not apply to them. [Source: Section 177, BNS 2023]</t>
  </si>
  <si>
    <t xml:space="preserve">CASE_1062</t>
  </si>
  <si>
    <t xml:space="preserve">The consequence is that it ensures financial transparency in democratic processes, giving authorities a legal mechanism to penalize candidates who try to hide illicit campaign funding by claiming they simply "lost the paperwork." [Source: Section 177, BNS 2023]</t>
  </si>
  <si>
    <t xml:space="preserve">CASE_1063</t>
  </si>
  <si>
    <t xml:space="preserve">Counterfeiting coin, Government stamps, currency-notes or bank-notes</t>
  </si>
  <si>
    <t xml:space="preserve">Counterfeiting coins, government revenue stamps, currency notes, or bank-notes is punishable by life imprisonment, or imprisonment for up to ten years, and a fine. [Source: Section 178, BNS 2023]</t>
  </si>
  <si>
    <t xml:space="preserve">Hugging Face source record: BNS_178</t>
  </si>
  <si>
    <t xml:space="preserve">CASE_1064</t>
  </si>
  <si>
    <t xml:space="preserve">Section 178 of BNS 2023 imposes life imprisonment, or up to 10 years imprisonment, and a fine, on anyone who counterfeits or knowingly performs any part of the process of counterfeiting coins, government revenue stamps, currency-notes, or bank-notes. [Source: Section 178, BNS 2023]</t>
  </si>
  <si>
    <t xml:space="preserve">CASE_1065</t>
  </si>
  <si>
    <t xml:space="preserve">For counterfeiting currency-notes, they shall be punished under Section 178 with imprisonment for life, or up to ten years, and a fine. [Source: Section 178, BNS 2023]</t>
  </si>
  <si>
    <t xml:space="preserve">CASE_1066</t>
  </si>
  <si>
    <t xml:space="preserve">Altering a genuine coin is considered "counterfeiting" if it involves "diminishing the weight or alteration of the composition, or alteration of the appearance of the coin." [Source: Section 178, BNS 2023]</t>
  </si>
  <si>
    <t xml:space="preserve">CASE_1067</t>
  </si>
  <si>
    <t xml:space="preserve">It is legally counterfeiting; a person commits the offence of "counterfeiting Government stamp" who counterfeits by causing a genuine stamp of one denomination to appear like a genuine stamp of a different denomination. [Source: Section 178, BNS 2023]</t>
  </si>
  <si>
    <t xml:space="preserve">CASE_1068</t>
  </si>
  <si>
    <t xml:space="preserve">The consequence is that the State treats the production of fake currency as a severe attack on the nation's economic stability and sovereign integrity, punishing it with the highest severity alongside crimes like murder or treason. [Source: Section 178, BNS 2023]</t>
  </si>
  <si>
    <t xml:space="preserve">CASE_1069</t>
  </si>
  <si>
    <t xml:space="preserve">Using as genuine, forged or counterfeit coin, Government stamp, currency-notes or bank-</t>
  </si>
  <si>
    <t xml:space="preserve">Importing, exporting, selling, buying, or intentionally using counterfeit coins, stamps, or currency notes as genuine is punishable by life imprisonment, or up to ten years in prison, and a fine. [Source: Section 179, BNS 2023]</t>
  </si>
  <si>
    <t xml:space="preserve">Hugging Face source record: BNS_179</t>
  </si>
  <si>
    <t xml:space="preserve">CASE_1070</t>
  </si>
  <si>
    <t xml:space="preserve">Section 179 of BNS 2023 prescribes life imprisonment, or up to 10 years imprisonment, and a fine for anyone who imports, exports, sells, buys, traffics, or uses as genuine any forged or counterfeit coin, stamp, or currency/bank-note, knowing or having reason to believe it is counterfeit. [Source: Section 179, BNS 2023]</t>
  </si>
  <si>
    <t xml:space="preserve">CASE_1071</t>
  </si>
  <si>
    <t xml:space="preserve">Because the smuggler imported and sold counterfeit bank-notes, knowing them to be counterfeit, the smuggler is punishable under Section 179 with imprisonment for life or up to ten years, and a fine. [Source: Section 179, BNS 2023]</t>
  </si>
  <si>
    <t xml:space="preserve">CASE_1072</t>
  </si>
  <si>
    <t xml:space="preserve">The prosecution must prove the person acted "knowing or having reason to believe the same to be forged or counterfeit." [Source: Section 179, BNS 2023]</t>
  </si>
  <si>
    <t xml:space="preserve">CASE_1073</t>
  </si>
  <si>
    <t xml:space="preserve">No, because the cashier lacked the requisite mental state of "knowing or having reason to believe the same to be forged or counterfeit," their use of the note as genuine is not a crime. [Source: Section 179, BNS 2023]</t>
  </si>
  <si>
    <t xml:space="preserve">CASE_1074</t>
  </si>
  <si>
    <t xml:space="preserve">The consequence is that the law recognizes the economic damage is actually caused when fake currency enters the market, making the smugglers and distributors just as dangerous to the economy as the printers themselves. [Source: Section 179, BNS 2023]</t>
  </si>
  <si>
    <t xml:space="preserve">CASE_1075</t>
  </si>
  <si>
    <t xml:space="preserve">Possession of forged or counterfeit coin, Government stamp, currency-notes or bank-</t>
  </si>
  <si>
    <t xml:space="preserve">Yes, possessing counterfeit currency or stamps, knowing they are fake and intending to use them as genuine, is punishable by up to seven years in prison, or a fine, or both. [Source: Section 180, BNS 2023]</t>
  </si>
  <si>
    <t xml:space="preserve">Hugging Face source record: BNS_180</t>
  </si>
  <si>
    <t xml:space="preserve">CASE_1076</t>
  </si>
  <si>
    <t xml:space="preserve">Section 180 of BNS 2023 imposes up to 7 years imprisonment, or a fine, or both, on anyone who possesses counterfeit coins, stamps, or currency/bank-notes, knowing they are counterfeit and intending to use them as genuine. [Source: Section 180, BNS 2023]</t>
  </si>
  <si>
    <t xml:space="preserve">CASE_1077</t>
  </si>
  <si>
    <t xml:space="preserve">Because he possessed the counterfeit currency knowing it was fake and intending to use it as genuine, he is punishable under Section 180 with imprisonment up to seven years or a fine. [Source: Section 180, BNS 2023]</t>
  </si>
  <si>
    <t xml:space="preserve">CASE_1078</t>
  </si>
  <si>
    <t xml:space="preserve">The person must 1) know or have reason to believe the item is counterfeit, and 2) intend "to use the same as genuine or that it may be used as genuine." [Source: Section 180, BNS 2023]</t>
  </si>
  <si>
    <t xml:space="preserve">CASE_1079</t>
  </si>
  <si>
    <t xml:space="preserve">No, under the Explanation, if a person establishes the possession to be "from a lawful source" (or lacks the intent to use it as genuine), it shall not constitute an offence under this section. [Source: Section 180, BNS 2023]</t>
  </si>
  <si>
    <t xml:space="preserve">CASE_1080</t>
  </si>
  <si>
    <t xml:space="preserve">The consequence is that law enforcement officers, bank officials, or innocent victims who discover a fake note in their wallet and keep it as evidence are protected from being criminalized simply for possessing contraband. [Source: Section 180, BNS 2023]</t>
  </si>
  <si>
    <t xml:space="preserve">CASE_1081</t>
  </si>
  <si>
    <t xml:space="preserve">Making or possessing instruments or materials for forging or counterfeiting coin, Government stamp, currency-notes or bank-notes</t>
  </si>
  <si>
    <t xml:space="preserve">Making, possessing, or selling machinery, dies, or materials intended for counterfeiting currency, coins, or government stamps is punishable by life imprisonment, or up to ten years in prison, and a fine. [Source: Section 181, BNS 2023]</t>
  </si>
  <si>
    <t xml:space="preserve">Hugging Face source record: BNS_181</t>
  </si>
  <si>
    <t xml:space="preserve">CASE_1082</t>
  </si>
  <si>
    <t xml:space="preserve">Section 181 of BNS 2023 imposes life imprisonment, or up to 10 years imprisonment, and a fine, on anyone who makes, mends, buys, sells, or possesses machinery or materials knowing they are intended to be used for forging or counterfeiting coins, stamps, or currency-notes. [Source: Section 181, BNS 2023]</t>
  </si>
  <si>
    <t xml:space="preserve">CASE_1083</t>
  </si>
  <si>
    <t xml:space="preserve">Because he made an instrument intended to be used for counterfeiting a currency-note, he is punishable under Section 181 with imprisonment for life, or up to ten years, and a fine. [Source: Section 181, BNS 2023]</t>
  </si>
  <si>
    <t xml:space="preserve">CASE_1084</t>
  </si>
  <si>
    <t xml:space="preserve">The three categories are "machinery, die, or instrument or material." [Source: Section 181, BNS 2023]</t>
  </si>
  <si>
    <t xml:space="preserve">CASE_1085</t>
  </si>
  <si>
    <t xml:space="preserve">No, the statute requires the person to act "knowing or having reason to believe that it is intended to be used" for counterfeiting. Without that knowledge, selling the material is not a crime. [Source: Section 181, BNS 2023]</t>
  </si>
  <si>
    <t xml:space="preserve">CASE_1086</t>
  </si>
  <si>
    <t xml:space="preserve">The consequence is that law enforcement can shut down counterfeiting rings and secure massive sentences during the preparatory phase, stopping the economic damage before a single fake note is ever printed. [Source: Section 181, BNS 2023]</t>
  </si>
  <si>
    <t xml:space="preserve">CASE_1087</t>
  </si>
  <si>
    <t xml:space="preserve">Making or using documents resembling currency-notes or bank-notes</t>
  </si>
  <si>
    <t xml:space="preserve">Yes, making, using, or delivering any document that resembles a currency note so closely that it is calculated to deceive is punishable by a fine of up to 300 rupees. [Source: Section 182, BNS 2023]</t>
  </si>
  <si>
    <t xml:space="preserve">Hugging Face source record: BNS_182</t>
  </si>
  <si>
    <t xml:space="preserve">CASE_1088</t>
  </si>
  <si>
    <t xml:space="preserve">Section 182 of BNS 2023 prescribes a fine up to 300 rupees for making or using documents resembling currency-notes, and a fine up to 600 rupees if a person whose name is on the document refuses to disclose the maker's identity to police. [Source: Section 182, BNS 2023]</t>
  </si>
  <si>
    <t xml:space="preserve">CASE_1089</t>
  </si>
  <si>
    <t xml:space="preserve">Because the company made a document so nearly resembling a currency-note as to be calculated to deceive, they are punishable under sub-section (1) with a fine up to three hundred rupees. [Source: Section 182, BNS 2023]</t>
  </si>
  <si>
    <t xml:space="preserve">CASE_1090</t>
  </si>
  <si>
    <t xml:space="preserve">The 600-rupee fine is triggered if a person whose name appears on the offending document "refuses, without lawful excuse, to disclose to a police officer... the name and address of the person by whom it was printed or otherwise made." [Source: Section 182, BNS 2023]</t>
  </si>
  <si>
    <t xml:space="preserve">CASE_1091</t>
  </si>
  <si>
    <t xml:space="preserve">Likely no, because the document must be "so nearly resembling as to be calculated to deceive." A giant, clearly marked poster would not meet the standard of being calculated to deceive. [Source: Section 182, BNS 2023]</t>
  </si>
  <si>
    <t xml:space="preserve">CASE_1092</t>
  </si>
  <si>
    <t xml:space="preserve">The consequence is that the law distinguishes between malicious economic sabotage (counterfeiting) and negligent or low-level deception (making novelty notes), preventing harsh prison sentences for mere irresponsible printing while still allowing police to confiscate deceptive materials. [Source: Section 182, BNS 2023]</t>
  </si>
  <si>
    <t xml:space="preserve">CASE_1093</t>
  </si>
  <si>
    <t xml:space="preserve">Effacing writing from substance bearing Government stamp, or removing from document a stamp used for it, with intent to cause loss to Government</t>
  </si>
  <si>
    <t xml:space="preserve">Fraudulently removing a used government revenue stamp from a document, or erasing writing around it so the stamp can be reused, is punishable by up to three years in prison, or a fine, or both. [Source: Section 183, BNS 2023]</t>
  </si>
  <si>
    <t xml:space="preserve">Hugging Face source record: BNS_183</t>
  </si>
  <si>
    <t xml:space="preserve">CASE_1094</t>
  </si>
  <si>
    <t xml:space="preserve">Section 183 of BNS 2023 imposes up to 3 years imprisonment, or a fine, or both, on anyone who fraudulently removes or effaces writing from a stamped substance, or removes a used stamp from a document, in order to reuse the stamp for a different document. [Source: Section 183, BNS 2023]</t>
  </si>
  <si>
    <t xml:space="preserve">CASE_1095</t>
  </si>
  <si>
    <t xml:space="preserve">Because the clerk removed a stamp which had been used for a document in order to use it for a different document with intent to cause loss to the Government, the clerk is punishable under Section 183 with imprisonment up to three years. [Source: Section 183, BNS 2023]</t>
  </si>
  <si>
    <t xml:space="preserve">CASE_1096</t>
  </si>
  <si>
    <t xml:space="preserve">The act must be done "fraudulently or with intent to cause loss to the Government" in order that the stamp may be "used for a different writing or document." [Source: Section 183, BNS 2023]</t>
  </si>
  <si>
    <t xml:space="preserve">CASE_1097</t>
  </si>
  <si>
    <t xml:space="preserve">No, because the archivist did not act "fraudulently or with intent to cause loss to the Government" and did not intend for the stamp to be "used for a different writing or document," this is not an offence under Section 183. [Source: Section 183, BNS 2023]</t>
  </si>
  <si>
    <t xml:space="preserve">CASE_1098</t>
  </si>
  <si>
    <t xml:space="preserve">The consequence is that the State protects its revenue streams (stamp duties) from petty fraud by making the physical act of tampering with stamps a serious felony carrying up to 3 years in prison, deterring systemic tax evasion in legal and administrative paperwork. [Source: Section 183, BNS 2023]</t>
  </si>
  <si>
    <t xml:space="preserve">CASE_1099</t>
  </si>
  <si>
    <t xml:space="preserve">Using Government stamp known to have been before used</t>
  </si>
  <si>
    <t xml:space="preserve">Fraudulently using a government revenue stamp for any purpose, knowing it has already been used before, is punishable by up to two years in prison, or a fine, or both. [Source: Section 184, BNS 2023]</t>
  </si>
  <si>
    <t xml:space="preserve">Hugging Face source record: BNS_184</t>
  </si>
  <si>
    <t xml:space="preserve">CASE_1100</t>
  </si>
  <si>
    <t xml:space="preserve">Section 184 of BNS 2023 prescribes up to 2 years imprisonment, or a fine, or both, for anyone who fraudulently or with intent to cause loss to the Government uses a revenue stamp which they know has been used before. [Source: Section 184, BNS 2023]</t>
  </si>
  <si>
    <t xml:space="preserve">CASE_1101</t>
  </si>
  <si>
    <t xml:space="preserve">Because the lawyer fraudulently used a stamp which he knew to have been before used, he is punishable under Section 184 with imprisonment up to two years. [Source: Section 184, BNS 2023]</t>
  </si>
  <si>
    <t xml:space="preserve">CASE_1102</t>
  </si>
  <si>
    <t xml:space="preserve">Section 183 penalizes the preparatory physical act of *removing* the stamp or *effacing* the writing, whereas Section 184 penalizes the actual *use* of the recycled stamp. [Source: Section 184, BNS 2023]</t>
  </si>
  <si>
    <t xml:space="preserve">CASE_1103</t>
  </si>
  <si>
    <t xml:space="preserve">No, the statute requires the person to act "fraudulently" and to use a stamp "which he knows to have been before used." An innocent purchaser lacks this knowledge and intent. [Source: Section 184, BNS 2023]</t>
  </si>
  <si>
    <t xml:space="preserve">CASE_1104</t>
  </si>
  <si>
    <t xml:space="preserve">The consequence is that the law can target both ends of the fraud: the "scavenger" who prepares the fake stamps (punished more harshly with 3 years) and the "customer" who actually uses them on documents (punished with 2 years). [Source: Section 184, BNS 2023]</t>
  </si>
  <si>
    <t xml:space="preserve">CASE_1105</t>
  </si>
  <si>
    <t xml:space="preserve">Erasure of mark denoting that stamp has been used</t>
  </si>
  <si>
    <t xml:space="preserve">Erasing a cancellation mark from a used government stamp, or possessing/selling such an altered stamp, with intent to cause loss to the government, is punishable by up to three years in prison, or a fine, or both. [Source: Section 185, BNS 2023]</t>
  </si>
  <si>
    <t xml:space="preserve">Hugging Face source record: BNS_185</t>
  </si>
  <si>
    <t xml:space="preserve">CASE_1106</t>
  </si>
  <si>
    <t xml:space="preserve">Section 185 of BNS 2023 imposes up to 3 years imprisonment, or a fine, or both, on anyone who fraudulently erases a usage mark from a government stamp, or knowingly possesses, sells, or disposes of a stamp with an erased mark or a known used stamp. [Source: Section 185, BNS 2023]</t>
  </si>
  <si>
    <t xml:space="preserve">CASE_1107</t>
  </si>
  <si>
    <t xml:space="preserve">Because he fraudulently erased a mark denoting the stamp had been used, and sold stamps knowing they had been used, he is punishable under Section 185 with imprisonment up to three years. [Source: Section 185, BNS 2023]</t>
  </si>
  <si>
    <t xml:space="preserve">CASE_1108</t>
  </si>
  <si>
    <t xml:space="preserve">The three activities are: 1) erasing or removing the usage mark, 2) knowingly possessing, selling, or disposing of a stamp with an erased mark, and 3) selling or disposing of any stamp known to have been used. [Source: Section 185, BNS 2023]</t>
  </si>
  <si>
    <t xml:space="preserve">CASE_1109</t>
  </si>
  <si>
    <t xml:space="preserve">No, because the collector did not erase a "mark... denoting that the same has been used" and did not act "fraudulently or with intent to cause loss to Government," this preservation act is not an offence. [Source: Section 185, BNS 2023]</t>
  </si>
  <si>
    <t xml:space="preserve">CASE_1110</t>
  </si>
  <si>
    <t xml:space="preserve">The consequence is that it severely disrupts the black market for recycled stamps, allowing police to arrest counterfeiters and middlemen simply for holding the tampered inventory, even if they are never caught in the act of erasing the marks or selling them. [Source: Section 185, BNS 2023]</t>
  </si>
  <si>
    <t xml:space="preserve">CASE_1111</t>
  </si>
  <si>
    <t xml:space="preserve">Prohibition of fictitious stamps</t>
  </si>
  <si>
    <t xml:space="preserve">Making, possessing, or using fictitious stamps for postal purposes is punishable by a fine of up to 200 rupees, and the fake stamps/materials will be seized. [Source: Section 186, BNS 2023]</t>
  </si>
  <si>
    <t xml:space="preserve">Hugging Face source record: BNS_186</t>
  </si>
  <si>
    <t xml:space="preserve">CASE_1112</t>
  </si>
  <si>
    <t xml:space="preserve">Section 186 of BNS 2023 imposes a fine up to 200 rupees on anyone who makes, knowingly uses for postal purposes, possesses, or creates a die/instrument for making fictitious stamps. [Source: Section 186, BNS 2023]</t>
  </si>
  <si>
    <t xml:space="preserve">CASE_1113</t>
  </si>
  <si>
    <t xml:space="preserve">Yes, under sub-section (1)(c), anyone who "has in his possession, without lawful excuse, any fictitious stamp" is punishable by a fine of up to two hundred rupees. [Source: Section 186, BNS 2023]</t>
  </si>
  <si>
    <t xml:space="preserve">CASE_1114</t>
  </si>
  <si>
    <t xml:space="preserve">Sub-section (2) mandates that any such stamp, die, plate, instrument or materials in the possession of any person for making any fictitious stamp "shall be seized and, if seized shall be forfeited." [Source: Section 186, BNS 2023]</t>
  </si>
  <si>
    <t xml:space="preserve">CASE_1115</t>
  </si>
  <si>
    <t xml:space="preserve">It applies to both; under sub-section (3), "fictitious stamp" means any stamp falsely purporting to be a postage stamp used by the Government of India or by "the Government of any foreign country." [Source: Section 186, BNS 2023]</t>
  </si>
  <si>
    <t xml:space="preserve">CASE_1116</t>
  </si>
  <si>
    <t xml:space="preserve">The consequence is that the law distinguishes between minor postal fraud (stealing a few rupees of mail delivery service) and serious revenue fraud (evading massive taxes or legal fees on documents), punishing the latter much more severely. [Source: Section 186, BNS 2023]</t>
  </si>
  <si>
    <t xml:space="preserve">CASE_1117</t>
  </si>
  <si>
    <t xml:space="preserve">Person employed in mint causing coin to be of different weight or composition from that fixed by law</t>
  </si>
  <si>
    <t xml:space="preserve">A mint employee who intentionally alters the legal weight or composition of coins being issued is punishable by up to seven years in prison and a fine. [Source: Section 187, BNS 2023]</t>
  </si>
  <si>
    <t xml:space="preserve">Hugging Face source record: BNS_187</t>
  </si>
  <si>
    <t xml:space="preserve">CASE_1118</t>
  </si>
  <si>
    <t xml:space="preserve">Section 187 of BNS 2023 imposes up to 7 years imprisonment and a fine on any employee of a lawfully established mint in India who intentionally acts or omits an act to cause a coin to have a different weight or composition than fixed by law. [Source: Section 187, BNS 2023]</t>
  </si>
  <si>
    <t xml:space="preserve">CASE_1119</t>
  </si>
  <si>
    <t xml:space="preserve">Because he omitted what he was legally bound to do with the intention of causing coins issued from the mint to be of a different composition, he is punishable under Section 187 with imprisonment up to seven years. [Source: Section 187, BNS 2023]</t>
  </si>
  <si>
    <t xml:space="preserve">CASE_1120</t>
  </si>
  <si>
    <t xml:space="preserve">The offender must be a "Person employed in mint lawfully established in India." [Source: Section 187, BNS 2023]</t>
  </si>
  <si>
    <t xml:space="preserve">CASE_1121</t>
  </si>
  <si>
    <t xml:space="preserve">No, the offence requires the person to act or omit an act "with the intention of causing any coin... to be of a different weight or composition." Accidental errors lack this intent. [Source: Section 187, BNS 2023]</t>
  </si>
  <si>
    <t xml:space="preserve">CASE_1122</t>
  </si>
  <si>
    <t xml:space="preserve">The consequence is that the law recognizes the unique systemic threat posed by insider corruption at a mint, where even slight, intentional alterations to alloy mixtures can massively devalue the national currency and erode public trust. [Source: Section 187, BNS 2023]</t>
  </si>
  <si>
    <t xml:space="preserve">CASE_1123</t>
  </si>
  <si>
    <t xml:space="preserve">Unlawfully taking coining instrument from mint</t>
  </si>
  <si>
    <t xml:space="preserve">Yes, unlawfully taking a coining tool or instrument out of a lawfully established mint is punishable by up to seven years in prison and a fine. [Source: Section 188, BNS 2023]</t>
  </si>
  <si>
    <t xml:space="preserve">Hugging Face source record: BNS_188</t>
  </si>
  <si>
    <t xml:space="preserve">CASE_1124</t>
  </si>
  <si>
    <t xml:space="preserve">Section 188 of BNS 2023 prescribes up to 7 years imprisonment and a fine for anyone who, without lawful authority, takes any coining tool or instrument out of a lawfully established mint in India. [Source: Section 188, BNS 2023]</t>
  </si>
  <si>
    <t xml:space="preserve">CASE_1125</t>
  </si>
  <si>
    <t xml:space="preserve">Because he took a coining instrument out of the mint without lawful authority, he is punishable under Section 188 with imprisonment up to seven years. [Source: Section 188, BNS 2023]</t>
  </si>
  <si>
    <t xml:space="preserve">CASE_1126</t>
  </si>
  <si>
    <t xml:space="preserve">No, the statute only requires proving that the person "without lawful authority, takes out of any mint... any coining tool or instrument." The mere unauthorized removal completes the offence. [Source: Section 188, BNS 2023]</t>
  </si>
  <si>
    <t xml:space="preserve">CASE_1127</t>
  </si>
  <si>
    <t xml:space="preserve">No, because the engineer removed the instrument with "lawful authority," the act does not violate Section 188. [Source: Section 188, BNS 2023]</t>
  </si>
  <si>
    <t xml:space="preserve">CASE_1128</t>
  </si>
  <si>
    <t xml:space="preserve">The consequence is that the State severely restricts access to the highly specialized tools needed for perfect counterfeiting, ensuring that genuine mint equipment cannot easily fall into the hands of criminal organizations. [Source: Section 188, BNS 2023]</t>
  </si>
  <si>
    <t xml:space="preserve">CASE_1129</t>
  </si>
  <si>
    <t xml:space="preserve">Unlawful assembly</t>
  </si>
  <si>
    <t xml:space="preserve">An unlawful assembly requires five or more people who share a common criminal object, such as using force against the government, resisting the law, committing mischief, or forcing someone to do something illegally. [Source: Section 189, BNS 2023]</t>
  </si>
  <si>
    <t xml:space="preserve">Hugging Face source record: BNS_189</t>
  </si>
  <si>
    <t xml:space="preserve">CASE_1130</t>
  </si>
  <si>
    <t xml:space="preserve">Section 189 of BNS 2023 defines an unlawful assembly as 5 or more persons with a common object to overawe the government, resist law, commit offences, or use criminal force to take property or compel actions, punishing members with up to 6 months imprisonment (or 2 years if armed or refusing to disperse). [Source: Section 189, BNS 2023]</t>
  </si>
  <si>
    <t xml:space="preserve">CASE_1131</t>
  </si>
  <si>
    <t xml:space="preserve">Because they are an assembly of five or more persons with the common object of using criminal force to compel a person to do what he is not legally bound to do (sign the deed), they constitute an "unlawful assembly" under sub-section (1)(e). [Source: Section 189, BNS 2023]</t>
  </si>
  <si>
    <t xml:space="preserve">CASE_1132</t>
  </si>
  <si>
    <t xml:space="preserve">Yes, under the Explanation to sub-section (1), "An assembly which was not unlawful when it assembled, may subsequently become an unlawful assembly." [Source: Section 189, BNS 2023]</t>
  </si>
  <si>
    <t xml:space="preserve">CASE_1133</t>
  </si>
  <si>
    <t xml:space="preserve">No, sub-section (1) explicitly states that an assembly must consist of "five or more persons" to be designated an unlawful assembly. They would just be co-conspirators. [Source: Section 189, BNS 2023]</t>
  </si>
  <si>
    <t xml:space="preserve">CASE_1134</t>
  </si>
  <si>
    <t xml:space="preserve">The consequence is that the financiers and organizers who hire goons to form an unlawful assembly are punished exactly as if they were physically present in the mob themselves, and are liable for any crimes the hired goons commit. [Source: Section 189, BNS 2023]</t>
  </si>
  <si>
    <t xml:space="preserve">CASE_1135</t>
  </si>
  <si>
    <t xml:space="preserve">Every member of unlawful assembly guilty of offence committed in prosecution of common object</t>
  </si>
  <si>
    <t xml:space="preserve">Yes, every member of an unlawful assembly is guilty of any offence committed by another member if the act is done to achieve the group's common object or was known to be a likely outcome. [Source: Section 190, BNS 2023]</t>
  </si>
  <si>
    <t xml:space="preserve">Hugging Face source record: BNS_190</t>
  </si>
  <si>
    <t xml:space="preserve">CASE_1136</t>
  </si>
  <si>
    <t xml:space="preserve">Section 190 of BNS 2023 states that if an offence is committed by any member of an unlawful assembly in prosecution of the common object, or is known to be likely committed, every person who is a member of the assembly at that time is guilty of that offence. [Source: Section 190, BNS 2023]</t>
  </si>
  <si>
    <t xml:space="preserve">CASE_1137</t>
  </si>
  <si>
    <t xml:space="preserve">Yes, because the arson was committed in prosecution of the common object (burning the building), every person who was a member of the assembly at the time is guilty of that offence under Section 190. [Source: Section 190, BNS 2023]</t>
  </si>
  <si>
    <t xml:space="preserve">CASE_1138</t>
  </si>
  <si>
    <t xml:space="preserve">The offence must either be 1) committed "in prosecution of the common object" or 2) "such as the members of that assembly knew to be likely to be committed in prosecution of that object." [Source: Section 190, BNS 2023]</t>
  </si>
  <si>
    <t xml:space="preserve">CASE_1139</t>
  </si>
  <si>
    <t xml:space="preserve">Unlikely. The murder was a personal vendetta, not done "in prosecution of the common object" (blocking the road), nor was it "likely to be committed" in the course of a sit-in. Therefore, the rest of the assembly is not collectively liable. [Source: Section 190, BNS 2023]</t>
  </si>
  <si>
    <t xml:space="preserve">CASE_1140</t>
  </si>
  <si>
    <t xml:space="preserve">The consequence is that it severely deters individuals from participating in violent mobs, as the law holds "bystander" rioters legally responsible for the most extreme crimes committed by the most violent members of their group. [Source: Section 190, BNS 2023]</t>
  </si>
  <si>
    <t xml:space="preserve">CASE_1141</t>
  </si>
  <si>
    <t xml:space="preserve">Rioting</t>
  </si>
  <si>
    <t xml:space="preserve">A riot occurs when an unlawful assembly, or any member of it, uses force or violence in prosecution of their common object. [Source: Section 191, BNS 2023]</t>
  </si>
  <si>
    <t xml:space="preserve">Hugging Face source record: BNS_191</t>
  </si>
  <si>
    <t xml:space="preserve">CASE_1142</t>
  </si>
  <si>
    <t xml:space="preserve">Section 191 of BNS 2023 states that whenever force or violence is used by an unlawful assembly in prosecution of its common object, every member is guilty of rioting, punishable by up to 2 years imprisonment (or 5 years if armed with a deadly weapon), or a fine, or both. [Source: Section 191, BNS 2023]</t>
  </si>
  <si>
    <t xml:space="preserve">CASE_1143</t>
  </si>
  <si>
    <t xml:space="preserve">Under sub-section (1), because violence was used by a member of the unlawful assembly in prosecution of the common object, *every* member of the assembly is guilty of the offence of rioting. [Source: Section 191, BNS 2023]</t>
  </si>
  <si>
    <t xml:space="preserve">CASE_1144</t>
  </si>
  <si>
    <t xml:space="preserve">The maximum punishment increases to five years if the person is "armed with a deadly weapon or with anything which, used as a weapon of offence, is likely to cause death." [Source: Section 191, BNS 2023]</t>
  </si>
  <si>
    <t xml:space="preserve">CASE_1145</t>
  </si>
  <si>
    <t xml:space="preserve">No, because a riot requires the use of force by an "unlawful assembly" (which requires five or more people with a specific common object), four people fighting is an affray or assault, not a riot. [Source: Section 191, BNS 2023]</t>
  </si>
  <si>
    <t xml:space="preserve">CASE_1146</t>
  </si>
  <si>
    <t xml:space="preserve">The consequence is that the law can punish the mere formation of a dangerous mob (unlawful assembly) before any harm is done, but escalates the penalty significantly (rioting) the moment the mob crosses the line into actual physical force or violence. [Source: Section 191, BNS 2023]</t>
  </si>
  <si>
    <t xml:space="preserve">CASE_1147</t>
  </si>
  <si>
    <t xml:space="preserve">Wantonly giving provocation with intent to cause riot-if rioting be committed; if not</t>
  </si>
  <si>
    <t xml:space="preserve">Malignantly or wantonly doing an illegal act to provoke a riot is punishable by up to one year in prison if a riot actually occurs, and up to six months if it doesn't. [Source: Section 192, BNS 2023]</t>
  </si>
  <si>
    <t xml:space="preserve">Hugging Face source record: BNS_192</t>
  </si>
  <si>
    <t xml:space="preserve">CASE_1148</t>
  </si>
  <si>
    <t xml:space="preserve">Section 192 of BNS 2023 imposes up to 1 year imprisonment if a riot is committed, or up to 6 months if not committed, on anyone who malignantly or wantonly does an illegal act intending or knowing it will provoke a riot. [Source: Section 192, BNS 2023]</t>
  </si>
  <si>
    <t xml:space="preserve">CASE_1149</t>
  </si>
  <si>
    <t xml:space="preserve">Because he wantonly did an illegal act intending to provoke a riot, but the offence of rioting was *not* committed, he is punishable under Section 192 with imprisonment up to six months, or a fine, or both. [Source: Section 192, BNS 2023]</t>
  </si>
  <si>
    <t xml:space="preserve">CASE_1150</t>
  </si>
  <si>
    <t xml:space="preserve">The section specifically requires the person to give provocation "by doing anything which is illegal." A legal (even if highly offensive) act does not satisfy the elements. [Source: Section 192, BNS 2023]</t>
  </si>
  <si>
    <t xml:space="preserve">CASE_1151</t>
  </si>
  <si>
    <t xml:space="preserve">No, because telling the joke was not "doing anything which is illegal," the comedian cannot be charged under Section 192 for provoking the riot. [Source: Section 192, BNS 2023]</t>
  </si>
  <si>
    <t xml:space="preserve">CASE_1152</t>
  </si>
  <si>
    <t xml:space="preserve">The consequence is that law enforcement can intervene and arrest agitators who are actively trying to spark mass violence (like throwing a rock at a peaceful protest) before their reckless actions successfully ignite a deadly riot. [Source: Section 192, BNS 2023]</t>
  </si>
  <si>
    <t xml:space="preserve">CASE_1153</t>
  </si>
  <si>
    <t xml:space="preserve">Liability of owner, occupier, etc., of land on which an unlawful assembly or riot takes</t>
  </si>
  <si>
    <t xml:space="preserve">Yes, a landowner or occupier can be fined up to 1,000 rupees if they know a riot or unlawful assembly is happening on their land and fail to notify the police or try to stop it. [Source: Section 193, BNS 2023]</t>
  </si>
  <si>
    <t xml:space="preserve">Hugging Face source record: BNS_193</t>
  </si>
  <si>
    <t xml:space="preserve">CASE_1154</t>
  </si>
  <si>
    <t xml:space="preserve">Section 193 of BNS 2023 penalizes landowners, occupiers, and their agents with a fine (up to 1,000 rupees in some cases) if they fail to notify police, prevent, or suppress an unlawful assembly or riot taking place on their land or for their benefit. [Source: Section 193, BNS 2023]</t>
  </si>
  <si>
    <t xml:space="preserve">CASE_1155</t>
  </si>
  <si>
    <t xml:space="preserve">Yes, under sub-section (2), because the riot was committed for his benefit on his land, and he failed to use lawful means to prevent or suppress it, he is punishable with a fine. [Source: Section 193, BNS 2023]</t>
  </si>
  <si>
    <t xml:space="preserve">CASE_1156</t>
  </si>
  <si>
    <t xml:space="preserve">They must 1) give the "earliest notice thereof in his or their power to the officer in charge at the nearest police station" and 2) "use all lawful means in his or their power to disperse or suppress the riot." [Source: Section 193, BNS 2023]</t>
  </si>
  <si>
    <t xml:space="preserve">CASE_1157</t>
  </si>
  <si>
    <t xml:space="preserve">No, the statute requires the owner or their agent to act while "knowing that such offence is being or has been committed, or having reason to believe it is likely to be committed." Without real-time knowledge, he cannot be fined for failing to act. [Source: Section 193, BNS 2023]</t>
  </si>
  <si>
    <t xml:space="preserve">CASE_1158</t>
  </si>
  <si>
    <t xml:space="preserve">The consequence is that it prevents feudal landlords, corporate owners, or community leaders from feigning ignorance while "looking the other way" as mobs commit violence on their behalf or on their territory. [Source: Section 193, BNS 2023]</t>
  </si>
  <si>
    <t xml:space="preserve">CASE_1159</t>
  </si>
  <si>
    <t xml:space="preserve">Affray</t>
  </si>
  <si>
    <t xml:space="preserve">An affray is when two or more people disturb the public peace by fighting in a public place. [Source: Section 194, BNS 2023]</t>
  </si>
  <si>
    <t xml:space="preserve">Hugging Face source record: BNS_194</t>
  </si>
  <si>
    <t xml:space="preserve">CASE_1160</t>
  </si>
  <si>
    <t xml:space="preserve">Section 194 of BNS 2023 defines an affray as two or more persons fighting in a public place and disturbing the public peace, which is punishable by up to 1 month imprisonment, or a fine up to 1,000 rupees, or both. [Source: Section 194, BNS 2023]</t>
  </si>
  <si>
    <t xml:space="preserve">CASE_1161</t>
  </si>
  <si>
    <t xml:space="preserve">Because they are two persons fighting in a public place and disturbing the public peace, they have committed an "affray" under sub-section (1), punishable under sub-section (2). [Source: Section 194, BNS 2023]</t>
  </si>
  <si>
    <t xml:space="preserve">CASE_1162</t>
  </si>
  <si>
    <t xml:space="preserve">The fighting must take place "in a public place." [Source: Section 194, BNS 2023]</t>
  </si>
  <si>
    <t xml:space="preserve">CASE_1163</t>
  </si>
  <si>
    <t xml:space="preserve">No, because the fight did not occur "in a public place" and did not "disturb the public peace," it is not an affray (though it could be assault or battery). [Source: Section 194, BNS 2023]</t>
  </si>
  <si>
    <t xml:space="preserve">CASE_1164</t>
  </si>
  <si>
    <t xml:space="preserve">The consequence is that the law protects the general public's right to peace and safety in shared spaces; police can arrest brawlers for terrorizing bystanders, even if neither fighter wants to press assault charges against the other. [Source: Section 194, BNS 2023]</t>
  </si>
  <si>
    <t xml:space="preserve">CASE_1165</t>
  </si>
  <si>
    <t xml:space="preserve">Assaulting or obstructing public servant when suppressing riot, etc</t>
  </si>
  <si>
    <t xml:space="preserve">Assaulting, obstructing, or using criminal force against a public servant trying to disperse a riot is punishable by up to three years in prison, or a fine of at least 25,000 rupees, or both. [Source: Section 195, BNS 2023]</t>
  </si>
  <si>
    <t xml:space="preserve">Hugging Face source record: BNS_195</t>
  </si>
  <si>
    <t xml:space="preserve">CASE_1166</t>
  </si>
  <si>
    <t xml:space="preserve">Section 195 of BNS 2023 prescribes up to 3 years imprisonment, or a minimum fine of 25,000 rupees, or both, for assaulting or obstructing a public servant suppressing a riot; merely threatening or attempting to do so carries up to 1 year imprisonment or a fine. [Source: Section 195, BNS 2023]</t>
  </si>
  <si>
    <t xml:space="preserve">CASE_1167</t>
  </si>
  <si>
    <t xml:space="preserve">Because the rioter used criminal force on a public servant endeavouring to disperse an unlawful assembly, he is punishable under sub-section (1) with imprisonment up to three years, or a minimum fine of 25,000 rupees, or both. [Source: Section 195, BNS 2023]</t>
  </si>
  <si>
    <t xml:space="preserve">CASE_1168</t>
  </si>
  <si>
    <t xml:space="preserve">The fine "shall not be less than twenty-five thousand rupees." [Source: Section 195, BNS 2023]</t>
  </si>
  <si>
    <t xml:space="preserve">CASE_1169</t>
  </si>
  <si>
    <t xml:space="preserve">No, because the officer was not acting "in the discharge of his duty... in endeavouring to disperse an unlawful assembly, or to suppress a riot or affray," Section 195 does not apply. [Source: Section 195, BNS 2023]</t>
  </si>
  <si>
    <t xml:space="preserve">CASE_1170</t>
  </si>
  <si>
    <t xml:space="preserve">The consequence is that police can immediately arrest and neutralize aggressive individuals who are posturing, shouting threats, or trying to block their path, without having to wait for the individual to actually strike a blow. [Source: Section 195, BNS 2023]</t>
  </si>
  <si>
    <t xml:space="preserve">CASE_1171</t>
  </si>
  <si>
    <t xml:space="preserve">Promoting enmity between different groups on grounds of religion, race, place of birth, residence, language, etc., and doing acts prejudicial to maintenance of harmony</t>
  </si>
  <si>
    <t xml:space="preserve">Promoting enmity, hatred, or ill-will between different groups based on religion, race, language, or caste is punishable by up to three years in prison, or a fine, or both. [Source: Section 196, BNS 2023]</t>
  </si>
  <si>
    <t xml:space="preserve">Hugging Face source record: BNS_196</t>
  </si>
  <si>
    <t xml:space="preserve">CASE_1172</t>
  </si>
  <si>
    <t xml:space="preserve">Section 196 of BNS 2023 imposes up to 3 years imprisonment (or 5 years if committed in a place of worship) and a fine for promoting enmity between groups on grounds of religion, race, etc., or organizing training with criminal force against such groups. [Source: Section 196, BNS 2023]</t>
  </si>
  <si>
    <t xml:space="preserve">CASE_1173</t>
  </si>
  <si>
    <t xml:space="preserve">Because the politician by spoken words promoted feelings of enmity between different language and regional groups, they are punishable under sub-section (1)(a) with imprisonment up to three years, or a fine, or both. [Source: Section 196, BNS 2023]</t>
  </si>
  <si>
    <t xml:space="preserve">CASE_1174</t>
  </si>
  <si>
    <t xml:space="preserve">The enhanced sentence is triggered if the offence is committed "in any place of worship or in any assembly engaged in the performance of religious worship or religious ceremonies." [Source: Section 196, BNS 2023]</t>
  </si>
  <si>
    <t xml:space="preserve">CASE_1175</t>
  </si>
  <si>
    <t xml:space="preserve">No, because the act must "promote or attempt to promote... disharmony or feelings of enmity, hatred or ill-will." Objective academic research lacking this intent or effect does not violate Section 196. [Source: Section 196, BNS 2023]</t>
  </si>
  <si>
    <t xml:space="preserve">CASE_1176</t>
  </si>
  <si>
    <t xml:space="preserve">The consequence is that the law can dismantle communal militias, extremist training camps, and paramilitary hate groups before they execute a coordinated attack, treating the very act of preparing violence against a community as a serious offence. [Source: Section 196, BNS 2023]</t>
  </si>
  <si>
    <t xml:space="preserve">CASE_1177</t>
  </si>
  <si>
    <t xml:space="preserve">Imputations, assertions prejudicial to national integration</t>
  </si>
  <si>
    <t xml:space="preserve">Yes, publishing imputations that a specific religious, racial, or linguistic group cannot bear allegiance to the Constitution or uphold India's sovereignty is punishable by up to three years in prison and a fine. [Source: Section 197, BNS 2023]</t>
  </si>
  <si>
    <t xml:space="preserve">Hugging Face source record: BNS_197</t>
  </si>
  <si>
    <t xml:space="preserve">CASE_1178</t>
  </si>
  <si>
    <t xml:space="preserve">Section 197 of BNS 2023 prescribes up to 3 years imprisonment (or 5 years in a place of worship) for making assertions that a specific group cannot bear allegiance to India, should be denied citizenship rights, or by spreading false information jeopardizing India's sovereignty. [Source: Section 197, BNS 2023]</t>
  </si>
  <si>
    <t xml:space="preserve">CASE_1179</t>
  </si>
  <si>
    <t xml:space="preserve">Because the blogger asserted that a class of persons shall, by reason of their caste, be deprived of their rights as citizens of India, the blogger is punishable under sub-section (1)(b) with imprisonment up to three years. [Source: Section 197, BNS 2023]</t>
  </si>
  <si>
    <t xml:space="preserve">CASE_1180</t>
  </si>
  <si>
    <t xml:space="preserve">The false or misleading information must be "jeopardising the sovereignty, unity and integrity or security of India." [Source: Section 197, BNS 2023]</t>
  </si>
  <si>
    <t xml:space="preserve">CASE_1181</t>
  </si>
  <si>
    <t xml:space="preserve">No, criticizing a law is not the same as making an imputation against a "class of persons" regarding their allegiance to India, so it does not fall under Section 197. [Source: Section 197, BNS 2023]</t>
  </si>
  <si>
    <t xml:space="preserve">CASE_1182</t>
  </si>
  <si>
    <t xml:space="preserve">The consequence is that the State treats rhetoric that fundamentally questions the citizenship, loyalty, or basic rights of minority communities not just as personal defamation, but as a direct threat to the survival and unity of the secular republic itself. [Source: Section 197, BNS 2023]</t>
  </si>
  <si>
    <t xml:space="preserve">CASE_1183</t>
  </si>
  <si>
    <t xml:space="preserve">Public servant disobeying law, with intent to cause injury to any person</t>
  </si>
  <si>
    <t xml:space="preserve">A public servant who knowingly disobeys a direction of the law with the intent to cause injury to any person is punishable by up to one year of simple imprisonment, or a fine, or both. [Source: Section 198, BNS 2023]</t>
  </si>
  <si>
    <t xml:space="preserve">Hugging Face source record: BNS_198</t>
  </si>
  <si>
    <t xml:space="preserve">CASE_1184</t>
  </si>
  <si>
    <t xml:space="preserve">Section 198 of BNS 2023 imposes simple imprisonment up to 1 year, or a fine, or both, on any public servant who knowingly disobeys a legal direction regarding their conduct, intending or knowing it will likely cause injury to a person. [Source: Section 198, BNS 2023]</t>
  </si>
  <si>
    <t xml:space="preserve">CASE_1185</t>
  </si>
  <si>
    <t xml:space="preserve">Because the officer knowingly disobeyed a direction of law regarding his conduct, intending to cause injury to the businessman, he is punishable under Section 198 with simple imprisonment up to one year or a fine. [Source: Section 198, BNS 2023]</t>
  </si>
  <si>
    <t xml:space="preserve">CASE_1186</t>
  </si>
  <si>
    <t xml:space="preserve">The section exclusively prescribes "simple imprisonment" (up to one year). [Source: Section 198, BNS 2023]</t>
  </si>
  <si>
    <t xml:space="preserve">CASE_1187</t>
  </si>
  <si>
    <t xml:space="preserve">No, the disobedience was an honest mistake. The statute requires the public servant to act "knowingly" and with the intent or knowledge that it will "cause injury to any person." [Source: Section 198, BNS 2023]</t>
  </si>
  <si>
    <t xml:space="preserve">CASE_1188</t>
  </si>
  <si>
    <t xml:space="preserve">The consequence is that while the law provides a remedy against malicious bureaucratic sabotage, it keeps the penalty relatively mild to prevent paralyzing government operations with the constant threat of severe, rigorous prison sentences for administrative disputes. [Source: Section 198, BNS 2023]</t>
  </si>
  <si>
    <t xml:space="preserve">CASE_1189</t>
  </si>
  <si>
    <t xml:space="preserve">Public servant disobeying direction under law</t>
  </si>
  <si>
    <t xml:space="preserve">A public servant who fails to record information related to specific serious offences (like rape or sexual assault) is punishable by rigorous imprisonment for between six months and two years, plus a fine. [Source: Section 199, BNS 2023]</t>
  </si>
  <si>
    <t xml:space="preserve">Hugging Face source record: BNS_199</t>
  </si>
  <si>
    <t xml:space="preserve">CASE_1190</t>
  </si>
  <si>
    <t xml:space="preserve">Section 199 of BNS 2023 prescribes rigorous imprisonment from 6 months up to 2 years, and a fine, for a public servant who knowingly disobeys laws regulating investigations, improperly requires a person's attendance, or fails to record complaints for specified serious offences (e.g., Section 64, 65). [Source: Section 199, BNS 2023]</t>
  </si>
  <si>
    <t xml:space="preserve">CASE_1191</t>
  </si>
  <si>
    <t xml:space="preserve">Because he failed to record information relating to a cognizable offence punishable under Section 124, he is punishable under clause (c) with rigorous imprisonment for a term "which shall not be less than six months." [Source: Section 199, BNS 2023]</t>
  </si>
  <si>
    <t xml:space="preserve">CASE_1192</t>
  </si>
  <si>
    <t xml:space="preserve">It criminalizes knowingly disobeying any direction of law "which prohibits him from requiring the attendance at any place of any person for the purpose of investigation." [Source: Section 199, BNS 2023]</t>
  </si>
  <si>
    <t xml:space="preserve">CASE_1193</t>
  </si>
  <si>
    <t xml:space="preserve">No, clause (c) specifically lists the serious offences (like Sections 64, 65, 70, 124, etc., primarily relating to sexual offences and grievous harm) for which failing to record information is a crime under this section. [Source: Section 199, BNS 2023]</t>
  </si>
  <si>
    <t xml:space="preserve">CASE_1194</t>
  </si>
  <si>
    <t xml:space="preserve">The consequence is that it combats the entrenched systemic issue of "burking" (police refusing to register serious crimes against vulnerable victims), ensuring victims of sexual violence have legal recourse against officers who deny them access to the justice system. [Source: Section 199, BNS 2023]</t>
  </si>
  <si>
    <t xml:space="preserve">CASE_1195</t>
  </si>
  <si>
    <t xml:space="preserve">Punishment for non-treatment of victim</t>
  </si>
  <si>
    <t xml:space="preserve">A person in charge of a hospital who fails to provide free, immediate medical treatment to victims of certain serious offences, as required by law, is punishable by up to one year in prison, or a fine, or both. [Source: Section 200, BNS 2023]</t>
  </si>
  <si>
    <t xml:space="preserve">Hugging Face source record: BNS_200</t>
  </si>
  <si>
    <t xml:space="preserve">CASE_1196</t>
  </si>
  <si>
    <t xml:space="preserve">Section 200 of BNS 2023 imposes up to 1 year imprisonment, or a fine, or both, on anyone in charge of a public or private hospital who contravenes Section 397 of the BNSS, 2023 (which mandates free immediate treatment for victims of specific crimes). [Source: Section 200, BNS 2023]</t>
  </si>
  <si>
    <t xml:space="preserve">CASE_1197</t>
  </si>
  <si>
    <t xml:space="preserve">Because he is in charge of a private hospital and contravened the provisions of Section 397 of the BNSS, 2023, he is punishable under Section 200 with imprisonment up to one year, or a fine, or both. [Source: Section 200, BNS 2023]</t>
  </si>
  <si>
    <t xml:space="preserve">CASE_1198</t>
  </si>
  <si>
    <t xml:space="preserve">No, the statute explicitly applies to anyone in charge of a hospital, "public or private, whether run by the Central Government, the State Government, local bodies or any other person." [Source: Section 200, BNS 2023]</t>
  </si>
  <si>
    <t xml:space="preserve">CASE_1199</t>
  </si>
  <si>
    <t xml:space="preserve">No, providing stabilizing first aid and an immediate medical transfer out of sheer necessity (because the facility lacks capacity) is medically appropriate and does not constitute a malicious contravention of the legal duty to treat. [Source: Section 200, BNS 2023]</t>
  </si>
  <si>
    <t xml:space="preserve">CASE_1200</t>
  </si>
  <si>
    <t xml:space="preserve">The consequence is that it legally prioritizes the right to life and bodily integrity over hospital profit margins or administrative bureaucracy, ensuring that victims of extreme violence receive immediate, life-saving care regardless of their financial status. [Source: Section 200, BNS 2023]</t>
  </si>
  <si>
    <t xml:space="preserve">CASE_1201</t>
  </si>
  <si>
    <t xml:space="preserve">Public servant framing an incorrect document with intent to cause injury</t>
  </si>
  <si>
    <t xml:space="preserve">A public servant who prepares or translates a document incorrectly, intending to cause injury to any person, is punishable by up to three years in prison, or a fine, or both. [Source: Section 201, BNS 2023]</t>
  </si>
  <si>
    <t xml:space="preserve">Hugging Face source record: BNS_201</t>
  </si>
  <si>
    <t xml:space="preserve">CASE_1202</t>
  </si>
  <si>
    <t xml:space="preserve">Section 201 of BNS 2023 prescribes up to 3 years imprisonment, or a fine, or both, for any public servant who frames, prepares, or translates a document/electronic record incorrectly, intending or knowing it will likely cause injury to someone. [Source: Section 201, BNS 2023]</t>
  </si>
  <si>
    <t xml:space="preserve">CASE_1203</t>
  </si>
  <si>
    <t xml:space="preserve">Because he is a public servant charged with translation and framed an incorrect document intending to cause injury to the defendant, he is punishable under Section 201 with imprisonment up to three years. [Source: Section 201, BNS 2023]</t>
  </si>
  <si>
    <t xml:space="preserve">CASE_1204</t>
  </si>
  <si>
    <t xml:space="preserve">No, the statute explicitly requires the public servant to be "charged with the preparation or translation of any document or electronic record" in their capacity "as such public servant." [Source: Section 201, BNS 2023]</t>
  </si>
  <si>
    <t xml:space="preserve">CASE_1205</t>
  </si>
  <si>
    <t xml:space="preserve">No, because the surveyor did not frame the document in a manner "which he knows or believes to be incorrect." Honest mistakes, even devastating ones, lack the requisite criminal intent. [Source: Section 201, BNS 2023]</t>
  </si>
  <si>
    <t xml:space="preserve">CASE_1206</t>
  </si>
  <si>
    <t xml:space="preserve">The consequence is that it addresses the unique breach of public trust when an official misuses their state-granted authority to create "official" falsehoods, ensuring strict accountability for the integrity of government records. [Source: Section 201, BNS 2023]</t>
  </si>
  <si>
    <t xml:space="preserve">CASE_1207</t>
  </si>
  <si>
    <t xml:space="preserve">Public servant unlawfully engaging in trade</t>
  </si>
  <si>
    <t xml:space="preserve">No, a public servant who engages in trade while legally bound not to do so is punishable by up to one year of simple imprisonment, a fine, both, or community service. [Source: Section 202, BNS 2023]</t>
  </si>
  <si>
    <t xml:space="preserve">Hugging Face source record: BNS_202</t>
  </si>
  <si>
    <t xml:space="preserve">CASE_1208</t>
  </si>
  <si>
    <t xml:space="preserve">Section 202 of BNS 2023 imposes simple imprisonment up to 1 year, a fine, both, or community service on any public servant who engages in trade when legally bound not to do so. [Source: Section 202, BNS 2023]</t>
  </si>
  <si>
    <t xml:space="preserve">CASE_1209</t>
  </si>
  <si>
    <t xml:space="preserve">Because he is a public servant legally bound not to engage in trade and engaged in trade, he is punishable under Section 202 with simple imprisonment up to one year, a fine, or community service. [Source: Section 202, BNS 2023]</t>
  </si>
  <si>
    <t xml:space="preserve">CASE_1210</t>
  </si>
  <si>
    <t xml:space="preserve">The section explicitly lists "community service" as an alternative punishment. [Source: Section 202, BNS 2023]</t>
  </si>
  <si>
    <t xml:space="preserve">CASE_1211</t>
  </si>
  <si>
    <t xml:space="preserve">No, because the sweeper is not "legally bound as such public servant not to engage in trade," their side business does not violate Section 202. [Source: Section 202, BNS 2023]</t>
  </si>
  <si>
    <t xml:space="preserve">CASE_1212</t>
  </si>
  <si>
    <t xml:space="preserve">The consequence is that it prevents conflicts of interest, corruption, and the misuse of official power to gain an unfair advantage in private business, ensuring officials remain fully dedicated to public service. [Source: Section 202, BNS 2023]</t>
  </si>
  <si>
    <t xml:space="preserve">CASE_1213</t>
  </si>
  <si>
    <t xml:space="preserve">Public servant unlawfully buying or bidding for property</t>
  </si>
  <si>
    <t xml:space="preserve">A public servant who unlawfully purchases or bids for property they are legally barred from buying is punishable by up to two years of simple imprisonment, a fine, or both, and the property will be confiscated. [Source: Section 203, BNS 2023]</t>
  </si>
  <si>
    <t xml:space="preserve">Hugging Face source record: BNS_203</t>
  </si>
  <si>
    <t xml:space="preserve">CASE_1214</t>
  </si>
  <si>
    <t xml:space="preserve">Section 203 of BNS 2023 prescribes simple imprisonment up to 2 years, or a fine, or both, and confiscation of the purchased property, for a public servant who purchases or bids on property they are legally bound not to buy. [Source: Section 203, BNS 2023]</t>
  </si>
  <si>
    <t xml:space="preserve">CASE_1215</t>
  </si>
  <si>
    <t xml:space="preserve">Because the officer purchased property he was legally bound not to purchase, in the name of another, he is punishable under Section 203 with imprisonment up to two years, and the mansion shall be confiscated. [Source: Section 203, BNS 2023]</t>
  </si>
  <si>
    <t xml:space="preserve">CASE_1216</t>
  </si>
  <si>
    <t xml:space="preserve">The statute mandates that "the property, if purchased, shall be confiscated." [Source: Section 203, BNS 2023]</t>
  </si>
  <si>
    <t xml:space="preserve">CASE_1217</t>
  </si>
  <si>
    <t xml:space="preserve">No, unless the officer was "legally bound as such public servant, not to purchase or bid for [that] certain property" (e.g., if it was a seized vehicle he was investigating). General purchases are not criminalized. [Source: Section 203, BNS 2023]</t>
  </si>
  <si>
    <t xml:space="preserve">CASE_1218</t>
  </si>
  <si>
    <t xml:space="preserve">The consequence is that it closes loopholes where corrupt officials use proxy buyers, shell companies, or family members to illegally acquire seized or state property at artificially depressed prices. [Source: Section 203, BNS 2023]</t>
  </si>
  <si>
    <t xml:space="preserve">CASE_1219</t>
  </si>
  <si>
    <t xml:space="preserve">Personating a public servant</t>
  </si>
  <si>
    <t xml:space="preserve">Falsely pretending to hold a public office, and attempting to do any act under the color of that office, is punishable by imprisonment between six months and three years, plus a fine. [Source: Section 204, BNS 2023]</t>
  </si>
  <si>
    <t xml:space="preserve">Hugging Face source record: BNS_204</t>
  </si>
  <si>
    <t xml:space="preserve">CASE_1220</t>
  </si>
  <si>
    <t xml:space="preserve">Section 204 of BNS 2023 imposes a mandatory minimum of 6 months, and up to 3 years imprisonment, plus a fine, on anyone who falsely personates a public servant and does or attempts to do an act under the colour of such office. [Source: Section 204, BNS 2023]</t>
  </si>
  <si>
    <t xml:space="preserve">CASE_1221</t>
  </si>
  <si>
    <t xml:space="preserve">Because he personated a public servant and attempted an act under the colour of that office, he is punishable under Section 204 with imprisonment "which shall not be less than six months." [Source: Section 204, BNS 2023]</t>
  </si>
  <si>
    <t xml:space="preserve">CASE_1222</t>
  </si>
  <si>
    <t xml:space="preserve">No, the statute requires that the person not only pretends to hold the office, but also "in such assumed character does or attempts to do any act under colour of such office." [Source: Section 204, BNS 2023]</t>
  </si>
  <si>
    <t xml:space="preserve">CASE_1223</t>
  </si>
  <si>
    <t xml:space="preserve">No, because the actor is not doing an act "under colour of such office" with the intent or effect of acting as a real public servant; it is clearly theatrical and not a false pretense of holding actual office. [Source: Section 204, BNS 2023]</t>
  </si>
  <si>
    <t xml:space="preserve">CASE_1224</t>
  </si>
  <si>
    <t xml:space="preserve">The consequence is that the State severely deters fraudsters who undermine public trust in government authority by using fake official status to extort, intimidate, or scam ordinary citizens. [Source: Section 204, BNS 2023]</t>
  </si>
  <si>
    <t xml:space="preserve">CASE_1225</t>
  </si>
  <si>
    <t xml:space="preserve">Wearing garb or carrying token used by public servant with fraudulent intent</t>
  </si>
  <si>
    <t xml:space="preserve">Wearing the uniform or carrying the token of a public servant, intending to make people believe you belong to that class of servants, is punishable by up to three months in prison, or a fine up to 5,000 rupees. [Source: Section 205, BNS 2023]</t>
  </si>
  <si>
    <t xml:space="preserve">Hugging Face source record: BNS_205</t>
  </si>
  <si>
    <t xml:space="preserve">CASE_1226</t>
  </si>
  <si>
    <t xml:space="preserve">Section 205 of BNS 2023 prescribes up to 3 months imprisonment, or a fine up to 5,000 rupees, for anyone who wears the garb or carries the token of a public servant class they don't belong to, intending or knowing it will deceive people. [Source: Section 205, BNS 2023]</t>
  </si>
  <si>
    <t xml:space="preserve">CASE_1227</t>
  </si>
  <si>
    <t xml:space="preserve">Yes, because he wore garb resembling a public servant's uniform with the intention that it be believed he belongs to that class, he is punishable under Section 205 with imprisonment up to three months or a fine. [Source: Section 205, BNS 2023]</t>
  </si>
  <si>
    <t xml:space="preserve">CASE_1228</t>
  </si>
  <si>
    <t xml:space="preserve">Section 205 only requires the passive act of *wearing* the uniform or carrying the token with intent to deceive, whereas Section 204 requires actively *doing or attempting to do an act* under the color of the office. [Source: Section 205, BNS 2023]</t>
  </si>
  <si>
    <t xml:space="preserve">CASE_1229</t>
  </si>
  <si>
    <t xml:space="preserve">No, the statute requires the "intention that it may be believed, or with the knowledge that it is likely to be believed, that he belongs to that class of public servants." A costume party lacks this deceptive intent. [Source: Section 205, BNS 2023]</t>
  </si>
  <si>
    <t xml:space="preserve">CASE_1230</t>
  </si>
  <si>
    <t xml:space="preserve">The consequence is that law enforcement can preemptively arrest impersonators who are loitering or "patrolling" before they actually commit a substantive fraud or extortion (which would trigger the harsher Section 204). [Source: Section 205, BNS 2023]</t>
  </si>
  <si>
    <t xml:space="preserve">CASE_1231</t>
  </si>
  <si>
    <t xml:space="preserve">Absconding to avoid service of summons or other proceeding</t>
  </si>
  <si>
    <t xml:space="preserve">Absconding to avoid a summons from a public servant is punishable by up to one month in prison or a 5,000 rupee fine; if the summons is for a court appearance, it increases to six months or a 10,000 rupee fine. [Source: Section 206, BNS 2023]</t>
  </si>
  <si>
    <t xml:space="preserve">Hugging Face source record: BNS_206</t>
  </si>
  <si>
    <t xml:space="preserve">CASE_1232</t>
  </si>
  <si>
    <t xml:space="preserve">Section 206 of BNS 2023 prescribes simple imprisonment up to 1 month or a 5,000 rupee fine for absconding to avoid general summons, escalating to 6 months imprisonment or a 10,000 rupee fine if the summons requires attending Court. [Source: Section 206, BNS 2023]</t>
  </si>
  <si>
    <t xml:space="preserve">CASE_1233</t>
  </si>
  <si>
    <t xml:space="preserve">Because he absconded to avoid a summons to produce a document in a Court, he is punishable under clause (b) with simple imprisonment up to six months, or a fine up to ten thousand rupees, or both. [Source: Section 206, BNS 2023]</t>
  </si>
  <si>
    <t xml:space="preserve">CASE_1234</t>
  </si>
  <si>
    <t xml:space="preserve">The harsher penalty applies if the summons or order is "to attend in person or by agent, or to produce a document or an electronic record in a Court." [Source: Section 206, BNS 2023]</t>
  </si>
  <si>
    <t xml:space="preserve">CASE_1235</t>
  </si>
  <si>
    <t xml:space="preserve">No, the statute requires that the person absconds "in order to avoid being served." A coincidental absence lacks the specific intent to evade service. [Source: Section 206, BNS 2023]</t>
  </si>
  <si>
    <t xml:space="preserve">CASE_1236</t>
  </si>
  <si>
    <t xml:space="preserve">The consequence is that while avoiding administrative notices from generic public servants is a minor offence, evading the formal judicial process (a Court) is treated as a significantly more serious contempt of lawful authority. [Source: Section 206, BNS 2023]</t>
  </si>
  <si>
    <t xml:space="preserve">CASE_1237</t>
  </si>
  <si>
    <t xml:space="preserve">Preventing service of summons or other proceeding, or preventing publication thereof</t>
  </si>
  <si>
    <t xml:space="preserve">Yes, intentionally preventing the service or lawful affixing of a legal notice, or removing it once affixed, is punishable by up to one month in prison, or six months if it relates to a court proceeding. [Source: Section 207, BNS 2023]</t>
  </si>
  <si>
    <t xml:space="preserve">Hugging Face source record: BNS_207</t>
  </si>
  <si>
    <t xml:space="preserve">CASE_1238</t>
  </si>
  <si>
    <t xml:space="preserve">Section 207 of BNS 2023 imposes up to 1 month imprisonment or a 5,000 rupee fine for intentionally preventing service, affixing, or proclamation of a notice, increasing to 6 months or 10,000 rupees if it pertains to a Court appearance or document production. [Source: Section 207, BNS 2023]</t>
  </si>
  <si>
    <t xml:space="preserve">CASE_1239</t>
  </si>
  <si>
    <t xml:space="preserve">Because the roommate intentionally removed a summons to attend a Court from a place to which it was lawfully affixed, he is punishable under clause (b) with simple imprisonment up to six months or a fine up to ten thousand rupees. [Source: Section 207, BNS 2023]</t>
  </si>
  <si>
    <t xml:space="preserve">CASE_1240</t>
  </si>
  <si>
    <t xml:space="preserve">The section specifically protects the "lawful making of any proclamation" from being intentionally prevented. [Source: Section 207, BNS 2023]</t>
  </si>
  <si>
    <t xml:space="preserve">CASE_1241</t>
  </si>
  <si>
    <t xml:space="preserve">No, the owner did not intentionally remove it from the place to which it was "lawfully affixed" to prevent its publication; nature removed it, and the owner just cleaned up the litter. [Source: Section 207, BNS 2023]</t>
  </si>
  <si>
    <t xml:space="preserve">CASE_1242</t>
  </si>
  <si>
    <t xml:space="preserve">The consequence is that it guarantees the integrity of procedural due process; defendants cannot delay justice indefinitely by physically blocking process servers, tearing up paperwork, or shouting down public criers. [Source: Section 207, BNS 2023]</t>
  </si>
  <si>
    <t xml:space="preserve">CASE_1243</t>
  </si>
  <si>
    <t xml:space="preserve">Non-attendance in obedience to an order from public servant</t>
  </si>
  <si>
    <t xml:space="preserve">Intentionally omitting to attend at the specified time and place, or leaving early without permission, is punishable by up to one month in prison, or six months if the order was to appear in Court. [Source: Section 208, BNS 2023]</t>
  </si>
  <si>
    <t xml:space="preserve">Hugging Face source record: BNS_208</t>
  </si>
  <si>
    <t xml:space="preserve">CASE_1244</t>
  </si>
  <si>
    <t xml:space="preserve">Section 208 of BNS 2023 imposes up to 1 month imprisonment or a 5,000 rupee fine for intentionally failing to attend a meeting ordered by a public servant, escalating to 6 months or 10,000 rupees if the order was to attend a Court. [Source: Section 208, BNS 2023]</t>
  </si>
  <si>
    <t xml:space="preserve">CASE_1245</t>
  </si>
  <si>
    <t xml:space="preserve">Because he departed from the place where he was bound to attend before the time it was lawful for him to depart, in obedience to a Court summons, he is punishable under clause (b) with simple imprisonment up to six months. [Source: Section 208, BNS 2023]</t>
  </si>
  <si>
    <t xml:space="preserve">CASE_1246</t>
  </si>
  <si>
    <t xml:space="preserve">The person must "intentionally" omit to attend or depart early. Accidental non-attendance (e.g., getting in a car crash) is not an offence. [Source: Section 208, BNS 2023]</t>
  </si>
  <si>
    <t xml:space="preserve">CASE_1247</t>
  </si>
  <si>
    <t xml:space="preserve">No, the statute requires the summons to proceed "from any public servant legally competent, as such public servant, to issue the same." If the clerk lacked competence, ignoring the void summons is not a crime. [Source: Section 208, BNS 2023]</t>
  </si>
  <si>
    <t xml:space="preserve">CASE_1248</t>
  </si>
  <si>
    <t xml:space="preserve">The consequence is that individuals cannot exploit a loophole by technically showing up for one minute and then fleeing; they remain under the lawful authority of the public servant until officially dismissed. [Source: Section 208, BNS 2023]</t>
  </si>
  <si>
    <t xml:space="preserve">CASE_1249</t>
  </si>
  <si>
    <t xml:space="preserve">Non-appearance in response to a proclamation under section 84 of Bharatiya Nagarik</t>
  </si>
  <si>
    <t xml:space="preserve">Failing to appear in response to a Section 84 proclamation is punishable by up to three years in prison; if the person is formally declared a "proclaimed offender," the penalty jumps to seven years. [Source: Section 209, BNS 2023]</t>
  </si>
  <si>
    <t xml:space="preserve">Hugging Face source record: BNS_209</t>
  </si>
  <si>
    <t xml:space="preserve">CASE_1250</t>
  </si>
  <si>
    <t xml:space="preserve">Section 209 of BNS 2023 imposes up to 3 years imprisonment (or community service) for failing to appear in response to a BNSS Section 84 proclamation, and up to 7 years imprisonment plus a fine if formally declared a proclaimed offender. [Source: Section 209, BNS 2023]</t>
  </si>
  <si>
    <t xml:space="preserve">CASE_1251</t>
  </si>
  <si>
    <t xml:space="preserve">Because a declaration was made pronouncing him a proclaimed offender, he is punishable under Section 209 with imprisonment for a term which may extend to seven years, plus a fine. [Source: Section 209, BNS 2023]</t>
  </si>
  <si>
    <t xml:space="preserve">CASE_1252</t>
  </si>
  <si>
    <t xml:space="preserve">The statute lists "community service" as a potential alternative punishment for the baseline 3-year offence (but not for the enhanced 7-year offence). [Source: Section 209, BNS 2023]</t>
  </si>
  <si>
    <t xml:space="preserve">CASE_1253</t>
  </si>
  <si>
    <t xml:space="preserve">No, the statute strictly requires failure to appear "at the specified place and the specified time." A procedurally defective proclamation that lacks these details cannot trigger this criminal penalty. [Source: Section 209, BNS 2023]</t>
  </si>
  <si>
    <t xml:space="preserve">CASE_1254</t>
  </si>
  <si>
    <t xml:space="preserve">The consequence is that it heavily incentivizes fugitives to surrender, as remaining on the run transforms from mere evasion into a severe independent felony, adding massive prison time even if they beat the underlying charges. [Source: Section 209, BNS 2023]</t>
  </si>
  <si>
    <t xml:space="preserve">CASE_1255</t>
  </si>
  <si>
    <t xml:space="preserve">Omission to produce document or electronic record to public servant by person legally</t>
  </si>
  <si>
    <t xml:space="preserve">Refusing to produce a requested document is punishable by up to one month in prison, or up to six months if the document was ordered to be produced in a Court. [Source: Section 210, BNS 2023]</t>
  </si>
  <si>
    <t xml:space="preserve">Hugging Face source record: BNS_210</t>
  </si>
  <si>
    <t xml:space="preserve">CASE_1256</t>
  </si>
  <si>
    <t xml:space="preserve">Section 210 of BNS 2023 prescribes up to 1 month simple imprisonment or a 5,000 rupee fine for intentionally omitting to produce a document to a public servant, escalating to 6 months or 10,000 rupees if the document must be produced to a Court. [Source: Section 210, BNS 2023]</t>
  </si>
  <si>
    <t xml:space="preserve">CASE_1257</t>
  </si>
  <si>
    <t xml:space="preserve">Because he intentionally omitted to produce an electronic record to a Court when legally bound to do so, he is punishable under clause (b) with simple imprisonment up to six months or a fine up to ten thousand rupees. [Source: Section 210, BNS 2023]</t>
  </si>
  <si>
    <t xml:space="preserve">CASE_1258</t>
  </si>
  <si>
    <t xml:space="preserve">The section explicitly includes an "electronic record." [Source: Section 210, BNS 2023]</t>
  </si>
  <si>
    <t xml:space="preserve">CASE_1259</t>
  </si>
  <si>
    <t xml:space="preserve">No, the statute requires the person to "intentionally" omit to produce the document. Inability to produce a destroyed document is not an intentional omission. [Source: Section 210, BNS 2023]</t>
  </si>
  <si>
    <t xml:space="preserve">CASE_1260</t>
  </si>
  <si>
    <t xml:space="preserve">The consequence is that while failing to provide paperwork to an administrative agency is a minor infraction, obstructing a formal judicial proceeding by hiding evidence is treated as a more severe offence requiring harsher penalties. [Source: Section 210, BNS 2023]</t>
  </si>
  <si>
    <t xml:space="preserve">CASE_1261</t>
  </si>
  <si>
    <t xml:space="preserve">Omission to give notice or information to public servant by person legally bound to give</t>
  </si>
  <si>
    <t xml:space="preserve">Intentionally failing to give required information to a public servant is punishable by up to one month in prison; if the information was about a crime, the penalty increases to six months. [Source: Section 211, BNS 2023]</t>
  </si>
  <si>
    <t xml:space="preserve">Hugging Face source record: BNS_211</t>
  </si>
  <si>
    <t xml:space="preserve">CASE_1262</t>
  </si>
  <si>
    <t xml:space="preserve">Section 211 of BNS 2023 imposes simple imprisonment up to 1 month or a 5,000 rupee fine for intentionally omitting to give legally required information, escalating to 6 months or 10,000 rupees if the information respects the commission of an offence or is required to apprehend an offender. [Source: Section 211, BNS 2023]</t>
  </si>
  <si>
    <t xml:space="preserve">CASE_1263</t>
  </si>
  <si>
    <t xml:space="preserve">Because the information required to be given respects the commission of an offence, the doctor is punishable under clause (b) with simple imprisonment up to six months, or a fine up to ten thousand rupees, or both. [Source: Section 211, BNS 2023]</t>
  </si>
  <si>
    <t xml:space="preserve">CASE_1264</t>
  </si>
  <si>
    <t xml:space="preserve">The penalty under clause (c) is triggered if the information is required by an order passed under "section 394 of the Bharatiya Nagarik Suraksha Sanhita, 2023." [Source: Section 211, BNS 2023]</t>
  </si>
  <si>
    <t xml:space="preserve">CASE_1265</t>
  </si>
  <si>
    <t xml:space="preserve">It depends on whether they were "legally bound" to give notice. If the law does not specifically bind a random civilian to report that specific minor crime, the omission is not an offence under Section 211. [Source: Section 211, BNS 2023]</t>
  </si>
  <si>
    <t xml:space="preserve">CASE_1266</t>
  </si>
  <si>
    <t xml:space="preserve">The consequence is that it severely penalizes covering up crimes; while ignoring administrative reporting requirements is a minor infraction, actively withholding evidence of a crime obstructs justice and allows offenders to escape. [Source: Section 211, BNS 2023]</t>
  </si>
  <si>
    <t xml:space="preserve">CASE_1267</t>
  </si>
  <si>
    <t xml:space="preserve">Furnishing false information</t>
  </si>
  <si>
    <t xml:space="preserve">Furnishing false information to a public servant when legally bound to tell the truth is punishable by up to six months in prison; if the information relates to a crime, the penalty is up to two years. [Source: Section 212, BNS 2023]</t>
  </si>
  <si>
    <t xml:space="preserve">Hugging Face source record: BNS_212</t>
  </si>
  <si>
    <t xml:space="preserve">CASE_1268</t>
  </si>
  <si>
    <t xml:space="preserve">Section 212 of BNS 2023 prescribes simple imprisonment up to 6 months for furnishing false information when legally bound to provide it, which increases to 2 years imprisonment of either description if the false information pertains to the commission of an offence or apprehending an offender. [Source: Section 212, BNS 2023]</t>
  </si>
  <si>
    <t xml:space="preserve">CASE_1269</t>
  </si>
  <si>
    <t xml:space="preserve">Because he furnished false information respecting the commission of an offence or apprehension of offenders, he is punishable under clause (b) with imprisonment of either description up to two years. [Source: Section 212, BNS 2023]</t>
  </si>
  <si>
    <t xml:space="preserve">CASE_1270</t>
  </si>
  <si>
    <t xml:space="preserve">Yes, the Explanation states that "offence" includes acts committed outside India which, if committed in India, would be punishable under specific listed sections (like murder, dacoity, etc.). [Source: Section 212, BNS 2023]</t>
  </si>
  <si>
    <t xml:space="preserve">CASE_1271</t>
  </si>
  <si>
    <t xml:space="preserve">No, because they did not furnish information "which he knows or has reason to believe to be false." An honest mistake in perception lacks the requisite criminal knowledge. [Source: Section 212, BNS 2023]</t>
  </si>
  <si>
    <t xml:space="preserve">CASE_1272</t>
  </si>
  <si>
    <t xml:space="preserve">The consequence is that actively lying to mislead authorities (Section 212, up to 2 years) is treated as a much more severe obstruction of justice than merely staying silent (Section 211, up to 6 months). [Source: Section 212, BNS 2023]</t>
  </si>
  <si>
    <t xml:space="preserve">CASE_1273</t>
  </si>
  <si>
    <t xml:space="preserve">Refusing oath or affirmation when duly required by public servant to make it</t>
  </si>
  <si>
    <t xml:space="preserve">Yes, refusing to bind yourself by an oath or affirmation to tell the truth, when legally required by a competent public servant, is punishable by up to six months in prison or a fine. [Source: Section 213, BNS 2023]</t>
  </si>
  <si>
    <t xml:space="preserve">Hugging Face source record: BNS_213</t>
  </si>
  <si>
    <t xml:space="preserve">CASE_1274</t>
  </si>
  <si>
    <t xml:space="preserve">Section 213 of BNS 2023 imposes simple imprisonment up to 6 months, or a fine up to 5,000 rupees, or both, on anyone who refuses to bind himself by an oath or affirmation when required by a legally competent public servant. [Source: Section 213, BNS 2023]</t>
  </si>
  <si>
    <t xml:space="preserve">CASE_1275</t>
  </si>
  <si>
    <t xml:space="preserve">Because he refused to bind himself by an oath or affirmation when required by a legally competent public servant (the judge), he is punishable under Section 213 with simple imprisonment up to six months or a fine. [Source: Section 213, BNS 2023]</t>
  </si>
  <si>
    <t xml:space="preserve">CASE_1276</t>
  </si>
  <si>
    <t xml:space="preserve">No, the statute explicitly includes refusing to bind oneself by an oath "or affirmation," accommodating individuals who object to religious oaths. [Source: Section 213, BNS 2023]</t>
  </si>
  <si>
    <t xml:space="preserve">CASE_1277</t>
  </si>
  <si>
    <t xml:space="preserve">No, because a traffic cop on the side of the road is generally not "legally competent to require that he shall so bind himself" by an oath in that specific context. [Source: Section 213, BNS 2023]</t>
  </si>
  <si>
    <t xml:space="preserve">CASE_1278</t>
  </si>
  <si>
    <t xml:space="preserve">The consequence is that it compels individuals to submit to the formal legal framework of perjury; without an oath, witnesses cannot be easily prosecuted for lying, so refusing the oath is penalized to prevent them from testifying without accountability. [Source: Section 213, BNS 2023]</t>
  </si>
  <si>
    <t xml:space="preserve">CASE_1279</t>
  </si>
  <si>
    <t xml:space="preserve">Refusing to answer public servant authorised to question</t>
  </si>
  <si>
    <t xml:space="preserve">If you are legally bound to state the truth on a subject, refusing to answer a legally authorized question from a public servant is punishable by up to six months in prison or a fine. [Source: Section 214, BNS 2023]</t>
  </si>
  <si>
    <t xml:space="preserve">Hugging Face source record: BNS_214</t>
  </si>
  <si>
    <t xml:space="preserve">CASE_1280</t>
  </si>
  <si>
    <t xml:space="preserve">Section 214 of BNS 2023 prescribes simple imprisonment up to 6 months, or a fine up to 5,000 rupees, or both, for anyone legally bound to state the truth who refuses to answer an authorized question from a public servant. [Source: Section 214, BNS 2023]</t>
  </si>
  <si>
    <t xml:space="preserve">CASE_1281</t>
  </si>
  <si>
    <t xml:space="preserve">Because the witness was legally bound to state the truth and refused to answer a question demanded by a public servant in the exercise of legal powers, the witness is punishable under Section 214 with imprisonment up to six months or a fine. [Source: Section 214, BNS 2023]</t>
  </si>
  <si>
    <t xml:space="preserve">CASE_1282</t>
  </si>
  <si>
    <t xml:space="preserve">The individual must be "legally bound to state the truth on any subject" before their refusal to answer becomes a criminal offence. [Source: Section 214, BNS 2023]</t>
  </si>
  <si>
    <t xml:space="preserve">CASE_1283</t>
  </si>
  <si>
    <t xml:space="preserve">No, because the constitutional right against self-incrimination supersedes statutory duties; a suspect is not "legally bound to state the truth" if it incriminates them, so refusing to answer is not an offence here. [Source: Section 214, BNS 2023]</t>
  </si>
  <si>
    <t xml:space="preserve">CASE_1284</t>
  </si>
  <si>
    <t xml:space="preserve">The consequence is that it arms investigators and courts with a coercive tool (the threat of 6 months in jail) to break the silence of uncooperative witnesses who possess critical information but refuse to testify. [Source: Section 214, BNS 2023]</t>
  </si>
  <si>
    <t xml:space="preserve">CASE_1285</t>
  </si>
  <si>
    <t xml:space="preserve">Refusing to sign statement</t>
  </si>
  <si>
    <t xml:space="preserve">Refusing to sign a statement you made, when legally required to do so by a competent public servant, is punishable by up to three months in prison or a 3,000 rupee fine. [Source: Section 215, BNS 2023]</t>
  </si>
  <si>
    <t xml:space="preserve">Hugging Face source record: BNS_215</t>
  </si>
  <si>
    <t xml:space="preserve">CASE_1286</t>
  </si>
  <si>
    <t xml:space="preserve">Section 215 of BNS 2023 imposes simple imprisonment up to 3 months, or a fine up to 3,000 rupees, or both, on anyone who refuses to sign a statement made by them when legally required to do so by a competent public servant. [Source: Section 215, BNS 2023]</t>
  </si>
  <si>
    <t xml:space="preserve">CASE_1287</t>
  </si>
  <si>
    <t xml:space="preserve">Because the witness refused to sign a statement made by him when required by a legally competent public servant, he is punishable under Section 215 with imprisonment up to three months or a fine. [Source: Section 215, BNS 2023]</t>
  </si>
  <si>
    <t xml:space="preserve">CASE_1288</t>
  </si>
  <si>
    <t xml:space="preserve">No, the statute explicitly specifies refusing to sign "any statement made by him." It does not compel a person to sign a fabricated or inaccurate statement they did not make. [Source: Section 215, BNS 2023]</t>
  </si>
  <si>
    <t xml:space="preserve">CASE_1289</t>
  </si>
  <si>
    <t xml:space="preserve">No, because the police officer is not "legally competent to require that he shall sign that statement" in that specific procedural context, the refusal is not an offence. [Source: Section 215, BNS 2023]</t>
  </si>
  <si>
    <t xml:space="preserve">CASE_1290</t>
  </si>
  <si>
    <t xml:space="preserve">The consequence is that it prevents witnesses from giving crucial testimony and then later trying to invalidate it or claim they never said it by withholding their formal signature. [Source: Section 215, BNS 2023]</t>
  </si>
  <si>
    <t xml:space="preserve">CASE_1291</t>
  </si>
  <si>
    <t xml:space="preserve">False statement on oath or affirmation to public servant or person authorised to</t>
  </si>
  <si>
    <t xml:space="preserve">Making a false statement to a public servant while legally bound by an oath or affirmation is punishable by up to three years in prison and a fine. [Source: Section 216, BNS 2023]</t>
  </si>
  <si>
    <t xml:space="preserve">Hugging Face source record: BNS_216</t>
  </si>
  <si>
    <t xml:space="preserve">CASE_1292</t>
  </si>
  <si>
    <t xml:space="preserve">Section 216 of BNS 2023 prescribes imprisonment of either description up to 3 years, plus a fine, for anyone who, while legally bound by an oath/affirmation to state the truth to an authorized person, makes a statement they know or believe to be false. [Source: Section 216, BNS 2023]</t>
  </si>
  <si>
    <t xml:space="preserve">CASE_1293</t>
  </si>
  <si>
    <t xml:space="preserve">Because he made a statement under oath to a public servant which he knew to be false, he is punishable under Section 216 with imprisonment up to three years and a fine. [Source: Section 216, BNS 2023]</t>
  </si>
  <si>
    <t xml:space="preserve">CASE_1294</t>
  </si>
  <si>
    <t xml:space="preserve">The person must either make a statement which he "knows or believes to be false" OR one which he "does not believe to be true." [Source: Section 216, BNS 2023]</t>
  </si>
  <si>
    <t xml:space="preserve">CASE_1295</t>
  </si>
  <si>
    <t xml:space="preserve">No, because the person did not know or believe their statement to be false, and they did believe it to be true at the time. Honest mistakes under oath are not criminalized under this section. [Source: Section 216, BNS 2023]</t>
  </si>
  <si>
    <t xml:space="preserve">CASE_1296</t>
  </si>
  <si>
    <t xml:space="preserve">The consequence is that it protects the integrity of formal fact-finding processes, treating deliberate perjury as a serious corruption of the legal system rather than just a simple lie. [Source: Section 216, BNS 2023]</t>
  </si>
  <si>
    <t xml:space="preserve">CASE_1297</t>
  </si>
  <si>
    <t xml:space="preserve">False information, with intent to cause public servant to use his lawful power to injury of</t>
  </si>
  <si>
    <t xml:space="preserve">Giving false information to a public servant with the intent to cause them to use their lawful power to injure or annoy another person is punishable by up to one year in prison, or a 10,000 rupee fine, or both. [Source: Section 217, BNS 2023]</t>
  </si>
  <si>
    <t xml:space="preserve">Hugging Face source record: BNS_217</t>
  </si>
  <si>
    <t xml:space="preserve">CASE_1298</t>
  </si>
  <si>
    <t xml:space="preserve">Section 217 of BNS 2023 imposes up to 1 year imprisonment or a 10,000 rupee fine for giving false information to a public servant, intending to cause them to do something they wouldn't normally do, or to use their power to injure/annoy someone. [Source: Section 217, BNS 2023]</t>
  </si>
  <si>
    <t xml:space="preserve">CASE_1299</t>
  </si>
  <si>
    <t xml:space="preserve">Because he gave false information intending to cause a public servant to use their lawful power to the injury or annoyance of another person, he is punishable under Section 217 with imprisonment up to one year or a fine. [Source: Section 217, BNS 2023]</t>
  </si>
  <si>
    <t xml:space="preserve">CASE_1300</t>
  </si>
  <si>
    <t xml:space="preserve">It must be intended to cause the public servant "to do or omit anything which such public servant ought not to do or omit if the true state of facts... were known by him." [Source: Section 217, BNS 2023]</t>
  </si>
  <si>
    <t xml:space="preserve">CASE_1301</t>
  </si>
  <si>
    <t xml:space="preserve">No, the statute requires the person to give information "which he knows or believes to be false." A good-faith, albeit incorrect, report is not a crime. [Source: Section 217, BNS 2023]</t>
  </si>
  <si>
    <t xml:space="preserve">CASE_1302</t>
  </si>
  <si>
    <t xml:space="preserve">The consequence is that it deters malicious individuals from "weaponizing" the police or government agencies to carry out personal vendettas or harass innocent citizens through fake tips and frivolous complaints. [Source: Section 217, BNS 2023]</t>
  </si>
  <si>
    <t xml:space="preserve">CASE_1303</t>
  </si>
  <si>
    <t xml:space="preserve">Resistance to taking of property by lawful authority of a public servant</t>
  </si>
  <si>
    <t xml:space="preserve">Offering resistance to the lawful taking of property by a public servant is punishable by up to six months in prison, or a fine up to 10,000 rupees, or both. [Source: Section 218, BNS 2023]</t>
  </si>
  <si>
    <t xml:space="preserve">Hugging Face source record: BNS_218</t>
  </si>
  <si>
    <t xml:space="preserve">CASE_1304</t>
  </si>
  <si>
    <t xml:space="preserve">Section 218 of BNS 2023 prescribes imprisonment up to 6 months, or a fine up to 10,000 rupees, or both, for anyone who resists the taking of property by the lawful authority of a public servant they know to be such. [Source: Section 218, BNS 2023]</t>
  </si>
  <si>
    <t xml:space="preserve">CASE_1305</t>
  </si>
  <si>
    <t xml:space="preserve">Because he offered resistance to the taking of property by the lawful authority of a public servant, he is punishable under Section 218 with imprisonment up to six months or a fine. [Source: Section 218, BNS 2023]</t>
  </si>
  <si>
    <t xml:space="preserve">CASE_1306</t>
  </si>
  <si>
    <t xml:space="preserve">They must know or have reason to believe "that he is such public servant." [Source: Section 218, BNS 2023]</t>
  </si>
  <si>
    <t xml:space="preserve">CASE_1307</t>
  </si>
  <si>
    <t xml:space="preserve">Unlikely, if the owner did not know or have "reason to believe that he is such public servant," they were lawfully defending their property from an apparent theft, not resisting lawful authority. [Source: Section 218, BNS 2023]</t>
  </si>
  <si>
    <t xml:space="preserve">CASE_1308</t>
  </si>
  <si>
    <t xml:space="preserve">The consequence is that it ensures court judgments, tax levies, and asset forfeitures can be safely and effectively executed without officials having to fight property owners in the streets. [Source: Section 218, BNS 2023]</t>
  </si>
  <si>
    <t xml:space="preserve">CASE_1309</t>
  </si>
  <si>
    <t xml:space="preserve">Obstructing sale of property offered for sale by authority of public servant</t>
  </si>
  <si>
    <t xml:space="preserve">Intentionally obstructing the sale of property offered by the lawful authority of a public servant is punishable by up to one month in prison, or a fine up to 5,000 rupees, or both. [Source: Section 219, BNS 2023]</t>
  </si>
  <si>
    <t xml:space="preserve">Hugging Face source record: BNS_219</t>
  </si>
  <si>
    <t xml:space="preserve">CASE_1310</t>
  </si>
  <si>
    <t xml:space="preserve">Section 219 of BNS 2023 imposes imprisonment up to 1 month, or a fine up to 5,000 rupees, or both, on anyone who intentionally obstructs the sale of property offered by the lawful authority of a public servant. [Source: Section 219, BNS 2023]</t>
  </si>
  <si>
    <t xml:space="preserve">CASE_1311</t>
  </si>
  <si>
    <t xml:space="preserve">Because he intentionally obstructed the sale of property offered for sale by the lawful authority of a public servant, he is punishable under Section 219 with imprisonment up to one month or a fine. [Source: Section 219, BNS 2023]</t>
  </si>
  <si>
    <t xml:space="preserve">CASE_1312</t>
  </si>
  <si>
    <t xml:space="preserve">The obstruction of the sale must be done "intentionally." [Source: Section 219, BNS 2023]</t>
  </si>
  <si>
    <t xml:space="preserve">CASE_1313</t>
  </si>
  <si>
    <t xml:space="preserve">No, because their obstruction was a byproduct of their work and not done "intentionally" to obstruct the sale of the property. [Source: Section 219, BNS 2023]</t>
  </si>
  <si>
    <t xml:space="preserve">CASE_1314</t>
  </si>
  <si>
    <t xml:space="preserve">The consequence is that it prevents disgruntled individuals, such as foreclosed homeowners or tax defaulters, from sabotaging the State's ability to liquidate seized assets and recover debts. [Source: Section 219, BNS 2023]</t>
  </si>
  <si>
    <t xml:space="preserve">CASE_1315</t>
  </si>
  <si>
    <t xml:space="preserve">Illegal purchase or bid for property offered for sale by authority of public servant</t>
  </si>
  <si>
    <t xml:space="preserve">Yes, bidding on property at a public servant's sale without intending to perform the obligations of the bid is punishable by up to one month in prison, or a fine up to 200 rupees, or both. [Source: Section 220, BNS 2023]</t>
  </si>
  <si>
    <t xml:space="preserve">Hugging Face source record: BNS_220</t>
  </si>
  <si>
    <t xml:space="preserve">CASE_1316</t>
  </si>
  <si>
    <t xml:space="preserve">Section 220 of BNS 2023 prescribes up to 1 month imprisonment or a 200 rupee fine for purchasing/bidding on property at an official sale on behalf of someone legally incapacitated to buy it, or bidding without the intention to fulfill the bidding obligations. [Source: Section 220, BNS 2023]</t>
  </si>
  <si>
    <t xml:space="preserve">CASE_1317</t>
  </si>
  <si>
    <t xml:space="preserve">Because the friend bid for property "not intending to perform the obligations under which he lays himself by such bidding," he is punishable under Section 220 with imprisonment up to one month or a fine. [Source: Section 220, BNS 2023]</t>
  </si>
  <si>
    <t xml:space="preserve">CASE_1318</t>
  </si>
  <si>
    <t xml:space="preserve">Bidding on account of any person (including oneself) "whom he knows to be under a legal incapacity to purchase that property at that sale." [Source: Section 220, BNS 2023]</t>
  </si>
  <si>
    <t xml:space="preserve">CASE_1319</t>
  </si>
  <si>
    <t xml:space="preserve">No, because at the time he bid, he was "intending to perform the obligations." A subsequent inability to pay is a breach of contract, not a criminal fake bid. [Source: Section 220, BNS 2023]</t>
  </si>
  <si>
    <t xml:space="preserve">CASE_1320</t>
  </si>
  <si>
    <t xml:space="preserve">The consequence is that it prevents "shill bidding" and bad-faith disruption tactics meant to artificially inflate prices, delay the transfer of property, or ruin the integrity of the public auction process. [Source: Section 220, BNS 2023]</t>
  </si>
  <si>
    <t xml:space="preserve">CASE_1321</t>
  </si>
  <si>
    <t xml:space="preserve">Obstructing public servant in discharge of public functions</t>
  </si>
  <si>
    <t xml:space="preserve">Voluntarily obstructing a public servant in the discharge of their public functions is punishable by up to three months in prison, or a fine up to 2,500 rupees, or both. [Source: Section 221, BNS 2023]</t>
  </si>
  <si>
    <t xml:space="preserve">Hugging Face source record: BNS_221</t>
  </si>
  <si>
    <t xml:space="preserve">CASE_1322</t>
  </si>
  <si>
    <t xml:space="preserve">Section 221 of BNS 2023 prescribes imprisonment of either description up to 3 months, or a fine up to 2,500 rupees, or both, for anyone who voluntarily obstructs a public servant in the discharge of their public functions. [Source: Section 221, BNS 2023]</t>
  </si>
  <si>
    <t xml:space="preserve">CASE_1323</t>
  </si>
  <si>
    <t xml:space="preserve">Because the owner voluntarily obstructed a public servant in the discharge of his public functions, he is punishable under Section 221 with imprisonment up to three months or a fine. [Source: Section 221, BNS 2023]</t>
  </si>
  <si>
    <t xml:space="preserve">CASE_1324</t>
  </si>
  <si>
    <t xml:space="preserve">The obstruction must be done "voluntarily." [Source: Section 221, BNS 2023]</t>
  </si>
  <si>
    <t xml:space="preserve">CASE_1325</t>
  </si>
  <si>
    <t xml:space="preserve">No, because the obstruction was an involuntary medical event, not done "voluntarily" as required by the statute. [Source: Section 221, BNS 2023]</t>
  </si>
  <si>
    <t xml:space="preserve">CASE_1326</t>
  </si>
  <si>
    <t xml:space="preserve">The consequence is that it provides a broad catch-all mechanism to protect the day-to-day operations of the government from physical or logistical interference, even if the interference doesn't rise to the level of assault or threat. [Source: Section 221, BNS 2023]</t>
  </si>
  <si>
    <t xml:space="preserve">CASE_1327</t>
  </si>
  <si>
    <t xml:space="preserve">Omission to assist public servant when bound by law to give assistance</t>
  </si>
  <si>
    <t xml:space="preserve">Yes, intentionally omitting to assist a public servant when legally bound to do so is punishable by up to one month in prison, or up to six months if the assistance was demanded for preventing a crime or apprehending an offender. [Source: Section 222, BNS 2023]</t>
  </si>
  <si>
    <t xml:space="preserve">Hugging Face source record: BNS_222</t>
  </si>
  <si>
    <t xml:space="preserve">CASE_1328</t>
  </si>
  <si>
    <t xml:space="preserve">Section 222 of BNS 2023 imposes up to 1 month simple imprisonment or a 2,500 rupee fine for intentionally omitting legally required assistance, escalating to 6 months or 5,000 rupees if demanded to prevent a crime, suppress a riot, or apprehend an offender. [Source: Section 222, BNS 2023]</t>
  </si>
  <si>
    <t xml:space="preserve">CASE_1329</t>
  </si>
  <si>
    <t xml:space="preserve">Because the assistance was demanded to apprehend a person charged with an offence, the guard's intentional omission is punishable under clause (b) with simple imprisonment up to six months or a fine up to five thousand rupees. [Source: Section 222, BNS 2023]</t>
  </si>
  <si>
    <t xml:space="preserve">CASE_1330</t>
  </si>
  <si>
    <t xml:space="preserve">The harsher penalty is triggered if the assistance is demanded for suppressing a "riot, or affray." [Source: Section 222, BNS 2023]</t>
  </si>
  <si>
    <t xml:space="preserve">CASE_1331</t>
  </si>
  <si>
    <t xml:space="preserve">While the statute says "intentionally omits," courts generally read in a requirement of capability. If it is physically impossible to render assistance, the omission is not a criminal defiance of the law. [Source: Section 222, BNS 2023]</t>
  </si>
  <si>
    <t xml:space="preserve">CASE_1332</t>
  </si>
  <si>
    <t xml:space="preserve">The consequence is that the law treats refusing to help during acute public safety emergencies (riots, violent arrests) as a much more serious dereliction of civic duty than failing to assist in routine administrative tasks. [Source: Section 222, BNS 2023]</t>
  </si>
  <si>
    <t xml:space="preserve">CASE_1333</t>
  </si>
  <si>
    <t xml:space="preserve">Disobedience to order duly promulgated by public servant</t>
  </si>
  <si>
    <t xml:space="preserve">Disobeying a duly promulgated order is punishable by up to six months in prison if it causes obstruction or annoyance, and up to one year if it causes danger to human life or a riot. [Source: Section 223, BNS 2023]</t>
  </si>
  <si>
    <t xml:space="preserve">Hugging Face source record: BNS_223</t>
  </si>
  <si>
    <t xml:space="preserve">CASE_1334</t>
  </si>
  <si>
    <t xml:space="preserve">Section 223 of BNS 2023 imposes up to 6 months simple imprisonment for knowingly disobeying a lawful order if it causes/risks obstruction or annoyance, escalating to 1 year imprisonment of either description if it risks human life, health, safety, or causes a riot. [Source: Section 223, BNS 2023]</t>
  </si>
  <si>
    <t xml:space="preserve">CASE_1335</t>
  </si>
  <si>
    <t xml:space="preserve">Because the disobedience caused or tended to cause a riot, the leader is punishable under clause (b) with imprisonment of either description up to one year or a fine up to five thousand rupees. [Source: Section 223, BNS 2023]</t>
  </si>
  <si>
    <t xml:space="preserve">CASE_1336</t>
  </si>
  <si>
    <t xml:space="preserve">No, the Explanation explicitly states: "It is not necessary that the offender should intend to produce harm... It is sufficient that he knows of the order which he disobeys, and that his disobedience produces, or is likely to produce, harm." [Source: Section 223, BNS 2023]</t>
  </si>
  <si>
    <t xml:space="preserve">CASE_1337</t>
  </si>
  <si>
    <t xml:space="preserve">No, the statute strictly requires that the person disobeys "knowing that, by an order promulgated... he is directed to abstain." Ignorance of the order is a defense here. [Source: Section 223, BNS 2023]</t>
  </si>
  <si>
    <t xml:space="preserve">CASE_1338</t>
  </si>
  <si>
    <t xml:space="preserve">The consequence is that the law heavily penalizes disobedience that actively threatens public safety (e.g., ignoring quarantine laws during a plague, leading to health risks), while treating mere procedural nuisance as a lesser offence. [Source: Section 223, BNS 2023]</t>
  </si>
  <si>
    <t xml:space="preserve">CASE_1339</t>
  </si>
  <si>
    <t xml:space="preserve">Threat of injury to public servant</t>
  </si>
  <si>
    <t xml:space="preserve">Holding out a threat of injury to a public servant (or someone they care about) to induce them to act or delay an act related to their public functions is punishable by up to two years in prison or a fine. [Source: Section 224, BNS 2023]</t>
  </si>
  <si>
    <t xml:space="preserve">Hugging Face source record: BNS_224</t>
  </si>
  <si>
    <t xml:space="preserve">CASE_1340</t>
  </si>
  <si>
    <t xml:space="preserve">Section 224 of BNS 2023 prescribes imprisonment of either description up to 2 years, or a fine, or both, for threatening a public servant or a person they are interested in, to induce the servant to do or delay an act connected to their public functions. [Source: Section 224, BNS 2023]</t>
  </si>
  <si>
    <t xml:space="preserve">CASE_1341</t>
  </si>
  <si>
    <t xml:space="preserve">Because he held out a threat of injury to a public servant to induce him to do an act connected with the exercise of his public functions, the contractor is punishable under Section 224 with imprisonment up to two years or a fine. [Source: Section 224, BNS 2023]</t>
  </si>
  <si>
    <t xml:space="preserve">CASE_1342</t>
  </si>
  <si>
    <t xml:space="preserve">Yes, the statute covers threats to "any person in whom he believes that public servant to be interested." [Source: Section 224, BNS 2023]</t>
  </si>
  <si>
    <t xml:space="preserve">CASE_1343</t>
  </si>
  <si>
    <t xml:space="preserve">No, because the threat was not made "for the purpose of inducing that public servant to do any act... connected with the exercise of the public functions of such public servant." It was a personal dispute. [Source: Section 224, BNS 2023]</t>
  </si>
  <si>
    <t xml:space="preserve">CASE_1344</t>
  </si>
  <si>
    <t xml:space="preserve">The consequence is that it protects the impartiality of the state; officials can execute their duties according to the law without fear of personal reprisal or extortion from disgruntled citizens. [Source: Section 224, BNS 2023]</t>
  </si>
  <si>
    <t xml:space="preserve">CASE_1345</t>
  </si>
  <si>
    <t xml:space="preserve">Threat of injury to induce person to refrain from applying for protection to public</t>
  </si>
  <si>
    <t xml:space="preserve">Threatening someone to stop them from making a legal application for protection to a public servant is punishable by up to one year in prison or a fine. [Source: Section 225, BNS 2023]</t>
  </si>
  <si>
    <t xml:space="preserve">Hugging Face source record: BNS_225</t>
  </si>
  <si>
    <t xml:space="preserve">CASE_1346</t>
  </si>
  <si>
    <t xml:space="preserve">Section 225 of BNS 2023 imposes imprisonment of either description up to 1 year, or a fine, or both, for threatening a person to induce them to refrain from applying for protection to a legally empowered public servant. [Source: Section 225, BNS 2023]</t>
  </si>
  <si>
    <t xml:space="preserve">CASE_1347</t>
  </si>
  <si>
    <t xml:space="preserve">Because he held out a threat of injury to induce her to refrain from making a legal application for protection to a public servant, he is punishable under Section 225 with imprisonment up to one year or a fine. [Source: Section 225, BNS 2023]</t>
  </si>
  <si>
    <t xml:space="preserve">CASE_1348</t>
  </si>
  <si>
    <t xml:space="preserve">The offender must be trying to induce the person to refrain from "making a legal application for protection against any injury to any public servant legally empowered... to give such protection." [Source: Section 225, BNS 2023]</t>
  </si>
  <si>
    <t xml:space="preserve">CASE_1349</t>
  </si>
  <si>
    <t xml:space="preserve">No, the shopkeeper is applying for protection *themselves*; they are not threatening the loiterer to prevent the *loiterer* from applying for protection. [Source: Section 225, BNS 2023]</t>
  </si>
  <si>
    <t xml:space="preserve">CASE_1350</t>
  </si>
  <si>
    <t xml:space="preserve">The consequence is that it attacks the root of witness intimidation, ensuring that citizens have unimpeded access to police and courts to seek protection without being terrified into silence by their abusers. [Source: Section 225, BNS 2023]</t>
  </si>
  <si>
    <t xml:space="preserve">CASE_1351</t>
  </si>
  <si>
    <t xml:space="preserve">Attempt to commit suicide to compel or restrain exercise of lawful power</t>
  </si>
  <si>
    <t xml:space="preserve">Attempting to commit suicide to compel or restrain a public servant from discharging official duty is punishable by up to one year of simple imprisonment, a fine, or community service. [Source: Section 226, BNS 2023]</t>
  </si>
  <si>
    <t xml:space="preserve">Hugging Face source record: BNS_226</t>
  </si>
  <si>
    <t xml:space="preserve">CASE_1352</t>
  </si>
  <si>
    <t xml:space="preserve">Section 226 of BNS 2023 imposes simple imprisonment up to 1 year, or a fine, or both, or community service, for attempting to commit suicide with the intent to compel or restrain a public servant from discharging their official duty. [Source: Section 226, BNS 2023]</t>
  </si>
  <si>
    <t xml:space="preserve">CASE_1353</t>
  </si>
  <si>
    <t xml:space="preserve">Because he attempted to commit suicide with the intent to compel a public servant to discharge his official duty in a certain way, he is punishable under Section 226 with simple imprisonment up to one year, a fine, or community service. [Source: Section 226, BNS 2023]</t>
  </si>
  <si>
    <t xml:space="preserve">CASE_1354</t>
  </si>
  <si>
    <t xml:space="preserve">The section explicitly lists "community service" as an alternative penalty. [Source: Section 226, BNS 2023]</t>
  </si>
  <si>
    <t xml:space="preserve">CASE_1355</t>
  </si>
  <si>
    <t xml:space="preserve">No, the statute strictly requires the specific intent "to compel or restrain any public servant from discharging his official duty." A standard suicide attempt lacks this coercive intent against the state. [Source: Section 226, BNS 2023]</t>
  </si>
  <si>
    <t xml:space="preserve">CASE_1356</t>
  </si>
  <si>
    <t xml:space="preserve">The consequence is that it distinguishes between victims of mental health crises (who generally shouldn't be criminalized) and individuals who weaponize self-harm as a tactic of political protest or extortion against the government. [Source: Section 226, BNS 2023]</t>
  </si>
  <si>
    <t xml:space="preserve">CASE_1357</t>
  </si>
  <si>
    <t xml:space="preserve">Giving false evidence</t>
  </si>
  <si>
    <t xml:space="preserve">Giving false evidence occurs when a person legally bound by oath or law to state the truth makes a false statement that they know or believe to be false, or do not believe to be true. [Source: Section 227, BNS 2023]</t>
  </si>
  <si>
    <t xml:space="preserve">Hugging Face source record: BNS_227</t>
  </si>
  <si>
    <t xml:space="preserve">CASE_1358</t>
  </si>
  <si>
    <t xml:space="preserve">Section 227 of BNS 2023 defines it as a person, legally bound by oath or law to state the truth or make a declaration, making a statement they know/believe to be false or do not believe to be true. [Source: Section 227, BNS 2023]</t>
  </si>
  <si>
    <t xml:space="preserve">CASE_1359</t>
  </si>
  <si>
    <t xml:space="preserve">Because the translator gave as a true interpretation that which was not true and which he did not believe to be true while bound by oath, he has given false evidence under Section 227. [Source: Section 227, BNS 2023]</t>
  </si>
  <si>
    <t xml:space="preserve">CASE_1360</t>
  </si>
  <si>
    <t xml:space="preserve">Yes, Explanation 2 states that a person may be guilty by stating they believe a thing which they actually do not believe. [Source: Section 227, BNS 2023]</t>
  </si>
  <si>
    <t xml:space="preserve">CASE_1361</t>
  </si>
  <si>
    <t xml:space="preserve">No, because the witness stated their belief in good faith and the statement was true as to their actual belief; therefore, they did not make a statement they knew to be false or didn't believe to be true. [Source: Section 227, BNS 2023]</t>
  </si>
  <si>
    <t xml:space="preserve">CASE_1362</t>
  </si>
  <si>
    <t xml:space="preserve">The consequence is that it penalizes reckless perjury; witnesses cannot make wild, unfounded assertions under oath while claiming ignorance, as stating something as a fact without believing it to be true is still perjury. [Source: Section 227, BNS 2023]</t>
  </si>
  <si>
    <t xml:space="preserve">CASE_1363</t>
  </si>
  <si>
    <t xml:space="preserve">Fabricating false evidence</t>
  </si>
  <si>
    <t xml:space="preserve">Fabricating false evidence involves creating a fake circumstance, document, or electronic record with the intent that it be used in a judicial or official proceeding to cause someone to form an erroneous opinion on a material point. [Source: Section 228, BNS 2023]</t>
  </si>
  <si>
    <t xml:space="preserve">Hugging Face source record: BNS_228</t>
  </si>
  <si>
    <t xml:space="preserve">CASE_1364</t>
  </si>
  <si>
    <t xml:space="preserve">Section 228 of BNS 2023 defines it as causing a circumstance to exist or making a false entry/document/electronic record, intending it to appear in an official or judicial proceeding to mislead the decision-maker on a material point. [Source: Section 228, BNS 2023]</t>
  </si>
  <si>
    <t xml:space="preserve">CASE_1365</t>
  </si>
  <si>
    <t xml:space="preserve">Because he caused a circumstance to exist intending that it may appear in evidence and cause an erroneous opinion touching a material point (the rival's guilt), he has fabricated false evidence under Section 228. [Source: Section 228, BNS 2023]</t>
  </si>
  <si>
    <t xml:space="preserve">CASE_1366</t>
  </si>
  <si>
    <t xml:space="preserve">The section explicitly includes making a false entry in an "electronic record." [Source: Section 228, BNS 2023]</t>
  </si>
  <si>
    <t xml:space="preserve">CASE_1367</t>
  </si>
  <si>
    <t xml:space="preserve">No, because there was no intention for the document to "appear in evidence in a judicial proceeding, or in a proceeding taken by law before a public servant," which is a mandatory element of the offence. [Source: Section 228, BNS 2023]</t>
  </si>
  <si>
    <t xml:space="preserve">CASE_1368</t>
  </si>
  <si>
    <t xml:space="preserve">The consequence is that planting physical evidence (like a weapon or drugs) is treated under the same severe framework of perjury as forging a signature or doctoring a ledger for a trial. [Source: Section 228, BNS 2023]</t>
  </si>
  <si>
    <t xml:space="preserve">CASE_1369</t>
  </si>
  <si>
    <t xml:space="preserve">Punishment for false evidence</t>
  </si>
  <si>
    <t xml:space="preserve">Giving or fabricating false evidence for a judicial proceeding is punishable by up to seven years in prison and a fine. For non-judicial proceedings, it is up to three years. [Source: Section 229, BNS 2023]</t>
  </si>
  <si>
    <t xml:space="preserve">Hugging Face source record: BNS_229</t>
  </si>
  <si>
    <t xml:space="preserve">CASE_1370</t>
  </si>
  <si>
    <t xml:space="preserve">Section 229 of BNS 2023 mandates imprisonment up to 7 years and a fine for false evidence in a judicial proceeding (sub-section 1), and imprisonment up to 3 years and a fine for false evidence in any other case (sub-section 2). [Source: Section 229, BNS 2023]</t>
  </si>
  <si>
    <t xml:space="preserve">CASE_1371</t>
  </si>
  <si>
    <t xml:space="preserve">Because a preliminary investigation directed by law is a stage of a judicial proceeding, he is punishable under sub-section (1) with imprisonment up to seven years and a fine. [Source: Section 229, BNS 2023]</t>
  </si>
  <si>
    <t xml:space="preserve">CASE_1372</t>
  </si>
  <si>
    <t xml:space="preserve">No, investigations directed by law preliminary to a court proceeding, or directed by a court and conducted under its authority (like a field inquiry), are considered stages of a judicial proceeding. [Source: Section 229, BNS 2023]</t>
  </si>
  <si>
    <t xml:space="preserve">CASE_1373</t>
  </si>
  <si>
    <t xml:space="preserve">No, because a parking permit application is not a "judicial proceeding." It would fall under sub-section (2) (any other case), punishable by up to three years. [Source: Section 229, BNS 2023]</t>
  </si>
  <si>
    <t xml:space="preserve">CASE_1374</t>
  </si>
  <si>
    <t xml:space="preserve">The consequence is that it reflects the higher stakes of the judicial system; perverting the course of justice in a trial where liberty or property is at stake warrants a much harsher 7-year penalty than lying to a generic bureaucrat. [Source: Section 229, BNS 2023]</t>
  </si>
  <si>
    <t xml:space="preserve">CASE_1375</t>
  </si>
  <si>
    <t xml:space="preserve">Giving or fabricating false evidence with intent to procure conviction of capital offence</t>
  </si>
  <si>
    <t xml:space="preserve">Fabricating or giving false evidence to procure a conviction for a capital offence is punishable by life imprisonment or rigorous imprisonment up to ten years. If the innocent person is actually executed, the perjurer can be sentenced to death. [Source: Section 230, BNS 2023]</t>
  </si>
  <si>
    <t xml:space="preserve">Hugging Face source record: BNS_230</t>
  </si>
  <si>
    <t xml:space="preserve">CASE_1376</t>
  </si>
  <si>
    <t xml:space="preserve">Section 230 of BNS 2023 imposes life imprisonment or rigorous imprisonment up to 10 years for giving/fabricating false evidence intending to cause a capital conviction, and if an innocent person is executed as a result, the offender may be punished with death. [Source: Section 230, BNS 2023]</t>
  </si>
  <si>
    <t xml:space="preserve">CASE_1377</t>
  </si>
  <si>
    <t xml:space="preserve">Because he fabricated false evidence intending to procure a conviction of a capital offence, but the execution did not occur, he is punishable under sub-section (1) with life imprisonment or rigorous imprisonment up to ten years, and a fine. [Source: Section 230, BNS 2023]</t>
  </si>
  <si>
    <t xml:space="preserve">CASE_1378</t>
  </si>
  <si>
    <t xml:space="preserve">An innocent person must be "convicted and executed in consequence of false evidence." [Source: Section 230, BNS 2023]</t>
  </si>
  <si>
    <t xml:space="preserve">CASE_1379</t>
  </si>
  <si>
    <t xml:space="preserve">No, because Section 230 only applies to one who "gives or fabricates false evidence" (which implies knowing it is false under Sec 227). An honest mistake is not giving "false evidence" in the criminal sense. [Source: Section 230, BNS 2023]</t>
  </si>
  <si>
    <t xml:space="preserve">CASE_1380</t>
  </si>
  <si>
    <t xml:space="preserve">The consequence is the ultimate application of retributive justice; by using the legal system to effectively murder an innocent person, the perjurer forfeits their own life to the same system. [Source: Section 230, BNS 2023]</t>
  </si>
  <si>
    <t xml:space="preserve">CASE_1381</t>
  </si>
  <si>
    <t xml:space="preserve">Giving or fabricating false evidence with intent to procure conviction of offence punishable</t>
  </si>
  <si>
    <t xml:space="preserve">Fabricating or giving false evidence intending to cause a conviction for an offence punishable by life imprisonment or imprisonment of 7 years or more is punished with the same punishment prescribed for that specific offence. [Source: Section 231, BNS 2023]</t>
  </si>
  <si>
    <t xml:space="preserve">Hugging Face source record: BNS_231</t>
  </si>
  <si>
    <t xml:space="preserve">CASE_1382</t>
  </si>
  <si>
    <t xml:space="preserve">Section 231 of BNS 2023 dictates that giving/fabricating false evidence intended to secure a conviction for an offence punishable with life imprisonment or a term of 7 years or upwards makes the offender liable to the same punishment prescribed for that offence. [Source: Section 231, BNS 2023]</t>
  </si>
  <si>
    <t xml:space="preserve">CASE_1383</t>
  </si>
  <si>
    <t xml:space="preserve">Because he fabricated false evidence intending to cause a conviction for an offence punishable by imprisonment of 7 years or upwards, he is punishable as a person convicted of that robbery would be liable to be punished (up to 10 years). [Source: Section 231, BNS 2023]</t>
  </si>
  <si>
    <t xml:space="preserve">CASE_1384</t>
  </si>
  <si>
    <t xml:space="preserve">The underlying framed offence must be punishable with "imprisonment for a term of seven years or upwards" (or life imprisonment). [Source: Section 231, BNS 2023]</t>
  </si>
  <si>
    <t xml:space="preserve">CASE_1385</t>
  </si>
  <si>
    <t xml:space="preserve">No, Section 231 only applies to offences punishable by 7 years or upwards. Framing someone for petty theft would fall under the general punishment for false evidence in Section 229(1) (up to 7 years), not the mirror punishment of Section 231. [Source: Section 231, BNS 2023]</t>
  </si>
  <si>
    <t xml:space="preserve">CASE_1386</t>
  </si>
  <si>
    <t xml:space="preserve">The consequence is proportionality; it ensures that the penalty for attempting to destroy someone's life through the courts scales directly with the severity of the false charges being leveled against them. [Source: Section 231, BNS 2023]</t>
  </si>
  <si>
    <t xml:space="preserve">CASE_1387</t>
  </si>
  <si>
    <t xml:space="preserve">Threatening any person to give false evidence</t>
  </si>
  <si>
    <t xml:space="preserve">Threatening a person with injury to force them to give false evidence is punishable by up to seven years in prison or a fine. If an innocent person is convicted and executed or sentenced to over 7 years because of the coerced lie, the person who made the threat receives the same sentence. [Source: Section 232, BNS 2023]</t>
  </si>
  <si>
    <t xml:space="preserve">Hugging Face source record: BNS_232</t>
  </si>
  <si>
    <t xml:space="preserve">CASE_1388</t>
  </si>
  <si>
    <t xml:space="preserve">Section 232 of BNS 2023 imposes up to 7 years imprisonment or a fine for threatening a person to compel false evidence. If this causes an innocent person to be convicted and sentenced to death or imprisonment over 7 years, the threatener receives the identical punishment. [Source: Section 232, BNS 2023]</t>
  </si>
  <si>
    <t xml:space="preserve">CASE_1389</t>
  </si>
  <si>
    <t xml:space="preserve">Because the innocent person was convicted and sentenced to death in consequence of the coerced false evidence, the boss who threatened the witness shall be punished with death, in the same manner and extent as the innocent person. [Source: Section 232, BNS 2023]</t>
  </si>
  <si>
    <t xml:space="preserve">CASE_1390</t>
  </si>
  <si>
    <t xml:space="preserve">The threat can be of injury to a person's "person, reputation or property" (or to someone they are interested in). [Source: Section 232, BNS 2023]</t>
  </si>
  <si>
    <t xml:space="preserve">CASE_1391</t>
  </si>
  <si>
    <t xml:space="preserve">No, the lawyer is threatening to expose a lie, not threatening injury "with intent to cause that person to give false evidence." Legal cross-examination is not an illegal "injury." [Source: Section 232, BNS 2023]</t>
  </si>
  <si>
    <t xml:space="preserve">CASE_1392</t>
  </si>
  <si>
    <t xml:space="preserve">The consequence is that the mastermind who orchestrates perjury through violent extortion cannot escape severe punishment by blaming the terrified witness; the mastermind bears full criminal liability for the unjust sentence inflicted on the innocent party. [Source: Section 232, BNS 2023]</t>
  </si>
  <si>
    <t xml:space="preserve">CASE_1393</t>
  </si>
  <si>
    <t xml:space="preserve">Using evidence known to be false</t>
  </si>
  <si>
    <t xml:space="preserve">Yes, corruptly using evidence that you know is false or fabricated is punished in the exact same manner as if you had given or fabricated the false evidence yourself. [Source: Section 233, BNS 2023]</t>
  </si>
  <si>
    <t xml:space="preserve">Hugging Face source record: BNS_233</t>
  </si>
  <si>
    <t xml:space="preserve">CASE_1394</t>
  </si>
  <si>
    <t xml:space="preserve">Section 233 of BNS 2023 dictates that anyone who corruptly uses or attempts to use evidence as true/genuine, knowing it to be false or fabricated, shall be punished in the same manner as if they personally gave or fabricated it. [Source: Section 233, BNS 2023]</t>
  </si>
  <si>
    <t xml:space="preserve">CASE_1395</t>
  </si>
  <si>
    <t xml:space="preserve">Because the lawyer corruptly used evidence he knew to be false as true/genuine, he is punishable under Section 233 in the same manner as if he fabricated the false evidence himself (which, under Section 229, is up to 7 years). [Source: Section 233, BNS 2023]</t>
  </si>
  <si>
    <t xml:space="preserve">CASE_1396</t>
  </si>
  <si>
    <t xml:space="preserve">The person must use or attempt to use the evidence "corruptly" and "knows" it to be false or fabricated. [Source: Section 233, BNS 2023]</t>
  </si>
  <si>
    <t xml:space="preserve">CASE_1397</t>
  </si>
  <si>
    <t xml:space="preserve">No, because the prosecutor did not know the evidence to be false. The statute strictly requires knowing use. [Source: Section 233, BNS 2023]</t>
  </si>
  <si>
    <t xml:space="preserve">CASE_1398</t>
  </si>
  <si>
    <t xml:space="preserve">The consequence is that it closes a loophole where individuals could hire third parties to forge documents and then introduce them in court claiming immunity because they didn't personally create the forgery. [Source: Section 233, BNS 2023]</t>
  </si>
  <si>
    <t xml:space="preserve">CASE_1399</t>
  </si>
  <si>
    <t xml:space="preserve">Issuing or signing false certificate</t>
  </si>
  <si>
    <t xml:space="preserve">Issuing or signing a legally required or admissible certificate, knowing it to be false in any material point, is punished in the same manner as giving false evidence. [Source: Section 234, BNS 2023]</t>
  </si>
  <si>
    <t xml:space="preserve">Hugging Face source record: BNS_234</t>
  </si>
  <si>
    <t xml:space="preserve">CASE_1400</t>
  </si>
  <si>
    <t xml:space="preserve">Section 234 of BNS 2023 punishes anyone who issues or signs a legally required or admissible certificate, knowing or believing it to be false in a material point, in the same manner as if they gave false evidence. [Source: Section 234, BNS 2023]</t>
  </si>
  <si>
    <t xml:space="preserve">CASE_1401</t>
  </si>
  <si>
    <t xml:space="preserve">Because he signed a certificate relating to a fact of which the certificate is admissible in evidence, knowing it to be false in a material point, he is punishable under Section 234 in the same manner as if he gave false evidence. [Source: Section 234, BNS 2023]</t>
  </si>
  <si>
    <t xml:space="preserve">CASE_1402</t>
  </si>
  <si>
    <t xml:space="preserve">No, the certificate must be known or believed to be false in a "material point." [Source: Section 234, BNS 2023]</t>
  </si>
  <si>
    <t xml:space="preserve">CASE_1403</t>
  </si>
  <si>
    <t xml:space="preserve">No, because the clerk did not know or believe the certificate to be false; it was an unintentional clerical error, lacking the necessary *mens rea*. [Source: Section 234, BNS 2023]</t>
  </si>
  <si>
    <t xml:space="preserve">CASE_1404</t>
  </si>
  <si>
    <t xml:space="preserve">The consequence is that it heavily protects the evidentiary value of official certificates (like birth, death, medical, and property certificates), ensuring that those who abuse their power to issue fraudulent credentials face severe perjury charges. [Source: Section 234, BNS 2023]</t>
  </si>
  <si>
    <t xml:space="preserve">CASE_1405</t>
  </si>
  <si>
    <t xml:space="preserve">Using as true a certificate known to be false</t>
  </si>
  <si>
    <t xml:space="preserve">Corruptly using a certificate as true, while knowing it is false in a material point, is punished in the same manner as giving false evidence. [Source: Section 235, BNS 2023]</t>
  </si>
  <si>
    <t xml:space="preserve">Hugging Face source record: BNS_235</t>
  </si>
  <si>
    <t xml:space="preserve">CASE_1406</t>
  </si>
  <si>
    <t xml:space="preserve">Section 235 of BNS 2023 dictates that whoever corruptly uses or attempts to use a legally required/admissible certificate as true, knowing it is false in a material point, shall be punished in the same manner as giving false evidence. [Source: Section 235, BNS 2023]</t>
  </si>
  <si>
    <t xml:space="preserve">CASE_1407</t>
  </si>
  <si>
    <t xml:space="preserve">Because he corruptly used the certificate as true, knowing it to be false in a material point, he is punishable under Section 235 in the same manner as if he gave false evidence. [Source: Section 235, BNS 2023]</t>
  </si>
  <si>
    <t xml:space="preserve">CASE_1408</t>
  </si>
  <si>
    <t xml:space="preserve">The certificate must be used "corruptly." [Source: Section 235, BNS 2023]</t>
  </si>
  <si>
    <t xml:space="preserve">CASE_1409</t>
  </si>
  <si>
    <t xml:space="preserve">No, because the historian is not corruptly using it "as a true certificate" to gain a legal advantage; they are presenting it explicitly as a forgery for academic purposes. [Source: Section 235, BNS 2023]</t>
  </si>
  <si>
    <t xml:space="preserve">CASE_1410</t>
  </si>
  <si>
    <t xml:space="preserve">The consequence is that individuals cannot circumvent perjury laws by relying on written lies created by corrupt officials or forgers; submitting the false paper is treated as legally identical to speaking the lie under oath. [Source: Section 235, BNS 2023]</t>
  </si>
  <si>
    <t xml:space="preserve">CASE_1411</t>
  </si>
  <si>
    <t xml:space="preserve">False statement made in declaration which is by law receivable as evidence</t>
  </si>
  <si>
    <t xml:space="preserve">Making a false statement in a declaration that is legally receivable as evidence is punished in the same manner as giving false evidence. [Source: Section 236, BNS 2023]</t>
  </si>
  <si>
    <t xml:space="preserve">Hugging Face source record: BNS_236</t>
  </si>
  <si>
    <t xml:space="preserve">CASE_1412</t>
  </si>
  <si>
    <t xml:space="preserve">Section 236 of BNS 2023 states that whoever makes a statement they know/believe to be false (or do not believe to be true) in a declaration legally receivable as evidence, touching a material point, shall be punished in the same manner as giving false evidence. [Source: Section 236, BNS 2023]</t>
  </si>
  <si>
    <t xml:space="preserve">CASE_1413</t>
  </si>
  <si>
    <t xml:space="preserve">Because the citizen made a false statement touching a material point in a declaration authorized by law to be received as evidence, they are punishable under Section 236 in the same manner as if they gave false evidence. [Source: Section 236, BNS 2023]</t>
  </si>
  <si>
    <t xml:space="preserve">CASE_1414</t>
  </si>
  <si>
    <t xml:space="preserve">The false statement must be "touching any point material to the object for which the declaration is made or used." [Source: Section 236, BNS 2023]</t>
  </si>
  <si>
    <t xml:space="preserve">CASE_1415</t>
  </si>
  <si>
    <t xml:space="preserve">No, because a voluntary feedback card is not a declaration that a court or public servant "is bound or authorised by law to receive as evidence of any fact." [Source: Section 236, BNS 2023]</t>
  </si>
  <si>
    <t xml:space="preserve">CASE_1416</t>
  </si>
  <si>
    <t xml:space="preserve">The consequence is that it ensures the integrity of administrative and bureaucratic processes that rely on sworn affidavits or statutory declarations, treating lying on these forms as seriously as lying on the witness stand. [Source: Section 236, BNS 2023]</t>
  </si>
  <si>
    <t xml:space="preserve">CASE_1417</t>
  </si>
  <si>
    <t xml:space="preserve">Using as true such declaration knowing it to be false</t>
  </si>
  <si>
    <t xml:space="preserve">Yes, corruptly using a legal declaration as true while knowing it contains a material falsehood is punished in the same manner as giving false evidence. [Source: Section 237, BNS 2023]</t>
  </si>
  <si>
    <t xml:space="preserve">Hugging Face source record: BNS_237</t>
  </si>
  <si>
    <t xml:space="preserve">CASE_1418</t>
  </si>
  <si>
    <t xml:space="preserve">Section 237 of BNS 2023 punishes anyone who corruptly uses or attempts to use a declaration as true, knowing it to be false in a material point, in the same manner as if they gave false evidence. [Source: Section 237, BNS 2023]</t>
  </si>
  <si>
    <t xml:space="preserve">CASE_1419</t>
  </si>
  <si>
    <t xml:space="preserve">Because the lawyer corruptly used the declaration as true while knowing it to be false in a material point, the lawyer is punishable under Section 237 in the same manner as giving false evidence. [Source: Section 237, BNS 2023]</t>
  </si>
  <si>
    <t xml:space="preserve">CASE_1420</t>
  </si>
  <si>
    <t xml:space="preserve">No, the Explanation clarifies that a declaration which is inadmissible "merely upon the ground of some informality" is still a declaration within the meaning of this section. [Source: Section 237, BNS 2023]</t>
  </si>
  <si>
    <t xml:space="preserve">CASE_1421</t>
  </si>
  <si>
    <t xml:space="preserve">No, because the clerk did not "know" the declaration to be false and was not using it "corruptly." [Source: Section 237, BNS 2023]</t>
  </si>
  <si>
    <t xml:space="preserve">CASE_1422</t>
  </si>
  <si>
    <t xml:space="preserve">The consequence is that offenders cannot use technical loopholes (like a missing notary stamp or incorrect margin size) as a defense against charges of submitting a substantively false and fraudulent affidavit. [Source: Section 237, BNS 2023]</t>
  </si>
  <si>
    <t xml:space="preserve">CASE_1423</t>
  </si>
  <si>
    <t xml:space="preserve">Causing disappearance of evidence of offence, or giving false information to screen</t>
  </si>
  <si>
    <t xml:space="preserve">Causing evidence of a crime to disappear or giving false information to screen the offender is punishable by up to seven years in prison if the underlying crime was a capital offence. The punishment scales down for less severe underlying crimes. [Source: Section 238, BNS 2023]</t>
  </si>
  <si>
    <t xml:space="preserve">Hugging Face source record: BNS_238</t>
  </si>
  <si>
    <t xml:space="preserve">CASE_1424</t>
  </si>
  <si>
    <t xml:space="preserve">Section 238 of BNS 2023 imposes up to 7 years imprisonment if the screened offence is capital, up to 3 years if punishable by life or 10 years, and up to one-fourth of the maximum term for lesser offences, for causing evidence to disappear or giving false information to screen an offender. [Source: Section 238, BNS 2023]</t>
  </si>
  <si>
    <t xml:space="preserve">CASE_1425</t>
  </si>
  <si>
    <t xml:space="preserve">Because she caused evidence of a capital offence to disappear with the intention of screening the offender from legal punishment, she is punishable under clause (a) with imprisonment up to seven years and a fine. [Source: Section 238, BNS 2023]</t>
  </si>
  <si>
    <t xml:space="preserve">CASE_1426</t>
  </si>
  <si>
    <t xml:space="preserve">The act must be done "with the intention of screening the offender from legal punishment." [Source: Section 238, BNS 2023]</t>
  </si>
  <si>
    <t xml:space="preserve">CASE_1427</t>
  </si>
  <si>
    <t xml:space="preserve">No, because the janitor did not know an offence had been committed and lacked the specific intention to "screen the offender from legal punishment." [Source: Section 238, BNS 2023]</t>
  </si>
  <si>
    <t xml:space="preserve">CASE_1428</t>
  </si>
  <si>
    <t xml:space="preserve">The consequence is a proportionate justice system; protecting a shoplifter by hiding stolen goods carries a minor penalty, while protecting a murderer by hiding a body carries a severe 7-year prison sentence. [Source: Section 238, BNS 2023]</t>
  </si>
  <si>
    <t xml:space="preserve">CASE_1429</t>
  </si>
  <si>
    <t xml:space="preserve">Intentional omission to give information of offence by person bound to inform</t>
  </si>
  <si>
    <t xml:space="preserve">Yes, if you are legally bound to give information about a crime and you intentionally omit to do so, you can be punished by up to six months in prison or a fine up to 5,000 rupees. [Source: Section 239, BNS 2023]</t>
  </si>
  <si>
    <t xml:space="preserve">Hugging Face source record: BNS_239</t>
  </si>
  <si>
    <t xml:space="preserve">CASE_1430</t>
  </si>
  <si>
    <t xml:space="preserve">Section 239 of BNS 2023 dictates that a person legally bound to give information about an offence who intentionally omits to do so, knowing/believing it was committed, shall be punished with imprisonment up to 6 months, or a fine up to 5,000 rupees, or both. [Source: Section 239, BNS 2023]</t>
  </si>
  <si>
    <t xml:space="preserve">CASE_1431</t>
  </si>
  <si>
    <t xml:space="preserve">Because he intentionally omitted to give information respecting an offence which he was legally bound to give, he is punishable under Section 239 with imprisonment up to six months or a fine up to 5,000 rupees. [Source: Section 239, BNS 2023]</t>
  </si>
  <si>
    <t xml:space="preserve">CASE_1432</t>
  </si>
  <si>
    <t xml:space="preserve">Generally no, unless the citizen is specifically "legally bound to give" information about that particular offence (e.g., under specific statutory duties like reporting child abuse or terrorism). [Source: Section 239, BNS 2023]</t>
  </si>
  <si>
    <t xml:space="preserve">CASE_1433</t>
  </si>
  <si>
    <t xml:space="preserve">No, her omission was caused by a medical emergency, not "intentionally" as required by the statute. [Source: Section 239, BNS 2023]</t>
  </si>
  <si>
    <t xml:space="preserve">CASE_1434</t>
  </si>
  <si>
    <t xml:space="preserve">The consequence is that it avoids criminalizing innocent bystanders for mere inaction or fear of getting involved, focusing instead on penalizing professionals, officials, or specific individuals who have a statutory duty to alert authorities. [Source: Section 239, BNS 2023]</t>
  </si>
  <si>
    <t xml:space="preserve">CASE_1435</t>
  </si>
  <si>
    <t xml:space="preserve">Giving false information respecting an offence committed</t>
  </si>
  <si>
    <t xml:space="preserve">Giving false information about a committed crime, knowing it to be false, is punishable by up to two years in prison or a fine. [Source: Section 240, BNS 2023]</t>
  </si>
  <si>
    <t xml:space="preserve">Hugging Face source record: BNS_240</t>
  </si>
  <si>
    <t xml:space="preserve">CASE_1436</t>
  </si>
  <si>
    <t xml:space="preserve">Section 240 of BNS 2023 prescribes imprisonment of either description up to 2 years, or a fine, or both, for anyone who knows an offence was committed and gives information respecting it which they know or believe to be false. [Source: Section 240, BNS 2023]</t>
  </si>
  <si>
    <t xml:space="preserve">CASE_1437</t>
  </si>
  <si>
    <t xml:space="preserve">Because he gave information respecting a committed offence which he knew to be false, he is punishable under Section 240 with imprisonment up to two years or a fine. [Source: Section 240, BNS 2023]</t>
  </si>
  <si>
    <t xml:space="preserve">CASE_1438</t>
  </si>
  <si>
    <t xml:space="preserve">Yes, if the act committed outside India would be punishable under certain specified sections (like murder, dacoity, etc.) if committed in India. [Source: Section 240, BNS 2023]</t>
  </si>
  <si>
    <t xml:space="preserve">CASE_1439</t>
  </si>
  <si>
    <t xml:space="preserve">No, because the witness did not give information which they "knows or believes to be false"; it was an honest misidentification. [Source: Section 240, BNS 2023]</t>
  </si>
  <si>
    <t xml:space="preserve">CASE_1440</t>
  </si>
  <si>
    <t xml:space="preserve">The consequence is that it protects police resources from being wasted on deliberate wild goose chases and prevents malicious individuals from using police investigations to frame innocent third parties. [Source: Section 240, BNS 2023]</t>
  </si>
  <si>
    <t xml:space="preserve">CASE_1441</t>
  </si>
  <si>
    <t xml:space="preserve">Destruction of document or electronic record to prevent its production as evidence</t>
  </si>
  <si>
    <t xml:space="preserve">Destroying, hiding, or rendering illegible a document or electronic record to prevent its use as evidence in a lawful proceeding is punishable by up to three years in prison or a fine up to 5,000 rupees. [Source: Section 241, BNS 2023]</t>
  </si>
  <si>
    <t xml:space="preserve">Hugging Face source record: BNS_241</t>
  </si>
  <si>
    <t xml:space="preserve">CASE_1442</t>
  </si>
  <si>
    <t xml:space="preserve">Section 241 of BNS 2023 imposes imprisonment up to 3 years, or a fine up to 5,000 rupees, or both, for secreting, destroying, or obliterating a document/electronic record to prevent it from being produced as evidence in a court or before a public servant. [Source: Section 241, BNS 2023]</t>
  </si>
  <si>
    <t xml:space="preserve">CASE_1443</t>
  </si>
  <si>
    <t xml:space="preserve">Because she destroyed a document after being lawfully summoned to produce it as evidence, she is punishable under Section 241 with imprisonment up to three years or a fine up to 5,000 rupees. [Source: Section 241, BNS 2023]</t>
  </si>
  <si>
    <t xml:space="preserve">CASE_1444</t>
  </si>
  <si>
    <t xml:space="preserve">Yes, the section covers destroying documents they "may be lawfully compelled to produce" with the intention of preventing its use as evidence, as well as destruction "after he shall have been lawfully summoned." [Source: Section 241, BNS 2023]</t>
  </si>
  <si>
    <t xml:space="preserve">CASE_1445</t>
  </si>
  <si>
    <t xml:space="preserve">No, because he deleted the emails as routine maintenance without the specific "intention of preventing the same from being produced or used as evidence." [Source: Section 241, BNS 2023]</t>
  </si>
  <si>
    <t xml:space="preserve">CASE_1446</t>
  </si>
  <si>
    <t xml:space="preserve">The consequence is that individuals who wipe hard drives, encrypt files maliciously, or physically destroy servers to hide digital evidence face severe criminal spoliation charges, preserving the integrity of court fact-finding. [Source: Section 241, BNS 2023]</t>
  </si>
  <si>
    <t xml:space="preserve">CASE_1447</t>
  </si>
  <si>
    <t xml:space="preserve">False personation for purpose of act or proceeding in suit or prosecution</t>
  </si>
  <si>
    <t xml:space="preserve">Falsely personating another person to make an admission, confess judgment, or act as bail or security in a suit or criminal prosecution is punishable by up to three years in prison or a fine. [Source: Section 242, BNS 2023]</t>
  </si>
  <si>
    <t xml:space="preserve">Hugging Face source record: BNS_242</t>
  </si>
  <si>
    <t xml:space="preserve">CASE_1448</t>
  </si>
  <si>
    <t xml:space="preserve">Section 242 of BNS 2023 prescribes imprisonment of either description up to 3 years, or a fine, or both, for falsely personating another and in that assumed character doing acts like making admissions or becoming bail in a legal suit or prosecution. [Source: Section 242, BNS 2023]</t>
  </si>
  <si>
    <t xml:space="preserve">CASE_1449</t>
  </si>
  <si>
    <t xml:space="preserve">Because he falsely personated another to do an act in a criminal prosecution, he is punishable under Section 242 with imprisonment up to three years or a fine. [Source: Section 242, BNS 2023]</t>
  </si>
  <si>
    <t xml:space="preserve">CASE_1450</t>
  </si>
  <si>
    <t xml:space="preserve">No, it includes actions like causing any process to be issued or becoming "bail or security," which often occur before a trial formally begins. [Source: Section 242, BNS 2023]</t>
  </si>
  <si>
    <t xml:space="preserve">CASE_1451</t>
  </si>
  <si>
    <t xml:space="preserve">No, the lawyer is acting as a legal representative, not "falsely personating" (pretending to actually *be*) the client. [Source: Section 242, BNS 2023]</t>
  </si>
  <si>
    <t xml:space="preserve">CASE_1452</t>
  </si>
  <si>
    <t xml:space="preserve">The consequence is that it protects the fundamental integrity of the judicial system; courts must be able to trust that judgments, bail bonds, and admissions are binding on the actual parties involved, not imposters. [Source: Section 242, BNS 2023]</t>
  </si>
  <si>
    <t xml:space="preserve">CASE_1453</t>
  </si>
  <si>
    <t xml:space="preserve">Fraudulent removal or concealment of property to prevent its seizure as forfeited or in</t>
  </si>
  <si>
    <t xml:space="preserve">Fraudulently removing, concealing, or transferring property to prevent it from being seized for forfeiture, a fine, or a civil decree is punishable by up to three years in prison or a fine up to 5,000 rupees. [Source: Section 243, BNS 2023]</t>
  </si>
  <si>
    <t xml:space="preserve">Hugging Face source record: BNS_243</t>
  </si>
  <si>
    <t xml:space="preserve">CASE_1454</t>
  </si>
  <si>
    <t xml:space="preserve">Section 243 of BNS 2023 imposes up to 3 years imprisonment or a 5,000 rupee fine for fraudulently removing or transferring property to prevent its seizure for forfeiture, fine, or execution of a decree pronounced or likely to be pronounced. [Source: Section 243, BNS 2023]</t>
  </si>
  <si>
    <t xml:space="preserve">CASE_1455</t>
  </si>
  <si>
    <t xml:space="preserve">Because he fraudulently transferred and concealed property intending to prevent it from being taken in execution of a decree he knew was likely to be made, he is punishable under Section 243 with imprisonment up to three years or a fine up to 5,000 rupees. [Source: Section 243, BNS 2023]</t>
  </si>
  <si>
    <t xml:space="preserve">CASE_1456</t>
  </si>
  <si>
    <t xml:space="preserve">No, the statute covers preventing seizure under a sentence or decree "which has been pronounced, or which he knows to be likely to be pronounced." [Source: Section 243, BNS 2023]</t>
  </si>
  <si>
    <t xml:space="preserve">CASE_1457</t>
  </si>
  <si>
    <t xml:space="preserve">No, the transfer was not done "fraudulently... intending thereby to prevent that property... from being taken in satisfaction of a fine." He sold it precisely *to* satisfy the fine. [Source: Section 243, BNS 2023]</t>
  </si>
  <si>
    <t xml:space="preserve">CASE_1458</t>
  </si>
  <si>
    <t xml:space="preserve">The consequence is that it deters judgment-proof tactics; plaintiffs have legal recourse if a defendant tries to maliciously drain their own assets to avoid paying a rightful court-ordered debt. [Source: Section 243, BNS 2023]</t>
  </si>
  <si>
    <t xml:space="preserve">CASE_1459</t>
  </si>
  <si>
    <t xml:space="preserve">Fraudulent claim to property to prevent its seizure as forfeited or in execution</t>
  </si>
  <si>
    <t xml:space="preserve">Fraudulently claiming property you have no right to, in order to prevent it from being seized for someone else's fine, forfeiture, or civil decree, is punishable by up to two years in prison or a fine. [Source: Section 244, BNS 2023]</t>
  </si>
  <si>
    <t xml:space="preserve">Hugging Face source record: BNS_244</t>
  </si>
  <si>
    <t xml:space="preserve">CASE_1460</t>
  </si>
  <si>
    <t xml:space="preserve">Section 244 of BNS 2023 prescribes imprisonment up to 2 years or a fine for anyone who fraudulently accepts or claims property they have no right to, intending to prevent it from being seized for forfeiture, a fine, or a civil decree. [Source: Section 244, BNS 2023]</t>
  </si>
  <si>
    <t xml:space="preserve">CASE_1461</t>
  </si>
  <si>
    <t xml:space="preserve">Because the cousin fraudulently claimed an interest in the property, knowing he had no right to it, intending to prevent its forfeiture under a court sentence, he is punishable under Section 244 with imprisonment up to two years or a fine. [Source: Section 244, BNS 2023]</t>
  </si>
  <si>
    <t xml:space="preserve">CASE_1462</t>
  </si>
  <si>
    <t xml:space="preserve">While Section 243 targets the person *giving away or hiding* the property (the debtor/convict), Section 244 targets the accomplice who fraudulently *receives or claims* the property to shield it from seizure. [Source: Section 244, BNS 2023]</t>
  </si>
  <si>
    <t xml:space="preserve">CASE_1463</t>
  </si>
  <si>
    <t xml:space="preserve">No, because the bank is enforcing a legitimate, pre-existing lien. They are not claiming the property "knowing that he has no right or rightful claim." [Source: Section 244, BNS 2023]</t>
  </si>
  <si>
    <t xml:space="preserve">CASE_1464</t>
  </si>
  <si>
    <t xml:space="preserve">The consequence is that it breaks down rings of complicity; friends, relatives, and shell companies cannot safely act as "straw owners" to protect a criminal's ill-gotten wealth from state seizure. [Source: Section 244, BNS 2023]</t>
  </si>
  <si>
    <t xml:space="preserve">CASE_1465</t>
  </si>
  <si>
    <t xml:space="preserve">Fraudulently suffering decree for sum not due</t>
  </si>
  <si>
    <t xml:space="preserve">Fraudulently suffering a decree or judgment against yourself for a sum you do not owe, or allowing an already satisfied decree to be executed against you, is punishable by up to two years in prison or a fine. [Source: Section 245, BNS 2023]</t>
  </si>
  <si>
    <t xml:space="preserve">Hugging Face source record: BNS_245</t>
  </si>
  <si>
    <t xml:space="preserve">CASE_1466</t>
  </si>
  <si>
    <t xml:space="preserve">Section 245 of BNS 2023 imposes up to 2 years imprisonment or a fine for fraudulently causing or suffering a decree to be passed against oneself for a sum not due, or suffering a decree to be executed after it has already been satisfied. [Source: Section 245, BNS 2023]</t>
  </si>
  <si>
    <t xml:space="preserve">CASE_1467</t>
  </si>
  <si>
    <t xml:space="preserve">Because he fraudulently suffered a judgment to pass against him for a sum not due to protect his assets from rightful creditors, he is punishable under Section 245 with imprisonment up to two years or a fine. [Source: Section 245, BNS 2023]</t>
  </si>
  <si>
    <t xml:space="preserve">CASE_1468</t>
  </si>
  <si>
    <t xml:space="preserve">Yes, it covers fraudulently suffering a decree to be executed "after it has been satisfied." [Source: Section 245, BNS 2023]</t>
  </si>
  <si>
    <t xml:space="preserve">CASE_1469</t>
  </si>
  <si>
    <t xml:space="preserve">No, because she did not suffer the decree "fraudulently"; she suffered it due to poverty or negligence, lacking the specific corrupt intent to abuse the legal process. [Source: Section 245, BNS 2023]</t>
  </si>
  <si>
    <t xml:space="preserve">CASE_1470</t>
  </si>
  <si>
    <t xml:space="preserve">The consequence is that it prevents the civil court system from being weaponized by debtors who collude with fake creditors to legally launder their assets away from legitimate claimants. [Source: Section 245, BNS 2023]</t>
  </si>
  <si>
    <t xml:space="preserve">CASE_1471</t>
  </si>
  <si>
    <t xml:space="preserve">Dishonestly making false claim in Court</t>
  </si>
  <si>
    <t xml:space="preserve">Making a claim in court that you know to be false, done fraudulently, dishonestly, or with intent to injure/annoy, is punishable by up to two years in prison and a fine. [Source: Section 246, BNS 2023]</t>
  </si>
  <si>
    <t xml:space="preserve">Hugging Face source record: BNS_246</t>
  </si>
  <si>
    <t xml:space="preserve">CASE_1472</t>
  </si>
  <si>
    <t xml:space="preserve">Section 246 of BNS 2023 imposes imprisonment up to 2 years and a fine on whoever fraudulently, dishonestly, or with intent to injure/annoy any person, makes a claim in Court which they know to be false. [Source: Section 246, BNS 2023]</t>
  </si>
  <si>
    <t xml:space="preserve">CASE_1473</t>
  </si>
  <si>
    <t xml:space="preserve">Because he made a claim in Court which he knew to be false, with the intent to injure or annoy the landlord, he is punishable under Section 246 with imprisonment up to two years and a fine. [Source: Section 246, BNS 2023]</t>
  </si>
  <si>
    <t xml:space="preserve">CASE_1474</t>
  </si>
  <si>
    <t xml:space="preserve">The claim must be made "fraudulently or dishonestly, or with intent to injure or annoy any person." [Source: Section 246, BNS 2023]</t>
  </si>
  <si>
    <t xml:space="preserve">CASE_1475</t>
  </si>
  <si>
    <t xml:space="preserve">No, because she did not make a claim "which he knows to be false"; she made an honest mistake of fact or law. [Source: Section 246, BNS 2023]</t>
  </si>
  <si>
    <t xml:space="preserve">CASE_1476</t>
  </si>
  <si>
    <t xml:space="preserve">The consequence is that it provides a criminal deterrent against frivolous, malicious, and vexatious litigation designed purely to harass individuals or clog the court system. [Source: Section 246, BNS 2023]</t>
  </si>
  <si>
    <t xml:space="preserve">CASE_1477</t>
  </si>
  <si>
    <t xml:space="preserve">Fraudulently obtaining decree for sum not due</t>
  </si>
  <si>
    <t xml:space="preserve">Fraudulently obtaining a court decree for a sum not due, or executing a decree after it has already been paid off, is punishable by up to two years in prison or a fine. [Source: Section 247, BNS 2023]</t>
  </si>
  <si>
    <t xml:space="preserve">Hugging Face source record: BNS_247</t>
  </si>
  <si>
    <t xml:space="preserve">CASE_1478</t>
  </si>
  <si>
    <t xml:space="preserve">Section 247 of BNS 2023 prescribes up to 2 years imprisonment, or a fine, or both, for fraudulently obtaining a decree against any person for a sum not due, or executing a decree after it has been satisfied. [Source: Section 247, BNS 2023]</t>
  </si>
  <si>
    <t xml:space="preserve">CASE_1479</t>
  </si>
  <si>
    <t xml:space="preserve">Because he fraudulently caused a decree to be executed against a person after it had been satisfied, he is punishable under Section 247 with imprisonment up to two years or a fine. [Source: Section 247, BNS 2023]</t>
  </si>
  <si>
    <t xml:space="preserve">CASE_1480</t>
  </si>
  <si>
    <t xml:space="preserve">Yes, it covers whoever "fraudulently suffers or permits any such act to be done in his name." [Source: Section 247, BNS 2023]</t>
  </si>
  <si>
    <t xml:space="preserve">CASE_1481</t>
  </si>
  <si>
    <t xml:space="preserve">No, because the decree was for eviction based on lease termination, not merely for a "sum not due" that was satisfied, and it was executed legally, not "fraudulently." [Source: Section 247, BNS 2023]</t>
  </si>
  <si>
    <t xml:space="preserve">CASE_1482</t>
  </si>
  <si>
    <t xml:space="preserve">The consequence is that it protects judgment debtors from double jeopardy in civil execution, ensuring creditors cannot abuse the coercive power of the state to double-dip on payments. [Source: Section 247, BNS 2023]</t>
  </si>
  <si>
    <t xml:space="preserve">CASE_1483</t>
  </si>
  <si>
    <t xml:space="preserve">False charge of offence made with intent to injure</t>
  </si>
  <si>
    <t xml:space="preserve">Instituting criminal proceedings or falsely charging someone with a crime to injure them, knowing there is no just ground, is punishable by up to 5 years in prison (or up to 10 years if the falsely charged crime was a capital/life offence). [Source: Section 248, BNS 2023]</t>
  </si>
  <si>
    <t xml:space="preserve">Hugging Face source record: BNS_248</t>
  </si>
  <si>
    <t xml:space="preserve">CASE_1484</t>
  </si>
  <si>
    <t xml:space="preserve">Section 248 of BNS 2023 imposes up to 5 years imprisonment and a 2 lakh rupee fine for falsely charging someone to cause injury; under clause (b), if the false charge is for an offence punishable with death/life/10+ years, the penalty increases to 10 years imprisonment and a fine. [Source: Section 248, BNS 2023]</t>
  </si>
  <si>
    <t xml:space="preserve">CASE_1485</t>
  </si>
  <si>
    <t xml:space="preserve">Because he instituted a criminal proceeding on a false charge of an offence punishable with death, knowing there was no just ground and intending to injure, he is punishable under clause (b) with imprisonment up to ten years and a fine. [Source: Section 248, BNS 2023]</t>
  </si>
  <si>
    <t xml:space="preserve">CASE_1486</t>
  </si>
  <si>
    <t xml:space="preserve">The person must act "with intent to cause injury to any person" and must act "knowing that there is no just or lawful ground for such proceeding or charge." [Source: Section 248, BNS 2023]</t>
  </si>
  <si>
    <t xml:space="preserve">CASE_1487</t>
  </si>
  <si>
    <t xml:space="preserve">No, because she did not know there was "no just or lawful ground"; she made a genuine mistake, lacking the intent to injure through a deliberately false charge. [Source: Section 248, BNS 2023]</t>
  </si>
  <si>
    <t xml:space="preserve">CASE_1488</t>
  </si>
  <si>
    <t xml:space="preserve">The consequence is that the law recognizes the varying degrees of trauma and legal jeopardy inflicted on victims of false accusations; falsely accusing someone of murder is treated much more severely than falsely accusing them of petty theft. [Source: Section 248, BNS 2023]</t>
  </si>
  <si>
    <t xml:space="preserve">CASE_1489</t>
  </si>
  <si>
    <t xml:space="preserve">Harbouring offender</t>
  </si>
  <si>
    <t xml:space="preserve">Harbouring or concealing someone who you know committed a crime, to protect them from legal punishment, is punishable by up to 5 years in prison if their crime was capital, or up to 3 years if their crime was punishable by life. [Source: Section 249, BNS 2023]</t>
  </si>
  <si>
    <t xml:space="preserve">Hugging Face source record: BNS_249</t>
  </si>
  <si>
    <t xml:space="preserve">CASE_1490</t>
  </si>
  <si>
    <t xml:space="preserve">Section 249 of BNS 2023 dictates that harbouring an offender to screen them from punishment yields up to 5 years imprisonment if the offence is capital, up to 3 years if punishable by life/10 years, and up to one-fourth the maximum term for lesser offences. [Source: Section 249, BNS 2023]</t>
  </si>
  <si>
    <t xml:space="preserve">CASE_1491</t>
  </si>
  <si>
    <t xml:space="preserve">Because he harboured a person he knew to be an offender liable to life imprisonment, with the intention of screening him, he is punishable under clause (b) with imprisonment up to three years and a fine. [Source: Section 249, BNS 2023]</t>
  </si>
  <si>
    <t xml:space="preserve">CASE_1492</t>
  </si>
  <si>
    <t xml:space="preserve">The section "shall not extend to any case in which the harbour or concealment is by the spouse of the offender." [Source: Section 249, BNS 2023]</t>
  </si>
  <si>
    <t xml:space="preserve">CASE_1493</t>
  </si>
  <si>
    <t xml:space="preserve">No, because the hotel owner did not know or have reason to believe the person was an offender, and thus lacked the intention of screening him from legal punishment. [Source: Section 249, BNS 2023]</t>
  </si>
  <si>
    <t xml:space="preserve">CASE_1494</t>
  </si>
  <si>
    <t xml:space="preserve">The consequence is that the law acknowledges the powerful bonds of marriage, opting not to criminalize husbands or wives who succumb to the natural human instinct to shelter their spouses from state prosecution. [Source: Section 249, BNS 2023]</t>
  </si>
  <si>
    <t xml:space="preserve">CASE_1495</t>
  </si>
  <si>
    <t xml:space="preserve">Taking gift, etc., to screen an offender from punishment</t>
  </si>
  <si>
    <t xml:space="preserve">Accepting a gift or property in exchange for concealing a crime or protecting an offender from legal punishment is punishable by up to seven years in prison if the crime was a capital offence. [Source: Section 250, BNS 2023]</t>
  </si>
  <si>
    <t xml:space="preserve">Hugging Face source record: BNS_250</t>
  </si>
  <si>
    <t xml:space="preserve">CASE_1496</t>
  </si>
  <si>
    <t xml:space="preserve">Section 250 of BNS 2023 imposes up to 7 years imprisonment (for capital offences), 3 years (for life/10-year offences), or one-fourth the maximum term (for lesser offences) on anyone who accepts gratification in consideration of concealing an offence or screening an offender. [Source: Section 250, BNS 2023]</t>
  </si>
  <si>
    <t xml:space="preserve">CASE_1497</t>
  </si>
  <si>
    <t xml:space="preserve">Because the witness accepted gratification in consideration of his not proceeding against a person for a capital offence, he is punishable under clause (a) with imprisonment up to seven years and a fine. [Source: Section 250, BNS 2023]</t>
  </si>
  <si>
    <t xml:space="preserve">CASE_1498</t>
  </si>
  <si>
    <t xml:space="preserve">No, the offence is complete upon accepting, attempting to obtain, or agreeing to accept the gratification "in consideration of" screening the offender, regardless of the ultimate success of the cover-up. [Source: Section 250, BNS 2023]</t>
  </si>
  <si>
    <t xml:space="preserve">CASE_1499</t>
  </si>
  <si>
    <t xml:space="preserve">No, this is legal because Section 251 contains an Exception stating that Sections 250 and 251 do not extend to any case in which the offence may "lawfully be compounded." [Source: Section 250, BNS 2023]</t>
  </si>
  <si>
    <t xml:space="preserve">CASE_1500</t>
  </si>
  <si>
    <t xml:space="preserve">The consequence is that it severely punishes the commodification of justice, ensuring that criminals cannot simply buy the silence of witnesses or victims to escape state prosecution for serious crimes. [Source: Section 250, BNS 2023]</t>
  </si>
  <si>
    <t xml:space="preserve">CASE_1501</t>
  </si>
  <si>
    <t xml:space="preserve">Offering gift or restoration of property in consideration of screening offender</t>
  </si>
  <si>
    <t xml:space="preserve">Offering a gift or restoring property in exchange for concealing an offence or screening an offender from legal punishment is punishable by up to seven years in prison if the screened offence was capital. [Source: Section 251, BNS 2023]</t>
  </si>
  <si>
    <t xml:space="preserve">Hugging Face source record: BNS_251</t>
  </si>
  <si>
    <t xml:space="preserve">CASE_1502</t>
  </si>
  <si>
    <t xml:space="preserve">Section 251 of BNS 2023 imposes imprisonment up to 7 years (for capital offences), 3 years (for life/10-year offences), or one-fourth the maximum term (for lesser offences) on whoever gives or offers gratification to screen an offender or conceal an offence. [Source: Section 251, BNS 2023]</t>
  </si>
  <si>
    <t xml:space="preserve">CASE_1503</t>
  </si>
  <si>
    <t xml:space="preserve">Because the driver offered gratification in consideration of the pedestrian not proceeding against him to bring him to legal punishment, the driver is punishable under Section 251 based on the severity of the hit-and-run offence. [Source: Section 251, BNS 2023]</t>
  </si>
  <si>
    <t xml:space="preserve">CASE_1504</t>
  </si>
  <si>
    <t xml:space="preserve">No, it broadly covers whoever "gives or causes, or offers or agrees to give or cause, any gratification" or "restores or causes the restoration of any property." [Source: Section 251, BNS 2023]</t>
  </si>
  <si>
    <t xml:space="preserve">CASE_1505</t>
  </si>
  <si>
    <t xml:space="preserve">Generally no, under the Exception, the provisions do not extend to any case in which the offence may "lawfully be compounded" (and minor theft is often compoundable with the owner's consent). [Source: Section 251, BNS 2023]</t>
  </si>
  <si>
    <t xml:space="preserve">CASE_1506</t>
  </si>
  <si>
    <t xml:space="preserve">The consequence is that it punishes the corruptor as severely as the corrupted, preventing wealthy criminals from using their financial power to buy immunity from victims or witnesses. [Source: Section 251, BNS 2023]</t>
  </si>
  <si>
    <t xml:space="preserve">CASE_1507</t>
  </si>
  <si>
    <t xml:space="preserve">Taking gift to help to recover stolen property, etc</t>
  </si>
  <si>
    <t xml:space="preserve">Taking a reward under the pretense of helping to recover stolen property is punishable by up to two years in prison unless you use all your power to ensure the thief is apprehended and convicted. [Source: Section 252, BNS 2023]</t>
  </si>
  <si>
    <t xml:space="preserve">Hugging Face source record: BNS_252</t>
  </si>
  <si>
    <t xml:space="preserve">CASE_1508</t>
  </si>
  <si>
    <t xml:space="preserve">Section 252 of BNS 2023 punishes anyone who takes gratification on account of helping recover stolen movable property with up to 2 years imprisonment, or a fine, unless they use all means in their power to cause the offender to be apprehended. [Source: Section 252, BNS 2023]</t>
  </si>
  <si>
    <t xml:space="preserve">CASE_1509</t>
  </si>
  <si>
    <t xml:space="preserve">Because he took gratification to recover stolen property but did not use all means in his power to cause the offender to be apprehended, he is punishable under Section 252 with imprisonment up to two years or a fine. [Source: Section 252, BNS 2023]</t>
  </si>
  <si>
    <t xml:space="preserve">CASE_1510</t>
  </si>
  <si>
    <t xml:space="preserve">They must use "all means in his power to cause the offender to be apprehended and convicted of the offence." [Source: Section 252, BNS 2023]</t>
  </si>
  <si>
    <t xml:space="preserve">CASE_1511</t>
  </si>
  <si>
    <t xml:space="preserve">No, because the PI used all means in their power to cause the offender to be apprehended and convicted, fulfilling the conditional requirement of the statute. [Source: Section 252, BNS 2023]</t>
  </si>
  <si>
    <t xml:space="preserve">CASE_1512</t>
  </si>
  <si>
    <t xml:space="preserve">The consequence is that it prevents the creation of a lucrative "recovery extortion" black market where criminals steal property specifically to charge the owners a fee to get it back. [Source: Section 252, BNS 2023]</t>
  </si>
  <si>
    <t xml:space="preserve">CASE_1513</t>
  </si>
  <si>
    <t xml:space="preserve">Harbouring offender who has escaped from custody or whose apprehension has been</t>
  </si>
  <si>
    <t xml:space="preserve">Harbouring a person who has escaped lawful custody or has an active apprehension order is punishable by up to 7 years in prison if their underlying offence was capital. [Source: Section 253, BNS 2023]</t>
  </si>
  <si>
    <t xml:space="preserve">Hugging Face source record: BNS_253</t>
  </si>
  <si>
    <t xml:space="preserve">CASE_1514</t>
  </si>
  <si>
    <t xml:space="preserve">Section 253 of BNS 2023 prescribes up to 7 years imprisonment (for capital offences), 3 years (for life/10-year offences), or one-fourth the maximum term (for lesser offences) for harbouring an escaped convict or a person ordered to be apprehended, intending to prevent their apprehension. [Source: Section 253, BNS 2023]</t>
  </si>
  <si>
    <t xml:space="preserve">CASE_1515</t>
  </si>
  <si>
    <t xml:space="preserve">Because he harboured a person who escaped from lawful custody for a capital offence, intending to prevent his apprehension, he is punishable under clause (a) with imprisonment up to seven years and a fine. [Source: Section 253, BNS 2023]</t>
  </si>
  <si>
    <t xml:space="preserve">CASE_1516</t>
  </si>
  <si>
    <t xml:space="preserve">Yes, the term "offence" includes acts committed outside India if they would be punishable in India and the person is liable to be apprehended under extradition laws. [Source: Section 253, BNS 2023]</t>
  </si>
  <si>
    <t xml:space="preserve">CASE_1517</t>
  </si>
  <si>
    <t xml:space="preserve">No, because the Exception explicitly states that the provisions do not extend to the case in which the harbour or concealment is "by the spouse of the person to be apprehended." [Source: Section 253, BNS 2023]</t>
  </si>
  <si>
    <t xml:space="preserve">CASE_1518</t>
  </si>
  <si>
    <t xml:space="preserve">The consequence is a comprehensive framework that specifically addresses the heightened defiance of the justice system involved in actively hiding someone who has already been formally ordered arrested or has physically broken out of state custody. [Source: Section 253, BNS 2023]</t>
  </si>
  <si>
    <t xml:space="preserve">CASE_1519</t>
  </si>
  <si>
    <t xml:space="preserve">Penalty for harbouring robbers or dacoits</t>
  </si>
  <si>
    <t xml:space="preserve">Harbouring people knowing they are about to commit, or have recently committed, robbery or dacoity is punishable by rigorous imprisonment for up to seven years and a fine. [Source: Section 254, BNS 2023]</t>
  </si>
  <si>
    <t xml:space="preserve">Hugging Face source record: BNS_254</t>
  </si>
  <si>
    <t xml:space="preserve">CASE_1520</t>
  </si>
  <si>
    <t xml:space="preserve">Section 254 of BNS 2023 mandates rigorous imprisonment up to 7 years, and a fine, for anyone who harbours persons knowing/believing they are about to or have recently committed robbery or dacoity, intending to facilitate the crime or screen them from punishment. [Source: Section 254, BNS 2023]</t>
  </si>
  <si>
    <t xml:space="preserve">CASE_1521</t>
  </si>
  <si>
    <t xml:space="preserve">Because he harboured persons knowing they were about to commit dacoity, with the intention of facilitating the commission of such dacoity, he is punishable under Section 254 with rigorous imprisonment up to seven years and a fine. [Source: Section 254, BNS 2023]</t>
  </si>
  <si>
    <t xml:space="preserve">CASE_1522</t>
  </si>
  <si>
    <t xml:space="preserve">The statute specifically prescribes "rigorous imprisonment." [Source: Section 254, BNS 2023]</t>
  </si>
  <si>
    <t xml:space="preserve">CASE_1523</t>
  </si>
  <si>
    <t xml:space="preserve">No, the Exception clarifies that the provisions do not extend to the case in which the harbour is "by the spouse of the offender." [Source: Section 254, BNS 2023]</t>
  </si>
  <si>
    <t xml:space="preserve">CASE_1524</t>
  </si>
  <si>
    <t xml:space="preserve">The consequence is that the law recognizes the extreme danger posed by organized violent gangs (dacoits), imposing strict, rigorous deterrence against anyone providing them the logistical support and safehouses they need to operate. [Source: Section 254, BNS 2023]</t>
  </si>
  <si>
    <t xml:space="preserve">CASE_1525</t>
  </si>
  <si>
    <t xml:space="preserve">Public servant disobeying direction of law with intent to save person from punishment or</t>
  </si>
  <si>
    <t xml:space="preserve">A public servant who knowingly disobeys a legal direction regarding their conduct, intending to save someone from punishment or protect property from forfeiture, is punishable by up to two years in prison or a fine. [Source: Section 255, BNS 2023]</t>
  </si>
  <si>
    <t xml:space="preserve">Hugging Face source record: BNS_255</t>
  </si>
  <si>
    <t xml:space="preserve">CASE_1526</t>
  </si>
  <si>
    <t xml:space="preserve">Section 255 of BNS 2023 prescribes up to 2 years imprisonment or a fine for a public servant who knowingly disobeys any direction of the law as to how they should conduct themselves, intending to save a person from legal punishment or property from forfeiture. [Source: Section 255, BNS 2023]</t>
  </si>
  <si>
    <t xml:space="preserve">CASE_1527</t>
  </si>
  <si>
    <t xml:space="preserve">Because he is a public servant who knowingly disobeyed a direction of law regarding his conduct, intending to save a person from legal punishment, he is punishable under Section 255 with imprisonment up to two years or a fine. [Source: Section 255, BNS 2023]</t>
  </si>
  <si>
    <t xml:space="preserve">CASE_1528</t>
  </si>
  <si>
    <t xml:space="preserve">No, the offence is complete if the public servant disobeys the law "intending thereby to save, or knowing it to be likely that he will thereby save" the person, regardless of the final outcome of the case. [Source: Section 255, BNS 2023]</t>
  </si>
  <si>
    <t xml:space="preserve">CASE_1529</t>
  </si>
  <si>
    <t xml:space="preserve">No, because the clerk did not "knowingly" disobey the law with the "intent to save" the person from punishment; it was an honest mistake. [Source: Section 255, BNS 2023]</t>
  </si>
  <si>
    <t xml:space="preserve">CASE_1530</t>
  </si>
  <si>
    <t xml:space="preserve">The consequence is that it holds the guardians of the law to a strict standard, ensuring that officials cannot use their administrative power to quietly sabotage prosecutions or grant corrupt favors to criminals. [Source: Section 255, BNS 2023]</t>
  </si>
  <si>
    <t xml:space="preserve">CASE_1531</t>
  </si>
  <si>
    <t xml:space="preserve">Public servant framing incorrect record or writing with intent to save person from</t>
  </si>
  <si>
    <t xml:space="preserve">A public servant who prepares an official record incorrectly with the intent to save someone from punishment or protect property from forfeiture is punishable by up to three years in prison or a fine. [Source: Section 256, BNS 2023]</t>
  </si>
  <si>
    <t xml:space="preserve">Hugging Face source record: BNS_256</t>
  </si>
  <si>
    <t xml:space="preserve">CASE_1532</t>
  </si>
  <si>
    <t xml:space="preserve">Section 256 of BNS 2023 imposes imprisonment up to 3 years, or a fine, or both, on a public servant who frames an incorrect record with intent to cause loss/injury to the public, save a person from legal punishment, or save property from forfeiture. [Source: Section 256, BNS 2023]</t>
  </si>
  <si>
    <t xml:space="preserve">CASE_1533</t>
  </si>
  <si>
    <t xml:space="preserve">Because the clerk is a public servant who framed an incorrect record with intent to save a person from legal punishment, the clerk is punishable under Section 256 with imprisonment up to three years or a fine. [Source: Section 256, BNS 2023]</t>
  </si>
  <si>
    <t xml:space="preserve">CASE_1534</t>
  </si>
  <si>
    <t xml:space="preserve">The offender must be a "public servant" who is "charged with the preparation of any record or other writing." [Source: Section 256, BNS 2023]</t>
  </si>
  <si>
    <t xml:space="preserve">CASE_1535</t>
  </si>
  <si>
    <t xml:space="preserve">No, because the officer did not frame the record "in a manner which he knows to be incorrect" with the specific "intent" to save property or cause loss; it was a negligent miscalculation. [Source: Section 256, BNS 2023]</t>
  </si>
  <si>
    <t xml:space="preserve">CASE_1536</t>
  </si>
  <si>
    <t xml:space="preserve">The consequence is that it heavily safeguards the documentary integrity of the state; administrative records are presumed reliable, so officials who maliciously betray that trust face direct criminal liability. [Source: Section 256, BNS 2023]</t>
  </si>
  <si>
    <t xml:space="preserve">CASE_1537</t>
  </si>
  <si>
    <t xml:space="preserve">Public servant in judicial proceeding corruptly making report, etc., contrary to law</t>
  </si>
  <si>
    <t xml:space="preserve">A public servant in a judicial proceeding who corruptly or maliciously makes a report, verdict, or decision they know is contrary to law is punishable by up to seven years in prison or a fine. [Source: Section 257, BNS 2023]</t>
  </si>
  <si>
    <t xml:space="preserve">Hugging Face source record: BNS_257</t>
  </si>
  <si>
    <t xml:space="preserve">CASE_1538</t>
  </si>
  <si>
    <t xml:space="preserve">Section 257 of BNS 2023 prescribes imprisonment up to 7 years, or a fine, or both, for a public servant who corruptly or maliciously makes a report, order, or verdict in a judicial proceeding knowing it to be contrary to law. [Source: Section 257, BNS 2023]</t>
  </si>
  <si>
    <t xml:space="preserve">CASE_1539</t>
  </si>
  <si>
    <t xml:space="preserve">Because the magistrate corruptly made a decision in a judicial proceeding which he knew to be contrary to law, he is punishable under Section 257 with imprisonment up to seven years or a fine. [Source: Section 257, BNS 2023]</t>
  </si>
  <si>
    <t xml:space="preserve">CASE_1540</t>
  </si>
  <si>
    <t xml:space="preserve">Generally no, it applies to public servants who have the authority to "make or pronounce... any report, order, verdict, or decision" in a judicial proceeding. [Source: Section 257, BNS 2023]</t>
  </si>
  <si>
    <t xml:space="preserve">CASE_1541</t>
  </si>
  <si>
    <t xml:space="preserve">No, because the judge did not issue the verdict "corruptly or maliciously," nor did they "know" it was contrary to law at the time; judicial error is not the same as corrupt judicial misconduct. [Source: Section 257, BNS 2023]</t>
  </si>
  <si>
    <t xml:space="preserve">CASE_1542</t>
  </si>
  <si>
    <t xml:space="preserve">The consequence is that while judicial immunity protects honest mistakes to preserve judicial independence, it specifically strips that immunity from judges who deliberately weaponize the bench for corrupt or malicious ends. [Source: Section 257, BNS 2023]</t>
  </si>
  <si>
    <t xml:space="preserve">CASE_1543</t>
  </si>
  <si>
    <t xml:space="preserve">Commitment for trial or confinement by person having authority who knows that he is</t>
  </si>
  <si>
    <t xml:space="preserve">A person with legal authority to commit individuals to confinement who corruptly or maliciously does so, knowing it is contrary to law, is punishable by up to seven years in prison or a fine. [Source: Section 258, BNS 2023]</t>
  </si>
  <si>
    <t xml:space="preserve">Hugging Face source record: BNS_258</t>
  </si>
  <si>
    <t xml:space="preserve">CASE_1544</t>
  </si>
  <si>
    <t xml:space="preserve">Section 258 of BNS 2023 imposes imprisonment up to 7 years, or a fine, or both, on any person with authority to commit/confine who corruptly or maliciously commits someone to trial or confinement knowing they are acting contrary to law. [Source: Section 258, BNS 2023]</t>
  </si>
  <si>
    <t xml:space="preserve">CASE_1545</t>
  </si>
  <si>
    <t xml:space="preserve">Because he used his legal authority to maliciously keep a person in confinement, knowing he was acting contrary to law, he is punishable under Section 258 with imprisonment up to seven years or a fine. [Source: Section 258, BNS 2023]</t>
  </si>
  <si>
    <t xml:space="preserve">CASE_1546</t>
  </si>
  <si>
    <t xml:space="preserve">No, it specifically applies to "Whoever, being in any office which gives him legal authority to commit persons for trial or to confinement." Ordinary citizens face kidnapping/wrongful confinement charges instead. [Source: Section 258, BNS 2023]</t>
  </si>
  <si>
    <t xml:space="preserve">CASE_1547</t>
  </si>
  <si>
    <t xml:space="preserve">No, because the warden did not act "corruptly or maliciously" and did not "know" that acting upon the forged report was contrary to law. [Source: Section 258, BNS 2023]</t>
  </si>
  <si>
    <t xml:space="preserve">CASE_1548</t>
  </si>
  <si>
    <t xml:space="preserve">The consequence is that it provides a powerful safeguard against arbitrary state detention, ensuring that officials who abuse their powers of arrest and imprisonment face severe criminal retaliation. [Source: Section 258, BNS 2023]</t>
  </si>
  <si>
    <t xml:space="preserve">CASE_1549</t>
  </si>
  <si>
    <t xml:space="preserve">Intentional omission to apprehend on part of public servant bound to apprehend</t>
  </si>
  <si>
    <t xml:space="preserve">A public servant legally bound to arrest someone who intentionally fails to do so, or intentionally lets them escape, is punishable by up to 7 years in prison if the criminal was facing capital charges. [Source: Section 259, BNS 2023]</t>
  </si>
  <si>
    <t xml:space="preserve">Hugging Face source record: BNS_259</t>
  </si>
  <si>
    <t xml:space="preserve">CASE_1550</t>
  </si>
  <si>
    <t xml:space="preserve">Section 259 of BNS 2023 prescribes up to 7 years imprisonment (if the suspect faced a capital offence), 3 years (for life/10-year offences), or 2 years (for lesser offences) for a public servant bound to apprehend someone who intentionally omits to do so or aids their escape. [Source: Section 259, BNS 2023]</t>
  </si>
  <si>
    <t xml:space="preserve">CASE_1551</t>
  </si>
  <si>
    <t xml:space="preserve">Because the officer intentionally omitted to apprehend a person liable to be apprehended for an offence punishable by ten years imprisonment, he is punishable under clause (b) with imprisonment up to three years. [Source: Section 259, BNS 2023]</t>
  </si>
  <si>
    <t xml:space="preserve">CASE_1552</t>
  </si>
  <si>
    <t xml:space="preserve">The public servant must be "legally bound as such public servant to apprehend or to keep in confinement" the person. [Source: Section 259, BNS 2023]</t>
  </si>
  <si>
    <t xml:space="preserve">CASE_1553</t>
  </si>
  <si>
    <t xml:space="preserve">No, the constable's failure to apprehend was due to a lack of physical capability and self-preservation against overwhelming force, not an "intentional omission" to let them escape out of corrupt or malicious intent. [Source: Section 259, BNS 2023]</t>
  </si>
  <si>
    <t xml:space="preserve">CASE_1554</t>
  </si>
  <si>
    <t xml:space="preserve">The consequence is that the justice system treats the dereliction of duty proportionally; letting a petty thief escape is a serious breach, but letting a murderer escape is treated as a major crisis warranting up to 7 years in prison. [Source: Section 259, BNS 2023]</t>
  </si>
  <si>
    <t xml:space="preserve">CASE_1555</t>
  </si>
  <si>
    <t xml:space="preserve">Intentional omission to apprehend on part of public servant bound to apprehend person</t>
  </si>
  <si>
    <t xml:space="preserve">A public servant legally bound to keep a convicted person in confinement who intentionally lets them escape is punishable by up to 14 years in prison or life imprisonment if the escapee was on death row. [Source: Section 260, BNS 2023]</t>
  </si>
  <si>
    <t xml:space="preserve">Hugging Face source record: BNS_260</t>
  </si>
  <si>
    <t xml:space="preserve">CASE_1556</t>
  </si>
  <si>
    <t xml:space="preserve">While Section 259 deals with suspects *charged* with offences, Section 260 deals with persons already *under sentence of a Court* or lawfully committed. It imposes harsher penalties: up to life imprisonment (if the escapee was under a death sentence), 7 years (for life/10-year sentences), or 3 years (for lesser sentences). [Source: Section 260, BNS 2023]</t>
  </si>
  <si>
    <t xml:space="preserve">CASE_1557</t>
  </si>
  <si>
    <t xml:space="preserve">Because the guard intentionally suffered a person under sentence of death to escape from confinement, the guard is punishable under clause (a) with imprisonment for life or up to fourteen years. [Source: Section 260, BNS 2023]</t>
  </si>
  <si>
    <t xml:space="preserve">CASE_1558</t>
  </si>
  <si>
    <t xml:space="preserve">It applies if they are "under sentence of a Court" OR "lawfully committed to custody" (which covers pretrial detention), falling under clause (c) if no sentence has yet been passed. [Source: Section 260, BNS 2023]</t>
  </si>
  <si>
    <t xml:space="preserve">CASE_1559</t>
  </si>
  <si>
    <t xml:space="preserve">No, because the guards did not "intentionally" suffer the inmates to escape or aid them; the escape was forced upon them against their will. [Source: Section 260, BNS 2023]</t>
  </si>
  <si>
    <t xml:space="preserve">CASE_1560</t>
  </si>
  <si>
    <t xml:space="preserve">The consequence is that the state places the highest possible premium on executing its most severe sentences; a guard who releases a death-row inmate commits an act considered almost as severe as murder itself. [Source: Section 260, BNS 2023]</t>
  </si>
  <si>
    <t xml:space="preserve">CASE_1561</t>
  </si>
  <si>
    <t xml:space="preserve">Escape from confinement or custody negligently suffered by public servant</t>
  </si>
  <si>
    <t xml:space="preserve">A public servant legally bound to keep a person in confinement who negligently allows them to escape is punishable by simple imprisonment for up to two years or a fine. [Source: Section 261, BNS 2023]</t>
  </si>
  <si>
    <t xml:space="preserve">Hugging Face source record: BNS_261</t>
  </si>
  <si>
    <t xml:space="preserve">CASE_1562</t>
  </si>
  <si>
    <t xml:space="preserve">Section 261 of BNS 2023 imposes simple imprisonment up to 2 years, or a fine, or both, on a public servant who negligently suffers a person charged with/convicted of an offence to escape from confinement. [Source: Section 261, BNS 2023]</t>
  </si>
  <si>
    <t xml:space="preserve">CASE_1563</t>
  </si>
  <si>
    <t xml:space="preserve">Because he negligently suffered a person in lawful custody to escape from confinement, he is punishable under Section 261 with simple imprisonment up to two years or a fine. [Source: Section 261, BNS 2023]</t>
  </si>
  <si>
    <t xml:space="preserve">CASE_1564</t>
  </si>
  <si>
    <t xml:space="preserve">The statute prescribes "simple imprisonment." [Source: Section 261, BNS 2023]</t>
  </si>
  <si>
    <t xml:space="preserve">CASE_1565</t>
  </si>
  <si>
    <t xml:space="preserve">No, because the escape was not caused by the guards "negligently" suffering them to escape; it was an act of God. [Source: Section 261, BNS 2023]</t>
  </si>
  <si>
    <t xml:space="preserve">CASE_1566</t>
  </si>
  <si>
    <t xml:space="preserve">The consequence is that it imposes a strict duty of care on prison and police officials, ensuring that sheer incompetence or laziness resulting in an escape is treated as a criminal offense, not just an administrative failure. [Source: Section 261, BNS 2023]</t>
  </si>
  <si>
    <t xml:space="preserve">CASE_1567</t>
  </si>
  <si>
    <t xml:space="preserve">Resistance or obstruction by a person to his lawful apprehension</t>
  </si>
  <si>
    <t xml:space="preserve">Intentionally resisting your own lawful arrest or escaping from lawful custody is punishable by up to two years in prison or a fine, in addition to the punishment for the original crime. [Source: Section 262, BNS 2023]</t>
  </si>
  <si>
    <t xml:space="preserve">Hugging Face source record: BNS_262</t>
  </si>
  <si>
    <t xml:space="preserve">CASE_1568</t>
  </si>
  <si>
    <t xml:space="preserve">Section 262 of BNS 2023 penalizes anyone who intentionally offers resistance/obstruction to their own lawful apprehension, or escapes custody, with imprisonment up to 2 years or a fine, in addition to the penalty for their original offence. [Source: Section 262, BNS 2023]</t>
  </si>
  <si>
    <t xml:space="preserve">CASE_1569</t>
  </si>
  <si>
    <t xml:space="preserve">Because he intentionally offered resistance to his lawful apprehension and attempted to escape, he is punishable under Section 262 with imprisonment up to two years or a fine. [Source: Section 262, BNS 2023]</t>
  </si>
  <si>
    <t xml:space="preserve">CASE_1570</t>
  </si>
  <si>
    <t xml:space="preserve">No, the Explanation clarifies that "The punishment in this section is in addition to the punishment for which the person... was liable for the offence with which he was charged." [Source: Section 262, BNS 2023]</t>
  </si>
  <si>
    <t xml:space="preserve">CASE_1571</t>
  </si>
  <si>
    <t xml:space="preserve">No, because he did not "intentionally" resist a "lawful apprehension"; he lacked the mens rea as he reasonably believed he was defending himself against an unlawful attack. [Source: Section 262, BNS 2023]</t>
  </si>
  <si>
    <t xml:space="preserve">CASE_1572</t>
  </si>
  <si>
    <t xml:space="preserve">The consequence is a strong deterrent against fleeing or fighting the police; criminals know that resisting arrest will only objectively worsen their final prison sentence regardless of the underlying charge. [Source: Section 262, BNS 2023]</t>
  </si>
  <si>
    <t xml:space="preserve">CASE_1573</t>
  </si>
  <si>
    <t xml:space="preserve">Resistance or obstruction to lawful apprehension of another person</t>
  </si>
  <si>
    <t xml:space="preserve">Resisting the lawful arrest of another person or rescuing them from custody is punishable by 2 to 7 years in prison, or even life imprisonment if the person being rescued was on death row. [Source: Section 263, BNS 2023]</t>
  </si>
  <si>
    <t xml:space="preserve">Hugging Face source record: BNS_263</t>
  </si>
  <si>
    <t xml:space="preserve">CASE_1574</t>
  </si>
  <si>
    <t xml:space="preserve">Section 263 of BNS 2023 imposes tiered punishments for resisting another's apprehension or rescuing them: up to 2 years for minor offences, 3 years for 10-year offences, 7 years for capital/life offences, and up to life imprisonment if rescuing a death-row inmate. [Source: Section 263, BNS 2023]</t>
  </si>
  <si>
    <t xml:space="preserve">CASE_1575</t>
  </si>
  <si>
    <t xml:space="preserve">Because he rescued a person liable to be apprehended for an offence punishable with death, he is punishable under clause (c) with imprisonment up to seven years and a fine. [Source: Section 263, BNS 2023]</t>
  </si>
  <si>
    <t xml:space="preserve">CASE_1576</t>
  </si>
  <si>
    <t xml:space="preserve">The punishment scales directly with the severity of the offence committed by the person being rescued (from 2 years for minor offences up to life imprisonment for rescuing someone sentenced to death). [Source: Section 263, BNS 2023]</t>
  </si>
  <si>
    <t xml:space="preserve">CASE_1577</t>
  </si>
  <si>
    <t xml:space="preserve">No, because they did not know it was a "lawful apprehension"; lacking that knowledge, they did not have the specific intent to illegally obstruct justice. [Source: Section 263, BNS 2023]</t>
  </si>
  <si>
    <t xml:space="preserve">CASE_1578</t>
  </si>
  <si>
    <t xml:space="preserve">The consequence is that the state treats third-party interference as a distinct and highly dangerous assault on public order, severely punishing accomplices and mobs who try to physically override the justice system. [Source: Section 263, BNS 2023]</t>
  </si>
  <si>
    <t xml:space="preserve">CASE_1579</t>
  </si>
  <si>
    <t xml:space="preserve">Omission to apprehend, or sufferance of escape, on part of public servant, in cases not</t>
  </si>
  <si>
    <t xml:space="preserve">A public servant legally bound to apprehend someone who lets them escape, in cases not covered by sections 259-261, faces up to three years in prison if done intentionally, or two years if done negligently. [Source: Section 264, BNS 2023]</t>
  </si>
  <si>
    <t xml:space="preserve">Hugging Face source record: BNS_264</t>
  </si>
  <si>
    <t xml:space="preserve">CASE_1580</t>
  </si>
  <si>
    <t xml:space="preserve">Section 264 of BNS 2023 covers cases not provided for in Sections 259-261, punishing public servants who omit to apprehend or suffer escape with up to 3 years imprisonment (if intentional) or up to 2 years simple imprisonment (if negligent). [Source: Section 264, BNS 2023]</t>
  </si>
  <si>
    <t xml:space="preserve">CASE_1581</t>
  </si>
  <si>
    <t xml:space="preserve">Because he is a public servant legally bound to keep a person in confinement and intentionally suffered him to escape in a case not otherwise provided for, he is punishable under clause (a) with imprisonment up to three years. [Source: Section 264, BNS 2023]</t>
  </si>
  <si>
    <t xml:space="preserve">CASE_1582</t>
  </si>
  <si>
    <t xml:space="preserve">Clause (a) covers "intentionally" suffering escape (punishable by up to 3 years of either description), while clause (b) covers "negligently" doing so (punishable by up to 2 years of simple imprisonment). [Source: Section 264, BNS 2023]</t>
  </si>
  <si>
    <t xml:space="preserve">CASE_1583</t>
  </si>
  <si>
    <t xml:space="preserve">No, if the inspector exercised reasonable care, they did not act "negligently" or "intentionally," so they are not criminally liable under Section 264. [Source: Section 264, BNS 2023]</t>
  </si>
  <si>
    <t xml:space="preserve">CASE_1584</t>
  </si>
  <si>
    <t xml:space="preserve">The consequence is that it closes legal loopholes, ensuring that public servants cannot escape liability for dereliction of duty simply because the specific type of confinement or apprehension order doesn't perfectly match the major criminal statutes. [Source: Section 264, BNS 2023]</t>
  </si>
  <si>
    <t xml:space="preserve">CASE_1585</t>
  </si>
  <si>
    <t xml:space="preserve">Resistance or obstruction to lawful apprehension or escape or rescue in cases not otherwise</t>
  </si>
  <si>
    <t xml:space="preserve">Resisting lawful apprehension, escaping, or rescuing someone in cases not specifically covered by other laws is a minor offence punishable by up to six months in prison or a fine. [Source: Section 265, BNS 2023]</t>
  </si>
  <si>
    <t xml:space="preserve">Hugging Face source record: BNS_265</t>
  </si>
  <si>
    <t xml:space="preserve">CASE_1586</t>
  </si>
  <si>
    <t xml:space="preserve">Section 265 of BNS 2023 serves as a residuary clause for cases not provided for in Sections 262/263, prescribing up to 6 months imprisonment or a fine for intentionally resisting apprehension, escaping, or rescuing another person from lawful custody. [Source: Section 265, BNS 2023]</t>
  </si>
  <si>
    <t xml:space="preserve">CASE_1587</t>
  </si>
  <si>
    <t xml:space="preserve">Because he escaped from custody in a case not provided for in section 262 or 263, he is punishable under the catch-all Section 265 with imprisonment up to six months or a fine. [Source: Section 265, BNS 2023]</t>
  </si>
  <si>
    <t xml:space="preserve">CASE_1588</t>
  </si>
  <si>
    <t xml:space="preserve">Sections 262 and 263 deal with resistance and escape regarding criminal "offences," whereas Section 265 broadly covers "any case not provided for," encompassing civil detainments, preventive custody, or other lawful non-criminal apprehensions. [Source: Section 265, BNS 2023]</t>
  </si>
  <si>
    <t xml:space="preserve">CASE_1589</t>
  </si>
  <si>
    <t xml:space="preserve">No, because the custody was not "lawful," and the right to private defense allows resisting unlawful detention. [Source: Section 265, BNS 2023]</t>
  </si>
  <si>
    <t xml:space="preserve">CASE_1590</t>
  </si>
  <si>
    <t xml:space="preserve">The consequence is a proportionate legal response; because the underlying detentions covered here are generally civil or minor regulatory matters rather than serious crimes, the penalty for escaping them is correspondingly light. [Source: Section 265, BNS 2023]</t>
  </si>
  <si>
    <t xml:space="preserve">CASE_1591</t>
  </si>
  <si>
    <t xml:space="preserve">Violation of condition of remission of punishment</t>
  </si>
  <si>
    <t xml:space="preserve">If someone knowingly violates a condition of their remitted punishment, they must serve the remainder of their original sentence. [Source: Section 266, BNS 2023]</t>
  </si>
  <si>
    <t xml:space="preserve">Hugging Face source record: BNS_266</t>
  </si>
  <si>
    <t xml:space="preserve">CASE_1592</t>
  </si>
  <si>
    <t xml:space="preserve">Section 266 of BNS 2023 dictates that whoever knowingly violates any condition of their conditionally remitted punishment shall be punished with the original sentence, or whatever portion of it they have not yet suffered. [Source: Section 266, BNS 2023]</t>
  </si>
  <si>
    <t xml:space="preserve">CASE_1593</t>
  </si>
  <si>
    <t xml:space="preserve">Because he knowingly violated the condition on which remission was granted, he is punishable under Section 266 by having to serve the remaining portion of his original sentence. [Source: Section 266, BNS 2023]</t>
  </si>
  <si>
    <t xml:space="preserve">CASE_1594</t>
  </si>
  <si>
    <t xml:space="preserve">No, the punishment is strictly limited to "the punishment to which he was originally sentenced" or "so much of that punishment as he has not already suffered." [Source: Section 266, BNS 2023]</t>
  </si>
  <si>
    <t xml:space="preserve">CASE_1595</t>
  </si>
  <si>
    <t xml:space="preserve">No, because he did not "knowingly" or voluntarily violate the condition; the interaction was forced upon him without intent. [Source: Section 266, BNS 2023]</t>
  </si>
  <si>
    <t xml:space="preserve">CASE_1596</t>
  </si>
  <si>
    <t xml:space="preserve">The consequence is that early release is treated as a conditional privilege, not an absolute right; breaking trust immediately reactivates the original legal debt owed to society without requiring a whole new trial. [Source: Section 266, BNS 2023]</t>
  </si>
  <si>
    <t xml:space="preserve">CASE_1597</t>
  </si>
  <si>
    <t xml:space="preserve">Intentional insult or interruption to public servant sitting in judicial proceeding</t>
  </si>
  <si>
    <t xml:space="preserve">Intentionally insulting a public servant or interrupting them while they are conducting a judicial proceeding is punishable by up to six months in prison or a fine up to 5,000 rupees. [Source: Section 267, BNS 2023]</t>
  </si>
  <si>
    <t xml:space="preserve">Hugging Face source record: BNS_267</t>
  </si>
  <si>
    <t xml:space="preserve">CASE_1598</t>
  </si>
  <si>
    <t xml:space="preserve">Section 267 of BNS 2023 imposes simple imprisonment up to 6 months, or a fine up to 5,000 rupees, or both, on anyone who intentionally insults or interrupts a public servant sitting in any stage of a judicial proceeding. [Source: Section 267, BNS 2023]</t>
  </si>
  <si>
    <t xml:space="preserve">CASE_1599</t>
  </si>
  <si>
    <t xml:space="preserve">Because the spectator intentionally offered an insult and caused interruption to a public servant sitting in a judicial proceeding, he is punishable under Section 267 with imprisonment up to six months or a fine up to 5,000 rupees. [Source: Section 267, BNS 2023]</t>
  </si>
  <si>
    <t xml:space="preserve">CASE_1600</t>
  </si>
  <si>
    <t xml:space="preserve">No, the section broadly covers any "public servant" while they are "sitting in any stage of a judicial proceeding." [Source: Section 267, BNS 2023]</t>
  </si>
  <si>
    <t xml:space="preserve">CASE_1601</t>
  </si>
  <si>
    <t xml:space="preserve">No, because the interruption was not caused "intentionally"; it was an involuntary physical reaction. [Source: Section 267, BNS 2023]</t>
  </si>
  <si>
    <t xml:space="preserve">CASE_1602</t>
  </si>
  <si>
    <t xml:space="preserve">The consequence is that it arms judges and magistrates with direct statutory power to immediately penalize disruptive behavior, ensuring that the dignity and orderly function of the courts are preserved. [Source: Section 267, BNS 2023]</t>
  </si>
  <si>
    <t xml:space="preserve">CASE_1603</t>
  </si>
  <si>
    <t xml:space="preserve">Personation of assessor</t>
  </si>
  <si>
    <t xml:space="preserve">Intentionally pretending to be someone else to be empaneled as an assessor, or serving as one when you know you are legally ineligible, is punishable by up to two years in prison or a fine. [Source: Section 268, BNS 2023]</t>
  </si>
  <si>
    <t xml:space="preserve">Hugging Face source record: BNS_268</t>
  </si>
  <si>
    <t xml:space="preserve">CASE_1604</t>
  </si>
  <si>
    <t xml:space="preserve">Section 268 of BNS 2023 prescribes imprisonment up to 2 years, or a fine, or both, for anyone who by personation intentionally causes themselves to be empaneled/sworn as an assessor, or serves knowing they are legally disqualified. [Source: Section 268, BNS 2023]</t>
  </si>
  <si>
    <t xml:space="preserve">CASE_1605</t>
  </si>
  <si>
    <t xml:space="preserve">Because he intentionally caused himself to be empaneled and sworn as an assessor by personation, knowing he was not entitled to be returned, he is punishable under Section 268 with imprisonment up to two years or a fine. [Source: Section 268, BNS 2023]</t>
  </si>
  <si>
    <t xml:space="preserve">CASE_1606</t>
  </si>
  <si>
    <t xml:space="preserve">Yes, if they do not impersonate anyone but still "voluntarily serve as such assessor" "knowing himself to have been so returned, empanelled or sworn contrary to law." [Source: Section 268, BNS 2023]</t>
  </si>
  <si>
    <t xml:space="preserve">CASE_1607</t>
  </si>
  <si>
    <t xml:space="preserve">No, because they did not serve "knowing" that they were returned or sworn contrary to law; it was an innocent mistake of legal eligibility. [Source: Section 268, BNS 2023]</t>
  </si>
  <si>
    <t xml:space="preserve">CASE_1608</t>
  </si>
  <si>
    <t xml:space="preserve">The consequence is that it protects the fundamental fairness of the trial process, preventing compromised or unauthorized individuals from infiltrating the bodies that help determine guilt or innocence. [Source: Section 268, BNS 2023]</t>
  </si>
  <si>
    <t xml:space="preserve">CASE_1609</t>
  </si>
  <si>
    <t xml:space="preserve">Failure by person released on bail bond or bond to appear in Court</t>
  </si>
  <si>
    <t xml:space="preserve">Failing to appear in court after being released on a bail bond, without a sufficient excuse, is a separate crime punishable by up to one year in prison or a fine, in addition to forfeiting the bond. [Source: Section 269, BNS 2023]</t>
  </si>
  <si>
    <t xml:space="preserve">Hugging Face source record: BNS_269</t>
  </si>
  <si>
    <t xml:space="preserve">CASE_1610</t>
  </si>
  <si>
    <t xml:space="preserve">Section 269 of BNS 2023 imposes imprisonment up to 1 year, or a fine, or both, on anyone released on bail who fails to appear in Court without sufficient cause (the burden of proof lying on the accused). [Source: Section 269, BNS 2023]</t>
  </si>
  <si>
    <t xml:space="preserve">CASE_1611</t>
  </si>
  <si>
    <t xml:space="preserve">Because he failed to appear in Court in accordance with his bail bond without sufficient cause, he is punishable under Section 269 with imprisonment up to one year or a fine. [Source: Section 269, BNS 2023]</t>
  </si>
  <si>
    <t xml:space="preserve">CASE_1612</t>
  </si>
  <si>
    <t xml:space="preserve">The burden of proving "sufficient cause" lies strictly upon the accused person who failed to appear. [Source: Section 269, BNS 2023]</t>
  </si>
  <si>
    <t xml:space="preserve">CASE_1613</t>
  </si>
  <si>
    <t xml:space="preserve">No, because the severe accident and hospitalization constitute "sufficient cause" for failing to appear, overcoming the burden of proof. [Source: Section 269, BNS 2023]</t>
  </si>
  <si>
    <t xml:space="preserve">CASE_1614</t>
  </si>
  <si>
    <t xml:space="preserve">The consequence is that it allows the state to punish absconders directly, ensuring that defendants face actual jail time for defying court orders, rather than just losing their financial bail deposit. [Source: Section 269, BNS 2023]</t>
  </si>
  <si>
    <t xml:space="preserve">CASE_1615</t>
  </si>
  <si>
    <t xml:space="preserve">Public nuisance</t>
  </si>
  <si>
    <t xml:space="preserve">A public nuisance is an act or illegal omission that causes common injury, danger, or annoyance to the public or neighbors, or obstructs people using public rights, and it is not excused just because it provides some convenience. [Source: Section 270, BNS 2023]</t>
  </si>
  <si>
    <t xml:space="preserve">Hugging Face source record: BNS_270</t>
  </si>
  <si>
    <t xml:space="preserve">CASE_1616</t>
  </si>
  <si>
    <t xml:space="preserve">Section 270 of BNS 2023 defines a public nuisance as an act/illegal omission causing common injury, danger, or annoyance to the public, neighborhood dwellers, or persons exercising a public right. [Source: Section 270, BNS 2023]</t>
  </si>
  <si>
    <t xml:space="preserve">CASE_1617</t>
  </si>
  <si>
    <t xml:space="preserve">Because the act causes common injury, danger, and annoyance to the public and neighborhood dwellers, the factory owner is guilty of a public nuisance under Section 270. [Source: Section 270, BNS 2023]</t>
  </si>
  <si>
    <t xml:space="preserve">CASE_1618</t>
  </si>
  <si>
    <t xml:space="preserve">No, the section explicitly states that "a common nuisance is not excused on the ground that it causes some convenience or advantage." [Source: Section 270, BNS 2023]</t>
  </si>
  <si>
    <t xml:space="preserve">CASE_1619</t>
  </si>
  <si>
    <t xml:space="preserve">No, this is likely a private nuisance; it does not cause "common" annoyance to the "public or to the people in general who dwell or occupy property in the vicinity." [Source: Section 270, BNS 2023]</t>
  </si>
  <si>
    <t xml:space="preserve">CASE_1620</t>
  </si>
  <si>
    <t xml:space="preserve">The consequence is that it provides a broad, flexible tool for law enforcement to protect the general welfare, safety, and comfort of communities against antisocial behavior, pollution, or hazardous activities that affect the public at large. [Source: Section 270, BNS 2023]</t>
  </si>
  <si>
    <t xml:space="preserve">CASE_1621</t>
  </si>
  <si>
    <t xml:space="preserve">Negligent act likely to spread infection of disease dangerous to life</t>
  </si>
  <si>
    <t xml:space="preserve">Negligently or unlawfully doing an act that you know or have reason to believe will likely spread a life-threatening disease is punishable by up to six months in prison or a fine. [Source: Section 271, BNS 2023]</t>
  </si>
  <si>
    <t xml:space="preserve">Hugging Face source record: BNS_271</t>
  </si>
  <si>
    <t xml:space="preserve">CASE_1622</t>
  </si>
  <si>
    <t xml:space="preserve">Section 271 of BNS 2023 imposes imprisonment up to 6 months, or a fine, or both, on whoever unlawfully or negligently does an act they know/believe is likely to spread the infection of a disease dangerous to life. [Source: Section 271, BNS 2023]</t>
  </si>
  <si>
    <t xml:space="preserve">CASE_1623</t>
  </si>
  <si>
    <t xml:space="preserve">Because he negligently did an act which he knew was likely to spread the infection of a disease dangerous to life, he is punishable under Section 271 with imprisonment up to six months or a fine. [Source: Section 271, BNS 2023]</t>
  </si>
  <si>
    <t xml:space="preserve">CASE_1624</t>
  </si>
  <si>
    <t xml:space="preserve">The person must act "unlawfully or negligently" and must "know or have reason to believe" that the act is likely to spread the disease. [Source: Section 271, BNS 2023]</t>
  </si>
  <si>
    <t xml:space="preserve">CASE_1625</t>
  </si>
  <si>
    <t xml:space="preserve">No, because the nurse did not "know or have reason to believe" they were infected and likely to spread the disease, meaning the act was not done with the requisite negligent state of mind. [Source: Section 271, BNS 2023]</t>
  </si>
  <si>
    <t xml:space="preserve">CASE_1626</t>
  </si>
  <si>
    <t xml:space="preserve">The consequence is that it imposes a basic civic duty of care regarding infectious diseases, criminalizing reckless behavior during public health crises to protect the broader population. [Source: Section 271, BNS 2023]</t>
  </si>
  <si>
    <t xml:space="preserve">CASE_1627</t>
  </si>
  <si>
    <t xml:space="preserve">Malignant act likely to spread infection of disease dangerous to life</t>
  </si>
  <si>
    <t xml:space="preserve">Malignantly doing an act that you know is likely to spread a life-threatening disease is a severe offence punishable by up to two years in prison or a fine. [Source: Section 272, BNS 2023]</t>
  </si>
  <si>
    <t xml:space="preserve">Hugging Face source record: BNS_272</t>
  </si>
  <si>
    <t xml:space="preserve">CASE_1628</t>
  </si>
  <si>
    <t xml:space="preserve">While Section 271 covers "negligent" acts (punishable by up to 6 months), Section 272 covers acts done "malignantly" (with evil intent), increasing the punishment to up to 2 years imprisonment, or a fine, or both. [Source: Section 272, BNS 2023]</t>
  </si>
  <si>
    <t xml:space="preserve">CASE_1629</t>
  </si>
  <si>
    <t xml:space="preserve">Because he malignantly did an act which he knew was likely to spread a disease dangerous to life, he is punishable under Section 272 with imprisonment up to two years or a fine. [Source: Section 272, BNS 2023]</t>
  </si>
  <si>
    <t xml:space="preserve">CASE_1630</t>
  </si>
  <si>
    <t xml:space="preserve">The act must be done "malignantly," meaning with a deliberate, wicked intent to cause harm by spreading the infection. [Source: Section 272, BNS 2023]</t>
  </si>
  <si>
    <t xml:space="preserve">CASE_1631</t>
  </si>
  <si>
    <t xml:space="preserve">No, because there was no malignant intent; at worst it was negligence, and if it was a pure unavoidable accident, no offence was committed at all. [Source: Section 272, BNS 2023]</t>
  </si>
  <si>
    <t xml:space="preserve">CASE_1632</t>
  </si>
  <si>
    <t xml:space="preserve">The consequence is that the law distinguishes between mere foolishness (negligence) and biological malice (weaponizing one's own infection), allowing prosecutors to seek harsher penalties for those who intentionally endanger public health. [Source: Section 272, BNS 2023]</t>
  </si>
  <si>
    <t xml:space="preserve">CASE_1633</t>
  </si>
  <si>
    <t xml:space="preserve">Disobedience to quarantine rule</t>
  </si>
  <si>
    <t xml:space="preserve">Knowingly disobeying a government rule regarding quarantine (such as for ships, planes, or infected places) is punishable by up to six months in prison or a fine. [Source: Section 273, BNS 2023]</t>
  </si>
  <si>
    <t xml:space="preserve">Hugging Face source record: BNS_273</t>
  </si>
  <si>
    <t xml:space="preserve">CASE_1634</t>
  </si>
  <si>
    <t xml:space="preserve">Section 273 of BNS 2023 imposes imprisonment up to 6 months, or a fine, or both, on whoever knowingly disobeys government rules for putting transport into quarantine or regulating intercourse between infected and uninfected places. [Source: Section 273, BNS 2023]</t>
  </si>
  <si>
    <t xml:space="preserve">CASE_1635</t>
  </si>
  <si>
    <t xml:space="preserve">Because he knowingly disobeyed a government rule for regulating intercourse with a transport in a state of quarantine, he is punishable under Section 273 with imprisonment up to six months or a fine. [Source: Section 273, BNS 2023]</t>
  </si>
  <si>
    <t xml:space="preserve">CASE_1636</t>
  </si>
  <si>
    <t xml:space="preserve">It must be a rule "made by the Government" regarding the quarantine of transport or regulating intercourse involving places where an infectious disease prevails. [Source: Section 273, BNS 2023]</t>
  </si>
  <si>
    <t xml:space="preserve">CASE_1637</t>
  </si>
  <si>
    <t xml:space="preserve">No, because the rule must exist and be "knowingly" disobeyed at the time of the act; he cannot disobey a rule that hasn't been made yet. [Source: Section 273, BNS 2023]</t>
  </si>
  <si>
    <t xml:space="preserve">CASE_1638</t>
  </si>
  <si>
    <t xml:space="preserve">The consequence is that it gives teeth to government emergency orders, ensuring that the state has the legal authority to physically isolate infections and criminally prosecute those who breach those isolation zones. [Source: Section 273, BNS 2023]</t>
  </si>
  <si>
    <t xml:space="preserve">CASE_1639</t>
  </si>
  <si>
    <t xml:space="preserve">Adulteration of food or drink intended for sale</t>
  </si>
  <si>
    <t xml:space="preserve">Adulterating food or drink to make it noxious, with the intent to sell it, is punishable by up to six months in prison or a fine up to 5,000 rupees. [Source: Section 274, BNS 2023]</t>
  </si>
  <si>
    <t xml:space="preserve">Hugging Face source record: BNS_274</t>
  </si>
  <si>
    <t xml:space="preserve">CASE_1640</t>
  </si>
  <si>
    <t xml:space="preserve">Section 274 of BNS 2023 imposes imprisonment up to 6 months, or a fine up to 5,000 rupees, or both, on whoever adulterates food/drink to make it noxious, intending or knowing it is likely to be sold. [Source: Section 274, BNS 2023]</t>
  </si>
  <si>
    <t xml:space="preserve">CASE_1641</t>
  </si>
  <si>
    <t xml:space="preserve">Because he adulterated an article of drink to make it noxious, intending to sell it, he is punishable under Section 274 with imprisonment up to six months or a fine up to 5,000 rupees. [Source: Section 274, BNS 2023]</t>
  </si>
  <si>
    <t xml:space="preserve">CASE_1642</t>
  </si>
  <si>
    <t xml:space="preserve">No, the offence is complete upon the act of adulteration itself, provided there is an "intent to sell" or knowledge that it is "likely... to be sold." [Source: Section 274, BNS 2023]</t>
  </si>
  <si>
    <t xml:space="preserve">CASE_1643</t>
  </si>
  <si>
    <t xml:space="preserve">No, because the chef did not deliberately "adulterate" the food to make it noxious, and there was no "intent to sell" it, as it was a private gathering. [Source: Section 274, BNS 2023]</t>
  </si>
  <si>
    <t xml:space="preserve">CASE_1644</t>
  </si>
  <si>
    <t xml:space="preserve">The consequence is that it protects consumer safety at the source of production, deterring greedy manufacturers from cutting corners with harmful additives before the products ever reach store shelves. [Source: Section 274, BNS 2023]</t>
  </si>
  <si>
    <t xml:space="preserve">CASE_1645</t>
  </si>
  <si>
    <t xml:space="preserve">Sale of noxious food or drink</t>
  </si>
  <si>
    <t xml:space="preserve">Selling or offering to sell food or drinks that you know are noxious or unfit for consumption is punishable by up to six months in prison or a fine up to 5,000 rupees. [Source: Section 275, BNS 2023]</t>
  </si>
  <si>
    <t xml:space="preserve">Hugging Face source record: BNS_275</t>
  </si>
  <si>
    <t xml:space="preserve">CASE_1646</t>
  </si>
  <si>
    <t xml:space="preserve">Section 275 of BNS 2023 imposes imprisonment up to 6 months, or a fine up to 5,000 rupees, or both, on anyone who sells or offers for sale food/drink knowing or having reason to believe it is noxious or unfit. [Source: Section 275, BNS 2023]</t>
  </si>
  <si>
    <t xml:space="preserve">CASE_1647</t>
  </si>
  <si>
    <t xml:space="preserve">Because he exposed for sale an article of food knowing it was in a state unfit for food, he is punishable under Section 275 with imprisonment up to six months or a fine up to 5,000 rupees. [Source: Section 275, BNS 2023]</t>
  </si>
  <si>
    <t xml:space="preserve">CASE_1648</t>
  </si>
  <si>
    <t xml:space="preserve">Displaying it is enough; the section covers whoever "sells, or offers or exposes for sale" the noxious item. [Source: Section 275, BNS 2023]</t>
  </si>
  <si>
    <t xml:space="preserve">CASE_1649</t>
  </si>
  <si>
    <t xml:space="preserve">No, because the clerk did not "know or have reason to believe" that the food inside the sealed cans was noxious or unfit. [Source: Section 275, BNS 2023]</t>
  </si>
  <si>
    <t xml:space="preserve">CASE_1650</t>
  </si>
  <si>
    <t xml:space="preserve">The consequence is a comprehensive regulatory net: Section 274 catches the corrupt manufacturer who taints the food, while Section 275 catches the corrupt retailer who knowingly passes that tainted food onto the consumer. [Source: Section 275, BNS 2023]</t>
  </si>
  <si>
    <t xml:space="preserve">CASE_1651</t>
  </si>
  <si>
    <t xml:space="preserve">Adulteration of drugs</t>
  </si>
  <si>
    <t xml:space="preserve">Adulterating a drug or medical preparation to lessen its efficacy, change how it works, or make it noxious, with the intent to sell it as unadulterated, is punishable by up to one year in prison or a fine up to 5,000 rupees. [Source: Section 276, BNS 2023]</t>
  </si>
  <si>
    <t xml:space="preserve">Hugging Face source record: BNS_276</t>
  </si>
  <si>
    <t xml:space="preserve">CASE_1652</t>
  </si>
  <si>
    <t xml:space="preserve">Section 276 of BNS 2023 imposes imprisonment up to 1 year, or a fine up to 5,000 rupees, or both, on whoever adulterates a drug to lessen its efficacy/make it noxious, intending/knowing it will likely be sold or used as if it were unadulterated. [Source: Section 276, BNS 2023]</t>
  </si>
  <si>
    <t xml:space="preserve">CASE_1653</t>
  </si>
  <si>
    <t xml:space="preserve">Because he adulterated a medical preparation to lessen its efficacy, intending it to be sold for medicinal purposes as if it had not undergone adulteration, he is punishable under Section 276 with imprisonment up to one year or a fine. [Source: Section 276, BNS 2023]</t>
  </si>
  <si>
    <t xml:space="preserve">CASE_1654</t>
  </si>
  <si>
    <t xml:space="preserve">The adulteration must be done in a manner that lessens the efficacy, changes the operation, or makes the drug or medical preparation noxious. [Source: Section 276, BNS 2023]</t>
  </si>
  <si>
    <t xml:space="preserve">CASE_1655</t>
  </si>
  <si>
    <t xml:space="preserve">No, because the adulteration did not "lessen the efficacy or change the operation" of the drug, nor make it noxious, and lacked criminal intent. [Source: Section 276, BNS 2023]</t>
  </si>
  <si>
    <t xml:space="preserve">CASE_1656</t>
  </si>
  <si>
    <t xml:space="preserve">The consequence is that the law recognizes that making a medicine weaker (even if not overtly toxic) is a severe threat to public health, as patients relying on the drug will not receive the necessary treatment. [Source: Section 276, BNS 2023]</t>
  </si>
  <si>
    <t xml:space="preserve">CASE_1657</t>
  </si>
  <si>
    <t xml:space="preserve">Sale of adulterated drugs</t>
  </si>
  <si>
    <t xml:space="preserve">Selling, offering for sale, or issuing tampered drugs from a dispensary, knowing they have been adulterated to lessen their efficacy or make them harmful, is punishable by up to six months in prison or a fine. [Source: Section 277, BNS 2023]</t>
  </si>
  <si>
    <t xml:space="preserve">Hugging Face source record: BNS_277</t>
  </si>
  <si>
    <t xml:space="preserve">CASE_1658</t>
  </si>
  <si>
    <t xml:space="preserve">Section 277 of BNS 2023 imposes imprisonment up to 6 months, or a fine up to 5,000 rupees, or both, on anyone who knowingly sells, exposes for sale, or issues for medicinal use an adulterated drug as if it were unadulterated. [Source: Section 277, BNS 2023]</t>
  </si>
  <si>
    <t xml:space="preserve">CASE_1659</t>
  </si>
  <si>
    <t xml:space="preserve">Because he issued a drug from a dispensary for medicinal purposes as unadulterated, knowing its efficacy had been lessened, he is punishable under Section 277 with imprisonment up to six months or a fine. [Source: Section 277, BNS 2023]</t>
  </si>
  <si>
    <t xml:space="preserve">CASE_1660</t>
  </si>
  <si>
    <t xml:space="preserve">Yes, the section covers whoever "causes it to be used for medicinal purposes by any person not knowing of the adulteration." [Source: Section 277, BNS 2023]</t>
  </si>
  <si>
    <t xml:space="preserve">CASE_1661</t>
  </si>
  <si>
    <t xml:space="preserve">No, because she did not "know" the drug had been adulterated; lacking knowledge, she lacks the mens rea for the offence. [Source: Section 277, BNS 2023]</t>
  </si>
  <si>
    <t xml:space="preserve">CASE_1662</t>
  </si>
  <si>
    <t xml:space="preserve">The consequence is that the legal system can separately prosecute the corrupt manufacturers who taint the drugs (Section 276) and the corrupt distributors/medical professionals who knowingly administer them to vulnerable patients (Section 277). [Source: Section 277, BNS 2023]</t>
  </si>
  <si>
    <t xml:space="preserve">CASE_1663</t>
  </si>
  <si>
    <t xml:space="preserve">Sale of drug as a different drug or preparation</t>
  </si>
  <si>
    <t xml:space="preserve">Knowingly selling or dispensing a drug or medical preparation under the guise of it being a different drug is punishable by up to six months in prison or a fine up to 5,000 rupees. [Source: Section 278, BNS 2023]</t>
  </si>
  <si>
    <t xml:space="preserve">Hugging Face source record: BNS_278</t>
  </si>
  <si>
    <t xml:space="preserve">CASE_1664</t>
  </si>
  <si>
    <t xml:space="preserve">Section 278 of BNS 2023 imposes imprisonment up to 6 months, or a fine up to 5,000 rupees, or both, on whoever knowingly sells, exposes for sale, or issues from a dispensary any drug as a different drug or medical preparation. [Source: Section 278, BNS 2023]</t>
  </si>
  <si>
    <t xml:space="preserve">CASE_1665</t>
  </si>
  <si>
    <t xml:space="preserve">Because he knowingly sold a medical preparation as a different drug, he is punishable under Section 278 with imprisonment up to six months or a fine up to 5,000 rupees. [Source: Section 278, BNS 2023]</t>
  </si>
  <si>
    <t xml:space="preserve">CASE_1666</t>
  </si>
  <si>
    <t xml:space="preserve">No, the offence is simply selling or issuing a drug "as a different drug." The danger lies in the deception and the patient not receiving the actual medication they need, regardless of whether the substitute itself is directly toxic. [Source: Section 278, BNS 2023]</t>
  </si>
  <si>
    <t xml:space="preserve">CASE_1667</t>
  </si>
  <si>
    <t xml:space="preserve">No, as long as the generic drug is pharmacologically the same preparation prescribed and legally substituted, the pharmacist did not knowingly sell a "different drug" in the deceptive sense intended by this section. [Source: Section 278, BNS 2023]</t>
  </si>
  <si>
    <t xml:space="preserve">CASE_1668</t>
  </si>
  <si>
    <t xml:space="preserve">The consequence is that it ensures strict integrity in the medical supply chain, preventing quackery and deadly substitutions where patients are tricked into taking the wrong pharmacological substances. [Source: Section 278, BNS 2023]</t>
  </si>
  <si>
    <t xml:space="preserve">CASE_1669</t>
  </si>
  <si>
    <t xml:space="preserve">Fouling water of public spring or reservoir</t>
  </si>
  <si>
    <t xml:space="preserve">Voluntarily corrupting or fouling the water of a public spring or reservoir so that it becomes less fit for its ordinary use is punishable by up to six months in prison or a fine up to 5,000 rupees. [Source: Section 279, BNS 2023]</t>
  </si>
  <si>
    <t xml:space="preserve">Hugging Face source record: BNS_279</t>
  </si>
  <si>
    <t xml:space="preserve">CASE_1670</t>
  </si>
  <si>
    <t xml:space="preserve">Section 279 of BNS 2023 imposes imprisonment up to 6 months, or a fine up to 5,000 rupees, or both, on whoever voluntarily fouls the water of any public spring/reservoir, rendering it less fit for its ordinary purpose. [Source: Section 279, BNS 2023]</t>
  </si>
  <si>
    <t xml:space="preserve">CASE_1671</t>
  </si>
  <si>
    <t xml:space="preserve">Because he voluntarily corrupted the water of a public reservoir, rendering it less fit for its ordinary purpose, he is punishable under Section 279 with imprisonment up to six months or a fine. [Source: Section 279, BNS 2023]</t>
  </si>
  <si>
    <t xml:space="preserve">CASE_1672</t>
  </si>
  <si>
    <t xml:space="preserve">No, it only needs to be rendered "less fit for the purpose for which it is ordinarily used." [Source: Section 279, BNS 2023]</t>
  </si>
  <si>
    <t xml:space="preserve">CASE_1673</t>
  </si>
  <si>
    <t xml:space="preserve">No, because he did not "voluntarily" corrupt or foul the water; it was an accident. [Source: Section 279, BNS 2023]</t>
  </si>
  <si>
    <t xml:space="preserve">CASE_1674</t>
  </si>
  <si>
    <t xml:space="preserve">The consequence is that the state aggressively protects communal water security, ensuring that any deliberate degradation of a shared vital resource is treated as a criminal act against the public welfare. [Source: Section 279, BNS 2023]</t>
  </si>
  <si>
    <t xml:space="preserve">CASE_1675</t>
  </si>
  <si>
    <t xml:space="preserve">Making atmosphere noxious to health</t>
  </si>
  <si>
    <t xml:space="preserve">Voluntarily polluting the atmosphere in a way that makes it noxious to the health of people living or doing business nearby, or passing on a public road, is punishable by a fine up to 1,000 rupees. [Source: Section 280, BNS 2023]</t>
  </si>
  <si>
    <t xml:space="preserve">Hugging Face source record: BNS_280</t>
  </si>
  <si>
    <t xml:space="preserve">CASE_1676</t>
  </si>
  <si>
    <t xml:space="preserve">Section 280 of BNS 2023 penalizes whoever voluntarily vitiates the atmosphere, making it noxious to the health of persons in the neighborhood or on a public way, with a fine that may extend to 1,000 rupees. [Source: Section 280, BNS 2023]</t>
  </si>
  <si>
    <t xml:space="preserve">CASE_1677</t>
  </si>
  <si>
    <t xml:space="preserve">Because he voluntarily vitiated the atmosphere, making it noxious to the health of persons dwelling in the neighborhood and passing along a public way, he is punishable under Section 280 with a fine up to 1,000 rupees. [Source: Section 280, BNS 2023]</t>
  </si>
  <si>
    <t xml:space="preserve">CASE_1678</t>
  </si>
  <si>
    <t xml:space="preserve">The maximum penalty is strictly a fine which may extend to one thousand rupees (there is no provision for imprisonment in this specific section). [Source: Section 280, BNS 2023]</t>
  </si>
  <si>
    <t xml:space="preserve">CASE_1679</t>
  </si>
  <si>
    <t xml:space="preserve">No, because the pollution of that specific public way was not done "voluntarily"; the act was legally permitted and the wind shift was an act of nature. [Source: Section 280, BNS 2023]</t>
  </si>
  <si>
    <t xml:space="preserve">CASE_1680</t>
  </si>
  <si>
    <t xml:space="preserve">The consequence is that while this section serves as a basic deterrent against localized, acute nuisances (like burning trash), major industrial or systemic environmental crimes are generally prosecuted under dedicated, more severe modern environmental protection statutes rather than this general penal code provision. [Source: Section 280, BNS 2023]</t>
  </si>
  <si>
    <t xml:space="preserve">CASE_1681</t>
  </si>
  <si>
    <t xml:space="preserve">Rash driving or riding on a public way</t>
  </si>
  <si>
    <t xml:space="preserve">Driving or riding any vehicle on a public way in a rash or negligent manner that endangers human life or is likely to cause injury is punishable by up to six months in prison or a fine up to 1,000 rupees. [Source: Section 281, BNS 2023]</t>
  </si>
  <si>
    <t xml:space="preserve">Hugging Face source record: BNS_281</t>
  </si>
  <si>
    <t xml:space="preserve">CASE_1682</t>
  </si>
  <si>
    <t xml:space="preserve">Section 281 of BNS 2023 imposes imprisonment up to 6 months, or a fine up to 1,000 rupees, or both, on whoever drives/rides on a public way in a rash or negligent manner that endangers human life or is likely to cause hurt/injury. [Source: Section 281, BNS 2023]</t>
  </si>
  <si>
    <t xml:space="preserve">CASE_1683</t>
  </si>
  <si>
    <t xml:space="preserve">Because he drove a vehicle on a public way in a manner so rash as to endanger human life, even though no one was actually hurt, he is punishable under Section 281 with imprisonment up to six months or a fine. [Source: Section 281, BNS 2023]</t>
  </si>
  <si>
    <t xml:space="preserve">CASE_1684</t>
  </si>
  <si>
    <t xml:space="preserve">No, the offence is complete if the driving is so rash or negligent as "to endanger human life, or to be likely to cause hurt or injury"; actual harm is not required. [Source: Section 281, BNS 2023]</t>
  </si>
  <si>
    <t xml:space="preserve">CASE_1685</t>
  </si>
  <si>
    <t xml:space="preserve">No, because the swerving was not caused by a "rash or negligent" voluntary act; it was an unforeseeable medical emergency. [Source: Section 281, BNS 2023]</t>
  </si>
  <si>
    <t xml:space="preserve">CASE_1686</t>
  </si>
  <si>
    <t xml:space="preserve">The consequence is a proactive legal tool for police to stop and penalize dangerous drivers before they actually kill or maim someone, establishing a baseline standard of care for operating vehicles on public roads. [Source: Section 281, BNS 2023]</t>
  </si>
  <si>
    <t xml:space="preserve">CASE_1687</t>
  </si>
  <si>
    <t xml:space="preserve">Rash navigation of vessel</t>
  </si>
  <si>
    <t xml:space="preserve">Navigating any vessel in a rash or negligent manner that endangers human life or is likely to cause injury is punishable by up to six months in prison or a fine up to 10,000 rupees. [Source: Section 282, BNS 2023]</t>
  </si>
  <si>
    <t xml:space="preserve">Hugging Face source record: BNS_282</t>
  </si>
  <si>
    <t xml:space="preserve">CASE_1688</t>
  </si>
  <si>
    <t xml:space="preserve">Section 282 of BNS 2023 imposes imprisonment up to 6 months, or a fine up to 10,000 rupees, or both, on whoever navigates a vessel in a rash/negligent manner endangering human life or likely causing hurt/injury. [Source: Section 282, BNS 2023]</t>
  </si>
  <si>
    <t xml:space="preserve">CASE_1689</t>
  </si>
  <si>
    <t xml:space="preserve">Because he navigated a vessel in a manner so rash as to endanger human life and likely cause injury, he is punishable under Section 282 with imprisonment up to six months or a fine up to 10,000 rupees. [Source: Section 282, BNS 2023]</t>
  </si>
  <si>
    <t xml:space="preserve">CASE_1690</t>
  </si>
  <si>
    <t xml:space="preserve">The maximum fine for rash navigation (Section 282) is 10,000 rupees, which is ten times higher than the 1,000 rupee maximum fine for rash driving (Section 281). [Source: Section 282, BNS 2023]</t>
  </si>
  <si>
    <t xml:space="preserve">CASE_1691</t>
  </si>
  <si>
    <t xml:space="preserve">No, if the captain was navigating carefully, the incident was not caused by a "rash or negligent" manner of navigation. [Source: Section 282, BNS 2023]</t>
  </si>
  <si>
    <t xml:space="preserve">CASE_1692</t>
  </si>
  <si>
    <t xml:space="preserve">The consequence reflects the potentially catastrophic nature of maritime accidents (like sinking a passenger ferry or massive property damage) and the often higher commercial stakes involved in vessel navigation compared to standard road traffic. [Source: Section 282, BNS 2023]</t>
  </si>
  <si>
    <t xml:space="preserve">CASE_1693</t>
  </si>
  <si>
    <t xml:space="preserve">Exhibition of false light, mark or buoy</t>
  </si>
  <si>
    <t xml:space="preserve">Exhibiting a false light, mark, or buoy intending to mislead a navigator is a serious offence punishable by up to seven years in prison and a mandatory fine of at least 10,000 rupees. [Source: Section 283, BNS 2023]</t>
  </si>
  <si>
    <t xml:space="preserve">Hugging Face source record: BNS_283</t>
  </si>
  <si>
    <t xml:space="preserve">CASE_1694</t>
  </si>
  <si>
    <t xml:space="preserve">Section 283 of BNS 2023 imposes imprisonment up to 7 years and a mandatory minimum fine of 10,000 rupees on whoever exhibits a false light, mark, or buoy intending or knowing it is likely to mislead any navigator. [Source: Section 283, BNS 2023]</t>
  </si>
  <si>
    <t xml:space="preserve">CASE_1695</t>
  </si>
  <si>
    <t xml:space="preserve">Because they exhibited a false light intending to mislead a navigator, they are punishable under Section 283 with imprisonment up to seven years and a fine of not less than 10,000 rupees. [Source: Section 283, BNS 2023]</t>
  </si>
  <si>
    <t xml:space="preserve">CASE_1696</t>
  </si>
  <si>
    <t xml:space="preserve">Unlike most sections which specify a maximum fine, Section 283 specifies a minimum mandatory fine ("shall not be less than ten thousand rupees") in addition to imprisonment. [Source: Section 283, BNS 2023]</t>
  </si>
  <si>
    <t xml:space="preserve">CASE_1697</t>
  </si>
  <si>
    <t xml:space="preserve">No, because the child lacked the requisite mens rea; they did not "intend" or "know it to be likely" that the light would mislead a navigator. [Source: Section 283, BNS 2023]</t>
  </si>
  <si>
    <t xml:space="preserve">CASE_1698</t>
  </si>
  <si>
    <t xml:space="preserve">The consequence is a strong deterrent against a historic and highly dangerous form of maritime sabotage (wrecking), recognizing that deceiving a navigator can easily result in mass casualties and massive economic destruction. [Source: Section 283, BNS 2023]</t>
  </si>
  <si>
    <t xml:space="preserve">CASE_1699</t>
  </si>
  <si>
    <t xml:space="preserve">Conveying person by water for hire in unsafe or overloaded vessel</t>
  </si>
  <si>
    <t xml:space="preserve">Knowingly or negligently conveying people for hire in a vessel that is unsafe or overloaded enough to endanger their lives is punishable by up to six months in prison or a fine up to 5,000 rupees. [Source: Section 284, BNS 2023]</t>
  </si>
  <si>
    <t xml:space="preserve">Hugging Face source record: BNS_284</t>
  </si>
  <si>
    <t xml:space="preserve">CASE_1700</t>
  </si>
  <si>
    <t xml:space="preserve">Section 284 of BNS 2023 imposes imprisonment up to 6 months, or a fine up to 5,000 rupees, or both, on whoever knowingly/negligently conveys persons by water for hire in a vessel so unsafe or overloaded that it endangers their lives. [Source: Section 284, BNS 2023]</t>
  </si>
  <si>
    <t xml:space="preserve">CASE_1701</t>
  </si>
  <si>
    <t xml:space="preserve">Because he knowingly conveyed persons by water for hire in a vessel so loaded as to endanger their lives, he is punishable under Section 284 with imprisonment up to six months or a fine up to 5,000 rupees. [Source: Section 284, BNS 2023]</t>
  </si>
  <si>
    <t xml:space="preserve">CASE_1702</t>
  </si>
  <si>
    <t xml:space="preserve">No, the section specifically targets commercial operators; it requires the conveyance to be "for hire." [Source: Section 284, BNS 2023]</t>
  </si>
  <si>
    <t xml:space="preserve">CASE_1703</t>
  </si>
  <si>
    <t xml:space="preserve">No, because the danger was caused by an unforeseeable act of nature, not because the vessel was "in such a state or so loaded" knowingly or negligently by the operator. [Source: Section 284, BNS 2023]</t>
  </si>
  <si>
    <t xml:space="preserve">CASE_1704</t>
  </si>
  <si>
    <t xml:space="preserve">The consequence is that it prioritizes passenger safety over operator greed, providing a clear legal mechanism to prosecute negligent transport companies before a catastrophic sinking occurs. [Source: Section 284, BNS 2023]</t>
  </si>
  <si>
    <t xml:space="preserve">CASE_1705</t>
  </si>
  <si>
    <t xml:space="preserve">Danger or obstruction in public way or line of navigation</t>
  </si>
  <si>
    <t xml:space="preserve">Causing danger, obstruction, or injury on a public road or waterway by doing an act, or failing to maintain property in your charge, is a public nuisance punishable by a fine up to 5,000 rupees. [Source: Section 285, BNS 2023]</t>
  </si>
  <si>
    <t xml:space="preserve">Hugging Face source record: BNS_285</t>
  </si>
  <si>
    <t xml:space="preserve">CASE_1706</t>
  </si>
  <si>
    <t xml:space="preserve">Section 285 of BNS 2023 imposes a fine up to 5,000 rupees on whoever causes danger, obstruction, or injury to any person in a public way or line of navigation by doing an act or omitting to take order with property in their charge. [Source: Section 285, BNS 2023]</t>
  </si>
  <si>
    <t xml:space="preserve">CASE_1707</t>
  </si>
  <si>
    <t xml:space="preserve">Because they caused danger and obstruction in a public way by omitting to take proper order with property in their charge, they are punishable under Section 285 with a fine up to 5,000 rupees. [Source: Section 285, BNS 2023]</t>
  </si>
  <si>
    <t xml:space="preserve">CASE_1708</t>
  </si>
  <si>
    <t xml:space="preserve">Yes, the offence can be committed "by omitting to take order with any property in his possession or under his charge." [Source: Section 285, BNS 2023]</t>
  </si>
  <si>
    <t xml:space="preserve">CASE_1709</t>
  </si>
  <si>
    <t xml:space="preserve">No, because the tree was not property "in his possession or under his charge," nor did he do any act to cause the obstruction. [Source: Section 285, BNS 2023]</t>
  </si>
  <si>
    <t xml:space="preserve">CASE_1710</t>
  </si>
  <si>
    <t xml:space="preserve">The consequence is that while creating a static physical hazard is illegal and punishable, it is treated as a severe civic violation (nuisance) rather than an act requiring imprisonment, focusing instead on financial deterrence to ensure property owners maintain safe boundaries. [Source: Section 285, BNS 2023]</t>
  </si>
  <si>
    <t xml:space="preserve">CASE_1711</t>
  </si>
  <si>
    <t xml:space="preserve">Negligent conduct with respect to poisonous substance</t>
  </si>
  <si>
    <t xml:space="preserve">Handling a poisonous substance rashly, or failing to secure it properly, in a way that endangers human life is punishable by up to six months in prison or a fine up to 5,000 rupees. [Source: Section 286, BNS 2023]</t>
  </si>
  <si>
    <t xml:space="preserve">Hugging Face source record: BNS_286</t>
  </si>
  <si>
    <t xml:space="preserve">CASE_1712</t>
  </si>
  <si>
    <t xml:space="preserve">Section 286 of BNS 2023 imposes imprisonment up to 6 months, or a fine up to 5,000 rupees, or both, on anyone who rashly/negligently handles a poisonous substance, or omits to safely guard it, endangering human life. [Source: Section 286, BNS 2023]</t>
  </si>
  <si>
    <t xml:space="preserve">CASE_1713</t>
  </si>
  <si>
    <t xml:space="preserve">Because he negligently omitted to take such order with a poisonous substance in his possession as is sufficient to guard against probable danger to human life, he is punishable under Section 286 with imprisonment up to six months or a fine. [Source: Section 286, BNS 2023]</t>
  </si>
  <si>
    <t xml:space="preserve">CASE_1714</t>
  </si>
  <si>
    <t xml:space="preserve">Yes, the section explicitly covers whoever "knowingly or negligently omits to take such order" with the poisonous substance to guard against probable danger. [Source: Section 286, BNS 2023]</t>
  </si>
  <si>
    <t xml:space="preserve">CASE_1715</t>
  </si>
  <si>
    <t xml:space="preserve">No, because the chemist did not negligently omit to take sufficient order to guard against probable danger; the theft was an unforeseeable criminal act by third parties. [Source: Section 286, BNS 2023]</t>
  </si>
  <si>
    <t xml:space="preserve">CASE_1716</t>
  </si>
  <si>
    <t xml:space="preserve">The consequence is that it places a strict, affirmative legal duty on anyone possessing toxic substances to proactively secure them, recognizing that poisons are inherently dangerous to the public if left unguarded. [Source: Section 286, BNS 2023]</t>
  </si>
  <si>
    <t xml:space="preserve">CASE_1717</t>
  </si>
  <si>
    <t xml:space="preserve">Negligent conduct with respect to fire or combustible matter</t>
  </si>
  <si>
    <t xml:space="preserve">Rashly or negligently handling fire or combustible matter, or failing to secure it, in a way that endangers human life is punishable by up to six months in prison or a fine up to 2,000 rupees. [Source: Section 287, BNS 2023]</t>
  </si>
  <si>
    <t xml:space="preserve">Hugging Face source record: BNS_287</t>
  </si>
  <si>
    <t xml:space="preserve">CASE_1718</t>
  </si>
  <si>
    <t xml:space="preserve">Section 287 of BNS 2023 imposes imprisonment up to 6 months, or a fine up to 2,000 rupees, or both, on whoever acts rashly with fire/combustible matter, or negligently omits to guard against probable danger to human life from it. [Source: Section 287, BNS 2023]</t>
  </si>
  <si>
    <t xml:space="preserve">CASE_1719</t>
  </si>
  <si>
    <t xml:space="preserve">Because he negligently omitted to take sufficient order with combustible matter in his possession to guard against probable danger to human life, he is punishable under Section 287 with imprisonment up to six months or a fine. [Source: Section 287, BNS 2023]</t>
  </si>
  <si>
    <t xml:space="preserve">CASE_1720</t>
  </si>
  <si>
    <t xml:space="preserve">The maximum fine for negligence with fire/combustibles (Section 287) is 2,000 rupees, whereas the fine for negligence with poisons (Section 286) is up to 5,000 rupees. [Source: Section 287, BNS 2023]</t>
  </si>
  <si>
    <t xml:space="preserve">CASE_1721</t>
  </si>
  <si>
    <t xml:space="preserve">No, because lighting a candle in a home is a standard act, and the fire was caused by an unforeseeable act of nature, not by a "rash or negligent" act. [Source: Section 287, BNS 2023]</t>
  </si>
  <si>
    <t xml:space="preserve">CASE_1722</t>
  </si>
  <si>
    <t xml:space="preserve">The consequence is that it creates criminal liability for creating severe fire hazards, deterring people and businesses from reckless storage of flammables that could trigger deadly urban or industrial infernos. [Source: Section 287, BNS 2023]</t>
  </si>
  <si>
    <t xml:space="preserve">CASE_1723</t>
  </si>
  <si>
    <t xml:space="preserve">Negligent conduct with respect to explosive substance</t>
  </si>
  <si>
    <t xml:space="preserve">Handling explosives rashly or negligently, or failing to safely store explosives in your possession, endangering human life, is punishable by up to six months in prison or a fine up to 5,000 rupees. [Source: Section 288, BNS 2023]</t>
  </si>
  <si>
    <t xml:space="preserve">Hugging Face source record: BNS_288</t>
  </si>
  <si>
    <t xml:space="preserve">CASE_1724</t>
  </si>
  <si>
    <t xml:space="preserve">Section 288 of BNS 2023 imposes imprisonment up to 6 months, or a fine up to 5,000 rupees, or both, on whoever rashly/negligently handles an explosive substance, or negligently fails to guard against probable danger from it. [Source: Section 288, BNS 2023]</t>
  </si>
  <si>
    <t xml:space="preserve">CASE_1725</t>
  </si>
  <si>
    <t xml:space="preserve">Because he negligently omitted to take sufficient order with an explosive substance in his possession to guard against probable danger to human life, he is punishable under Section 288 with imprisonment up to six months or a fine. [Source: Section 288, BNS 2023]</t>
  </si>
  <si>
    <t xml:space="preserve">CASE_1726</t>
  </si>
  <si>
    <t xml:space="preserve">No, the offence is complete upon the rash act or negligent omission that "endangers human life" or creates a "probable danger" from the explosive, even if it does not detonate. [Source: Section 288, BNS 2023]</t>
  </si>
  <si>
    <t xml:space="preserve">CASE_1727</t>
  </si>
  <si>
    <t xml:space="preserve">No, because the company took sufficient order to guard against "probable" danger by clearing the area and using barricades; they were not negligent regarding the unforeseeable trespasser. [Source: Section 288, BNS 2023]</t>
  </si>
  <si>
    <t xml:space="preserve">CASE_1728</t>
  </si>
  <si>
    <t xml:space="preserve">The consequence is that it enforces strict operational discipline on industries (like mining or demolition) and individuals dealing with explosives, recognizing that a single oversight can cause immediate, mass casualties. [Source: Section 288, BNS 2023]</t>
  </si>
  <si>
    <t xml:space="preserve">CASE_1729</t>
  </si>
  <si>
    <t xml:space="preserve">Negligent conduct with respect to machinery</t>
  </si>
  <si>
    <t xml:space="preserve">Operating machinery rashly, or negligently failing to secure and guard machinery under your care, endangering human life, is punishable by up to six months in prison or a fine up to 5,000 rupees. [Source: Section 289, BNS 2023]</t>
  </si>
  <si>
    <t xml:space="preserve">Hugging Face source record: BNS_289</t>
  </si>
  <si>
    <t xml:space="preserve">CASE_1730</t>
  </si>
  <si>
    <t xml:space="preserve">Section 289 of BNS 2023 imposes imprisonment up to 6 months, or a fine up to 5,000 rupees, or both, on whoever rashly operates machinery, or negligently omits to guard against probable danger to human life from machinery in their care. [Source: Section 289, BNS 2023]</t>
  </si>
  <si>
    <t xml:space="preserve">CASE_1731</t>
  </si>
  <si>
    <t xml:space="preserve">Because he knowingly omitted to take sufficient order with machinery under his care to guard against probable danger to human life, he is punishable under Section 289 with imprisonment up to six months or a fine. [Source: Section 289, BNS 2023]</t>
  </si>
  <si>
    <t xml:space="preserve">CASE_1732</t>
  </si>
  <si>
    <t xml:space="preserve">It applies to anyone doing an act with the machinery, as well as anyone who omits to take order with machinery "in his possession or under his care," making owners and managers liable. [Source: Section 289, BNS 2023]</t>
  </si>
  <si>
    <t xml:space="preserve">CASE_1733</t>
  </si>
  <si>
    <t xml:space="preserve">No, because the owner did not negligently omit to take order; regular maintenance was performed, and the defect was hidden and unforeseeable. [Source: Section 289, BNS 2023]</t>
  </si>
  <si>
    <t xml:space="preserve">CASE_1734</t>
  </si>
  <si>
    <t xml:space="preserve">The consequence is that workplace safety and public equipment maintenance are not merely civil liability issues, but matters of criminal law, forcing employers and operators to proactively install and maintain safety guards. [Source: Section 289, BNS 2023]</t>
  </si>
  <si>
    <t xml:space="preserve">CASE_1735</t>
  </si>
  <si>
    <t xml:space="preserve">Negligent conduct with respect to pulling down, repairing or constructing buildings, etc.</t>
  </si>
  <si>
    <t xml:space="preserve">Negligently failing to take sufficient safety measures when demolishing, repairing, or constructing a building to prevent danger from falling debris is punishable by up to six months in prison or a fine up to 5,000 rupees. [Source: Section 290, BNS 2023]</t>
  </si>
  <si>
    <t xml:space="preserve">Hugging Face source record: BNS_290</t>
  </si>
  <si>
    <t xml:space="preserve">CASE_1736</t>
  </si>
  <si>
    <t xml:space="preserve">Section 290 of BNS 2023 imposes imprisonment up to 6 months, or a fine up to 5,000 rupees, or both, on whoever negligently omits to take sufficient measures to guard against danger to human life from a falling building during demolition, repair, or construction. [Source: Section 290, BNS 2023]</t>
  </si>
  <si>
    <t xml:space="preserve">CASE_1737</t>
  </si>
  <si>
    <t xml:space="preserve">Because he negligently omitted to take sufficient measures to guard against probable danger to human life from the fall of the building, he is punishable under Section 290 with imprisonment up to six months or a fine. [Source: Section 290, BNS 2023]</t>
  </si>
  <si>
    <t xml:space="preserve">CASE_1738</t>
  </si>
  <si>
    <t xml:space="preserve">The omission must relate to guarding against "probable danger to human life from the fall of that building, or of any part thereof." [Source: Section 290, BNS 2023]</t>
  </si>
  <si>
    <t xml:space="preserve">CASE_1739</t>
  </si>
  <si>
    <t xml:space="preserve">No, because the contractor took "sufficient measures... to guard against any probable danger"; the tornado was an act of God causing unforeseeable danger. [Source: Section 290, BNS 2023]</t>
  </si>
  <si>
    <t xml:space="preserve">CASE_1740</t>
  </si>
  <si>
    <t xml:space="preserve">The consequence is that urban development is strictly regulated by criminal penalties, ensuring developers prioritize structural safety and public protection over cutting costs on scaffolding or safety barricades. [Source: Section 290, BNS 2023]</t>
  </si>
  <si>
    <t xml:space="preserve">CASE_1741</t>
  </si>
  <si>
    <t xml:space="preserve">Negligent conduct with respect to animal</t>
  </si>
  <si>
    <t xml:space="preserve">Negligently failing to take sufficient measures to control an animal in your possession, creating a probable danger to human life or risk of grievous hurt, is punishable by up to six months in prison or a fine. [Source: Section 291, BNS 2023]</t>
  </si>
  <si>
    <t xml:space="preserve">Hugging Face source record: BNS_291</t>
  </si>
  <si>
    <t xml:space="preserve">CASE_1742</t>
  </si>
  <si>
    <t xml:space="preserve">Section 291 of BNS 2023 imposes imprisonment up to 6 months, or a fine up to 5,000 rupees, or both, on whoever knowingly/negligently omits to guard against probable danger to human life or grievous hurt from an animal in their possession. [Source: Section 291, BNS 2023]</t>
  </si>
  <si>
    <t xml:space="preserve">CASE_1743</t>
  </si>
  <si>
    <t xml:space="preserve">Because he negligently omitted to take sufficient measures with an animal in his possession to guard against probable danger of grievous hurt, he is punishable under Section 291 with imprisonment up to six months or a fine. [Source: Section 291, BNS 2023]</t>
  </si>
  <si>
    <t xml:space="preserve">CASE_1744</t>
  </si>
  <si>
    <t xml:space="preserve">The danger must be a "probable danger to human life" or a "probable danger of grievous hurt." A risk of only minor scratches does not meet this threshold. [Source: Section 291, BNS 2023]</t>
  </si>
  <si>
    <t xml:space="preserve">CASE_1745</t>
  </si>
  <si>
    <t xml:space="preserve">No, because the farmer did not "negligently omit" to take measures; the fence was sufficient under normal circumstances, and the danger was caused by the victim's own unforeseeable provocation. [Source: Section 291, BNS 2023]</t>
  </si>
  <si>
    <t xml:space="preserve">CASE_1746</t>
  </si>
  <si>
    <t xml:space="preserve">The consequence is that it places a strict duty of care on owners to properly secure pets and livestock, ensuring that the burden of animal-related injuries falls on the negligent owner rather than the innocent public. [Source: Section 291, BNS 2023]</t>
  </si>
  <si>
    <t xml:space="preserve">CASE_1747</t>
  </si>
  <si>
    <t xml:space="preserve">Punishment for public nuisance in cases not otherwise provided for</t>
  </si>
  <si>
    <t xml:space="preserve">Committing a public nuisance in a situation not explicitly covered by other sections of the penal code is a residuary offence punishable by a fine up to 1,000 rupees. [Source: Section 292, BNS 2023]</t>
  </si>
  <si>
    <t xml:space="preserve">Hugging Face source record: BNS_292</t>
  </si>
  <si>
    <t xml:space="preserve">CASE_1748</t>
  </si>
  <si>
    <t xml:space="preserve">Section 292 of BNS 2023 serves as a residuary penal clause, stating that whoever commits a public nuisance in any case not otherwise punishable by the Sanhita shall be punished with a fine extending to 1,000 rupees. [Source: Section 292, BNS 2023]</t>
  </si>
  <si>
    <t xml:space="preserve">CASE_1749</t>
  </si>
  <si>
    <t xml:space="preserve">Because it causes a common danger/annoyance to the public not specifically covered elsewhere in the code, he commits a public nuisance punishable under the residuary Section 292 with a fine up to 1,000 rupees. [Source: Section 292, BNS 2023]</t>
  </si>
  <si>
    <t xml:space="preserve">CASE_1750</t>
  </si>
  <si>
    <t xml:space="preserve">No, the punishment under this specific catch-all section is strictly limited to a "fine which may extend to one thousand rupees." [Source: Section 292, BNS 2023]</t>
  </si>
  <si>
    <t xml:space="preserve">CASE_1751</t>
  </si>
  <si>
    <t xml:space="preserve">No, because this is likely a private nuisance, not a "public nuisance" affecting the public at large, so it does not meet the legal definition required to trigger this section. [Source: Section 292, BNS 2023]</t>
  </si>
  <si>
    <t xml:space="preserve">CASE_1752</t>
  </si>
  <si>
    <t xml:space="preserve">The consequence is that law enforcement has a flexible, low-level tool to penalize new or highly unusual forms of antisocial behavior that disrupt public order, without having to wait for the legislature to draft a specific law for every possible scenario. [Source: Section 292, BNS 2023]</t>
  </si>
  <si>
    <t xml:space="preserve">CASE_1753</t>
  </si>
  <si>
    <t xml:space="preserve">Continuance of nuisance after injunction to discontinue</t>
  </si>
  <si>
    <t xml:space="preserve">Repeating or continuing a public nuisance after a public servant with lawful authority has legally ordered you to stop is punishable by up to six months in prison or a fine up to 5,000 rupees. [Source: Section 293, BNS 2023]</t>
  </si>
  <si>
    <t xml:space="preserve">Hugging Face source record: BNS_293</t>
  </si>
  <si>
    <t xml:space="preserve">CASE_1754</t>
  </si>
  <si>
    <t xml:space="preserve">Section 293 of BNS 2023 imposes simple imprisonment up to 6 months, or a fine up to 5,000 rupees, or both, on whoever continues/repeats a public nuisance after being enjoined to stop by a lawfully authorized public servant. [Source: Section 293, BNS 2023]</t>
  </si>
  <si>
    <t xml:space="preserve">CASE_1755</t>
  </si>
  <si>
    <t xml:space="preserve">Because they repeated a public nuisance after having been enjoined by a public servant with lawful authority not to do so, they are punishable under the escalated Section 293 with imprisonment up to six months or a fine. [Source: Section 293, BNS 2023]</t>
  </si>
  <si>
    <t xml:space="preserve">CASE_1756</t>
  </si>
  <si>
    <t xml:space="preserve">The section specifically prescribes "simple imprisonment." [Source: Section 293, BNS 2023]</t>
  </si>
  <si>
    <t xml:space="preserve">CASE_1757</t>
  </si>
  <si>
    <t xml:space="preserve">No, because the injunction must be issued by a "public servant who has lawful authority to issue such injunction," not just a private citizen. [Source: Section 293, BNS 2023]</t>
  </si>
  <si>
    <t xml:space="preserve">CASE_1758</t>
  </si>
  <si>
    <t xml:space="preserve">The consequence is that the offence transforms from a mere civic annoyance (usually just a fine) into an active defiance of state authority, justifying actual imprisonment for contemptuous, repeat offenders. [Source: Section 293, BNS 2023]</t>
  </si>
  <si>
    <t xml:space="preserve">CASE_1759</t>
  </si>
  <si>
    <t xml:space="preserve">Sale, etc., of obscene books, etc.</t>
  </si>
  <si>
    <t xml:space="preserve">A material is legally obscene if it is lascivious, appeals to prurient interest, or tends to deprave and corrupt the people likely to read or see it. [Source: Section 294, BNS 2023]</t>
  </si>
  <si>
    <t xml:space="preserve">Hugging Face source record: BNS_294</t>
  </si>
  <si>
    <t xml:space="preserve">CASE_1760</t>
  </si>
  <si>
    <t xml:space="preserve">Section 294 of BNS 2023 defines obscenity (lascivious/prurient effect) and penalizes the sale, distribution, import, or advertisement of obscene objects/electronic content with up to 2 years imprisonment (5 years for repeat offences) and fines. [Source: Section 294, BNS 2023]</t>
  </si>
  <si>
    <t xml:space="preserve">CASE_1761</t>
  </si>
  <si>
    <t xml:space="preserve">Because he sells and publicly exhibits an obscene book/paper, he is punishable on first conviction under Section 294(2) with imprisonment up to two years and a fine up to 5,000 rupees. [Source: Section 294, BNS 2023]</t>
  </si>
  <si>
    <t xml:space="preserve">CASE_1762</t>
  </si>
  <si>
    <t xml:space="preserve">No, the Exception clause exempts materials where publication is "justified as being for the public good" (like science, literature, art) or kept bona fide for religious purposes, including ancient monuments and temples. [Source: Section 294, BNS 2023]</t>
  </si>
  <si>
    <t xml:space="preserve">CASE_1763</t>
  </si>
  <si>
    <t xml:space="preserve">No, because the publication falls under the Exception, being justified for the public good in the interest of science and learning, rather than appealing to prurient interests. [Source: Section 294, BNS 2023]</t>
  </si>
  <si>
    <t xml:space="preserve">CASE_1764</t>
  </si>
  <si>
    <t xml:space="preserve">The consequence is a structural crackdown on commercial pornography networks; the jump from 2 years to 5 years for a second conviction is designed to put organized distributors out of business permanently. [Source: Section 294, BNS 2023]</t>
  </si>
  <si>
    <t xml:space="preserve">CASE_1765</t>
  </si>
  <si>
    <t xml:space="preserve">Sale, etc., of obscene objects to child</t>
  </si>
  <si>
    <t xml:space="preserve">Yes, selling, distributing, or exhibiting obscene objects to a child carries a harsher penalty: up to three years in prison on the first conviction, and up to seven years for repeat convictions. [Source: Section 295, BNS 2023]</t>
  </si>
  <si>
    <t xml:space="preserve">Hugging Face source record: BNS_295</t>
  </si>
  <si>
    <t xml:space="preserve">CASE_1766</t>
  </si>
  <si>
    <t xml:space="preserve">Section 295 of BNS 2023 specifically targets whoever sells, distributes, or exhibits obscene objects (as defined in Section 294) to a child, increasing the penalty to 3 years imprisonment on first conviction, and up to 7 years on subsequent convictions. [Source: Section 295, BNS 2023]</t>
  </si>
  <si>
    <t xml:space="preserve">CASE_1767</t>
  </si>
  <si>
    <t xml:space="preserve">Because he sold an obscene object to a child, he is punishable on first conviction under Section 295 with imprisonment up to three years and a fine up to 2,000 rupees. [Source: Section 295, BNS 2023]</t>
  </si>
  <si>
    <t xml:space="preserve">CASE_1768</t>
  </si>
  <si>
    <t xml:space="preserve">In the event of a second or subsequent conviction under Section 295, the imprisonment may extend to seven years (along with a fine up to 5,000 rupees). [Source: Section 295, BNS 2023]</t>
  </si>
  <si>
    <t xml:space="preserve">CASE_1769</t>
  </si>
  <si>
    <t xml:space="preserve">No, because the objects shown fall under the Exceptions in Section 294 (art/learning/ancient monuments), meaning they are not legally classified as "obscene objects" in the first place. [Source: Section 295, BNS 2023]</t>
  </si>
  <si>
    <t xml:space="preserve">CASE_1770</t>
  </si>
  <si>
    <t xml:space="preserve">The consequence is that the state recognizes the severe developmental harm obscenity causes to minors, justifying significantly enhanced sentencing guidelines to fiercely protect children from predatory distributors. [Source: Section 295, BNS 2023]</t>
  </si>
  <si>
    <t xml:space="preserve">CASE_1771</t>
  </si>
  <si>
    <t xml:space="preserve">Obscene acts and songs</t>
  </si>
  <si>
    <t xml:space="preserve">Doing an obscene act in a public place, or singing/reciting obscene songs or words near a public place to the annoyance of others, is punishable by up to three months in prison or a fine up to 1,000 rupees. [Source: Section 296, BNS 2023]</t>
  </si>
  <si>
    <t xml:space="preserve">Hugging Face source record: BNS_296</t>
  </si>
  <si>
    <t xml:space="preserve">CASE_1772</t>
  </si>
  <si>
    <t xml:space="preserve">Section 296 of BNS 2023 imposes imprisonment up to 3 months, or a fine up to 1,000 rupees, or both, on whoever does an obscene act in a public place, or sings/utters obscene songs/words in or near a public place, to the annoyance of others. [Source: Section 296, BNS 2023]</t>
  </si>
  <si>
    <t xml:space="preserve">CASE_1773</t>
  </si>
  <si>
    <t xml:space="preserve">Because he uttered obscene words in a public place to the annoyance of others, he is punishable under Section 296 with imprisonment up to three months or a fine up to 1,000 rupees. [Source: Section 296, BNS 2023]</t>
  </si>
  <si>
    <t xml:space="preserve">CASE_1774</t>
  </si>
  <si>
    <t xml:space="preserve">Yes, the section explicitly states that the act or song must be done "to the annoyance of others." [Source: Section 296, BNS 2023]</t>
  </si>
  <si>
    <t xml:space="preserve">CASE_1775</t>
  </si>
  <si>
    <t xml:space="preserve">No, because the act must be done "in or near any public place" and "to the annoyance of others," neither of which apply to a secluded, private space where no one else is annoyed. [Source: Section 296, BNS 2023]</t>
  </si>
  <si>
    <t xml:space="preserve">CASE_1776</t>
  </si>
  <si>
    <t xml:space="preserve">The consequence is that the law targets public order and civic decency, ensuring people can navigate shared spaces without harassment, while leaving private consensual behavior largely unregulated by this specific section. [Source: Section 296, BNS 2023]</t>
  </si>
  <si>
    <t xml:space="preserve">CASE_1777</t>
  </si>
  <si>
    <t xml:space="preserve">Keeping lottery office</t>
  </si>
  <si>
    <t xml:space="preserve">Yes, keeping an office or place to draw an unauthorized private lottery is punishable by up to six months in prison or a fine. Additionally, publishing proposals related to such a lottery carries a fine up to 5,000 rupees. [Source: Section 297, BNS 2023]</t>
  </si>
  <si>
    <t xml:space="preserve">Hugging Face source record: BNS_297</t>
  </si>
  <si>
    <t xml:space="preserve">CASE_1778</t>
  </si>
  <si>
    <t xml:space="preserve">Section 297 of BNS 2023 imposes up to 6 months imprisonment or a fine for keeping an office to draw an unauthorized lottery, and a fine up to 5,000 rupees for publishing any proposal or scheme tied to the drawing of such a lottery. [Source: Section 297, BNS 2023]</t>
  </si>
  <si>
    <t xml:space="preserve">CASE_1779</t>
  </si>
  <si>
    <t xml:space="preserve">Because he kept a place for the purpose of drawing a lottery not authorized by the State Government, he is punishable under Section 297(1) with imprisonment up to six months or a fine. [Source: Section 297, BNS 2023]</t>
  </si>
  <si>
    <t xml:space="preserve">CASE_1780</t>
  </si>
  <si>
    <t xml:space="preserve">A "State lottery" or a "lottery authorised by the State Government" is exempt from these penalties. [Source: Section 297, BNS 2023]</t>
  </si>
  <si>
    <t xml:space="preserve">CASE_1781</t>
  </si>
  <si>
    <t xml:space="preserve">No, because the lottery being drawn is a "State lottery" and therefore explicitly falls outside the prohibition of this section. [Source: Section 297, BNS 2023]</t>
  </si>
  <si>
    <t xml:space="preserve">CASE_1782</t>
  </si>
  <si>
    <t xml:space="preserve">The consequence is that the law cracks down on the marketing and promotion of illegal gambling networks, cutting off their ability to solicit public participation even before the actual drawing takes place. [Source: Section 297, BNS 2023]</t>
  </si>
  <si>
    <t xml:space="preserve">CASE_1783</t>
  </si>
  <si>
    <t xml:space="preserve">Injuring or defiling place of worship with intent to insult religion of any class</t>
  </si>
  <si>
    <t xml:space="preserve">Destroying, damaging, or defiling a place of worship or a sacred object, with the intent to insult a religion or knowing it will be seen as an insult, is punishable by up to two years in prison or a fine. [Source: Section 298, BNS 2023]</t>
  </si>
  <si>
    <t xml:space="preserve">Hugging Face source record: BNS_298</t>
  </si>
  <si>
    <t xml:space="preserve">CASE_1784</t>
  </si>
  <si>
    <t xml:space="preserve">Section 298 of BNS 2023 imposes imprisonment up to 2 years, or a fine, or both, on whoever destroys, damages, or defiles a place of worship/sacred object with intent to insult, or knowing it is likely to insult, the religion of any class. [Source: Section 298, BNS 2023]</t>
  </si>
  <si>
    <t xml:space="preserve">CASE_1785</t>
  </si>
  <si>
    <t xml:space="preserve">Because they destroyed and defiled a place of worship and sacred objects with the intention of insulting the religion of that class of persons, they are punishable under Section 298 with imprisonment up to two years or a fine. [Source: Section 298, BNS 2023]</t>
  </si>
  <si>
    <t xml:space="preserve">CASE_1786</t>
  </si>
  <si>
    <t xml:space="preserve">Yes, the offence requires either "the intention of thereby insulting the religion" or "the knowledge that any class of persons is likely to consider such destruction, damage or defilement as an insult to their religion." [Source: Section 298, BNS 2023]</t>
  </si>
  <si>
    <t xml:space="preserve">CASE_1787</t>
  </si>
  <si>
    <t xml:space="preserve">No, because the building is no longer a "place of worship" or "held sacred," and the workers lacked the intent or knowledge that their lawful demolition would insult any religion. [Source: Section 298, BNS 2023]</t>
  </si>
  <si>
    <t xml:space="preserve">CASE_1788</t>
  </si>
  <si>
    <t xml:space="preserve">The consequence is that the state actively protects communal harmony by recognizing that physical attacks on sacred spaces are not mere property damage, but severe provocations that threaten religious peace and require specific, harsher penalties. [Source: Section 298, BNS 2023]</t>
  </si>
  <si>
    <t xml:space="preserve">CASE_1789</t>
  </si>
  <si>
    <t xml:space="preserve">Deliberate and malicious acts, intended to outrage religious feelings of any class by</t>
  </si>
  <si>
    <t xml:space="preserve">Deliberately and maliciously insulting the religion or religious beliefs of any class of citizens, via spoken/written words, signs, or electronic means, to outrage their religious feelings, is punishable by up to three years in prison or a fine. [Source: Section 299, BNS 2023]</t>
  </si>
  <si>
    <t xml:space="preserve">Hugging Face source record: BNS_299</t>
  </si>
  <si>
    <t xml:space="preserve">CASE_1790</t>
  </si>
  <si>
    <t xml:space="preserve">Section 299 of BNS 2023 imposes imprisonment up to 3 years, or a fine, or both, on whoever, with deliberate and malicious intention of outraging the religious feelings of any class of citizens, insults their religion/beliefs using words, signs, or electronic means. [Source: Section 299, BNS 2023]</t>
  </si>
  <si>
    <t xml:space="preserve">CASE_1791</t>
  </si>
  <si>
    <t xml:space="preserve">Because they used written and electronic means with deliberate and malicious intention of outraging the religious feelings of a class of citizens by insulting their beliefs, they are punishable under Section 299 with imprisonment up to three years or a fine. [Source: Section 299, BNS 2023]</t>
  </si>
  <si>
    <t xml:space="preserve">CASE_1792</t>
  </si>
  <si>
    <t xml:space="preserve">The section requires a "deliberate and malicious intention" of outraging religious feelings; mere careless or unintentional offence is not enough. [Source: Section 299, BNS 2023]</t>
  </si>
  <si>
    <t xml:space="preserve">CASE_1793</t>
  </si>
  <si>
    <t xml:space="preserve">No, because the academic lacked the "deliberate and malicious intention" of outraging religious feelings; intellectual critique without malice does not fulfill the mens rea of this section. [Source: Section 299, BNS 2023]</t>
  </si>
  <si>
    <t xml:space="preserve">CASE_1794</t>
  </si>
  <si>
    <t xml:space="preserve">The consequence is that the law modernizes hate speech provisions to cover social media, internet forums, and digital messaging, allowing police to prosecute malicious religious provocation spread online. [Source: Section 299, BNS 2023]</t>
  </si>
  <si>
    <t xml:space="preserve">CASE_1795</t>
  </si>
  <si>
    <t xml:space="preserve">Disturbing religious assembly</t>
  </si>
  <si>
    <t xml:space="preserve">Voluntarily causing a disturbance to a lawful assembly engaged in religious worship or ceremonies is punishable by up to one year in prison or a fine. [Source: Section 300, BNS 2023]</t>
  </si>
  <si>
    <t xml:space="preserve">Hugging Face source record: BNS_300</t>
  </si>
  <si>
    <t xml:space="preserve">CASE_1796</t>
  </si>
  <si>
    <t xml:space="preserve">Section 300 of BNS 2023 imposes imprisonment up to 1 year, or a fine, or both, on whoever voluntarily causes disturbance to any assembly lawfully engaged in the performance of religious worship or ceremonies. [Source: Section 300, BNS 2023]</t>
  </si>
  <si>
    <t xml:space="preserve">CASE_1797</t>
  </si>
  <si>
    <t xml:space="preserve">Because they voluntarily caused a disturbance to an assembly lawfully engaged in the performance of religious worship, they are punishable under Section 300 with imprisonment up to one year or a fine. [Source: Section 300, BNS 2023]</t>
  </si>
  <si>
    <t xml:space="preserve">CASE_1798</t>
  </si>
  <si>
    <t xml:space="preserve">Yes, the section explicitly protects any assembly "lawfully engaged" in the performance of religious worship or ceremonies. [Source: Section 300, BNS 2023]</t>
  </si>
  <si>
    <t xml:space="preserve">CASE_1799</t>
  </si>
  <si>
    <t xml:space="preserve">No, because the assembly blocking the highway without permits is not "lawfully engaged," and the police are performing their legal duty, not "voluntarily causing disturbance" in the criminal sense. [Source: Section 300, BNS 2023]</t>
  </si>
  <si>
    <t xml:space="preserve">CASE_1800</t>
  </si>
  <si>
    <t xml:space="preserve">The consequence is that the state safeguards the fundamental right to freedom of religion, ensuring that citizens can practice their faith communally without fear of harassment or vigilantism from hostile groups. [Source: Section 300, BNS 2023]</t>
  </si>
  <si>
    <t xml:space="preserve">CASE_1801</t>
  </si>
  <si>
    <t xml:space="preserve">Trespassing on burial places, etc.</t>
  </si>
  <si>
    <t xml:space="preserve">Trespassing on a burial place or crematorium, or indignantly offering disrespect to a human corpse, with the intent to insult someone's religion or wound their feelings, is punishable by up to one year in prison or a fine. [Source: Section 301, BNS 2023]</t>
  </si>
  <si>
    <t xml:space="preserve">Hugging Face source record: BNS_301</t>
  </si>
  <si>
    <t xml:space="preserve">CASE_1802</t>
  </si>
  <si>
    <t xml:space="preserve">Section 301 of BNS 2023 imposes imprisonment up to 1 year, or a fine, or both, on whoever, intending to wound feelings or insult a religion, trespasses in a place of worship/sepulture, or disrespects a human corpse, or disturbs a funeral. [Source: Section 301, BNS 2023]</t>
  </si>
  <si>
    <t xml:space="preserve">CASE_1803</t>
  </si>
  <si>
    <t xml:space="preserve">Because they trespassed on a place set apart as a depository for the remains of the dead, with the intention of wounding the feelings and insulting the religion of those families, they are punishable under Section 301 with imprisonment up to one year or a fine. [Source: Section 301, BNS 2023]</t>
  </si>
  <si>
    <t xml:space="preserve">CASE_1804</t>
  </si>
  <si>
    <t xml:space="preserve">Yes, it explicitly covers whoever "causes disturbance to any persons assembled for the performance of funeral ceremonies." [Source: Section 301, BNS 2023]</t>
  </si>
  <si>
    <t xml:space="preserve">CASE_1805</t>
  </si>
  <si>
    <t xml:space="preserve">No, because the grave-digger is acting lawfully and lacks the requisite mens rea—the "intention of wounding the feelings" or "insulting the religion" of any person. [Source: Section 301, BNS 2023]</t>
  </si>
  <si>
    <t xml:space="preserve">CASE_1806</t>
  </si>
  <si>
    <t xml:space="preserve">The consequence is that the state protects the sanctity of the dead and the emotional vulnerability of grieving families, treating desecration not just as property damage, but as an intentional emotional and religious injury. [Source: Section 301, BNS 2023]</t>
  </si>
  <si>
    <t xml:space="preserve">CASE_1807</t>
  </si>
  <si>
    <t xml:space="preserve">Uttering words, etc., with deliberate intent to wound religious feelings of any person</t>
  </si>
  <si>
    <t xml:space="preserve">Uttering words, making sounds or gestures, or placing an object in someone's sight, with the deliberate intent to wound their religious feelings, is punishable by up to one year in prison or a fine. [Source: Section 302, BNS 2023]</t>
  </si>
  <si>
    <t xml:space="preserve">Hugging Face source record: BNS_302</t>
  </si>
  <si>
    <t xml:space="preserve">CASE_1808</t>
  </si>
  <si>
    <t xml:space="preserve">Section 302 of BNS 2023 imposes imprisonment up to 1 year, or a fine, or both, on whoever deliberately intends to wound the religious feelings of any person by uttering words, making sounds/gestures, or placing objects in their sight/hearing. [Source: Section 302, BNS 2023]</t>
  </si>
  <si>
    <t xml:space="preserve">CASE_1809</t>
  </si>
  <si>
    <t xml:space="preserve">Because he made sounds and gestures in the sight and hearing of that person with the deliberate intention of wounding his religious feelings, he is punishable under Section 302 with imprisonment up to one year or a fine. [Source: Section 302, BNS 2023]</t>
  </si>
  <si>
    <t xml:space="preserve">CASE_1810</t>
  </si>
  <si>
    <t xml:space="preserve">Section 299 targets malicious acts aimed at outraging the religious feelings of an entire "class of citizens" (often public or widespread), whereas Section 302 targets the deliberate wounding of the religious feelings of "any person" on a direct, interpersonal level. [Source: Section 302, BNS 2023]</t>
  </si>
  <si>
    <t xml:space="preserve">CASE_1811</t>
  </si>
  <si>
    <t xml:space="preserve">No, because the act lacked the "deliberate intention of wounding the religious feelings" of the other person; it was an accidental byproduct of a debate. [Source: Section 302, BNS 2023]</t>
  </si>
  <si>
    <t xml:space="preserve">CASE_1812</t>
  </si>
  <si>
    <t xml:space="preserve">The consequence is that the law provides a remedy for targeted, personal religious harassment and bullying (like placing offensive objects on someone's desk), recognizing such acts as criminal offenses that disrupt interpersonal peace. [Source: Section 302, BNS 2023]</t>
  </si>
  <si>
    <t xml:space="preserve">CASE_1813</t>
  </si>
  <si>
    <t xml:space="preserve">Theft</t>
  </si>
  <si>
    <t xml:space="preserve">Theft is defined as intending to dishonestly take movable property out of someone's possession without their consent, and moving that property in order to take it. The punishment is up to three years in prison or a fine, with community service possible for first-time offenders stealing less than 5,000 rupees who return the property. [Source: Section 303, BNS 2023]</t>
  </si>
  <si>
    <t xml:space="preserve">Hugging Face source record: BNS_303</t>
  </si>
  <si>
    <t xml:space="preserve">CASE_1814</t>
  </si>
  <si>
    <t xml:space="preserve">Section 303 of BNS 2023 defines theft as dishonestly moving movable property out of a person's possession without consent. It prescribes up to 3 years imprisonment or fine, with repeat offenders facing 1 to 5 years rigorous imprisonment, and specific community service provisions for minor first-time thefts. [Source: Section 303, BNS 2023]</t>
  </si>
  <si>
    <t xml:space="preserve">CASE_1815</t>
  </si>
  <si>
    <t xml:space="preserve">Because he intended to dishonestly take movable property out of his friend's possession without consent, and moved the watch by putting it in his pocket, he has committed theft under Section 303. [Source: Section 303, BNS 2023]</t>
  </si>
  <si>
    <t xml:space="preserve">CASE_1816</t>
  </si>
  <si>
    <t xml:space="preserve">A thing attached to the earth is not movable property and cannot be the subject of theft; however, it becomes capable of being the subject of theft as soon as it is severed from the earth. [Source: Section 303, BNS 2023]</t>
  </si>
  <si>
    <t xml:space="preserve">CASE_1817</t>
  </si>
  <si>
    <t xml:space="preserve">Yes, even though it is his own watch, taking it out of the repairman's lawful possession without consent, intending to deprive him of the security, is done dishonestly, constituting theft. [Source: Section 303, BNS 2023]</t>
  </si>
  <si>
    <t xml:space="preserve">CASE_1818</t>
  </si>
  <si>
    <t xml:space="preserve">Under the proviso to Section 303, if it is a first offence, the value is less than five thousand rupees, and the offender returns the value or restores the stolen property, they shall be punished with community service instead of imprisonment. [Source: Section 303, BNS 2023]</t>
  </si>
  <si>
    <t xml:space="preserve">CASE_1819</t>
  </si>
  <si>
    <t xml:space="preserve">Snatching</t>
  </si>
  <si>
    <t xml:space="preserve">This is defined as "snatching," a specific form of theft where the offender suddenly, quickly, or forcibly seizes, grabs, or takes away movable property from a person or their possession. It is punishable by up to three years in prison and a fine. [Source: Section 304, BNS 2023]</t>
  </si>
  <si>
    <t xml:space="preserve">Hugging Face source record: BNS_304</t>
  </si>
  <si>
    <t xml:space="preserve">CASE_1820</t>
  </si>
  <si>
    <t xml:space="preserve">Section 304 of BNS 2023 defines snatching as theft where the offender suddenly, quickly, or forcibly seizes or grabs movable property from a person or their possession. It imposes imprisonment up to 3 years and a fine. [Source: Section 304, BNS 2023]</t>
  </si>
  <si>
    <t xml:space="preserve">CASE_1821</t>
  </si>
  <si>
    <t xml:space="preserve">Because he committed theft by suddenly and forcibly seizing movable property from her person, he has committed snatching, punishable under Section 304 with imprisonment up to three years and a fine. [Source: Section 304, BNS 2023]</t>
  </si>
  <si>
    <t xml:space="preserve">CASE_1822</t>
  </si>
  <si>
    <t xml:space="preserve">Snatching requires the specific element that the offender "suddenly or quickly or forcibly seizes or secures or grabs" the property from a person or their possession, elevating the physical confrontation compared to stealthy theft. [Source: Section 304, BNS 2023]</t>
  </si>
  <si>
    <t xml:space="preserve">CASE_1823</t>
  </si>
  <si>
    <t xml:space="preserve">No, while it is theft, it lacks the sudden, quick, or forcible grabbing required to be classified specifically as snatching under Section 304. [Source: Section 304, BNS 2023]</t>
  </si>
  <si>
    <t xml:space="preserve">CASE_1824</t>
  </si>
  <si>
    <t xml:space="preserve">The consequence is that law enforcement can specifically target and appropriately penalize aggressive street crimes (like chain-snatching or phone-grabbing) that involve physical shock and a higher risk of injury to the victim than ordinary stealth theft. [Source: Section 304, BNS 2023]</t>
  </si>
  <si>
    <t xml:space="preserve">CASE_1825</t>
  </si>
  <si>
    <t xml:space="preserve">Theft in a dwelling house, or means of transportation or place of worship, etc.</t>
  </si>
  <si>
    <t xml:space="preserve">Stealing from a human dwelling, a vehicle used for transport, a place of worship (such as an idol), or stealing government/local authority property is an aggravated form of theft punishable by up to seven years in prison and a fine. [Source: Section 305, BNS 2023]</t>
  </si>
  <si>
    <t xml:space="preserve">Hugging Face source record: BNS_305</t>
  </si>
  <si>
    <t xml:space="preserve">CASE_1826</t>
  </si>
  <si>
    <t xml:space="preserve">Section 305 of BNS 2023 imposes imprisonment up to 7 years and a fine for theft committed in a dwelling, tent, or vessel; of/from any means of transport; of an idol in a place of worship; or of government/local authority property. [Source: Section 305, BNS 2023]</t>
  </si>
  <si>
    <t xml:space="preserve">CASE_1827</t>
  </si>
  <si>
    <t xml:space="preserve">Because he committed theft in a building used as a human dwelling, he is punishable under Section 305 with imprisonment up to seven years and a fine. [Source: Section 305, BNS 2023]</t>
  </si>
  <si>
    <t xml:space="preserve">CASE_1828</t>
  </si>
  <si>
    <t xml:space="preserve">Yes, it covers theft "of any means of transport used for the transport of goods or passengers," which would include stealing a bicycle. [Source: Section 305, BNS 2023]</t>
  </si>
  <si>
    <t xml:space="preserve">CASE_1829</t>
  </si>
  <si>
    <t xml:space="preserve">Yes, because clause (e) specifically covers the theft "of any property of the Government or of a local authority," bringing it under the harsher penalties of Section 305. [Source: Section 305, BNS 2023]</t>
  </si>
  <si>
    <t xml:space="preserve">CASE_1830</t>
  </si>
  <si>
    <t xml:space="preserve">The consequence is that the law provides enhanced deterrence against thefts that violate the sanctity of the home, disrupt vital public transportation, desecrate religious sites, or strip public assets, treating them as far more severe than ordinary theft. [Source: Section 305, BNS 2023]</t>
  </si>
  <si>
    <t xml:space="preserve">CASE_1831</t>
  </si>
  <si>
    <t xml:space="preserve">Theft by clerk or servant of property in possession of master</t>
  </si>
  <si>
    <t xml:space="preserve">A clerk or servant who commits theft of property in the possession of their master or employer is punishable by up to seven years in prison and a fine. [Source: Section 306, BNS 2023]</t>
  </si>
  <si>
    <t xml:space="preserve">Hugging Face source record: BNS_306</t>
  </si>
  <si>
    <t xml:space="preserve">CASE_1832</t>
  </si>
  <si>
    <t xml:space="preserve">Section 306 of BNS 2023 imposes imprisonment up to 7 years and a fine on whoever, being employed as a clerk or servant, commits theft of property in the possession of their master or employer. [Source: Section 306, BNS 2023]</t>
  </si>
  <si>
    <t xml:space="preserve">CASE_1833</t>
  </si>
  <si>
    <t xml:space="preserve">Because he committed theft as a servant of property in the possession of his employer, he is punishable under Section 306 with imprisonment up to seven years and a fine. [Source: Section 306, BNS 2023]</t>
  </si>
  <si>
    <t xml:space="preserve">CASE_1834</t>
  </si>
  <si>
    <t xml:space="preserve">No, the section specifically requires the offender to be "a clerk or servant, or being employed in the capacity of a clerk or servant" stealing from their "master or employer." [Source: Section 306, BNS 2023]</t>
  </si>
  <si>
    <t xml:space="preserve">CASE_1835</t>
  </si>
  <si>
    <t xml:space="preserve">No, because a director is generally not considered a mere "clerk or servant," and the offence would likely fall under criminal breach of trust rather than this specific theft provision. [Source: Section 306, BNS 2023]</t>
  </si>
  <si>
    <t xml:space="preserve">CASE_1836</t>
  </si>
  <si>
    <t xml:space="preserve">The consequence is that the law heavily deters the violation of the special trust inherent in the employer-employee relationship, where servants have easier, authorized access to property and are expected to safeguard it. [Source: Section 306, BNS 2023]</t>
  </si>
  <si>
    <t xml:space="preserve">CASE_1837</t>
  </si>
  <si>
    <t xml:space="preserve">Theft after preparation made for causing death, hurt or restraint in order to committing</t>
  </si>
  <si>
    <t xml:space="preserve">Committing theft while having made preparation to cause death, hurt, or restraint—even if the weapon is not used—is a severely aggravated offence punishable by up to ten years of rigorous imprisonment and a fine. [Source: Section 307, BNS 2023]</t>
  </si>
  <si>
    <t xml:space="preserve">Hugging Face source record: BNS_307</t>
  </si>
  <si>
    <t xml:space="preserve">CASE_1838</t>
  </si>
  <si>
    <t xml:space="preserve">Section 307 of BNS 2023 imposes rigorous imprisonment up to 10 years and a fine on whoever commits theft having made preparation to cause death, hurt, or restraint to any person in order to commit the theft, escape, or retain the property. [Source: Section 307, BNS 2023]</t>
  </si>
  <si>
    <t xml:space="preserve">CASE_1839</t>
  </si>
  <si>
    <t xml:space="preserve">Because he committed theft having made preparation for causing restraint to the victim in order to effect his escape or retain the property, he is punishable under Section 307. [Source: Section 307, BNS 2023]</t>
  </si>
  <si>
    <t xml:space="preserve">CASE_1840</t>
  </si>
  <si>
    <t xml:space="preserve">The section explicitly mandates "rigorous imprisonment" for a term which may extend to ten years. [Source: Section 307, BNS 2023]</t>
  </si>
  <si>
    <t xml:space="preserve">CASE_1841</t>
  </si>
  <si>
    <t xml:space="preserve">No, because he did not make "preparation for causing death, or hurt, or restraint"; this would be ordinary theft, not the aggravated offence under Section 307. [Source: Section 307, BNS 2023]</t>
  </si>
  <si>
    <t xml:space="preserve">CASE_1842</t>
  </si>
  <si>
    <t xml:space="preserve">The consequence is that the law proactively targets the high potential danger posed by armed or organized thieves, punishing their violent readiness even if the victim wisely chooses not to resist and avoids actual injury. [Source: Section 307, BNS 2023]</t>
  </si>
  <si>
    <t xml:space="preserve">CASE_1843</t>
  </si>
  <si>
    <t xml:space="preserve">Extortion</t>
  </si>
  <si>
    <t xml:space="preserve">Extortion is defined as intentionally putting a person in fear of any injury to themselves or another, and thereby dishonestly inducing them to deliver property or valuable security. It is punishable by up to seven years in prison, with harsher penalties for severe threats. [Source: Section 308, BNS 2023]</t>
  </si>
  <si>
    <t xml:space="preserve">Hugging Face source record: BNS_308</t>
  </si>
  <si>
    <t xml:space="preserve">CASE_1844</t>
  </si>
  <si>
    <t xml:space="preserve">Section 308 of BNS 2023 defines extortion (inducing delivery of property via fear of injury) and penalizes it with up to 7 years imprisonment. Threats of death/grievous hurt carry up to 10 years, and merely attempting to induce fear carries up to 2 years. [Source: Section 308, BNS 2023]</t>
  </si>
  <si>
    <t xml:space="preserve">CASE_1845</t>
  </si>
  <si>
    <t xml:space="preserve">Because the hacker intentionally put the owner in fear of injury (to reputation/property) and thereby dishonestly induced the delivery of money, he has committed extortion under Section 308. [Source: Section 308, BNS 2023]</t>
  </si>
  <si>
    <t xml:space="preserve">CASE_1846</t>
  </si>
  <si>
    <t xml:space="preserve">Yes, if a person is dishonestly induced by fear to sign or affix their seal to a blank paper that "may be converted into a valuable security," it constitutes extortion. [Source: Section 308, BNS 2023]</t>
  </si>
  <si>
    <t xml:space="preserve">CASE_1847</t>
  </si>
  <si>
    <t xml:space="preserve">No, because threatening to take lawful legal action is not threatening an illegal "injury," and demanding the return of a lawful debt is not a "dishonest" inducement. [Source: Section 308, BNS 2023]</t>
  </si>
  <si>
    <t xml:space="preserve">CASE_1848</t>
  </si>
  <si>
    <t xml:space="preserve">The consequence is that the law heavily penalizes severe blackmail—such as threatening to frame someone for murder or rape—recognizing that such extreme psychological terror can completely ruin a victim's life and compel them to surrender all their assets. [Source: Section 308, BNS 2023]</t>
  </si>
  <si>
    <t xml:space="preserve">CASE_1849</t>
  </si>
  <si>
    <t xml:space="preserve">Robbery</t>
  </si>
  <si>
    <t xml:space="preserve">Theft becomes robbery if the offender voluntarily causes or threatens instant death, hurt, or wrongful restraint to commit the theft or escape. Extortion becomes robbery if the offender is physically present and induces the victim to hand over property through fear of instant death, hurt, or restraint. [Source: Section 309, BNS 2023]</t>
  </si>
  <si>
    <t xml:space="preserve">Hugging Face source record: BNS_309</t>
  </si>
  <si>
    <t xml:space="preserve">CASE_1850</t>
  </si>
  <si>
    <t xml:space="preserve">Section 309 of BNS 2023 defines robbery as aggravated theft or extortion involving the causing or threat of instant death, hurt, or wrongful restraint. It is punishable by rigorous imprisonment up to 10 years (14 years on a highway at night), and causing hurt during robbery carries up to life imprisonment. [Source: Section 309, BNS 2023]</t>
  </si>
  <si>
    <t xml:space="preserve">CASE_1851</t>
  </si>
  <si>
    <t xml:space="preserve">Because he extorted the wallet by putting the victim in fear of instant hurt while in his presence, the extortion is elevated to robbery under Section 309. [Source: Section 309, BNS 2023]</t>
  </si>
  <si>
    <t xml:space="preserve">CASE_1852</t>
  </si>
  <si>
    <t xml:space="preserve">The explanation states that an offender is present if he is "sufficiently near to put the other person in fear of instant death, of instant hurt, or of instant wrongful restraint." [Source: Section 309, BNS 2023]</t>
  </si>
  <si>
    <t xml:space="preserve">CASE_1853</t>
  </si>
  <si>
    <t xml:space="preserve">No, because the kidnapper is not in the physical presence of the victim putting him in fear of "instant" death or hurt. It is extortion, but it does not meet the specific immediacy and presence requirements to be classified as robbery. [Source: Section 309, BNS 2023]</t>
  </si>
  <si>
    <t xml:space="preserve">CASE_1854</t>
  </si>
  <si>
    <t xml:space="preserve">The consequence is that the state provides maximum deterrence to protect vulnerable travelers on desolate roads in the dark, recognizing that highway banditry poses a massive threat to public safety and interstate commerce. [Source: Section 309, BNS 2023]</t>
  </si>
  <si>
    <t xml:space="preserve">CASE_1855</t>
  </si>
  <si>
    <t xml:space="preserve">Dacoity</t>
  </si>
  <si>
    <t xml:space="preserve">When five or more persons conjointly commit or attempt to commit robbery, it is called "dacoity." It is punishable by life imprisonment or rigorous imprisonment up to ten years, and a fine. [Source: Section 310, BNS 2023]</t>
  </si>
  <si>
    <t xml:space="preserve">Hugging Face source record: BNS_310</t>
  </si>
  <si>
    <t xml:space="preserve">CASE_1856</t>
  </si>
  <si>
    <t xml:space="preserve">Section 310 of BNS 2023 defines dacoity as robbery committed conjointly by 5 or more persons. It imposes life imprisonment or up to 10 years rigorous imprisonment. If murder is committed during dacoity, all members face death or life imprisonment. [Source: Section 310, BNS 2023]</t>
  </si>
  <si>
    <t xml:space="preserve">CASE_1857</t>
  </si>
  <si>
    <t xml:space="preserve">Because five or more persons conjointly committed a robbery (including those present and aiding), every person involved is said to commit dacoity, punishable under Section 310. [Source: Section 310, BNS 2023]</t>
  </si>
  <si>
    <t xml:space="preserve">CASE_1858</t>
  </si>
  <si>
    <t xml:space="preserve">No, the total count includes those "conjointly committing or attempting to commit a robbery, and persons present and aiding such commission or attempt." [Source: Section 310, BNS 2023]</t>
  </si>
  <si>
    <t xml:space="preserve">CASE_1859</t>
  </si>
  <si>
    <t xml:space="preserve">No, because dacoity strictly requires "five or more persons." Since there were only four, they can be charged with robbery, but the legal threshold for dacoity has not been met. [Source: Section 310, BNS 2023]</t>
  </si>
  <si>
    <t xml:space="preserve">CASE_1860</t>
  </si>
  <si>
    <t xml:space="preserve">The consequence is a strict doctrine of collective responsibility; it deters violent gangs by ensuring that if a robbery turns fatal, the getaway driver or lookout will face the death penalty or life in prison right alongside the actual shooter. [Source: Section 310, BNS 2023]</t>
  </si>
  <si>
    <t xml:space="preserve">CASE_1861</t>
  </si>
  <si>
    <t xml:space="preserve">Robbery, or dacoity, with attempt to cause death or grievous hurt</t>
  </si>
  <si>
    <t xml:space="preserve">If an offender uses a deadly weapon, causes grievous hurt, or attempts to cause death or grievous hurt while committing robbery or dacoity, they must be punished with a minimum of seven years in prison. [Source: Section 311, BNS 2023]</t>
  </si>
  <si>
    <t xml:space="preserve">Hugging Face source record: BNS_311</t>
  </si>
  <si>
    <t xml:space="preserve">CASE_1862</t>
  </si>
  <si>
    <t xml:space="preserve">Section 311 of BNS 2023 sets a mandatory minimum sentence of not less than 7 years imprisonment if the offender uses a deadly weapon, causes grievous hurt, or attempts to cause death/grievous hurt during a robbery or dacoity. [Source: Section 311, BNS 2023]</t>
  </si>
  <si>
    <t xml:space="preserve">CASE_1863</t>
  </si>
  <si>
    <t xml:space="preserve">Because he attempted to cause death at the time of committing dacoity (and used a deadly weapon), he is punishable under Section 311 with imprisonment that shall not be less than seven years. [Source: Section 311, BNS 2023]</t>
  </si>
  <si>
    <t xml:space="preserve">CASE_1864</t>
  </si>
  <si>
    <t xml:space="preserve">It is a minimum baseline; the section explicitly states the imprisonment "shall not be less than seven years." [Source: Section 311, BNS 2023]</t>
  </si>
  <si>
    <t xml:space="preserve">CASE_1865</t>
  </si>
  <si>
    <t xml:space="preserve">No, because the robber did not use a "deadly weapon," did not cause "grievous hurt," and did not attempt to cause "death or grievous hurt," so the mandatory minimum of Section 311 is not triggered. [Source: Section 311, BNS 2023]</t>
  </si>
  <si>
    <t xml:space="preserve">CASE_1866</t>
  </si>
  <si>
    <t xml:space="preserve">The consequence is that judges have less discretion to give lenient sentences to violent, armed criminals, ensuring that anyone who brings lethal force into a robbery faces severe, guaranteed incarceration. [Source: Section 311, BNS 2023]</t>
  </si>
  <si>
    <t xml:space="preserve">CASE_1867</t>
  </si>
  <si>
    <t xml:space="preserve">Attempt to commit robbery or dacoity when armed with deadly weapon</t>
  </si>
  <si>
    <t xml:space="preserve">Attempting to commit robbery or dacoity while armed with a deadly weapon is punishable by a mandatory minimum of seven years in prison. [Source: Section 312, BNS 2023]</t>
  </si>
  <si>
    <t xml:space="preserve">Hugging Face source record: BNS_312</t>
  </si>
  <si>
    <t xml:space="preserve">CASE_1868</t>
  </si>
  <si>
    <t xml:space="preserve">Section 312 of BNS 2023 states that if an offender is armed with any deadly weapon at the time of merely attempting to commit robbery or dacoity, their imprisonment shall not be less than seven years. [Source: Section 312, BNS 2023]</t>
  </si>
  <si>
    <t xml:space="preserve">CASE_1869</t>
  </si>
  <si>
    <t xml:space="preserve">Because he attempted to commit robbery while armed with a deadly weapon, he is punishable under Section 312 with imprisonment that shall not be less than seven years. [Source: Section 312, BNS 2023]</t>
  </si>
  <si>
    <t xml:space="preserve">CASE_1870</t>
  </si>
  <si>
    <t xml:space="preserve">Section 311 applies when the offender actually "commits" the robbery/dacoity and "uses" a weapon or causes/attempts violence, while Section 312 applies when they merely "attempt" the robbery/dacoity while simply being "armed" with a deadly weapon. [Source: Section 312, BNS 2023]</t>
  </si>
  <si>
    <t xml:space="preserve">CASE_1871</t>
  </si>
  <si>
    <t xml:space="preserve">No, because Section 312 strictly requires the offender to be "armed with any deadly weapon" at the time of the attempt. [Source: Section 312, BNS 2023]</t>
  </si>
  <si>
    <t xml:space="preserve">CASE_1872</t>
  </si>
  <si>
    <t xml:space="preserve">The consequence is that the law treats the decision to bring a deadly weapon into a criminal encounter as the primary danger to society, punishing the violent readiness equally whether the crime succeeds or fails. [Source: Section 312, BNS 2023]</t>
  </si>
  <si>
    <t xml:space="preserve">CASE_1873</t>
  </si>
  <si>
    <t xml:space="preserve">Punishment for belonging to gang of robbers, etc.</t>
  </si>
  <si>
    <t xml:space="preserve">Yes, belonging to a gang associated for the purpose of habitually committing theft or robbery (other than dacoits) is punishable by up to seven years of rigorous imprisonment and a fine. [Source: Section 313, BNS 2023]</t>
  </si>
  <si>
    <t xml:space="preserve">Hugging Face source record: BNS_313</t>
  </si>
  <si>
    <t xml:space="preserve">CASE_1874</t>
  </si>
  <si>
    <t xml:space="preserve">Section 313 of BNS 2023 imposes rigorous imprisonment up to 7 years and a fine on whoever belongs to a gang associated in habitually committing theft or robbery, provided they are not a gang of dacoits. [Source: Section 313, BNS 2023]</t>
  </si>
  <si>
    <t xml:space="preserve">CASE_1875</t>
  </si>
  <si>
    <t xml:space="preserve">Because they belong to a gang of persons associated in habitually committing theft, they are punishable under Section 313 with rigorous imprisonment up to seven years and a fine. [Source: Section 313, BNS 2023]</t>
  </si>
  <si>
    <t xml:space="preserve">CASE_1876</t>
  </si>
  <si>
    <t xml:space="preserve">No, the section explicitly excludes "a gang of dacoits," because belonging to a gang of dacoits is a far more serious offence covered separately (under Section 310) which carries up to life imprisonment. [Source: Section 313, BNS 2023]</t>
  </si>
  <si>
    <t xml:space="preserve">CASE_1877</t>
  </si>
  <si>
    <t xml:space="preserve">No, because he does not "belong to" the gang associated for habitually committing theft; his crime would be receiving stolen property, not gang membership under this section. [Source: Section 313, BNS 2023]</t>
  </si>
  <si>
    <t xml:space="preserve">CASE_1878</t>
  </si>
  <si>
    <t xml:space="preserve">The consequence is that law enforcement can dismantle the infrastructure of organized crime networks, prosecuting career criminals for their systemic association without needing to catch them in the act of a specific robbery. [Source: Section 313, BNS 2023]</t>
  </si>
  <si>
    <t xml:space="preserve">CASE_1879</t>
  </si>
  <si>
    <t xml:space="preserve">Dishonest misappropriation of property</t>
  </si>
  <si>
    <t xml:space="preserve">If you dishonestly misappropriate or convert movable property to your own use—like keeping a found wallet when you could easily identify the owner—you are punishable by six months to two years in prison and a fine. [Source: Section 314, BNS 2023]</t>
  </si>
  <si>
    <t xml:space="preserve">Hugging Face source record: BNS_314</t>
  </si>
  <si>
    <t xml:space="preserve">CASE_1880</t>
  </si>
  <si>
    <t xml:space="preserve">Section 314 of BNS 2023 defines dishonest misappropriation as dishonestly converting any movable property to one's own use. It prescribes a minimum of 6 months and up to 2 years imprisonment, plus a fine. [Source: Section 314, BNS 2023]</t>
  </si>
  <si>
    <t xml:space="preserve">CASE_1881</t>
  </si>
  <si>
    <t xml:space="preserve">Because he came into possession of the property lawfully but later dishonestly appropriated it to his own use, he has committed dishonest misappropriation under Section 314. [Source: Section 314, BNS 2023]</t>
  </si>
  <si>
    <t xml:space="preserve">CASE_1882</t>
  </si>
  <si>
    <t xml:space="preserve">Yes, Explanation 1 clearly states that a "dishonest misappropriation for a time only is a misappropriation within the meaning of this section." [Source: Section 314, BNS 2023]</t>
  </si>
  <si>
    <t xml:space="preserve">CASE_1883</t>
  </si>
  <si>
    <t xml:space="preserve">No, if the finder does not know or have the means to discover the owner, taking the property and keeping it without believing the owner can be found is not a dishonest misappropriation under this section. [Source: Section 314, BNS 2023]</t>
  </si>
  <si>
    <t xml:space="preserve">CASE_1884</t>
  </si>
  <si>
    <t xml:space="preserve">The consequence is that the law covers scenarios where the initial taking was innocent, lawful, or involved found property (lacking the immediate trespass required for theft), but where a subsequent dishonest intent to keep it makes the act criminal. [Source: Section 314, BNS 2023]</t>
  </si>
  <si>
    <t xml:space="preserve">CASE_1885</t>
  </si>
  <si>
    <t xml:space="preserve">Dishonest misappropriation of property possessed by deceased person at the time of his death</t>
  </si>
  <si>
    <t xml:space="preserve">Dishonestly misappropriating property known to have been in the possession of a deceased person at the time of death is punishable by up to three years in prison, which increases to seven years if the offender was the deceased's employee. [Source: Section 315, BNS 2023]</t>
  </si>
  <si>
    <t xml:space="preserve">Hugging Face source record: BNS_315</t>
  </si>
  <si>
    <t xml:space="preserve">CASE_1886</t>
  </si>
  <si>
    <t xml:space="preserve">Section 315 of BNS 2023 imposes imprisonment up to 3 years and a fine on whoever dishonestly misappropriates property knowing it belonged to a deceased person and hasn't reached a legal heir. If the offender was a clerk/servant of the deceased, it extends to 7 years. [Source: Section 315, BNS 2023]</t>
  </si>
  <si>
    <t xml:space="preserve">CASE_1887</t>
  </si>
  <si>
    <t xml:space="preserve">Because she dishonestly misappropriated a deceased person's property, and was employed as a servant to the deceased, she is punishable under Section 315 with imprisonment up to seven years and a fine. [Source: Section 315, BNS 2023]</t>
  </si>
  <si>
    <t xml:space="preserve">CASE_1888</t>
  </si>
  <si>
    <t xml:space="preserve">Yes, the section specifically targets property that "has not since been in the possession of any person legally entitled to such possession." If the son already had lawful possession, taking it would be standard theft from the son, not misappropriation from the deceased. [Source: Section 315, BNS 2023]</t>
  </si>
  <si>
    <t xml:space="preserve">CASE_1889</t>
  </si>
  <si>
    <t xml:space="preserve">No, because they did not "dishonestly" misappropriate or convert the property to their own use; acting to preserve the estate for the rightful heirs lacks criminal intent. [Source: Section 315, BNS 2023]</t>
  </si>
  <si>
    <t xml:space="preserve">CASE_1890</t>
  </si>
  <si>
    <t xml:space="preserve">The consequence is that the law strictly deters opportunistic looting by caretakers, domestic staff, or nurses who have intimate access to a person's home and assets during the highly vulnerable period immediately following their death. [Source: Section 315, BNS 2023]</t>
  </si>
  <si>
    <t xml:space="preserve">CASE_1891</t>
  </si>
  <si>
    <t xml:space="preserve">Criminal breach of trust</t>
  </si>
  <si>
    <t xml:space="preserve">Criminal breach of trust—dishonestly misappropriating or disposing of property entrusted to you in violation of a legal direction or contract—is punishable by up to five years in prison. The penalty increases up to ten years or life imprisonment depending on the offender's role (e.g., public servant, banker, or employee). [Source: Section 316, BNS 2023]</t>
  </si>
  <si>
    <t xml:space="preserve">Hugging Face source record: BNS_316</t>
  </si>
  <si>
    <t xml:space="preserve">CASE_1892</t>
  </si>
  <si>
    <t xml:space="preserve">Section 316 of BNS 2023 penalizes dishonestly misappropriating entrusted property. The base punishment is up to 5 years imprisonment. It increases for carriers/warehouse-keepers (up to 7 years), clerks/servants (up to 7 years), and public servants/bankers/agents (up to 10 years or life). [Source: Section 316, BNS 2023]</t>
  </si>
  <si>
    <t xml:space="preserve">CASE_1893</t>
  </si>
  <si>
    <t xml:space="preserve">Because he was entrusted with dominion over property and dishonestly used it in violation of the legal direction prescribing how the trust is to be discharged, he has committed criminal breach of trust under Section 316. [Source: Section 316, BNS 2023]</t>
  </si>
  <si>
    <t xml:space="preserve">CASE_1894</t>
  </si>
  <si>
    <t xml:space="preserve">Yes, Explanations 1 and 2 explicitly state that an employer who deducts such contributions is deemed "entrusted" with them, and defaulting on payment to the fund violates the law, constituting criminal breach of trust. [Source: Section 316, BNS 2023]</t>
  </si>
  <si>
    <t xml:space="preserve">CASE_1895</t>
  </si>
  <si>
    <t xml:space="preserve">No, because he acted in good faith, not "dishonestly." While he is liable for a civil breach of contract due to the loss, he has not committed the criminal offence under this section. [Source: Section 316, BNS 2023]</t>
  </si>
  <si>
    <t xml:space="preserve">CASE_1896</t>
  </si>
  <si>
    <t xml:space="preserve">The consequence is that the law maximally deters corruption and systemic fraud by those who hold immense economic power and public trust, recognizing that their betrayals can wipe out the life savings of thousands or severely damage state infrastructure. [Source: Section 316, BNS 2023]</t>
  </si>
  <si>
    <t xml:space="preserve">CASE_1897</t>
  </si>
  <si>
    <t xml:space="preserve">Stolen property</t>
  </si>
  <si>
    <t xml:space="preserve">Stolen property includes property obtained via theft, extortion, robbery, cheating, misappropriation, or criminal breach of trust. Dishonestly receiving it carries up to three years in prison, which increases to ten years or life if received from dacoits or by habitual dealers. [Source: Section 317, BNS 2023]</t>
  </si>
  <si>
    <t xml:space="preserve">Hugging Face source record: BNS_317</t>
  </si>
  <si>
    <t xml:space="preserve">CASE_1898</t>
  </si>
  <si>
    <t xml:space="preserve">Section 317 of BNS 2023 defines stolen property broadly (including proceeds of cheating/misappropriation). Receiving it carries up to 3 years imprisonment. Receiving property from dacoity or habitually dealing in stolen goods carries up to 10 years or life imprisonment. [Source: Section 317, BNS 2023]</t>
  </si>
  <si>
    <t xml:space="preserve">CASE_1899</t>
  </si>
  <si>
    <t xml:space="preserve">Because he habitually receives or deals in property which he knows or has reason to believe to be stolen, he is punishable under Section 317 with imprisonment for life, or up to ten years, and a fine. [Source: Section 317, BNS 2023]</t>
  </si>
  <si>
    <t xml:space="preserve">CASE_1900</t>
  </si>
  <si>
    <t xml:space="preserve">Yes, Section 317 explicitly includes property where possession was transferred by cheating, or which has been criminally misappropriated, or subject to criminal breach of trust. [Source: Section 317, BNS 2023]</t>
  </si>
  <si>
    <t xml:space="preserve">CASE_1901</t>
  </si>
  <si>
    <t xml:space="preserve">No, because the section states that if stolen property "subsequently comes into the possession of a person legally entitled to the possession thereof, it then ceases to be stolen property." [Source: Section 317, BNS 2023]</t>
  </si>
  <si>
    <t xml:space="preserve">CASE_1902</t>
  </si>
  <si>
    <t xml:space="preserve">The consequence is that the law chokes the economic incentive for theft; by targeting the black market dealers who convert stolen goods into cash, it eliminates the profit motive that drives primary offenders to steal in the first place. [Source: Section 317, BNS 2023]</t>
  </si>
  <si>
    <t xml:space="preserve">CASE_1903</t>
  </si>
  <si>
    <t xml:space="preserve">Cheating</t>
  </si>
  <si>
    <t xml:space="preserve">Cheating involves deceiving a person to fraudulently or dishonestly induce them to deliver property, consent to retain property, or do/omit an act that causes them harm. The baseline penalty is up to three years in prison, increasing up to seven years if valuable securities are involved. [Source: Section 318, BNS 2023]</t>
  </si>
  <si>
    <t xml:space="preserve">Hugging Face source record: BNS_318</t>
  </si>
  <si>
    <t xml:space="preserve">CASE_1904</t>
  </si>
  <si>
    <t xml:space="preserve">Section 318 of BNS 2023 defines cheating as deceiving someone to fraudulently/dishonestly induce delivery of property or actions causing harm. Punishments range from 3 years (base) up to 7 years (if inducing delivery of property or valuable security), and 5 years if bound to protect the victim. [Source: Section 318, BNS 2023]</t>
  </si>
  <si>
    <t xml:space="preserve">CASE_1905</t>
  </si>
  <si>
    <t xml:space="preserve">Because he intentionally deceived the victim by exhibiting a fake sample and dishonestly induced the payment of money, he has committed cheating, punishable under Section 318. [Source: Section 318, BNS 2023]</t>
  </si>
  <si>
    <t xml:space="preserve">CASE_1906</t>
  </si>
  <si>
    <t xml:space="preserve">Yes, the Explanation to Section 318 states that "A dishonest concealment of facts is a deception within the meaning of this section." [Source: Section 318, BNS 2023]</t>
  </si>
  <si>
    <t xml:space="preserve">CASE_1907</t>
  </si>
  <si>
    <t xml:space="preserve">No, because at the time of obtaining the contract/money, he had a genuine intention to deliver. He only broke the contract afterwards. He is liable for civil breach of contract, not criminal cheating. [Source: Section 318, BNS 2023]</t>
  </si>
  <si>
    <t xml:space="preserve">CASE_1908</t>
  </si>
  <si>
    <t xml:space="preserve">The consequence is that the law protects the integrity of commercial transactions and personal trust, providing a criminal remedy against scams, counterfeiting, and false pretenses that undermine the economy and cause financial ruin. [Source: Section 318, BNS 2023]</t>
  </si>
  <si>
    <t xml:space="preserve">CASE_1909</t>
  </si>
  <si>
    <t xml:space="preserve">Cheating by personation</t>
  </si>
  <si>
    <t xml:space="preserve">Cheating by personation—pretending to be another person, whether real or imaginary, living or deceased—is a specific form of cheating punishable by up to five years in prison and a fine. [Source: Section 319, BNS 2023]</t>
  </si>
  <si>
    <t xml:space="preserve">Hugging Face source record: BNS_319</t>
  </si>
  <si>
    <t xml:space="preserve">CASE_1910</t>
  </si>
  <si>
    <t xml:space="preserve">Section 319 of BNS 2023 defines cheating by personation as cheating by pretending to be someone else, substituting one person for another, or misrepresenting identity. It is punishable by imprisonment up to 5 years and a fine. [Source: Section 319, BNS 2023]</t>
  </si>
  <si>
    <t xml:space="preserve">CASE_1911</t>
  </si>
  <si>
    <t xml:space="preserve">Because the scammer cheated by pretending to be some other person (the grandson), he has committed cheating by personation under Section 319. [Source: Section 319, BNS 2023]</t>
  </si>
  <si>
    <t xml:space="preserve">CASE_1912</t>
  </si>
  <si>
    <t xml:space="preserve">Yes, the Explanation clarifies that "The offence is committed whether the individual personated is a real or imaginary person." [Source: Section 319, BNS 2023]</t>
  </si>
  <si>
    <t xml:space="preserve">CASE_1913</t>
  </si>
  <si>
    <t xml:space="preserve">No, because there is no "cheating" involved; the audience is not deceived into delivering property under fraudulent pretenses, as they know they are watching a theatrical performance. [Source: Section 319, BNS 2023]</t>
  </si>
  <si>
    <t xml:space="preserve">CASE_1914</t>
  </si>
  <si>
    <t xml:space="preserve">The consequence is that the law provides stricter deterrence against identity theft and impersonation fraud (like phishing or fake officials), recognizing that these crimes exploit the victim's pre-existing trust in the person being impersonated. [Source: Section 319, BNS 2023]</t>
  </si>
  <si>
    <t xml:space="preserve">CASE_1915</t>
  </si>
  <si>
    <t xml:space="preserve">Dishonest or fraudulent removal or concealment of property to prevent distribution among creditors</t>
  </si>
  <si>
    <t xml:space="preserve">Dishonestly or fraudulently concealing, removing, or transferring property without adequate consideration to prevent it from being distributed to creditors is punishable by six months to two years in prison and a fine. [Source: Section 320, BNS 2023]</t>
  </si>
  <si>
    <t xml:space="preserve">Hugging Face source record: BNS_320</t>
  </si>
  <si>
    <t xml:space="preserve">CASE_1916</t>
  </si>
  <si>
    <t xml:space="preserve">Section 320 of BNS 2023 imposes imprisonment between 6 months and 2 years, or a fine, on whoever dishonestly removes, conceals, or transfers property without adequate consideration, intending to prevent its lawful distribution among creditors. [Source: Section 320, BNS 2023]</t>
  </si>
  <si>
    <t xml:space="preserve">CASE_1917</t>
  </si>
  <si>
    <t xml:space="preserve">Because he fraudulently transferred property without adequate consideration, intending to prevent its distribution among his creditors, he is punishable under Section 320 with imprisonment of six months to two years. [Source: Section 320, BNS 2023]</t>
  </si>
  <si>
    <t xml:space="preserve">CASE_1918</t>
  </si>
  <si>
    <t xml:space="preserve">No, it also applies if you prevent the distribution of property "among his creditors or the creditors of any other person," covering accomplices who help hide assets. [Source: Section 320, BNS 2023]</t>
  </si>
  <si>
    <t xml:space="preserve">CASE_1919</t>
  </si>
  <si>
    <t xml:space="preserve">No, because the transfer was made with "adequate consideration" and was not done "dishonestly or fraudulently" to defraud creditors, but rather to meet an immediate lawful need. [Source: Section 320, BNS 2023]</t>
  </si>
  <si>
    <t xml:space="preserve">CASE_1920</t>
  </si>
  <si>
    <t xml:space="preserve">The consequence is that it protects the integrity of the bankruptcy and debt-recovery systems, ensuring that debtors cannot use sham transactions to cheat legitimate creditors out of their rightful claims. [Source: Section 320, BNS 2023]</t>
  </si>
  <si>
    <t xml:space="preserve">CASE_1921</t>
  </si>
  <si>
    <t xml:space="preserve">Dishonestly or fraudulently preventing debt being available for creditors</t>
  </si>
  <si>
    <t xml:space="preserve">Dishonestly or fraudulently preventing any debt or demand due to yourself or another from being legally available to pay off creditors is punishable by up to two years in prison or a fine. [Source: Section 321, BNS 2023]</t>
  </si>
  <si>
    <t xml:space="preserve">Hugging Face source record: BNS_321</t>
  </si>
  <si>
    <t xml:space="preserve">CASE_1922</t>
  </si>
  <si>
    <t xml:space="preserve">Section 321 of BNS 2023 imposes imprisonment up to 2 years, or a fine, or both, on whoever dishonestly or fraudulently prevents any debt or demand due to themselves (or another) from being made available according to law for the payment of their creditors. [Source: Section 321, BNS 2023]</t>
  </si>
  <si>
    <t xml:space="preserve">CASE_1923</t>
  </si>
  <si>
    <t xml:space="preserve">Because he dishonestly prevented a debt due to himself from being made available according to law for the payment of his debts, he is punishable under Section 321 with imprisonment up to two years. [Source: Section 321, BNS 2023]</t>
  </si>
  <si>
    <t xml:space="preserve">CASE_1924</t>
  </si>
  <si>
    <t xml:space="preserve">Yes, the section covers preventing a debt due "to himself or to any other person" from being made available for the payment of his debts "or the debts of such other person." [Source: Section 321, BNS 2023]</t>
  </si>
  <si>
    <t xml:space="preserve">CASE_1925</t>
  </si>
  <si>
    <t xml:space="preserve">No, because legitimately disputing a debt in a legal forum is not acting "dishonestly or fraudulently." [Source: Section 321, BNS 2023]</t>
  </si>
  <si>
    <t xml:space="preserve">CASE_1926</t>
  </si>
  <si>
    <t xml:space="preserve">The consequence is that the law closes a loophole where a debtor might appear bankrupt while secretly hoarding receivables, ensuring that all liquid assets are fairly distributed to legitimate creditors. [Source: Section 321, BNS 2023]</t>
  </si>
  <si>
    <t xml:space="preserve">CASE_1927</t>
  </si>
  <si>
    <t xml:space="preserve">Dishonest or fraudulent execution of deed of transfer containing false statement of consideration</t>
  </si>
  <si>
    <t xml:space="preserve">Dishonestly executing or signing a property transfer deed that contains a false statement about the consideration (price paid) or the true beneficiary is punishable by up to three years in prison or a fine. [Source: Section 322, BNS 2023]</t>
  </si>
  <si>
    <t xml:space="preserve">Hugging Face source record: BNS_322</t>
  </si>
  <si>
    <t xml:space="preserve">CASE_1928</t>
  </si>
  <si>
    <t xml:space="preserve">Section 322 of BNS 2023 imposes up to 3 years imprisonment or a fine on anyone who dishonestly/fraudulently executes or becomes a party to a deed transferring property, if it contains false statements about the consideration or the true beneficiary. [Source: Section 322, BNS 2023]</t>
  </si>
  <si>
    <t xml:space="preserve">CASE_1929</t>
  </si>
  <si>
    <t xml:space="preserve">Because they dishonestly became parties to a deed of transfer containing a false statement relating to the consideration, they are punishable under Section 322 with imprisonment up to three years. [Source: Section 322, BNS 2023]</t>
  </si>
  <si>
    <t xml:space="preserve">CASE_1930</t>
  </si>
  <si>
    <t xml:space="preserve">The section specifically targets false statements "relating to the consideration for such transfer or charge" or "relating to the person or persons for whose use or benefit it is really intended to operate" (such as a benami transaction). [Source: Section 322, BNS 2023]</t>
  </si>
  <si>
    <t xml:space="preserve">CASE_1931</t>
  </si>
  <si>
    <t xml:space="preserve">No, because the false statement was not included "dishonestly or fraudulently," but merely by accident, lacking the required criminal intent. [Source: Section 322, BNS 2023]</t>
  </si>
  <si>
    <t xml:space="preserve">CASE_1932</t>
  </si>
  <si>
    <t xml:space="preserve">The consequence is that the state protects public records, tax revenues, and third-party rights by ensuring that legal instruments of transfer accurately reflect the true financial reality and identity of the parties involved. [Source: Section 322, BNS 2023]</t>
  </si>
  <si>
    <t xml:space="preserve">CASE_1933</t>
  </si>
  <si>
    <t xml:space="preserve">Dishonest or fraudulent removal or concealment of property</t>
  </si>
  <si>
    <t xml:space="preserve">Dishonestly or fraudulently concealing or removing any property—whether yours or someone else's—or fraudulently releasing a claim you are entitled to, is punishable by up to three years in prison or a fine. [Source: Section 323, BNS 2023]</t>
  </si>
  <si>
    <t xml:space="preserve">Hugging Face source record: BNS_323</t>
  </si>
  <si>
    <t xml:space="preserve">CASE_1934</t>
  </si>
  <si>
    <t xml:space="preserve">Section 323 of BNS 2023 prescribes up to 3 years imprisonment or a fine for whoever dishonestly or fraudulently conceals or removes any property (of themselves or another), or dishonestly releases any claim they are entitled to. [Source: Section 323, BNS 2023]</t>
  </si>
  <si>
    <t xml:space="preserve">CASE_1935</t>
  </si>
  <si>
    <t xml:space="preserve">Because he dishonestly concealed and removed his own property to defraud potential judgment creditors, he is punishable under Section 323 with imprisonment up to three years. [Source: Section 323, BNS 2023]</t>
  </si>
  <si>
    <t xml:space="preserve">CASE_1936</t>
  </si>
  <si>
    <t xml:space="preserve">Yes, if a person "dishonestly releases any demand or claim to which he is entitled" (like forgiving a debt just so creditors cannot seize the receivable), it constitutes an offence under this section. [Source: Section 323, BNS 2023]</t>
  </si>
  <si>
    <t xml:space="preserve">CASE_1937</t>
  </si>
  <si>
    <t xml:space="preserve">No, because concealing property to protect it from theft is a lawful act of security; it is not done "dishonestly or fraudulently." [Source: Section 323, BNS 2023]</t>
  </si>
  <si>
    <t xml:space="preserve">CASE_1938</t>
  </si>
  <si>
    <t xml:space="preserve">The consequence is that it provides a versatile legal tool to prosecute various forms of asset-hiding and sham transactions that don't neatly fit into standard theft or bankruptcy fraud, ensuring debtors cannot manipulate their apparent net worth. [Source: Section 323, BNS 2023]</t>
  </si>
  <si>
    <t xml:space="preserve">CASE_1939</t>
  </si>
  <si>
    <t xml:space="preserve">Mischief</t>
  </si>
  <si>
    <t xml:space="preserve">Mischief involves causing the destruction of property, or changing its situation to destroy or diminish its value or utility, with the intent (or knowledge) of causing wrongful loss or damage. Punishments scale from six months for minor damage to five years for damage over one lakh rupees or if preparation for violence was made. [Source: Section 324, BNS 2023]</t>
  </si>
  <si>
    <t xml:space="preserve">Hugging Face source record: BNS_324</t>
  </si>
  <si>
    <t xml:space="preserve">CASE_1940</t>
  </si>
  <si>
    <t xml:space="preserve">Section 324 of BNS 2023 defines mischief as destroying or diminishing the value of property to cause wrongful loss. Penalties depend on damage value: up to 6 months (base), up to 1 year (government property), up to 2 years (20,000–1,00,000 rupees), up to 5 years (over 1 lakh rupees, or if prepared for violence). [Source: Section 324, BNS 2023]</t>
  </si>
  <si>
    <t xml:space="preserve">CASE_1941</t>
  </si>
  <si>
    <t xml:space="preserve">Because he caused a change in the property that diminished its value, intending to cause wrongful loss, he has committed mischief. Since the damage is between twenty thousand and one lakh rupees, he faces up to two years imprisonment under Section 324. [Source: Section 324, BNS 2023]</t>
  </si>
  <si>
    <t xml:space="preserve">CASE_1942</t>
  </si>
  <si>
    <t xml:space="preserve">Yes, Explanation 2 and Illustration (d) clarify that mischief can be committed by an act affecting property belonging to the offender themselves, such as destroying their own assets to prevent a creditor from seizing them. [Source: Section 324, BNS 2023]</t>
  </si>
  <si>
    <t xml:space="preserve">CASE_1943</t>
  </si>
  <si>
    <t xml:space="preserve">No, because mischief requires the specific "intent to cause, or knowing that he is likely to cause, wrongful loss or damage." Pure accidents lack this mental element. [Source: Section 324, BNS 2023]</t>
  </si>
  <si>
    <t xml:space="preserve">CASE_1944</t>
  </si>
  <si>
    <t xml:space="preserve">The consequence is a proportionate justice system where petty vandalism (like breaking a window) receives minor penalties, while catastrophic sabotage (like destroying highly valuable industrial equipment) is treated as a severe felony. [Source: Section 324, BNS 2023]</t>
  </si>
  <si>
    <t xml:space="preserve">CASE_1945</t>
  </si>
  <si>
    <t xml:space="preserve">Mischief by killing or maiming animal</t>
  </si>
  <si>
    <t xml:space="preserve">Committing mischief by killing, poisoning, maiming, or rendering useless any animal is punishable by up to five years in prison, or a fine, or both. [Source: Section 325, BNS 2023]</t>
  </si>
  <si>
    <t xml:space="preserve">Hugging Face source record: BNS_325</t>
  </si>
  <si>
    <t xml:space="preserve">CASE_1946</t>
  </si>
  <si>
    <t xml:space="preserve">Section 325 of BNS 2023 imposes imprisonment of up to 5 years, or a fine, or both, on whoever commits mischief by killing, poisoning, maiming, or rendering useless any animal. [Source: Section 325, BNS 2023]</t>
  </si>
  <si>
    <t xml:space="preserve">CASE_1947</t>
  </si>
  <si>
    <t xml:space="preserve">Because he committed mischief (intending wrongful loss) by poisoning and killing an animal, he is punishable under Section 325 with imprisonment up to five years. [Source: Section 325, BNS 2023]</t>
  </si>
  <si>
    <t xml:space="preserve">CASE_1948</t>
  </si>
  <si>
    <t xml:space="preserve">No, the language of the section is broad and applies to "any animal," regardless of its specific monetary value or species, as long as the act constitutes mischief. [Source: Section 325, BNS 2023]</t>
  </si>
  <si>
    <t xml:space="preserve">CASE_1949</t>
  </si>
  <si>
    <t xml:space="preserve">No, because the act was done lawfully, with consent, and without the intent to cause "wrongful loss or damage," meaning it does not fulfill the foundational definition of mischief required for this section. [Source: Section 325, BNS 2023]</t>
  </si>
  <si>
    <t xml:space="preserve">CASE_1950</t>
  </si>
  <si>
    <t xml:space="preserve">The consequence is that the law recognizes the unique cruelty of harming living creatures as a form of vandalism, providing strong deterrence against inflicting suffering on animals merely to spite their human owners. [Source: Section 325, BNS 2023]</t>
  </si>
  <si>
    <t xml:space="preserve">CASE_1951</t>
  </si>
  <si>
    <t xml:space="preserve">Mischief by injury, inundation, fire or explosive substance, etc.</t>
  </si>
  <si>
    <t xml:space="preserve">Section 326 addresses severe forms of mischief. Damaging water supplies, public roads, or causing inundations carries up to five years in prison. Tampering with navigation signals or committing arson carries up to seven years. Arson involving a place of worship or human dwelling is punishable by up to life imprisonment. [Source: Section 326, BNS 2023]</t>
  </si>
  <si>
    <t xml:space="preserve">Hugging Face source record: BNS_326</t>
  </si>
  <si>
    <t xml:space="preserve">CASE_1952</t>
  </si>
  <si>
    <t xml:space="preserve">Section 326 of BNS 2023 scales penalties for severe mischief: 5 years for affecting water supplies, roads, or causing inundations; 7 years for damaging navigation signals or using fire/explosives to damage property; and life imprisonment or 10 years for arson against a dwelling or place of worship. [Source: Section 326, BNS 2023]</t>
  </si>
  <si>
    <t xml:space="preserve">CASE_1953</t>
  </si>
  <si>
    <t xml:space="preserve">Because he committed mischief using an explosive substance intending to cause the destruction of a building used as a human dwelling, he is punishable under Section 326 with imprisonment for life, or up to ten years, and a fine. [Source: Section 326, BNS 2023]</t>
  </si>
  <si>
    <t xml:space="preserve">CASE_1954</t>
  </si>
  <si>
    <t xml:space="preserve">Yes, clause (d) explicitly covers "destroying or moving any sign or signal used for navigation... or other thing placed as a guide for navigators," punishable by up to seven years. [Source: Section 326, BNS 2023]</t>
  </si>
  <si>
    <t xml:space="preserve">CASE_1955</t>
  </si>
  <si>
    <t xml:space="preserve">No, because mischief requires the specific criminal intent or knowledge to cause wrongful loss/damage. Merely accidental or negligent obstruction is not "mischief" under this section. [Source: Section 326, BNS 2023]</t>
  </si>
  <si>
    <t xml:space="preserve">CASE_1956</t>
  </si>
  <si>
    <t xml:space="preserve">The consequence is that the state treats the intentional burning of homes as a near-capital offence, recognizing that it not only destroys property but poses a catastrophic and uncontrollable risk to human life. [Source: Section 326, BNS 2023]</t>
  </si>
  <si>
    <t xml:space="preserve">CASE_1957</t>
  </si>
  <si>
    <t xml:space="preserve">Mischief with intent to destroy or make unsafe a rail, aircraft, decked vessel or one of twenty tons burden</t>
  </si>
  <si>
    <t xml:space="preserve">Committing mischief with the intent to destroy or make unsafe a rail, aircraft, or large vessel (over 20 tons) is punishable by up to ten years in prison. If the sabotage involves fire or explosives, the penalty increases to life imprisonment. [Source: Section 327, BNS 2023]</t>
  </si>
  <si>
    <t xml:space="preserve">Hugging Face source record: BNS_327</t>
  </si>
  <si>
    <t xml:space="preserve">CASE_1958</t>
  </si>
  <si>
    <t xml:space="preserve">Section 327 of BNS 2023 imposes up to 10 years imprisonment and a fine for mischief intending to destroy or render unsafe any rail, aircraft, or vessel over 20 tons. If fire or explosives are used in the attempt, it is punishable by life imprisonment or up to 10 years. [Source: Section 327, BNS 2023]</t>
  </si>
  <si>
    <t xml:space="preserve">CASE_1959</t>
  </si>
  <si>
    <t xml:space="preserve">Because he attempted to commit mischief by an explosive substance to destroy or render unsafe an aircraft, he is punishable under Section 327 with imprisonment for life, or up to ten years. [Source: Section 327, BNS 2023]</t>
  </si>
  <si>
    <t xml:space="preserve">CASE_1960</t>
  </si>
  <si>
    <t xml:space="preserve">No, the section specifically applies to a "decked vessel or any vessel of a burden of twenty tons or upwards," so a small, undecked 5-ton boat would fall under general mischief, not this aggravated section. [Source: Section 327, BNS 2023]</t>
  </si>
  <si>
    <t xml:space="preserve">CASE_1961</t>
  </si>
  <si>
    <t xml:space="preserve">No, because the section requires "intending to destroy or render unsafe, or knowing it to be likely that he will thereby destroy or render unsafe." Negligence without intent or active knowledge of likelihood does not constitute mischief. [Source: Section 327, BNS 2023]</t>
  </si>
  <si>
    <t xml:space="preserve">CASE_1962</t>
  </si>
  <si>
    <t xml:space="preserve">The consequence is maximum deterrence against mass-casualty terrorism; the law recognizes that fire or explosives on trains, planes, or large ships inevitably endanger dozens or hundreds of lives simultaneously. [Source: Section 327, BNS 2023]</t>
  </si>
  <si>
    <t xml:space="preserve">CASE_1963</t>
  </si>
  <si>
    <t xml:space="preserve">Punishment for intentionally running vessel aground or ashore with intent to commit theft, etc.</t>
  </si>
  <si>
    <t xml:space="preserve">Intentionally running a vessel aground or ashore with the intent to commit theft or misappropriate the property on board is a serious offence punishable by up to ten years in prison and a fine. [Source: Section 328, BNS 2023]</t>
  </si>
  <si>
    <t xml:space="preserve">Hugging Face source record: BNS_328</t>
  </si>
  <si>
    <t xml:space="preserve">CASE_1964</t>
  </si>
  <si>
    <t xml:space="preserve">Section 328 of BNS 2023 imposes imprisonment up to 10 years and a fine on whoever intentionally runs any vessel aground or ashore, intending to commit theft or dishonest misappropriation of the property contained therein. [Source: Section 328, BNS 2023]</t>
  </si>
  <si>
    <t xml:space="preserve">CASE_1965</t>
  </si>
  <si>
    <t xml:space="preserve">Because he intentionally ran the vessel aground with the intent that theft of the property contained therein may be committed, he is punishable under Section 328 with imprisonment up to ten years. [Source: Section 328, BNS 2023]</t>
  </si>
  <si>
    <t xml:space="preserve">CASE_1966</t>
  </si>
  <si>
    <t xml:space="preserve">No, the offence is complete when the vessel is intentionally run aground "intending to commit theft" or "with intent that such theft... may be committed," even if the thieves are caught before taking anything. [Source: Section 328, BNS 2023]</t>
  </si>
  <si>
    <t xml:space="preserve">CASE_1967</t>
  </si>
  <si>
    <t xml:space="preserve">No, because his intent was to save lives and preserve property, not to "commit theft" or "dishonestly misappropriate" the cargo. [Source: Section 328, BNS 2023]</t>
  </si>
  <si>
    <t xml:space="preserve">CASE_1968</t>
  </si>
  <si>
    <t xml:space="preserve">The consequence is that the law specifically combats organized maritime crimes like "wrecking" or insider piracy, where the navigational control of the ship itself is weaponized to facilitate massive cargo theft. [Source: Section 328, BNS 2023]</t>
  </si>
  <si>
    <t xml:space="preserve">CASE_1969</t>
  </si>
  <si>
    <t xml:space="preserve">Criminal trespass and house-trespass</t>
  </si>
  <si>
    <t xml:space="preserve">Criminal trespass is entering or remaining on someone's property to commit an offence, intimidate, insult, or annoy the possessor. If this trespass occurs in a building, tent, or vessel used as a human dwelling or for worship/custody of property, it is called "house-trespass," carrying a higher penalty. [Source: Section 329, BNS 2023]</t>
  </si>
  <si>
    <t xml:space="preserve">Hugging Face source record: BNS_329</t>
  </si>
  <si>
    <t xml:space="preserve">CASE_1970</t>
  </si>
  <si>
    <t xml:space="preserve">Section 329 of BNS 2023 defines criminal trespass (entering/remaining on property to commit an offence, intimidate, or annoy) and house-trespass (trespassing in a human dwelling, place of worship, or property custody). Criminal trespass carries up to 3 months imprisonment, while house-trespass carries up to 1 year. [Source: Section 329, BNS 2023]</t>
  </si>
  <si>
    <t xml:space="preserve">CASE_1971</t>
  </si>
  <si>
    <t xml:space="preserve">Because he entered property in the possession of another with the intent to intimidate, insult, or annoy the person in possession, he has committed criminal trespass under Section 329. [Source: Section 329, BNS 2023]</t>
  </si>
  <si>
    <t xml:space="preserve">CASE_1972</t>
  </si>
  <si>
    <t xml:space="preserve">No, the Explanation to Section 329 clearly states that "The introduction of any part of the criminal trespasser’s body is entering sufficient to constitute house-trespass." [Source: Section 329, BNS 2023]</t>
  </si>
  <si>
    <t xml:space="preserve">CASE_1973</t>
  </si>
  <si>
    <t xml:space="preserve">No, because he did not enter with the "intent to commit an offence or to intimidate, insult or annoy any person." He merely made an innocent mistake. [Source: Section 329, BNS 2023]</t>
  </si>
  <si>
    <t xml:space="preserve">CASE_1974</t>
  </si>
  <si>
    <t xml:space="preserve">The consequence is that the law affords a much higher degree of protection and a stricter penalty (up to one year instead of three months) for violations of the sanctity, privacy, and security of a person's home or place of worship. [Source: Section 329, BNS 2023]</t>
  </si>
  <si>
    <t xml:space="preserve">CASE_1975</t>
  </si>
  <si>
    <t xml:space="preserve">House-trespass and house-breaking</t>
  </si>
  <si>
    <t xml:space="preserve">House-breaking occurs when a trespasser forces entry or exit using specific methods, such as making a hole in a wall, scaling a wall, picking a lock, using criminal force, or entering through a passage not meant for human entrance. [Source: Section 330, BNS 2023]</t>
  </si>
  <si>
    <t xml:space="preserve">Hugging Face source record: BNS_330</t>
  </si>
  <si>
    <t xml:space="preserve">CASE_1976</t>
  </si>
  <si>
    <t xml:space="preserve">Section 330 of BNS 2023 defines house-breaking as committing house-trespass by entering or quitting through six specific means: a self-made passage, scaling a wall, opening a closed passage, opening a lock, using criminal force/assault, or unfastening a secured entrance. [Source: Section 330, BNS 2023]</t>
  </si>
  <si>
    <t xml:space="preserve">CASE_1977</t>
  </si>
  <si>
    <t xml:space="preserve">Because he committed house-trespass and effected his entrance by opening a lock in order to commit the trespass, he has committed house-breaking under Section 330. [Source: Section 330, BNS 2023]</t>
  </si>
  <si>
    <t xml:space="preserve">CASE_1978</t>
  </si>
  <si>
    <t xml:space="preserve">Yes, Section 330 states that a person commits house-breaking if, having committed an offence therein, "he quits the house or any part of it" by opening a lock or unfastening a fastened passage. [Source: Section 330, BNS 2023]</t>
  </si>
  <si>
    <t xml:space="preserve">CASE_1979</t>
  </si>
  <si>
    <t xml:space="preserve">No, he has committed house-trespass, but because he did not use any of the six specific forced or unnatural methods of entry/exit listed in Section 330, it does not escalate to house-breaking. [Source: Section 330, BNS 2023]</t>
  </si>
  <si>
    <t xml:space="preserve">CASE_1980</t>
  </si>
  <si>
    <t xml:space="preserve">The consequence is that the law distinguishes between mere unlawful presence (trespass) and the aggressive, calculated circumvention of a homeowner's physical security measures, allowing for appropriately harsher penalties for burglars who defeat locks or break walls. [Source: Section 330, BNS 2023]</t>
  </si>
  <si>
    <t xml:space="preserve">CASE_1981</t>
  </si>
  <si>
    <t xml:space="preserve">Punishment for house-trespass or house-breaking</t>
  </si>
  <si>
    <t xml:space="preserve">House-breaking is punishable by up to two years in prison. However, if committed after sunset and before sunrise, the penalty increases to three years. If the intent is to commit theft, it extends to ten years (or fourteen years if at night). [Source: Section 331, BNS 2023]</t>
  </si>
  <si>
    <t xml:space="preserve">Hugging Face source record: BNS_331</t>
  </si>
  <si>
    <t xml:space="preserve">CASE_1982</t>
  </si>
  <si>
    <t xml:space="preserve">Section 331 of BNS 2023 scales penalties based on timing and intent: Base penalty is up to 2 years; night-time is 3 years. Intent to commit theft carries up to 10 years (14 years at night). Preparation for violence carries up to 10 years (14 at night), and causing grievous hurt carries up to life imprisonment. [Source: Section 331, BNS 2023]</t>
  </si>
  <si>
    <t xml:space="preserve">CASE_1983</t>
  </si>
  <si>
    <t xml:space="preserve">Because he committed house-breaking after sunset and before sunrise in order to commit theft, he is punishable under Section 331(4) with imprisonment of up to fourteen years. [Source: Section 331, BNS 2023]</t>
  </si>
  <si>
    <t xml:space="preserve">CASE_1984</t>
  </si>
  <si>
    <t xml:space="preserve">Yes, sub-section (8) states that if any person jointly concerned in committing night-time house-breaking causes grievous hurt or death, every person jointly concerned shall be punished with life imprisonment or up to ten years. [Source: Section 331, BNS 2023]</t>
  </si>
  <si>
    <t xml:space="preserve">CASE_1985</t>
  </si>
  <si>
    <t xml:space="preserve">No, the 14-year penalty applies only to night-time house-breaking with intent to commit theft, or with preparation for hurt. A daytime break-in without violence or major theft intent carries a lower base penalty under this section. [Source: Section 331, BNS 2023]</t>
  </si>
  <si>
    <t xml:space="preserve">CASE_1986</t>
  </si>
  <si>
    <t xml:space="preserve">The consequence is that the law provides maximum deterrence against nocturnal home invasions, recognizing that nighttime break-ins cause profound psychological terror and drastically increase the likelihood of violent, fatal confrontations in the dark. [Source: Section 331, BNS 2023]</t>
  </si>
  <si>
    <t xml:space="preserve">CASE_1987</t>
  </si>
  <si>
    <t xml:space="preserve">House-trespass in order to commit offence</t>
  </si>
  <si>
    <t xml:space="preserve">If house-trespass is committed with the intent to commit an offence punishable by death, the trespass itself is punishable by life imprisonment or up to ten years. If the intended offence is punishable by life imprisonment, the trespass carries up to ten years. [Source: Section 332, BNS 2023]</t>
  </si>
  <si>
    <t xml:space="preserve">Hugging Face source record: BNS_332</t>
  </si>
  <si>
    <t xml:space="preserve">CASE_1988</t>
  </si>
  <si>
    <t xml:space="preserve">Section 332 of BNS 2023 links the trespass penalty to the intended crime: intent to commit a capital offence carries life or up to 10 years; intent for a life-imprisonment offence carries up to 10 years; intent for an imprisonment offence carries up to 2 years (or 7 years if the intent is theft). [Source: Section 332, BNS 2023]</t>
  </si>
  <si>
    <t xml:space="preserve">CASE_1989</t>
  </si>
  <si>
    <t xml:space="preserve">Because he committed house-trespass in order to commit an offence punishable with death (murder), he is punishable under Section 332 with imprisonment for life, or rigorous imprisonment up to ten years. [Source: Section 332, BNS 2023]</t>
  </si>
  <si>
    <t xml:space="preserve">CASE_1990</t>
  </si>
  <si>
    <t xml:space="preserve">No, Section 332 explicitly categorizes the intended offences as those "punishable with death," "punishable with imprisonment for life," or "punishable with imprisonment." It does not provide an enhanced tier for fine-only offences. [Source: Section 332, BNS 2023]</t>
  </si>
  <si>
    <t xml:space="preserve">CASE_1991</t>
  </si>
  <si>
    <t xml:space="preserve">No, the offence is complete upon the trespass "in order to the committing" of the offence. The specific intent to commit theft allows for the imprisonment to be extended to seven years, even if the theft was aborted. [Source: Section 332, BNS 2023]</t>
  </si>
  <si>
    <t xml:space="preserve">CASE_1992</t>
  </si>
  <si>
    <t xml:space="preserve">The consequence is a preventive justice framework where the law severely punishes the dangerous preliminary step (the home invasion) based on the catastrophic harm the offender intended to inflict, allowing intervention before the primary crime occurs. [Source: Section 332, BNS 2023]</t>
  </si>
  <si>
    <t xml:space="preserve">CASE_1993</t>
  </si>
  <si>
    <t xml:space="preserve">House-trespass after preparation for hurt, assault or wrongful restraint</t>
  </si>
  <si>
    <t xml:space="preserve">Committing house-trespass after making preparations to cause hurt, assault, or wrongfully restrain anyone inside is punishable by up to seven years in prison and a fine. [Source: Section 333, BNS 2023]</t>
  </si>
  <si>
    <t xml:space="preserve">Hugging Face source record: BNS_333</t>
  </si>
  <si>
    <t xml:space="preserve">CASE_1994</t>
  </si>
  <si>
    <t xml:space="preserve">Section 333 of BNS 2023 imposes imprisonment up to 7 years and a fine on whoever commits house-trespass having made preparation for causing hurt, assault, wrongful restraint, or putting someone in fear of such acts. [Source: Section 333, BNS 2023]</t>
  </si>
  <si>
    <t xml:space="preserve">CASE_1995</t>
  </si>
  <si>
    <t xml:space="preserve">Because he committed house-trespass having made preparation for wrongfully restraining and assaulting a person, he is punishable under Section 333 with imprisonment up to seven years. [Source: Section 333, BNS 2023]</t>
  </si>
  <si>
    <t xml:space="preserve">CASE_1996</t>
  </si>
  <si>
    <t xml:space="preserve">No, the section penalizes the trespass committed "having made preparation" for hurt or restraint. The actual infliction of violence is not required to trigger this seven-year penalty. [Source: Section 333, BNS 2023]</t>
  </si>
  <si>
    <t xml:space="preserve">CASE_1997</t>
  </si>
  <si>
    <t xml:space="preserve">No, because he did not make "preparation for causing hurt... or for wrongfully restraining any person." He would face lower penalties for simple house-trespass instead. [Source: Section 333, BNS 2023]</t>
  </si>
  <si>
    <t xml:space="preserve">CASE_1998</t>
  </si>
  <si>
    <t xml:space="preserve">The consequence is that it empowers law enforcement to neutralize highly dangerous, premeditated threats (like armed home invaders) with severe penalties the moment they cross the threshold, rather than waiting for them to actually attack the occupants. [Source: Section 333, BNS 2023]</t>
  </si>
  <si>
    <t xml:space="preserve">CASE_1999</t>
  </si>
  <si>
    <t xml:space="preserve">Dishonestly breaking open receptacle containing property</t>
  </si>
  <si>
    <t xml:space="preserve">Dishonestly breaking open or unfastening any closed receptacle (like a safe or locked box) believed to contain property is punishable by up to two years in prison. If the person was entrusted with the receptacle, the penalty increases to three years. [Source: Section 334, BNS 2023]</t>
  </si>
  <si>
    <t xml:space="preserve">Hugging Face source record: BNS_334</t>
  </si>
  <si>
    <t xml:space="preserve">CASE_2000</t>
  </si>
  <si>
    <t xml:space="preserve">Section 334 of BNS 2023 prescribes up to 2 years imprisonment for dishonestly breaking open a closed receptacle believed to contain property. The punishment increases to 3 years if the offender was entrusted with the receptacle but lacked authority to open it. [Source: Section 334, BNS 2023]</t>
  </si>
  <si>
    <t xml:space="preserve">CASE_2001</t>
  </si>
  <si>
    <t xml:space="preserve">Because he was entrusted with a closed receptacle and dishonestly broke it open without authority, he is punishable under Section 334(2) with imprisonment up to three years. [Source: Section 334, BNS 2023]</t>
  </si>
  <si>
    <t xml:space="preserve">CASE_2002</t>
  </si>
  <si>
    <t xml:space="preserve">No, the section applies if the receptacle contains "or which he believes to contain property." The offender's belief that there is property inside is sufficient. [Source: Section 334, BNS 2023]</t>
  </si>
  <si>
    <t xml:space="preserve">CASE_2003</t>
  </si>
  <si>
    <t xml:space="preserve">No, because breaking open his own safe is done lawfully and with authority; it is not done "dishonestly or with intent to commit mischief." [Source: Section 334, BNS 2023]</t>
  </si>
  <si>
    <t xml:space="preserve">CASE_2004</t>
  </si>
  <si>
    <t xml:space="preserve">The consequence is that it provides a direct legal remedy against the violation of physical security measures (like tampering with safes, lockers, or sealed cargo), independent of whether a theft is actually completed or whether the container held anything valuable. [Source: Section 334, BNS 2023]</t>
  </si>
  <si>
    <t xml:space="preserve">CASE_2005</t>
  </si>
  <si>
    <t xml:space="preserve">Making a false document</t>
  </si>
  <si>
    <t xml:space="preserve">Making a false document (forgery) involves dishonestly creating, signing, or altering a document or electronic record with the intent to make people believe it was authorized by someone who didn't actually authorize it, or secretly altering a document after it was signed. [Source: Section 335, BNS 2023]</t>
  </si>
  <si>
    <t xml:space="preserve">Hugging Face source record: BNS_335</t>
  </si>
  <si>
    <t xml:space="preserve">CASE_2006</t>
  </si>
  <si>
    <t xml:space="preserve">Section 335 of BNS 2023 defines making a false document/electronic record as: (A) dishonestly executing/signing it to falsely appear authorized; (B) unlawfully altering a material part after execution; or (C) causing an intoxicated, unsound, or deceived person to sign/alter it without knowing the contents. [Source: Section 335, BNS 2023]</t>
  </si>
  <si>
    <t xml:space="preserve">CASE_2007</t>
  </si>
  <si>
    <t xml:space="preserve">Yes, by filling up the cheque without authority for a fraudulent amount, he has unlawfully altered a document in a material part, thus making a false document under Section 335. [Source: Section 335, BNS 2023]</t>
  </si>
  <si>
    <t xml:space="preserve">CASE_2008</t>
  </si>
  <si>
    <t xml:space="preserve">Yes, Explanation 1 clarifies that "A man’s signature of his own name may amount to forgery," such as signing a bill of exchange intending people to believe it was signed by a different person who happens to share the exact same name. [Source: Section 335, BNS 2023]</t>
  </si>
  <si>
    <t xml:space="preserve">CASE_2009</t>
  </si>
  <si>
    <t xml:space="preserve">No, because the alteration was not done "dishonestly or fraudulently," and a minor spelling correction may not constitute a "material part" alteration intended to deceive. [Source: Section 335, BNS 2023]</t>
  </si>
  <si>
    <t xml:space="preserve">CASE_2010</t>
  </si>
  <si>
    <t xml:space="preserve">The consequence is that the law modernizes fraud prosecution, ensuring that cybercrimes involving digital contracts, emails, and cryptographic signatures are punished just as severely as traditional paper forgery. [Source: Section 335, BNS 2023]</t>
  </si>
  <si>
    <t xml:space="preserve">CASE_2011</t>
  </si>
  <si>
    <t xml:space="preserve">Forgery</t>
  </si>
  <si>
    <t xml:space="preserve">Forgery is generally punishable by up to two years in prison or a fine. However, if the forgery is done with the intent to cheat, the penalty increases to up to seven years. If it is done to harm someone's reputation, it is punishable by up to three years. [Source: Section 336, BNS 2023]</t>
  </si>
  <si>
    <t xml:space="preserve">Hugging Face source record: BNS_336</t>
  </si>
  <si>
    <t xml:space="preserve">CASE_2012</t>
  </si>
  <si>
    <t xml:space="preserve">Section 336 of BNS 2023 prescribes up to 2 years imprisonment for basic forgery. If intended for cheating, the punishment extends to 7 years. If intended to harm someone's reputation, it extends to 3 years. [Source: Section 336, BNS 2023]</t>
  </si>
  <si>
    <t xml:space="preserve">CASE_2013</t>
  </si>
  <si>
    <t xml:space="preserve">Because he committed forgery intending that the forged document be used for the purpose of cheating, he is punishable under Section 336(3) with imprisonment up to seven years. [Source: Section 336, BNS 2023]</t>
  </si>
  <si>
    <t xml:space="preserve">CASE_2014</t>
  </si>
  <si>
    <t xml:space="preserve">Sub-section (4) applies, because the forgery was committed intending that the document shall harm the reputation of a party, making it punishable by up to three years in prison. [Source: Section 336, BNS 2023]</t>
  </si>
  <si>
    <t xml:space="preserve">CASE_2015</t>
  </si>
  <si>
    <t xml:space="preserve">No, because he did not make the document "with intent to cause damage or injury... or to support any claim or title... or with intent to commit fraud." Lacking fraudulent intent, it is not forgery. [Source: Section 336, BNS 2023]</t>
  </si>
  <si>
    <t xml:space="preserve">CASE_2016</t>
  </si>
  <si>
    <t xml:space="preserve">The consequence is that the law scales the punishment based on the specific harm intended: financial fraud (cheating) is punished most severely, reputation harm is moderate, and general or minor forgery receives the baseline penalty. [Source: Section 336, BNS 2023]</t>
  </si>
  <si>
    <t xml:space="preserve">CASE_2017</t>
  </si>
  <si>
    <t xml:space="preserve">Forgery of record of Court or of public register, etc.</t>
  </si>
  <si>
    <t xml:space="preserve">Forging a court record, government identity document (like Aadhaar or voter ID), public register (birth, marriage), or a document made by a public servant is a serious offence punishable by up to seven years in prison and a fine. [Source: Section 337, BNS 2023]</t>
  </si>
  <si>
    <t xml:space="preserve">Hugging Face source record: BNS_337</t>
  </si>
  <si>
    <t xml:space="preserve">CASE_2018</t>
  </si>
  <si>
    <t xml:space="preserve">Section 337 of BNS 2023 imposes imprisonment up to 7 years and a fine on whoever forges court records, government identity documents (Aadhaar/Voter ID), public registers (birth/marriage), or official public servant certificates. [Source: Section 337, BNS 2023]</t>
  </si>
  <si>
    <t xml:space="preserve">CASE_2019</t>
  </si>
  <si>
    <t xml:space="preserve">Because he forged a document purporting to be a certificate made by a public servant in his official capacity, he is punishable under Section 337 with imprisonment up to seven years. [Source: Section 337, BNS 2023]</t>
  </si>
  <si>
    <t xml:space="preserve">CASE_2020</t>
  </si>
  <si>
    <t xml:space="preserve">Yes, the Explanation clarifies that "register" includes any "list, data or record of any entries maintained in the electronic form," so forging an electronic public register falls under this section. [Source: Section 337, BNS 2023]</t>
  </si>
  <si>
    <t xml:space="preserve">CASE_2021</t>
  </si>
  <si>
    <t xml:space="preserve">No, because it lacks the fraudulent intent required for forgery; it is not "purporting to be" a real identity document intended to deceive anyone into accepting it as genuine. [Source: Section 337, BNS 2023]</t>
  </si>
  <si>
    <t xml:space="preserve">CASE_2022</t>
  </si>
  <si>
    <t xml:space="preserve">The consequence is that it protects the foundation of the state's administrative and judicial systems, ensuring that citizens and institutions can trust the authenticity of court orders, identities, and vital statistics. [Source: Section 337, BNS 2023]</t>
  </si>
  <si>
    <t xml:space="preserve">CASE_2023</t>
  </si>
  <si>
    <t xml:space="preserve">Forgery of valuable security, will, etc.</t>
  </si>
  <si>
    <t xml:space="preserve">Forging a valuable security, a will, an authority to adopt, or receipts acknowledging the payment of money or delivery of property is heavily punished, carrying life imprisonment or up to ten years in prison. [Source: Section 338, BNS 2023]</t>
  </si>
  <si>
    <t xml:space="preserve">Hugging Face source record: BNS_338</t>
  </si>
  <si>
    <t xml:space="preserve">CASE_2024</t>
  </si>
  <si>
    <t xml:space="preserve">Section 338 of BNS 2023 imposes life imprisonment or up to 10 years imprisonment on whoever forges a valuable security, a will, an authority to transfer property/money, or receipts acknowledging payment/delivery of property. [Source: Section 338, BNS 2023]</t>
  </si>
  <si>
    <t xml:space="preserve">CASE_2025</t>
  </si>
  <si>
    <t xml:space="preserve">Because he forged a document which purports to be a will, he is punishable under Section 338 with imprisonment for life, or up to ten years in prison. [Source: Section 338, BNS 2023]</t>
  </si>
  <si>
    <t xml:space="preserve">CASE_2026</t>
  </si>
  <si>
    <t xml:space="preserve">Yes, because it is a "document purporting to be an acquittance or receipt acknowledging the payment of money," making its forgery punishable under this severe section. [Source: Section 338, BNS 2023]</t>
  </si>
  <si>
    <t xml:space="preserve">CASE_2027</t>
  </si>
  <si>
    <t xml:space="preserve">No, because drafting a document with authorization without any false signatures or fraudulent alterations does not constitute "making a false document" or forgery. [Source: Section 338, BNS 2023]</t>
  </si>
  <si>
    <t xml:space="preserve">CASE_2028</t>
  </si>
  <si>
    <t xml:space="preserve">The consequence is maximum deterrence against sophisticated financial crimes that can instantly transfer massive amounts of wealth or irrevocably alter inheritance rights, causing devastating economic harm to the rightful owners. [Source: Section 338, BNS 2023]</t>
  </si>
  <si>
    <t xml:space="preserve">CASE_2029</t>
  </si>
  <si>
    <t xml:space="preserve">Having possession of document described in section 337 or section 338, knowing it to be forged and intending to use it as genuine</t>
  </si>
  <si>
    <t xml:space="preserve">Possessing a forged public document (like an ID or court record) with the intent to use it fraudulently is punishable by up to seven years in prison. If you possess a forged valuable security or will, the penalty increases to life imprisonment or up to seven years. [Source: Section 339, BNS 2023]</t>
  </si>
  <si>
    <t xml:space="preserve">Hugging Face source record: BNS_339</t>
  </si>
  <si>
    <t xml:space="preserve">CASE_2030</t>
  </si>
  <si>
    <t xml:space="preserve">Section 339 of BNS 2023 penalizes possessing a forged document knowing it is forged and intending to use it. Possession of forged public records (Section 337) carries up to 7 years. Possession of forged wills/valuable securities (Section 338) carries life imprisonment or up to 7 years. [Source: Section 339, BNS 2023]</t>
  </si>
  <si>
    <t xml:space="preserve">CASE_2031</t>
  </si>
  <si>
    <t xml:space="preserve">Because he had possession of documents described in Section 338 knowing they were forged and intending to use them fraudulently as genuine, he is punishable under Section 339 with life imprisonment or up to seven years. [Source: Section 339, BNS 2023]</t>
  </si>
  <si>
    <t xml:space="preserve">CASE_2032</t>
  </si>
  <si>
    <t xml:space="preserve">No, the section strictly requires that the person has possession "knowing the same to be forged and intending that the same shall fraudulently or dishonestly be used." Innocent possession is not a crime. [Source: Section 339, BNS 2023]</t>
  </si>
  <si>
    <t xml:space="preserve">CASE_2033</t>
  </si>
  <si>
    <t xml:space="preserve">No, because while he knows it is forged, he does not have the intent "that the same shall fraudulently or dishonestly be used as genuine." He is holding it lawfully. [Source: Section 339, BNS 2023]</t>
  </si>
  <si>
    <t xml:space="preserve">CASE_2034</t>
  </si>
  <si>
    <t xml:space="preserve">The consequence is that law enforcement can prosecute counterfeiters, document traffickers, and fraudsters before they successfully execute their scams, intervening while they are holding the tools of their intended fraud. [Source: Section 339, BNS 2023]</t>
  </si>
  <si>
    <t xml:space="preserve">CASE_2035</t>
  </si>
  <si>
    <t xml:space="preserve">Forged document or electronic record and using it as genuine</t>
  </si>
  <si>
    <t xml:space="preserve">A document made wholly or partly by forgery is a "forged document." Anyone who fraudulently or dishonestly uses a document they know is forged as if it were genuine is punished exactly as if they had committed the forgery themselves. [Source: Section 340, BNS 2023]</t>
  </si>
  <si>
    <t xml:space="preserve">Hugging Face source record: BNS_340</t>
  </si>
  <si>
    <t xml:space="preserve">CASE_2036</t>
  </si>
  <si>
    <t xml:space="preserve">Section 340 of BNS 2023 defines a "forged document" and states that whoever fraudulently/dishonestly uses as genuine a document they know (or have reason to believe) is forged, shall be punished in the same manner as if they had forged it themselves. [Source: Section 340, BNS 2023]</t>
  </si>
  <si>
    <t xml:space="preserve">CASE_2037</t>
  </si>
  <si>
    <t xml:space="preserve">Because he fraudulently used as genuine a document he knew was forged, he is punishable under Section 340 in the exact same manner as if he had forged the document himself (which, depending on the document type and intent, dictates the penalty). [Source: Section 340, BNS 2023]</t>
  </si>
  <si>
    <t xml:space="preserve">CASE_2038</t>
  </si>
  <si>
    <t xml:space="preserve">Yes, sub-section (1) clarifies that "A false document or electronic record made wholly or in part by forgery is designated a forged document or electronic record." [Source: Section 340, BNS 2023]</t>
  </si>
  <si>
    <t xml:space="preserve">CASE_2039</t>
  </si>
  <si>
    <t xml:space="preserve">No, because the teller did not know or have "reason to believe to be a forged document." The fraudulent use requires knowledge or reasonable belief of the forgery. [Source: Section 340, BNS 2023]</t>
  </si>
  <si>
    <t xml:space="preserve">CASE_2040</t>
  </si>
  <si>
    <t xml:space="preserve">The consequence is that it eliminates the loophole where a person who commissions a forgery but does not physically make it could escape harsh punishment, treating the execution of the fraud as equally culpable as its preparation. [Source: Section 340, BNS 2023]</t>
  </si>
  <si>
    <t xml:space="preserve">CASE_2041</t>
  </si>
  <si>
    <t xml:space="preserve">Making or possessing counterfeit seal, etc., with intent to commit forgery punishable under section 338</t>
  </si>
  <si>
    <t xml:space="preserve">Making or possessing counterfeit seals, plates, or instruments intending to use them for forgery is punishable by up to seven years in prison. If the intended forgery involves valuable securities or wills (Section 338), the penalty can escalate to life imprisonment. Merely possessing them knowingly without specific intent carries up to three years. [Source: Section 341, BNS 2023]</t>
  </si>
  <si>
    <t xml:space="preserve">Hugging Face source record: BNS_341</t>
  </si>
  <si>
    <t xml:space="preserve">CASE_2042</t>
  </si>
  <si>
    <t xml:space="preserve">Section 341 of BNS 2023 penalizes making/possessing counterfeit seals or plates intended for forgery. Forging valuable securities/wills (Section 338) carries life or up to 7 years. Forging other documents carries up to 7 years. Mere knowing possession without specific intent carries up to 3 years. Fraudulent use is punished identically to making them. [Source: Section 341, BNS 2023]</t>
  </si>
  <si>
    <t xml:space="preserve">CASE_2043</t>
  </si>
  <si>
    <t xml:space="preserve">Because he made an instrument for making an impression intending it to be used to commit forgery of a valuable security (under Section 338), he is punishable under Section 341(1) with imprisonment for life, or up to seven years. [Source: Section 341, BNS 2023]</t>
  </si>
  <si>
    <t xml:space="preserve">CASE_2044</t>
  </si>
  <si>
    <t xml:space="preserve">Yes, under sub-section (3), whoever simply possesses any seal or instrument knowing the same to be counterfeit is punishable by up to three years in prison, even without the specific intent to commit a particular forgery. [Source: Section 341, BNS 2023]</t>
  </si>
  <si>
    <t xml:space="preserve">CASE_2045</t>
  </si>
  <si>
    <t xml:space="preserve">No, because the seal is not made with the intent to commit a criminal forgery, nor is it possessed or used "fraudulently or dishonestly." It is a lawful theatrical prop. [Source: Section 341, BNS 2023]</t>
  </si>
  <si>
    <t xml:space="preserve">CASE_2046</t>
  </si>
  <si>
    <t xml:space="preserve">The consequence is that law enforcement can proactively dismantle counterfeiting rings by targeting the manufacturers and distributors of the hardware (plates, seals, presses) before any fake documents are successfully circulated into the economy. [Source: Section 341, BNS 2023]</t>
  </si>
  <si>
    <t xml:space="preserve">CASE_2047</t>
  </si>
  <si>
    <t xml:space="preserve">Counterfeiting device or mark used for authenticating documents described in section 338, or possessing counterfeit marked material</t>
  </si>
  <si>
    <t xml:space="preserve">Counterfeiting any device or mark (like a watermark) used to authenticate documents on any material, or possessing material with such fake marks, is punishable by up to seven years in prison. If the mark is meant for valuable securities or wills, the penalty can extend to life imprisonment. [Source: Section 342, BNS 2023]</t>
  </si>
  <si>
    <t xml:space="preserve">Hugging Face source record: BNS_342</t>
  </si>
  <si>
    <t xml:space="preserve">CASE_2048</t>
  </si>
  <si>
    <t xml:space="preserve">Section 342 of BNS 2023 penalizes counterfeiting marks/devices used for authentication on any material, or possessing such material. Marks for valuable securities/wills (Section 338) carry life or up to 7 years imprisonment. Marks for other documents carry up to 7 years. [Source: Section 342, BNS 2023]</t>
  </si>
  <si>
    <t xml:space="preserve">CASE_2049</t>
  </si>
  <si>
    <t xml:space="preserve">Because they counterfeited a device in the substance of material used for authenticating valuable securities, intending it to give the appearance of authenticity to forged documents, they are punishable under Section 342(1) with imprisonment for life, or up to seven years. [Source: Section 342, BNS 2023]</t>
  </si>
  <si>
    <t xml:space="preserve">CASE_2050</t>
  </si>
  <si>
    <t xml:space="preserve">No, the section also explicitly penalizes anyone "who, with such intent, has in his possession any material upon or in the substance of which any such device or mark has been counterfeited." [Source: Section 342, BNS 2023]</t>
  </si>
  <si>
    <t xml:space="preserve">CASE_2051</t>
  </si>
  <si>
    <t xml:space="preserve">No, because the section requires the specific intent "that such device or mark shall be used for the purpose of giving the appearance of authenticity to any document then forged or thereafter to be forged." [Source: Section 342, BNS 2023]</t>
  </si>
  <si>
    <t xml:space="preserve">CASE_2052</t>
  </si>
  <si>
    <t xml:space="preserve">The consequence is that the law recognizes the supply chain of high-level fraud; by strictly penalizing the creation and possession of base materials like security paper or holograms, it chokes off the raw materials that professional forgers rely on. [Source: Section 342, BNS 2023]</t>
  </si>
  <si>
    <t xml:space="preserve">CASE_2053</t>
  </si>
  <si>
    <t xml:space="preserve">Fraudulent cancellation, destruction, etc., of will, authority to adopt, or valuable security</t>
  </si>
  <si>
    <t xml:space="preserve">Fraudulently destroying, canceling, defacing, or hiding a will, an authority to adopt, or a valuable security to cause damage or injury is a severe crime punishable by life imprisonment or up to seven years in prison. [Source: Section 343, BNS 2023]</t>
  </si>
  <si>
    <t xml:space="preserve">Hugging Face source record: BNS_343</t>
  </si>
  <si>
    <t xml:space="preserve">CASE_2054</t>
  </si>
  <si>
    <t xml:space="preserve">Section 343 of BNS 2023 imposes life imprisonment or up to 7 years imprisonment on whoever fraudulently/dishonestly destroys, cancels, defaces, secretes, or commits mischief regarding a will, authority to adopt, or valuable security, intending to cause damage. [Source: Section 343, BNS 2023]</t>
  </si>
  <si>
    <t xml:space="preserve">CASE_2055</t>
  </si>
  <si>
    <t xml:space="preserve">Because the sibling fraudulently destroyed a document purporting to be a will with intent to cause damage to the younger brother, they are punishable under Section 343 with imprisonment for life, or up to seven years. [Source: Section 343, BNS 2023]</t>
  </si>
  <si>
    <t xml:space="preserve">CASE_2056</t>
  </si>
  <si>
    <t xml:space="preserve">Yes, the section covers anyone who "secretes or attempts to secrete" any valuable security with intent to cause damage or injury, making the act of hiding it punishable. [Source: Section 343, BNS 2023]</t>
  </si>
  <si>
    <t xml:space="preserve">CASE_2057</t>
  </si>
  <si>
    <t xml:space="preserve">No, because the act was done mistakenly, not "fraudulently or dishonestly, or with intent to cause damage or injury." It lacks the requisite criminal mens rea. [Source: Section 343, BNS 2023]</t>
  </si>
  <si>
    <t xml:space="preserve">CASE_2058</t>
  </si>
  <si>
    <t xml:space="preserve">The consequence is that the law treats the malicious destruction of these documents as functionally equivalent to extreme forgery or major theft, because destroying a will completely obliterates the legal and financial rights of the intended heirs. [Source: Section 343, BNS 2023]</t>
  </si>
  <si>
    <t xml:space="preserve">CASE_2059</t>
  </si>
  <si>
    <t xml:space="preserve">Falsification of accounts</t>
  </si>
  <si>
    <t xml:space="preserve">If a clerk, officer, or servant willfully and with intent to defraud falsifies, destroys, alters, or makes false entries in their employer's books, accounts, or electronic records, they can be punished by up to seven years in prison or a fine. [Source: Section 344, BNS 2023]</t>
  </si>
  <si>
    <t xml:space="preserve">Hugging Face source record: BNS_344</t>
  </si>
  <si>
    <t xml:space="preserve">CASE_2060</t>
  </si>
  <si>
    <t xml:space="preserve">Section 344 of BNS 2023 imposes up to 7 years imprisonment or a fine on any clerk/servant/officer who willfully and with intent to defraud destroys, alters, falsifies, or makes false entries in their employer's books, electronic records, or accounts. [Source: Section 344, BNS 2023]</t>
  </si>
  <si>
    <t xml:space="preserve">CASE_2061</t>
  </si>
  <si>
    <t xml:space="preserve">Because she, acting in the capacity of a clerk, willfully and with intent to defraud falsified and altered an electronic record belonging to her employer, she is punishable under Section 344 with imprisonment up to seven years. [Source: Section 344, BNS 2023]</t>
  </si>
  <si>
    <t xml:space="preserve">CASE_2062</t>
  </si>
  <si>
    <t xml:space="preserve">No, the Explanation states that it is sufficient to allege a "general intent to defraud without naming any particular person intended to be defrauded or specifying any particular sum of money... or any particular day." [Source: Section 344, BNS 2023]</t>
  </si>
  <si>
    <t xml:space="preserve">CASE_2063</t>
  </si>
  <si>
    <t xml:space="preserve">No, because the section strictly requires that the alteration or false entry be made "wilfully, and with intent to defraud." A genuine clerical error lacks criminal intent. [Source: Section 344, BNS 2023]</t>
  </si>
  <si>
    <t xml:space="preserve">CASE_2064</t>
  </si>
  <si>
    <t xml:space="preserve">The consequence is that it makes prosecuting corporate embezzlement and white-collar crime much more practical; prosecutors don't have to trace every single missing penny through complex ledgers as long as the overarching fraudulent intent of cooking the books is clear. [Source: Section 344, BNS 2023]</t>
  </si>
  <si>
    <t xml:space="preserve">CASE_2065</t>
  </si>
  <si>
    <t xml:space="preserve">Property mark</t>
  </si>
  <si>
    <t xml:space="preserve">A property mark is a mark used to denote that movable property belongs to a specific person. Using a false property mark on goods or packages to make people believe they belong to someone else is punishable by up to one year in prison or a fine, unless proven it was without intent to defraud. [Source: Section 345, BNS 2023]</t>
  </si>
  <si>
    <t xml:space="preserve">Hugging Face source record: BNS_345</t>
  </si>
  <si>
    <t xml:space="preserve">CASE_2066</t>
  </si>
  <si>
    <t xml:space="preserve">Section 345 of BNS 2023 defines a property mark as a mark denoting ownership of movable property. Using a false property mark to deceptively indicate belonging to another person is punishable by up to 1 year imprisonment or a fine, unless the accused proves no intent to defraud. [Source: Section 345, BNS 2023]</t>
  </si>
  <si>
    <t xml:space="preserve">CASE_2067</t>
  </si>
  <si>
    <t xml:space="preserve">Because he marked movable property in a manner reasonably calculated to cause it to be believed that the goods belonged to a person to whom they did not belong, he used a false property mark and is punishable under Section 345 with up to one year in prison. [Source: Section 345, BNS 2023]</t>
  </si>
  <si>
    <t xml:space="preserve">CASE_2068</t>
  </si>
  <si>
    <t xml:space="preserve">The section shifts the burden slightly to the accused, stating that whoever uses a false property mark shall be punished "unless he proves that he acted without intent to defraud." [Source: Section 345, BNS 2023]</t>
  </si>
  <si>
    <t xml:space="preserve">CASE_2069</t>
  </si>
  <si>
    <t xml:space="preserve">No, because if they can prove that they "acted without intent to defraud" and it was merely an administrative accident, they are exempt from punishment under this section. [Source: Section 345, BNS 2023]</t>
  </si>
  <si>
    <t xml:space="preserve">CASE_2070</t>
  </si>
  <si>
    <t xml:space="preserve">The consequence is that the law protects consumer trust and corporate branding by criminalizing counterfeiting and trademark infringement that deceives the public regarding the origin and ownership of commercial goods. [Source: Section 345, BNS 2023]</t>
  </si>
  <si>
    <t xml:space="preserve">CASE_2071</t>
  </si>
  <si>
    <t xml:space="preserve">Tampering with property mark with intent to cause injury</t>
  </si>
  <si>
    <t xml:space="preserve">Removing, destroying, defacing, or adding to a property mark with the intent or knowledge that it will likely cause injury to any person is punishable by up to one year in prison or a fine. [Source: Section 346, BNS 2023]</t>
  </si>
  <si>
    <t xml:space="preserve">Hugging Face source record: BNS_346</t>
  </si>
  <si>
    <t xml:space="preserve">CASE_2072</t>
  </si>
  <si>
    <t xml:space="preserve">Section 346 of BNS 2023 imposes up to 1 year imprisonment or a fine on whoever removes, destroys, defaces, or adds to a property mark, intending or knowing it is likely to cause injury to any person. [Source: Section 346, BNS 2023]</t>
  </si>
  <si>
    <t xml:space="preserve">CASE_2073</t>
  </si>
  <si>
    <t xml:space="preserve">Because he defaced a property mark intending and knowing it was likely to cause injury to the rival, he is punishable under Section 346 with imprisonment up to one year. [Source: Section 346, BNS 2023]</t>
  </si>
  <si>
    <t xml:space="preserve">CASE_2074</t>
  </si>
  <si>
    <t xml:space="preserve">No, the section covers anyone who "removes, destroys, defaces or adds to" any property mark, so even maliciously adding an extra digit to an ownership serial number to cause confusion is punishable. [Source: Section 346, BNS 2023]</t>
  </si>
  <si>
    <t xml:space="preserve">CASE_2075</t>
  </si>
  <si>
    <t xml:space="preserve">No, because the defacement was an accident and not done "intending or knowing it to be likely that he may thereby cause injury to any person." [Source: Section 346, BNS 2023]</t>
  </si>
  <si>
    <t xml:space="preserve">CASE_2076</t>
  </si>
  <si>
    <t xml:space="preserve">The consequence is that it protects the integrity of supply chains and logistics, ensuring that malicious acts aimed at causing financial harm through logistical confusion are punished even if no goods are actually stolen. [Source: Section 346, BNS 2023]</t>
  </si>
  <si>
    <t xml:space="preserve">CASE_2077</t>
  </si>
  <si>
    <t xml:space="preserve">Counterfeiting a property mark</t>
  </si>
  <si>
    <t xml:space="preserve">Counterfeiting a property mark used by another person is punishable by up to two years in prison. If the counterfeited mark is one used by a public servant to denote quality, origin, or exemption, the penalty increases to up to three years. [Source: Section 347, BNS 2023]</t>
  </si>
  <si>
    <t xml:space="preserve">Hugging Face source record: BNS_347</t>
  </si>
  <si>
    <t xml:space="preserve">CASE_2078</t>
  </si>
  <si>
    <t xml:space="preserve">Section 347 of BNS 2023 penalizes counterfeiting a property mark used by another person with up to 2 years imprisonment. Counterfeiting a mark used by a public servant (e.g., to denote quality or origin), or using such a fake mark, carries up to 3 years imprisonment. [Source: Section 347, BNS 2023]</t>
  </si>
  <si>
    <t xml:space="preserve">CASE_2079</t>
  </si>
  <si>
    <t xml:space="preserve">Because he counterfeited a mark used by a public servant to denote that property is of a particular quality, he is punishable under Section 347(2) with imprisonment up to three years. [Source: Section 347, BNS 2023]</t>
  </si>
  <si>
    <t xml:space="preserve">CASE_2080</t>
  </si>
  <si>
    <t xml:space="preserve">Yes, sub-section (2) explicitly penalizes anyone who "uses as genuine any such mark knowing the same to be counterfeit," making the knowing use just as punishable (up to 3 years) as the creation. [Source: Section 347, BNS 2023]</t>
  </si>
  <si>
    <t xml:space="preserve">CASE_2081</t>
  </si>
  <si>
    <t xml:space="preserve">No, because a parody art piece is not used as a "property mark" to deceptively denote that goods belong to that person or to defraud consumers about the origin of the canvas. [Source: Section 347, BNS 2023]</t>
  </si>
  <si>
    <t xml:space="preserve">CASE_2082</t>
  </si>
  <si>
    <t xml:space="preserve">The consequence is that the law provides extra protection to government certifications (like safety, quality, or tax-exempt stamps), recognizing that faking public seals undermines state authority and endangers public welfare more broadly than private trademark infringement. [Source: Section 347, BNS 2023]</t>
  </si>
  <si>
    <t xml:space="preserve">CASE_2083</t>
  </si>
  <si>
    <t xml:space="preserve">Making or possession of any instrument for counterfeiting a property mark</t>
  </si>
  <si>
    <t xml:space="preserve">Making or possessing any die, plate, or instrument intended to counterfeit a property mark, or possessing a fake property mark to falsely claim ownership of goods, is punishable by up to three years in prison or a fine. [Source: Section 348, BNS 2023]</t>
  </si>
  <si>
    <t xml:space="preserve">Hugging Face source record: BNS_348</t>
  </si>
  <si>
    <t xml:space="preserve">CASE_2084</t>
  </si>
  <si>
    <t xml:space="preserve">Section 348 of BNS 2023 imposes up to 3 years imprisonment or a fine on whoever makes or possesses any die/plate/instrument for counterfeiting a property mark, or possesses a property mark to falsely denote ownership of goods. [Source: Section 348, BNS 2023]</t>
  </si>
  <si>
    <t xml:space="preserve">CASE_2085</t>
  </si>
  <si>
    <t xml:space="preserve">Because he had in his possession a die and instrument for the purpose of counterfeiting a property mark, he is punishable under Section 348 with imprisonment up to three years. [Source: Section 348, BNS 2023]</t>
  </si>
  <si>
    <t xml:space="preserve">CASE_2086</t>
  </si>
  <si>
    <t xml:space="preserve">No, the section covers anyone who "has in his possession a property mark for the purpose of denoting that any goods belong to a person to whom they do not belong," which could include possessing a simple stack of counterfeit stickers. [Source: Section 348, BNS 2023]</t>
  </si>
  <si>
    <t xml:space="preserve">CASE_2087</t>
  </si>
  <si>
    <t xml:space="preserve">No, because they do not possess the instruments "for the purpose of counterfeiting a property mark." Their purpose is lawful recycling, lacking criminal intent. [Source: Section 348, BNS 2023]</t>
  </si>
  <si>
    <t xml:space="preserve">CASE_2088</t>
  </si>
  <si>
    <t xml:space="preserve">The consequence is that law enforcement can legally dismantle counterfeiting operations at the manufacturing stage, arresting the producers and seizing their equipment before they can flood the market with fake goods. [Source: Section 348, BNS 2023]</t>
  </si>
  <si>
    <t xml:space="preserve">CASE_2089</t>
  </si>
  <si>
    <t xml:space="preserve">Selling goods marked with a counterfeit property mark</t>
  </si>
  <si>
    <t xml:space="preserve">Selling, exposing, or possessing for sale goods with a counterfeit property mark is punishable by up to one year in prison or a fine, unless the seller can prove they took precautions, had no reason to suspect the fake, and cooperated with authorities. [Source: Section 349, BNS 2023]</t>
  </si>
  <si>
    <t xml:space="preserve">Hugging Face source record: BNS_349</t>
  </si>
  <si>
    <t xml:space="preserve">CASE_2090</t>
  </si>
  <si>
    <t xml:space="preserve">Section 349 of BNS 2023 imposes up to 1 year imprisonment or a fine on whoever sells or possesses for sale goods with counterfeit property marks, unless the accused proves they took reasonable precautions, had no reason to suspect the forgery, and provided all information about their supplier. [Source: Section 349, BNS 2023]</t>
  </si>
  <si>
    <t xml:space="preserve">CASE_2091</t>
  </si>
  <si>
    <t xml:space="preserve">Because he sold goods with a counterfeit property mark and failed to give all information in his power regarding his supplier (failing the defense under clause b), he is punishable under Section 349 with imprisonment up to one year. [Source: Section 349, BNS 2023]</t>
  </si>
  <si>
    <t xml:space="preserve">CASE_2092</t>
  </si>
  <si>
    <t xml:space="preserve">Yes, but the burden of proof is on them. They must prove that they took reasonable precautions, had no reason to suspect the mark was fake at the time, and that they gave prosecutors all information about where they got the goods. [Source: Section 349, BNS 2023]</t>
  </si>
  <si>
    <t xml:space="preserve">CASE_2093</t>
  </si>
  <si>
    <t xml:space="preserve">No, the section specifically targets whoever "sells, or exposes, or has in possession for sale" counterfeit goods. Mere possession for personal use does not trigger this offence. [Source: Section 349, BNS 2023]</t>
  </si>
  <si>
    <t xml:space="preserve">CASE_2094</t>
  </si>
  <si>
    <t xml:space="preserve">The consequence is that it heavily disincentivizes retailers from turning a blind eye to shady suppliers. To legally protect themselves, vendors are forced to maintain supply chain transparency and cooperate with law enforcement in tracking down the actual counterfeit manufacturers. [Source: Section 349, BNS 2023]</t>
  </si>
  <si>
    <t xml:space="preserve">CASE_2095</t>
  </si>
  <si>
    <t xml:space="preserve">Making a false mark upon any receptacle containing goods</t>
  </si>
  <si>
    <t xml:space="preserve">Making a false mark on a package or receptacle to trick people into believing it contains goods it doesn't, or that the goods are of a different nature or quality, is punishable by up to three years in prison or a fine, unless done without intent to defraud. [Source: Section 350, BNS 2023]</t>
  </si>
  <si>
    <t xml:space="preserve">Hugging Face source record: BNS_350</t>
  </si>
  <si>
    <t xml:space="preserve">CASE_2096</t>
  </si>
  <si>
    <t xml:space="preserve">Section 350 of BNS 2023 imposes up to 3 years imprisonment or a fine on whoever makes or uses a false mark on a package/receptacle to deceptively indicate its contents, nature, or quality, unless they prove they acted without intent to defraud. [Source: Section 350, BNS 2023]</t>
  </si>
  <si>
    <t xml:space="preserve">CASE_2097</t>
  </si>
  <si>
    <t xml:space="preserve">Because they made a false mark upon a receptacle containing goods to make people believe the goods are of a nature/quality different from the real nature, they are punishable under Section 350(1) with imprisonment up to three years. [Source: Section 350, BNS 2023]</t>
  </si>
  <si>
    <t xml:space="preserve">CASE_2098</t>
  </si>
  <si>
    <t xml:space="preserve">Yes, sub-section (2) states that whoever "makes use of any false mark in any manner prohibited under sub-section (1)" shall be punished exactly as if they had made the mark themselves. [Source: Section 350, BNS 2023]</t>
  </si>
  <si>
    <t xml:space="preserve">CASE_2099</t>
  </si>
  <si>
    <t xml:space="preserve">No, because reusing a container for personal storage at home is done "without intent to defraud" anyone. [Source: Section 350, BNS 2023]</t>
  </si>
  <si>
    <t xml:space="preserve">CASE_2100</t>
  </si>
  <si>
    <t xml:space="preserve">The consequence is that it protects consumers and public servants (like customs or tax inspectors) from widespread packaging fraud, ensuring that labels accurately reflect the contents and safety of sealed commercial goods. [Source: Section 350, BNS 2023]</t>
  </si>
  <si>
    <t xml:space="preserve">CASE_2101</t>
  </si>
  <si>
    <t xml:space="preserve">Criminal intimidation</t>
  </si>
  <si>
    <t xml:space="preserve">Criminal intimidation is threatening someone with injury to their person, reputation, or property to cause alarm or force them to do something. It is punishable by up to two years in prison. If the threat involves death, grievous hurt, arson, or imputing unchastity to a woman, the penalty increases to up to seven years. [Source: Section 351, BNS 2023]</t>
  </si>
  <si>
    <t xml:space="preserve">Hugging Face source record: BNS_351</t>
  </si>
  <si>
    <t xml:space="preserve">CASE_2102</t>
  </si>
  <si>
    <t xml:space="preserve">Section 351 of BNS 2023 defines criminal intimidation as threatening injury to person, property, or reputation to cause alarm or coerce action, punishable by up to 2 years imprisonment. Aggravated threats (e.g., death, arson, unchastity) carry up to 7 years. Anonymous threats carry an additional 2 years. [Source: Section 351, BNS 2023]</t>
  </si>
  <si>
    <t xml:space="preserve">CASE_2103</t>
  </si>
  <si>
    <t xml:space="preserve">Because he committed criminal intimidation by an anonymous communication, he is punishable under Section 351(4) with up to two additional years on top of the base penalty, and the threat to a deceased relative's reputation is explicitly covered by the Explanation. [Source: Section 351, BNS 2023]</t>
  </si>
  <si>
    <t xml:space="preserve">CASE_2104</t>
  </si>
  <si>
    <t xml:space="preserve">Yes, the Explanation clarifies that "A threat to injure the reputation of any deceased person in whom the person threatened is interested, is within this section." [Source: Section 351, BNS 2023]</t>
  </si>
  <si>
    <t xml:space="preserve">CASE_2105</t>
  </si>
  <si>
    <t xml:space="preserve">No, because threatening to take lawful legal action is not threatening an illegal "injury," nor is it forcing the person to do an act "which he is not legally bound to do" (since he is legally bound to pay his debts). [Source: Section 351, BNS 2023]</t>
  </si>
  <si>
    <t xml:space="preserve">CASE_2106</t>
  </si>
  <si>
    <t xml:space="preserve">The consequence is that it deters cowards and cyberbullies from leveraging the terror of the unknown to harass victims, recognizing that an untraceable threat causes significantly more psychological distress and alarm. [Source: Section 351, BNS 2023]</t>
  </si>
  <si>
    <t xml:space="preserve">CASE_2107</t>
  </si>
  <si>
    <t xml:space="preserve">Intentional insult with intent to provoke breach of peace</t>
  </si>
  <si>
    <t xml:space="preserve">Intentionally insulting someone to provoke them, knowing it is likely to cause them to break the public peace or commit an offence, is punishable by up to two years in prison or a fine. [Source: Section 352, BNS 2023]</t>
  </si>
  <si>
    <t xml:space="preserve">Hugging Face source record: BNS_352</t>
  </si>
  <si>
    <t xml:space="preserve">CASE_2108</t>
  </si>
  <si>
    <t xml:space="preserve">Section 352 of BNS 2023 imposes up to 2 years imprisonment or a fine on whoever intentionally insults someone, giving them provocation while intending or knowing it is likely to cause them to break the public peace or commit an offence. [Source: Section 352, BNS 2023]</t>
  </si>
  <si>
    <t xml:space="preserve">CASE_2109</t>
  </si>
  <si>
    <t xml:space="preserve">Because he intentionally insulted the leader intending to give provocation that he knew was likely to cause a breach of the public peace, he is punishable under Section 352 with imprisonment up to two years. [Source: Section 352, BNS 2023]</t>
  </si>
  <si>
    <t xml:space="preserve">CASE_2110</t>
  </si>
  <si>
    <t xml:space="preserve">No, the offence is complete upon intentionally giving the insult and provocation, "intending or knowing it to be likely" that it will cause a breach of peace, regardless of whether the victim actually snaps and commits violence. [Source: Section 352, BNS 2023]</t>
  </si>
  <si>
    <t xml:space="preserve">CASE_2111</t>
  </si>
  <si>
    <t xml:space="preserve">No, because in the context of a consensual comedy roast, the comedian does not intend or know it to be likely that the insult will provoke the participant to "break the public peace, or to commit any other offence." [Source: Section 352, BNS 2023]</t>
  </si>
  <si>
    <t xml:space="preserve">CASE_2112</t>
  </si>
  <si>
    <t xml:space="preserve">The consequence is that the law intervenes to prevent street violence and riots at the verbal stage, punishing the agitator who sparks the conflict rather than only punishing the person who physically reacts to extreme provocation. [Source: Section 352, BNS 2023]</t>
  </si>
  <si>
    <t xml:space="preserve">CASE_2113</t>
  </si>
  <si>
    <t xml:space="preserve">Statements conducing to public mischief</t>
  </si>
  <si>
    <t xml:space="preserve">Making or circulating false statements, rumors, or alarming news (including online) intending to cause military mutiny, public panic, or incite hatred between different religious, racial, or linguistic groups is punishable by up to three years in prison. If done in a place of worship, the penalty increases to up to five years. [Source: Section 353, BNS 2023]</t>
  </si>
  <si>
    <t xml:space="preserve">Hugging Face source record: BNS_353</t>
  </si>
  <si>
    <t xml:space="preserve">CASE_2114</t>
  </si>
  <si>
    <t xml:space="preserve">Section 353 of BNS 2023 penalizes making/circulating false statements/rumors intended to cause military mutiny, public alarm, or inter-community hatred with up to 3 years imprisonment. If committed in a place of worship, the punishment extends to 5 years. A good-faith belief in the truth of the statement is an exception. [Source: Section 353, BNS 2023]</t>
  </si>
  <si>
    <t xml:space="preserve">CASE_2115</t>
  </si>
  <si>
    <t xml:space="preserve">Because he circulated false information to promote feelings of hatred between linguistic groups, and did so in a place of worship, he is punishable under Section 353(3) with imprisonment up to five years and a fine. [Source: Section 353, BNS 2023]</t>
  </si>
  <si>
    <t xml:space="preserve">CASE_2116</t>
  </si>
  <si>
    <t xml:space="preserve">No, the Exception explicitly states that it is not an offence if the person has "reasonable grounds for believing that such statement... is true and makes, publishes or circulates it in good faith and without any such intent as aforesaid." [Source: Section 353, BNS 2023]</t>
  </si>
  <si>
    <t xml:space="preserve">CASE_2117</t>
  </si>
  <si>
    <t xml:space="preserve">No, the section specifically targets any "statement, false information, rumour, or report" circulated with the malicious intent to cause mutiny, panic, or incite hatred, not the good-faith sharing of verified facts. [Source: Section 353, BNS 2023]</t>
  </si>
  <si>
    <t xml:space="preserve">CASE_2118</t>
  </si>
  <si>
    <t xml:space="preserve">The consequence is that it empowers authorities to swiftly combat the viral spread of weaponized disinformation and hate speech on social media platforms, which can instantly trigger mass panics or communal riots across the country. [Source: Section 353, BNS 2023]</t>
  </si>
  <si>
    <t xml:space="preserve">CASE_2119</t>
  </si>
  <si>
    <t xml:space="preserve">Act caused by inducing person to believe that he will be rendered an object of Divine displeasure</t>
  </si>
  <si>
    <t xml:space="preserve">Forcing or trying to force someone to do something (or stop doing something) by making them believe they will become the target of Divine displeasure (like a curse or religious condemnation) if they don't comply is punishable by up to one year in prison or a fine. [Source: Section 354, BNS 2023]</t>
  </si>
  <si>
    <t xml:space="preserve">Hugging Face source record: BNS_354</t>
  </si>
  <si>
    <t xml:space="preserve">CASE_2120</t>
  </si>
  <si>
    <t xml:space="preserve">Section 354 of BNS 2023 imposes up to 1 year imprisonment or a fine on whoever voluntarily induces someone to act or omit an act by threatening that refusal will render them an object of Divine displeasure through some act of the offender (e.g., sitting dharna, threatening self-harm). [Source: Section 354, BNS 2023]</t>
  </si>
  <si>
    <t xml:space="preserve">CASE_2121</t>
  </si>
  <si>
    <t xml:space="preserve">Because he attempted to cause a person to do an act he is not legally bound to do by inducing him to believe he would be rendered an object of Divine displeasure, he is punishable under Section 354 with imprisonment up to one year. [Source: Section 354, BNS 2023]</t>
  </si>
  <si>
    <t xml:space="preserve">CASE_2122</t>
  </si>
  <si>
    <t xml:space="preserve">No, it specifically targets inducing a person by threatening that they will be rendered an object of Divine displeasure "by some act of the offender" (like sitting dharna or self-harm) to coerce them into doing something they aren't legally bound to do. [Source: Section 354, BNS 2023]</t>
  </si>
  <si>
    <t xml:space="preserve">CASE_2123</t>
  </si>
  <si>
    <t xml:space="preserve">No, because giving general religious or moral advice without threatening a coercive "act of the offender" to bring down Divine wrath does not constitute the specific criminal intimidation outlined in this section. [Source: Section 354, BNS 2023]</t>
  </si>
  <si>
    <t xml:space="preserve">CASE_2124</t>
  </si>
  <si>
    <t xml:space="preserve">The consequence is that it protects vulnerable individuals from extreme psychological extortion and religious blackmail, recognizing that threats of spiritual ruin or curses can be just as coercive as threats of physical violence in highly religious societies. [Source: Section 354, BNS 2023]</t>
  </si>
  <si>
    <t xml:space="preserve">CASE_2125</t>
  </si>
  <si>
    <t xml:space="preserve">Misconduct in public by a drunken person</t>
  </si>
  <si>
    <t xml:space="preserve">Appearing in a public place (or trespassing) while intoxicated and causing annoyance to others is punishable by simple imprisonment up to twenty-four hours, a fine up to one thousand rupees, or community service. [Source: Section 355, BNS 2023]</t>
  </si>
  <si>
    <t xml:space="preserve">Hugging Face source record: BNS_355</t>
  </si>
  <si>
    <t xml:space="preserve">CASE_2126</t>
  </si>
  <si>
    <t xml:space="preserve">Section 355 of BNS 2023 states that whoever, in a state of intoxication, appears in public or trespasses and conducts themselves in a manner causing annoyance to any person, shall be punished with simple imprisonment up to 24 hours, a fine up to 1,000 rupees, or community service. [Source: Section 355, BNS 2023]</t>
  </si>
  <si>
    <t xml:space="preserve">CASE_2127</t>
  </si>
  <si>
    <t xml:space="preserve">Because he appeared in a public place in a state of intoxication and caused annoyance to others, he is punishable under Section 355 with simple imprisonment up to 24 hours, a fine up to 1,000 rupees, or community service. [Source: Section 355, BNS 2023]</t>
  </si>
  <si>
    <t xml:space="preserve">CASE_2128</t>
  </si>
  <si>
    <t xml:space="preserve">No, the offence specifically requires appearing "in any public place, or in any place which it is a trespass in him to enter," and conducting himself to "cause annoyance to any person." Private, non-disruptive intoxication is not covered. [Source: Section 355, BNS 2023]</t>
  </si>
  <si>
    <t xml:space="preserve">CASE_2129</t>
  </si>
  <si>
    <t xml:space="preserve">No, because even if they are in a state of intoxication in public, they did not conduct themselves "in such a manner as to cause annoyance to any person." [Source: Section 355, BNS 2023]</t>
  </si>
  <si>
    <t xml:space="preserve">CASE_2130</t>
  </si>
  <si>
    <t xml:space="preserve">The consequence is that the justice system can focus on rehabilitation and restitution for minor nuisance offences, keeping jails free from non-violent intoxicated individuals while still imposing a meaningful penalty that benefits society. [Source: Section 355, BNS 2023]</t>
  </si>
  <si>
    <t xml:space="preserve">CASE_2131</t>
  </si>
  <si>
    <t xml:space="preserve">Defamation</t>
  </si>
  <si>
    <t xml:space="preserve">Defamation is making or publishing false statements, signs, or representations intending to harm someone's reputation. It is punishable by simple imprisonment up to two years, a fine, or community service. [Source: Section 356, BNS 2023]</t>
  </si>
  <si>
    <t xml:space="preserve">Hugging Face source record: BNS_356</t>
  </si>
  <si>
    <t xml:space="preserve">CASE_2132</t>
  </si>
  <si>
    <t xml:space="preserve">Section 356 of BNS 2023 defines defamation as making/publishing imputations (via words, signs, representations) intending to harm a person's reputation. It penalizes defamation, as well as printing or selling defamatory matter, with simple imprisonment up to 2 years, a fine, or community service. It includes 10 exceptions for truthful public-good statements, good-faith opinions, and authorized censures. [Source: Section 356, BNS 2023]</t>
  </si>
  <si>
    <t xml:space="preserve">CASE_2133</t>
  </si>
  <si>
    <t xml:space="preserve">Because he made and published an imputation intending to harm the doctor's reputation, and it does not fall under any exceptions, he is guilty of defamation and punishable under Section 356(2) with simple imprisonment up to two years. [Source: Section 356, BNS 2023]</t>
  </si>
  <si>
    <t xml:space="preserve">CASE_2134</t>
  </si>
  <si>
    <t xml:space="preserve">Yes, Explanation 1 states that imputing anything to a deceased person may amount to defamation if it would have harmed their reputation if alive, and is intended to be hurtful to the feelings of their family or relatives. [Source: Section 356, BNS 2023]</t>
  </si>
  <si>
    <t xml:space="preserve">CASE_2135</t>
  </si>
  <si>
    <t xml:space="preserve">No, Exception 8 protects those who prefer an accusation in good faith to lawful authorities, and Exception 4 protects true reports of court proceedings, ensuring judicial functions are not hindered by defamation claims. [Source: Section 356, BNS 2023]</t>
  </si>
  <si>
    <t xml:space="preserve">CASE_2136</t>
  </si>
  <si>
    <t xml:space="preserve">The consequence is that it offers a restorative justice alternative to imprisonment for speech-related offences, allowing offenders to make amends to society rather than burdening the prison system for reputational harms. [Source: Section 356, BNS 2023]</t>
  </si>
  <si>
    <t xml:space="preserve">CASE_2137</t>
  </si>
  <si>
    <t xml:space="preserve">Breach of contract to attend on and supply wants of helpless person</t>
  </si>
  <si>
    <t xml:space="preserve">If a person is bound by a lawful contract to care for someone who is helpless (due to youth, mental illness, or disease) and voluntarily fails to do so, they can be punished with up to three months in prison or a fine up to five thousand rupees. [Source: Section 357, BNS 2023]</t>
  </si>
  <si>
    <t xml:space="preserve">Hugging Face source record: BNS_357</t>
  </si>
  <si>
    <t xml:space="preserve">CASE_2138</t>
  </si>
  <si>
    <t xml:space="preserve">Section 357 of BNS 2023 imposes up to 3 months imprisonment or a fine up to 5,000 rupees on whoever, being bound by a lawful contract to attend to a helpless person (due to youth, unsoundness of mind, or disease), voluntarily omits to do so. [Source: Section 357, BNS 2023]</t>
  </si>
  <si>
    <t xml:space="preserve">CASE_2139</t>
  </si>
  <si>
    <t xml:space="preserve">Because she was bound by a lawful contract to supply the wants of a person who is helpless by reason of disease and bodily weakness, and voluntarily omitted to do so, she is punishable under Section 357 with imprisonment up to three months. [Source: Section 357, BNS 2023]</t>
  </si>
  <si>
    <t xml:space="preserve">CASE_2140</t>
  </si>
  <si>
    <t xml:space="preserve">No, the section explicitly applies only to whoever is "bound by a lawful contract to attend on or to supply the wants" of the helpless person. A random passerby has no contractual duty of care. [Source: Section 357, BNS 2023]</t>
  </si>
  <si>
    <t xml:space="preserve">CASE_2141</t>
  </si>
  <si>
    <t xml:space="preserve">No, because their failure to attend on the patient was due to a medical emergency, not because they "voluntarily omits so to do." [Source: Section 357, BNS 2023]</t>
  </si>
  <si>
    <t xml:space="preserve">CASE_2142</t>
  </si>
  <si>
    <t xml:space="preserve">The consequence is that the law elevates a standard breach of contract into a criminal offence when human life and basic survival are at stake, recognizing that abandoning a helpless person causes immediate, life-threatening harm that civil damages cannot adequately address. [Source: Section 357, BNS 2023]</t>
  </si>
  <si>
    <t xml:space="preserve">CASE_2143</t>
  </si>
  <si>
    <t xml:space="preserve">Repeal and savings</t>
  </si>
  <si>
    <t xml:space="preserve">No, old criminals do not go free. While the Indian Penal Code (IPC) of 1860 is repealed, the "savings" clause ensures that any crimes committed, investigations started, or liabilities incurred under the old IPC are still prosecuted and punished exactly as if the IPC was still in effect. [Source: Section 358, BNS 2023]</t>
  </si>
  <si>
    <t xml:space="preserve">Hugging Face source record: BNS_358</t>
  </si>
  <si>
    <t xml:space="preserve">CASE_2144</t>
  </si>
  <si>
    <t xml:space="preserve">Section 358 of BNS 2023 explicitly repeals the Indian Penal Code (1860). However, its savings clauses protect the validity of previous operations, accrued rights/liabilities, and ongoing investigations/proceedings, which continue as if the IPC were not repealed. [Source: Section 358, BNS 2023]</t>
  </si>
  <si>
    <t xml:space="preserve">CASE_2145</t>
  </si>
  <si>
    <t xml:space="preserve">Because the offence was committed before the repeal, sub-section (2)(c) and (e) ensure that the penalty and legal proceedings are instituted and enforced as if the IPC had not been repealed, meaning he is prosecuted under the old IPC. [Source: Section 358, BNS 2023]</t>
  </si>
  <si>
    <t xml:space="preserve">CASE_2146</t>
  </si>
  <si>
    <t xml:space="preserve">Sub-section (3) provides that anything done or action taken under the old IPC shall be "deemed to have been done or taken under the corresponding provisions of this Sanhita," ensuring a smooth administrative transition. [Source: Section 358, BNS 2023]</t>
  </si>
  <si>
    <t xml:space="preserve">CASE_2147</t>
  </si>
  <si>
    <t xml:space="preserve">No, sub-section (4) explicitly maintains the general application of section 6 of the General Clauses Act, 1897, which guarantees that the repeal of an act does not revive anything not in force or affect the previous operation of the repealed enactment. [Source: Section 358, BNS 2023]</t>
  </si>
  <si>
    <t xml:space="preserve">CASE_2148</t>
  </si>
  <si>
    <t xml:space="preserve">The consequence is that it provides a stable legal bridge during the transition from the colonial-era penal code to the new Sanhita, preventing a catastrophic legal vacuum where past offenders could escape justice on a technicality of changing statutes. [Source: Section 358, BNS 2023]</t>
  </si>
  <si>
    <t xml:space="preserve">CASE_2149</t>
  </si>
  <si>
    <t xml:space="preserve">Short title, extent and commencement</t>
  </si>
  <si>
    <t xml:space="preserve">The Act may be called the Bharatiya Nagarik Suraksha Sanhita, 2023. [Source: Section 1, BNSS 2023]</t>
  </si>
  <si>
    <t xml:space="preserve">Hugging Face source record: BNSS_1</t>
  </si>
  <si>
    <t xml:space="preserve">CASE_2150</t>
  </si>
  <si>
    <t xml:space="preserve">Section 1 of BNSS 2023 outlines the short title, extent, and commencement of the Act, establishing its name and geographical applicability. [Source: Section 1, BNSS 2023]</t>
  </si>
  <si>
    <t xml:space="preserve">CASE_2151</t>
  </si>
  <si>
    <t xml:space="preserve">Under sub-section (2), the provisions do not automatically apply to the tribal areas, but the State Government may apply them by notification with necessary modifications. [Source: Section 1, BNSS 2023]</t>
  </si>
  <si>
    <t xml:space="preserve">CASE_2152</t>
  </si>
  <si>
    <t xml:space="preserve">Under sub-section (2), the concerned State Government must issue a notification applying the provisions to the State of Nagaland. [Source: Section 1, BNSS 2023]</t>
  </si>
  <si>
    <t xml:space="preserve">CASE_2153</t>
  </si>
  <si>
    <t xml:space="preserve">Yes, under sub-section (2), the provisions relating to Chapters IX, XI, and XII apply to the State of Nagaland and the tribal areas automatically. [Source: Section 1, BNSS 2023]</t>
  </si>
  <si>
    <t xml:space="preserve">CASE_2154</t>
  </si>
  <si>
    <t xml:space="preserve">Under sub-section (3), the Sanhita shall come into force on the date appointed by the Central Government through that notification. [Source: Section 1, BNSS 2023]</t>
  </si>
  <si>
    <t xml:space="preserve">CASE_2155</t>
  </si>
  <si>
    <t xml:space="preserve">Bail means the release of a person accused of or suspected of commission of an offence from the custody of law upon certain conditions imposed by an officer or Court on execution by such person of a bond or a bail bond. [Source: Section 2, BNSS 2023]</t>
  </si>
  <si>
    <t xml:space="preserve">Hugging Face source record: BNSS_2</t>
  </si>
  <si>
    <t xml:space="preserve">CASE_2156</t>
  </si>
  <si>
    <t xml:space="preserve">Section 2 of BNSS 2023 provides the definitions for key legal terms used throughout the Sanhita, such as cognizable offence, complaint, inquiry, and police report. [Source: Section 2, BNSS 2023]</t>
  </si>
  <si>
    <t xml:space="preserve">CASE_2157</t>
  </si>
  <si>
    <t xml:space="preserve">According to the Explanation under clause (h), a report made by a police officer which discloses the commission of a non-cognizable offence shall be deemed to be a complaint, and the police officer shall be deemed to be the complainant. [Source: Section 2, BNSS 2023]</t>
  </si>
  <si>
    <t xml:space="preserve">CASE_2158</t>
  </si>
  <si>
    <t xml:space="preserve">Under clause (i), electronic communication means the communication of any written, verbal, pictorial information or video content transmitted by means of an electronic device, including a telephone, mobile phone, computer, or camera. [Source: Section 2, BNSS 2023]</t>
  </si>
  <si>
    <t xml:space="preserve">CASE_2159</t>
  </si>
  <si>
    <t xml:space="preserve">Under the Explanation in clause (l), where any provisions of a special Act are inconsistent with this Sanhita, the provisions of the special Act shall prevail. [Source: Section 2, BNSS 2023]</t>
  </si>
  <si>
    <t xml:space="preserve">CASE_2160</t>
  </si>
  <si>
    <t xml:space="preserve">Under sub-section (2), words and expressions not defined herein but defined in the Information Technology Act, 2000 and the Bharatiya Nyaya Sanhita, 2023 shall have the meanings respectively assigned to them in those Acts. [Source: Section 2, BNSS 2023]</t>
  </si>
  <si>
    <t xml:space="preserve">CASE_2161</t>
  </si>
  <si>
    <t xml:space="preserve">Construction of references</t>
  </si>
  <si>
    <t xml:space="preserve">Any reference to a Magistrate without qualifying words shall be construed as a reference to a Judicial Magistrate of the first class or Judicial Magistrate of the second class exercising jurisdiction in that area. [Source: Section 3, BNSS 2023]</t>
  </si>
  <si>
    <t xml:space="preserve">Hugging Face source record: BNSS_3</t>
  </si>
  <si>
    <t xml:space="preserve">CASE_2162</t>
  </si>
  <si>
    <t xml:space="preserve">Section 3 of BNSS 2023 covers the construction of references, detailing how mentions of Magistrates in other laws should be interpreted and divided between Judicial and Executive Magistrates. [Source: Section 3, BNSS 2023]</t>
  </si>
  <si>
    <t xml:space="preserve">CASE_2163</t>
  </si>
  <si>
    <t xml:space="preserve">Under clause (b) of sub-section (2), functions which are administrative or executive in nature, such as granting or cancelling a licence, shall be exercisable by an Executive Magistrate. [Source: Section 3, BNSS 2023]</t>
  </si>
  <si>
    <t xml:space="preserve">CASE_2164</t>
  </si>
  <si>
    <t xml:space="preserve">Under clause (a) of sub-section (2), functions involving the appreciation of evidence or formulating a decision that exposes a person to punishment or detention must be exercisable by a Judicial Magistrate. [Source: Section 3, BNSS 2023]</t>
  </si>
  <si>
    <t xml:space="preserve">CASE_2165</t>
  </si>
  <si>
    <t xml:space="preserve">No, under clause (b) of sub-section (2), the exercise of administrative functions by an Executive Magistrate is subject to the provisions of clause (a). [Source: Section 3, BNSS 2023]</t>
  </si>
  <si>
    <t xml:space="preserve">CASE_2166</t>
  </si>
  <si>
    <t xml:space="preserve">Under clause (a) of sub-section (2), the consequence is that such a function shall be exercisable by a Judicial Magistrate. [Source: Section 3, BNSS 2023]</t>
  </si>
  <si>
    <t xml:space="preserve">CASE_2167</t>
  </si>
  <si>
    <t xml:space="preserve">Trial of offences under Bharatiya Nyaya Sanhita, 2023 and other laws</t>
  </si>
  <si>
    <t xml:space="preserve">All offences under the Bharatiya Nyaya Sanhita, 2023 and other laws shall be investigated, inquired into, tried, and otherwise dealt with according to the provisions of this Sanhita. [Source: Section 4, BNSS 2023]</t>
  </si>
  <si>
    <t xml:space="preserve">Hugging Face source record: BNSS_4</t>
  </si>
  <si>
    <t xml:space="preserve">CASE_2168</t>
  </si>
  <si>
    <t xml:space="preserve">Section 4 of BNSS 2023 states the rules for the trial of offences, confirming that offences under the Bharatiya Nyaya Sanhita and other laws must be dealt with according to this Sanhita. [Source: Section 4, BNSS 2023]</t>
  </si>
  <si>
    <t xml:space="preserve">CASE_2169</t>
  </si>
  <si>
    <t xml:space="preserve">Under sub-section (2), the offence shall be dealt with under the Sanhita, but subject to any enactment for the time being in force regulating the manner or place of investigating or trying such offences. [Source: Section 4, BNSS 2023]</t>
  </si>
  <si>
    <t xml:space="preserve">CASE_2170</t>
  </si>
  <si>
    <t xml:space="preserve">Under sub-section (1), all such offences must be investigated, inquired into, tried, and otherwise dealt with according to the provisions contained in the Sanhita. [Source: Section 4, BNSS 2023]</t>
  </si>
  <si>
    <t xml:space="preserve">CASE_2171</t>
  </si>
  <si>
    <t xml:space="preserve">No, under sub-section (2), while they are dealt with under this Sanhita, this is explicitly subject to any enactment regulating the manner or place of dealing with such offences. [Source: Section 4, BNSS 2023]</t>
  </si>
  <si>
    <t xml:space="preserve">CASE_2172</t>
  </si>
  <si>
    <t xml:space="preserve">The consequence is that police must follow the procedures laid out in the BNSS 2023 when investigating, inquiring into, and trying those offences. [Source: Section 4, BNSS 2023]</t>
  </si>
  <si>
    <t xml:space="preserve">CASE_2173</t>
  </si>
  <si>
    <t xml:space="preserve">Saving</t>
  </si>
  <si>
    <t xml:space="preserve">Nothing contained in this Sanhita shall, in the absence of a specific provision to the contrary, affect any special or local law for the time being in force. [Source: Section 5, BNSS 2023]</t>
  </si>
  <si>
    <t xml:space="preserve">Hugging Face source record: BNSS_5</t>
  </si>
  <si>
    <t xml:space="preserve">CASE_2174</t>
  </si>
  <si>
    <t xml:space="preserve">Section 5 of BNSS 2023 is a saving clause that protects the operation of special or local laws and special jurisdictions from being overridden by this Sanhita unless explicitly stated. [Source: Section 5, BNSS 2023]</t>
  </si>
  <si>
    <t xml:space="preserve">CASE_2175</t>
  </si>
  <si>
    <t xml:space="preserve">No, the Sanhita does not affect any special form of procedure prescribed by any other law for the time being in force, in the absence of a specific provision to the contrary. [Source: Section 5, BNSS 2023]</t>
  </si>
  <si>
    <t xml:space="preserve">CASE_2176</t>
  </si>
  <si>
    <t xml:space="preserve">It would only affect a special or local law if there is a "specific provision to the contrary" present within the Sanhita. [Source: Section 5, BNSS 2023]</t>
  </si>
  <si>
    <t xml:space="preserve">CASE_2177</t>
  </si>
  <si>
    <t xml:space="preserve">The preservation of special jurisdiction or power conferred by another law only applies "in the absence of a specific provision to the contrary" within the Sanhita. [Source: Section 5, BNSS 2023]</t>
  </si>
  <si>
    <t xml:space="preserve">CASE_2178</t>
  </si>
  <si>
    <t xml:space="preserve">Courts must continue to apply the special procedures and powers prescribed by those local laws, rather than defaulting strictly to the Sanhita, unless the Sanhita explicitly overrides them. [Source: Section 5, BNSS 2023]</t>
  </si>
  <si>
    <t xml:space="preserve">CASE_2179</t>
  </si>
  <si>
    <t xml:space="preserve">Classes of Criminal Courts</t>
  </si>
  <si>
    <t xml:space="preserve">Besides High Courts and other legally constituted Courts, there shall be Courts of Session, Judicial Magistrates of the first class, Judicial Magistrates of the second class, and Executive Magistrates. [Source: Section 6, BNSS 2023]</t>
  </si>
  <si>
    <t xml:space="preserve">Hugging Face source record: BNSS_6</t>
  </si>
  <si>
    <t xml:space="preserve">CASE_2180</t>
  </si>
  <si>
    <t xml:space="preserve">Section 6 of BNSS 2023 establishes the classes of Criminal Courts, listing the specific hierarchy and types of courts that operate in every State. [Source: Section 6, BNSS 2023]</t>
  </si>
  <si>
    <t xml:space="preserve">CASE_2181</t>
  </si>
  <si>
    <t xml:space="preserve">The State must create Courts of Session, Judicial Magistrates of the first class, Judicial Magistrates of the second class, and Executive Magistrates. [Source: Section 6, BNSS 2023]</t>
  </si>
  <si>
    <t xml:space="preserve">CASE_2182</t>
  </si>
  <si>
    <t xml:space="preserve">There must be the four specific classes of Criminal Courts enumerated: Courts of Session, Judicial Magistrates of the first class, Judicial Magistrates of the second class, and Executive Magistrates. [Source: Section 6, BNSS 2023]</t>
  </si>
  <si>
    <t xml:space="preserve">CASE_2183</t>
  </si>
  <si>
    <t xml:space="preserve">No, the section explicitly mentions these are "Besides the High Courts and the Courts constituted under any law, other than this Sanhita". [Source: Section 6, BNSS 2023]</t>
  </si>
  <si>
    <t xml:space="preserve">CASE_2184</t>
  </si>
  <si>
    <t xml:space="preserve">It mandates a uniform baseline structure of criminal courts across every State, ensuring cases can be appropriately routed to Sessions Courts, Judicial Magistrates, or Executive Magistrates. [Source: Section 6, BNSS 2023]</t>
  </si>
  <si>
    <t xml:space="preserve">CASE_2185</t>
  </si>
  <si>
    <t xml:space="preserve">Territorial divisions</t>
  </si>
  <si>
    <t xml:space="preserve">Every State shall be a sessions division or shall consist of sessions divisions, and every sessions division shall be a district or consist of districts. [Source: Section 7, BNSS 2023]</t>
  </si>
  <si>
    <t xml:space="preserve">Hugging Face source record: BNSS_7</t>
  </si>
  <si>
    <t xml:space="preserve">CASE_2186</t>
  </si>
  <si>
    <t xml:space="preserve">Section 7 of BNSS 2023 governs territorial divisions, dictating how States are divided into sessions divisions, districts, and sub-divisions for criminal administration. [Source: Section 7, BNSS 2023]</t>
  </si>
  <si>
    <t xml:space="preserve">CASE_2187</t>
  </si>
  <si>
    <t xml:space="preserve">Under sub-section (2), the State Government may alter the limits or the number of such divisions and districts only "after consultation with the High Court." [Source: Section 7, BNSS 2023]</t>
  </si>
  <si>
    <t xml:space="preserve">CASE_2188</t>
  </si>
  <si>
    <t xml:space="preserve">Under sub-section (3), the State Government may divide a district into sub-divisions "after consultation with the High Court." [Source: Section 7, BNSS 2023]</t>
  </si>
  <si>
    <t xml:space="preserve">CASE_2189</t>
  </si>
  <si>
    <t xml:space="preserve">No, under sub-section (4), the sessions divisions, districts, and sub-divisions existing in a State at the commencement of this Sanhita shall be deemed to have been formed under this section. [Source: Section 7, BNSS 2023]</t>
  </si>
  <si>
    <t xml:space="preserve">CASE_2190</t>
  </si>
  <si>
    <t xml:space="preserve">The consequence is that it provides a defined geographic area for Courts of Session and Magistrates to exercise their jurisdiction and manage criminal cases locally. [Source: Section 7, BNSS 2023]</t>
  </si>
  <si>
    <t xml:space="preserve">CASE_2191</t>
  </si>
  <si>
    <t xml:space="preserve">Court of Session</t>
  </si>
  <si>
    <t xml:space="preserve">The State Government shall establish a Court of Session for every sessions division, and it shall be presided over by a Judge appointed by the High Court. [Source: Section 8, BNSS 2023]</t>
  </si>
  <si>
    <t xml:space="preserve">Hugging Face source record: BNSS_8</t>
  </si>
  <si>
    <t xml:space="preserve">CASE_2192</t>
  </si>
  <si>
    <t xml:space="preserve">Section 8 of BNSS 2023 details the establishment and functioning of the Court of Session, including the appointment of Judges, Additional Sessions Judges, and rules for their sittings. [Source: Section 8, BNSS 2023]</t>
  </si>
  <si>
    <t xml:space="preserve">CASE_2193</t>
  </si>
  <si>
    <t xml:space="preserve">Under sub-section (5), the High Court may make arrangements for the urgent application to be disposed of by a Chief Judicial Magistrate in the sessions division. [Source: Section 8, BNSS 2023]</t>
  </si>
  <si>
    <t xml:space="preserve">CASE_2194</t>
  </si>
  <si>
    <t xml:space="preserve">Under sub-section (6), it must be of the opinion that it will tend to the general convenience of the parties and witnesses, and it must have the consent of the prosecution and the accused. [Source: Section 8, BNSS 2023]</t>
  </si>
  <si>
    <t xml:space="preserve">CASE_2195</t>
  </si>
  <si>
    <t xml:space="preserve">No, according to the Explanation, "appointment" does not include the first appointment, posting, or promotion of a person by the Government to any Service where such appointment is required to be made by the Government. [Source: Section 8, BNSS 2023]</t>
  </si>
  <si>
    <t xml:space="preserve">CASE_2196</t>
  </si>
  <si>
    <t xml:space="preserve">Under sub-section (4), the consequence is that the Judge may sit for the disposal of cases at such place or places in the other division as the High Court may direct. [Source: Section 8, BNSS 2023]</t>
  </si>
  <si>
    <t xml:space="preserve">CASE_2197</t>
  </si>
  <si>
    <t xml:space="preserve">Courts of Judicial Magistrates</t>
  </si>
  <si>
    <t xml:space="preserve">The State Government, after consultation with the High Court, shall establish as many Courts of Judicial Magistrates of the first and second class, and at such places, as it may specify by notification. [Source: Section 9, BNSS 2023]</t>
  </si>
  <si>
    <t xml:space="preserve">Hugging Face source record: BNSS_9</t>
  </si>
  <si>
    <t xml:space="preserve">CASE_2198</t>
  </si>
  <si>
    <t xml:space="preserve">Section 9 of BNSS 2023 provides for the establishment of Courts of Judicial Magistrates, the appointment of their presiding officers, and the creation of Special Courts. [Source: Section 9, BNSS 2023]</t>
  </si>
  <si>
    <t xml:space="preserve">CASE_2199</t>
  </si>
  <si>
    <t xml:space="preserve">No, the proviso to sub-section (1) states that where a Special Court is established, no other Court of Magistrate in the local area shall have jurisdiction to try any case for which the Special Court has been established. [Source: Section 9, BNSS 2023]</t>
  </si>
  <si>
    <t xml:space="preserve">CASE_2200</t>
  </si>
  <si>
    <t xml:space="preserve">Under sub-section (2), the presiding officers of such Courts shall be appointed by the High Court. [Source: Section 9, BNSS 2023]</t>
  </si>
  <si>
    <t xml:space="preserve">CASE_2201</t>
  </si>
  <si>
    <t xml:space="preserve">Yes, under sub-section (3), the High Court may confer the powers of a Judicial Magistrate of the first or second class on any member of the Judicial Service functioning as a Judge in a Civil Court. [Source: Section 9, BNSS 2023]</t>
  </si>
  <si>
    <t xml:space="preserve">CASE_2202</t>
  </si>
  <si>
    <t xml:space="preserve">The consequence, as per the proviso to sub-section (1), is that it strips all other Magistrate Courts in that local area of the jurisdiction to try that specific class of cases. [Source: Section 9, BNSS 2023]</t>
  </si>
  <si>
    <t xml:space="preserve">CASE_2203</t>
  </si>
  <si>
    <t xml:space="preserve">Chief Judicial Magistrate and Additional Chief Judicial Magistrate, etc</t>
  </si>
  <si>
    <t xml:space="preserve">In every district, the High Court shall appoint a Judicial Magistrate of the first class to be the Chief Judicial Magistrate. [Source: Section 10, BNSS 2023]</t>
  </si>
  <si>
    <t xml:space="preserve">Hugging Face source record: BNSS_10</t>
  </si>
  <si>
    <t xml:space="preserve">CASE_2204</t>
  </si>
  <si>
    <t xml:space="preserve">Section 10 of BNSS 2023 covers the appointment of the Chief Judicial Magistrate, Additional Chief Judicial Magistrates, and Sub-divisional Judicial Magistrates, outlining their supervisory roles. [Source: Section 10, BNSS 2023]</t>
  </si>
  <si>
    <t xml:space="preserve">CASE_2205</t>
  </si>
  <si>
    <t xml:space="preserve">Under sub-section (3), the High Court may designate any Judicial Magistrate of the first class in a sub-division as the Sub-divisional Judicial Magistrate. [Source: Section 10, BNSS 2023]</t>
  </si>
  <si>
    <t xml:space="preserve">CASE_2206</t>
  </si>
  <si>
    <t xml:space="preserve">Under sub-section (4), their powers of supervision and control are subject to the general control of the Chief Judicial Magistrate and must be specified by the High Court. [Source: Section 10, BNSS 2023]</t>
  </si>
  <si>
    <t xml:space="preserve">CASE_2207</t>
  </si>
  <si>
    <t xml:space="preserve">No, under sub-section (4), the Sub-divisional Judicial Magistrate has supervision and control over Judicial Magistrates "other than Additional Chief Judicial Magistrates." [Source: Section 10, BNSS 2023]</t>
  </si>
  <si>
    <t xml:space="preserve">CASE_2208</t>
  </si>
  <si>
    <t xml:space="preserve">Under sub-section (2), the consequence is that such Magistrate shall have all or any of the powers of a Chief Judicial Magistrate under this Sanhita or any other law as the High Court may direct. [Source: Section 10, BNSS 2023]</t>
  </si>
  <si>
    <t xml:space="preserve">CASE_2209</t>
  </si>
  <si>
    <t xml:space="preserve">Special Judicial Magistrates</t>
  </si>
  <si>
    <t xml:space="preserve">The High Court may, if requested by the Central or State Government, confer upon any person holding a government post the powers of a Judicial Magistrate to handle particular cases. [Source: Section 11, BNSS 2023]</t>
  </si>
  <si>
    <t xml:space="preserve">Hugging Face source record: BNSS_11</t>
  </si>
  <si>
    <t xml:space="preserve">CASE_2210</t>
  </si>
  <si>
    <t xml:space="preserve">Section 11 of BNSS 2023 details the appointment of Special Judicial Magistrates by the High Court for specific cases, including their qualifications and term limits. [Source: Section 11, BNSS 2023]</t>
  </si>
  <si>
    <t xml:space="preserve">CASE_2211</t>
  </si>
  <si>
    <t xml:space="preserve">No, the proviso to sub-section (1) states no such power shall be conferred unless the person possesses such qualification or experience in relation to legal affairs as the High Court may specify by rules. [Source: Section 11, BNSS 2023]</t>
  </si>
  <si>
    <t xml:space="preserve">CASE_2212</t>
  </si>
  <si>
    <t xml:space="preserve">Under sub-section (2), they shall be appointed for such term, not exceeding one year at a time, as the High Court may direct. [Source: Section 11, BNSS 2023]</t>
  </si>
  <si>
    <t xml:space="preserve">CASE_2213</t>
  </si>
  <si>
    <t xml:space="preserve">No, under sub-section (1), the High Court may do so "if requested by the Central or State Government so to do." [Source: Section 11, BNSS 2023]</t>
  </si>
  <si>
    <t xml:space="preserve">CASE_2214</t>
  </si>
  <si>
    <t xml:space="preserve">It allows the government and High Court to dedicate a specific magistrate with necessary legal qualifications to handle "particular cases or to particular classes of cases" in a specific local area. [Source: Section 11, BNSS 2023]</t>
  </si>
  <si>
    <t xml:space="preserve">CASE_2215</t>
  </si>
  <si>
    <t xml:space="preserve">Local Jurisdiction of Judicial Magistrates</t>
  </si>
  <si>
    <t xml:space="preserve">Subject to the control of the High Court, the Chief Judicial Magistrate may, from time to time, define the local limits of the areas within which Magistrates may exercise their powers. [Source: Section 12, BNSS 2023]</t>
  </si>
  <si>
    <t xml:space="preserve">Hugging Face source record: BNSS_12</t>
  </si>
  <si>
    <t xml:space="preserve">CASE_2216</t>
  </si>
  <si>
    <t xml:space="preserve">Section 12 of BNSS 2023 covers the local jurisdiction of Judicial Magistrates, explaining how their operational boundaries are defined and how their jurisdiction interacts with district borders. [Source: Section 12, BNSS 2023]</t>
  </si>
  <si>
    <t xml:space="preserve">CASE_2217</t>
  </si>
  <si>
    <t xml:space="preserve">Under sub-section (2), except as otherwise provided by such definition, the jurisdiction and powers of every such Magistrate shall extend throughout the district. [Source: Section 12, BNSS 2023]</t>
  </si>
  <si>
    <t xml:space="preserve">CASE_2218</t>
  </si>
  <si>
    <t xml:space="preserve">The proviso to sub-section (1) states that the Court of Special Judicial Magistrate may hold its sitting at any place within the local area for which it is established. [Source: Section 12, BNSS 2023]</t>
  </si>
  <si>
    <t xml:space="preserve">CASE_2219</t>
  </si>
  <si>
    <t xml:space="preserve">No, under sub-section (1), the defining of local limits by the Chief Judicial Magistrate is "Subject to the control of the High Court." [Source: Section 12, BNSS 2023]</t>
  </si>
  <si>
    <t xml:space="preserve">CASE_2220</t>
  </si>
  <si>
    <t xml:space="preserve">Under sub-section (3), any reference in the Sanhita to the Court of Session or Chief Judicial Magistrate shall be construed as a reference to the Court of Session or Chief Judicial Magistrate exercising jurisdiction in relation to that specific district. [Source: Section 12, BNSS 2023]</t>
  </si>
  <si>
    <t xml:space="preserve">CASE_2221</t>
  </si>
  <si>
    <t xml:space="preserve">Subordination of Judicial Magistrates</t>
  </si>
  <si>
    <t xml:space="preserve">Every Judicial Magistrate shall be subordinate to the Chief Judicial Magistrate, subject to the general control of the Sessions Judge. [Source: Section 13, BNSS 2023]</t>
  </si>
  <si>
    <t xml:space="preserve">Hugging Face source record: BNSS_13</t>
  </si>
  <si>
    <t xml:space="preserve">CASE_2222</t>
  </si>
  <si>
    <t xml:space="preserve">Section 13 of BNSS 2023 covers the subordination of Judicial Magistrates, establishing the chain of command under the Chief Judicial Magistrate and the Sessions Judge. [Source: Section 13, BNSS 2023]</t>
  </si>
  <si>
    <t xml:space="preserve">CASE_2223</t>
  </si>
  <si>
    <t xml:space="preserve">Yes, under sub-section (2), the Chief Judicial Magistrate may make rules or give special orders as to the distribution of business among the Judicial Magistrates subordinate to him. [Source: Section 13, BNSS 2023]</t>
  </si>
  <si>
    <t xml:space="preserve">CASE_2224</t>
  </si>
  <si>
    <t xml:space="preserve">Under sub-section (1), every Chief Judicial Magistrate shall be subordinate to the Sessions Judge. [Source: Section 13, BNSS 2023]</t>
  </si>
  <si>
    <t xml:space="preserve">CASE_2225</t>
  </si>
  <si>
    <t xml:space="preserve">No, under sub-section (1), their subordination to the Chief Judicial Magistrate is "subject to the general control of the Sessions Judge." [Source: Section 13, BNSS 2023]</t>
  </si>
  <si>
    <t xml:space="preserve">CASE_2226</t>
  </si>
  <si>
    <t xml:space="preserve">It allows the Chief Judicial Magistrate to actively manage the caseloads and allocate specific cases or duties among the lower Judicial Magistrates to ensure efficient administration. [Source: Section 13, BNSS 2023]</t>
  </si>
  <si>
    <t xml:space="preserve">CASE_2227</t>
  </si>
  <si>
    <t xml:space="preserve">Executive Magistrates</t>
  </si>
  <si>
    <t xml:space="preserve">The State Government appoints Executive Magistrates in every district and shall appoint one of them to be the District Magistrate. [Source: Section 14, BNSS 2023]</t>
  </si>
  <si>
    <t xml:space="preserve">Hugging Face source record: BNSS_14</t>
  </si>
  <si>
    <t xml:space="preserve">CASE_2228</t>
  </si>
  <si>
    <t xml:space="preserve">Section 14 of BNSS 2023 outlines the appointment and hierarchy of Executive Magistrates, including the District Magistrate, Additional District Magistrates, and Sub-divisional Magistrates. [Source: Section 14, BNSS 2023]</t>
  </si>
  <si>
    <t xml:space="preserve">CASE_2229</t>
  </si>
  <si>
    <t xml:space="preserve">Yes, under sub-section (3), the officer succeeding temporarily shall exercise all the powers and perform all the duties conferred on the District Magistrate pending the orders of the State Government. [Source: Section 14, BNSS 2023]</t>
  </si>
  <si>
    <t xml:space="preserve">CASE_2230</t>
  </si>
  <si>
    <t xml:space="preserve">Under sub-section (4), a Sub-divisional Magistrate is an Executive Magistrate who has been placed in charge of a sub-division by the State Government. [Source: Section 14, BNSS 2023]</t>
  </si>
  <si>
    <t xml:space="preserve">CASE_2231</t>
  </si>
  <si>
    <t xml:space="preserve">Yes, under sub-section (5), the State Government may delegate its powers to place an Executive Magistrate in charge of a sub-division to the District Magistrate. [Source: Section 14, BNSS 2023]</t>
  </si>
  <si>
    <t xml:space="preserve">CASE_2232</t>
  </si>
  <si>
    <t xml:space="preserve">Under sub-section (2), the consequence is that such Magistrate shall have such of the powers of a District Magistrate under this Sanhita or other laws as directed by the State Government. [Source: Section 14, BNSS 2023]</t>
  </si>
  <si>
    <t xml:space="preserve">CASE_2233</t>
  </si>
  <si>
    <t xml:space="preserve">Special Executive Magistrates</t>
  </si>
  <si>
    <t xml:space="preserve">Yes, the State Government may appoint a police officer not below the rank of Superintendent of Police or equivalent to be a Special Executive Magistrate for particular functions. [Source: Section 15, BNSS 2023]</t>
  </si>
  <si>
    <t xml:space="preserve">Hugging Face source record: BNSS_15</t>
  </si>
  <si>
    <t xml:space="preserve">CASE_2234</t>
  </si>
  <si>
    <t xml:space="preserve">Section 15 of BNSS 2023 authorizes the State Government to appoint Special Executive Magistrates, including senior police officers, for particular areas or functions. [Source: Section 15, BNSS 2023]</t>
  </si>
  <si>
    <t xml:space="preserve">CASE_2235</t>
  </si>
  <si>
    <t xml:space="preserve">No, the section specifies that any police officer appointed as a Special Executive Magistrate must be "not below the rank of Superintendent of Police or equivalent." [Source: Section 15, BNSS 2023]</t>
  </si>
  <si>
    <t xml:space="preserve">CASE_2236</t>
  </si>
  <si>
    <t xml:space="preserve">They can be appointed for "particular areas" or for the "performance of particular functions." [Source: Section 15, BNSS 2023]</t>
  </si>
  <si>
    <t xml:space="preserve">CASE_2237</t>
  </si>
  <si>
    <t xml:space="preserve">No, the State Government may appoint them "for such term as it may think fit." [Source: Section 15, BNSS 2023]</t>
  </si>
  <si>
    <t xml:space="preserve">CASE_2238</t>
  </si>
  <si>
    <t xml:space="preserve">They exercise such of the powers as are conferrable under this Sanhita on Executive Magistrates, specifically as the State Government "may deem fit" to confer on them. [Source: Section 15, BNSS 2023]</t>
  </si>
  <si>
    <t xml:space="preserve">CASE_2239</t>
  </si>
  <si>
    <t xml:space="preserve">Local Jurisdiction of Executive</t>
  </si>
  <si>
    <t xml:space="preserve">Subject to the control of the State Government, the District Magistrate may, from time to time, define the local limits of the areas within which the Executive Magistrates may exercise their powers. [Source: Section 16, BNSS 2023]</t>
  </si>
  <si>
    <t xml:space="preserve">Hugging Face source record: BNSS_16</t>
  </si>
  <si>
    <t xml:space="preserve">CASE_2240</t>
  </si>
  <si>
    <t xml:space="preserve">Section 16 of BNSS 2023 explains the local jurisdiction of Executive Magistrates and the role of the District Magistrate in defining those limits. [Source: Section 16, BNSS 2023]</t>
  </si>
  <si>
    <t xml:space="preserve">CASE_2241</t>
  </si>
  <si>
    <t xml:space="preserve">Under sub-section (2), except as otherwise provided by such definition, the jurisdiction and powers of every such Magistrate shall extend throughout the district. [Source: Section 16, BNSS 2023]</t>
  </si>
  <si>
    <t xml:space="preserve">CASE_2242</t>
  </si>
  <si>
    <t xml:space="preserve">Under sub-section (1), the District Magistrate's power to define local limits is "Subject to the control of the State Government." [Source: Section 16, BNSS 2023]</t>
  </si>
  <si>
    <t xml:space="preserve">CASE_2243</t>
  </si>
  <si>
    <t xml:space="preserve">No, under sub-section (2), unless specifically defined otherwise, their jurisdiction extends "throughout the district." [Source: Section 16, BNSS 2023]</t>
  </si>
  <si>
    <t xml:space="preserve">CASE_2244</t>
  </si>
  <si>
    <t xml:space="preserve">The consequence is that the Executive Magistrate may only exercise all or any of the powers with which they may be invested within those specific local limits, rather than the whole district. [Source: Section 16, BNSS 2023]</t>
  </si>
  <si>
    <t xml:space="preserve">CASE_2245</t>
  </si>
  <si>
    <t xml:space="preserve">Subordination of Executive Magistrates</t>
  </si>
  <si>
    <t xml:space="preserve">All Executive Magistrates shall be subordinate to the District Magistrate. [Source: Section 17, BNSS 2023]</t>
  </si>
  <si>
    <t xml:space="preserve">Hugging Face source record: BNSS_17</t>
  </si>
  <si>
    <t xml:space="preserve">CASE_2246</t>
  </si>
  <si>
    <t xml:space="preserve">Section 17 of BNSS 2023 outlines the chain of command for Executive Magistrates, making them subordinate to the District Magistrate and Sub-divisional Magistrates. [Source: Section 17, BNSS 2023]</t>
  </si>
  <si>
    <t xml:space="preserve">CASE_2247</t>
  </si>
  <si>
    <t xml:space="preserve">No, under sub-section (1), every Executive Magistrate exercising powers in a sub-division shall also be subordinate to the Sub-divisional Magistrate, subject to the general control of the District Magistrate. [Source: Section 17, BNSS 2023]</t>
  </si>
  <si>
    <t xml:space="preserve">CASE_2248</t>
  </si>
  <si>
    <t xml:space="preserve">Under sub-section (2), the District Magistrate may make rules or give special orders "consistent with this Sanhita" regarding the distribution or allocation of business. [Source: Section 17, BNSS 2023]</t>
  </si>
  <si>
    <t xml:space="preserve">CASE_2249</t>
  </si>
  <si>
    <t xml:space="preserve">No, under sub-section (1), the subordination of Executive Magistrates to the Sub-divisional Magistrate is "subject, to the general control of the District Magistrate." [Source: Section 17, BNSS 2023]</t>
  </si>
  <si>
    <t xml:space="preserve">CASE_2250</t>
  </si>
  <si>
    <t xml:space="preserve">The consequence is that the workload and specific cases are legally distributed and allocated among the subordinate Executive Magistrates according to those rules. [Source: Section 17, BNSS 2023]</t>
  </si>
  <si>
    <t xml:space="preserve">CASE_2251</t>
  </si>
  <si>
    <t xml:space="preserve">Public Prosecutors</t>
  </si>
  <si>
    <t xml:space="preserve">For every High Court, the Central Government or the State Government shall, after consultation with the High Court, appoint a Public Prosecutor. [Source: Section 18, BNSS 2023]</t>
  </si>
  <si>
    <t xml:space="preserve">Hugging Face source record: BNSS_18</t>
  </si>
  <si>
    <t xml:space="preserve">CASE_2252</t>
  </si>
  <si>
    <t xml:space="preserve">Section 18 of BNSS 2023 provides the rules and qualifications for the appointment of Public Prosecutors, Additional Public Prosecutors, and Special Public Prosecutors at both the High Court and district levels. [Source: Section 18, BNSS 2023]</t>
  </si>
  <si>
    <t xml:space="preserve">CASE_2253</t>
  </si>
  <si>
    <t xml:space="preserve">No, under sub-section (5), the State Government cannot appoint a person for the district unless their name appears in the panel of names prepared by the District Magistrate in consultation with the Sessions Judge. [Source: Section 18, BNSS 2023]</t>
  </si>
  <si>
    <t xml:space="preserve">CASE_2254</t>
  </si>
  <si>
    <t xml:space="preserve">Under sub-section (7), a person shall be eligible only if he has been in practice as an advocate for not less than seven years. [Source: Section 18, BNSS 2023]</t>
  </si>
  <si>
    <t xml:space="preserve">CASE_2255</t>
  </si>
  <si>
    <t xml:space="preserve">Yes, but with an exception: under the proviso to sub-section (6), if no suitable person is available in the Cadre, the Government may appoint someone from the panel prepared by the District Magistrate. [Source: Section 18, BNSS 2023]</t>
  </si>
  <si>
    <t xml:space="preserve">CASE_2256</t>
  </si>
  <si>
    <t xml:space="preserve">Under sub-section (8), the Central or State Government may appoint an advocate with at least ten years of practice to conduct a specific "case or class of cases," allowing specialized legal expertise for complex prosecutions. [Source: Section 18, BNSS 2023]</t>
  </si>
  <si>
    <t xml:space="preserve">CASE_2257</t>
  </si>
  <si>
    <t xml:space="preserve">Assistant Public Prosecutors</t>
  </si>
  <si>
    <t xml:space="preserve">The State Government shall appoint in every district one or more Assistant Public Prosecutors for conducting prosecutions in the Courts of Magistrates. [Source: Section 19, BNSS 2023]</t>
  </si>
  <si>
    <t xml:space="preserve">Hugging Face source record: BNSS_19</t>
  </si>
  <si>
    <t xml:space="preserve">CASE_2258</t>
  </si>
  <si>
    <t xml:space="preserve">Section 19 of BNSS 2023 covers the appointment of Assistant Public Prosecutors for Magistrate Courts and outlines when a police officer is prohibited from serving in this role. [Source: Section 19, BNSS 2023]</t>
  </si>
  <si>
    <t xml:space="preserve">CASE_2259</t>
  </si>
  <si>
    <t xml:space="preserve">No, under proviso (a) to sub-section (3), no police officer shall be eligible if he "has taken any part in the investigation into the offence with respect to which the accused is being prosecuted." [Source: Section 19, BNSS 2023]</t>
  </si>
  <si>
    <t xml:space="preserve">CASE_2260</t>
  </si>
  <si>
    <t xml:space="preserve">Under sub-section (3), this can occur where no Assistant Public Prosecutor is available, and it must be done after giving notice of fourteen days to the State Government. [Source: Section 19, BNSS 2023]</t>
  </si>
  <si>
    <t xml:space="preserve">CASE_2261</t>
  </si>
  <si>
    <t xml:space="preserve">No, under proviso (b) to sub-section (3), a police officer is not eligible if he is "below the rank of Inspector." [Source: Section 19, BNSS 2023]</t>
  </si>
  <si>
    <t xml:space="preserve">CASE_2262</t>
  </si>
  <si>
    <t xml:space="preserve">Under sub-section (2), the consequence is that the appointee is tasked with conducting "any case or class of cases" specifically in the Courts of Magistrates on behalf of the Central Government. [Source: Section 19, BNSS 2023]</t>
  </si>
  <si>
    <t xml:space="preserve">CASE_2263</t>
  </si>
  <si>
    <t xml:space="preserve">Directorate of Prosecution</t>
  </si>
  <si>
    <t xml:space="preserve">The State Government may establish a Directorate of Prosecution in the State consisting of a Director of Prosecution and Deputy Directors, as well as District Directorates. [Source: Section 20, BNSS 2023]</t>
  </si>
  <si>
    <t xml:space="preserve">Hugging Face source record: BNSS_20</t>
  </si>
  <si>
    <t xml:space="preserve">CASE_2264</t>
  </si>
  <si>
    <t xml:space="preserve">Section 20 of BNSS 2023 establishes the Directorate of Prosecution, defining its hierarchy, eligibility requirements for its officers, and their duties in monitoring specific categories of offenses. [Source: Section 20, BNSS 2023]</t>
  </si>
  <si>
    <t xml:space="preserve">CASE_2265</t>
  </si>
  <si>
    <t xml:space="preserve">No, under clause (a) of sub-section (2), a person is eligible to be a Director or Deputy Director only if he has been in practice as an advocate for "not less than fifteen years or is or has been a Sessions Judge." [Source: Section 20, BNSS 2023]</t>
  </si>
  <si>
    <t xml:space="preserve">CASE_2266</t>
  </si>
  <si>
    <t xml:space="preserve">Under clause (b) of sub-section (2), a person must have been in practice as an advocate for not less than seven years or has been a Magistrate of the first class. [Source: Section 20, BNSS 2023]</t>
  </si>
  <si>
    <t xml:space="preserve">CASE_2267</t>
  </si>
  <si>
    <t xml:space="preserve">No, under sub-section (12), the provisions of this section shall not apply to the Advocate General for the State while performing the functions of a Public Prosecutor. [Source: Section 20, BNSS 2023]</t>
  </si>
  <si>
    <t xml:space="preserve">CASE_2268</t>
  </si>
  <si>
    <t xml:space="preserve">Under sub-section (7), the Director monitors cases involving offenses punishable by ten years or more, life imprisonment, or death, expedites proceedings, and gives opinions on filing appeals. [Source: Section 20, BNSS 2023]</t>
  </si>
  <si>
    <t xml:space="preserve">CASE_2269</t>
  </si>
  <si>
    <t xml:space="preserve">Courts by which offences are triable</t>
  </si>
  <si>
    <t xml:space="preserve">Subject to other provisions, any offence under the Bharatiya Nyaya Sanhita, 2023 may be tried by the High Court, the Court of Session, or any other Court shown in the First Schedule to be triable. [Source: Section 21, BNSS 2023]</t>
  </si>
  <si>
    <t xml:space="preserve">Hugging Face source record: BNSS_21</t>
  </si>
  <si>
    <t xml:space="preserve">CASE_2270</t>
  </si>
  <si>
    <t xml:space="preserve">Section 21 of BNSS 2023 outlines which specific courts possess the jurisdiction to try offenses under the Bharatiya Nyaya Sanhita and other laws. [Source: Section 21, BNSS 2023]</t>
  </si>
  <si>
    <t xml:space="preserve">CASE_2271</t>
  </si>
  <si>
    <t xml:space="preserve">According to the proviso in clause (a), any offence under section 64 shall be tried "as far as practicable by a Court presided over by a woman." [Source: Section 21, BNSS 2023]</t>
  </si>
  <si>
    <t xml:space="preserve">CASE_2272</t>
  </si>
  <si>
    <t xml:space="preserve">Under clause (b), if a Court is mentioned in that specific law, it shall be tried by such Court; if no Court is mentioned, it may be tried by the High Court or any Court shown in the First Schedule. [Source: Section 21, BNSS 2023]</t>
  </si>
  <si>
    <t xml:space="preserve">CASE_2273</t>
  </si>
  <si>
    <t xml:space="preserve">No, the proviso to clause (a) states that offenses under sections 64 to 71 shall be tried by a Court presided over by a woman "as far as practicable." [Source: Section 21, BNSS 2023]</t>
  </si>
  <si>
    <t xml:space="preserve">CASE_2274</t>
  </si>
  <si>
    <t xml:space="preserve">The consequence, under clause (b), is that the offence falls back to being triable by the High Court or the Court specified for it in the First Schedule of the Sanhita. [Source: Section 21, BNSS 2023]</t>
  </si>
  <si>
    <t xml:space="preserve">CASE_2275</t>
  </si>
  <si>
    <t xml:space="preserve">Sentences which High Courts and Sessions Judges may pass</t>
  </si>
  <si>
    <t xml:space="preserve">A High Court may pass any sentence authorised by law. [Source: Section 22, BNSS 2023]</t>
  </si>
  <si>
    <t xml:space="preserve">Hugging Face source record: BNSS_22</t>
  </si>
  <si>
    <t xml:space="preserve">CASE_2276</t>
  </si>
  <si>
    <t xml:space="preserve">Section 22 of BNSS 2023 defines the sentencing powers of High Courts, Sessions Judges, and Additional Sessions Judges, including the requirement for confirming death sentences. [Source: Section 22, BNSS 2023]</t>
  </si>
  <si>
    <t xml:space="preserve">CASE_2277</t>
  </si>
  <si>
    <t xml:space="preserve">No, under sub-section (2), any sentence of death passed by a Sessions Judge or Additional Sessions Judge "shall be subject to confirmation by the High Court." [Source: Section 22, BNSS 2023]</t>
  </si>
  <si>
    <t xml:space="preserve">CASE_2278</t>
  </si>
  <si>
    <t xml:space="preserve">Under sub-section (2), while they may pass any sentence authorised by law, a death sentence requires the specific condition of confirmation by the High Court. [Source: Section 22, BNSS 2023]</t>
  </si>
  <si>
    <t xml:space="preserve">CASE_2279</t>
  </si>
  <si>
    <t xml:space="preserve">No, under sub-section (1), the High Court may pass "any sentence authorised by law" without listed exceptions. [Source: Section 22, BNSS 2023]</t>
  </si>
  <si>
    <t xml:space="preserve">CASE_2280</t>
  </si>
  <si>
    <t xml:space="preserve">The consequence is that the execution of the sentence is halted, and the case must be submitted to the High Court for confirmation before the death penalty can be carried out. [Source: Section 22, BNSS 2023]</t>
  </si>
  <si>
    <t xml:space="preserve">CASE_2281</t>
  </si>
  <si>
    <t xml:space="preserve">Sentences which Magistrates may pass</t>
  </si>
  <si>
    <t xml:space="preserve">The Court of a Chief Judicial Magistrate may pass any sentence authorised by law except a sentence of death, imprisonment for life, or imprisonment for a term exceeding seven years. [Source: Section 23, BNSS 2023]</t>
  </si>
  <si>
    <t xml:space="preserve">Hugging Face source record: BNSS_23</t>
  </si>
  <si>
    <t xml:space="preserve">CASE_2282</t>
  </si>
  <si>
    <t xml:space="preserve">Section 23 of BNSS 2023 sets out the specific sentencing powers and limitations for Chief Judicial Magistrates, Magistrates of the first class, and Magistrates of the second class, and defines "community service." [Source: Section 23, BNSS 2023]</t>
  </si>
  <si>
    <t xml:space="preserve">CASE_2283</t>
  </si>
  <si>
    <t xml:space="preserve">No, under sub-section (2), the Court of a Magistrate of the first class may pass a sentence of imprisonment for a term "not exceeding three years." [Source: Section 23, BNSS 2023]</t>
  </si>
  <si>
    <t xml:space="preserve">CASE_2284</t>
  </si>
  <si>
    <t xml:space="preserve">According to the Explanation, community service shall mean the work which the Court may order a convict to perform as a form of punishment that benefits the community, for which he shall not be entitled to any remuneration. [Source: Section 23, BNSS 2023]</t>
  </si>
  <si>
    <t xml:space="preserve">CASE_2285</t>
  </si>
  <si>
    <t xml:space="preserve">No, under sub-section (3), the Court of Magistrate of the second class may pass a sentence of fine "not exceeding ten thousand rupees." [Source: Section 23, BNSS 2023]</t>
  </si>
  <si>
    <t xml:space="preserve">CASE_2286</t>
  </si>
  <si>
    <t xml:space="preserve">Under sub-sections (2) and (3), Magistrates of the first and second class have the specific legal authority to pass a sentence of "community service" upon the convict. [Source: Section 23, BNSS 2023]</t>
  </si>
  <si>
    <t xml:space="preserve">CASE_2287</t>
  </si>
  <si>
    <t xml:space="preserve">Sentence of imprisonment in default of fine</t>
  </si>
  <si>
    <t xml:space="preserve">The Court of a Magistrate may award such term of imprisonment in default of payment of fine as is authorised by law. [Source: Section 24, BNSS 2023]</t>
  </si>
  <si>
    <t xml:space="preserve">Hugging Face source record: BNSS_24</t>
  </si>
  <si>
    <t xml:space="preserve">CASE_2288</t>
  </si>
  <si>
    <t xml:space="preserve">Section 24 of BNSS 2023 explains the rules and limits for sentencing a person to a term of imprisonment when they default on paying a court-ordered fine. [Source: Section 24, BNSS 2023]</t>
  </si>
  <si>
    <t xml:space="preserve">CASE_2289</t>
  </si>
  <si>
    <t xml:space="preserve">No, under proviso (b) to sub-section (1), the imprisonment in default cannot exceed one-fourth of the maximum term the Magistrate is competent to inflict (which is 3 years), so the default term cannot exceed 9 months. [Source: Section 24, BNSS 2023]</t>
  </si>
  <si>
    <t xml:space="preserve">CASE_2290</t>
  </si>
  <si>
    <t xml:space="preserve">Under the proviso to sub-section (1), the term must not be in excess of the Magistrate's powers under section 23, and it shall not exceed one-fourth of the term of imprisonment the Magistrate is competent to inflict if awarded as part of a substantive sentence. [Source: Section 24, BNSS 2023]</t>
  </si>
  <si>
    <t xml:space="preserve">CASE_2291</t>
  </si>
  <si>
    <t xml:space="preserve">No, under sub-section (2), the imprisonment awarded under this section may be "in addition to a substantive sentence of imprisonment" for the maximum term awardable by the Magistrate. [Source: Section 24, BNSS 2023]</t>
  </si>
  <si>
    <t xml:space="preserve">CASE_2292</t>
  </si>
  <si>
    <t xml:space="preserve">Under sub-section (2), the Magistrate may still award an additional term of imprisonment for the default, meaning the total time served can legally exceed the Magistrate's normal maximum substantive sentence limit. [Source: Section 24, BNSS 2023]</t>
  </si>
  <si>
    <t xml:space="preserve">CASE_2293</t>
  </si>
  <si>
    <t xml:space="preserve">Sentence in cases of conviction of several offences at one trial</t>
  </si>
  <si>
    <t xml:space="preserve">When a person is convicted at one trial of two or more offences, the Court may sentence him for such offences to several punishments and order such punishments to run concurrently or consecutively, considering the gravity of the offences. [Source: Section 25, BNSS 2023]</t>
  </si>
  <si>
    <t xml:space="preserve">Hugging Face source record: BNSS_25</t>
  </si>
  <si>
    <t xml:space="preserve">CASE_2294</t>
  </si>
  <si>
    <t xml:space="preserve">Section 25 of BNSS 2023 dictates how sentences are applied and calculated when a defendant is convicted of several offences at one trial, outlining limits on consecutive sentences. [Source: Section 25, BNSS 2023]</t>
  </si>
  <si>
    <t xml:space="preserve">CASE_2295</t>
  </si>
  <si>
    <t xml:space="preserve">No, under sub-section (2), it shall not be necessary for the Court to send the offender for trial before a higher Court by reason only of the aggregate punishment being in excess of the punishment it is competent to inflict on conviction of a single offence. [Source: Section 25, BNSS 2023]</t>
  </si>
  <si>
    <t xml:space="preserve">CASE_2296</t>
  </si>
  <si>
    <t xml:space="preserve">Under the proviso to sub-section (2), in no case shall such person be sentenced to imprisonment for longer than twenty years, and the aggregate punishment shall not exceed twice the amount of punishment the Court is competent to inflict for a single offence. [Source: Section 25, BNSS 2023]</t>
  </si>
  <si>
    <t xml:space="preserve">CASE_2297</t>
  </si>
  <si>
    <t xml:space="preserve">No, under sub-section (3), for the purpose of appeal by a convicted person, the aggregate of the consecutive sentences passed against him shall be deemed to be a "single sentence." [Source: Section 25, BNSS 2023]</t>
  </si>
  <si>
    <t xml:space="preserve">CASE_2298</t>
  </si>
  <si>
    <t xml:space="preserve">The consequence is that the defendant serves the sentences back-to-back, adding the time together, subject to the maximum limit of twenty years or twice the Court's single-offence limit. [Source: Section 25, BNSS 2023]</t>
  </si>
  <si>
    <t xml:space="preserve">CASE_2299</t>
  </si>
  <si>
    <t xml:space="preserve">Mode of conferring powers</t>
  </si>
  <si>
    <t xml:space="preserve">The High Court or the State Government may, by order, empower persons specially by name or in virtue of their offices or classes of officials generally by their official titles. [Source: Section 26, BNSS 2023]</t>
  </si>
  <si>
    <t xml:space="preserve">Hugging Face source record: BNSS_26</t>
  </si>
  <si>
    <t xml:space="preserve">CASE_2300</t>
  </si>
  <si>
    <t xml:space="preserve">Section 26 of BNSS 2023 details the method for conferring powers under the Sanhita, specifying that powers can be granted by name or official title and defining when such orders take effect. [Source: Section 26, BNSS 2023]</t>
  </si>
  <si>
    <t xml:space="preserve">CASE_2301</t>
  </si>
  <si>
    <t xml:space="preserve">Under sub-section (2), every such order shall take effect "from the date on which it is communicated to the person so empowered," which means Thursday. [Source: Section 26, BNSS 2023]</t>
  </si>
  <si>
    <t xml:space="preserve">CASE_2302</t>
  </si>
  <si>
    <t xml:space="preserve">Under sub-section (2), the order must be "communicated to the person so empowered" for it to take effect. [Source: Section 26, BNSS 2023]</t>
  </si>
  <si>
    <t xml:space="preserve">CASE_2303</t>
  </si>
  <si>
    <t xml:space="preserve">No, under sub-section (1), they can also be empowered "in virtue of their offices or classes of officials generally be their official titles." [Source: Section 26, BNSS 2023]</t>
  </si>
  <si>
    <t xml:space="preserve">CASE_2304</t>
  </si>
  <si>
    <t xml:space="preserve">The consequence is that the officials in that class receive the conferred powers, but only starting from the date the order is actually communicated to them. [Source: Section 26, BNSS 2023]</t>
  </si>
  <si>
    <t xml:space="preserve">CASE_2305</t>
  </si>
  <si>
    <t xml:space="preserve">Powers of officers appointed</t>
  </si>
  <si>
    <t xml:space="preserve">Whenever any person holding an office in the service of Government who has been invested with powers is appointed to an equal or higher office of the same nature within a like local area under the same State Government, he shall exercise the same powers in the local area in which he is so appointed. [Source: Section 27, BNSS 2023]</t>
  </si>
  <si>
    <t xml:space="preserve">Hugging Face source record: BNSS_27</t>
  </si>
  <si>
    <t xml:space="preserve">CASE_2306</t>
  </si>
  <si>
    <t xml:space="preserve">Section 27 of BNSS 2023 ensures continuity of authority by allowing government officers to retain their conferred powers under the Sanhita when they are transferred or promoted to an equal or higher office of the same nature. [Source: Section 27, BNSS 2023]</t>
  </si>
  <si>
    <t xml:space="preserve">CASE_2307</t>
  </si>
  <si>
    <t xml:space="preserve">No, under Section 27, he shall exercise the same powers in the local area in which he is so appointed, unless the High Court or the State Government directs otherwise. [Source: Section 27, BNSS 2023]</t>
  </si>
  <si>
    <t xml:space="preserve">CASE_2308</t>
  </si>
  <si>
    <t xml:space="preserve">The officer must be appointed to an equal or higher office of the same nature, within a like local area under the same State Government. [Source: Section 27, BNSS 2023]</t>
  </si>
  <si>
    <t xml:space="preserve">CASE_2309</t>
  </si>
  <si>
    <t xml:space="preserve">No, the retention of powers applies "unless the High Court or the State Government, as the case may be, otherwise directs, or has otherwise directed." [Source: Section 27, BNSS 2023]</t>
  </si>
  <si>
    <t xml:space="preserve">CASE_2310</t>
  </si>
  <si>
    <t xml:space="preserve">The consequence is that the officer automatically carries those same special powers into their new role, avoiding administrative delays in re-authorizing them. [Source: Section 27, BNSS 2023]</t>
  </si>
  <si>
    <t xml:space="preserve">CASE_2311</t>
  </si>
  <si>
    <t xml:space="preserve">Withdrawal of powers</t>
  </si>
  <si>
    <t xml:space="preserve">The High Court or the State Government may withdraw all or any of the powers conferred by it under this Sanhita on any person or by any officer subordinate to it. [Source: Section 28, BNSS 2023]</t>
  </si>
  <si>
    <t xml:space="preserve">Hugging Face source record: BNSS_28</t>
  </si>
  <si>
    <t xml:space="preserve">CASE_2312</t>
  </si>
  <si>
    <t xml:space="preserve">Section 28 of BNSS 2023 provides the rules for the withdrawal of powers, allowing the High Court, State Government, Chief Judicial Magistrate, or District Magistrate to revoke authority they previously granted. [Source: Section 28, BNSS 2023]</t>
  </si>
  <si>
    <t xml:space="preserve">CASE_2313</t>
  </si>
  <si>
    <t xml:space="preserve">No, under sub-section (2), any powers conferred by the Chief Judicial Magistrate may be withdrawn "by the respective Magistrate by whom such powers were conferred." [Source: Section 28, BNSS 2023]</t>
  </si>
  <si>
    <t xml:space="preserve">CASE_2314</t>
  </si>
  <si>
    <t xml:space="preserve">Under sub-section (2), the condition is that those specific powers must have been conferred by that respective Magistrate. [Source: Section 28, BNSS 2023]</t>
  </si>
  <si>
    <t xml:space="preserve">CASE_2315</t>
  </si>
  <si>
    <t xml:space="preserve">Yes, under sub-section (1), the High Court may withdraw powers conferred "by any officer subordinate to it." [Source: Section 28, BNSS 2023]</t>
  </si>
  <si>
    <t xml:space="preserve">CASE_2316</t>
  </si>
  <si>
    <t xml:space="preserve">The consequence is that the State Government can issue an order to "withdraw all or any of the powers," instantly stripping the official of that legal authority. [Source: Section 28, BNSS 2023]</t>
  </si>
  <si>
    <t xml:space="preserve">CASE_2317</t>
  </si>
  <si>
    <t xml:space="preserve">Powers of Judges and Magistrates exercisable by their successors-in office</t>
  </si>
  <si>
    <t xml:space="preserve">Subject to the other provisions of this Sanhita, the powers and duties of a Judge or Magistrate may be exercised or performed by his successor-in-office. [Source: Section 29, BNSS 2023]</t>
  </si>
  <si>
    <t xml:space="preserve">Hugging Face source record: BNSS_29</t>
  </si>
  <si>
    <t xml:space="preserve">CASE_2318</t>
  </si>
  <si>
    <t xml:space="preserve">Section 29 of BNSS 2023 ensures continuity in the courts by allowing the powers and duties of a Judge or Magistrate to be passed on to and exercised by their official successor. [Source: Section 29, BNSS 2023]</t>
  </si>
  <si>
    <t xml:space="preserve">CASE_2319</t>
  </si>
  <si>
    <t xml:space="preserve">Under sub-section (2), the Sessions Judge shall determine by order in writing the Judge who shall be deemed to be the successor-in-office. [Source: Section 29, BNSS 2023]</t>
  </si>
  <si>
    <t xml:space="preserve">CASE_2320</t>
  </si>
  <si>
    <t xml:space="preserve">Under sub-section (3), the Chief Judicial Magistrate, or the District Magistrate, as the case may be, shall determine by order in writing the Magistrate who shall be deemed to be the successor. [Source: Section 29, BNSS 2023]</t>
  </si>
  <si>
    <t xml:space="preserve">CASE_2321</t>
  </si>
  <si>
    <t xml:space="preserve">No, under sub-section (1), this allowance is "Subject to the other provisions of this Sanhita." [Source: Section 29, BNSS 2023]</t>
  </si>
  <si>
    <t xml:space="preserve">CASE_2322</t>
  </si>
  <si>
    <t xml:space="preserve">The consequence is that the named Magistrate is legally authorized to take over any proceedings or orders left pending by the previous Magistrate, ensuring cases do not stall. [Source: Section 29, BNSS 2023]</t>
  </si>
  <si>
    <t xml:space="preserve">CASE_2323</t>
  </si>
  <si>
    <t xml:space="preserve">Powers of superior officers of police</t>
  </si>
  <si>
    <t xml:space="preserve">Police officers superior in rank to an officer in charge of a police station may exercise the same powers, throughout the local area to which they are appointed, as may be exercised by such officer within the limits of his station. [Source: Section 30, BNSS 2023]</t>
  </si>
  <si>
    <t xml:space="preserve">Hugging Face source record: BNSS_30</t>
  </si>
  <si>
    <t xml:space="preserve">CASE_2324</t>
  </si>
  <si>
    <t xml:space="preserve">Section 30 of BNSS 2023 grants superior police officers the authority to exercise the exact same powers as an officer in charge of a police station throughout their appointed local area. [Source: Section 30, BNSS 2023]</t>
  </si>
  <si>
    <t xml:space="preserve">CASE_2325</t>
  </si>
  <si>
    <t xml:space="preserve">Yes, as a police officer superior in rank, they may exercise the same powers throughout their local area as may be exercised by the officer in charge within the limits of his station. [Source: Section 30, BNSS 2023]</t>
  </si>
  <si>
    <t xml:space="preserve">CASE_2326</t>
  </si>
  <si>
    <t xml:space="preserve">The superior officer may only exercise these powers "throughout the local area to which they are appointed." [Source: Section 30, BNSS 2023]</t>
  </si>
  <si>
    <t xml:space="preserve">CASE_2327</t>
  </si>
  <si>
    <t xml:space="preserve">No, they may exercise "the same powers" as the officer in charge of the station. [Source: Section 30, BNSS 2023]</t>
  </si>
  <si>
    <t xml:space="preserve">CASE_2328</t>
  </si>
  <si>
    <t xml:space="preserve">The consequence is that the DIG is legally empowered to step in and directly exercise the powers of any local station-house officer within those districts if necessary for an investigation. [Source: Section 30, BNSS 2023]</t>
  </si>
  <si>
    <t xml:space="preserve">CASE_2329</t>
  </si>
  <si>
    <t xml:space="preserve">Public when to assist Magistrates and police</t>
  </si>
  <si>
    <t xml:space="preserve">Every person is bound to assist a Magistrate or police officer reasonably demanding his aid in taking or preventing the escape of an authorized arrestee, preventing a breach of the peace, or preventing injury to public property. [Source: Section 31, BNSS 2023]</t>
  </si>
  <si>
    <t xml:space="preserve">Hugging Face source record: BNSS_31</t>
  </si>
  <si>
    <t xml:space="preserve">CASE_2330</t>
  </si>
  <si>
    <t xml:space="preserve">Section 31 of BNSS 2023 outlines the circumstances under which the general public is legally bound to assist Magistrates and police officers upon their reasonable demand. [Source: Section 31, BNSS 2023]</t>
  </si>
  <si>
    <t xml:space="preserve">CASE_2331</t>
  </si>
  <si>
    <t xml:space="preserve">Yes, under clause (a), every person is bound to assist a police officer reasonably demanding his aid in taking or preventing the escape of any other person whom such officer is authorised to arrest. [Source: Section 31, BNSS 2023]</t>
  </si>
  <si>
    <t xml:space="preserve">CASE_2332</t>
  </si>
  <si>
    <t xml:space="preserve">The Magistrate or police officer must be "reasonably demanding his aid." [Source: Section 31, BNSS 2023]</t>
  </si>
  <si>
    <t xml:space="preserve">CASE_2333</t>
  </si>
  <si>
    <t xml:space="preserve">No, the duty specifically applies to arrests/escapes, preventing a breach of the peace, or preventing injury to public property. [Source: Section 31, BNSS 2023]</t>
  </si>
  <si>
    <t xml:space="preserve">CASE_2334</t>
  </si>
  <si>
    <t xml:space="preserve">The consequence is that under clause (c), every person present is legally bound to assist the Magistrate in the prevention of the injury attempted to be committed to that public property. [Source: Section 31, BNSS 2023]</t>
  </si>
  <si>
    <t xml:space="preserve">CASE_2335</t>
  </si>
  <si>
    <t xml:space="preserve">Aid to person, other than police officer, executing warrant</t>
  </si>
  <si>
    <t xml:space="preserve">When a warrant is directed to a person other than a police officer, any other person may aid in the execution of such warrant if the person to whom it is directed is near at hand and acting in its execution. [Source: Section 32, BNSS 2023]</t>
  </si>
  <si>
    <t xml:space="preserve">Hugging Face source record: BNSS_32</t>
  </si>
  <si>
    <t xml:space="preserve">CASE_2336</t>
  </si>
  <si>
    <t xml:space="preserve">Section 32 of BNSS 2023 provides that any person may legally aid someone other than a police officer who is executing a warrant, provided the primary executor is present and acting. [Source: Section 32, BNSS 2023]</t>
  </si>
  <si>
    <t xml:space="preserve">CASE_2337</t>
  </si>
  <si>
    <t xml:space="preserve">No, the friend may only aid in the execution if the person to whom the warrant is directed be "near at hand and acting in the execution of the warrant." [Source: Section 32, BNSS 2023]</t>
  </si>
  <si>
    <t xml:space="preserve">CASE_2338</t>
  </si>
  <si>
    <t xml:space="preserve">The person to whom the warrant is directed must be "near at hand" and "acting in the execution of the warrant." [Source: Section 32, BNSS 2023]</t>
  </si>
  <si>
    <t xml:space="preserve">CASE_2339</t>
  </si>
  <si>
    <t xml:space="preserve">No, it only permits any other person to "aid in the execution of such warrant" under the specified conditions. [Source: Section 32, BNSS 2023]</t>
  </si>
  <si>
    <t xml:space="preserve">CASE_2340</t>
  </si>
  <si>
    <t xml:space="preserve">The consequence is that the named person can legally enlist the physical assistance of bystanders or friends during the actual moment of arrest, as long as they themselves remain present and involved. [Source: Section 32, BNSS 2023]</t>
  </si>
  <si>
    <t xml:space="preserve">CASE_2341</t>
  </si>
  <si>
    <t xml:space="preserve">Public to give information of certain offences</t>
  </si>
  <si>
    <t xml:space="preserve">Every person aware of the intention of any other person to commit an offence like murder must forthwith give information to the nearest Magistrate or police officer. [Source: Section 33, BNSS 2023]</t>
  </si>
  <si>
    <t xml:space="preserve">Hugging Face source record: BNSS_33</t>
  </si>
  <si>
    <t xml:space="preserve">CASE_2342</t>
  </si>
  <si>
    <t xml:space="preserve">Section 33 of BNSS 2023 lists specific serious offences under the Bharatiya Nyaya Sanhita, 2023, and imposes a strict legal duty on the public to report the commission or intention of these crimes to authorities. [Source: Section 33, BNSS 2023]</t>
  </si>
  <si>
    <t xml:space="preserve">CASE_2343</t>
  </si>
  <si>
    <t xml:space="preserve">Yes, under sub-section (2), the term "offence" includes any act committed at any place out of India which would constitute an offence if committed in India. [Source: Section 33, BNSS 2023]</t>
  </si>
  <si>
    <t xml:space="preserve">CASE_2344</t>
  </si>
  <si>
    <t xml:space="preserve">The duty is triggered when a person becomes aware of the commission of, or of the intention of any other person to commit, any of the specifically enumerated offences. [Source: Section 33, BNSS 2023]</t>
  </si>
  <si>
    <t xml:space="preserve">CASE_2345</t>
  </si>
  <si>
    <t xml:space="preserve">No, the duty to report is limited only to the specific, serious offences listed under the Bharatiya Nyaya Sanhita, 2023 in clauses (i) through (xii). [Source: Section 33, BNSS 2023]</t>
  </si>
  <si>
    <t xml:space="preserve">CASE_2346</t>
  </si>
  <si>
    <t xml:space="preserve">The consequence is that they must "forthwith give information to the nearest Magistrate or police officer" regarding that commission. [Source: Section 33, BNSS 2023]</t>
  </si>
  <si>
    <t xml:space="preserve">CASE_2347</t>
  </si>
  <si>
    <t xml:space="preserve">Duty of officers employed in connection with affairs of a village to make certain report</t>
  </si>
  <si>
    <t xml:space="preserve">Every officer employed in connection with the affairs of a village shall forthwith communicate to the nearest Magistrate or police station any information he possesses regarding the occurrence of any sudden, unnatural, or suspicious death near the village. [Source: Section 34, BNSS 2023]</t>
  </si>
  <si>
    <t xml:space="preserve">Hugging Face source record: BNSS_34</t>
  </si>
  <si>
    <t xml:space="preserve">CASE_2348</t>
  </si>
  <si>
    <t xml:space="preserve">Section 34 of BNSS 2023 mandates village officers and residents to quickly report specific criminal activities, suspicious deaths, the presence of proclaimed offenders, or threats to public order to the nearest Magistrate or police station. [Source: Section 34, BNSS 2023]</t>
  </si>
  <si>
    <t xml:space="preserve">CASE_2349</t>
  </si>
  <si>
    <t xml:space="preserve">Under clause (b) of sub-section (1), they must forthwith communicate this information to "the nearest Magistrate or to the officer in charge of the nearest police station, whichever is nearer." [Source: Section 34, BNSS 2023]</t>
  </si>
  <si>
    <t xml:space="preserve">CASE_2350</t>
  </si>
  <si>
    <t xml:space="preserve">Under clause (a) of sub-section (1), information respecting the "permanent or temporary residence of any notorious receiver or vendor of stolen property in or near such village" must be reported. [Source: Section 34, BNSS 2023]</t>
  </si>
  <si>
    <t xml:space="preserve">CASE_2351</t>
  </si>
  <si>
    <t xml:space="preserve">No, under clause (i) of sub-section (2), "village" includes village lands. [Source: Section 34, BNSS 2023]</t>
  </si>
  <si>
    <t xml:space="preserve">CASE_2352</t>
  </si>
  <si>
    <t xml:space="preserve">Under clause (f) of sub-section (1), if the District Magistrate has directed them to communicate such matters, they are legally obligated to report it forthwith. [Source: Section 34, BNSS 2023]</t>
  </si>
  <si>
    <t xml:space="preserve">CASE_2353</t>
  </si>
  <si>
    <t xml:space="preserve">When police may arrest without warrant</t>
  </si>
  <si>
    <t xml:space="preserve">A police officer may arrest a person without a warrant if they commit a cognizable offence in the officer's presence, are suspected of a serious cognizable offence, are a proclaimed offender, or obstruct an officer, among other specific conditions. [Source: Section 35, BNSS 2023]</t>
  </si>
  <si>
    <t xml:space="preserve">Hugging Face source record: BNSS_35</t>
  </si>
  <si>
    <t xml:space="preserve">CASE_2354</t>
  </si>
  <si>
    <t xml:space="preserve">Section 35 of BNSS 2023 details the specific scenarios, conditions, and procedures under which a police officer has the authority to arrest a person without an order from a Magistrate and without a warrant. [Source: Section 35, BNSS 2023]</t>
  </si>
  <si>
    <t xml:space="preserve">CASE_2355</t>
  </si>
  <si>
    <t xml:space="preserve">Yes, under clause (b) of sub-section (1), an arrest can be made for an offence punishable by less than seven years if the officer has reason to believe the person committed the offence and is satisfied the arrest is necessary to prevent tampering with evidence. [Source: Section 35, BNSS 2023]</t>
  </si>
  <si>
    <t xml:space="preserve">CASE_2356</t>
  </si>
  <si>
    <t xml:space="preserve">Under clause (b) of sub-section (1), the officer must have reason to believe the person committed the offence and must be satisfied the arrest is necessary to prevent further offences, ensure proper investigation, prevent evidence tampering, prevent witness intimidation, or ensure court appearance, and must record reasons in writing. [Source: Section 35, BNSS 2023]</t>
  </si>
  <si>
    <t xml:space="preserve">CASE_2357</t>
  </si>
  <si>
    <t xml:space="preserve">No, under sub-section (7), no arrest shall be made without prior permission of an officer not below the rank of Deputy Superintendent of Police for offences punishable by less than three years if the person is infirm or above sixty. [Source: Section 35, BNSS 2023]</t>
  </si>
  <si>
    <t xml:space="preserve">CASE_2358</t>
  </si>
  <si>
    <t xml:space="preserve">Under sub-section (3), the consequence is that the police officer shall issue a notice directing the person to appear before him or at a specified place. [Source: Section 35, BNSS 2023]</t>
  </si>
  <si>
    <t xml:space="preserve">CASE_2359</t>
  </si>
  <si>
    <t xml:space="preserve">Procedure of arrest and duties of officer making arrest</t>
  </si>
  <si>
    <t xml:space="preserve">Every police officer making an arrest must bear clear identification, prepare a memorandum of arrest attested by a witness and countersigned by the arrested person, and inform the person of their right to notify someone of the arrest. [Source: Section 36, BNSS 2023]</t>
  </si>
  <si>
    <t xml:space="preserve">Hugging Face source record: BNSS_36</t>
  </si>
  <si>
    <t xml:space="preserve">CASE_2360</t>
  </si>
  <si>
    <t xml:space="preserve">Section 36 of BNSS 2023 mandates the procedure and duties for an officer making an arrest, specifically requiring visible identification, a witness-attested memorandum of arrest, and notification of rights. [Source: Section 36, BNSS 2023]</t>
  </si>
  <si>
    <t xml:space="preserve">CASE_2361</t>
  </si>
  <si>
    <t xml:space="preserve">No, under clause (b)(i), the memorandum must be attested by at least one witness "who is a member of the family of the person arrested or a respectable member of the locality where the arrest is made." [Source: Section 36, BNSS 2023]</t>
  </si>
  <si>
    <t xml:space="preserve">CASE_2362</t>
  </si>
  <si>
    <t xml:space="preserve">Under clause (a), the officer shall bear an accurate, visible, and clear identification of his name which will facilitate easy identification. [Source: Section 36, BNSS 2023]</t>
  </si>
  <si>
    <t xml:space="preserve">CASE_2363</t>
  </si>
  <si>
    <t xml:space="preserve">Under clause (c), they must inform the person of this right "unless the memorandum is attested by a member of his family." [Source: Section 36, BNSS 2023]</t>
  </si>
  <si>
    <t xml:space="preserve">CASE_2364</t>
  </si>
  <si>
    <t xml:space="preserve">The consequence, under clause (b)(ii), is that the finalized document must be "countersigned by the person arrested" to validate the record of the procedure. [Source: Section 36, BNSS 2023]</t>
  </si>
  <si>
    <t xml:space="preserve">CASE_2365</t>
  </si>
  <si>
    <t xml:space="preserve">Designated police officer</t>
  </si>
  <si>
    <t xml:space="preserve">The State Government must establish police control rooms and designate an officer to maintain information about arrested persons, which must be prominently displayed at every police station and district headquarters. [Source: Section 37, BNSS 2023]</t>
  </si>
  <si>
    <t xml:space="preserve">Hugging Face source record: BNSS_37</t>
  </si>
  <si>
    <t xml:space="preserve">CASE_2366</t>
  </si>
  <si>
    <t xml:space="preserve">Section 37 of BNSS 2023 requires the establishment of police control rooms and the designation of a police officer responsible for maintaining and displaying records of arrested persons and their charges. [Source: Section 37, BNSS 2023]</t>
  </si>
  <si>
    <t xml:space="preserve">CASE_2367</t>
  </si>
  <si>
    <t xml:space="preserve">No, under clause (b), the designated police officer must be "not below the rank of Assistant Sub-Inspector of Police." [Source: Section 37, BNSS 2023]</t>
  </si>
  <si>
    <t xml:space="preserve">CASE_2368</t>
  </si>
  <si>
    <t xml:space="preserve">Under clause (b), they are responsible for maintaining information about the "names and addresses of the persons arrested" and the "nature of the offence with which charged." [Source: Section 37, BNSS 2023]</t>
  </si>
  <si>
    <t xml:space="preserve">CASE_2369</t>
  </si>
  <si>
    <t xml:space="preserve">No, under clause (b), the information "shall be prominently displayed in any manner including in digital mode in every police station and at the district headquarters." [Source: Section 37, BNSS 2023]</t>
  </si>
  <si>
    <t xml:space="preserve">CASE_2370</t>
  </si>
  <si>
    <t xml:space="preserve">The consequence, under clause (a), is that the State Government is legally compelled to "establish a police control room in every district and at State level." [Source: Section 37, BNSS 2023]</t>
  </si>
  <si>
    <t xml:space="preserve">CASE_2371</t>
  </si>
  <si>
    <t xml:space="preserve">Right of arrested person to meet an advocate of his choice during interrogation</t>
  </si>
  <si>
    <t xml:space="preserve">When any person is arrested and interrogated by the police, he shall be entitled to meet an advocate of his choice during interrogation, though not throughout the interrogation. [Source: Section 38, BNSS 2023]</t>
  </si>
  <si>
    <t xml:space="preserve">Hugging Face source record: BNSS_38</t>
  </si>
  <si>
    <t xml:space="preserve">CASE_2372</t>
  </si>
  <si>
    <t xml:space="preserve">Section 38 of BNSS 2023 establishes the right of an arrested person to meet with an advocate of their choice during police interrogation, with the limitation that the advocate cannot be present for the entire duration. [Source: Section 38, BNSS 2023]</t>
  </si>
  <si>
    <t xml:space="preserve">CASE_2373</t>
  </si>
  <si>
    <t xml:space="preserve">No, the section states the person is entitled to meet an advocate during interrogation, "though not throughout interrogation." [Source: Section 38, BNSS 2023]</t>
  </si>
  <si>
    <t xml:space="preserve">CASE_2374</t>
  </si>
  <si>
    <t xml:space="preserve">The right is triggered when any person is "arrested" and "interrogated by the police." [Source: Section 38, BNSS 2023]</t>
  </si>
  <si>
    <t xml:space="preserve">CASE_2375</t>
  </si>
  <si>
    <t xml:space="preserve">No, the section explicitly states the arrested person is entitled to meet an advocate "of his choice." [Source: Section 38, BNSS 2023]</t>
  </si>
  <si>
    <t xml:space="preserve">CASE_2376</t>
  </si>
  <si>
    <t xml:space="preserve">The consequence is that the police must grant the person a meeting with their advocate during the course of the interrogation, subject to the limitation that the advocate won't remain throughout. [Source: Section 38, BNSS 2023]</t>
  </si>
  <si>
    <t xml:space="preserve">CASE_2377</t>
  </si>
  <si>
    <t xml:space="preserve">Arrest on refusal to give name and residence</t>
  </si>
  <si>
    <t xml:space="preserve">If a person accused of committing a non-cognizable offence in an officer's presence refuses to give their name and residence, or gives a false one, the officer may arrest them to ascertain their true identity. [Source: Section 39, BNSS 2023]</t>
  </si>
  <si>
    <t xml:space="preserve">Hugging Face source record: BNSS_39</t>
  </si>
  <si>
    <t xml:space="preserve">CASE_2378</t>
  </si>
  <si>
    <t xml:space="preserve">Section 39 of BNSS 2023 covers the procedure for arresting a person accused of a non-cognizable offence solely because they refuse to provide their true name and residence, and outlines their subsequent release. [Source: Section 39, BNSS 2023]</t>
  </si>
  <si>
    <t xml:space="preserve">CASE_2379</t>
  </si>
  <si>
    <t xml:space="preserve">No, under the proviso to sub-section (2), if such person is not resident in India, the bail bond "shall be secured by a surety or sureties resident in India." [Source: Section 39, BNSS 2023]</t>
  </si>
  <si>
    <t xml:space="preserve">CASE_2380</t>
  </si>
  <si>
    <t xml:space="preserve">The person must commit or be accused of a non-cognizable offence in the officer's presence, and must refuse on demand to give his name and residence or give information the officer has reason to believe is false. [Source: Section 39, BNSS 2023]</t>
  </si>
  <si>
    <t xml:space="preserve">CASE_2381</t>
  </si>
  <si>
    <t xml:space="preserve">No, under sub-section (2), when their true name and residence have been ascertained, they "shall be released on a bond or bail bond, to appear before a Magistrate if so required." [Source: Section 39, BNSS 2023]</t>
  </si>
  <si>
    <t xml:space="preserve">CASE_2382</t>
  </si>
  <si>
    <t xml:space="preserve">Under sub-section (3), if the true name and residence is not ascertained within twenty-four hours from the time of arrest, the person shall forthwith be forwarded to the nearest Magistrate having jurisdiction. [Source: Section 39, BNSS 2023]</t>
  </si>
  <si>
    <t xml:space="preserve">CASE_2383</t>
  </si>
  <si>
    <t xml:space="preserve">Arrest by private person and procedure on such arrest</t>
  </si>
  <si>
    <t xml:space="preserve">Any private person may arrest a person who in his presence commits a non-bailable and cognizable offence, or any proclaimed offender, and must hand them over to a police officer without unnecessary delay. [Source: Section 40, BNSS 2023]</t>
  </si>
  <si>
    <t xml:space="preserve">Hugging Face source record: BNSS_40</t>
  </si>
  <si>
    <t xml:space="preserve">CASE_2384</t>
  </si>
  <si>
    <t xml:space="preserve">Section 40 of BNSS 2023 authorizes private persons to make arrests under specific serious conditions and outlines the immediate procedure for handing the arrested individual over to the police. [Source: Section 40, BNSS 2023]</t>
  </si>
  <si>
    <t xml:space="preserve">CASE_2385</t>
  </si>
  <si>
    <t xml:space="preserve">No, under sub-section (1), the private person must make over the arrested person to a police officer "without unnecessary delay, but within six hours from such arrest." [Source: Section 40, BNSS 2023]</t>
  </si>
  <si>
    <t xml:space="preserve">CASE_2386</t>
  </si>
  <si>
    <t xml:space="preserve">Under sub-section (1), the person must commit a "non-bailable and cognizable offence" in the private person's presence, or the person must be a "proclaimed offender." [Source: Section 40, BNSS 2023]</t>
  </si>
  <si>
    <t xml:space="preserve">CASE_2387</t>
  </si>
  <si>
    <t xml:space="preserve">Not necessarily; under sub-section (3), if there is no sufficient reason to believe the person has committed any offence, "he shall be at once released" by the police. [Source: Section 40, BNSS 2023]</t>
  </si>
  <si>
    <t xml:space="preserve">CASE_2388</t>
  </si>
  <si>
    <t xml:space="preserve">Under sub-section (3), if the suspect refuses to give their true name and residence, they "shall be dealt with under the provisions of section 39." [Source: Section 40, BNSS 2023]</t>
  </si>
  <si>
    <t xml:space="preserve">CASE_2389</t>
  </si>
  <si>
    <t xml:space="preserve">Arrest by Magistrate</t>
  </si>
  <si>
    <t xml:space="preserve">Yes, when any offence is committed in the presence of a Magistrate within his local jurisdiction, he may himself arrest or order any person to arrest the offender. [Source: Section 41, BNSS 2023]</t>
  </si>
  <si>
    <t xml:space="preserve">Hugging Face source record: BNSS_41</t>
  </si>
  <si>
    <t xml:space="preserve">CASE_2390</t>
  </si>
  <si>
    <t xml:space="preserve">Section 41 of BNSS 2023 details the powers of Executive and Judicial Magistrates to directly make an arrest or order an arrest within their local jurisdiction. [Source: Section 41, BNSS 2023]</t>
  </si>
  <si>
    <t xml:space="preserve">CASE_2391</t>
  </si>
  <si>
    <t xml:space="preserve">No, under sub-section (1), the offence must be committed in the presence of a Magistrate "within his local jurisdiction." [Source: Section 41, BNSS 2023]</t>
  </si>
  <si>
    <t xml:space="preserve">CASE_2392</t>
  </si>
  <si>
    <t xml:space="preserve">Under sub-section (2), the Magistrate may arrest any person "within his local jurisdiction" for whose arrest "he is competent at the time and in the circumstances to issue a warrant." [Source: Section 41, BNSS 2023]</t>
  </si>
  <si>
    <t xml:space="preserve">CASE_2393</t>
  </si>
  <si>
    <t xml:space="preserve">No, the section grants these powers to "any Magistrate, whether Executive or Judicial." [Source: Section 41, BNSS 2023]</t>
  </si>
  <si>
    <t xml:space="preserve">CASE_2394</t>
  </si>
  <si>
    <t xml:space="preserve">Under sub-section (1), the Magistrate may thereupon, subject to the provisions contained regarding bail, "commit the offender to custody." [Source: Section 41, BNSS 2023]</t>
  </si>
  <si>
    <t xml:space="preserve">CASE_2395</t>
  </si>
  <si>
    <t xml:space="preserve">Protection of members of the Armed Forces from arrest</t>
  </si>
  <si>
    <t xml:space="preserve">No member of the Armed Forces of the Union shall be arrested for anything done in the discharge of his official duties except with the consent of the Central Government. [Source: Section 42, BNSS 2023]</t>
  </si>
  <si>
    <t xml:space="preserve">Hugging Face source record: BNSS_42</t>
  </si>
  <si>
    <t xml:space="preserve">CASE_2396</t>
  </si>
  <si>
    <t xml:space="preserve">Section 42 of BNSS 2023 provides immunity from standard arrest procedures for members of the Armed Forces acting in the line of duty, requiring central or state government consent prior to arrest. [Source: Section 42, BNSS 2023]</t>
  </si>
  <si>
    <t xml:space="preserve">CASE_2397</t>
  </si>
  <si>
    <t xml:space="preserve">Yes, under sub-section (2), the State Government may by notification direct that the provisions shall apply to such class or category of members of the Forces charged with the maintenance of public order. [Source: Section 42, BNSS 2023]</t>
  </si>
  <si>
    <t xml:space="preserve">CASE_2398</t>
  </si>
  <si>
    <t xml:space="preserve">The action must be something done or purported to be done "in the discharge of his official duties." [Source: Section 42, BNSS 2023]</t>
  </si>
  <si>
    <t xml:space="preserve">CASE_2399</t>
  </si>
  <si>
    <t xml:space="preserve">No, under sub-section (1), they can be arrested, but only "with the consent of the Central Government." [Source: Section 42, BNSS 2023]</t>
  </si>
  <si>
    <t xml:space="preserve">CASE_2400</t>
  </si>
  <si>
    <t xml:space="preserve">The consequence is that wherever the expression "Central Government" appears in the rule, it shall "be construed as a reference to the State Government" for those specific state forces. [Source: Section 42, BNSS 2023]</t>
  </si>
  <si>
    <t xml:space="preserve">CASE_2401</t>
  </si>
  <si>
    <t xml:space="preserve">Arrest how made</t>
  </si>
  <si>
    <t xml:space="preserve">The police officer may use all means necessary to effect the arrest if the person forcibly resists or attempts to evade, but does not have the right to cause the death of a person not accused of an offence punishable with death or life imprisonment. [Source: Section 43, BNSS 2023]</t>
  </si>
  <si>
    <t xml:space="preserve">Hugging Face source record: BNSS_43</t>
  </si>
  <si>
    <t xml:space="preserve">CASE_2402</t>
  </si>
  <si>
    <t xml:space="preserve">Section 43 of BNSS 2023 outlines the physical procedure for making an arrest, including the rules on touching the suspect, using force, and the special procedures required when arresting women. [Source: Section 43, BNSS 2023]</t>
  </si>
  <si>
    <t xml:space="preserve">CASE_2403</t>
  </si>
  <si>
    <t xml:space="preserve">No, the proviso to sub-section (1) states that "no male police officer shall touch the person of a woman for making her arrest." [Source: Section 43, BNSS 2023]</t>
  </si>
  <si>
    <t xml:space="preserve">CASE_2404</t>
  </si>
  <si>
    <t xml:space="preserve">Under sub-section (3), this is only permitted if the person is accused of "an offence punishable with death or with imprisonment for life." [Source: Section 43, BNSS 2023]</t>
  </si>
  <si>
    <t xml:space="preserve">CASE_2405</t>
  </si>
  <si>
    <t xml:space="preserve">Generally no, but under sub-section (4), in exceptional circumstances, a woman police officer may make the arrest after obtaining prior permission of the Judicial Magistrate of the first class. [Source: Section 43, BNSS 2023]</t>
  </si>
  <si>
    <t xml:space="preserve">CASE_2406</t>
  </si>
  <si>
    <t xml:space="preserve">Under sub-section (1), the consequence is that the police officer making the arrest is not required to actually "touch or confine the body of the person to be arrested." [Source: Section 43, BNSS 2023]</t>
  </si>
  <si>
    <t xml:space="preserve">CASE_2407</t>
  </si>
  <si>
    <t xml:space="preserve">Search of place entered by person sought to be arrested</t>
  </si>
  <si>
    <t xml:space="preserve">Yes, if a police officer has authority to arrest someone and believes the suspect has entered a place, the person in charge must allow them free ingress, and if denied, the officer may break open doors to enter and search. [Source: Section 44, BNSS 2023]</t>
  </si>
  <si>
    <t xml:space="preserve">Hugging Face source record: BNSS_44</t>
  </si>
  <si>
    <t xml:space="preserve">CASE_2408</t>
  </si>
  <si>
    <t xml:space="preserve">Section 44 of BNSS 2023 dictates the rules for searching private places to find a person sought for arrest, including the authority to break open doors and the protocol for entering apartments occupied by women. [Source: Section 44, BNSS 2023]</t>
  </si>
  <si>
    <t xml:space="preserve">CASE_2409</t>
  </si>
  <si>
    <t xml:space="preserve">No, the proviso to sub-section (2) requires the officer to first "give notice to such female that she is at liberty to withdraw" and afford her every reasonable facility for withdrawing before entering. [Source: Section 44, BNSS 2023]</t>
  </si>
  <si>
    <t xml:space="preserve">CASE_2410</t>
  </si>
  <si>
    <t xml:space="preserve">Under sub-section (2), the officer must have a warrant or authority to arrest without opportunity of escape, must make a "notification of his authority and purpose," must make a "demand of admittance," and must be unable to otherwise obtain admittance. [Source: Section 44, BNSS 2023]</t>
  </si>
  <si>
    <t xml:space="preserve">CASE_2411</t>
  </si>
  <si>
    <t xml:space="preserve">No, under sub-section (3), an officer may also break open doors or windows "in order to liberate himself or any other person who, having lawfully entered for the purpose of making an arrest, is detained therein." [Source: Section 44, BNSS 2023]</t>
  </si>
  <si>
    <t xml:space="preserve">CASE_2412</t>
  </si>
  <si>
    <t xml:space="preserve">The consequence under sub-section (1) is that the homeowner "shall, on demand... allow him free ingress thereto, and afford all reasonable facilities for a search therein." [Source: Section 44, BNSS 2023]</t>
  </si>
  <si>
    <t xml:space="preserve">CASE_2413</t>
  </si>
  <si>
    <t xml:space="preserve">Pursuit of offenders into other jurisdictions</t>
  </si>
  <si>
    <t xml:space="preserve">Yes, a police officer may, for the purpose of arresting without warrant any person whom he is authorised to arrest, pursue such person into any place in India. [Source: Section 45, BNSS 2023]</t>
  </si>
  <si>
    <t xml:space="preserve">Hugging Face source record: BNSS_45</t>
  </si>
  <si>
    <t xml:space="preserve">CASE_2414</t>
  </si>
  <si>
    <t xml:space="preserve">Section 45 of BNSS 2023 provides police officers with the nationwide geographical authority to pursue and arrest offenders they are otherwise legally authorized to arrest without a warrant. [Source: Section 45, BNSS 2023]</t>
  </si>
  <si>
    <t xml:space="preserve">CASE_2415</t>
  </si>
  <si>
    <t xml:space="preserve">Yes, under this section, the officer may "pursue such person into any place in India." [Source: Section 45, BNSS 2023]</t>
  </si>
  <si>
    <t xml:space="preserve">CASE_2416</t>
  </si>
  <si>
    <t xml:space="preserve">The pursuit must be for the purpose of arresting "without warrant" any person "whom he is authorised to arrest." [Source: Section 45, BNSS 2023]</t>
  </si>
  <si>
    <t xml:space="preserve">CASE_2417</t>
  </si>
  <si>
    <t xml:space="preserve">No, it specifically authorizes them only to "pursue such person" for the purpose of "arresting without warrant." [Source: Section 45, BNSS 2023]</t>
  </si>
  <si>
    <t xml:space="preserve">CASE_2418</t>
  </si>
  <si>
    <t xml:space="preserve">The consequence is that crossing district or state borders within India does not legally invalidate a hot-pursuit arrest made by the pursuing officer. [Source: Section 45, BNSS 2023]</t>
  </si>
  <si>
    <t xml:space="preserve">CASE_2419</t>
  </si>
  <si>
    <t xml:space="preserve">No unnecessary restraint</t>
  </si>
  <si>
    <t xml:space="preserve">The person arrested shall not be subjected to more restraint than is necessary to prevent his escape, and handcuffs can only be used under specific circumstances like if the person is a habitual offender or accused of a serious crime. [Source: Section 46, BNSS 2023]</t>
  </si>
  <si>
    <t xml:space="preserve">Hugging Face source record: BNSS_46</t>
  </si>
  <si>
    <t xml:space="preserve">CASE_2420</t>
  </si>
  <si>
    <t xml:space="preserve">Section 46 of BNSS 2023 establishes that arrested persons should only face necessary restraint and outlines the specific conditions under which police officers are permitted to use handcuffs. [Source: Section 46, BNSS 2023]</t>
  </si>
  <si>
    <t xml:space="preserve">CASE_2421</t>
  </si>
  <si>
    <t xml:space="preserve">No, the general rule is that "the person arrested shall not be subjected to more restraint than is necessary to prevent his escape," and minor theft by a first-time cooperative offender does not meet the criteria in sub-section (2). [Source: Section 46, BNSS 2023]</t>
  </si>
  <si>
    <t xml:space="preserve">CASE_2422</t>
  </si>
  <si>
    <t xml:space="preserve">Under sub-section (2), the officer may use handcuffs if the person is a habitual, repeat offender, has escaped custody before, has committed organized crime, terrorist acts, drug-related crimes, illegal possession of arms, murder, rape, acid attack, counterfeiting, human trafficking, sexual offences against children, or offences against the State. [Source: Section 46, BNSS 2023]</t>
  </si>
  <si>
    <t xml:space="preserve">CASE_2423</t>
  </si>
  <si>
    <t xml:space="preserve">No, sub-section (2) states the police officer "may" use handcuffs, giving them discretion based on the nature and gravity of the offence. [Source: Section 46, BNSS 2023]</t>
  </si>
  <si>
    <t xml:space="preserve">CASE_2424</t>
  </si>
  <si>
    <t xml:space="preserve">The consequence is that, considering the nature and gravity of the offence, the police officer is legally permitted under sub-section (2) to use handcuffs while making the arrest or producing them before court. [Source: Section 46, BNSS 2023]</t>
  </si>
  <si>
    <t xml:space="preserve">CASE_2425</t>
  </si>
  <si>
    <t xml:space="preserve">Person arrested to be informed of grounds of arrest and of right to bail</t>
  </si>
  <si>
    <t xml:space="preserve">Every police officer or other person arresting any person without warrant shall forthwith communicate to him full particulars of the offence for which he is arrested or other grounds for such arrest. [Source: Section 47, BNSS 2023]</t>
  </si>
  <si>
    <t xml:space="preserve">Hugging Face source record: BNSS_47</t>
  </si>
  <si>
    <t xml:space="preserve">CASE_2426</t>
  </si>
  <si>
    <t xml:space="preserve">Section 47 of BNSS 2023 mandates that anyone arresting a person without a warrant must immediately inform them of the grounds for arrest and, if applicable, their right to be released on bail. [Source: Section 47, BNSS 2023]</t>
  </si>
  <si>
    <t xml:space="preserve">CASE_2427</t>
  </si>
  <si>
    <t xml:space="preserve">No, under sub-section (2), if the offence is bailable, the officer "shall inform the person arrested that he is entitled to be released on bail and that he may arrange for sureties on his behalf." [Source: Section 47, BNSS 2023]</t>
  </si>
  <si>
    <t xml:space="preserve">CASE_2428</t>
  </si>
  <si>
    <t xml:space="preserve">This condition applies when a police officer arrests without warrant any person other than a person accused of a non-bailable offence. [Source: Section 47, BNSS 2023]</t>
  </si>
  <si>
    <t xml:space="preserve">CASE_2429</t>
  </si>
  <si>
    <t xml:space="preserve">Yes, sub-section (1) applies to "Every police officer or other person" making an arrest without a warrant. [Source: Section 47, BNSS 2023]</t>
  </si>
  <si>
    <t xml:space="preserve">CASE_2430</t>
  </si>
  <si>
    <t xml:space="preserve">The consequence, under sub-section (2), is the immediate legal obligation for the arresting officer to inform the arrested person of their entitlement to bail. [Source: Section 47, BNSS 2023]</t>
  </si>
  <si>
    <t xml:space="preserve">CASE_2431</t>
  </si>
  <si>
    <t xml:space="preserve">Obligation of person making arrest to inform about the arrest, etc., to a nominated person</t>
  </si>
  <si>
    <t xml:space="preserve">Every police officer or other person making any arrest under this Sanhita must immediately give information regarding the arrest and the place of detainment to any of the arrested person's friends, relatives, or other persons nominated by them. [Source: Section 48, BNSS 2023]</t>
  </si>
  <si>
    <t xml:space="preserve">Hugging Face source record: BNSS_48</t>
  </si>
  <si>
    <t xml:space="preserve">CASE_2432</t>
  </si>
  <si>
    <t xml:space="preserve">Section 48 of BNSS 2023 establishes the obligation of arresting officers to inform a person nominated by the arrestee about the arrest, the right to nominate someone, and the documentation of this process. [Source: Section 48, BNSS 2023]</t>
  </si>
  <si>
    <t xml:space="preserve">CASE_2433</t>
  </si>
  <si>
    <t xml:space="preserve">Yes, under sub-section (2), the police officer "shall inform the arrested person of his rights under sub-section (1) as soon as he is brought to the police station." [Source: Section 48, BNSS 2023]</t>
  </si>
  <si>
    <t xml:space="preserve">CASE_2434</t>
  </si>
  <si>
    <t xml:space="preserve">Under sub-section (3), an entry of the fact as to who has been informed of the arrest must be made in a book kept in the police station. [Source: Section 48, BNSS 2023]</t>
  </si>
  <si>
    <t xml:space="preserve">CASE_2435</t>
  </si>
  <si>
    <t xml:space="preserve">No, under sub-section (1), the information is given to friends, relatives, or "such other persons as may be disclosed or nominated by the arrested person." [Source: Section 48, BNSS 2023]</t>
  </si>
  <si>
    <t xml:space="preserve">CASE_2436</t>
  </si>
  <si>
    <t xml:space="preserve">The consequence is that, under sub-section (4), the Magistrate is legally obligated to "satisfy himself that the requirements of sub-section (2) and sub-section (3) have been complied with" regarding informing the nominated person. [Source: Section 48, BNSS 2023]</t>
  </si>
  <si>
    <t xml:space="preserve">CASE_2437</t>
  </si>
  <si>
    <t xml:space="preserve">Search of arrested person</t>
  </si>
  <si>
    <t xml:space="preserve">Yes, whenever a person is arrested and not released on bail, the officer making the arrest may search such person and place all articles found, other than necessary wearing-apparel, in safe custody. [Source: Section 49, BNSS 2023]</t>
  </si>
  <si>
    <t xml:space="preserve">Hugging Face source record: BNSS_49</t>
  </si>
  <si>
    <t xml:space="preserve">CASE_2438</t>
  </si>
  <si>
    <t xml:space="preserve">Section 49 of BNSS 2023 covers the protocol for searching arrested individuals who are not granted bail, the handling of seized items, and the specific requirement for searching women. [Source: Section 49, BNSS 2023]</t>
  </si>
  <si>
    <t xml:space="preserve">CASE_2439</t>
  </si>
  <si>
    <t xml:space="preserve">No, under sub-section (2), whenever it is necessary to cause a female to be searched, "the search shall be made by another female with strict regard to decency." [Source: Section 49, BNSS 2023]</t>
  </si>
  <si>
    <t xml:space="preserve">CASE_2440</t>
  </si>
  <si>
    <t xml:space="preserve">The person must be arrested by a police officer under a warrant that doesn't provide for bail (or they can't furnish it), or arrested without a warrant/by a private person and cannot legally be admitted to bail or is unable to furnish bail. [Source: Section 49, BNSS 2023]</t>
  </si>
  <si>
    <t xml:space="preserve">CASE_2441</t>
  </si>
  <si>
    <t xml:space="preserve">No, under sub-section (1), they must place all articles in safe custody "other than necessary wearing-apparel." [Source: Section 49, BNSS 2023]</t>
  </si>
  <si>
    <t xml:space="preserve">CASE_2442</t>
  </si>
  <si>
    <t xml:space="preserve">The consequence is that, under sub-section (1), "a receipt showing the articles taken in possession by the police officer shall be given to such person." [Source: Section 49, BNSS 2023]</t>
  </si>
  <si>
    <t xml:space="preserve">CASE_2443</t>
  </si>
  <si>
    <t xml:space="preserve">Power to seize offensive weapons</t>
  </si>
  <si>
    <t xml:space="preserve">The officer or other person making any arrest under this Sanhita may take from the person arrested any offensive weapons which he has about his person. [Source: Section 50, BNSS 2023]</t>
  </si>
  <si>
    <t xml:space="preserve">Hugging Face source record: BNSS_50</t>
  </si>
  <si>
    <t xml:space="preserve">CASE_2444</t>
  </si>
  <si>
    <t xml:space="preserve">Section 50 of BNSS 2023 grants arresting officers and private individuals the power to seize offensive weapons from an arrested person and dictates that those weapons must be delivered to the court or officer. [Source: Section 50, BNSS 2023]</t>
  </si>
  <si>
    <t xml:space="preserve">CASE_2445</t>
  </si>
  <si>
    <t xml:space="preserve">No, the citizen "shall deliver all weapons so taken to the Court or officer before which or whom the officer or person making the arrest is required by this Sanhita to produce the person arrested." [Source: Section 50, BNSS 2023]</t>
  </si>
  <si>
    <t xml:space="preserve">CASE_2446</t>
  </si>
  <si>
    <t xml:space="preserve">The seizure is authorized when an officer or other person is "making any arrest under this Sanhita" and the arrested person has offensive weapons "about his person." [Source: Section 50, BNSS 2023]</t>
  </si>
  <si>
    <t xml:space="preserve">CASE_2447</t>
  </si>
  <si>
    <t xml:space="preserve">No, it applies to "The officer or other person making any arrest," which includes private citizens authorized to arrest under the Sanhita. [Source: Section 50, BNSS 2023]</t>
  </si>
  <si>
    <t xml:space="preserve">CASE_2448</t>
  </si>
  <si>
    <t xml:space="preserve">The consequence is that the officer is legally required to deliver that seized weapon to the Court or officer where the arrested person is produced. [Source: Section 50, BNSS 2023]</t>
  </si>
  <si>
    <t xml:space="preserve">CASE_2449</t>
  </si>
  <si>
    <t xml:space="preserve">Examination of accused by medical practitioner at the request of police officer</t>
  </si>
  <si>
    <t xml:space="preserve">Yes, if there are reasonable grounds to believe an examination will afford evidence as to the commission of an offence, a registered medical practitioner may examine the arrested person at the request of a police officer not below the rank of Sub-Inspector. [Source: Section 51, BNSS 2023]</t>
  </si>
  <si>
    <t xml:space="preserve">Hugging Face source record: BNSS_51</t>
  </si>
  <si>
    <t xml:space="preserve">CASE_2450</t>
  </si>
  <si>
    <t xml:space="preserve">Section 51 of BNSS 2023 allows police officers to request medical and DNA examinations of arrested persons if it will yield evidence, and outlines the use of reasonable force and procedures for examining women. [Source: Section 51, BNSS 2023]</t>
  </si>
  <si>
    <t xml:space="preserve">CASE_2451</t>
  </si>
  <si>
    <t xml:space="preserve">Yes, under sub-section (1), it shall be lawful for the medical practitioner and those acting in good faith in his aid to use "such force as is reasonably necessary for that purpose." [Source: Section 51, BNSS 2023]</t>
  </si>
  <si>
    <t xml:space="preserve">CASE_2452</t>
  </si>
  <si>
    <t xml:space="preserve">The person must be arrested on a charge of committing an offence of such a nature and under such circumstances that there are "reasonable grounds for believing that an examination of his person will afford evidence," and the requesting officer must not be below the rank of Sub-Inspector. [Source: Section 51, BNSS 2023]</t>
  </si>
  <si>
    <t xml:space="preserve">CASE_2453</t>
  </si>
  <si>
    <t xml:space="preserve">No, under sub-section (2), the examination of a female shall be made "only by, or under the supervision of, a female registered medical practitioner." [Source: Section 51, BNSS 2023]</t>
  </si>
  <si>
    <t xml:space="preserve">CASE_2454</t>
  </si>
  <si>
    <t xml:space="preserve">The consequence, under sub-section (3), is that the practitioner must, without delay, forward the examination report to the investigating officer. [Source: Section 51, BNSS 2023]</t>
  </si>
  <si>
    <t xml:space="preserve">CASE_2455</t>
  </si>
  <si>
    <t xml:space="preserve">Examination of person accused of rape by medical practitioner</t>
  </si>
  <si>
    <t xml:space="preserve">When a person is arrested for rape or an attempt to commit rape, a registered medical practitioner employed in a hospital may examine their person to gather evidence, upon the request of a police officer not below the rank of Sub-Inspector. [Source: Section 52, BNSS 2023]</t>
  </si>
  <si>
    <t xml:space="preserve">Hugging Face source record: BNSS_52</t>
  </si>
  <si>
    <t xml:space="preserve">CASE_2456</t>
  </si>
  <si>
    <t xml:space="preserve">Section 52 of BNSS 2023 details the mandatory medical examination procedure for a person accused of rape, the contents required in the medical report, and the timeline for forwarding the report. [Source: Section 52, BNSS 2023]</t>
  </si>
  <si>
    <t xml:space="preserve">CASE_2457</t>
  </si>
  <si>
    <t xml:space="preserve">No, under clause (d) of sub-section (2), the report must specifically record "the exact time of commencement and completion of the examination." [Source: Section 52, BNSS 2023]</t>
  </si>
  <si>
    <t xml:space="preserve">CASE_2458</t>
  </si>
  <si>
    <t xml:space="preserve">Under sub-section (1), if a medical practitioner employed in a hospital run by the Government or local authority is not available, the examination may be conducted by "any other registered medical practitioner." [Source: Section 52, BNSS 2023]</t>
  </si>
  <si>
    <t xml:space="preserve">CASE_2459</t>
  </si>
  <si>
    <t xml:space="preserve">No, under sub-section (3), the report must explicitly state "precisely the reasons for each conclusion arrived at." [Source: Section 52, BNSS 2023]</t>
  </si>
  <si>
    <t xml:space="preserve">CASE_2460</t>
  </si>
  <si>
    <t xml:space="preserve">The consequence, under sub-section (4), is that the practitioner must, without delay, forward the report to the investigating officer, who shall then forward it to the Magistrate. [Source: Section 52, BNSS 2023]</t>
  </si>
  <si>
    <t xml:space="preserve">CASE_2461</t>
  </si>
  <si>
    <t xml:space="preserve">Examination of arrested person by medical officer</t>
  </si>
  <si>
    <t xml:space="preserve">Every person who is arrested shall be examined by a medical officer in the service of Central Government or State Government, or by a registered medical practitioner, soon after the arrest is made. [Source: Section 53, BNSS 2023]</t>
  </si>
  <si>
    <t xml:space="preserve">Hugging Face source record: BNSS_53</t>
  </si>
  <si>
    <t xml:space="preserve">CASE_2462</t>
  </si>
  <si>
    <t xml:space="preserve">Section 53 of BNSS 2023 mandates a general medical examination for every arrested person immediately after arrest to document injuries and general health, with specific provisions for examining women. [Source: Section 53, BNSS 2023]</t>
  </si>
  <si>
    <t xml:space="preserve">CASE_2463</t>
  </si>
  <si>
    <t xml:space="preserve">No, under the proviso to sub-section (1), where the arrested person is a female, the examination of the body shall be made "only by or under the supervision of a female medical officer, and in case the female medical officer is not available, by a female registered medical practitioner." [Source: Section 53, BNSS 2023]</t>
  </si>
  <si>
    <t xml:space="preserve">CASE_2464</t>
  </si>
  <si>
    <t xml:space="preserve">Under sub-section (2), the officer shall prepare a record of the examination, mentioning therein "any injuries or marks of violence upon the person arrested, and the approximate time when such injuries or marks may have been inflicted." [Source: Section 53, BNSS 2023]</t>
  </si>
  <si>
    <t xml:space="preserve">CASE_2465</t>
  </si>
  <si>
    <t xml:space="preserve">No, sub-section (1) applies to "Every person who is arrested," making the examination a universal requirement regardless of visible injury. [Source: Section 53, BNSS 2023]</t>
  </si>
  <si>
    <t xml:space="preserve">CASE_2466</t>
  </si>
  <si>
    <t xml:space="preserve">The consequence, under sub-section (3), is that a copy of the medical report must be furnished to the arrested person or the person nominated by them under sub-section (2) of section 48. [Source: Section 53, BNSS 2023]</t>
  </si>
  <si>
    <t xml:space="preserve">CASE_2467</t>
  </si>
  <si>
    <t xml:space="preserve">Identification of person arrested</t>
  </si>
  <si>
    <t xml:space="preserve">Yes, where a person is arrested and his identification by any other person is considered necessary for investigation, the Court having jurisdiction may, on the request of the officer in charge of a police station, direct the person to subject himself to identification. [Source: Section 54, BNSS 2023]</t>
  </si>
  <si>
    <t xml:space="preserve">Hugging Face source record: BNSS_54</t>
  </si>
  <si>
    <t xml:space="preserve">CASE_2468</t>
  </si>
  <si>
    <t xml:space="preserve">Section 54 of BNSS 2023 allows courts to order arrested individuals to participate in identification processes, and mandates special accommodations and video recording if the identifier is disabled. [Source: Section 54, BNSS 2023]</t>
  </si>
  <si>
    <t xml:space="preserve">CASE_2469</t>
  </si>
  <si>
    <t xml:space="preserve">No, if the identifying person is physically disabled, the process shall take place "under the supervision of a Magistrate who shall take appropriate steps to ensure that such person identifies the person arrested using methods that person is comfortable with." [Source: Section 54, BNSS 2023]</t>
  </si>
  <si>
    <t xml:space="preserve">CASE_2470</t>
  </si>
  <si>
    <t xml:space="preserve">The Court may direct this "on the request of the officer in charge of a police station." [Source: Section 54, BNSS 2023]</t>
  </si>
  <si>
    <t xml:space="preserve">CASE_2471</t>
  </si>
  <si>
    <t xml:space="preserve">The section explicitly mandates that "the identification process shall be recorded by any audio-video electronic means" specifically when the person identifying the arrested person is mentally or physically disabled. [Source: Section 54, BNSS 2023]</t>
  </si>
  <si>
    <t xml:space="preserve">CASE_2472</t>
  </si>
  <si>
    <t xml:space="preserve">The consequence is that the arrested person is legally compelled to "subject himself to identification by any person or persons in such manner as the Court may deem fit." [Source: Section 54, BNSS 2023]</t>
  </si>
  <si>
    <t xml:space="preserve">CASE_2473</t>
  </si>
  <si>
    <t xml:space="preserve">Procedure when police officer deputes subordinate to arrest without warrant</t>
  </si>
  <si>
    <t xml:space="preserve">No, the officer must deliver to the subordinate "an order in writing, specifying the person to be arrested and the offence or other cause for which the arrest is to be made." [Source: Section 55, BNSS 2023]</t>
  </si>
  <si>
    <t xml:space="preserve">Hugging Face source record: BNSS_55</t>
  </si>
  <si>
    <t xml:space="preserve">CASE_2474</t>
  </si>
  <si>
    <t xml:space="preserve">Section 55 of BNSS 2023 establishes the requirement for written orders and notification of substance when a police officer in charge of a station deputes a subordinate to arrest someone without a warrant. [Source: Section 55, BNSS 2023]</t>
  </si>
  <si>
    <t xml:space="preserve">CASE_2475</t>
  </si>
  <si>
    <t xml:space="preserve">No, the constable "shall, before making the arrest, notify to the person to be arrested the substance of the order." [Source: Section 55, BNSS 2023]</t>
  </si>
  <si>
    <t xml:space="preserve">CASE_2476</t>
  </si>
  <si>
    <t xml:space="preserve">The written order must specify "the person to be arrested" and "the offence or other cause for which the arrest is to be made." [Source: Section 55, BNSS 2023]</t>
  </si>
  <si>
    <t xml:space="preserve">CASE_2477</t>
  </si>
  <si>
    <t xml:space="preserve">No, sub-section (2) explicitly states that nothing in this section "shall affect the power of a police officer to arrest a person under section 35." [Source: Section 55, BNSS 2023]</t>
  </si>
  <si>
    <t xml:space="preserve">CASE_2478</t>
  </si>
  <si>
    <t xml:space="preserve">The consequence is that the subordinate officer "if so required by such person, shall show him the order" before completing the arrest. [Source: Section 55, BNSS 2023]</t>
  </si>
  <si>
    <t xml:space="preserve">CASE_2479</t>
  </si>
  <si>
    <t xml:space="preserve">Health and safety of arrested person</t>
  </si>
  <si>
    <t xml:space="preserve">Yes, it shall be the duty of the person having the custody of an accused to take reasonable care of the health and safety of the accused. [Source: Section 56, BNSS 2023]</t>
  </si>
  <si>
    <t xml:space="preserve">Hugging Face source record: BNSS_56</t>
  </si>
  <si>
    <t xml:space="preserve">CASE_2480</t>
  </si>
  <si>
    <t xml:space="preserve">Section 56 of BNSS 2023 creates a statutory duty for whoever has custody of an accused person to ensure they are provided with reasonable care regarding their health and safety. [Source: Section 56, BNSS 2023]</t>
  </si>
  <si>
    <t xml:space="preserve">CASE_2481</t>
  </si>
  <si>
    <t xml:space="preserve">Yes, ignoring a serious medical need violates the duty "to take reasonable care of the health and safety of the accused." [Source: Section 56, BNSS 2023]</t>
  </si>
  <si>
    <t xml:space="preserve">CASE_2482</t>
  </si>
  <si>
    <t xml:space="preserve">The duty applies to "the person having the custody of an accused." [Source: Section 56, BNSS 2023]</t>
  </si>
  <si>
    <t xml:space="preserve">CASE_2483</t>
  </si>
  <si>
    <t xml:space="preserve">No, it applies broadly to "the person having the custody of an accused," which could include prison officials or other authorized individuals holding the person. [Source: Section 56, BNSS 2023]</t>
  </si>
  <si>
    <t xml:space="preserve">CASE_2484</t>
  </si>
  <si>
    <t xml:space="preserve">The legal consequence is that the custodian immediately assumes a statutory duty to actively "take reasonable care of the health and safety" of that individual. [Source: Section 56, BNSS 2023]</t>
  </si>
  <si>
    <t xml:space="preserve">CASE_2485</t>
  </si>
  <si>
    <t xml:space="preserve">Person arrested to be taken before Magistrate or officer in charge of police station</t>
  </si>
  <si>
    <t xml:space="preserve">A police officer making an arrest without warrant shall, without unnecessary delay, take or send the person arrested before a Magistrate having jurisdiction in the case, or before the officer in charge of a police station. [Source: Section 57, BNSS 2023]</t>
  </si>
  <si>
    <t xml:space="preserve">Hugging Face source record: BNSS_57</t>
  </si>
  <si>
    <t xml:space="preserve">CASE_2486</t>
  </si>
  <si>
    <t xml:space="preserve">Section 57 of BNSS 2023 mandates that individuals arrested without a warrant must be brought before a Magistrate or the officer in charge of a police station without unnecessary delay. [Source: Section 57, BNSS 2023]</t>
  </si>
  <si>
    <t xml:space="preserve">CASE_2487</t>
  </si>
  <si>
    <t xml:space="preserve">No, the officer must take or send the person before a Magistrate or officer in charge "without unnecessary delay." [Source: Section 57, BNSS 2023]</t>
  </si>
  <si>
    <t xml:space="preserve">CASE_2488</t>
  </si>
  <si>
    <t xml:space="preserve">This requirement is "subject to the provisions herein contained as to bail." [Source: Section 57, BNSS 2023]</t>
  </si>
  <si>
    <t xml:space="preserve">CASE_2489</t>
  </si>
  <si>
    <t xml:space="preserve">No, they have the option to take or send the person "before a Magistrate having jurisdiction in the case, or before the officer in charge of a police station." [Source: Section 57, BNSS 2023]</t>
  </si>
  <si>
    <t xml:space="preserve">CASE_2490</t>
  </si>
  <si>
    <t xml:space="preserve">The consequence is that the arresting officer is legally bound to swiftly transport the suspect to a higher authority (Magistrate or station head) to legitimize and process the detention. [Source: Section 57, BNSS 2023]</t>
  </si>
  <si>
    <t xml:space="preserve">CASE_2491</t>
  </si>
  <si>
    <t xml:space="preserve">Person arrested not to be detained more than twenty-four hours</t>
  </si>
  <si>
    <t xml:space="preserve">Yes, officers in charge of police stations shall report to the District Magistrate, or to the Sub-divisional Magistrate if directed, the cases of all persons arrested without warrant within their limits. [Source: Section 58, BNSS 2023]</t>
  </si>
  <si>
    <t xml:space="preserve">Hugging Face source record: BNSS_58</t>
  </si>
  <si>
    <t xml:space="preserve">CASE_2492</t>
  </si>
  <si>
    <t xml:space="preserve">Section 58 of BNSS 2023 dictates that officers in charge of police stations must report all warrantless arrests occurring within their station's limits to the District or Sub-divisional Magistrate. [Source: Section 58, BNSS 2023]</t>
  </si>
  <si>
    <t xml:space="preserve">CASE_2493</t>
  </si>
  <si>
    <t xml:space="preserve">Yes, the report must include the cases of all persons arrested without warrant, "whether such persons have been admitted to bail or otherwise." [Source: Section 58, BNSS 2023]</t>
  </si>
  <si>
    <t xml:space="preserve">CASE_2494</t>
  </si>
  <si>
    <t xml:space="preserve">They must report to the "District Magistrate, or, if he so directs, to the Sub-divisional Magistrate." [Source: Section 58, BNSS 2023]</t>
  </si>
  <si>
    <t xml:space="preserve">CASE_2495</t>
  </si>
  <si>
    <t xml:space="preserve">No, the section specifies reporting the cases of "all persons arrested without warrant." [Source: Section 58, BNSS 2023]</t>
  </si>
  <si>
    <t xml:space="preserve">CASE_2496</t>
  </si>
  <si>
    <t xml:space="preserve">The consequence is that the District Magistrate is kept continuously informed of all warrantless deprivations of liberty occurring within their territorial jurisdiction. [Source: Section 58, BNSS 2023]</t>
  </si>
  <si>
    <t xml:space="preserve">CASE_2497</t>
  </si>
  <si>
    <t xml:space="preserve">Police to report apprehensions</t>
  </si>
  <si>
    <t xml:space="preserve">Officers in charge of police stations are obligated to report to the District Magistrate (or Sub-divisional Magistrate) the cases of all persons arrested without warrant within their station limits. [Source: Section 59, BNSS 2023]</t>
  </si>
  <si>
    <t xml:space="preserve">Hugging Face source record: BNSS_59</t>
  </si>
  <si>
    <t xml:space="preserve">CASE_2498</t>
  </si>
  <si>
    <t xml:space="preserve">Section 59 of BNSS 2023 establishes a mandatory reporting mechanism where station heads must notify the magistracy of all warrantless apprehensions in their jurisdiction. [Source: Section 59, BNSS 2023]</t>
  </si>
  <si>
    <t xml:space="preserve">CASE_2499</t>
  </si>
  <si>
    <t xml:space="preserve">Yes, the section explicitly states they shall report to the District Magistrate, "or, if he so directs, to the Sub-divisional Magistrate." [Source: Section 59, BNSS 2023]</t>
  </si>
  <si>
    <t xml:space="preserve">CASE_2500</t>
  </si>
  <si>
    <t xml:space="preserve">The report must cover all such arrested persons, "whether such persons have been admitted to bail or otherwise." [Source: Section 59, BNSS 2023]</t>
  </si>
  <si>
    <t xml:space="preserve">CASE_2501</t>
  </si>
  <si>
    <t xml:space="preserve">No, they must report the cases of persons arrested "within the limits of their respective stations." [Source: Section 59, BNSS 2023]</t>
  </si>
  <si>
    <t xml:space="preserve">CASE_2502</t>
  </si>
  <si>
    <t xml:space="preserve">The consequence is that the officer is still required to report the apprehension to the Magistrate, ensuring oversight even when detention is brief. [Source: Section 59, BNSS 2023]</t>
  </si>
  <si>
    <t xml:space="preserve">CASE_2503</t>
  </si>
  <si>
    <t xml:space="preserve">Discharge of person apprehended</t>
  </si>
  <si>
    <t xml:space="preserve">No person who has been arrested by a police officer shall be discharged except on his bond, or bail bond, or under the special order of a Magistrate. [Source: Section 60, BNSS 2023]</t>
  </si>
  <si>
    <t xml:space="preserve">Hugging Face source record: BNSS_60</t>
  </si>
  <si>
    <t xml:space="preserve">CASE_2504</t>
  </si>
  <si>
    <t xml:space="preserve">Section 60 of BNSS 2023 states that an arrested person cannot be simply let go; they must be formally discharged via a bond, a bail bond, or a special order from a Magistrate. [Source: Section 60, BNSS 2023]</t>
  </si>
  <si>
    <t xml:space="preserve">CASE_2505</t>
  </si>
  <si>
    <t xml:space="preserve">No, the arrested person cannot be discharged "except on his bond, or bail bond, or under the special order of a Magistrate." [Source: Section 60, BNSS 2023]</t>
  </si>
  <si>
    <t xml:space="preserve">CASE_2506</t>
  </si>
  <si>
    <t xml:space="preserve">They can only be discharged "on his bond", "or bail bond", or "under the special order of a Magistrate." [Source: Section 60, BNSS 2023]</t>
  </si>
  <si>
    <t xml:space="preserve">CASE_2507</t>
  </si>
  <si>
    <t xml:space="preserve">No, if it is an order, it must be "the special order of a Magistrate" to constitute a valid discharge without a bond. [Source: Section 60, BNSS 2023]</t>
  </si>
  <si>
    <t xml:space="preserve">CASE_2508</t>
  </si>
  <si>
    <t xml:space="preserve">The consequence is that it prevents arbitrary or undocumented releases by police officers, ensuring there is always a formal legal record (bond, bail, or Magistrate's order) justifying a discharge. [Source: Section 60, BNSS 2023]</t>
  </si>
  <si>
    <t xml:space="preserve">CASE_2509</t>
  </si>
  <si>
    <t xml:space="preserve">Power, on escape, to pursue and retake</t>
  </si>
  <si>
    <t xml:space="preserve">If a person in lawful custody escapes or is rescued, the person from whose custody he escaped may immediately pursue and arrest him in any place in India. [Source: Section 61, BNSS 2023]</t>
  </si>
  <si>
    <t xml:space="preserve">Hugging Face source record: BNSS_61</t>
  </si>
  <si>
    <t xml:space="preserve">CASE_2510</t>
  </si>
  <si>
    <t xml:space="preserve">Section 61 of BNSS 2023 authorizes a custodian to immediately pursue and retake an escaped or rescued prisoner anywhere within India, applying the entry and search provisions of section 44 to the pursuit. [Source: Section 61, BNSS 2023]</t>
  </si>
  <si>
    <t xml:space="preserve">CASE_2511</t>
  </si>
  <si>
    <t xml:space="preserve">Yes, under sub-section (1), the person from whose custody he escaped may immediately pursue and arrest him "in any place in India." [Source: Section 61, BNSS 2023]</t>
  </si>
  <si>
    <t xml:space="preserve">CASE_2512</t>
  </si>
  <si>
    <t xml:space="preserve">Under sub-section (2), "The provisions of section 44 shall apply to arrests under sub-section (1)," which governs the procedures for entering and searching places to make an arrest. [Source: Section 61, BNSS 2023]</t>
  </si>
  <si>
    <t xml:space="preserve">CASE_2513</t>
  </si>
  <si>
    <t xml:space="preserve">No, sub-section (2) explicitly states section 44 provisions apply "although the person making any such arrest is not acting under a warrant and is not a police officer having authority to arrest." [Source: Section 61, BNSS 2023]</t>
  </si>
  <si>
    <t xml:space="preserve">CASE_2514</t>
  </si>
  <si>
    <t xml:space="preserve">The consequence is that the custodian immediately gains sweeping jurisdictional authority to pursue and arrest the escapee anywhere in India without needing a warrant. [Source: Section 61, BNSS 2023]</t>
  </si>
  <si>
    <t xml:space="preserve">CASE_2515</t>
  </si>
  <si>
    <t xml:space="preserve">Arrest to be made strictly according to Sanhita</t>
  </si>
  <si>
    <t xml:space="preserve">No, no arrest shall be made except in accordance with the provisions of this Sanhita or any other law for the time being in force providing for arrest. [Source: Section 62, BNSS 2023]</t>
  </si>
  <si>
    <t xml:space="preserve">Hugging Face source record: BNSS_62</t>
  </si>
  <si>
    <t xml:space="preserve">CASE_2516</t>
  </si>
  <si>
    <t xml:space="preserve">Section 62 of BNSS 2023 mandates strict compliance with established legal codes, ensuring that no arrest is lawful unless it strictly adheres to the provisions of the Sanhita or other applicable laws. [Source: Section 62, BNSS 2023]</t>
  </si>
  <si>
    <t xml:space="preserve">CASE_2517</t>
  </si>
  <si>
    <t xml:space="preserve">No, the section states "No arrest shall be made except in accordance with the provisions of this Sanhita," making the circumvention of established procedures unlawful. [Source: Section 62, BNSS 2023]</t>
  </si>
  <si>
    <t xml:space="preserve">CASE_2518</t>
  </si>
  <si>
    <t xml:space="preserve">The arrest must be made "in accordance with the provisions of this Sanhita or any other law for the time being in force providing for arrest." [Source: Section 62, BNSS 2023]</t>
  </si>
  <si>
    <t xml:space="preserve">CASE_2519</t>
  </si>
  <si>
    <t xml:space="preserve">No, arrests can also be made in accordance with "any other law for the time being in force providing for arrest." [Source: Section 62, BNSS 2023]</t>
  </si>
  <si>
    <t xml:space="preserve">CASE_2520</t>
  </si>
  <si>
    <t xml:space="preserve">The consequence is that it strips law enforcement of arbitrary or extrajudicial arrest powers, rendering any arrest made outside of statutory frameworks illegal. [Source: Section 62, BNSS 2023]</t>
  </si>
  <si>
    <t xml:space="preserve">CASE_2521</t>
  </si>
  <si>
    <t xml:space="preserve">Form of summons</t>
  </si>
  <si>
    <t xml:space="preserve">Every summons issued by a Court under this Sanhita shall be in writing, in duplicate, signed by the presiding officer or other directed officer, and shall bear the seal of the Court. [Source: Section 63, BNSS 2023]</t>
  </si>
  <si>
    <t xml:space="preserve">Hugging Face source record: BNSS_63</t>
  </si>
  <si>
    <t xml:space="preserve">CASE_2522</t>
  </si>
  <si>
    <t xml:space="preserve">Section 63 of BNSS 2023 dictates the formal physical requirements for a valid court summons and outlines the acceptable electronic methods for issuing one. [Source: Section 63, BNSS 2023]</t>
  </si>
  <si>
    <t xml:space="preserve">CASE_2523</t>
  </si>
  <si>
    <t xml:space="preserve">No, under sub-section (1), every summons must be "in writing, in duplicate, signed by the presiding officer" and bear the seal of the Court, or if electronic, must be "in an encrypted or any other form of electronic communication" that bears the image of the Court's seal. [Source: Section 63, BNSS 2023]</t>
  </si>
  <si>
    <t xml:space="preserve">CASE_2524</t>
  </si>
  <si>
    <t xml:space="preserve">Under sub-section (2), the electronic summons must bear the "image of the seal of the Court" or digital signature. [Source: Section 63, BNSS 2023]</t>
  </si>
  <si>
    <t xml:space="preserve">CASE_2525</t>
  </si>
  <si>
    <t xml:space="preserve">No, under sub-section (1), it can be signed by the presiding officer "or by such other officer as the High Court may, from time to time, by rule direct." [Source: Section 63, BNSS 2023]</t>
  </si>
  <si>
    <t xml:space="preserve">CASE_2526</t>
  </si>
  <si>
    <t xml:space="preserve">The consequence is that the document is legally invalid, as sub-section (1) strictly mandates that the summons "shall bear the seal of the Court." [Source: Section 63, BNSS 2023]</t>
  </si>
  <si>
    <t xml:space="preserve">CASE_2527</t>
  </si>
  <si>
    <t xml:space="preserve">Summons how served</t>
  </si>
  <si>
    <t xml:space="preserve">The summons shall, if practicable, be served personally by delivering or tendering one of the duplicates, and the recipient must sign a receipt; electronic service is also legally recognized. [Source: Section 64, BNSS 2023]</t>
  </si>
  <si>
    <t xml:space="preserve">Hugging Face source record: BNSS_64</t>
  </si>
  <si>
    <t xml:space="preserve">CASE_2528</t>
  </si>
  <si>
    <t xml:space="preserve">Section 64 of BNSS 2023 details the primary methods for serving a summons, preferring personal delivery to the individual and outlining the requirements for electronic service and receipt of delivery. [Source: Section 64, BNSS 2023]</t>
  </si>
  <si>
    <t xml:space="preserve">CASE_2529</t>
  </si>
  <si>
    <t xml:space="preserve">The officer must attempt to get the signature; under sub-section (2), every person on whom a summons is so served "shall, if so required by the serving officer, sign a receipt therefor on the back of the other duplicate." [Source: Section 64, BNSS 2023]</t>
  </si>
  <si>
    <t xml:space="preserve">CASE_2530</t>
  </si>
  <si>
    <t xml:space="preserve">Under sub-section (3), it is considered served when it is "delivered or transmitted to the device of the summoned person and the record of such delivery is available." [Source: Section 64, BNSS 2023]</t>
  </si>
  <si>
    <t xml:space="preserve">CASE_2531</t>
  </si>
  <si>
    <t xml:space="preserve">No, under sub-section (1), it may be served by a police officer, or subject to rules, by "an officer of the Court issuing it or other public servant." [Source: Section 64, BNSS 2023]</t>
  </si>
  <si>
    <t xml:space="preserve">CASE_2532</t>
  </si>
  <si>
    <t xml:space="preserve">The consequence is that the serving officer obtains a signed receipt on the back of the duplicate copy, providing legal proof that the individual received the document. [Source: Section 64, BNSS 2023]</t>
  </si>
  <si>
    <t xml:space="preserve">CASE_2533</t>
  </si>
  <si>
    <t xml:space="preserve">Service of summons on corporate bodies, firms, and societies</t>
  </si>
  <si>
    <t xml:space="preserve">Service of a summons on a corporation may be effected by serving it on the Director, Manager, Secretary or other officer, or by a letter sent by registered post addressed to the chief officer of the corporation in India. [Source: Section 65, BNSS 2023]</t>
  </si>
  <si>
    <t xml:space="preserve">Hugging Face source record: BNSS_65</t>
  </si>
  <si>
    <t xml:space="preserve">CASE_2534</t>
  </si>
  <si>
    <t xml:space="preserve">Section 65 of BNSS 2023 outlines the specific legal procedures for serving a summons on corporate bodies, societies, and other incorporated associations. [Source: Section 65, BNSS 2023]</t>
  </si>
  <si>
    <t xml:space="preserve">CASE_2535</t>
  </si>
  <si>
    <t xml:space="preserve">Under the section, the service shall be deemed to have been effected "when the letter would arrive in ordinary course of post." [Source: Section 65, BNSS 2023]</t>
  </si>
  <si>
    <t xml:space="preserve">CASE_2536</t>
  </si>
  <si>
    <t xml:space="preserve">The letter must be sent by "registered post" and addressed to the "chief officer of the corporation in India." [Source: Section 65, BNSS 2023]</t>
  </si>
  <si>
    <t xml:space="preserve">CASE_2537</t>
  </si>
  <si>
    <t xml:space="preserve">No, the Explanation states that "corporation" means an incorporated company or other body corporate and includes a "society registered under the Societies Registration Act, 1860." [Source: Section 65, BNSS 2023]</t>
  </si>
  <si>
    <t xml:space="preserve">CASE_2538</t>
  </si>
  <si>
    <t xml:space="preserve">The consequence is that the service on the corporation is legally effected, as the section allows serving it on the "Manager... of the corporation." [Source: Section 65, BNSS 2023]</t>
  </si>
  <si>
    <t xml:space="preserve">CASE_2539</t>
  </si>
  <si>
    <t xml:space="preserve">Service when persons summoned cannot be found</t>
  </si>
  <si>
    <t xml:space="preserve">If the person summoned cannot be found after due diligence, the summons may be served by leaving one of the duplicates with some adult member of his family residing with him, who shall then sign the receipt. [Source: Section 66, BNSS 2023]</t>
  </si>
  <si>
    <t xml:space="preserve">Hugging Face source record: BNSS_66</t>
  </si>
  <si>
    <t xml:space="preserve">CASE_2540</t>
  </si>
  <si>
    <t xml:space="preserve">Section 66 of BNSS 2023 establishes the fallback procedure for serving a summons by leaving it with an adult family member when the actual target cannot be located. [Source: Section 66, BNSS 2023]</t>
  </si>
  <si>
    <t xml:space="preserve">CASE_2541</t>
  </si>
  <si>
    <t xml:space="preserve">No, the section requires leaving the duplicate with "some adult member of his family residing with him." [Source: Section 66, BNSS 2023]</t>
  </si>
  <si>
    <t xml:space="preserve">CASE_2542</t>
  </si>
  <si>
    <t xml:space="preserve">The family member must be an "adult," must be "residing with him," and the Explanation explicitly states a servant is "not a member of the family within the meaning of this section." [Source: Section 66, BNSS 2023]</t>
  </si>
  <si>
    <t xml:space="preserve">CASE_2543</t>
  </si>
  <si>
    <t xml:space="preserve">No, the section explicitly requires that the person summoned cannot be found "by the exercise of due diligence." [Source: Section 66, BNSS 2023]</t>
  </si>
  <si>
    <t xml:space="preserve">CASE_2544</t>
  </si>
  <si>
    <t xml:space="preserve">The consequence is that the person with whom the summons is left "shall, if so required by the serving officer, sign a receipt therefor on the back of the other duplicate." [Source: Section 66, BNSS 2023]</t>
  </si>
  <si>
    <t xml:space="preserve">CASE_2545</t>
  </si>
  <si>
    <t xml:space="preserve">Procedure when service cannot be effected as before provided</t>
  </si>
  <si>
    <t xml:space="preserve">If service cannot be effected by personal delivery or leaving it with family, the serving officer shall affix one of the duplicates to some conspicuous part of the house where the person ordinarily resides. [Source: Section 67, BNSS 2023]</t>
  </si>
  <si>
    <t xml:space="preserve">Hugging Face source record: BNSS_67</t>
  </si>
  <si>
    <t xml:space="preserve">CASE_2546</t>
  </si>
  <si>
    <t xml:space="preserve">Section 67 of BNSS 2023 provides the final fallback method for serving a summons, known as "substituted service," which involves affixing the document to the person's residence when other methods fail. [Source: Section 67, BNSS 2023]</t>
  </si>
  <si>
    <t xml:space="preserve">CASE_2547</t>
  </si>
  <si>
    <t xml:space="preserve">Only if service cannot by the exercise of due diligence be effected under section 64, section 65 or section 66. The officer cannot skip to this step without first attempting the earlier methods. [Source: Section 67, BNSS 2023]</t>
  </si>
  <si>
    <t xml:space="preserve">CASE_2548</t>
  </si>
  <si>
    <t xml:space="preserve">The condition is that "service cannot by the exercise of due diligence be effected as provided in section 64, section 65 or section 66." [Source: Section 67, BNSS 2023]</t>
  </si>
  <si>
    <t xml:space="preserve">CASE_2549</t>
  </si>
  <si>
    <t xml:space="preserve">No, the Court must review the action; the Court "may either declare that the summons has been duly served or order fresh service in such manner as it considers proper." [Source: Section 67, BNSS 2023]</t>
  </si>
  <si>
    <t xml:space="preserve">CASE_2550</t>
  </si>
  <si>
    <t xml:space="preserve">The consequence is that the serving officer physically affixes one of the duplicates of the summons "to some conspicuous part of the house or homestead in which the person summoned ordinarily resides." [Source: Section 67, BNSS 2023]</t>
  </si>
  <si>
    <t xml:space="preserve">CASE_2551</t>
  </si>
  <si>
    <t xml:space="preserve">Service on Government servant</t>
  </si>
  <si>
    <t xml:space="preserve">Where the person summoned is in the active service of the Government, the Court shall ordinarily send the summons in duplicate to the head of the office in which such person is employed. [Source: Section 68, BNSS 2023]</t>
  </si>
  <si>
    <t xml:space="preserve">Hugging Face source record: BNSS_68</t>
  </si>
  <si>
    <t xml:space="preserve">CASE_2552</t>
  </si>
  <si>
    <t xml:space="preserve">Section 68 of BNSS 2023 dictates the specific procedure for serving a summons on an active Government servant by routing it through the head of their office. [Source: Section 68, BNSS 2023]</t>
  </si>
  <si>
    <t xml:space="preserve">CASE_2553</t>
  </si>
  <si>
    <t xml:space="preserve">No, under sub-section (2), such signature "shall be evidence of due service" only when it is signed "with the seal of the office." [Source: Section 68, BNSS 2023]</t>
  </si>
  <si>
    <t xml:space="preserve">CASE_2554</t>
  </si>
  <si>
    <t xml:space="preserve">Under sub-section (1), the head of the office shall "cause the summons to be served in the manner provided by section 64, and shall return it to the Court under his signature with the endorsement required by that section." [Source: Section 68, BNSS 2023]</t>
  </si>
  <si>
    <t xml:space="preserve">CASE_2555</t>
  </si>
  <si>
    <t xml:space="preserve">No, sub-section (1) requires the Court to ordinarily send the summons in duplicate "to the head of the office in which such person is employed." [Source: Section 68, BNSS 2023]</t>
  </si>
  <si>
    <t xml:space="preserve">CASE_2556</t>
  </si>
  <si>
    <t xml:space="preserve">The consequence, under sub-section (2), is that the signature with the seal "shall be evidence of due service." [Source: Section 68, BNSS 2023]</t>
  </si>
  <si>
    <t xml:space="preserve">CASE_2557</t>
  </si>
  <si>
    <t xml:space="preserve">Service of summons outside local limits</t>
  </si>
  <si>
    <t xml:space="preserve">When a Court desires that a summons issued by it shall be served outside its local jurisdiction, it shall ordinarily send such summons in duplicate to a Magistrate within whose local jurisdiction the person summoned resides or is. [Source: Section 69, BNSS 2023]</t>
  </si>
  <si>
    <t xml:space="preserve">Hugging Face source record: BNSS_69</t>
  </si>
  <si>
    <t xml:space="preserve">CASE_2558</t>
  </si>
  <si>
    <t xml:space="preserve">Section 69 of BNSS 2023 explains the procedure for serving a summons across jurisdictional boundaries by routing it through the local Magistrate where the target currently resides. [Source: Section 69, BNSS 2023]</t>
  </si>
  <si>
    <t xml:space="preserve">CASE_2559</t>
  </si>
  <si>
    <t xml:space="preserve">No, the ordinary procedure is that the Court shall send the summons in duplicate "to a Magistrate within whose local jurisdiction the person summoned resides or is, to be there served." [Source: Section 69, BNSS 2023]</t>
  </si>
  <si>
    <t xml:space="preserve">CASE_2560</t>
  </si>
  <si>
    <t xml:space="preserve">This procedure is triggered when a Court desires that a summons "shall be served at any place outside its local jurisdiction." [Source: Section 69, BNSS 2023]</t>
  </si>
  <si>
    <t xml:space="preserve">CASE_2561</t>
  </si>
  <si>
    <t xml:space="preserve">The section implies the Magistrate handles the process locally ("to be there served"), meaning they use their local officers to execute the service according to the rules. [Source: Section 69, BNSS 2023]</t>
  </si>
  <si>
    <t xml:space="preserve">CASE_2562</t>
  </si>
  <si>
    <t xml:space="preserve">The consequence is that the originating court relies on the cooperation of the destination Magistrate, forwarding the documents to them for execution within their respective local limits. [Source: Section 69, BNSS 2023]</t>
  </si>
  <si>
    <t xml:space="preserve">CASE_2563</t>
  </si>
  <si>
    <t xml:space="preserve">Proof of service in such cases and when serving officer not present</t>
  </si>
  <si>
    <t xml:space="preserve">When a summons is served outside the court's jurisdiction, an affidavit sworn before a Magistrate stating the summons was served, along with the endorsed duplicate, shall be admissible in evidence to prove service without the officer's physical presence. [Source: Section 70, BNSS 2023]</t>
  </si>
  <si>
    <t xml:space="preserve">Hugging Face source record: BNSS_70</t>
  </si>
  <si>
    <t xml:space="preserve">CASE_2564</t>
  </si>
  <si>
    <t xml:space="preserve">Section 70 of BNSS 2023 states the methods for proving a summons was served when the serving officer cannot be present in court, primarily utilizing sworn affidavits and endorsed duplicates. [Source: Section 70, BNSS 2023]</t>
  </si>
  <si>
    <t xml:space="preserve">CASE_2565</t>
  </si>
  <si>
    <t xml:space="preserve">Yes, under sub-section (1), if "the officer who has served a summons is not present at the hearing of the case," an affidavit made before a Magistrate may be used as proof. [Source: Section 70, BNSS 2023]</t>
  </si>
  <si>
    <t xml:space="preserve">CASE_2566</t>
  </si>
  <si>
    <t xml:space="preserve">An "affidavit, made before a Magistrate, that such summons has been served" and the "duplicate of the summons purporting to be endorsed (in the manner provided by section 64 or section 66)." [Source: Section 70, BNSS 2023]</t>
  </si>
  <si>
    <t xml:space="preserve">CASE_2567</t>
  </si>
  <si>
    <t xml:space="preserve">No, under sub-section (2), the affidavit may be attached to the duplicate of the summons and returned to the Court, preventing the need for the officer to travel to the originating court. [Source: Section 70, BNSS 2023]</t>
  </si>
  <si>
    <t xml:space="preserve">CASE_2568</t>
  </si>
  <si>
    <t xml:space="preserve">The consequence, under sub-section (1), is that these documents "shall be admissible in evidence and the statements made therein shall be deemed to be correct unless and until the contrary is proved." [Source: Section 70, BNSS 2023]</t>
  </si>
  <si>
    <t xml:space="preserve">CASE_2569</t>
  </si>
  <si>
    <t xml:space="preserve">Service of summons on witness</t>
  </si>
  <si>
    <t xml:space="preserve">Yes, the Court issuing a summons to a witness may, in addition to and simultaneously with the issue of such summons, direct that a copy be served by registered post addressed to the witness at their place of residence or business. [Source: Section 71, BNSS 2023]</t>
  </si>
  <si>
    <t xml:space="preserve">Hugging Face source record: BNSS_71</t>
  </si>
  <si>
    <t xml:space="preserve">CASE_2570</t>
  </si>
  <si>
    <t xml:space="preserve">Section 71 of BNSS 2023 allows courts to serve summons on witnesses via registered post as an additional method, and defines what constitutes proof of delivery or refusal. [Source: Section 71, BNSS 2023]</t>
  </si>
  <si>
    <t xml:space="preserve">CASE_2571</t>
  </si>
  <si>
    <t xml:space="preserve">No, sub-section (1) explicitly states this procedure is for a Court "issuing a summons to a witness," not an accused person. [Source: Section 71, BNSS 2023]</t>
  </si>
  <si>
    <t xml:space="preserve">CASE_2572</t>
  </si>
  <si>
    <t xml:space="preserve">The summons must be "addressed to the witness at the place where he ordinarily resides or carries on business or personally works for gain." [Source: Section 71, BNSS 2023]</t>
  </si>
  <si>
    <t xml:space="preserve">CASE_2573</t>
  </si>
  <si>
    <t xml:space="preserve">Not necessarily; sub-section (1) says the Court may direct postal service "in addition to and simultaneously with the issue of such summons" through traditional means. [Source: Section 71, BNSS 2023]</t>
  </si>
  <si>
    <t xml:space="preserve">CASE_2574</t>
  </si>
  <si>
    <t xml:space="preserve">The consequence is that, under sub-section (2), the Court issuing the summons "may declare that the summons has been duly served." [Source: Section 71, BNSS 2023]</t>
  </si>
  <si>
    <t xml:space="preserve">CASE_2575</t>
  </si>
  <si>
    <t xml:space="preserve">Form of warrant of arrest and duration</t>
  </si>
  <si>
    <t xml:space="preserve">Every warrant of arrest issued by a Court must be in writing, signed by the presiding officer, bear the seal of the Court, and remains in force until cancelled by the issuing Court or until it is executed. [Source: Section 72, BNSS 2023]</t>
  </si>
  <si>
    <t xml:space="preserve">Hugging Face source record: BNSS_72</t>
  </si>
  <si>
    <t xml:space="preserve">CASE_2576</t>
  </si>
  <si>
    <t xml:space="preserve">Section 72 of BNSS 2023 dictates the formal physical requirements for a warrant of arrest and establishes that a warrant remains perpetually valid until either executed or officially cancelled. [Source: Section 72, BNSS 2023]</t>
  </si>
  <si>
    <t xml:space="preserve">CASE_2577</t>
  </si>
  <si>
    <t xml:space="preserve">No, under sub-section (1), every warrant of arrest "shall bear the seal of the Court." Without it, the formal requirements are not met. [Source: Section 72, BNSS 2023]</t>
  </si>
  <si>
    <t xml:space="preserve">CASE_2578</t>
  </si>
  <si>
    <t xml:space="preserve">Under sub-section (2), every such warrant shall remain in force "until it is cancelled by the Court which issued it, or until it is executed." [Source: Section 72, BNSS 2023]</t>
  </si>
  <si>
    <t xml:space="preserve">CASE_2579</t>
  </si>
  <si>
    <t xml:space="preserve">No, sub-section (2) clearly states the warrant remains in force until cancelled or executed, meaning it does not have an automatic time-based expiration. [Source: Section 72, BNSS 2023]</t>
  </si>
  <si>
    <t xml:space="preserve">CASE_2580</t>
  </si>
  <si>
    <t xml:space="preserve">The consequence is that the warrant remains fully in force for those ten years, allowing the police to arrest the person at any time, unless the issuing Court proactively cancels it. [Source: Section 72, BNSS 2023]</t>
  </si>
  <si>
    <t xml:space="preserve">CASE_2581</t>
  </si>
  <si>
    <t xml:space="preserve">Power to direct security to be taken</t>
  </si>
  <si>
    <t xml:space="preserve">Yes, a Court may endorse the warrant directing that if the person executes a bond with sufficient sureties for his attendance before the Court at a specified time, the officer shall take such security and release him from custody. [Source: Section 73, BNSS 2023]</t>
  </si>
  <si>
    <t xml:space="preserve">Hugging Face source record: BNSS_73</t>
  </si>
  <si>
    <t xml:space="preserve">CASE_2582</t>
  </si>
  <si>
    <t xml:space="preserve">Section 73 of BNSS 2023 grants courts the power to issue "bailable warrants," allowing the arresting officer to take security (a bond with sureties) and immediately release the arrested person. [Source: Section 73, BNSS 2023]</t>
  </si>
  <si>
    <t xml:space="preserve">CASE_2583</t>
  </si>
  <si>
    <t xml:space="preserve">No, under sub-section (1), if the person executes the bond, the officer to whom the warrant is directed "shall take such security and shall release such person from custody." [Source: Section 73, BNSS 2023]</t>
  </si>
  <si>
    <t xml:space="preserve">CASE_2584</t>
  </si>
  <si>
    <t xml:space="preserve">Under sub-section (2), the endorsement shall state "(a) the number of sureties; (b) the amount in which they and the person for whose arrest the warrant is issued, are to be respectively bound; (c) the time at which he is to attend before the Court." [Source: Section 73, BNSS 2023]</t>
  </si>
  <si>
    <t xml:space="preserve">CASE_2585</t>
  </si>
  <si>
    <t xml:space="preserve">No, under sub-section (2), the "amount in which they... are to be respectively bound" is specified by the Court in the endorsement on the warrant. [Source: Section 73, BNSS 2023]</t>
  </si>
  <si>
    <t xml:space="preserve">CASE_2586</t>
  </si>
  <si>
    <t xml:space="preserve">The consequence, under sub-section (3), is that the officer "shall forward the bond to the Court" so the Court has official record of the guarantee of attendance. [Source: Section 73, BNSS 2023]</t>
  </si>
  <si>
    <t xml:space="preserve">CASE_2587</t>
  </si>
  <si>
    <t xml:space="preserve">Warrants to whom directed</t>
  </si>
  <si>
    <t xml:space="preserve">A warrant of arrest is ordinarily directed to one or more police officers, but if immediate execution is necessary and no police officer is available, the Court may direct it to any other person or persons. [Source: Section 74, BNSS 2023]</t>
  </si>
  <si>
    <t xml:space="preserve">Hugging Face source record: BNSS_74</t>
  </si>
  <si>
    <t xml:space="preserve">CASE_2588</t>
  </si>
  <si>
    <t xml:space="preserve">Section 74 of BNSS 2023 states that warrants are primarily directed to police officers for execution, but permits courts to direct warrants to other individuals in emergencies, and allows multiple officers to execute a shared warrant. [Source: Section 74, BNSS 2023]</t>
  </si>
  <si>
    <t xml:space="preserve">CASE_2589</t>
  </si>
  <si>
    <t xml:space="preserve">Yes, under sub-section (2), when a warrant is directed to more officers or persons than one, "it may be executed by all, or by any one or more of them." [Source: Section 74, BNSS 2023]</t>
  </si>
  <si>
    <t xml:space="preserve">CASE_2590</t>
  </si>
  <si>
    <t xml:space="preserve">Under sub-section (1), the condition is that "its immediate execution is necessary and no police officer is immediately available." [Source: Section 74, BNSS 2023]</t>
  </si>
  <si>
    <t xml:space="preserve">CASE_2591</t>
  </si>
  <si>
    <t xml:space="preserve">No, the section states a warrant is "ordinarily" directed to police officers, allowing exceptions under specific circumstances. [Source: Section 74, BNSS 2023]</t>
  </si>
  <si>
    <t xml:space="preserve">CASE_2592</t>
  </si>
  <si>
    <t xml:space="preserve">The consequence is that "such person or persons shall execute the same," granting them temporary legal authority to make the arrest. [Source: Section 74, BNSS 2023]</t>
  </si>
  <si>
    <t xml:space="preserve">CASE_2593</t>
  </si>
  <si>
    <t xml:space="preserve">Warrant may be directed to any person</t>
  </si>
  <si>
    <t xml:space="preserve">Yes, a Chief Judicial Magistrate or a Magistrate of the first class may direct a warrant to any person within his local jurisdiction for the arrest of any escaped convict, proclaimed offender, or a person accused of a non-bailable offence who is evading arrest. [Source: Section 75, BNSS 2023]</t>
  </si>
  <si>
    <t xml:space="preserve">Hugging Face source record: BNSS_75</t>
  </si>
  <si>
    <t xml:space="preserve">CASE_2594</t>
  </si>
  <si>
    <t xml:space="preserve">Section 75 of BNSS 2023 empowers higher Magistrates to direct arrest warrants to any private person within their jurisdiction specifically for capturing serious offenders like escapees or proclaimed offenders. [Source: Section 75, BNSS 2023]</t>
  </si>
  <si>
    <t xml:space="preserve">CASE_2595</t>
  </si>
  <si>
    <t xml:space="preserve">No, under sub-section (1), only "The Chief Judicial Magistrate or a Magistrate of the first class" has the authority to direct a warrant to any person in this manner. [Source: Section 75, BNSS 2023]</t>
  </si>
  <si>
    <t xml:space="preserve">CASE_2596</t>
  </si>
  <si>
    <t xml:space="preserve">The warrant can be for the arrest of "any escaped convict, proclaimed offender or of any person who is accused of a non-bailable offence and is evading arrest." [Source: Section 75, BNSS 2023]</t>
  </si>
  <si>
    <t xml:space="preserve">CASE_2597</t>
  </si>
  <si>
    <t xml:space="preserve">No, under sub-section (2), such person "shall acknowledge in writing the receipt of the warrant, and shall execute it" if the suspect is on their property. [Source: Section 75, BNSS 2023]</t>
  </si>
  <si>
    <t xml:space="preserve">CASE_2598</t>
  </si>
  <si>
    <t xml:space="preserve">Under sub-section (3), the arrested person "shall be made over with the warrant to the nearest police officer, who shall cause him to be taken before a Magistrate having jurisdiction." [Source: Section 75, BNSS 2023]</t>
  </si>
  <si>
    <t xml:space="preserve">CASE_2599</t>
  </si>
  <si>
    <t xml:space="preserve">Warrant directed to police officer</t>
  </si>
  <si>
    <t xml:space="preserve">Yes, a warrant directed to any police officer may also be executed by any other police officer whose name is endorsed upon the warrant by the officer to whom it is directed or endorsed. [Source: Section 76, BNSS 2023]</t>
  </si>
  <si>
    <t xml:space="preserve">Hugging Face source record: BNSS_76</t>
  </si>
  <si>
    <t xml:space="preserve">CASE_2600</t>
  </si>
  <si>
    <t xml:space="preserve">Section 76 of BNSS 2023 dictates the process of delegation for arrest warrants, allowing a police officer to endorse a warrant over to another police officer for execution. [Source: Section 76, BNSS 2023]</t>
  </si>
  <si>
    <t xml:space="preserve">CASE_2601</t>
  </si>
  <si>
    <t xml:space="preserve">No, to be legally valid, Constable Jones's name must be "endorsed upon the warrant by the officer to whom it is directed" (Inspector Smith). Verbal delegation is not sufficient. [Source: Section 76, BNSS 2023]</t>
  </si>
  <si>
    <t xml:space="preserve">CASE_2602</t>
  </si>
  <si>
    <t xml:space="preserve">The condition is that their name must be "endorsed upon the warrant by the officer to whom it is directed or endorsed." [Source: Section 76, BNSS 2023]</t>
  </si>
  <si>
    <t xml:space="preserve">CASE_2603</t>
  </si>
  <si>
    <t xml:space="preserve">No, the section specifies it may be executed by "any other police officer" whose name is endorsed upon it. [Source: Section 76, BNSS 2023]</t>
  </si>
  <si>
    <t xml:space="preserve">CASE_2604</t>
  </si>
  <si>
    <t xml:space="preserve">The consequence is flexibility; it allows a busy investigating officer to legally transfer the physical task of making an arrest to a subordinate or available colleague via a simple written endorsement. [Source: Section 76, BNSS 2023]</t>
  </si>
  <si>
    <t xml:space="preserve">CASE_2605</t>
  </si>
  <si>
    <t xml:space="preserve">Notification of substance of warrant</t>
  </si>
  <si>
    <t xml:space="preserve">The police officer or other person executing a warrant of arrest shall notify the substance thereof to the person to be arrested, and, if so required, shall show him the warrant. [Source: Section 77, BNSS 2023]</t>
  </si>
  <si>
    <t xml:space="preserve">Hugging Face source record: BNSS_77</t>
  </si>
  <si>
    <t xml:space="preserve">CASE_2606</t>
  </si>
  <si>
    <t xml:space="preserve">Section 77 of BNSS 2023 outlines the requirement for the arresting officer to inform the suspect of the contents of the arrest warrant and to physically show the document if the suspect asks to see it. [Source: Section 77, BNSS 2023]</t>
  </si>
  <si>
    <t xml:space="preserve">CASE_2607</t>
  </si>
  <si>
    <t xml:space="preserve">No, the section clearly states that the officer "if so required, shall show him the warrant." Refusing to show it upon demand violates this provision. [Source: Section 77, BNSS 2023]</t>
  </si>
  <si>
    <t xml:space="preserve">CASE_2608</t>
  </si>
  <si>
    <t xml:space="preserve">The obligation is triggered "if so required" by the person being arrested. [Source: Section 77, BNSS 2023]</t>
  </si>
  <si>
    <t xml:space="preserve">CASE_2609</t>
  </si>
  <si>
    <t xml:space="preserve">No, the officer "shall notify the substance thereof to the person to be arrested" at the time of execution, meaning they must verbally explain the reason for the arrest. [Source: Section 77, BNSS 2023]</t>
  </si>
  <si>
    <t xml:space="preserve">CASE_2610</t>
  </si>
  <si>
    <t xml:space="preserve">The consequence is that the individual is legally guaranteed to know exactly why they are being deprived of their liberty at the moment of arrest, preventing secret or unexplained detentions. [Source: Section 77, BNSS 2023]</t>
  </si>
  <si>
    <t xml:space="preserve">CASE_2611</t>
  </si>
  <si>
    <t xml:space="preserve">Person arrested to be brought before Court without delay</t>
  </si>
  <si>
    <t xml:space="preserve">The arresting officer must bring the person before the Court without unnecessary delay, and such delay shall not exceed twenty-four hours exclusive of travel time. [Source: Section 78, BNSS 2023]</t>
  </si>
  <si>
    <t xml:space="preserve">Hugging Face source record: BNSS_78</t>
  </si>
  <si>
    <t xml:space="preserve">CASE_2612</t>
  </si>
  <si>
    <t xml:space="preserve">Section 78 of BNSS 2023 establishes a strict 24-hour limit (excluding travel time) for an officer to bring an individual arrested under a warrant before the relevant Court. [Source: Section 78, BNSS 2023]</t>
  </si>
  <si>
    <t xml:space="preserve">CASE_2613</t>
  </si>
  <si>
    <t xml:space="preserve">No, the proviso states that "such delay shall not, in any case, exceed twenty-four hours" exclusive of travel time. Weekends do not pause this clock. [Source: Section 78, BNSS 2023]</t>
  </si>
  <si>
    <t xml:space="preserve">CASE_2614</t>
  </si>
  <si>
    <t xml:space="preserve">The delay shall not exceed "twenty-four hours exclusive of the time necessary for the journey from the place of arrest to the Magistrate's Court." [Source: Section 78, BNSS 2023]</t>
  </si>
  <si>
    <t xml:space="preserve">CASE_2615</t>
  </si>
  <si>
    <t xml:space="preserve">No, the requirement to bring the person before the court is "subject to the provisions of section 73 as to security." [Source: Section 78, BNSS 2023]</t>
  </si>
  <si>
    <t xml:space="preserve">CASE_2616</t>
  </si>
  <si>
    <t xml:space="preserve">The consequence is that the detention becomes unlawful, as it directly violates the explicit statutory maximum limit set by this section. [Source: Section 78, BNSS 2023]</t>
  </si>
  <si>
    <t xml:space="preserve">CASE_2617</t>
  </si>
  <si>
    <t xml:space="preserve">Where warrant may be executed</t>
  </si>
  <si>
    <t xml:space="preserve">Yes, a warrant of arrest may be executed at any place in India. [Source: Section 79, BNSS 2023]</t>
  </si>
  <si>
    <t xml:space="preserve">Hugging Face source record: BNSS_79</t>
  </si>
  <si>
    <t xml:space="preserve">CASE_2618</t>
  </si>
  <si>
    <t xml:space="preserve">Section 79 of BNSS 2023 establishes the universal territorial jurisdiction for the execution of arrest warrants within the nation. [Source: Section 79, BNSS 2023]</t>
  </si>
  <si>
    <t xml:space="preserve">CASE_2619</t>
  </si>
  <si>
    <t xml:space="preserve">Yes, the section explicitly states that "A warrant of arrest may be executed at any place in India." [Source: Section 79, BNSS 2023]</t>
  </si>
  <si>
    <t xml:space="preserve">CASE_2620</t>
  </si>
  <si>
    <t xml:space="preserve">The only geographical limit is that it must be executed "at any place in India." [Source: Section 79, BNSS 2023]</t>
  </si>
  <si>
    <t xml:space="preserve">CASE_2621</t>
  </si>
  <si>
    <t xml:space="preserve">No, it remains fully valid, as it may be executed "at any place in India." [Source: Section 79, BNSS 2023]</t>
  </si>
  <si>
    <t xml:space="preserve">CASE_2622</t>
  </si>
  <si>
    <t xml:space="preserve">The consequence is that it eliminates safe havens within the country, allowing the legal reach of any issuing court to span the entirety of India. [Source: Section 79, BNSS 2023]</t>
  </si>
  <si>
    <t xml:space="preserve">CASE_2623</t>
  </si>
  <si>
    <t xml:space="preserve">Warrant forwarded for execution outside jurisdiction</t>
  </si>
  <si>
    <t xml:space="preserve">The Court may forward the warrant by post to any Executive Magistrate, District Superintendent, or Commissioner of Police in the destination jurisdiction, who will endorse it and cause it to be executed. [Source: Section 80, BNSS 2023]</t>
  </si>
  <si>
    <t xml:space="preserve">Hugging Face source record: BNSS_80</t>
  </si>
  <si>
    <t xml:space="preserve">CASE_2624</t>
  </si>
  <si>
    <t xml:space="preserve">Section 80 of BNSS 2023 dictates the procedure for a court to remotely send an arrest warrant to authorities in another jurisdiction for execution, rather than sending its own local officers. [Source: Section 80, BNSS 2023]</t>
  </si>
  <si>
    <t xml:space="preserve">CASE_2625</t>
  </si>
  <si>
    <t xml:space="preserve">No, under sub-section (2), the Court "shall forward, along with the warrant, the substance of the information against the person... together with such documents, if any, as may be sufficient to enable the Court... to decide whether bail should or should not be granted." [Source: Section 80, BNSS 2023]</t>
  </si>
  <si>
    <t xml:space="preserve">CASE_2626</t>
  </si>
  <si>
    <t xml:space="preserve">Under sub-section (1), they "shall endorse his name thereon, and if practicable, cause it to be executed." [Source: Section 80, BNSS 2023]</t>
  </si>
  <si>
    <t xml:space="preserve">CASE_2627</t>
  </si>
  <si>
    <t xml:space="preserve">No, sub-section (1) says the Court "may, instead of directing the warrant to a police officer within its jurisdiction, forward it." It is an alternative option. [Source: Section 80, BNSS 2023]</t>
  </si>
  <si>
    <t xml:space="preserve">CASE_2628</t>
  </si>
  <si>
    <t xml:space="preserve">The consequence is that the distant court handling the arrested person will lack the necessary context to make an informed decision on whether to grant bail under section 83. [Source: Section 80, BNSS 2023]</t>
  </si>
  <si>
    <t xml:space="preserve">CASE_2629</t>
  </si>
  <si>
    <t xml:space="preserve">Warrant directed to police officer for execution outside jurisdiction</t>
  </si>
  <si>
    <t xml:space="preserve">The officer should ordinarily take the warrant to a local Executive Magistrate or a local police station chief for endorsement before executing it. [Source: Section 81, BNSS 2023]</t>
  </si>
  <si>
    <t xml:space="preserve">Hugging Face source record: BNSS_81</t>
  </si>
  <si>
    <t xml:space="preserve">CASE_2630</t>
  </si>
  <si>
    <t xml:space="preserve">Section 81 of BNSS 2023 outlines the protocol for a police officer executing a warrant outside their home jurisdiction, requiring them to obtain a local endorsement, but allowing exceptions for emergencies. [Source: Section 81, BNSS 2023]</t>
  </si>
  <si>
    <t xml:space="preserve">CASE_2631</t>
  </si>
  <si>
    <t xml:space="preserve">Yes, under sub-section (3), if there is reason to believe the delay occasioned by obtaining the endorsement will prevent execution, the officer "may execute the same without such endorsement." [Source: Section 81, BNSS 2023]</t>
  </si>
  <si>
    <t xml:space="preserve">CASE_2632</t>
  </si>
  <si>
    <t xml:space="preserve">Either an "Executive Magistrate" or a "police officer not below the rank of an officer in charge of a police station." [Source: Section 81, BNSS 2023]</t>
  </si>
  <si>
    <t xml:space="preserve">CASE_2633</t>
  </si>
  <si>
    <t xml:space="preserve">No, sub-section (2) mandates that "the local police shall, if so required, assist such officer in executing such warrant." [Source: Section 81, BNSS 2023]</t>
  </si>
  <si>
    <t xml:space="preserve">CASE_2634</t>
  </si>
  <si>
    <t xml:space="preserve">The consequence, under sub-section (2), is that the endorsement provides "sufficient authority to the police officer... to execute the same" within that new territory. [Source: Section 81, BNSS 2023]</t>
  </si>
  <si>
    <t xml:space="preserve">CASE_2635</t>
  </si>
  <si>
    <t xml:space="preserve">Procedure on arrest of person against whom warrant issued</t>
  </si>
  <si>
    <t xml:space="preserve">The arrested person must be taken before the local Magistrate or Superintendent/Commissioner of Police in the district of arrest, unless the originating Court is within 30 kilometers or closer than the local authorities. [Source: Section 82, BNSS 2023]</t>
  </si>
  <si>
    <t xml:space="preserve">Hugging Face source record: BNSS_82</t>
  </si>
  <si>
    <t xml:space="preserve">CASE_2636</t>
  </si>
  <si>
    <t xml:space="preserve">Section 82 of BNSS 2023 dictates that a person arrested out-of-district must generally be presented to local authorities first, and requires immediate police-to-police notification regarding the arrest and holding location. [Source: Section 82, BNSS 2023]</t>
  </si>
  <si>
    <t xml:space="preserve">CASE_2637</t>
  </si>
  <si>
    <t xml:space="preserve">No, because the Court which issued the warrant "is within thirty kilometres of the place of arrest." They can take the person directly to the issuing Court. [Source: Section 82, BNSS 2023]</t>
  </si>
  <si>
    <t xml:space="preserve">CASE_2638</t>
  </si>
  <si>
    <t xml:space="preserve">The officer must give information to "the designated police officer in the district" and to "such officer of another district where the arrested person normally resides." [Source: Section 82, BNSS 2023]</t>
  </si>
  <si>
    <t xml:space="preserve">CASE_2639</t>
  </si>
  <si>
    <t xml:space="preserve">No, there is an exception if "security is taken under section 73," meaning if the person posts bail immediately, they do not need to be hauled before the local Magistrate. [Source: Section 82, BNSS 2023]</t>
  </si>
  <si>
    <t xml:space="preserve">CASE_2640</t>
  </si>
  <si>
    <t xml:space="preserve">The consequence is that it prevents officers from dragging suspects on long journeys across the country without first allowing a local, neutral magistrate to verify the arrest and consider bail. [Source: Section 82, BNSS 2023]</t>
  </si>
  <si>
    <t xml:space="preserve">CASE_2641</t>
  </si>
  <si>
    <t xml:space="preserve">Procedure by Magistrate before whom such person arrested is brought</t>
  </si>
  <si>
    <t xml:space="preserve">The Magistrate will verify the person's identity and direct their removal to the issuing Court, unless the offence is bailable or they are granted bail by the local higher courts. [Source: Section 83, BNSS 2023]</t>
  </si>
  <si>
    <t xml:space="preserve">Hugging Face source record: BNSS_83</t>
  </si>
  <si>
    <t xml:space="preserve">CASE_2642</t>
  </si>
  <si>
    <t xml:space="preserve">Section 83 of BNSS 2023 outlines the process for a local Magistrate to handle a suspect arrested on an out-of-district warrant, including verifying identity, arranging transit, and evaluating bail. [Source: Section 83, BNSS 2023]</t>
  </si>
  <si>
    <t xml:space="preserve">CASE_2643</t>
  </si>
  <si>
    <t xml:space="preserve">No, the second proviso states that if the offence is non-bailable, it shall be lawful only for the "Chief Judicial Magistrate... or the Sessions Judge" of that local district to release such person on bail. [Source: Section 83, BNSS 2023]</t>
  </si>
  <si>
    <t xml:space="preserve">CASE_2644</t>
  </si>
  <si>
    <t xml:space="preserve">They must verify "if the person arrested appears to be the person intended by the Court which issued the warrant." [Source: Section 83, BNSS 2023]</t>
  </si>
  <si>
    <t xml:space="preserve">CASE_2645</t>
  </si>
  <si>
    <t xml:space="preserve">No, sub-section (2) states "Nothing in this section shall be deemed to prevent a police officer from taking security under section 73." [Source: Section 83, BNSS 2023]</t>
  </si>
  <si>
    <t xml:space="preserve">CASE_2646</t>
  </si>
  <si>
    <t xml:space="preserve">The consequence is that the local Magistrate "shall take such bail bond or security... and forward the bond, to the Court which issued the warrant," effectively releasing the person from immediate physical transit. [Source: Section 83, BNSS 2023]</t>
  </si>
  <si>
    <t xml:space="preserve">CASE_2647</t>
  </si>
  <si>
    <t xml:space="preserve">Proclamation for person absconding</t>
  </si>
  <si>
    <t xml:space="preserve">The Court may publish a written proclamation requiring the person to appear at a specified place and time, not less than thirty days from the publication date. [Source: Section 84, BNSS 2023]</t>
  </si>
  <si>
    <t xml:space="preserve">Hugging Face source record: BNSS_84</t>
  </si>
  <si>
    <t xml:space="preserve">CASE_2648</t>
  </si>
  <si>
    <t xml:space="preserve">Section 84 of BNSS 2023 establishes the procedure for publicly proclaiming a person as absconding, detailing the methods of publication and the process to officially declare them a "proclaimed offender." [Source: Section 84, BNSS 2023]</t>
  </si>
  <si>
    <t xml:space="preserve">CASE_2649</t>
  </si>
  <si>
    <t xml:space="preserve">No, sub-section (1) requires the specified time to be "not less than thirty days from the date of publishing such proclamation." [Source: Section 84, BNSS 2023]</t>
  </si>
  <si>
    <t xml:space="preserve">CASE_2650</t>
  </si>
  <si>
    <t xml:space="preserve">It must be (a) publicly read in a conspicuous place in their town/village, (b) affixed to their house/homestead or a conspicuous place in the town, and (c) affixed to a conspicuous part of the Court-house. [Source: Section 84, BNSS 2023]</t>
  </si>
  <si>
    <t xml:space="preserve">CASE_2651</t>
  </si>
  <si>
    <t xml:space="preserve">No, under sub-section (4), this specific declaration is only for a person accused of an offence "punishable with imprisonment of ten years or more, or imprisonment for life or with death." [Source: Section 84, BNSS 2023]</t>
  </si>
  <si>
    <t xml:space="preserve">CASE_2652</t>
  </si>
  <si>
    <t xml:space="preserve">Under sub-section (3), such a statement "shall be conclusive evidence that the requirements of this section have been complied with." [Source: Section 84, BNSS 2023]</t>
  </si>
  <si>
    <t xml:space="preserve">CASE_2653</t>
  </si>
  <si>
    <t xml:space="preserve">Attachment of property of person absconding</t>
  </si>
  <si>
    <t xml:space="preserve">Yes, a Court issuing a proclamation for an absconding person may order the attachment of any of their movable or immovable property. [Source: Section 85, BNSS 2023]</t>
  </si>
  <si>
    <t xml:space="preserve">Hugging Face source record: BNSS_85</t>
  </si>
  <si>
    <t xml:space="preserve">CASE_2654</t>
  </si>
  <si>
    <t xml:space="preserve">Section 85 of BNSS 2023 details the court's power to attach the property of an absconding person, outlining the different methods for attaching debts, movable goods, and immovable land. [Source: Section 85, BNSS 2023]</t>
  </si>
  <si>
    <t xml:space="preserve">CASE_2655</t>
  </si>
  <si>
    <t xml:space="preserve">Yes, under the proviso to sub-section (1), if the court is satisfied the person "is about to dispose of the whole or any part of his property," it may "order the attachment of property simultaneously with the issue of the proclamation." [Source: Section 85, BNSS 2023]</t>
  </si>
  <si>
    <t xml:space="preserve">CASE_2656</t>
  </si>
  <si>
    <t xml:space="preserve">The attachment can be made "(a) by seizure; or (b) by the appointment of a receiver; or (c) by an order in writing prohibiting the delivery of such property." [Source: Section 85, BNSS 2023]</t>
  </si>
  <si>
    <t xml:space="preserve">CASE_2657</t>
  </si>
  <si>
    <t xml:space="preserve">Not always; under sub-section (5), if the property consists of "live-stock or is of a perishable nature," the Court may order its "immediate sale." [Source: Section 85, BNSS 2023]</t>
  </si>
  <si>
    <t xml:space="preserve">CASE_2658</t>
  </si>
  <si>
    <t xml:space="preserve">The consequence, under sub-section (4), is that the attachment must be made specifically "through the Collector of the district in which the land is situate." [Source: Section 85, BNSS 2023]</t>
  </si>
  <si>
    <t xml:space="preserve">CASE_2659</t>
  </si>
  <si>
    <t xml:space="preserve">Identification and attachment of property of proclaimed person</t>
  </si>
  <si>
    <t xml:space="preserve">The Court may, on the written request of a high-ranking police officer, initiate the process of requesting assistance from a Court or authority in a contracting State to identify, attach, and forfeit the property. [Source: Section 86, BNSS 2023]</t>
  </si>
  <si>
    <t xml:space="preserve">Hugging Face source record: BNSS_86</t>
  </si>
  <si>
    <t xml:space="preserve">CASE_2660</t>
  </si>
  <si>
    <t xml:space="preserve">Section 86 of BNSS 2023 empowers courts to seek international assistance from contracting States to trace and attach the property of a proclaimed person. [Source: Section 86, BNSS 2023]</t>
  </si>
  <si>
    <t xml:space="preserve">CASE_2661</t>
  </si>
  <si>
    <t xml:space="preserve">No, the written request must come from "a police officer not below the rank of the Superintendent of Police or Commissioner of Police." [Source: Section 86, BNSS 2023]</t>
  </si>
  <si>
    <t xml:space="preserve">CASE_2662</t>
  </si>
  <si>
    <t xml:space="preserve">Assistance can be requested for "identification, attachment and forfeiture of property belonging to a proclaimed person." [Source: Section 86, BNSS 2023]</t>
  </si>
  <si>
    <t xml:space="preserve">CASE_2663</t>
  </si>
  <si>
    <t xml:space="preserve">No, this specific section is explicitly for "requesting assistance from a Court or an authority in the contracting State" which involves international or cross-jurisdictional treaties governed by Chapter VIII. [Source: Section 86, BNSS 2023]</t>
  </si>
  <si>
    <t xml:space="preserve">CASE_2664</t>
  </si>
  <si>
    <t xml:space="preserve">The consequence is that the identification and attachment must proceed "in accordance with the procedure provided in Chapter VIII." [Source: Section 86, BNSS 2023]</t>
  </si>
  <si>
    <t xml:space="preserve">CASE_2665</t>
  </si>
  <si>
    <t xml:space="preserve">Claims and objections to attachment</t>
  </si>
  <si>
    <t xml:space="preserve">Any person other than the proclaimed person who has an interest in the property can file a claim or objection within six months of the attachment, and the Court shall inquire into it. [Source: Section 87, BNSS 2023]</t>
  </si>
  <si>
    <t xml:space="preserve">Hugging Face source record: BNSS_87</t>
  </si>
  <si>
    <t xml:space="preserve">CASE_2666</t>
  </si>
  <si>
    <t xml:space="preserve">Section 87 of BNSS 2023 states the procedure and timeline for third parties to contest the attachment of property, and allows them to file a civil suit if their claim is rejected by the Magistrate. [Source: Section 87, BNSS 2023]</t>
  </si>
  <si>
    <t xml:space="preserve">CASE_2667</t>
  </si>
  <si>
    <t xml:space="preserve">No, under sub-section (1), the claim or objection must be made "within six months from the date of such attachment." [Source: Section 87, BNSS 2023]</t>
  </si>
  <si>
    <t xml:space="preserve">CASE_2668</t>
  </si>
  <si>
    <t xml:space="preserve">They must establish that the claimant "has an interest in such property" and that "such interest is not liable to attachment under section 85." [Source: Section 87, BNSS 2023]</t>
  </si>
  <si>
    <t xml:space="preserve">CASE_2669</t>
  </si>
  <si>
    <t xml:space="preserve">No, the proviso to sub-section (1) states that in the event of death, the claim "may be continued by his legal representative." [Source: Section 87, BNSS 2023]</t>
  </si>
  <si>
    <t xml:space="preserve">CASE_2670</t>
  </si>
  <si>
    <t xml:space="preserve">The consequence, under sub-section (4), is that the aggrieved person may "within a period of one year from the date of such order, institute a suit to establish the right which he claims" in a civil court. [Source: Section 87, BNSS 2023]</t>
  </si>
  <si>
    <t xml:space="preserve">CASE_2671</t>
  </si>
  <si>
    <t xml:space="preserve">Release, sale and restoration of attached property</t>
  </si>
  <si>
    <t xml:space="preserve">If the proclaimed person appears within the time specified in the proclamation, the Court shall make an order releasing the property from attachment. [Source: Section 88, BNSS 2023]</t>
  </si>
  <si>
    <t xml:space="preserve">Hugging Face source record: BNSS_88</t>
  </si>
  <si>
    <t xml:space="preserve">CASE_2672</t>
  </si>
  <si>
    <t xml:space="preserve">Section 88 of BNSS 2023 outlines the rules governing what happens to attached property, detailing when it can be released, sold, or restored to a proclaimed person who later appears and proves they did not intentionally abscond. [Source: Section 88, BNSS 2023]</t>
  </si>
  <si>
    <t xml:space="preserve">CASE_2673</t>
  </si>
  <si>
    <t xml:space="preserve">No, under sub-section (2), the property "shall not be sold until the expiration of six months from the date of the attachment" and until any claims have been disposed of, unless it is subject to speedy decay. [Source: Section 88, BNSS 2023]</t>
  </si>
  <si>
    <t xml:space="preserve">CASE_2674</t>
  </si>
  <si>
    <t xml:space="preserve">They must prove "that he did not abscond or conceal himself for the purpose of avoiding execution of the warrant" and "that he had not such notice of the proclamation as to enable him to attend within the time specified therein." [Source: Section 88, BNSS 2023]</t>
  </si>
  <si>
    <t xml:space="preserve">CASE_2675</t>
  </si>
  <si>
    <t xml:space="preserve">No, an exception exists if the property "is subject to speedy and natural decay, or the Court considers that the sale would be for the benefit of the owner." [Source: Section 88, BNSS 2023]</t>
  </si>
  <si>
    <t xml:space="preserve">CASE_2676</t>
  </si>
  <si>
    <t xml:space="preserve">The consequence is that the "net proceeds of the sale... shall, after satisfying therefrom all costs incurred in consequence of the attachment, be delivered to him." [Source: Section 88, BNSS 2023]</t>
  </si>
  <si>
    <t xml:space="preserve">CASE_2677</t>
  </si>
  <si>
    <t xml:space="preserve">Appeal from order rejecting application for restoration of attached property</t>
  </si>
  <si>
    <t xml:space="preserve">Any person aggrieved by a refusal to deliver property or the proceeds of its sale may appeal to the Court to which appeals ordinarily lie from the sentences of that initial Court. [Source: Section 89, BNSS 2023]</t>
  </si>
  <si>
    <t xml:space="preserve">Hugging Face source record: BNSS_89</t>
  </si>
  <si>
    <t xml:space="preserve">CASE_2678</t>
  </si>
  <si>
    <t xml:space="preserve">Section 89 of BNSS 2023 provides an explicit appellate remedy for individuals whose application to restore their attached property under section 88 has been wrongfully denied by the lower court. [Source: Section 89, BNSS 2023]</t>
  </si>
  <si>
    <t xml:space="preserve">CASE_2679</t>
  </si>
  <si>
    <t xml:space="preserve">They must appeal to "the Court to which appeals ordinarily lie from the sentences of the first-mentioned Court." [Source: Section 89, BNSS 2023]</t>
  </si>
  <si>
    <t xml:space="preserve">CASE_2680</t>
  </si>
  <si>
    <t xml:space="preserve">The right is granted to "Any person referred to in sub-section (3) of section 88, who is aggrieved by any refusal to deliver property or the proceeds of the sale thereof." [Source: Section 89, BNSS 2023]</t>
  </si>
  <si>
    <t xml:space="preserve">CASE_2681</t>
  </si>
  <si>
    <t xml:space="preserve">No, this section explicitly limits the appeal to "Any person referred to in sub-section (3) of section 88," which pertains only to the proclaimed person, not third-party claimants. [Source: Section 89, BNSS 2023]</t>
  </si>
  <si>
    <t xml:space="preserve">CASE_2682</t>
  </si>
  <si>
    <t xml:space="preserve">The consequence is that the Magistrate's decision to retain the property or proceeds is not final and absolute, but is subject to oversight and reversal by a higher appellate court. [Source: Section 89, BNSS 2023]</t>
  </si>
  <si>
    <t xml:space="preserve">CASE_2683</t>
  </si>
  <si>
    <t xml:space="preserve">Issue of warrant in lieu of, or in addition to, summons</t>
  </si>
  <si>
    <t xml:space="preserve">Yes, a Court empowered to issue a summons may, after recording its reasons in writing, issue a warrant for a person's arrest if it believes they have absconded or will not obey the summons. [Source: Section 90, BNSS 2023]</t>
  </si>
  <si>
    <t xml:space="preserve">Hugging Face source record: BNSS_90</t>
  </si>
  <si>
    <t xml:space="preserve">CASE_2684</t>
  </si>
  <si>
    <t xml:space="preserve">Section 90 of BNSS 2023 gives courts the discretion to elevate the level of compulsion, allowing them to issue an arrest warrant instead of or alongside a summons if they suspect evasion or non-compliance. [Source: Section 90, BNSS 2023]</t>
  </si>
  <si>
    <t xml:space="preserve">CASE_2685</t>
  </si>
  <si>
    <t xml:space="preserve">Yes, under clause (a), if the Court sees reason to believe "he has absconded or will not obey the summons," it may issue a warrant either before or after the issue of the summons. [Source: Section 90, BNSS 2023]</t>
  </si>
  <si>
    <t xml:space="preserve">CASE_2686</t>
  </si>
  <si>
    <t xml:space="preserve">The Court must issue the warrant "after recording its reasons in writing." [Source: Section 90, BNSS 2023]</t>
  </si>
  <si>
    <t xml:space="preserve">CASE_2687</t>
  </si>
  <si>
    <t xml:space="preserve">No, under clause (b), a warrant can be issued if they fail to appear, the summons is "proved to have been duly served in time," and "no reasonable excuse is offered for such failure." [Source: Section 90, BNSS 2023]</t>
  </si>
  <si>
    <t xml:space="preserve">CASE_2688</t>
  </si>
  <si>
    <t xml:space="preserve">The consequence is that the Court can immediately escalate the situation by issuing a warrant for their arrest, actively depriving them of their liberty to compel attendance. [Source: Section 90, BNSS 2023]</t>
  </si>
  <si>
    <t xml:space="preserve">CASE_2689</t>
  </si>
  <si>
    <t xml:space="preserve">Power to take bond or bail bond for appearance</t>
  </si>
  <si>
    <t xml:space="preserve">The presiding officer may require such person to execute a bond or bail bond for his appearance in that Court, or any other Court to which the case may be transferred. [Source: Section 91, BNSS 2023]</t>
  </si>
  <si>
    <t xml:space="preserve">Hugging Face source record: BNSS_91</t>
  </si>
  <si>
    <t xml:space="preserve">CASE_2690</t>
  </si>
  <si>
    <t xml:space="preserve">Section 91 of BNSS 2023 states that if a person who could be summoned or arrested is already physically present in the court, the officer presiding can immediately compel them to sign a bond ensuring future appearance. [Source: Section 91, BNSS 2023]</t>
  </si>
  <si>
    <t xml:space="preserve">CASE_2691</t>
  </si>
  <si>
    <t xml:space="preserve">Yes, because the person "is present in such Court," the officer presiding may require him to execute a bond or bail bond for his appearance. [Source: Section 91, BNSS 2023]</t>
  </si>
  <si>
    <t xml:space="preserve">CASE_2692</t>
  </si>
  <si>
    <t xml:space="preserve">The presiding officer must be "empowered to issue a summons or warrant" for that person's appearance or arrest. [Source: Section 91, BNSS 2023]</t>
  </si>
  <si>
    <t xml:space="preserve">CASE_2693</t>
  </si>
  <si>
    <t xml:space="preserve">No, it guarantees appearance in "such Court, or any other Court to which the case may be transferred for trial." [Source: Section 91, BNSS 2023]</t>
  </si>
  <si>
    <t xml:space="preserve">CASE_2694</t>
  </si>
  <si>
    <t xml:space="preserve">The consequence is that the court saves time and resources by immediately securing a guarantee of future attendance without having to initiate the formal process of dispatching a summons or warrant. [Source: Section 91, BNSS 2023]</t>
  </si>
  <si>
    <t xml:space="preserve">CASE_2695</t>
  </si>
  <si>
    <t xml:space="preserve">Arrest on breach of bond or bail bond for appearance</t>
  </si>
  <si>
    <t xml:space="preserve">When a person bound by a bond or bail bond does not appear, the officer presiding in such Court may issue a warrant directing that they be arrested and produced before him. [Source: Section 92, BNSS 2023]</t>
  </si>
  <si>
    <t xml:space="preserve">Hugging Face source record: BNSS_92</t>
  </si>
  <si>
    <t xml:space="preserve">CASE_2696</t>
  </si>
  <si>
    <t xml:space="preserve">Section 92 of BNSS 2023 outlines the immediate enforcement mechanism—the issuance of an arrest warrant—when an individual violates the terms of their bond or bail bond by failing to appear in court. [Source: Section 92, BNSS 2023]</t>
  </si>
  <si>
    <t xml:space="preserve">CASE_2697</t>
  </si>
  <si>
    <t xml:space="preserve">The judge can issue a warrant; the section states the presiding officer "may issue a warrant directing that such person be arrested." [Source: Section 92, BNSS 2023]</t>
  </si>
  <si>
    <t xml:space="preserve">CASE_2698</t>
  </si>
  <si>
    <t xml:space="preserve">The trigger is when any person who is "bound by any bond or bail bond taken under this Sanhita to appear before a Court, does not appear." [Source: Section 92, BNSS 2023]</t>
  </si>
  <si>
    <t xml:space="preserve">CASE_2699</t>
  </si>
  <si>
    <t xml:space="preserve">The language says the officer "may issue a warrant," implying they have the discretion to do so or to consider valid excuses before taking action. [Source: Section 92, BNSS 2023]</t>
  </si>
  <si>
    <t xml:space="preserve">CASE_2700</t>
  </si>
  <si>
    <t xml:space="preserve">The consequence is the immediate loss of their freedom; the court converts their failure to appear into an active order for their physical arrest and forced production in court. [Source: Section 92, BNSS 2023]</t>
  </si>
  <si>
    <t xml:space="preserve">CASE_2701</t>
  </si>
  <si>
    <t xml:space="preserve">Provisions of this Chapter generally applicable to summons and warrants of arrest</t>
  </si>
  <si>
    <t xml:space="preserve">Yes, the provisions in this Chapter relating to summons and warrants, their issue, service, and execution, apply generally to every summons and every warrant of arrest issued under the Sanhita. [Source: Section 93, BNSS 2023]</t>
  </si>
  <si>
    <t xml:space="preserve">Hugging Face source record: BNSS_93</t>
  </si>
  <si>
    <t xml:space="preserve">CASE_2702</t>
  </si>
  <si>
    <t xml:space="preserve">Section 93 of BNSS 2023 acts as a unifying clause, extending the specific rules governing the service and execution of summons and warrants found in this Chapter to any such process issued anywhere in the Sanhita. [Source: Section 93, BNSS 2023]</t>
  </si>
  <si>
    <t xml:space="preserve">CASE_2703</t>
  </si>
  <si>
    <t xml:space="preserve">Yes, because the provisions of this Chapter "shall, so far as may be, apply to every summons and every warrant of arrest issued under this Sanhita." [Source: Section 93, BNSS 2023]</t>
  </si>
  <si>
    <t xml:space="preserve">CASE_2704</t>
  </si>
  <si>
    <t xml:space="preserve">The provisions relating to "their issue, service and execution" are the aspects made universally applicable. [Source: Section 93, BNSS 2023]</t>
  </si>
  <si>
    <t xml:space="preserve">CASE_2705</t>
  </si>
  <si>
    <t xml:space="preserve">No, the phrase "so far as may be" provides a degree of flexibility, allowing the rules to apply generally but permitting reasonable deviation if the context of another section demands it. [Source: Section 93, BNSS 2023]</t>
  </si>
  <si>
    <t xml:space="preserve">CASE_2706</t>
  </si>
  <si>
    <t xml:space="preserve">The consequence is that it prevents redundant drafting; the code does not need to redefine how to serve a summons or execute a warrant in every subsequent chapter where such powers are granted. [Source: Section 93, BNSS 2023]</t>
  </si>
  <si>
    <t xml:space="preserve">CASE_2707</t>
  </si>
  <si>
    <t xml:space="preserve">Summons to produce document or other thing</t>
  </si>
  <si>
    <t xml:space="preserve">Yes, any Court or officer in charge of a police station can issue a written order or summons requiring a person to produce a document, electronic communication, or communication device necessary for an investigation. [Source: Section 94, BNSS 2023]</t>
  </si>
  <si>
    <t xml:space="preserve">Hugging Face source record: BNSS_94</t>
  </si>
  <si>
    <t xml:space="preserve">CASE_2708</t>
  </si>
  <si>
    <t xml:space="preserve">Section 94 of BNSS 2023 establishes the power of courts and police station heads to compel the production of physical documents and digital evidence (like phones) from individuals holding them. [Source: Section 94, BNSS 2023]</t>
  </si>
  <si>
    <t xml:space="preserve">CASE_2709</t>
  </si>
  <si>
    <t xml:space="preserve">Yes, under sub-section (1), the officer may require production by a written order, "either in physical form or in electronic form." [Source: Section 94, BNSS 2023]</t>
  </si>
  <si>
    <t xml:space="preserve">CASE_2710</t>
  </si>
  <si>
    <t xml:space="preserve">The Court or officer must consider that the production is "necessary or desirable for the purposes of any investigation, inquiry, trial or other proceeding under this Sanhita." [Source: Section 94, BNSS 2023]</t>
  </si>
  <si>
    <t xml:space="preserve">CASE_2711</t>
  </si>
  <si>
    <t xml:space="preserve">No, under sub-section (2), they are deemed to have complied if they "causes such document or thing to be produced instead of attending personally to produce the same." [Source: Section 94, BNSS 2023]</t>
  </si>
  <si>
    <t xml:space="preserve">CASE_2712</t>
  </si>
  <si>
    <t xml:space="preserve">The consequence is that this section cannot be used to seize mail; sub-section (3) explicitly states nothing in this section shall "apply to a letter, postcard... in the custody of the postal authority." [Source: Section 94, BNSS 2023]</t>
  </si>
  <si>
    <t xml:space="preserve">CASE_2713</t>
  </si>
  <si>
    <t xml:space="preserve">Procedure as to letters</t>
  </si>
  <si>
    <t xml:space="preserve">The District Magistrate, Chief Judicial Magistrate, Court of Session, or High Court can order the postal authority to deliver the document or parcel to a directed person. [Source: Section 95, BNSS 2023]</t>
  </si>
  <si>
    <t xml:space="preserve">Hugging Face source record: BNSS_95</t>
  </si>
  <si>
    <t xml:space="preserve">CASE_2714</t>
  </si>
  <si>
    <t xml:space="preserve">Section 95 of BNSS 2023 outlines the specialized procedure for compelling postal authorities to surrender letters and parcels, distinguishing between the powers of higher courts to order delivery and lower magistrates/police to order detention. [Source: Section 95, BNSS 2023]</t>
  </si>
  <si>
    <t xml:space="preserve">CASE_2715</t>
  </si>
  <si>
    <t xml:space="preserve">No, under sub-section (2), the Superintendent may only require the postal authority to "detain such document, parcel or thing pending the order" of a higher Magistrate. Only higher courts can order actual delivery. [Source: Section 95, BNSS 2023]</t>
  </si>
  <si>
    <t xml:space="preserve">CASE_2716</t>
  </si>
  <si>
    <t xml:space="preserve">Only the "District Magistrate, Chief Judicial Magistrate, Court of Session or High Court." [Source: Section 95, BNSS 2023]</t>
  </si>
  <si>
    <t xml:space="preserve">CASE_2717</t>
  </si>
  <si>
    <t xml:space="preserve">Yes, under sub-section (2), "any other Magistrate, whether Executive or Judicial" can require the postal authority to "cause search to be made for and to detain" the item. [Source: Section 95, BNSS 2023]</t>
  </si>
  <si>
    <t xml:space="preserve">CASE_2718</t>
  </si>
  <si>
    <t xml:space="preserve">The consequence is that the privacy of mail is strongly protected, as only the highest-ranking Magistrates and Courts are granted the statutory power to breach postal custody and seize communications. [Source: Section 95, BNSS 2023]</t>
  </si>
  <si>
    <t xml:space="preserve">CASE_2719</t>
  </si>
  <si>
    <t xml:space="preserve">When search-warrant may be issued</t>
  </si>
  <si>
    <t xml:space="preserve">A Court may issue a search warrant if it believes a person will not produce a required document, if the document's location is unknown, or if a general search serves the purposes of an inquiry or trial. [Source: Section 96, BNSS 2023]</t>
  </si>
  <si>
    <t xml:space="preserve">Hugging Face source record: BNSS_96</t>
  </si>
  <si>
    <t xml:space="preserve">CASE_2720</t>
  </si>
  <si>
    <t xml:space="preserve">Section 96 of BNSS 2023 establishes the three core conditions under which a court is authorized to issue a search warrant, and outlines its ability to restrict the search to specific areas. [Source: Section 96, BNSS 2023]</t>
  </si>
  <si>
    <t xml:space="preserve">CASE_2721</t>
  </si>
  <si>
    <t xml:space="preserve">Yes, under clause (b), a warrant can be issued if "such document or thing is not known to the Court to be in the possession of any person." [Source: Section 96, BNSS 2023]</t>
  </si>
  <si>
    <t xml:space="preserve">CASE_2722</t>
  </si>
  <si>
    <t xml:space="preserve">The condition is that the Court "has reason to believe that a person... will not or would not produce the document or thing as required by such summons or requisition." [Source: Section 96, BNSS 2023]</t>
  </si>
  <si>
    <t xml:space="preserve">CASE_2723</t>
  </si>
  <si>
    <t xml:space="preserve">Not necessarily; under sub-section (2), the Court may "specify in the warrant the particular place or part thereof to which only the search or inspection shall extend." [Source: Section 96, BNSS 2023]</t>
  </si>
  <si>
    <t xml:space="preserve">CASE_2724</t>
  </si>
  <si>
    <t xml:space="preserve">The consequence of sub-section (3) is a strict limitation: nothing in this section authorizes any Magistrate other than a "District Magistrate or Chief Judicial Magistrate" to grant a warrant to search postal custody. [Source: Section 96, BNSS 2023]</t>
  </si>
  <si>
    <t xml:space="preserve">CASE_2725</t>
  </si>
  <si>
    <t xml:space="preserve">Search of place suspected to contain stolen property, forged documents, etc</t>
  </si>
  <si>
    <t xml:space="preserve">Yes, a District Magistrate, Sub-divisional Magistrate, or Magistrate of the first class may authorize a police officer above the rank of constable to enter and search such a place and seize objectionable articles. [Source: Section 97, BNSS 2023]</t>
  </si>
  <si>
    <t xml:space="preserve">Hugging Face source record: BNSS_97</t>
  </si>
  <si>
    <t xml:space="preserve">CASE_2726</t>
  </si>
  <si>
    <t xml:space="preserve">Section 97 of BNSS 2023 grants specific Magistrates the power to issue warrants to raid locations suspected of harboring stolen property or producing illicit items like counterfeit money, forged documents, and obscene objects. [Source: Section 97, BNSS 2023]</t>
  </si>
  <si>
    <t xml:space="preserve">CASE_2727</t>
  </si>
  <si>
    <t xml:space="preserve">No, the section explicitly states the Magistrate may by warrant authorize "any police officer above the rank of a constable" to execute these specialized searches. [Source: Section 97, BNSS 2023]</t>
  </si>
  <si>
    <t xml:space="preserve">CASE_2728</t>
  </si>
  <si>
    <t xml:space="preserve">The list includes "(a) counterfeit coin; (c) counterfeit currency note; counterfeit stamps; (d) forged documents." [Source: Section 97, BNSS 2023]</t>
  </si>
  <si>
    <t xml:space="preserve">CASE_2729</t>
  </si>
  <si>
    <t xml:space="preserve">No, it also authorizes them "to take into custody and carry before a Magistrate every person found in such place" who appears privy to the deposit, sale, or production of the items. [Source: Section 97, BNSS 2023]</t>
  </si>
  <si>
    <t xml:space="preserve">CASE_2730</t>
  </si>
  <si>
    <t xml:space="preserve">The consequence is that their premises are subject to forceful entry and search under this section, as sub-section (2)(g) includes "instruments or materials used for the production of any of the articles mentioned" as objectionable. [Source: Section 97, BNSS 2023]</t>
  </si>
  <si>
    <t xml:space="preserve">CASE_2731</t>
  </si>
  <si>
    <t xml:space="preserve">Power to declare certain publications forfeited and to issue search-warrants for</t>
  </si>
  <si>
    <t xml:space="preserve">Yes, if a publication contains punishable matter, the State Government may declare every copy forfeited to the Government, and Magistrates may authorize police to search premises for them. [Source: Section 98, BNSS 2023]</t>
  </si>
  <si>
    <t xml:space="preserve">Hugging Face source record: BNSS_98</t>
  </si>
  <si>
    <t xml:space="preserve">CASE_2732</t>
  </si>
  <si>
    <t xml:space="preserve">Section 98 of BNSS 2023 states the State Government's power to forfeit publications containing severe criminal offenses (like inciting violence or obscenity) and authorizes widespread police searches to confiscate those documents. [Source: Section 98, BNSS 2023]</t>
  </si>
  <si>
    <t xml:space="preserve">CASE_2733</t>
  </si>
  <si>
    <t xml:space="preserve">No, sub-section (1) requires the Magistrate to authorize "any police officer not below the rank of sub-inspector" to enter and search for such documents. [Source: Section 98, BNSS 2023]</t>
  </si>
  <si>
    <t xml:space="preserve">CASE_2734</t>
  </si>
  <si>
    <t xml:space="preserve">The State Government must issue the notification "stating the grounds of its opinion." [Source: Section 98, BNSS 2023]</t>
  </si>
  <si>
    <t xml:space="preserve">CASE_2735</t>
  </si>
  <si>
    <t xml:space="preserve">No, sub-section (2)(b) states that "document" includes "any painting, drawing or photograph, or other visible representation." [Source: Section 98, BNSS 2023]</t>
  </si>
  <si>
    <t xml:space="preserve">CASE_2736</t>
  </si>
  <si>
    <t xml:space="preserve">The consequence, under sub-section (3), is that "No order passed or action taken under this section shall be called in question in any Court" except as provided in section 99. [Source: Section 98, BNSS 2023]</t>
  </si>
  <si>
    <t xml:space="preserve">CASE_2737</t>
  </si>
  <si>
    <t xml:space="preserve">Application to High Court to set aside declaration of forfeiture</t>
  </si>
  <si>
    <t xml:space="preserve">Yes, any person having an interest in the forfeited publication may apply to the High Court within two months of the declaration to have it set aside. [Source: Section 99, BNSS 2023]</t>
  </si>
  <si>
    <t xml:space="preserve">Hugging Face source record: BNSS_99</t>
  </si>
  <si>
    <t xml:space="preserve">CASE_2738</t>
  </si>
  <si>
    <t xml:space="preserve">Section 99 of BNSS 2023 outlines the appellate remedy for state-mandated forfeitures, allowing interested parties to petition a Special Bench of the High Court to overturn the ban. [Source: Section 99, BNSS 2023]</t>
  </si>
  <si>
    <t xml:space="preserve">CASE_2739</t>
  </si>
  <si>
    <t xml:space="preserve">No, under sub-section (1), the application must be made "within two months from the date of publication in the Official Gazette of such declaration." [Source: Section 99, BNSS 2023]</t>
  </si>
  <si>
    <t xml:space="preserve">CASE_2740</t>
  </si>
  <si>
    <t xml:space="preserve">They must argue that the publication "did not contain any such matter as is referred to in sub-section (1) of section 98." [Source: Section 99, BNSS 2023]</t>
  </si>
  <si>
    <t xml:space="preserve">CASE_2741</t>
  </si>
  <si>
    <t xml:space="preserve">No, sub-section (2) states it shall be heard by "a Special Bench of the High Court composed of three Judges" (or all judges if the court has fewer than three). [Source: Section 99, BNSS 2023]</t>
  </si>
  <si>
    <t xml:space="preserve">CASE_2742</t>
  </si>
  <si>
    <t xml:space="preserve">The consequence, under sub-section (5), is that "the decision shall be in accordance with the opinion of the majority of those Judges." [Source: Section 99, BNSS 2023]</t>
  </si>
  <si>
    <t xml:space="preserve">CASE_2743</t>
  </si>
  <si>
    <t xml:space="preserve">Search for persons wrongfully confined</t>
  </si>
  <si>
    <t xml:space="preserve">Yes, if a Magistrate has reason to believe a person is wrongfully confined, they may issue a search warrant, and the person executing it may search for the confined individual and bring them before the Magistrate. [Source: Section 100, BNSS 2023]</t>
  </si>
  <si>
    <t xml:space="preserve">Hugging Face source record: BNSS_100</t>
  </si>
  <si>
    <t xml:space="preserve">CASE_2744</t>
  </si>
  <si>
    <t xml:space="preserve">Section 100 of BNSS 2023 provides Magistrates with the authority to issue warrants specifically to search for and rescue victims of wrongful confinement, effectively acting as an emergency habeas corpus mechanism at the local level. [Source: Section 100, BNSS 2023]</t>
  </si>
  <si>
    <t xml:space="preserve">CASE_2745</t>
  </si>
  <si>
    <t xml:space="preserve">No, the section requires that "the person, if found, shall be immediately taken before a Magistrate, who shall make such order as in the circumstances of the case seems proper." [Source: Section 100, BNSS 2023]</t>
  </si>
  <si>
    <t xml:space="preserve">CASE_2746</t>
  </si>
  <si>
    <t xml:space="preserve">The Magistrate must have "reason to believe that any person is confined under such circumstances that the confinement amounts to an offence." [Source: Section 100, BNSS 2023]</t>
  </si>
  <si>
    <t xml:space="preserve">CASE_2747</t>
  </si>
  <si>
    <t xml:space="preserve">No, the power is explicitly granted only to "any District Magistrate, Sub-divisional Magistrate or Magistrate of the first class." [Source: Section 100, BNSS 2023]</t>
  </si>
  <si>
    <t xml:space="preserve">CASE_2748</t>
  </si>
  <si>
    <t xml:space="preserve">The consequence is that the Magistrate assumes immediate legal control over the victim's welfare, empowered to "make such order as in the circumstances of the case seems proper" to ensure their safety and liberty. [Source: Section 100, BNSS 2023]</t>
  </si>
  <si>
    <t xml:space="preserve">CASE_2749</t>
  </si>
  <si>
    <t xml:space="preserve">Power to compel restoration of abducted females</t>
  </si>
  <si>
    <t xml:space="preserve">Yes, upon a complaint made on oath, a Magistrate may make an order for the immediate restoration of an abducted woman to her liberty, or a female child to her parent/guardian, using necessary force. [Source: Section 101, BNSS 2023]</t>
  </si>
  <si>
    <t xml:space="preserve">Hugging Face source record: BNSS_101</t>
  </si>
  <si>
    <t xml:space="preserve">CASE_2750</t>
  </si>
  <si>
    <t xml:space="preserve">Section 101 of BNSS 2023 provides a direct, forceful legal mechanism for Magistrates to mandate the immediate rescue and restoration of abducted women and female children held for unlawful purposes. [Source: Section 101, BNSS 2023]</t>
  </si>
  <si>
    <t xml:space="preserve">CASE_2751</t>
  </si>
  <si>
    <t xml:space="preserve">No, the section requires the action to be taken "Upon complaint made on oath of the abduction or unlawful detention." [Source: Section 101, BNSS 2023]</t>
  </si>
  <si>
    <t xml:space="preserve">CASE_2752</t>
  </si>
  <si>
    <t xml:space="preserve">She must be restored "to her parent, guardian or other person having the lawful charge of such child." [Source: Section 101, BNSS 2023]</t>
  </si>
  <si>
    <t xml:space="preserve">CASE_2753</t>
  </si>
  <si>
    <t xml:space="preserve">No, the Magistrate "may compel compliance with such order, using such force as may be necessary." [Source: Section 101, BNSS 2023]</t>
  </si>
  <si>
    <t xml:space="preserve">CASE_2754</t>
  </si>
  <si>
    <t xml:space="preserve">The consequence is "the immediate restoration of such woman to her liberty," granting her immediate freedom from the unlawful detention. [Source: Section 101, BNSS 2023]</t>
  </si>
  <si>
    <t xml:space="preserve">CASE_2755</t>
  </si>
  <si>
    <t xml:space="preserve">Direction, etc., of search-warrants</t>
  </si>
  <si>
    <t xml:space="preserve">Yes, the provisions of several sections governing arrest warrants (like sections 32, 72, 74, 76, 79, 80 and 81) apply, so far as may be, to search-warrants issued under sections 96, 97, 98 or 100. [Source: Section 102, BNSS 2023]</t>
  </si>
  <si>
    <t xml:space="preserve">Hugging Face source record: BNSS_102</t>
  </si>
  <si>
    <t xml:space="preserve">CASE_2756</t>
  </si>
  <si>
    <t xml:space="preserve">Section 102 of BNSS 2023 dictates that the general procedural rules regarding the direction and execution of arrest warrants also govern the execution of search warrants. [Source: Section 102, BNSS 2023]</t>
  </si>
  <si>
    <t xml:space="preserve">CASE_2757</t>
  </si>
  <si>
    <t xml:space="preserve">No, Section 102 explicitly makes the provisions of Section 80 (which allows forwarding warrants outside jurisdiction) applicable "to all search-warrants issued under section 96, section 97, section 98 or section 100." [Source: Section 102, BNSS 2023]</t>
  </si>
  <si>
    <t xml:space="preserve">CASE_2758</t>
  </si>
  <si>
    <t xml:space="preserve">The consequence is that it streamlines the Sanhita by applying established procedural mechanics (like who executes a warrant and jurisdictional boundaries) equally to both arrests and property searches. [Source: Section 102, BNSS 2023]</t>
  </si>
  <si>
    <t xml:space="preserve">CASE_2759</t>
  </si>
  <si>
    <t xml:space="preserve">No, the section explicitly applies the listed rules only "to all search-warrants issued under section 96, section 97, section 98 or section 100." [Source: Section 102, BNSS 2023]</t>
  </si>
  <si>
    <t xml:space="preserve">CASE_2760</t>
  </si>
  <si>
    <t xml:space="preserve">They apply to search-warrants issued under "section 96, section 97, section 98 or section 100." [Source: Section 102, BNSS 2023]</t>
  </si>
  <si>
    <t xml:space="preserve">CASE_2761</t>
  </si>
  <si>
    <t xml:space="preserve">Persons in charge of closed place to allow search</t>
  </si>
  <si>
    <t xml:space="preserve">Yes, any person residing in or in charge of a closed place must, on demand and production of the warrant, allow free ingress and afford all reasonable facilities for a search. [Source: Section 103, BNSS 2023]</t>
  </si>
  <si>
    <t xml:space="preserve">Hugging Face source record: BNSS_103</t>
  </si>
  <si>
    <t xml:space="preserve">CASE_2762</t>
  </si>
  <si>
    <t xml:space="preserve">Section 103 of BNSS 2023 outlines the procedures for conducting searches of closed places, mandating occupant cooperation, requiring independent witnesses, and ensuring the occupant receives a list of seized items. [Source: Section 103, BNSS 2023]</t>
  </si>
  <si>
    <t xml:space="preserve">CASE_2763</t>
  </si>
  <si>
    <t xml:space="preserve">No, sub-section (4) mandates that before making a search, the officer "shall call upon two or more independent and respectable inhabitants of the locality... to attend and witness the search." [Source: Section 103, BNSS 2023]</t>
  </si>
  <si>
    <t xml:space="preserve">CASE_2764</t>
  </si>
  <si>
    <t xml:space="preserve">Under sub-section (6), the occupant "shall, in every instance, be permitted to attend during the search, and a copy of the list prepared under this section... shall be delivered to such occupant." [Source: Section 103, BNSS 2023]</t>
  </si>
  <si>
    <t xml:space="preserve">CASE_2765</t>
  </si>
  <si>
    <t xml:space="preserve">Yes, under sub-section (3), if any person is reasonably suspected of concealing an article on their person, "such person may be searched." If it's a woman, the search must be made by another woman. [Source: Section 103, BNSS 2023]</t>
  </si>
  <si>
    <t xml:space="preserve">CASE_2766</t>
  </si>
  <si>
    <t xml:space="preserve">The consequence is that they "shall be deemed to have committed an offence under section 222 of the Bharatiya Nyaya Sanhita, 2023." [Source: Section 103, BNSS 2023]</t>
  </si>
  <si>
    <t xml:space="preserve">CASE_2767</t>
  </si>
  <si>
    <t xml:space="preserve">Disposal of things found in search beyond jurisdiction</t>
  </si>
  <si>
    <t xml:space="preserve">The things found, along with a prepared list, must be immediately taken to the Court that issued the warrant, unless the place is nearer to the local Magistrate, in which case they go to the Magistrate first. [Source: Section 104, BNSS 2023]</t>
  </si>
  <si>
    <t xml:space="preserve">Hugging Face source record: BNSS_104</t>
  </si>
  <si>
    <t xml:space="preserve">CASE_2768</t>
  </si>
  <si>
    <t xml:space="preserve">Section 104 of BNSS 2023 specifies the procedure for disposing of things found during the execution of a search warrant beyond the local jurisdiction of the issuing Court. [Source: Section 104, BNSS 2023]</t>
  </si>
  <si>
    <t xml:space="preserve">CASE_2769</t>
  </si>
  <si>
    <t xml:space="preserve">They should take the goods and the list immediately to the local Magistrate, because the place of search is nearer to the Magistrate having jurisdiction therein than to the issuing Court. [Source: Section 104, BNSS 2023]</t>
  </si>
  <si>
    <t xml:space="preserve">CASE_2770</t>
  </si>
  <si>
    <t xml:space="preserve">The things found must be accompanied by "the list of the same prepared under the provisions hereinafter contained." [Source: Section 104, BNSS 2023]</t>
  </si>
  <si>
    <t xml:space="preserve">CASE_2771</t>
  </si>
  <si>
    <t xml:space="preserve">The Magistrate shall make an order authorizing them to be taken to the issuing Court "unless there be good cause to the contrary." [Source: Section 104, BNSS 2023]</t>
  </si>
  <si>
    <t xml:space="preserve">CASE_2772</t>
  </si>
  <si>
    <t xml:space="preserve">The consequence is that the Magistrate must "make an order authorising them to be taken to such Court" which issued the warrant, barring good cause to the contrary. [Source: Section 104, BNSS 2023]</t>
  </si>
  <si>
    <t xml:space="preserve">CASE_2773</t>
  </si>
  <si>
    <t xml:space="preserve">Recording of search and seizure through audio-video electronic means</t>
  </si>
  <si>
    <t xml:space="preserve">Yes, the process of conducting a search or taking possession of property, including the preparation and signing of the seizure list, shall be recorded through audio-video electronic means, preferably a mobile phone. [Source: Section 105, BNSS 2023]</t>
  </si>
  <si>
    <t xml:space="preserve">Hugging Face source record: BNSS_105</t>
  </si>
  <si>
    <t xml:space="preserve">CASE_2774</t>
  </si>
  <si>
    <t xml:space="preserve">Section 105 of BNSS 2023 mandates that the entire process of search and seizure, including preparing and signing the seizure list, must be recorded using audio-video electronic means. [Source: Section 105, BNSS 2023]</t>
  </si>
  <si>
    <t xml:space="preserve">CASE_2775</t>
  </si>
  <si>
    <t xml:space="preserve">No, the section requires that the police officer shall "without delay forward such recording to the District Magistrate, Sub-divisional Magistrate or Judicial Magistrate of the first class." [Source: Section 105, BNSS 2023]</t>
  </si>
  <si>
    <t xml:space="preserve">CASE_2776</t>
  </si>
  <si>
    <t xml:space="preserve">The recording must include the "process of conducting search of a place or taking possession of any property, article or thing," as well as the "preparation of the list of all things seized" and the "signing of such list by witnesses." [Source: Section 105, BNSS 2023]</t>
  </si>
  <si>
    <t xml:space="preserve">CASE_2777</t>
  </si>
  <si>
    <t xml:space="preserve">The recording must be forwarded to the "District Magistrate, Sub-divisional Magistrate or Judicial Magistrate of the first class." [Source: Section 105, BNSS 2023]</t>
  </si>
  <si>
    <t xml:space="preserve">CASE_2778</t>
  </si>
  <si>
    <t xml:space="preserve">The consequence is that traditional paper-only seizure lists are no longer sufficient on their own; they must be corroborated by an audio-video recording, preferably via mobile phone, forwarded promptly to a Magistrate. [Source: Section 105, BNSS 2023]</t>
  </si>
  <si>
    <t xml:space="preserve">CASE_2779</t>
  </si>
  <si>
    <t xml:space="preserve">Power of police officer to seize certain property</t>
  </si>
  <si>
    <t xml:space="preserve">A police officer may seize any property which is alleged or suspected to have been stolen, or which is found under circumstances creating suspicion of the commission of any offence. [Source: Section 106, BNSS 2023]</t>
  </si>
  <si>
    <t xml:space="preserve">Hugging Face source record: BNSS_106</t>
  </si>
  <si>
    <t xml:space="preserve">CASE_2780</t>
  </si>
  <si>
    <t xml:space="preserve">Section 106 of BNSS 2023 grants police officers the power to seize suspected stolen property or property found under suspicious circumstances, and outlines the reporting and custody procedures for such seizures. [Source: Section 106, BNSS 2023]</t>
  </si>
  <si>
    <t xml:space="preserve">CASE_2781</t>
  </si>
  <si>
    <t xml:space="preserve">Under sub-section (3), the officer may give custody of the bicycle to any person upon their executing a bond undertaking to produce the property before the Court as required. [Source: Section 106, BNSS 2023]</t>
  </si>
  <si>
    <t xml:space="preserve">CASE_2782</t>
  </si>
  <si>
    <t xml:space="preserve">The property can be released on a bond if it "cannot be conveniently transported to the Court," if there is "difficulty in securing proper accommodation for the custody," or if "continued retention of the property in police custody may not be considered necessary for the purpose of investigation." [Source: Section 106, BNSS 2023]</t>
  </si>
  <si>
    <t xml:space="preserve">CASE_2783</t>
  </si>
  <si>
    <t xml:space="preserve">Yes, under the proviso, if the property is subject to speedy and natural decay, the owner is unknown or absent, and its value is less than five hundred rupees, it may be sold forthwith by auction under the orders of the Superintendent of Police. [Source: Section 106, BNSS 2023]</t>
  </si>
  <si>
    <t xml:space="preserve">CASE_2784</t>
  </si>
  <si>
    <t xml:space="preserve">Under sub-section (2), a subordinate police officer "shall forthwith report the seizure to that officer" in charge of the police station. [Source: Section 106, BNSS 2023]</t>
  </si>
  <si>
    <t xml:space="preserve">CASE_2785</t>
  </si>
  <si>
    <t xml:space="preserve">Attachment, forfeiture or restoration of property</t>
  </si>
  <si>
    <t xml:space="preserve">An investigating officer, with the approval of the Superintendent or Commissioner of Police, can apply to the Court or Magistrate to attach property believed to be derived from a criminal activity or offence. [Source: Section 107, BNSS 2023]</t>
  </si>
  <si>
    <t xml:space="preserve">Hugging Face source record: BNSS_107</t>
  </si>
  <si>
    <t xml:space="preserve">CASE_2786</t>
  </si>
  <si>
    <t xml:space="preserve">Section 107 of BNSS 2023 establishes the mechanism for the attachment and forfeiture of proceeds of crime, and provides for the rateable distribution of these funds to the victims of the offence. [Source: Section 107, BNSS 2023]</t>
  </si>
  <si>
    <t xml:space="preserve">CASE_2787</t>
  </si>
  <si>
    <t xml:space="preserve">Yes, under sub-section (5), if issuing notice would defeat the object of attachment, the Magistrate may pass an interim ex parte order directing the attachment or seizure of such property. [Source: Section 107, BNSS 2023]</t>
  </si>
  <si>
    <t xml:space="preserve">CASE_2788</t>
  </si>
  <si>
    <t xml:space="preserve">The Magistrate must consider the explanation to the show-cause notice, consider available material facts, and give "a reasonable opportunity of being heard to such person or persons." [Source: Section 107, BNSS 2023]</t>
  </si>
  <si>
    <t xml:space="preserve">CASE_2789</t>
  </si>
  <si>
    <t xml:space="preserve">Under sub-section (8), if there are no claimants, no ascertainable claimant, or a surplus remains, "such proceeds of crime shall stand forfeited to the Government." [Source: Section 107, BNSS 2023]</t>
  </si>
  <si>
    <t xml:space="preserve">CASE_2790</t>
  </si>
  <si>
    <t xml:space="preserve">Under sub-section (6), the Court shall order the District Magistrate to "rateably distribute such proceeds of crime to the persons who are affected by such crime." [Source: Section 107, BNSS 2023]</t>
  </si>
  <si>
    <t xml:space="preserve">CASE_2791</t>
  </si>
  <si>
    <t xml:space="preserve">Magistrate may direct search in his presence</t>
  </si>
  <si>
    <t xml:space="preserve">Yes, any Magistrate may direct a search to be made in his presence at any place for which he has the authority to issue a search warrant. [Source: Section 108, BNSS 2023]</t>
  </si>
  <si>
    <t xml:space="preserve">Hugging Face source record: BNSS_108</t>
  </si>
  <si>
    <t xml:space="preserve">CASE_2792</t>
  </si>
  <si>
    <t xml:space="preserve">Section 108 of BNSS 2023 authorizes a Magistrate to personally oversee and direct a physical search of a place, provided they are legally competent to issue a search warrant for that location. [Source: Section 108, BNSS 2023]</t>
  </si>
  <si>
    <t xml:space="preserve">CASE_2793</t>
  </si>
  <si>
    <t xml:space="preserve">No, the section limits this power to "any place for the search of which he is competent to issue a search-warrant." [Source: Section 108, BNSS 2023]</t>
  </si>
  <si>
    <t xml:space="preserve">CASE_2794</t>
  </si>
  <si>
    <t xml:space="preserve">The Magistrate must "direct a search to be made in his presence" and the location must be a place "for the search of which he is competent to issue a search-warrant." [Source: Section 108, BNSS 2023]</t>
  </si>
  <si>
    <t xml:space="preserve">CASE_2795</t>
  </si>
  <si>
    <t xml:space="preserve">The authority is granted broadly to "Any Magistrate." [Source: Section 108, BNSS 2023]</t>
  </si>
  <si>
    <t xml:space="preserve">CASE_2796</t>
  </si>
  <si>
    <t xml:space="preserve">The consequence is that a Magistrate can bypass the formal issuance of a written warrant to police if they choose to be physically present and direct the search themselves. [Source: Section 108, BNSS 2023]</t>
  </si>
  <si>
    <t xml:space="preserve">CASE_2797</t>
  </si>
  <si>
    <t xml:space="preserve">Power to impound document, etc., produced</t>
  </si>
  <si>
    <t xml:space="preserve">Yes, any Court has the power to impound any document or thing produced before it under this Sanhita if it thinks fit to do so. [Source: Section 109, BNSS 2023]</t>
  </si>
  <si>
    <t xml:space="preserve">Hugging Face source record: BNSS_109</t>
  </si>
  <si>
    <t xml:space="preserve">CASE_2798</t>
  </si>
  <si>
    <t xml:space="preserve">Section 109 of BNSS 2023 gives courts the discretionary power to impound any document or object that is produced before them during proceedings. [Source: Section 109, BNSS 2023]</t>
  </si>
  <si>
    <t xml:space="preserve">CASE_2799</t>
  </si>
  <si>
    <t xml:space="preserve">Yes, the section explicitly states that "Any Court may, if it thinks fit, impound any document or thing produced before it." [Source: Section 109, BNSS 2023]</t>
  </si>
  <si>
    <t xml:space="preserve">CASE_2800</t>
  </si>
  <si>
    <t xml:space="preserve">The only conditions are that the "document or thing" must be "produced before it under this Sanhita," and the Court must "think fit" to impound it. [Source: Section 109, BNSS 2023]</t>
  </si>
  <si>
    <t xml:space="preserve">CASE_2801</t>
  </si>
  <si>
    <t xml:space="preserve">No, it is a discretionary power; the Court may impound items only "if it thinks fit." [Source: Section 109, BNSS 2023]</t>
  </si>
  <si>
    <t xml:space="preserve">CASE_2802</t>
  </si>
  <si>
    <t xml:space="preserve">The consequence is that the physical custody of the document or thing transfers from the person producing it to the Court, preventing its alteration, destruction, or removal. [Source: Section 109, BNSS 2023]</t>
  </si>
  <si>
    <t xml:space="preserve">CASE_2803</t>
  </si>
  <si>
    <t xml:space="preserve">Reciprocal arrangements regarding processes</t>
  </si>
  <si>
    <t xml:space="preserve">If the Central Government has arrangements with that contracting State, the Indian Court can send the summons in duplicate, directed to the foreign Court or Judge, through the transmission authority specified by the Central Government. [Source: Section 110, BNSS 2023]</t>
  </si>
  <si>
    <t xml:space="preserve">Hugging Face source record: BNSS_110</t>
  </si>
  <si>
    <t xml:space="preserve">CASE_2804</t>
  </si>
  <si>
    <t xml:space="preserve">Section 110 of BNSS 2023 regulates the reciprocal service and execution of summonses, arrest warrants, and search warrants between domestic Indian courts and courts in both external Indian territories and foreign contracting States. [Source: Section 110, BNSS 2023]</t>
  </si>
  <si>
    <t xml:space="preserve">CASE_2805</t>
  </si>
  <si>
    <t xml:space="preserve">No, under the proviso to sub-section (2), the "things found in the search shall be forwarded to the Court issuing the summons or search-warrant" through the authority specified by the Central Government. [Source: Section 110, BNSS 2023]</t>
  </si>
  <si>
    <t xml:space="preserve">CASE_2806</t>
  </si>
  <si>
    <t xml:space="preserve">The four processes are "a summons to an accused person," "a warrant for the arrest of an accused person," "a summons to any person requiring him to attend and produce a document or other thing," and "a search-warrant." [Source: Section 110, BNSS 2023]</t>
  </si>
  <si>
    <t xml:space="preserve">CASE_2807</t>
  </si>
  <si>
    <t xml:space="preserve">Under sub-section (1)(i), it may "send such summons or warrant in duplicate by post or otherwise, to the presiding officer of that Court to be served or executed." [Source: Section 110, BNSS 2023]</t>
  </si>
  <si>
    <t xml:space="preserve">CASE_2808</t>
  </si>
  <si>
    <t xml:space="preserve">Under sub-section (2), the consequence is that the Indian court "shall cause the same to be served or executed as if it were a summons or warrant received by it from another Court in the said territories." [Source: Section 110, BNSS 2023]</t>
  </si>
  <si>
    <t xml:space="preserve">CASE_2809</t>
  </si>
  <si>
    <t xml:space="preserve">It means any property derived or obtained, directly or indirectly, by any person as a result of criminal activity, including currency transfers, or the value of such property. [Source: Section 111, BNSS 2023]</t>
  </si>
  <si>
    <t xml:space="preserve">Hugging Face source record: BNSS_111</t>
  </si>
  <si>
    <t xml:space="preserve">CASE_2810</t>
  </si>
  <si>
    <t xml:space="preserve">Section 111 of BNSS 2023 provides the definitions for key terms used in Chapter VIII, such as "contracting State," "identifying," "proceeds of crime," "property," and "tracing." [Source: Section 111, BNSS 2023]</t>
  </si>
  <si>
    <t xml:space="preserve">CASE_2811</t>
  </si>
  <si>
    <t xml:space="preserve">This activity falls under "tracing," which clause (e) defines as "determining the nature, source, disposition, movement, title or ownership of property." [Source: Section 111, BNSS 2023]</t>
  </si>
  <si>
    <t xml:space="preserve">CASE_2812</t>
  </si>
  <si>
    <t xml:space="preserve">Property includes assets of every description, whether "corporeal or incorporeal, movable or immovable, tangible or intangible," and includes deeds, instruments evidencing title, and property obtained through proceeds of crime. [Source: Section 111, BNSS 2023]</t>
  </si>
  <si>
    <t xml:space="preserve">CASE_2813</t>
  </si>
  <si>
    <t xml:space="preserve">Clause (a) states it means "any country or place outside India in respect of which arrangements have been made by the Central Government with the Government of such country through a treaty or otherwise." [Source: Section 111, BNSS 2023]</t>
  </si>
  <si>
    <t xml:space="preserve">CASE_2814</t>
  </si>
  <si>
    <t xml:space="preserve">Clause (b) establishes that "identifying" has the evidentiary consequence of "establishment of a proof that the property was derived from, or used in, the commission of an offence." [Source: Section 111, BNSS 2023]</t>
  </si>
  <si>
    <t xml:space="preserve">CASE_2815</t>
  </si>
  <si>
    <t xml:space="preserve">Letter of request to competent authority for investigation in a country or place outside India</t>
  </si>
  <si>
    <t xml:space="preserve">During an investigation, the investigating officer can apply to a Criminal Court, which may issue a letter of request to a competent foreign Court or authority to examine witnesses, record statements, or require the production of documents. [Source: Section 112, BNSS 2023]</t>
  </si>
  <si>
    <t xml:space="preserve">Hugging Face source record: BNSS_112</t>
  </si>
  <si>
    <t xml:space="preserve">CASE_2816</t>
  </si>
  <si>
    <t xml:space="preserve">Section 112 of BNSS 2023 outlines the mechanism for Indian courts to issue a "letter of request" to foreign authorities to collect evidence, record statements, and seize documents abroad during a domestic investigation. [Source: Section 112, BNSS 2023]</t>
  </si>
  <si>
    <t xml:space="preserve">CASE_2817</t>
  </si>
  <si>
    <t xml:space="preserve">No, under sub-section (3), every statement, document, or thing received under this process "shall be deemed to be the evidence collected during the course of investigation under this Sanhita." [Source: Section 112, BNSS 2023]</t>
  </si>
  <si>
    <t xml:space="preserve">CASE_2818</t>
  </si>
  <si>
    <t xml:space="preserve">They can be requested to "examine orally any person supposed to be acquainted with the facts," "record his statement," "require such person or any other person to produce any document or thing," and "forward all the evidence" back to the issuing Court. [Source: Section 112, BNSS 2023]</t>
  </si>
  <si>
    <t xml:space="preserve">CASE_2819</t>
  </si>
  <si>
    <t xml:space="preserve">No, the application must be made by "the investigating officer or any officer superior in rank to the investigating officer." [Source: Section 112, BNSS 2023]</t>
  </si>
  <si>
    <t xml:space="preserve">CASE_2820</t>
  </si>
  <si>
    <t xml:space="preserve">The consequence of sub-section (2) is that the letter "shall be transmitted in such manner as the Central Government may specify in this behalf," preventing courts from sending them directly through unapproved channels. [Source: Section 112, BNSS 2023]</t>
  </si>
  <si>
    <t xml:space="preserve">CASE_2821</t>
  </si>
  <si>
    <t xml:space="preserve">Letter of request from a country or place outside India to a Court or an authority for investigation in India</t>
  </si>
  <si>
    <t xml:space="preserve">Upon receiving a letter of request, the Central Government may forward it to a designated Magistrate to summon and examine the witness, or send it to a police officer to investigate the offence as if it occurred in India. [Source: Section 113, BNSS 2023]</t>
  </si>
  <si>
    <t xml:space="preserve">Hugging Face source record: BNSS_113</t>
  </si>
  <si>
    <t xml:space="preserve">CASE_2822</t>
  </si>
  <si>
    <t xml:space="preserve">Section 113 of BNSS 2023 details how the Central Government and Indian authorities handle incoming letters of request from foreign countries seeking assistance in examining witnesses or producing evidence within India. [Source: Section 113, BNSS 2023]</t>
  </si>
  <si>
    <t xml:space="preserve">CASE_2823</t>
  </si>
  <si>
    <t xml:space="preserve">No, under sub-section (1)(ii), the police officer "shall thereupon investigate into the offence in the same manner, as if the offence had been committed within India." [Source: Section 113, BNSS 2023]</t>
  </si>
  <si>
    <t xml:space="preserve">CASE_2824</t>
  </si>
  <si>
    <t xml:space="preserve">The government may either (i) forward it to a Chief Judicial Magistrate or Judicial Magistrate to record statements and produce documents, or (ii) send it to a police officer to investigate the offence. [Source: Section 113, BNSS 2023]</t>
  </si>
  <si>
    <t xml:space="preserve">CASE_2825</t>
  </si>
  <si>
    <t xml:space="preserve">No, sub-section (1) grants discretion by stating the Central Government may take action "if it thinks fit." [Source: Section 113, BNSS 2023]</t>
  </si>
  <si>
    <t xml:space="preserve">CASE_2826</t>
  </si>
  <si>
    <t xml:space="preserve">Under sub-section (2), all collected evidence or authenticated copies "shall be forwarded... to the Central Government for transmission to the Court or the authority issuing the letter of request." [Source: Section 113, BNSS 2023]</t>
  </si>
  <si>
    <t xml:space="preserve">CASE_2827</t>
  </si>
  <si>
    <t xml:space="preserve">Assistance in securing transfer of persons</t>
  </si>
  <si>
    <t xml:space="preserve">An Indian court, upon satisfaction that the person's attendance is required for an investigation or inquiry, can issue a summons or warrant to a foreign Court or Judge through the authority specified by the Central Government. [Source: Section 114, BNSS 2023]</t>
  </si>
  <si>
    <t xml:space="preserve">Hugging Face source record: BNSS_114</t>
  </si>
  <si>
    <t xml:space="preserve">CASE_2828</t>
  </si>
  <si>
    <t xml:space="preserve">Section 114 of BNSS 2023 manages the reciprocal transfer of persons between India and contracting States for the execution of warrants, summonses, and investigations. [Source: Section 114, BNSS 2023]</t>
  </si>
  <si>
    <t xml:space="preserve">CASE_2829</t>
  </si>
  <si>
    <t xml:space="preserve">No, under sub-section (5), the Court in India "shall ensure that the conditions subject to which the prisoner is transferred to India are complied with." [Source: Section 114, BNSS 2023]</t>
  </si>
  <si>
    <t xml:space="preserve">CASE_2830</t>
  </si>
  <si>
    <t xml:space="preserve">An application must be made by the investigating officer or a superior officer, and the Court must be "satisfied that such attendance is so required." [Source: Section 114, BNSS 2023]</t>
  </si>
  <si>
    <t xml:space="preserve">CASE_2831</t>
  </si>
  <si>
    <t xml:space="preserve">Under sub-section (4), either "the Court in India or the Central Government may impose such conditions as that Court or Government deems fit." [Source: Section 114, BNSS 2023]</t>
  </si>
  <si>
    <t xml:space="preserve">CASE_2832</t>
  </si>
  <si>
    <t xml:space="preserve">Under sub-section (3), the consequence is that the warrant "shall be executed as if it is the warrant received by it from another Court in India for execution within its local limits." [Source: Section 114, BNSS 2023]</t>
  </si>
  <si>
    <t xml:space="preserve">CASE_2833</t>
  </si>
  <si>
    <t xml:space="preserve">Assistance in relation to orders of attachment or forfeiture of property</t>
  </si>
  <si>
    <t xml:space="preserve">When the Central Government receives a letter of request from a contracting State, it may forward the letter to an Indian Court for the attachment or forfeiture of the property in accordance with Indian law. [Source: Section 115, BNSS 2023]</t>
  </si>
  <si>
    <t xml:space="preserve">Hugging Face source record: BNSS_115</t>
  </si>
  <si>
    <t xml:space="preserve">CASE_2834</t>
  </si>
  <si>
    <t xml:space="preserve">Section 115 of BNSS 2023 focuses on international assistance for executing orders of attachment or forfeiture of property believed to be obtained from the commission of an offence. [Source: Section 115, BNSS 2023]</t>
  </si>
  <si>
    <t xml:space="preserve">CASE_2835</t>
  </si>
  <si>
    <t xml:space="preserve">No, under sub-section (2), the Indian Court "may issue a letter of request to a Court or an authority in the contracting State for execution of such order." [Source: Section 115, BNSS 2023]</t>
  </si>
  <si>
    <t xml:space="preserve">CASE_2836</t>
  </si>
  <si>
    <t xml:space="preserve">The Court must have "reasonable grounds to believe that any property obtained by any person is derived or obtained, directly or indirectly, by such person from the commission of an offence." [Source: Section 115, BNSS 2023]</t>
  </si>
  <si>
    <t xml:space="preserve">CASE_2837</t>
  </si>
  <si>
    <t xml:space="preserve">No, sub-section (3) states that the Central Government "may forward such letter of request to the Court, as it thinks fit," maintaining discretionary power. [Source: Section 115, BNSS 2023]</t>
  </si>
  <si>
    <t xml:space="preserve">CASE_2838</t>
  </si>
  <si>
    <t xml:space="preserve">The consequence is that the Indian Court must execute the request "in accordance with the provisions of sections 116 to 122... or, as the case may be, any other law for the time being in force." [Source: Section 115, BNSS 2023]</t>
  </si>
  <si>
    <t xml:space="preserve">CASE_2839</t>
  </si>
  <si>
    <t xml:space="preserve">Identifying unlawfully acquired property</t>
  </si>
  <si>
    <t xml:space="preserve">The Court directs a police officer, not below the rank of Sub-Inspector, to take all necessary steps, including inquiries, investigations, or surveys, to trace and identify the property. [Source: Section 116, BNSS 2023]</t>
  </si>
  <si>
    <t xml:space="preserve">Hugging Face source record: BNSS_116</t>
  </si>
  <si>
    <t xml:space="preserve">CASE_2840</t>
  </si>
  <si>
    <t xml:space="preserve">Section 116 of BNSS 2023 establishes the procedure and authority for directing police officers to trace, identify, and investigate unlawfully acquired property. [Source: Section 116, BNSS 2023]</t>
  </si>
  <si>
    <t xml:space="preserve">CASE_2841</t>
  </si>
  <si>
    <t xml:space="preserve">No, sub-section (1) strictly requires the Court to direct a "police officer not below the rank of Sub-Inspector of Police." A constable does not meet this rank requirement. [Source: Section 116, BNSS 2023]</t>
  </si>
  <si>
    <t xml:space="preserve">CASE_2842</t>
  </si>
  <si>
    <t xml:space="preserve">The steps may include "any inquiry, investigation or survey in respect of any person, place, property, assets, documents, books of account in any bank or public financial institutions or any other relevant matters." [Source: Section 116, BNSS 2023]</t>
  </si>
  <si>
    <t xml:space="preserve">CASE_2843</t>
  </si>
  <si>
    <t xml:space="preserve">Under sub-section (3), the inquiry must be carried out "in accordance with such directions issued by the said Court in this behalf." [Source: Section 116, BNSS 2023]</t>
  </si>
  <si>
    <t xml:space="preserve">CASE_2844</t>
  </si>
  <si>
    <t xml:space="preserve">The consequence is that designated police officers are empowered to deeply investigate personal assets and financial institutions specifically to trace criminal property for potential forfeiture. [Source: Section 116, BNSS 2023]</t>
  </si>
  <si>
    <t xml:space="preserve">CASE_2845</t>
  </si>
  <si>
    <t xml:space="preserve">Seizure or attachment of property</t>
  </si>
  <si>
    <t xml:space="preserve">Yes, if the officer believes the property is likely to be concealed, transferred, or disposed of, they can make an order seizing it, or if seizure is impractical, make an order of attachment. [Source: Section 117, BNSS 2023]</t>
  </si>
  <si>
    <t xml:space="preserve">Hugging Face source record: BNSS_117</t>
  </si>
  <si>
    <t xml:space="preserve">CASE_2846</t>
  </si>
  <si>
    <t xml:space="preserve">Section 117 of BNSS 2023 empowers investigating officers to urgently seize or attach property to prevent its disposal, subject to swift judicial confirmation. [Source: Section 117, BNSS 2023]</t>
  </si>
  <si>
    <t xml:space="preserve">CASE_2847</t>
  </si>
  <si>
    <t xml:space="preserve">No, under sub-section (2), the officer's order "shall have no effect unless the said order is confirmed by an order of the said Court, within a period of thirty days of its being made." [Source: Section 117, BNSS 2023]</t>
  </si>
  <si>
    <t xml:space="preserve">CASE_2848</t>
  </si>
  <si>
    <t xml:space="preserve">The officer must have reason to believe that the property "is likely to be concealed, transferred or dealt with in any manner which will result in disposal of such property." [Source: Section 117, BNSS 2023]</t>
  </si>
  <si>
    <t xml:space="preserve">CASE_2849</t>
  </si>
  <si>
    <t xml:space="preserve">Yes, the order of attachment directs that the property shall not be transferred "except with the prior permission of the officer making such order." [Source: Section 117, BNSS 2023]</t>
  </si>
  <si>
    <t xml:space="preserve">CASE_2850</t>
  </si>
  <si>
    <t xml:space="preserve">The consequence is that "a copy of such order shall be served on the person concerned," placing them on formal legal notice not to transfer or deal with the asset. [Source: Section 117, BNSS 2023]</t>
  </si>
  <si>
    <t xml:space="preserve">CASE_2851</t>
  </si>
  <si>
    <t xml:space="preserve">Management of properties seized or forfeited under this Chapter</t>
  </si>
  <si>
    <t xml:space="preserve">The Court may appoint the District Magistrate or a nominated officer to act as the Administrator to receive, manage, and dispose of such properties. [Source: Section 118, BNSS 2023]</t>
  </si>
  <si>
    <t xml:space="preserve">Hugging Face source record: BNSS_118</t>
  </si>
  <si>
    <t xml:space="preserve">CASE_2852</t>
  </si>
  <si>
    <t xml:space="preserve">Section 118 of BNSS 2023 addresses the management of seized or forfeited properties by authorizing the appointment of an Administrator to oversee and dispose of them. [Source: Section 118, BNSS 2023]</t>
  </si>
  <si>
    <t xml:space="preserve">CASE_2853</t>
  </si>
  <si>
    <t xml:space="preserve">No, under sub-section (1), the Court may only appoint "the District Magistrate of the area where the property is situated, or any other officer that may be nominated by the District Magistrate." [Source: Section 118, BNSS 2023]</t>
  </si>
  <si>
    <t xml:space="preserve">CASE_2854</t>
  </si>
  <si>
    <t xml:space="preserve">The Administrator must "take such measures, as the Central Government may direct, to dispose of the property which is forfeited to the Central Government." [Source: Section 118, BNSS 2023]</t>
  </si>
  <si>
    <t xml:space="preserve">CASE_2855</t>
  </si>
  <si>
    <t xml:space="preserve">No, under sub-section (2), the Administrator must receive and manage the property "in such manner and subject to such conditions as may be specified by the Central Government." [Source: Section 118, BNSS 2023]</t>
  </si>
  <si>
    <t xml:space="preserve">CASE_2856</t>
  </si>
  <si>
    <t xml:space="preserve">The consequence is that the daily management and eventual disposal of seized complex assets are handled systematically by government officers rather than leaving the property to decay during legal proceedings. [Source: Section 118, BNSS 2023]</t>
  </si>
  <si>
    <t xml:space="preserve">CASE_2857</t>
  </si>
  <si>
    <t xml:space="preserve">Notice of forfeiture of property</t>
  </si>
  <si>
    <t xml:space="preserve">The Court must serve a notice on the affected person, giving them thirty days to indicate the source of their income and show cause why the property should not be forfeited. [Source: Section 119, BNSS 2023]</t>
  </si>
  <si>
    <t xml:space="preserve">Hugging Face source record: BNSS_119</t>
  </si>
  <si>
    <t xml:space="preserve">CASE_2858</t>
  </si>
  <si>
    <t xml:space="preserve">Section 119 of BNSS 2023 provides the procedural safeguard of a show-cause notice, requiring the court to demand proof of legitimate income before forfeiting suspected criminal property. [Source: Section 119, BNSS 2023]</t>
  </si>
  <si>
    <t xml:space="preserve">CASE_2859</t>
  </si>
  <si>
    <t xml:space="preserve">No, under sub-section (2), if the notice specifies property held on behalf of the affected person by another, "a copy of the notice shall also be served upon such other person." [Source: Section 119, BNSS 2023]</t>
  </si>
  <si>
    <t xml:space="preserve">CASE_2860</t>
  </si>
  <si>
    <t xml:space="preserve">They must indicate "the source of income, earnings or assets, out of which or by means of which he has acquired such property, the evidence on which he relies and other relevant information and particulars." [Source: Section 119, BNSS 2023]</t>
  </si>
  <si>
    <t xml:space="preserve">CASE_2861</t>
  </si>
  <si>
    <t xml:space="preserve">The notice calls upon the person to respond "within a period of thirty days specified in the notice." [Source: Section 119, BNSS 2023]</t>
  </si>
  <si>
    <t xml:space="preserve">CASE_2862</t>
  </si>
  <si>
    <t xml:space="preserve">The consequence is that they fail to show cause, leading the Court closer to declaring the properties "to be proceeds of crime and forfeited to the Central Government." [Source: Section 119, BNSS 2023]</t>
  </si>
  <si>
    <t xml:space="preserve">CASE_2863</t>
  </si>
  <si>
    <t xml:space="preserve">Forfeiture of property in certain cases</t>
  </si>
  <si>
    <t xml:space="preserve">After considering explanations, giving a reasonable opportunity to be heard, and examining evidence, the Court records a finding; if the property is criminal proceeds, it stands forfeited to the Central Government free from all encumbrances. [Source: Section 120, BNSS 2023]</t>
  </si>
  <si>
    <t xml:space="preserve">Hugging Face source record: BNSS_120</t>
  </si>
  <si>
    <t xml:space="preserve">CASE_2864</t>
  </si>
  <si>
    <t xml:space="preserve">Section 120 of BNSS 2023 dictates the final procedure and legal effect of declaring property as proceeds of crime, resulting in its absolute forfeiture to the Central Government. [Source: Section 120, BNSS 2023]</t>
  </si>
  <si>
    <t xml:space="preserve">CASE_2865</t>
  </si>
  <si>
    <t xml:space="preserve">Yes, under the proviso to sub-section (1), if the affected person does not appear or represent their case within thirty days, "the Court may proceed to record a finding under this sub-section ex parte on the basis of evidence available before it." [Source: Section 120, BNSS 2023]</t>
  </si>
  <si>
    <t xml:space="preserve">CASE_2866</t>
  </si>
  <si>
    <t xml:space="preserve">It is lawful for the Court to "specify the properties which, to the best of its judgment, are proceeds of crime and record a finding accordingly." [Source: Section 120, BNSS 2023]</t>
  </si>
  <si>
    <t xml:space="preserve">CASE_2867</t>
  </si>
  <si>
    <t xml:space="preserve">No, under sub-section (4), the company shall register the Central Government as the transferee "notwithstanding anything contained in the Companies Act, 2013... or the Articles of Association of the company." [Source: Section 120, BNSS 2023]</t>
  </si>
  <si>
    <t xml:space="preserve">CASE_2868</t>
  </si>
  <si>
    <t xml:space="preserve">Under sub-section (3), the consequence is that "such property shall stand forfeited to the Central Government free from all encumbrances," effectively wiping out those liens. [Source: Section 120, BNSS 2023]</t>
  </si>
  <si>
    <t xml:space="preserve">CASE_2869</t>
  </si>
  <si>
    <t xml:space="preserve">Fine in lieu of forfeiture</t>
  </si>
  <si>
    <t xml:space="preserve">Yes, if the source of only a part of the property is unproved, the Court must offer the person an option to pay a fine equal to the market value of that part in lieu of forfeiting the whole property. [Source: Section 121, BNSS 2023]</t>
  </si>
  <si>
    <t xml:space="preserve">Hugging Face source record: BNSS_121</t>
  </si>
  <si>
    <t xml:space="preserve">CASE_2870</t>
  </si>
  <si>
    <t xml:space="preserve">Section 121 of BNSS 2023 provides the mechanism for an affected person to save their partially tainted property from forfeiture by paying a fine equivalent to the unproven portion's market value. [Source: Section 121, BNSS 2023]</t>
  </si>
  <si>
    <t xml:space="preserve">CASE_2871</t>
  </si>
  <si>
    <t xml:space="preserve">No, under sub-section (1), because the source of only a part of the property has not been proved, the Court "shall make an order giving an option to the person affected to pay... a fine equal to the market value of such part." [Source: Section 121, BNSS 2023]</t>
  </si>
  <si>
    <t xml:space="preserve">CASE_2872</t>
  </si>
  <si>
    <t xml:space="preserve">Under sub-section (2), "the person affected shall be given a reasonable opportunity of being heard." [Source: Section 121, BNSS 2023]</t>
  </si>
  <si>
    <t xml:space="preserve">CASE_2873</t>
  </si>
  <si>
    <t xml:space="preserve">The fine must be "equal to the market value of such part" of the property whose legitimate source could not be proved. [Source: Section 121, BNSS 2023]</t>
  </si>
  <si>
    <t xml:space="preserve">CASE_2874</t>
  </si>
  <si>
    <t xml:space="preserve">Under sub-section (3), the consequence is that the Court "may, by order, revoke the declaration of forfeiture under section 120 and thereupon such property shall stand released." [Source: Section 121, BNSS 2023]</t>
  </si>
  <si>
    <t xml:space="preserve">CASE_2875</t>
  </si>
  <si>
    <t xml:space="preserve">Certain transfers to be null and void</t>
  </si>
  <si>
    <t xml:space="preserve">Any transfer of property made after an order of attachment or the issuance of a forfeiture notice is ignored during proceedings, and if forfeited, the transfer is deemed null and void. [Source: Section 122, BNSS 2023]</t>
  </si>
  <si>
    <t xml:space="preserve">Hugging Face source record: BNSS_122</t>
  </si>
  <si>
    <t xml:space="preserve">CASE_2876</t>
  </si>
  <si>
    <t xml:space="preserve">Section 122 of BNSS 2023 ensures that suspects cannot evade asset forfeiture by rapidly selling or transferring their property after being officially notified or attached by authorities. [Source: Section 122, BNSS 2023]</t>
  </si>
  <si>
    <t xml:space="preserve">CASE_2877</t>
  </si>
  <si>
    <t xml:space="preserve">No, the section dictates that "such transfers shall, for the purposes of the proceedings under this Chapter, be ignored." [Source: Section 122, BNSS 2023]</t>
  </si>
  <si>
    <t xml:space="preserve">CASE_2878</t>
  </si>
  <si>
    <t xml:space="preserve">The triggers are "the making of an order under sub-section (1) of section 117" (attachment/seizure) or "the issue of a notice under section 119" (show-cause for forfeiture). [Source: Section 122, BNSS 2023]</t>
  </si>
  <si>
    <t xml:space="preserve">CASE_2879</t>
  </si>
  <si>
    <t xml:space="preserve">No, it applies if the property is "transferred by any mode whatsoever," covering all forms of conveyance. [Source: Section 122, BNSS 2023]</t>
  </si>
  <si>
    <t xml:space="preserve">CASE_2880</t>
  </si>
  <si>
    <t xml:space="preserve">The ultimate consequence is that "the transfer of such property shall be deemed to be null and void." [Source: Section 122, BNSS 2023]</t>
  </si>
  <si>
    <t xml:space="preserve">CASE_2881</t>
  </si>
  <si>
    <t xml:space="preserve">Procedure in respect of letter of request</t>
  </si>
  <si>
    <t xml:space="preserve">Every letter of request, summons, or warrant sent to or received from a contracting State must be transmitted in the specific form and manner notified by the Central Government. [Source: Section 123, BNSS 2023]</t>
  </si>
  <si>
    <t xml:space="preserve">Hugging Face source record: BNSS_123</t>
  </si>
  <si>
    <t xml:space="preserve">CASE_2882</t>
  </si>
  <si>
    <t xml:space="preserve">Section 123 of BNSS 2023 grants the Central Government the authority to specify the standardized procedures, forms, and transmission channels for all international letters of request, summonses, and warrants under Chapter VIII. [Source: Section 123, BNSS 2023]</t>
  </si>
  <si>
    <t xml:space="preserve">CASE_2883</t>
  </si>
  <si>
    <t xml:space="preserve">No, the section requires that the transmission to a contracting State shall be done "in such form and in such manner as the Central Government may, by notification, specify in this behalf." [Source: Section 123, BNSS 2023]</t>
  </si>
  <si>
    <t xml:space="preserve">CASE_2884</t>
  </si>
  <si>
    <t xml:space="preserve">The three documents are "Every letter of request, summons or warrant." [Source: Section 123, BNSS 2023]</t>
  </si>
  <si>
    <t xml:space="preserve">CASE_2885</t>
  </si>
  <si>
    <t xml:space="preserve">No, it applies both to documents "received by the Central Government from" and those "to be transmitted to a contracting State." [Source: Section 123, BNSS 2023]</t>
  </si>
  <si>
    <t xml:space="preserve">CASE_2886</t>
  </si>
  <si>
    <t xml:space="preserve">The consequence is that the Central Government acts as the central coordinating authority, responsible for notifying the proper form and manner of international judicial communications. [Source: Section 123, BNSS 2023]</t>
  </si>
  <si>
    <t xml:space="preserve">CASE_2887</t>
  </si>
  <si>
    <t xml:space="preserve">Application of this Chapter</t>
  </si>
  <si>
    <t xml:space="preserve">Yes, the Central Government may direct its application in relation to a contracting State with which reciprocal arrangements have been made, subject to specified conditions. [Source: Section 124, BNSS 2023]</t>
  </si>
  <si>
    <t xml:space="preserve">Hugging Face source record: BNSS_124</t>
  </si>
  <si>
    <t xml:space="preserve">CASE_2888</t>
  </si>
  <si>
    <t xml:space="preserve">Section 124 of BNSS 2023 provides the Central Government with the authority to apply the provisions of Chapter IX to contracting States through an official notification. [Source: Section 124, BNSS 2023]</t>
  </si>
  <si>
    <t xml:space="preserve">CASE_2889</t>
  </si>
  <si>
    <t xml:space="preserve">Yes, the application "shall be subject to such conditions, exceptions or qualifications as are specified in the said notification." [Source: Section 124, BNSS 2023]</t>
  </si>
  <si>
    <t xml:space="preserve">CASE_2890</t>
  </si>
  <si>
    <t xml:space="preserve">It must be a "contracting State with which reciprocal arrangements have been made." [Source: Section 124, BNSS 2023]</t>
  </si>
  <si>
    <t xml:space="preserve">CASE_2891</t>
  </si>
  <si>
    <t xml:space="preserve">The "Central Government" has the authority to do so by notification in the Official Gazette. [Source: Section 124, BNSS 2023]</t>
  </si>
  <si>
    <t xml:space="preserve">CASE_2892</t>
  </si>
  <si>
    <t xml:space="preserve">The consequence is that the legal mechanisms for demanding security for peace and good behaviour are extended internationally to the specified contracting State, modified by any stated exceptions. [Source: Section 124, BNSS 2023]</t>
  </si>
  <si>
    <t xml:space="preserve">CASE_2893</t>
  </si>
  <si>
    <t xml:space="preserve">Security for keeping peace on conviction</t>
  </si>
  <si>
    <t xml:space="preserve">Yes, if a Court of Session or Magistrate of the first class convicts someone of specific offences and thinks it necessary, they can order the person to execute a bond for keeping the peace for up to three years. [Source: Section 125, BNSS 2023]</t>
  </si>
  <si>
    <t xml:space="preserve">Hugging Face source record: BNSS_125</t>
  </si>
  <si>
    <t xml:space="preserve">CASE_2894</t>
  </si>
  <si>
    <t xml:space="preserve">Section 125 of BNSS 2023 authorizes specific courts to demand a bond for keeping the peace from individuals convicted of offences like assault, criminal intimidation, or breach of peace, at the time of sentencing. [Source: Section 125, BNSS 2023]</t>
  </si>
  <si>
    <t xml:space="preserve">CASE_2895</t>
  </si>
  <si>
    <t xml:space="preserve">No, under sub-section (3), if the conviction is set aside on appeal or otherwise, "the bond or bail bond so executed shall become void." [Source: Section 125, BNSS 2023]</t>
  </si>
  <si>
    <t xml:space="preserve">CASE_2896</t>
  </si>
  <si>
    <t xml:space="preserve">The offences include specific ones under Chapter XI of the Bharatiya Nyaya Sanhita, offences involving assault or criminal force or mischief, criminal intimidation, or any other offence intended to cause a breach of the peace. [Source: Section 125, BNSS 2023]</t>
  </si>
  <si>
    <t xml:space="preserve">CASE_2897</t>
  </si>
  <si>
    <t xml:space="preserve">The bond can be for a period "not exceeding three years, as it thinks fit." [Source: Section 125, BNSS 2023]</t>
  </si>
  <si>
    <t xml:space="preserve">CASE_2898</t>
  </si>
  <si>
    <t xml:space="preserve">Under sub-section (4), the consequence is that an order for security "may also be made by an Appellate Court or by a Court when exercising its powers of revision." [Source: Section 125, BNSS 2023]</t>
  </si>
  <si>
    <t xml:space="preserve">CASE_2899</t>
  </si>
  <si>
    <t xml:space="preserve">Security for keeping peace in other cases</t>
  </si>
  <si>
    <t xml:space="preserve">The Executive Magistrate can require the person to show cause why they should not be ordered to execute a bond for keeping the peace for a period not exceeding one year. [Source: Section 126, BNSS 2023]</t>
  </si>
  <si>
    <t xml:space="preserve">Hugging Face source record: BNSS_126</t>
  </si>
  <si>
    <t xml:space="preserve">CASE_2900</t>
  </si>
  <si>
    <t xml:space="preserve">Section 126 of BNSS 2023 serves as a preventive measure, allowing Executive Magistrates to demand a peace bond from individuals deemed likely to breach the peace or disturb public tranquillity. [Source: Section 126, BNSS 2023]</t>
  </si>
  <si>
    <t xml:space="preserve">CASE_2901</t>
  </si>
  <si>
    <t xml:space="preserve">Yes, under sub-section (2), proceedings may be taken when "there is within such jurisdiction a person who is likely to commit a breach of the peace or disturb the public tranquillity or to do any wrongful act as aforesaid beyond such jurisdiction." [Source: Section 126, BNSS 2023]</t>
  </si>
  <si>
    <t xml:space="preserve">CASE_2902</t>
  </si>
  <si>
    <t xml:space="preserve">The Magistrate must be of the opinion that "there is sufficient ground for proceeding." [Source: Section 126, BNSS 2023]</t>
  </si>
  <si>
    <t xml:space="preserve">CASE_2903</t>
  </si>
  <si>
    <t xml:space="preserve">The bond is for a period "not exceeding one year, as the Magistrate thinks fit." [Source: Section 126, BNSS 2023]</t>
  </si>
  <si>
    <t xml:space="preserve">CASE_2904</t>
  </si>
  <si>
    <t xml:space="preserve">The consequence is that they are formally summoned to "show cause why he should not be ordered to execute a bond or bail bond," forcing them to justify their conduct before the Magistrate. [Source: Section 126, BNSS 2023]</t>
  </si>
  <si>
    <t xml:space="preserve">CASE_2905</t>
  </si>
  <si>
    <t xml:space="preserve">Security for good behaviour from persons disseminating certain matters</t>
  </si>
  <si>
    <t xml:space="preserve">Yes, an Executive Magistrate can require a person to show cause why they shouldn't execute a bond for good behaviour for up to one year if they intentionally disseminate matters punishable under specific laws, like defamation of a Judge or distributing obscene matter. [Source: Section 127, BNSS 2023]</t>
  </si>
  <si>
    <t xml:space="preserve">Hugging Face source record: BNSS_127</t>
  </si>
  <si>
    <t xml:space="preserve">CASE_2906</t>
  </si>
  <si>
    <t xml:space="preserve">Section 127 of BNSS 2023 covers the preventive power of Executive Magistrates to demand good behaviour bonds from individuals disseminating inflammatory, defamatory, or obscene materials. [Source: Section 127, BNSS 2023]</t>
  </si>
  <si>
    <t xml:space="preserve">CASE_2907</t>
  </si>
  <si>
    <t xml:space="preserve">No, under sub-section (2), no proceedings shall be taken against the editor of a registered publication "except by the order or under the authority of the State Government or some officer empowered by the State Government in this behalf." [Source: Section 127, BNSS 2023]</t>
  </si>
  <si>
    <t xml:space="preserve">CASE_2908</t>
  </si>
  <si>
    <t xml:space="preserve">The two actions are intentionally disseminating specific punishable or defamatory matters, or making, producing, publishing, or circulating "any obscene matter such as is referred to in section 294 of the Bharatiya Nyaya Sanhita, 2023." [Source: Section 127, BNSS 2023]</t>
  </si>
  <si>
    <t xml:space="preserve">CASE_2909</t>
  </si>
  <si>
    <t xml:space="preserve">No, the Magistrate only needs information that the person is disseminating the material and the "opinion that there is sufficient ground for proceeding." [Source: Section 127, BNSS 2023]</t>
  </si>
  <si>
    <t xml:space="preserve">CASE_2910</t>
  </si>
  <si>
    <t xml:space="preserve">The consequence is that they can be preemptively forced by an Executive Magistrate to secure their future good behaviour through a bond, rather than just facing a standalone defamation trial. [Source: Section 127, BNSS 2023]</t>
  </si>
  <si>
    <t xml:space="preserve">CASE_2911</t>
  </si>
  <si>
    <t xml:space="preserve">Security for good behaviour from suspected persons</t>
  </si>
  <si>
    <t xml:space="preserve">An Executive Magistrate can require such a person to show cause why they should not execute a bond for good behaviour for a period not exceeding one year. [Source: Section 128, BNSS 2023]</t>
  </si>
  <si>
    <t xml:space="preserve">Hugging Face source record: BNSS_128</t>
  </si>
  <si>
    <t xml:space="preserve">CASE_2912</t>
  </si>
  <si>
    <t xml:space="preserve">Section 128 of BNSS 2023 empowers an Executive Magistrate to demand a good behaviour bond from suspected persons who are taking precautions to conceal their presence in order to commit a cognizable offence. [Source: Section 128, BNSS 2023]</t>
  </si>
  <si>
    <t xml:space="preserve">CASE_2913</t>
  </si>
  <si>
    <t xml:space="preserve">No, the section requires that there is reason to believe the person is concealing their presence "with a view to committing a cognizable offence." [Source: Section 128, BNSS 2023]</t>
  </si>
  <si>
    <t xml:space="preserve">CASE_2914</t>
  </si>
  <si>
    <t xml:space="preserve">The Magistrate must receive information that the person is "taking precautions to conceal his presence" and that there is reason to believe they are doing so "with a view to committing a cognizable offence." [Source: Section 128, BNSS 2023]</t>
  </si>
  <si>
    <t xml:space="preserve">CASE_2915</t>
  </si>
  <si>
    <t xml:space="preserve">An "Executive Magistrate" has the authority to initiate these proceedings within their local jurisdiction. [Source: Section 128, BNSS 2023]</t>
  </si>
  <si>
    <t xml:space="preserve">CASE_2916</t>
  </si>
  <si>
    <t xml:space="preserve">The consequence is that the Magistrate initiates a formal inquiry, forcing the suspect to publicly justify their presence or execute a bond ensuring their good behaviour. [Source: Section 128, BNSS 2023]</t>
  </si>
  <si>
    <t xml:space="preserve">CASE_2917</t>
  </si>
  <si>
    <t xml:space="preserve">Security for good behaviour from habitual offenders</t>
  </si>
  <si>
    <t xml:space="preserve">An Executive Magistrate can demand that a habitual offender show cause why they should not execute a bail bond for good behaviour for a period of up to three years. [Source: Section 129, BNSS 2023]</t>
  </si>
  <si>
    <t xml:space="preserve">Hugging Face source record: BNSS_129</t>
  </si>
  <si>
    <t xml:space="preserve">CASE_2918</t>
  </si>
  <si>
    <t xml:space="preserve">Section 129 of BNSS 2023 targets habitual offenders—including thieves, receivers of stolen property, and those who chronically commit specific offences—allowing Magistrates to bind them to good behaviour for up to three years. [Source: Section 129, BNSS 2023]</t>
  </si>
  <si>
    <t xml:space="preserve">CASE_2919</t>
  </si>
  <si>
    <t xml:space="preserve">Yes, clause (g) explicitly includes any person who "is so desperate and dangerous as to render his being at large without security hazardous to the community." [Source: Section 129, BNSS 2023]</t>
  </si>
  <si>
    <t xml:space="preserve">CASE_2920</t>
  </si>
  <si>
    <t xml:space="preserve">The Acts include the Drugs and Cosmetics Act, the Foreigners Act, the Employees' Provident Fund Act, the Essential Commodities Act, the Protection of Civil Rights Act, the Customs Act, and the Food Safety and Standards Act. [Source: Section 129, BNSS 2023]</t>
  </si>
  <si>
    <t xml:space="preserve">CASE_2921</t>
  </si>
  <si>
    <t xml:space="preserve">No, while Section 128 limits the bond to one year, Section 129 allows a bond for a period "not exceeding three years." [Source: Section 129, BNSS 2023]</t>
  </si>
  <si>
    <t xml:space="preserve">CASE_2922</t>
  </si>
  <si>
    <t xml:space="preserve">The consequence is that the person can be brought before a Magistrate and forced to provide security for their good behaviour, curbing their ability to continuously aid criminal networks. [Source: Section 129, BNSS 2023]</t>
  </si>
  <si>
    <t xml:space="preserve">CASE_2923</t>
  </si>
  <si>
    <t xml:space="preserve">Order to be made</t>
  </si>
  <si>
    <t xml:space="preserve">The Magistrate must make an order in writing that sets forth the substance of the information received, the amount of the bond, the term it will be in force, and the number of sureties required. [Source: Section 130, BNSS 2023]</t>
  </si>
  <si>
    <t xml:space="preserve">Hugging Face source record: BNSS_130</t>
  </si>
  <si>
    <t xml:space="preserve">CASE_2924</t>
  </si>
  <si>
    <t xml:space="preserve">Section 130 of BNSS 2023 outlines the mandatory components of the written order a Magistrate must issue when initiating proceedings to demand a peace or good behaviour bond under the preceding sections. [Source: Section 130, BNSS 2023]</t>
  </si>
  <si>
    <t xml:space="preserve">CASE_2925</t>
  </si>
  <si>
    <t xml:space="preserve">No, the Magistrate "shall make an order in writing" setting forth the specific details; a verbal demand is not sufficient. [Source: Section 130, BNSS 2023]</t>
  </si>
  <si>
    <t xml:space="preserve">CASE_2926</t>
  </si>
  <si>
    <t xml:space="preserve">The order must include "the substance of the information received, the amount of the bond to be executed, the term for which it is to be in force and the number of sureties." [Source: Section 130, BNSS 2023]</t>
  </si>
  <si>
    <t xml:space="preserve">CASE_2927</t>
  </si>
  <si>
    <t xml:space="preserve">No, it specifically applies to a "Magistrate acting under section 126, section 127, section 128 or section 129." [Source: Section 130, BNSS 2023]</t>
  </si>
  <si>
    <t xml:space="preserve">CASE_2928</t>
  </si>
  <si>
    <t xml:space="preserve">The consequence is that the formal parameters of the inquiry are locked in, ensuring the accused knows exactly what allegations they must answer and the potential financial and temporal scope of the demanded bond. [Source: Section 130, BNSS 2023]</t>
  </si>
  <si>
    <t xml:space="preserve">CASE_2929</t>
  </si>
  <si>
    <t xml:space="preserve">Procedure in respect of person present in Court</t>
  </si>
  <si>
    <t xml:space="preserve">The order shall be read over to the person, or if they desire, the substance of the order shall be explained to them. [Source: Section 131, BNSS 2023]</t>
  </si>
  <si>
    <t xml:space="preserve">Hugging Face source record: BNSS_131</t>
  </si>
  <si>
    <t xml:space="preserve">CASE_2930</t>
  </si>
  <si>
    <t xml:space="preserve">Section 131 of BNSS 2023 prescribes the immediate procedural step of reading or explaining the show-cause order to the targeted individual if they are physically present in the Court when it is made. [Source: Section 131, BNSS 2023]</t>
  </si>
  <si>
    <t xml:space="preserve">CASE_2931</t>
  </si>
  <si>
    <t xml:space="preserve">Because the person "so desires" to understand, "the substance thereof shall be explained to him" rather than just read out in a language they don't grasp. [Source: Section 131, BNSS 2023]</t>
  </si>
  <si>
    <t xml:space="preserve">CASE_2932</t>
  </si>
  <si>
    <t xml:space="preserve">The substance shall be explained to him "if he so desires." [Source: Section 131, BNSS 2023]</t>
  </si>
  <si>
    <t xml:space="preserve">CASE_2933</t>
  </si>
  <si>
    <t xml:space="preserve">No, this specific procedure applies only "If the person in respect of whom such order is made is present in Court," making a summons unnecessary. [Source: Section 131, BNSS 2023]</t>
  </si>
  <si>
    <t xml:space="preserve">CASE_2934</t>
  </si>
  <si>
    <t xml:space="preserve">The consequence is that the person is immediately put on formal notice of the proceedings against them, bypassing the need for physical service of a summons. [Source: Section 131, BNSS 2023]</t>
  </si>
  <si>
    <t xml:space="preserve">CASE_2935</t>
  </si>
  <si>
    <t xml:space="preserve">Summons or warrant in case of person not so present</t>
  </si>
  <si>
    <t xml:space="preserve">The Magistrate issues a summons requiring them to appear, or if they are already in custody, a warrant directing the custodial officer to bring them before the Court. [Source: Section 132, BNSS 2023]</t>
  </si>
  <si>
    <t xml:space="preserve">Hugging Face source record: BNSS_132</t>
  </si>
  <si>
    <t xml:space="preserve">CASE_2936</t>
  </si>
  <si>
    <t xml:space="preserve">Section 132 of BNSS 2023 provides the mechanisms—summons, warrant to a custodian, or direct arrest warrant—to secure the attendance of a person against whom a show-cause order for a bond has been made. [Source: Section 132, BNSS 2023]</t>
  </si>
  <si>
    <t xml:space="preserve">CASE_2937</t>
  </si>
  <si>
    <t xml:space="preserve">Yes, under the proviso, if there is reason to fear a breach of the peace that cannot be prevented otherwise, "the Magistrate may at any time issue a warrant for his arrest." [Source: Section 132, BNSS 2023]</t>
  </si>
  <si>
    <t xml:space="preserve">CASE_2938</t>
  </si>
  <si>
    <t xml:space="preserve">The Magistrate issues "a warrant directing the officer in whose custody he is to bring him before the Court." [Source: Section 132, BNSS 2023]</t>
  </si>
  <si>
    <t xml:space="preserve">CASE_2939</t>
  </si>
  <si>
    <t xml:space="preserve">The Magistrate must rely upon a police report or other information and "the substance of which report or information shall be recorded by the Magistrate." [Source: Section 132, BNSS 2023]</t>
  </si>
  <si>
    <t xml:space="preserve">CASE_2940</t>
  </si>
  <si>
    <t xml:space="preserve">The consequence is that the Magistrate can escalate from a mere summons to a forcible arrest to pre-emptively neutralize an imminent threat to public peace. [Source: Section 132, BNSS 2023]</t>
  </si>
  <si>
    <t xml:space="preserve">CASE_2941</t>
  </si>
  <si>
    <t xml:space="preserve">Copy of order to accompany summons or warrant</t>
  </si>
  <si>
    <t xml:space="preserve">Yes, every summons or warrant must be accompanied by a copy of the Magistrate's order, which is delivered to the person being served or arrested. [Source: Section 133, BNSS 2023]</t>
  </si>
  <si>
    <t xml:space="preserve">Hugging Face source record: BNSS_133</t>
  </si>
  <si>
    <t xml:space="preserve">CASE_2942</t>
  </si>
  <si>
    <t xml:space="preserve">Section 133 of BNSS 2023 mandates that a copy of the foundational show-cause order must always accompany the summons or warrant and be physically delivered to the targeted individual. [Source: Section 133, BNSS 2023]</t>
  </si>
  <si>
    <t xml:space="preserve">CASE_2943</t>
  </si>
  <si>
    <t xml:space="preserve">No, the section requires that a copy of the order "shall be delivered by the officer serving or executing such summons or warrant to the person served with, or arrested under, the same." [Source: Section 133, BNSS 2023]</t>
  </si>
  <si>
    <t xml:space="preserve">CASE_2944</t>
  </si>
  <si>
    <t xml:space="preserve">It links "Every summons or warrant issued under section 132" with "a copy of the order made under section 130." [Source: Section 133, BNSS 2023]</t>
  </si>
  <si>
    <t xml:space="preserve">CASE_2945</t>
  </si>
  <si>
    <t xml:space="preserve">The delivery is the responsibility of "the officer serving or executing such summons or warrant." [Source: Section 133, BNSS 2023]</t>
  </si>
  <si>
    <t xml:space="preserve">CASE_2946</t>
  </si>
  <si>
    <t xml:space="preserve">The consequence is that the accused is fully informed of the substance of the information against them and the bond requirements before they even step foot in the courtroom, allowing them to prepare their defense. [Source: Section 133, BNSS 2023]</t>
  </si>
  <si>
    <t xml:space="preserve">CASE_2947</t>
  </si>
  <si>
    <t xml:space="preserve">Power to dispense with personal attendance</t>
  </si>
  <si>
    <t xml:space="preserve">Yes, the Magistrate may, if there is sufficient cause, dispense with the personal attendance of the person called upon to show cause and permit them to appear by an advocate. [Source: Section 134, BNSS 2023]</t>
  </si>
  <si>
    <t xml:space="preserve">Hugging Face source record: BNSS_134</t>
  </si>
  <si>
    <t xml:space="preserve">CASE_2948</t>
  </si>
  <si>
    <t xml:space="preserve">Section 134 of BNSS 2023 allows a Magistrate to dispense with the personal attendance of an individual required to show cause for a peace or good behaviour bond, permitting them to appear via an advocate instead. [Source: Section 134, BNSS 2023]</t>
  </si>
  <si>
    <t xml:space="preserve">CASE_2949</t>
  </si>
  <si>
    <t xml:space="preserve">Yes, because the Magistrate "may, if he sees sufficient cause, dispense with the personal attendance" and permit appearance by an advocate. Severe illness would be sufficient cause. [Source: Section 134, BNSS 2023]</t>
  </si>
  <si>
    <t xml:space="preserve">CASE_2950</t>
  </si>
  <si>
    <t xml:space="preserve">The Magistrate must find that "he sees sufficient cause" to dispense with their attendance. [Source: Section 134, BNSS 2023]</t>
  </si>
  <si>
    <t xml:space="preserve">CASE_2951</t>
  </si>
  <si>
    <t xml:space="preserve">No, it is not automatic; the Magistrate "may" grant it only if they see "sufficient cause." [Source: Section 134, BNSS 2023]</t>
  </si>
  <si>
    <t xml:space="preserve">CASE_2952</t>
  </si>
  <si>
    <t xml:space="preserve">The consequence is that the legal inquiry into whether the person must execute a bond can proceed without dragging them physically into court, easing the burden on individuals with valid reasons to be absent. [Source: Section 134, BNSS 2023]</t>
  </si>
  <si>
    <t xml:space="preserve">CASE_2953</t>
  </si>
  <si>
    <t xml:space="preserve">Inquiry as to truth of information</t>
  </si>
  <si>
    <t xml:space="preserve">The Magistrate proceeds to inquire into the truth of the information using a process that is as near as practicable to the manner prescribed for conducting a trial and recording evidence in summons-cases. [Source: Section 135, BNSS 2023]</t>
  </si>
  <si>
    <t xml:space="preserve">Hugging Face source record: BNSS_135</t>
  </si>
  <si>
    <t xml:space="preserve">CASE_2954</t>
  </si>
  <si>
    <t xml:space="preserve">Section 135 of BNSS 2023 governs the formal inquiry process to ascertain the truth of the information against a person, including rules on interim bonds, evidence of repute, joint inquiries, and strict time limits. [Source: Section 135, BNSS 2023]</t>
  </si>
  <si>
    <t xml:space="preserve">CASE_2955</t>
  </si>
  <si>
    <t xml:space="preserve">Yes, under sub-section (3), if immediate measures are necessary to prevent a breach of peace, the Magistrate may, "for reasons to be recorded in writing, direct the person... to execute a bond or bail bond... until the conclusion of the inquiry." [Source: Section 135, BNSS 2023]</t>
  </si>
  <si>
    <t xml:space="preserve">CASE_2956</t>
  </si>
  <si>
    <t xml:space="preserve">Under sub-section (6), the inquiry "shall be completed within a period of six months from the date of its commencement," unless extended for special recorded reasons. [Source: Section 135, BNSS 2023]</t>
  </si>
  <si>
    <t xml:space="preserve">CASE_2957</t>
  </si>
  <si>
    <t xml:space="preserve">No, the proviso to sub-section (3) states that no person "against whom proceedings are not being taken under section 127, section 128, or section 129 shall be directed to execute a bond or bail bond for maintaining good behaviour." [Source: Section 135, BNSS 2023]</t>
  </si>
  <si>
    <t xml:space="preserve">CASE_2958</t>
  </si>
  <si>
    <t xml:space="preserve">Under sub-section (6), the consequence is that "the proceedings under this Chapter shall, on the expiry of the said period, stand terminated." [Source: Section 135, BNSS 2023]</t>
  </si>
  <si>
    <t xml:space="preserve">CASE_2959</t>
  </si>
  <si>
    <t xml:space="preserve">Order to give security</t>
  </si>
  <si>
    <t xml:space="preserve">If the inquiry proves that a bond is necessary, the Magistrate shall make an order requiring the person to execute a bond or bail bond for keeping the peace or maintaining good behaviour. [Source: Section 136, BNSS 2023]</t>
  </si>
  <si>
    <t xml:space="preserve">Hugging Face source record: BNSS_136</t>
  </si>
  <si>
    <t xml:space="preserve">CASE_2960</t>
  </si>
  <si>
    <t xml:space="preserve">Section 136 of BNSS 2023 dictates the final step where a Magistrate formally orders a person to give security, provided that the terms do not exceed what was initially stated in the show-cause order. [Source: Section 136, BNSS 2023]</t>
  </si>
  <si>
    <t xml:space="preserve">CASE_2961</t>
  </si>
  <si>
    <t xml:space="preserve">No, under proviso (a), "no person shall be ordered to give security of a nature different from, or of an amount larger than, or for a period longer than, that specified in the order made under section 130." [Source: Section 136, BNSS 2023]</t>
  </si>
  <si>
    <t xml:space="preserve">CASE_2962</t>
  </si>
  <si>
    <t xml:space="preserve">Under proviso (b), the amount "shall be fixed with due regard to the circumstances of the case and shall not be excessive." [Source: Section 136, BNSS 2023]</t>
  </si>
  <si>
    <t xml:space="preserve">CASE_2963</t>
  </si>
  <si>
    <t xml:space="preserve">No, under proviso (c), "when the person in respect of whom the inquiry is made is a child, the bond shall be executed only by his sureties." [Source: Section 136, BNSS 2023]</t>
  </si>
  <si>
    <t xml:space="preserve">CASE_2964</t>
  </si>
  <si>
    <t xml:space="preserve">The consequence is that the Magistrate transitions from merely investigating the person to imposing a legally binding obligation on them to maintain the peace or face imprisonment in default. [Source: Section 136, BNSS 2023]</t>
  </si>
  <si>
    <t xml:space="preserve">CASE_2965</t>
  </si>
  <si>
    <t xml:space="preserve">Discharge of person informed against</t>
  </si>
  <si>
    <t xml:space="preserve">If it is not proved that a bond is necessary, the Magistrate must make an entry on the record and discharge the person, or release them if they were held in custody just for the inquiry. [Source: Section 137, BNSS 2023]</t>
  </si>
  <si>
    <t xml:space="preserve">Hugging Face source record: BNSS_137</t>
  </si>
  <si>
    <t xml:space="preserve">CASE_2966</t>
  </si>
  <si>
    <t xml:space="preserve">Section 137 of BNSS 2023 mandates the immediate release and formal discharge of an individual when an inquiry fails to prove that requiring them to give security is necessary. [Source: Section 137, BNSS 2023]</t>
  </si>
  <si>
    <t xml:space="preserve">CASE_2967</t>
  </si>
  <si>
    <t xml:space="preserve">No, the section says the Magistrate shall release him "if such person is in custody only for the purposes of the inquiry." They will remain in custody for their other sentence. [Source: Section 137, BNSS 2023]</t>
  </si>
  <si>
    <t xml:space="preserve">CASE_2968</t>
  </si>
  <si>
    <t xml:space="preserve">The Magistrate "shall make an entry on the record to that effect," confirming that the necessity of a bond was not proved. [Source: Section 137, BNSS 2023]</t>
  </si>
  <si>
    <t xml:space="preserve">CASE_2969</t>
  </si>
  <si>
    <t xml:space="preserve">No, if it is not proved, the Magistrate "shall discharge him" or release him, with no exceptions for maintaining a bond. [Source: Section 137, BNSS 2023]</t>
  </si>
  <si>
    <t xml:space="preserve">CASE_2970</t>
  </si>
  <si>
    <t xml:space="preserve">The consequence is full exoneration from the bond requirement, resulting in either a formal discharge or physical release from preventative custody. [Source: Section 137, BNSS 2023]</t>
  </si>
  <si>
    <t xml:space="preserve">CASE_2971</t>
  </si>
  <si>
    <t xml:space="preserve">Commencement of period for which security is required</t>
  </si>
  <si>
    <t xml:space="preserve">Usually, it starts on the date the order is made, unless the Magistrate fixes a later date, but if the person is currently serving a prison sentence, it starts when that sentence expires. [Source: Section 138, BNSS 2023]</t>
  </si>
  <si>
    <t xml:space="preserve">Hugging Face source record: BNSS_138</t>
  </si>
  <si>
    <t xml:space="preserve">CASE_2972</t>
  </si>
  <si>
    <t xml:space="preserve">Section 138 of BNSS 2023 dictates the commencement date for security periods, ensuring that bonds run consecutively after prison sentences rather than concurrently. [Source: Section 138, BNSS 2023]</t>
  </si>
  <si>
    <t xml:space="preserve">CASE_2973</t>
  </si>
  <si>
    <t xml:space="preserve">Because the bond period commences "on the expiration of such sentence" under sub-section (1), the two-year period starts after they are released, meaning it ends three years from the date of the Magistrate's order. [Source: Section 138, BNSS 2023]</t>
  </si>
  <si>
    <t xml:space="preserve">CASE_2974</t>
  </si>
  <si>
    <t xml:space="preserve">Under sub-section (2), "the Magistrate, for sufficient reason, fixes a later date" for the period to commence. [Source: Section 138, BNSS 2023]</t>
  </si>
  <si>
    <t xml:space="preserve">CASE_2975</t>
  </si>
  <si>
    <t xml:space="preserve">No, it is delayed if the person is "sentenced to, or undergoing a sentence of, imprisonment," or if the Magistrate explicitly "fixes a later date." [Source: Section 138, BNSS 2023]</t>
  </si>
  <si>
    <t xml:space="preserve">CASE_2976</t>
  </si>
  <si>
    <t xml:space="preserve">The consequence is that the state maximizes the post-release monitoring period, preventing the bond's duration from being wasted while the person is already safely locked up. [Source: Section 138, BNSS 2023]</t>
  </si>
  <si>
    <t xml:space="preserve">CASE_2977</t>
  </si>
  <si>
    <t xml:space="preserve">Contents of bond</t>
  </si>
  <si>
    <t xml:space="preserve">The commission, attempt to commit, or abetment of any offence punishable with imprisonment, wherever it is committed, constitutes a breach of a bond for good behaviour. [Source: Section 139, BNSS 2023]</t>
  </si>
  <si>
    <t xml:space="preserve">Hugging Face source record: BNSS_139</t>
  </si>
  <si>
    <t xml:space="preserve">CASE_2978</t>
  </si>
  <si>
    <t xml:space="preserve">Section 139 of BNSS 2023 defines the contents of the bonds and explicitly outlines what constitutes a breach of a bond for good behaviour. [Source: Section 139, BNSS 2023]</t>
  </si>
  <si>
    <t xml:space="preserve">CASE_2979</t>
  </si>
  <si>
    <t xml:space="preserve">Yes, because the commission or attempt of an offence punishable with imprisonment "wherever it may be committed, is a breach of the bond." [Source: Section 139, BNSS 2023]</t>
  </si>
  <si>
    <t xml:space="preserve">CASE_2980</t>
  </si>
  <si>
    <t xml:space="preserve">The three forms are the "commission or attempt to commit, or the abetment of" an offence. [Source: Section 139, BNSS 2023]</t>
  </si>
  <si>
    <t xml:space="preserve">CASE_2981</t>
  </si>
  <si>
    <t xml:space="preserve">No, the section specifies that it is a breach if the offence is "punishable with imprisonment." [Source: Section 139, BNSS 2023]</t>
  </si>
  <si>
    <t xml:space="preserve">CASE_2982</t>
  </si>
  <si>
    <t xml:space="preserve">The consequence is that they are legally bound to keep the peace or behave well, and any subsequent imprisonable offence they commit anywhere immediately violates this formal promise, triggering further penalties. [Source: Section 139, BNSS 2023]</t>
  </si>
  <si>
    <t xml:space="preserve">CASE_2983</t>
  </si>
  <si>
    <t xml:space="preserve">Power to reject sureties</t>
  </si>
  <si>
    <t xml:space="preserve">Yes, a Magistrate can refuse to accept or reject any previously accepted surety if they determine, after an inquiry, that the surety is an unfit person for the purposes of the bail bond. [Source: Section 140, BNSS 2023]</t>
  </si>
  <si>
    <t xml:space="preserve">Hugging Face source record: BNSS_140</t>
  </si>
  <si>
    <t xml:space="preserve">CASE_2984</t>
  </si>
  <si>
    <t xml:space="preserve">Section 140 of BNSS 2023 establishes the power of Magistrates to scrutinize and reject unfit sureties, detailing the inquiry, notice, and reporting procedures required before making such a rejection. [Source: Section 140, BNSS 2023]</t>
  </si>
  <si>
    <t xml:space="preserve">CASE_2985</t>
  </si>
  <si>
    <t xml:space="preserve">No, under the proviso to sub-section (1), before refusing, the Magistrate "shall either himself hold an inquiry on oath into the fitness of the surety, or cause such inquiry to be held." [Source: Section 140, BNSS 2023]</t>
  </si>
  <si>
    <t xml:space="preserve">CASE_2986</t>
  </si>
  <si>
    <t xml:space="preserve">Under sub-section (2), the Magistrate must "give reasonable notice to the surety and to the person by whom the surety was offered." [Source: Section 140, BNSS 2023]</t>
  </si>
  <si>
    <t xml:space="preserve">CASE_2987</t>
  </si>
  <si>
    <t xml:space="preserve">Under the proviso to sub-section (3), they "shall issue his summons or warrant, as he thinks fit, and cause the person for whom the surety is bound to appear or to be brought before him." [Source: Section 140, BNSS 2023]</t>
  </si>
  <si>
    <t xml:space="preserve">CASE_2988</t>
  </si>
  <si>
    <t xml:space="preserve">The consequence is that the Magistrate "shall make an order refusing to accept or rejecting... such surety," forcing the bound person to find a new, acceptable guarantor or face default. [Source: Section 140, BNSS 2023]</t>
  </si>
  <si>
    <t xml:space="preserve">CASE_2989</t>
  </si>
  <si>
    <t xml:space="preserve">Imprisonment in default of security</t>
  </si>
  <si>
    <t xml:space="preserve">If the person does not give the security by the start date, they shall be committed to prison, or if already in prison, detained there, until the period expires or they provide the security. [Source: Section 141, BNSS 2023]</t>
  </si>
  <si>
    <t xml:space="preserve">Hugging Face source record: BNSS_141</t>
  </si>
  <si>
    <t xml:space="preserve">CASE_2990</t>
  </si>
  <si>
    <t xml:space="preserve">Section 141 of BNSS 2023 dictates the penalties for defaulting on a security order, including automatic imprisonment, the referral process for periods exceeding one year, and the nature of the imprisonment. [Source: Section 141, BNSS 2023]</t>
  </si>
  <si>
    <t xml:space="preserve">CASE_2991</t>
  </si>
  <si>
    <t xml:space="preserve">No, under sub-section (2), for periods exceeding one year, the Magistrate must issue a warrant detaining him pending the orders of the Sessions Judge, and the proceedings "shall be laid... before such Court." [Source: Section 141, BNSS 2023]</t>
  </si>
  <si>
    <t xml:space="preserve">CASE_2992</t>
  </si>
  <si>
    <t xml:space="preserve">The section explicitly states that "Imprisonment for failure to give security for keeping the peace shall be simple." [Source: Section 141, BNSS 2023]</t>
  </si>
  <si>
    <t xml:space="preserve">CASE_2993</t>
  </si>
  <si>
    <t xml:space="preserve">Yes, the proviso to sub-section (3) states that "the period (if any) for which any person is imprisoned for failure to give security shall not exceed three years." [Source: Section 141, BNSS 2023]</t>
  </si>
  <si>
    <t xml:space="preserve">CASE_2994</t>
  </si>
  <si>
    <t xml:space="preserve">The consequence is that the Magistrate may "order that the person be arrested and detained in prison until the expiry of the period of the bond," separate from any other punishment they face for the breach. [Source: Section 141, BNSS 2023]</t>
  </si>
  <si>
    <t xml:space="preserve">CASE_2995</t>
  </si>
  <si>
    <t xml:space="preserve">Power to release persons imprisoned for failing to give security</t>
  </si>
  <si>
    <t xml:space="preserve">Yes, the District Magistrate or Chief Judicial Magistrate can order their discharge if they believe the person can be released without hazard to the community or any other person. [Source: Section 142, BNSS 2023]</t>
  </si>
  <si>
    <t xml:space="preserve">Hugging Face source record: BNSS_142</t>
  </si>
  <si>
    <t xml:space="preserve">CASE_2996</t>
  </si>
  <si>
    <t xml:space="preserve">Section 142 of BNSS 2023 outlines the powers of higher Magistrates and Courts to release individuals imprisoned for failing to give security, reduce bond amounts, and enforce or cancel conditional discharges. [Source: Section 142, BNSS 2023]</t>
  </si>
  <si>
    <t xml:space="preserve">CASE_2997</t>
  </si>
  <si>
    <t xml:space="preserve">Yes, under sub-section (6), when a conditional order is cancelled for non-fulfillment, "such person may be arrested by any police officer without warrant." [Source: Section 142, BNSS 2023]</t>
  </si>
  <si>
    <t xml:space="preserve">CASE_2998</t>
  </si>
  <si>
    <t xml:space="preserve">They may make an order "reducing the amount of the security or the number of sureties or the time for which security has been required." [Source: Section 142, BNSS 2023]</t>
  </si>
  <si>
    <t xml:space="preserve">CASE_2999</t>
  </si>
  <si>
    <t xml:space="preserve">No, the proviso to sub-section (3) states that "any condition imposed shall cease to be operative when the period for which such person was ordered to give security has expired." [Source: Section 142, BNSS 2023]</t>
  </si>
  <si>
    <t xml:space="preserve">CASE_3000</t>
  </si>
  <si>
    <t xml:space="preserve">The consequence is that they must "undergo such unexpired portion" of their original term in prison, unless they finally provide the required security for that remaining time. [Source: Section 142, BNSS 2023]</t>
  </si>
  <si>
    <t xml:space="preserve">CASE_3001</t>
  </si>
  <si>
    <t xml:space="preserve">Security for unexpired period of bond</t>
  </si>
  <si>
    <t xml:space="preserve">The Magistrate or Court cancels the old bond and orders the person to give fresh security of the exact same description to cover the remaining, unexpired portion of the original term. [Source: Section 143, BNSS 2023]</t>
  </si>
  <si>
    <t xml:space="preserve">Hugging Face source record: BNSS_143</t>
  </si>
  <si>
    <t xml:space="preserve">CASE_3002</t>
  </si>
  <si>
    <t xml:space="preserve">Section 143 of BNSS 2023 handles the procedure for securing a fresh bond for the unexpired period when a previous surety is rejected or asks to be discharged from their obligation. [Source: Section 143, BNSS 2023]</t>
  </si>
  <si>
    <t xml:space="preserve">CASE_3003</t>
  </si>
  <si>
    <t xml:space="preserve">No, the Magistrate shall order the person "to give, for the unexpired portion of the term of such bond, fresh security of the same description as the original security," which would only be for the remaining six months. [Source: Section 143, BNSS 2023]</t>
  </si>
  <si>
    <t xml:space="preserve">CASE_3004</t>
  </si>
  <si>
    <t xml:space="preserve">It shall "be deemed to be an order made under section 125 or section 136, as the case may be." [Source: Section 143, BNSS 2023]</t>
  </si>
  <si>
    <t xml:space="preserve">CASE_3005</t>
  </si>
  <si>
    <t xml:space="preserve">No, the fresh security must be "of the same description as the original security." [Source: Section 143, BNSS 2023]</t>
  </si>
  <si>
    <t xml:space="preserve">CASE_3006</t>
  </si>
  <si>
    <t xml:space="preserve">The consequence is that all the subsequent rules from sections 139 to 142 regarding imprisonment for default, bond contents, and appeal rights apply identically to this newly replacement bond. [Source: Section 143, BNSS 2023]</t>
  </si>
  <si>
    <t xml:space="preserve">CASE_3007</t>
  </si>
  <si>
    <t xml:space="preserve">Order for maintenance of wives, children and parents</t>
  </si>
  <si>
    <t xml:space="preserve">Any person having sufficient means who neglects or refuses to maintain their wife, legitimate or illegitimate minor child, disabled adult child, or their father or mother who are unable to maintain themselves. [Source: Section 144, BNSS 2023]</t>
  </si>
  <si>
    <t xml:space="preserve">Hugging Face source record: BNSS_144</t>
  </si>
  <si>
    <t xml:space="preserve">CASE_3008</t>
  </si>
  <si>
    <t xml:space="preserve">Section 144 of BNSS 2023 covers the power of a Magistrate of the first class to order a person with sufficient means to pay a monthly allowance for the maintenance of their dependent wife, children, or parents. [Source: Section 144, BNSS 2023]</t>
  </si>
  <si>
    <t xml:space="preserve">CASE_3009</t>
  </si>
  <si>
    <t xml:space="preserve">Yes, because the Explanation states: "If a husband has contracted marriage with another woman... it shall be considered to be just ground for his wife's refusal to live with him," so the Magistrate may still make the order under sub-section (3). [Source: Section 144, BNSS 2023]</t>
  </si>
  <si>
    <t xml:space="preserve">CASE_3010</t>
  </si>
  <si>
    <t xml:space="preserve">The application "shall, as far as possible, be disposed of within sixty days from the date of the service of notice of the application to such person." [Source: Section 144, BNSS 2023]</t>
  </si>
  <si>
    <t xml:space="preserve">CASE_3011</t>
  </si>
  <si>
    <t xml:space="preserve">She is not entitled to receive an allowance if "she is living in adultery, or if, without any sufficient reason, she refuses to live with her husband, or if they are living separately by mutual consent." [Source: Section 144, BNSS 2023]</t>
  </si>
  <si>
    <t xml:space="preserve">CASE_3012</t>
  </si>
  <si>
    <t xml:space="preserve">The consequence is that the Magistrate may issue a warrant for levying the amount due, and sentence the person to imprisonment for up to one month or until payment if sooner made, for every breach of the order. [Source: Section 144, BNSS 2023]</t>
  </si>
  <si>
    <t xml:space="preserve">CASE_3013</t>
  </si>
  <si>
    <t xml:space="preserve">Procedure</t>
  </si>
  <si>
    <t xml:space="preserve">She can file the proceedings against him in any district where he is, where he or his wife resides, where he last resided with his wife, or where his parents reside. [Source: Section 145, BNSS 2023]</t>
  </si>
  <si>
    <t xml:space="preserve">Hugging Face source record: BNSS_145</t>
  </si>
  <si>
    <t xml:space="preserve">CASE_3014</t>
  </si>
  <si>
    <t xml:space="preserve">Section 145 of BNSS 2023 regulates the procedure for maintenance proceedings, establishing the territorial jurisdiction for filing cases and the requirement that evidence be taken in the presence of the respondent. [Source: Section 145, BNSS 2023]</t>
  </si>
  <si>
    <t xml:space="preserve">CASE_3015</t>
  </si>
  <si>
    <t xml:space="preserve">Under the proviso to sub-section (2), if the Magistrate is satisfied the person is "wilfully avoiding service, or willfully neglecting to attend the Court, the Magistrate may proceed to hear and determine the case ex parte." [Source: Section 145, BNSS 2023]</t>
  </si>
  <si>
    <t xml:space="preserve">CASE_3016</t>
  </si>
  <si>
    <t xml:space="preserve">It "shall be recorded in the manner prescribed for summons-cases." [Source: Section 145, BNSS 2023]</t>
  </si>
  <si>
    <t xml:space="preserve">CASE_3017</t>
  </si>
  <si>
    <t xml:space="preserve">No, the order "may be set aside for good cause shown on an application made within three months from the date thereof." [Source: Section 145, BNSS 2023]</t>
  </si>
  <si>
    <t xml:space="preserve">CASE_3018</t>
  </si>
  <si>
    <t xml:space="preserve">The consequence is that they lose their right to present evidence, as the court is empowered to determine the maintenance order based solely on the applicant's evidence, resulting in an ex parte decision. [Source: Section 145, BNSS 2023]</t>
  </si>
  <si>
    <t xml:space="preserve">CASE_3019</t>
  </si>
  <si>
    <t xml:space="preserve">Alteration in allowance</t>
  </si>
  <si>
    <t xml:space="preserve">Yes, on proof of a change in the circumstances of any person receiving or paying the monthly allowance, the Magistrate may make such alteration in the allowance as they think fit. [Source: Section 146, BNSS 2023]</t>
  </si>
  <si>
    <t xml:space="preserve">Hugging Face source record: BNSS_146</t>
  </si>
  <si>
    <t xml:space="preserve">CASE_3020</t>
  </si>
  <si>
    <t xml:space="preserve">Section 146 of BNSS 2023 provides the function for altering or cancelling a previously ordered maintenance allowance based on changes in circumstances, civil court decisions, or the remarriage of a divorced woman. [Source: Section 146, BNSS 2023]</t>
  </si>
  <si>
    <t xml:space="preserve">CASE_3021</t>
  </si>
  <si>
    <t xml:space="preserve">No, under sub-section (3)(a), if she has remarried after the divorce, the Magistrate shall "cancel such order as from the date of her remarriage." [Source: Section 146, BNSS 2023]</t>
  </si>
  <si>
    <t xml:space="preserve">CASE_3022</t>
  </si>
  <si>
    <t xml:space="preserve">The Civil Court "shall take into account the sum which has been paid to, or recovered by, such person as monthly allowance" under section 144. [Source: Section 146, BNSS 2023]</t>
  </si>
  <si>
    <t xml:space="preserve">CASE_3023</t>
  </si>
  <si>
    <t xml:space="preserve">No, under sub-section (3)(b)(i), the Magistrate shall cancel the order "from the date on which such order was made." [Source: Section 146, BNSS 2023]</t>
  </si>
  <si>
    <t xml:space="preserve">CASE_3024</t>
  </si>
  <si>
    <t xml:space="preserve">Under sub-section (2), the consequence is that the Magistrate "shall cancel the order or, as the case may be, vary the same accordingly," ensuring the civil court's superior jurisdiction takes precedence. [Source: Section 146, BNSS 2023]</t>
  </si>
  <si>
    <t xml:space="preserve">CASE_3025</t>
  </si>
  <si>
    <t xml:space="preserve">Enforcement of order of maintenance</t>
  </si>
  <si>
    <t xml:space="preserve">No, a copy of the order of maintenance or interim maintenance shall be given without payment to the person in whose favour it is made or their guardian. [Source: Section 147, BNSS 2023]</t>
  </si>
  <si>
    <t xml:space="preserve">Hugging Face source record: BNSS_147</t>
  </si>
  <si>
    <t xml:space="preserve">CASE_3026</t>
  </si>
  <si>
    <t xml:space="preserve">Section 147 of BNSS 2023 dictates the free provision of the maintenance order copy to the beneficiary and establishes that the order can be enforced by any Magistrate where the liable person is located. [Source: Section 147, BNSS 2023]</t>
  </si>
  <si>
    <t xml:space="preserve">CASE_3027</t>
  </si>
  <si>
    <t xml:space="preserve">No, the order "may be enforced by any Magistrate in any place where the person against whom it is made may be," as long as the Magistrate is satisfied as to the identity of the parties and the non-payment. [Source: Section 147, BNSS 2023]</t>
  </si>
  <si>
    <t xml:space="preserve">CASE_3028</t>
  </si>
  <si>
    <t xml:space="preserve">The Magistrate must be satisfied "as to the identity of the parties and the non-payment of the allowance, or as the case may be, expenses, due." [Source: Section 147, BNSS 2023]</t>
  </si>
  <si>
    <t xml:space="preserve">CASE_3029</t>
  </si>
  <si>
    <t xml:space="preserve">No, the section strictly mandates that it "shall be given without payment." [Source: Section 147, BNSS 2023]</t>
  </si>
  <si>
    <t xml:space="preserve">CASE_3030</t>
  </si>
  <si>
    <t xml:space="preserve">The consequence is that the dependent spouse receives immediate, free documentation of their rights and gains the ability to seamlessly enforce their claim across jurisdictions, preventing the defaulter from escaping by simply relocating. [Source: Section 147, BNSS 2023]</t>
  </si>
  <si>
    <t xml:space="preserve">CASE_3031</t>
  </si>
  <si>
    <t xml:space="preserve">Dispersal of assembly by use of civil force</t>
  </si>
  <si>
    <t xml:space="preserve">Any Executive Magistrate, officer in charge of a police station, or any police officer not below the rank of a sub-inspector can command them to disperse. [Source: Section 148, BNSS 2023]</t>
  </si>
  <si>
    <t xml:space="preserve">Hugging Face source record: BNSS_148</t>
  </si>
  <si>
    <t xml:space="preserve">CASE_3032</t>
  </si>
  <si>
    <t xml:space="preserve">Section 148 of BNSS 2023 authorizes Executive Magistrates and specific police officers to use civil force to disperse unlawful assemblies or assemblies of five or more persons likely to disturb the public peace. [Source: Section 148, BNSS 2023]</t>
  </si>
  <si>
    <t xml:space="preserve">CASE_3033</t>
  </si>
  <si>
    <t xml:space="preserve">Yes, under sub-section (2), the officer may proceed to disperse the assembly by force and "may require the assistance of any person, not being an officer or member of the armed forces... for the purpose of dispersing such assembly." [Source: Section 148, BNSS 2023]</t>
  </si>
  <si>
    <t xml:space="preserve">CASE_3034</t>
  </si>
  <si>
    <t xml:space="preserve">It applies to "any assembly of five or more persons likely to cause a disturbance of the public peace." [Source: Section 148, BNSS 2023]</t>
  </si>
  <si>
    <t xml:space="preserve">CASE_3035</t>
  </si>
  <si>
    <t xml:space="preserve">No, the section allows requiring the assistance of any person "not being an officer or member of the armed forces and acting as such." [Source: Section 148, BNSS 2023]</t>
  </si>
  <si>
    <t xml:space="preserve">CASE_3036</t>
  </si>
  <si>
    <t xml:space="preserve">The consequence is that "it shall thereupon be the duty of the members of such assembly to disperse accordingly," and failing to do so exposes them to forcible dispersal and arrest. [Source: Section 148, BNSS 2023]</t>
  </si>
  <si>
    <t xml:space="preserve">CASE_3037</t>
  </si>
  <si>
    <t xml:space="preserve">Use of armed forces to disperse assembly</t>
  </si>
  <si>
    <t xml:space="preserve">If the assembly cannot be dispersed by civil force and it is necessary for public security, the District Magistrate or an authorized Executive Magistrate may cause it to be dispersed by the armed forces. [Source: Section 149, BNSS 2023]</t>
  </si>
  <si>
    <t xml:space="preserve">Hugging Face source record: BNSS_149</t>
  </si>
  <si>
    <t xml:space="preserve">CASE_3038</t>
  </si>
  <si>
    <t xml:space="preserve">Section 149 of BNSS 2023 enables a District Magistrate or authorized Executive Magistrate to requisition the armed forces to disperse an unlawful assembly that poses a threat to public security and cannot otherwise be controlled. [Source: Section 149, BNSS 2023]</t>
  </si>
  <si>
    <t xml:space="preserve">CASE_3039</t>
  </si>
  <si>
    <t xml:space="preserve">No, under sub-section (3), the officer shall obey the requisition "in such manner as he thinks fit," and is legally bound to "use as little force, and do as little injury to person and property, as may be consistent with dispersing the assembly." [Source: Section 149, BNSS 2023]</t>
  </si>
  <si>
    <t xml:space="preserve">CASE_3040</t>
  </si>
  <si>
    <t xml:space="preserve">The "District Magistrate or any other Executive Magistrate authorised by him, who is present" holds this authority. [Source: Section 149, BNSS 2023]</t>
  </si>
  <si>
    <t xml:space="preserve">CASE_3041</t>
  </si>
  <si>
    <t xml:space="preserve">No, they can only be called if the assembly "cannot otherwise be dispersed, and it is necessary for the public security that it should be dispersed." [Source: Section 149, BNSS 2023]</t>
  </si>
  <si>
    <t xml:space="preserve">CASE_3042</t>
  </si>
  <si>
    <t xml:space="preserve">The consequence is that the officer is legally compelled to act ("shall obey such requisition"), shifting the responsibility for the physical dispersal to the military, while bound by the principle of minimum necessary force. [Source: Section 149, BNSS 2023]</t>
  </si>
  <si>
    <t xml:space="preserve">CASE_3043</t>
  </si>
  <si>
    <t xml:space="preserve">Power of certain armed force officers to disperse assembly</t>
  </si>
  <si>
    <t xml:space="preserve">Yes, if public security is manifestly endangered and no Executive Magistrate can be communicated with, any commissioned or gazetted officer of the armed forces may disperse the assembly with troops under their command. [Source: Section 150, BNSS 2023]</t>
  </si>
  <si>
    <t xml:space="preserve">Hugging Face source record: BNSS_150</t>
  </si>
  <si>
    <t xml:space="preserve">CASE_3044</t>
  </si>
  <si>
    <t xml:space="preserve">Section 150 of BNSS 2023 grants exceptional, independent power to commissioned or gazetted officers of the armed forces to disperse dangerous assemblies when an Executive Magistrate is utterly unreachable. [Source: Section 150, BNSS 2023]</t>
  </si>
  <si>
    <t xml:space="preserve">CASE_3045</t>
  </si>
  <si>
    <t xml:space="preserve">The section dictates that "if... it becomes practicable for him to communicate with an Executive Magistrate, he shall do so, and shall thenceforward obey the instructions of the Magistrate." [Source: Section 150, BNSS 2023]</t>
  </si>
  <si>
    <t xml:space="preserve">CASE_3046</t>
  </si>
  <si>
    <t xml:space="preserve">"When the public security is manifestly endangered by any such assembly" and "no Executive Magistrate can be communicated with." [Source: Section 150, BNSS 2023]</t>
  </si>
  <si>
    <t xml:space="preserve">CASE_3047</t>
  </si>
  <si>
    <t xml:space="preserve">No, this exceptional power is granted only to "any commissioned or gazetted officer of the armed forces." [Source: Section 150, BNSS 2023]</t>
  </si>
  <si>
    <t xml:space="preserve">CASE_3048</t>
  </si>
  <si>
    <t xml:space="preserve">The consequence is that military commanders can take immediate, decisive action to save civilian lives and property without being paralyzed by a lack of civilian communication, temporarily superseding the normal chain of civil authority. [Source: Section 150, BNSS 2023]</t>
  </si>
  <si>
    <t xml:space="preserve">CASE_3049</t>
  </si>
  <si>
    <t xml:space="preserve">Protection against prosecution for acts done under sections 148, 149 and 150</t>
  </si>
  <si>
    <t xml:space="preserve">No, no prosecution can be instituted for acts done in good faith under these dispersal sections without the specific sanction of either the Central or State Government. [Source: Section 151, BNSS 2023]</t>
  </si>
  <si>
    <t xml:space="preserve">Hugging Face source record: BNSS_151</t>
  </si>
  <si>
    <t xml:space="preserve">CASE_3050</t>
  </si>
  <si>
    <t xml:space="preserve">Section 151 of BNSS 2023 provides legal immunity and protection against un-sanctioned prosecution for Executive Magistrates, police officers, and armed forces personnel who act in good faith to disperse unlawful assemblies. [Source: Section 151, BNSS 2023]</t>
  </si>
  <si>
    <t xml:space="preserve">CASE_3051</t>
  </si>
  <si>
    <t xml:space="preserve">Under sub-section (1)(a), the prosecution requires "the sanction of the Central Government where such person is an officer or member of the armed forces." [Source: Section 151, BNSS 2023]</t>
  </si>
  <si>
    <t xml:space="preserve">CASE_3052</t>
  </si>
  <si>
    <t xml:space="preserve">They must be "acting under any of the said sections in good faith." [Source: Section 151, BNSS 2023]</t>
  </si>
  <si>
    <t xml:space="preserve">CASE_3053</t>
  </si>
  <si>
    <t xml:space="preserve">Civilians are protected too; sub-section (2)(b) protects "no person doing any act in good faith in compliance with a requisition under section 148 or section 149." [Source: Section 151, BNSS 2023]</t>
  </si>
  <si>
    <t xml:space="preserve">CASE_3054</t>
  </si>
  <si>
    <t xml:space="preserve">The consequence is that state actors are shielded from frivolous or retaliatory lawsuits by rioters, ensuring they can perform their duty to restore order without fear of personal legal ruin, unless the government explicitly sanctions their trial. [Source: Section 151, BNSS 2023]</t>
  </si>
  <si>
    <t xml:space="preserve">CASE_3055</t>
  </si>
  <si>
    <t xml:space="preserve">Conditional order for removal of nuisance</t>
  </si>
  <si>
    <t xml:space="preserve">The Magistrate can make a conditional order requiring the person to remove the obstruction, secure the building, or destroy/confine the animal within a fixed time, or appear to show cause why they shouldn't have to. [Source: Section 152, BNSS 2023]</t>
  </si>
  <si>
    <t xml:space="preserve">Hugging Face source record: BNSS_152</t>
  </si>
  <si>
    <t xml:space="preserve">CASE_3056</t>
  </si>
  <si>
    <t xml:space="preserve">Section 152 of BNSS 2023 addresses the issuance of conditional orders by Executive Magistrates for the immediate removal of public nuisances, hazardous structures, dangerous animals, and health risks. [Source: Section 152, BNSS 2023]</t>
  </si>
  <si>
    <t xml:space="preserve">CASE_3057</t>
  </si>
  <si>
    <t xml:space="preserve">Yes, under clause (c), if the Magistrate considers that "the disposal of any substance, as is likely to occasion conflagration or explosion, should be prevented or stopped," they can make a conditional order. [Source: Section 152, BNSS 2023]</t>
  </si>
  <si>
    <t xml:space="preserve">CASE_3058</t>
  </si>
  <si>
    <t xml:space="preserve">The order requires them to "appear before himself or some other Executive Magistrate subordinate to him at a time and place to be fixed by the order, and show cause... why the order should not be made absolute." [Source: Section 152, BNSS 2023]</t>
  </si>
  <si>
    <t xml:space="preserve">CASE_3059</t>
  </si>
  <si>
    <t xml:space="preserve">No, sub-section (2) explicitly states, "No order duly made by a Magistrate under this section shall be called in question in any Civil Court." [Source: Section 152, BNSS 2023]</t>
  </si>
  <si>
    <t xml:space="preserve">CASE_3060</t>
  </si>
  <si>
    <t xml:space="preserve">The consequence is that the burden immediately shifts to the creator of the nuisance; they must either physically abate the hazard at their own expense or formally defend their actions in a magisterial inquiry, bypassing slow civil litigation. [Source: Section 152, BNSS 2023]</t>
  </si>
  <si>
    <t xml:space="preserve">CASE_3061</t>
  </si>
  <si>
    <t xml:space="preserve">Service or notification of order</t>
  </si>
  <si>
    <t xml:space="preserve">If practicable, the order is served directly on the person like a summons; if that's not possible, it is proclaimed publicly and a copy is stuck up at a fit place to convey the information. [Source: Section 153, BNSS 2023]</t>
  </si>
  <si>
    <t xml:space="preserve">Hugging Face source record: BNSS_153</t>
  </si>
  <si>
    <t xml:space="preserve">CASE_3062</t>
  </si>
  <si>
    <t xml:space="preserve">Section 153 of BNSS 2023 outlines the procedural methods for serving or notifying an individual about a conditional order for the removal of a nuisance. [Source: Section 153, BNSS 2023]</t>
  </si>
  <si>
    <t xml:space="preserve">CASE_3063</t>
  </si>
  <si>
    <t xml:space="preserve">Under sub-section (2), "it shall be notified by proclamation published in such manner as the State Government may, by rules, direct, and a copy thereof shall be stuck up at such place or places as may be fittest for conveying the information." [Source: Section 153, BNSS 2023]</t>
  </si>
  <si>
    <t xml:space="preserve">CASE_3064</t>
  </si>
  <si>
    <t xml:space="preserve">It shall be "served on the person against whom it is made, in the manner herein provided for service of summons." [Source: Section 153, BNSS 2023]</t>
  </si>
  <si>
    <t xml:space="preserve">CASE_3065</t>
  </si>
  <si>
    <t xml:space="preserve">No, it is only required "if practicable"; otherwise, the alternative method of proclamation and posting is used. [Source: Section 153, BNSS 2023]</t>
  </si>
  <si>
    <t xml:space="preserve">CASE_3066</t>
  </si>
  <si>
    <t xml:space="preserve">The consequence is that the legal requirement for notice is deemed fulfilled, preventing the absentee owner from later claiming ignorance to stall the demolition or removal of the nuisance. [Source: Section 153, BNSS 2023]</t>
  </si>
  <si>
    <t xml:space="preserve">CASE_3067</t>
  </si>
  <si>
    <t xml:space="preserve">Person to whom order is addressed to obey or show cause</t>
  </si>
  <si>
    <t xml:space="preserve">The person must either perform the directed act within the specified time and manner, or appear in accordance with the order to show cause against it, which may be permitted through audio-video conferencing. [Source: Section 154, BNSS 2023]</t>
  </si>
  <si>
    <t xml:space="preserve">Hugging Face source record: BNSS_154</t>
  </si>
  <si>
    <t xml:space="preserve">CASE_3068</t>
  </si>
  <si>
    <t xml:space="preserve">Section 154 of BNSS 2023 requires that a person addressed by a conditional nuisance order must either obey the order by performing the act or appear to formally show cause against it. [Source: Section 154, BNSS 2023]</t>
  </si>
  <si>
    <t xml:space="preserve">CASE_3069</t>
  </si>
  <si>
    <t xml:space="preserve">Yes, because clause (b) specifies that "such appearance or hearing may be permitted through audio-video conferencing." [Source: Section 154, BNSS 2023]</t>
  </si>
  <si>
    <t xml:space="preserve">CASE_3070</t>
  </si>
  <si>
    <t xml:space="preserve">The act must be performed "within the time and in the manner specified in the order." [Source: Section 154, BNSS 2023]</t>
  </si>
  <si>
    <t xml:space="preserve">CASE_3071</t>
  </si>
  <si>
    <t xml:space="preserve">No, they have the alternative option under clause (b) to "appear in accordance with such order and show cause against the same." [Source: Section 154, BNSS 2023]</t>
  </si>
  <si>
    <t xml:space="preserve">CASE_3072</t>
  </si>
  <si>
    <t xml:space="preserve">The consequence is that the recipient is placed under a strict legal obligation to take action—either by complying physically or contesting legally—leaving them no option to simply ignore the Magistrate's directive. [Source: Section 154, BNSS 2023]</t>
  </si>
  <si>
    <t xml:space="preserve">CASE_3073</t>
  </si>
  <si>
    <t xml:space="preserve">Penalty for failure to comply with section 154</t>
  </si>
  <si>
    <t xml:space="preserve">If the person does not perform the act or appear to show cause, they become liable to a penalty under section 223 of the Bharatiya Nyaya Sanhita, 2023, and the Magistrate's order is made absolute. [Source: Section 155, BNSS 2023]</t>
  </si>
  <si>
    <t xml:space="preserve">Hugging Face source record: BNSS_155</t>
  </si>
  <si>
    <t xml:space="preserve">CASE_3074</t>
  </si>
  <si>
    <t xml:space="preserve">Section 155 of BNSS 2023 states the penalties for failing to comply with a conditional order, imposing criminal liability under the BNS and automatically converting the conditional order into an absolute one. [Source: Section 155, BNSS 2023]</t>
  </si>
  <si>
    <t xml:space="preserve">CASE_3075</t>
  </si>
  <si>
    <t xml:space="preserve">No, because by failing to perform the act or show cause, "the order shall be made absolute," meaning it is finalized and they have forfeited their right to contest it. [Source: Section 155, BNSS 2023]</t>
  </si>
  <si>
    <t xml:space="preserve">CASE_3076</t>
  </si>
  <si>
    <t xml:space="preserve">The penalty is specified "in section 223 of the Bharatiya Nyaya Sanhita, 2023." [Source: Section 155, BNSS 2023]</t>
  </si>
  <si>
    <t xml:space="preserve">CASE_3077</t>
  </si>
  <si>
    <t xml:space="preserve">No, the section dictates that if they fail to perform or appear, "he shall be liable to the penalty" and the order "shall be made absolute," without providing statutory exceptions for forgetfulness. [Source: Section 155, BNSS 2023]</t>
  </si>
  <si>
    <t xml:space="preserve">CASE_3078</t>
  </si>
  <si>
    <t xml:space="preserve">The consequence is that the conditional nature of the order evaporates, locking in the legal mandate for the nuisance's removal and exposing the person to immediate enforcement actions and costs. [Source: Section 155, BNSS 2023]</t>
  </si>
  <si>
    <t xml:space="preserve">CASE_3079</t>
  </si>
  <si>
    <t xml:space="preserve">Procedure where existence of public right is denied</t>
  </si>
  <si>
    <t xml:space="preserve">The Magistrate must question the person about this denial. If there is reliable evidence supporting the denial, the Magistrate must stay the proceedings until a Civil Court decides the matter. [Source: Section 156, BNSS 2023]</t>
  </si>
  <si>
    <t xml:space="preserve">Hugging Face source record: BNSS_156</t>
  </si>
  <si>
    <t xml:space="preserve">CASE_3080</t>
  </si>
  <si>
    <t xml:space="preserve">Section 156 of BNSS 2023 establishes the procedure for handling denials of public rights in nuisance cases, pausing Magisterial action if credible evidence shows a genuine dispute over whether a place is actually public. [Source: Section 156, BNSS 2023]</t>
  </si>
  <si>
    <t xml:space="preserve">CASE_3081</t>
  </si>
  <si>
    <t xml:space="preserve">No, under sub-section (2), if the Magistrate "finds that there is no such evidence, he shall proceed as laid down in section 157" instead of staying the proceedings. [Source: Section 156, BNSS 2023]</t>
  </si>
  <si>
    <t xml:space="preserve">CASE_3082</t>
  </si>
  <si>
    <t xml:space="preserve">The Magistrate must "question him as to whether he denies the existence of any public right in respect of the way, river, channel or place." [Source: Section 156, BNSS 2023]</t>
  </si>
  <si>
    <t xml:space="preserve">CASE_3083</t>
  </si>
  <si>
    <t xml:space="preserve">No, under sub-section (3), a person who fails to deny it when questioned, or fails to adduce reliable evidence upon denial, "shall not in the subsequent proceedings be permitted to make any such denial." [Source: Section 156, BNSS 2023]</t>
  </si>
  <si>
    <t xml:space="preserve">CASE_3084</t>
  </si>
  <si>
    <t xml:space="preserve">The consequence is a mandatory stay of the Magisterial proceedings, transferring the jurisdictional authority to resolve the underlying property right dispute to a "competent Court." [Source: Section 156, BNSS 2023]</t>
  </si>
  <si>
    <t xml:space="preserve">CASE_3085</t>
  </si>
  <si>
    <t xml:space="preserve">Procedure where person against whom order is made under section 152 appears to show</t>
  </si>
  <si>
    <t xml:space="preserve">The Magistrate takes evidence as in a summons-case. If the order is found reasonable and proper, it is made absolute; if not, no further proceedings are taken. [Source: Section 157, BNSS 2023]</t>
  </si>
  <si>
    <t xml:space="preserve">Hugging Face source record: BNSS_157</t>
  </si>
  <si>
    <t xml:space="preserve">CASE_3086</t>
  </si>
  <si>
    <t xml:space="preserve">Section 157 of BNSS 2023 outlines the evidentiary procedure when a person contests a conditional nuisance order, culminating in either the cancellation or finalization of the order within strict timeframes. [Source: Section 157, BNSS 2023]</t>
  </si>
  <si>
    <t xml:space="preserve">CASE_3087</t>
  </si>
  <si>
    <t xml:space="preserve">No, the proviso strictly states that proceedings "shall be completed, as soon as possible, within a period of ninety days, which may be extended... to one hundred and twenty days." 150 days exceeds the maximum limit. [Source: Section 157, BNSS 2023]</t>
  </si>
  <si>
    <t xml:space="preserve">CASE_3088</t>
  </si>
  <si>
    <t xml:space="preserve">The Magistrate must be "satisfied that the order, either as originally made or subject to such modification as he considers necessary, is reasonable and proper." [Source: Section 157, BNSS 2023]</t>
  </si>
  <si>
    <t xml:space="preserve">CASE_3089</t>
  </si>
  <si>
    <t xml:space="preserve">No, the Magistrate may make it absolute "either as originally made or subject to such modification as he considers necessary." [Source: Section 157, BNSS 2023]</t>
  </si>
  <si>
    <t xml:space="preserve">CASE_3090</t>
  </si>
  <si>
    <t xml:space="preserve">Under sub-section (3), the consequence is that "no further proceedings shall be taken in the case," effectively dropping the matter against the person. [Source: Section 157, BNSS 2023]</t>
  </si>
  <si>
    <t xml:space="preserve">CASE_3091</t>
  </si>
  <si>
    <t xml:space="preserve">Power of Magistrate to direct local investigation and examination of an expert</t>
  </si>
  <si>
    <t xml:space="preserve">Yes, for the purposes of an inquiry, the Magistrate may direct a local investigation by a fit person or summon and examine an expert. [Source: Section 158, BNSS 2023]</t>
  </si>
  <si>
    <t xml:space="preserve">Hugging Face source record: BNSS_158</t>
  </si>
  <si>
    <t xml:space="preserve">CASE_3092</t>
  </si>
  <si>
    <t xml:space="preserve">Section 158 of BNSS 2023 grants Magistrates the power to direct local site investigations or summon expert witnesses to gather specialized evidence during a public nuisance inquiry. [Source: Section 158, BNSS 2023]</t>
  </si>
  <si>
    <t xml:space="preserve">CASE_3093</t>
  </si>
  <si>
    <t xml:space="preserve">The Magistrate can invoke clause (b) to "summon and examine an expert" to provide technical analysis of the pollution. [Source: Section 158, BNSS 2023]</t>
  </si>
  <si>
    <t xml:space="preserve">CASE_3094</t>
  </si>
  <si>
    <t xml:space="preserve">The powers may be used "for the purposes of an inquiry under section 156 or section 157." [Source: Section 158, BNSS 2023]</t>
  </si>
  <si>
    <t xml:space="preserve">CASE_3095</t>
  </si>
  <si>
    <t xml:space="preserve">No, the Magistrate may direct the investigation to be made "by such person as he thinks fit." [Source: Section 158, BNSS 2023]</t>
  </si>
  <si>
    <t xml:space="preserve">CASE_3096</t>
  </si>
  <si>
    <t xml:space="preserve">The consequence is that Magistrates are not limited to just hearing oral testimonies in court; they can actively acquire objective, specialized, and on-site evidence to make informed rulings on complex public hazards. [Source: Section 158, BNSS 2023]</t>
  </si>
  <si>
    <t xml:space="preserve">CASE_3097</t>
  </si>
  <si>
    <t xml:space="preserve">Power of Magistrate to furnish written instructions, etc</t>
  </si>
  <si>
    <t xml:space="preserve">The Magistrate has the power to declare by whom the whole or any part of the necessary expenses of the local investigation or the costs of summoning the expert shall be paid. [Source: Section 159, BNSS 2023]</t>
  </si>
  <si>
    <t xml:space="preserve">Hugging Face source record: BNSS_159</t>
  </si>
  <si>
    <t xml:space="preserve">CASE_3098</t>
  </si>
  <si>
    <t xml:space="preserve">Section 159 of BNSS 2023 defines the Magistrate's authority to furnish written instructions to local investigators, treat their reports as evidence, and allocate the financial costs of investigations and experts. [Source: Section 159, BNSS 2023]</t>
  </si>
  <si>
    <t xml:space="preserve">CASE_3099</t>
  </si>
  <si>
    <t xml:space="preserve">Yes, under sub-section (2), "The report of such person may be read as evidence in the case." [Source: Section 159, BNSS 2023]</t>
  </si>
  <si>
    <t xml:space="preserve">CASE_3100</t>
  </si>
  <si>
    <t xml:space="preserve">Under sub-section (1)(a), the Magistrate may "furnish such person with such written instructions as may seem necessary for his guidance." [Source: Section 159, BNSS 2023]</t>
  </si>
  <si>
    <t xml:space="preserve">CASE_3101</t>
  </si>
  <si>
    <t xml:space="preserve">No, the Magistrate has the discretion to "declare by whom the whole or any part of the necessary expenses of the local investigation shall be paid." [Source: Section 159, BNSS 2023]</t>
  </si>
  <si>
    <t xml:space="preserve">CASE_3102</t>
  </si>
  <si>
    <t xml:space="preserve">The consequence is that the financial burden of complex investigations does not automatically fall on the State; the Magistrate can order the offending party, or even the complaining party, to bear the costs. [Source: Section 159, BNSS 2023]</t>
  </si>
  <si>
    <t xml:space="preserve">CASE_3103</t>
  </si>
  <si>
    <t xml:space="preserve">Procedure on order being made absolute and consequences of disobedience</t>
  </si>
  <si>
    <t xml:space="preserve">The Magistrate may cause the act to be performed themselves and recover the costs by selling any property removed or by distraining and selling the person's movable property. [Source: Section 160, BNSS 2023]</t>
  </si>
  <si>
    <t xml:space="preserve">Hugging Face source record: BNSS_160</t>
  </si>
  <si>
    <t xml:space="preserve">CASE_3104</t>
  </si>
  <si>
    <t xml:space="preserve">Section 160 of BNSS 2023 establishes the procedure for enforcing an absolute order, detailing the notice given, the penalty for disobedience, and the methods for state execution and cost recovery. [Source: Section 160, BNSS 2023]</t>
  </si>
  <si>
    <t xml:space="preserve">CASE_3105</t>
  </si>
  <si>
    <t xml:space="preserve">No, under sub-section (3), "No suit shall lie in respect of anything done in good faith under this section." [Source: Section 160, BNSS 2023]</t>
  </si>
  <si>
    <t xml:space="preserve">CASE_3106</t>
  </si>
  <si>
    <t xml:space="preserve">The notice must require them to perform the act within a fixed time and inform them that disobedience makes them "liable to the penalty provided by section 223 of the Bharatiya Nyaya Sanhita, 2023." [Source: Section 160, BNSS 2023]</t>
  </si>
  <si>
    <t xml:space="preserve">CASE_3107</t>
  </si>
  <si>
    <t xml:space="preserve">No, they may recover costs by the sale of movable property "within or without such Magistrate's local jurisdiction," though selling property outside requires the endorsement of the local Magistrate there. [Source: Section 160, BNSS 2023]</t>
  </si>
  <si>
    <t xml:space="preserve">CASE_3108</t>
  </si>
  <si>
    <t xml:space="preserve">The consequence is that the State forcefully intervenes to physically eliminate the nuisance itself, and then aggressively recoups the financial cost directly from the disobedient person's assets. [Source: Section 160, BNSS 2023]</t>
  </si>
  <si>
    <t xml:space="preserve">CASE_3109</t>
  </si>
  <si>
    <t xml:space="preserve">Injunction pending inquiry</t>
  </si>
  <si>
    <t xml:space="preserve">The Magistrate can issue an immediate injunction to prevent the danger pending the determination of the matter, and if disobeyed, use necessary means to prevent the injury themselves. [Source: Section 161, BNSS 2023]</t>
  </si>
  <si>
    <t xml:space="preserve">Hugging Face source record: BNSS_161</t>
  </si>
  <si>
    <t xml:space="preserve">CASE_3110</t>
  </si>
  <si>
    <t xml:space="preserve">Section 161 of BNSS 2023 grants Magistrates the power to issue emergency injunctions during pending inquiries to prevent imminent, serious danger to the public, and to enforce them immediately. [Source: Section 161, BNSS 2023]</t>
  </si>
  <si>
    <t xml:space="preserve">CASE_3111</t>
  </si>
  <si>
    <t xml:space="preserve">Yes, if the Magistrate considers immediate measures are needed to prevent imminent danger, they may "issue such an injunction... as is required to obviate or prevent such danger or injury pending the determination of the matter." [Source: Section 161, BNSS 2023]</t>
  </si>
  <si>
    <t xml:space="preserve">CASE_3112</t>
  </si>
  <si>
    <t xml:space="preserve">Under sub-section (2), "the Magistrate may himself use, or cause to be used, such means as he thinks fit to obviate such danger or to prevent such injury." [Source: Section 161, BNSS 2023]</t>
  </si>
  <si>
    <t xml:space="preserve">CASE_3113</t>
  </si>
  <si>
    <t xml:space="preserve">No, sub-section (3) provides absolute immunity: "No suit shall lie in respect of anything done in good faith by a Magistrate under this section." [Source: Section 161, BNSS 2023]</t>
  </si>
  <si>
    <t xml:space="preserve">CASE_3114</t>
  </si>
  <si>
    <t xml:space="preserve">The consequence is that bureaucratic procedural delays cannot be used to prolong a lethal or disastrous public hazard; the Magistrate has supreme, unchallengeable authority to stop the immediate threat first, and ask questions later. [Source: Section 161, BNSS 2023]</t>
  </si>
  <si>
    <t xml:space="preserve">CASE_3115</t>
  </si>
  <si>
    <t xml:space="preserve">Magistrate may prohibit repetition or Continuance of public nuisance</t>
  </si>
  <si>
    <t xml:space="preserve">Yes, specific Magistrates empowered by the State Government can order any person not to repeat or continue a public nuisance as defined in law. [Source: Section 162, BNSS 2023]</t>
  </si>
  <si>
    <t xml:space="preserve">Hugging Face source record: BNSS_162</t>
  </si>
  <si>
    <t xml:space="preserve">CASE_3116</t>
  </si>
  <si>
    <t xml:space="preserve">Section 162 of BNSS 2023 allows empowered Magistrates to issue orders prohibiting the repetition or continuance of a public nuisance, ensuring long-term prevention rather than just one-time removal. [Source: Section 162, BNSS 2023]</t>
  </si>
  <si>
    <t xml:space="preserve">CASE_3117</t>
  </si>
  <si>
    <t xml:space="preserve">Yes, an empowered Magistrate "may order any person not to repeat or continue a public nuisance." [Source: Section 162, BNSS 2023]</t>
  </si>
  <si>
    <t xml:space="preserve">CASE_3118</t>
  </si>
  <si>
    <t xml:space="preserve">It is a public nuisance "as defined in the Bharatiya Nyaya Sanhita, 2023, or any special or local law." [Source: Section 162, BNSS 2023]</t>
  </si>
  <si>
    <t xml:space="preserve">CASE_3119</t>
  </si>
  <si>
    <t xml:space="preserve">No, it must be a District Magistrate, Sub-divisional Magistrate, or an Executive Magistrate or Deputy Commissioner of Police specifically "empowered by the State Government or the District Magistrate in this behalf." [Source: Section 162, BNSS 2023]</t>
  </si>
  <si>
    <t xml:space="preserve">CASE_3120</t>
  </si>
  <si>
    <t xml:space="preserve">The consequence is that they are placed under a targeted, personalized legal injunction, transforming any future repetition of the nuisance from a general statutory violation into a direct defiance of a specific Magisterial order. [Source: Section 162, BNSS 2023]</t>
  </si>
  <si>
    <t xml:space="preserve">CASE_3121</t>
  </si>
  <si>
    <t xml:space="preserve">Power to issue order in urgent cases of nuisance or apprehended danger</t>
  </si>
  <si>
    <t xml:space="preserve">A Magistrate can issue an urgent, sometimes ex-parte, written order directing any person or the public to abstain from certain acts or manage their property in a certain way to immediately prevent danger, riots, or injury. [Source: Section 163, BNSS 2023]</t>
  </si>
  <si>
    <t xml:space="preserve">Hugging Face source record: BNSS_163</t>
  </si>
  <si>
    <t xml:space="preserve">CASE_3122</t>
  </si>
  <si>
    <t xml:space="preserve">Section 163 of BNSS 2023 (historically akin to Section 144 CrPC) provides vast emergency powers to Magistrates to issue urgent, temporary restrictive orders to individuals or the general public to prevent imminent danger, riots, or health crises. [Source: Section 163, BNSS 2023]</t>
  </si>
  <si>
    <t xml:space="preserve">CASE_3123</t>
  </si>
  <si>
    <t xml:space="preserve">Yes, under sub-section (2) the order may "be passed ex parte," and under sub-section (3) it may be directed "to the public generally when frequenting or visiting a particular place or area." [Source: Section 163, BNSS 2023]</t>
  </si>
  <si>
    <t xml:space="preserve">CASE_3124</t>
  </si>
  <si>
    <t xml:space="preserve">Under sub-section (4), "No order under this section shall remain in force for more than two months from the making thereof." [Source: Section 163, BNSS 2023]</t>
  </si>
  <si>
    <t xml:space="preserve">CASE_3125</t>
  </si>
  <si>
    <t xml:space="preserve">Yes, the proviso to sub-section (4) states the State Government may direct it to remain in force for a "further period not exceeding six months" to prevent danger to human life, health, safety, or riots. [Source: Section 163, BNSS 2023]</t>
  </si>
  <si>
    <t xml:space="preserve">CASE_3126</t>
  </si>
  <si>
    <t xml:space="preserve">Under sub-section (7), the consequence is that the Magistrate "shall afford to the applicant an early opportunity of appearing... and showing cause against the order," and must record written reasons if they reject the application. [Source: Section 163, BNSS 2023]</t>
  </si>
  <si>
    <t xml:space="preserve">CASE_3127</t>
  </si>
  <si>
    <t xml:space="preserve">Procedure where dispute concerning land or water is likely to cause breach of</t>
  </si>
  <si>
    <t xml:space="preserve">An Executive Magistrate can require the parties to attend court and submit written statements of their claims regarding actual possession. The Magistrate will then decide who was in actual possession and declare them entitled to it until a formal eviction. [Source: Section 164, BNSS 2023]</t>
  </si>
  <si>
    <t xml:space="preserve">Hugging Face source record: BNSS_164</t>
  </si>
  <si>
    <t xml:space="preserve">CASE_3128</t>
  </si>
  <si>
    <t xml:space="preserve">Section 164 of BNSS 2023 establishes the procedure for Executive Magistrates to intervene in disputes concerning land or water that are likely to cause a breach of the peace, by determining immediate possession without deciding legal title. [Source: Section 164, BNSS 2023]</t>
  </si>
  <si>
    <t xml:space="preserve">CASE_3129</t>
  </si>
  <si>
    <t xml:space="preserve">No, under the proviso to sub-section (4), if a party "has been forcibly and wrongfully dispossessed within two months next before the date on which the report... was received," the Magistrate may treat the dispossessed farmer as if they were in possession. [Source: Section 164, BNSS 2023]</t>
  </si>
  <si>
    <t xml:space="preserve">CASE_3130</t>
  </si>
  <si>
    <t xml:space="preserve">It includes "buildings, markets, fisheries, crops or other produce of land, and the rents or profits of any such property." [Source: Section 164, BNSS 2023]</t>
  </si>
  <si>
    <t xml:space="preserve">CASE_3131</t>
  </si>
  <si>
    <t xml:space="preserve">Yes, sub-section (5) states nothing shall preclude any party "from showing that no such dispute as aforesaid exists or has existed," and if proven, the Magistrate "shall cancel his said order." [Source: Section 164, BNSS 2023]</t>
  </si>
  <si>
    <t xml:space="preserve">CASE_3132</t>
  </si>
  <si>
    <t xml:space="preserve">The consequence is that the declared party's physical possession is legally protected from any disturbance, forcing the losing party to seek formal eviction through a lengthy civil lawsuit rather than resorting to immediate violence. [Source: Section 164, BNSS 2023]</t>
  </si>
  <si>
    <t xml:space="preserve">CASE_3133</t>
  </si>
  <si>
    <t xml:space="preserve">Power to attach subject of dispute and to appoint receiver</t>
  </si>
  <si>
    <t xml:space="preserve">The Magistrate may attach the subject of dispute and appoint a receiver to look after the property until a competent Court determines the rightful owner. [Source: Section 165, BNSS 2023]</t>
  </si>
  <si>
    <t xml:space="preserve">Hugging Face source record: BNSS_165</t>
  </si>
  <si>
    <t xml:space="preserve">CASE_3134</t>
  </si>
  <si>
    <t xml:space="preserve">Section 165 of BNSS 2023 grants the Magistrate the power to attach disputed land or water and appoint a receiver in cases of emergency, or when actual possession cannot be determined. [Source: Section 165, BNSS 2023]</t>
  </si>
  <si>
    <t xml:space="preserve">CASE_3135</t>
  </si>
  <si>
    <t xml:space="preserve">Under the proviso to sub-section (2), the Magistrate shall order their receiver "to hand over the possession of the subject of dispute to the receiver appointed by the Civil Court and shall thereafter discharge the receiver appointed by him." [Source: Section 165, BNSS 2023]</t>
  </si>
  <si>
    <t xml:space="preserve">CASE_3136</t>
  </si>
  <si>
    <t xml:space="preserve">If the Magistrate considers it "a case of emergency," or decides "none of the parties was then in such possession," or is "unable to satisfy himself as to which of them was then in such possession." [Source: Section 165, BNSS 2023]</t>
  </si>
  <si>
    <t xml:space="preserve">CASE_3137</t>
  </si>
  <si>
    <t xml:space="preserve">No, under the proviso to sub-section (1), the Magistrate "may withdraw the attachment at any time if he is satisfied that there is no longer any likelihood of breach of the peace." [Source: Section 165, BNSS 2023]</t>
  </si>
  <si>
    <t xml:space="preserve">CASE_3138</t>
  </si>
  <si>
    <t xml:space="preserve">The consequence is that all disputing parties are stripped of physical control over the asset, neutralizing the immediate trigger for violence while shifting management to a neutral, state-appointed receiver. [Source: Section 165, BNSS 2023]</t>
  </si>
  <si>
    <t xml:space="preserve">CASE_3139</t>
  </si>
  <si>
    <t xml:space="preserve">Dispute concerning right of use of land or water</t>
  </si>
  <si>
    <t xml:space="preserve">The Magistrate can require the parties to submit written statements, hear evidence, and if the right of use exists, make an order prohibiting interference with that right or removing obstructions. [Source: Section 166, BNSS 2023]</t>
  </si>
  <si>
    <t xml:space="preserve">Hugging Face source record: BNSS_166</t>
  </si>
  <si>
    <t xml:space="preserve">CASE_3140</t>
  </si>
  <si>
    <t xml:space="preserve">Section 166 of BNSS 2023 addresses disputes concerning the alleged right of user of land or water (such as easements), allowing Magistrates to protect established usage rights to prevent a breach of the peace. [Source: Section 166, BNSS 2023]</t>
  </si>
  <si>
    <t xml:space="preserve">CASE_3141</t>
  </si>
  <si>
    <t xml:space="preserve">No, under the proviso to sub-section (3), for rights exercisable only at particular seasons, the order cannot be made "unless the right has been exercised during the last of such seasons... before such receipt" of information. [Source: Section 166, BNSS 2023]</t>
  </si>
  <si>
    <t xml:space="preserve">CASE_3142</t>
  </si>
  <si>
    <t xml:space="preserve">It must have been "exercised within three months next before the receipt under sub-section (1) of the report of a police officer or other information." [Source: Section 166, BNSS 2023]</t>
  </si>
  <si>
    <t xml:space="preserve">CASE_3143</t>
  </si>
  <si>
    <t xml:space="preserve">No, under sub-section (4), the Magistrate "may, after recording his reasons, continue with the proceedings as if they had been commenced under sub-section (1)" of section 166. [Source: Section 166, BNSS 2023]</t>
  </si>
  <si>
    <t xml:space="preserve">CASE_3144</t>
  </si>
  <si>
    <t xml:space="preserve">The consequence is that the party claiming the right of use is legally shielded from interference and any physical barricades can be forcefully removed, restoring the status quo usage. [Source: Section 166, BNSS 2023]</t>
  </si>
  <si>
    <t xml:space="preserve">CASE_3145</t>
  </si>
  <si>
    <t xml:space="preserve">Local inquiry</t>
  </si>
  <si>
    <t xml:space="preserve">Yes, whenever a local inquiry is necessary for disputes over land or water, a District Magistrate or Sub-divisional Magistrate may depute any subordinate Magistrate to make the inquiry. [Source: Section 167, BNSS 2023]</t>
  </si>
  <si>
    <t xml:space="preserve">Hugging Face source record: BNSS_167</t>
  </si>
  <si>
    <t xml:space="preserve">CASE_3146</t>
  </si>
  <si>
    <t xml:space="preserve">Section 167 of BNSS 2023 authorizes District and Sub-divisional Magistrates to depute subordinate Magistrates for local inquiries in land disputes and to allocate the costs of those inquiries and proceedings. [Source: Section 167, BNSS 2023]</t>
  </si>
  <si>
    <t xml:space="preserve">CASE_3147</t>
  </si>
  <si>
    <t xml:space="preserve">No, under sub-section (2), "The report of the person so deputed may be read as evidence in the case" without requiring them to testify. [Source: Section 167, BNSS 2023]</t>
  </si>
  <si>
    <t xml:space="preserve">CASE_3148</t>
  </si>
  <si>
    <t xml:space="preserve">The costs may include "any expenses incurred in respect of witnesses and of advocates' fees, which the Court may consider reasonable." [Source: Section 167, BNSS 2023]</t>
  </si>
  <si>
    <t xml:space="preserve">CASE_3149</t>
  </si>
  <si>
    <t xml:space="preserve">No, under sub-section (1), they "may declare by whom the whole or any part of the necessary expenses of the inquiry shall be paid." [Source: Section 167, BNSS 2023]</t>
  </si>
  <si>
    <t xml:space="preserve">CASE_3150</t>
  </si>
  <si>
    <t xml:space="preserve">The consequence is that the Magistrate passing the decision can penalize them by directing them to pay the other party's costs, including reasonable advocate fees and witness expenses. [Source: Section 167, BNSS 2023]</t>
  </si>
  <si>
    <t xml:space="preserve">CASE_3151</t>
  </si>
  <si>
    <t xml:space="preserve">Police to prevent cognizable offences</t>
  </si>
  <si>
    <t xml:space="preserve">No, every police officer may interpose to prevent, and shall to the best of their ability prevent, the commission of any cognizable offence. [Source: Section 168, BNSS 2023]</t>
  </si>
  <si>
    <t xml:space="preserve">Hugging Face source record: BNSS_168</t>
  </si>
  <si>
    <t xml:space="preserve">CASE_3152</t>
  </si>
  <si>
    <t xml:space="preserve">Section 168 of BNSS 2023 mandates the proactive duty of every police officer to intervene and use their best efforts to prevent cognizable offences before they are committed. [Source: Section 168, BNSS 2023]</t>
  </si>
  <si>
    <t xml:space="preserve">CASE_3153</t>
  </si>
  <si>
    <t xml:space="preserve">No, the officer "may interpose for the purpose of preventing... the commission of any cognizable offence" entirely on their own authority. [Source: Section 168, BNSS 2023]</t>
  </si>
  <si>
    <t xml:space="preserve">CASE_3154</t>
  </si>
  <si>
    <t xml:space="preserve">The officer "shall, to the best of his ability, prevent" the commission of the offence. [Source: Section 168, BNSS 2023]</t>
  </si>
  <si>
    <t xml:space="preserve">CASE_3155</t>
  </si>
  <si>
    <t xml:space="preserve">No, the section explicitly restricts this duty to preventing the commission of "any cognizable offence." [Source: Section 168, BNSS 2023]</t>
  </si>
  <si>
    <t xml:space="preserve">CASE_3156</t>
  </si>
  <si>
    <t xml:space="preserve">The consequence is that police are legally transformed from merely being a reactionary investigative force into a proactive, preventative body with a statutory mandate to intervene before harm occurs. [Source: Section 168, BNSS 2023]</t>
  </si>
  <si>
    <t xml:space="preserve">CASE_3157</t>
  </si>
  <si>
    <t xml:space="preserve">Information of design to commit cognizable offences</t>
  </si>
  <si>
    <t xml:space="preserve">The officer must communicate that information to their subordinate officer and to any other officer whose duty it is to prevent or take cognizance of the offence. [Source: Section 169, BNSS 2023]</t>
  </si>
  <si>
    <t xml:space="preserve">Hugging Face source record: BNSS_169</t>
  </si>
  <si>
    <t xml:space="preserve">CASE_3158</t>
  </si>
  <si>
    <t xml:space="preserve">Section 169 of BNSS 2023 requires police officers to immediately share intelligence regarding the design to commit cognizable offences up the chain of command and laterally to relevant officers. [Source: Section 169, BNSS 2023]</t>
  </si>
  <si>
    <t xml:space="preserve">CASE_3159</t>
  </si>
  <si>
    <t xml:space="preserve">Yes, the section mandates that the officer "shall communicate such information to the police officer to whom he is subordinate, and to any other officer whose duty it is to prevent" it. [Source: Section 169, BNSS 2023]</t>
  </si>
  <si>
    <t xml:space="preserve">CASE_3160</t>
  </si>
  <si>
    <t xml:space="preserve">"Information of a design to commit any cognizable offence." [Source: Section 169, BNSS 2023]</t>
  </si>
  <si>
    <t xml:space="preserve">CASE_3161</t>
  </si>
  <si>
    <t xml:space="preserve">No, they must communicate it to their subordinate officer "and to any other officer whose duty it is to prevent or take cognizance" of that offence. [Source: Section 169, BNSS 2023]</t>
  </si>
  <si>
    <t xml:space="preserve">CASE_3162</t>
  </si>
  <si>
    <t xml:space="preserve">The consequence is that critical intelligence cannot be legally siloed or hoarded by individual officers; it forces a coordinated, multi-officer response to prevent serious crimes. [Source: Section 169, BNSS 2023]</t>
  </si>
  <si>
    <t xml:space="preserve">CASE_3163</t>
  </si>
  <si>
    <t xml:space="preserve">Arrest to prevent commission of cognizable offences</t>
  </si>
  <si>
    <t xml:space="preserve">Yes, a police officer knowing of a design to commit a cognizable offence can arrest the person without a warrant if it appears the offence cannot be prevented any other way. [Source: Section 170, BNSS 2023]</t>
  </si>
  <si>
    <t xml:space="preserve">Hugging Face source record: BNSS_170</t>
  </si>
  <si>
    <t xml:space="preserve">CASE_3164</t>
  </si>
  <si>
    <t xml:space="preserve">Section 170 of BNSS 2023 authorizes police officers to make preventative, warrantless arrests of individuals designing to commit cognizable offences, subject to a strict 24-hour detention limit. [Source: Section 170, BNSS 2023]</t>
  </si>
  <si>
    <t xml:space="preserve">CASE_3165</t>
  </si>
  <si>
    <t xml:space="preserve">No, under sub-section (2), "No person arrested under sub-section (1) shall be detained in custody for a period exceeding twenty-four hours... unless his further detention is required or authorised." [Source: Section 170, BNSS 2023]</t>
  </si>
  <si>
    <t xml:space="preserve">CASE_3166</t>
  </si>
  <si>
    <t xml:space="preserve">The officer must believe that "it appears to such officer that the commission of the offence cannot be otherwise prevented." [Source: Section 170, BNSS 2023]</t>
  </si>
  <si>
    <t xml:space="preserve">CASE_3167</t>
  </si>
  <si>
    <t xml:space="preserve">No, they may arrest the person "without orders from a Magistrate and without a warrant." [Source: Section 170, BNSS 2023]</t>
  </si>
  <si>
    <t xml:space="preserve">CASE_3168</t>
  </si>
  <si>
    <t xml:space="preserve">The consequence is that the police cannot use preventative arrests as a tool for indefinite, extrajudicial detention; they must either release the suspect or formally justify continued detention under another law within a day. [Source: Section 170, BNSS 2023]</t>
  </si>
  <si>
    <t xml:space="preserve">CASE_3169</t>
  </si>
  <si>
    <t xml:space="preserve">Prevention of injury to public property</t>
  </si>
  <si>
    <t xml:space="preserve">Yes, a police officer may on their own authority intervene to prevent any attempted injury to public property or navigation marks. [Source: Section 171, BNSS 2023]</t>
  </si>
  <si>
    <t xml:space="preserve">Hugging Face source record: BNSS_171</t>
  </si>
  <si>
    <t xml:space="preserve">CASE_3170</t>
  </si>
  <si>
    <t xml:space="preserve">Section 171 of BNSS 2023 empowers police officers to proactively interpose on their own authority to prevent vandalism, injury, or removal of public property and navigational landmarks. [Source: Section 171, BNSS 2023]</t>
  </si>
  <si>
    <t xml:space="preserve">CASE_3171</t>
  </si>
  <si>
    <t xml:space="preserve">The officer "may of his own authority interpose to prevent... the removal or injury of any public landmark, buoy or other mark used for navigation," without waiting for a complaint. [Source: Section 171, BNSS 2023]</t>
  </si>
  <si>
    <t xml:space="preserve">CASE_3172</t>
  </si>
  <si>
    <t xml:space="preserve">"any public property, movable or immovable" and "any public landmark, buoy or other mark used for navigation." [Source: Section 171, BNSS 2023]</t>
  </si>
  <si>
    <t xml:space="preserve">CASE_3173</t>
  </si>
  <si>
    <t xml:space="preserve">No, it broadly applies to "any public property," regardless of which specific government body owns it. [Source: Section 171, BNSS 2023]</t>
  </si>
  <si>
    <t xml:space="preserve">CASE_3174</t>
  </si>
  <si>
    <t xml:space="preserve">The consequence is that it removes any bureaucratic hesitation; officers have the absolute, immediate legal mandate to physically protect state assets from destruction the moment they see an attempt occurring. [Source: Section 171, BNSS 2023]</t>
  </si>
  <si>
    <t xml:space="preserve">CASE_3175</t>
  </si>
  <si>
    <t xml:space="preserve">Persons bound to conform to lawful directions of police</t>
  </si>
  <si>
    <t xml:space="preserve">Yes, all persons are bound to conform to the lawful directions of a police officer given in fulfillment of their duties, and can be detained if they refuse. [Source: Section 172, BNSS 2023]</t>
  </si>
  <si>
    <t xml:space="preserve">Hugging Face source record: BNSS_172</t>
  </si>
  <si>
    <t xml:space="preserve">CASE_3176</t>
  </si>
  <si>
    <t xml:space="preserve">Section 172 of BNSS 2023 stipulates the legal obligation of the public to obey lawful police directions and grants police the power to detain or remove those who resist or disregard such directions. [Source: Section 172, BNSS 2023]</t>
  </si>
  <si>
    <t xml:space="preserve">CASE_3177</t>
  </si>
  <si>
    <t xml:space="preserve">No, under sub-section (2), the officer may detain them but in petty cases must "release him as soon as possible within a period of twenty-four hours" or take them to a Magistrate. [Source: Section 172, BNSS 2023]</t>
  </si>
  <si>
    <t xml:space="preserve">CASE_3178</t>
  </si>
  <si>
    <t xml:space="preserve">"resisting, refusing, ignoring or disregarding to conform to any direction given by him." [Source: Section 172, BNSS 2023]</t>
  </si>
  <si>
    <t xml:space="preserve">CASE_3179</t>
  </si>
  <si>
    <t xml:space="preserve">No, the section explicitly binds persons to conform only to "lawful directions of a police officer given in fulfilment of any of his duty under this Chapter." [Source: Section 172, BNSS 2023]</t>
  </si>
  <si>
    <t xml:space="preserve">CASE_3180</t>
  </si>
  <si>
    <t xml:space="preserve">The consequence is that civilians cannot legally debate or ignore crowd-control or preventative instructions; non-compliance instantly empowers the police to physically remove or temporarily lock up the civilian to secure the area. [Source: Section 172, BNSS 2023]</t>
  </si>
  <si>
    <t xml:space="preserve">CASE_3181</t>
  </si>
  <si>
    <t xml:space="preserve">Information in cognizable cases</t>
  </si>
  <si>
    <t xml:space="preserve">Information about a cognizable offence can be given orally (and reduced to writing) or by electronic communication. It must be signed by the informant and entered into a specific police record book. [Source: Section 173, BNSS 2023]</t>
  </si>
  <si>
    <t xml:space="preserve">Hugging Face source record: BNSS_173</t>
  </si>
  <si>
    <t xml:space="preserve">CASE_3182</t>
  </si>
  <si>
    <t xml:space="preserve">Section 173 of BNSS 2023 (historically Section 154 CrPC) governs the recording of the First Information Report (FIR) for cognizable offences, including provisions for electronic filing, zero FIRs, and special procedures for crimes against women. [Source: Section 173, BNSS 2023]</t>
  </si>
  <si>
    <t xml:space="preserve">CASE_3183</t>
  </si>
  <si>
    <t xml:space="preserve">No, the first proviso mandates that information regarding such offences "shall be recorded, by a woman police officer or any woman officer." [Source: Section 173, BNSS 2023]</t>
  </si>
  <si>
    <t xml:space="preserve">CASE_3184</t>
  </si>
  <si>
    <t xml:space="preserve">Under the second proviso, it must be recorded "at the residence of the person seeking to report such offence or at a convenient place of such person's choice, in the presence of an interpreter or a special educator." [Source: Section 173, BNSS 2023]</t>
  </si>
  <si>
    <t xml:space="preserve">CASE_3185</t>
  </si>
  <si>
    <t xml:space="preserve">No, under sub-section (1)(ii), it shall be taken on record "on being signed within three days by the person giving it." [Source: Section 173, BNSS 2023]</t>
  </si>
  <si>
    <t xml:space="preserve">CASE_3186</t>
  </si>
  <si>
    <t xml:space="preserve">Under sub-section (4), the consequence is that the aggrieved person may send the information by post to the Superintendent of Police, who can investigate it directly or direct a subordinate to do so, or the person can apply to a Magistrate. [Source: Section 173, BNSS 2023]</t>
  </si>
  <si>
    <t xml:space="preserve">CASE_3187</t>
  </si>
  <si>
    <t xml:space="preserve">Information as to non-cognizable cases and investigation of such cases</t>
  </si>
  <si>
    <t xml:space="preserve">The police officer must enter the substance of the information into a prescribed book, refer the informant to the Magistrate, and forward a daily diary report to the Magistrate fortnightly. [Source: Section 174, BNSS 2023]</t>
  </si>
  <si>
    <t xml:space="preserve">Hugging Face source record: BNSS_174</t>
  </si>
  <si>
    <t xml:space="preserve">CASE_3188</t>
  </si>
  <si>
    <t xml:space="preserve">Section 174 of BNSS 2023 dictates the procedure for police handling non-cognizable offences, strictly prohibiting them from investigating such cases without a direct order from a Magistrate. [Source: Section 174, BNSS 2023]</t>
  </si>
  <si>
    <t xml:space="preserve">CASE_3189</t>
  </si>
  <si>
    <t xml:space="preserve">No, under sub-section (2), "No police officer shall investigate a non-cognizable case without the order of a Magistrate having power to try such case or commit the case for trial." [Source: Section 174, BNSS 2023]</t>
  </si>
  <si>
    <t xml:space="preserve">CASE_3190</t>
  </si>
  <si>
    <t xml:space="preserve">They may exercise all powers of an officer investigating a cognizable case, "(except the power to arrest without warrant)." [Source: Section 174, BNSS 2023]</t>
  </si>
  <si>
    <t xml:space="preserve">CASE_3191</t>
  </si>
  <si>
    <t xml:space="preserve">No, under sub-section (4), "the case shall be deemed to be a cognizable case, notwithstanding that the other offences are non-cognizable." [Source: Section 174, BNSS 2023]</t>
  </si>
  <si>
    <t xml:space="preserve">CASE_3192</t>
  </si>
  <si>
    <t xml:space="preserve">The consequence is that the police automatically gain the authority to investigate the entire matter, including the non-cognizable parts, without needing prior Magisterial permission. [Source: Section 174, BNSS 2023]</t>
  </si>
  <si>
    <t xml:space="preserve">CASE_3193</t>
  </si>
  <si>
    <t xml:space="preserve">Police officer’s power to investigate cognizable case</t>
  </si>
  <si>
    <t xml:space="preserve">Yes, an officer in charge of a police station can investigate any cognizable case within their local jurisdiction without the order of a Magistrate. [Source: Section 175, BNSS 2023]</t>
  </si>
  <si>
    <t xml:space="preserve">Hugging Face source record: BNSS_175</t>
  </si>
  <si>
    <t xml:space="preserve">CASE_3194</t>
  </si>
  <si>
    <t xml:space="preserve">Section 175 of BNSS 2023 empowers the police to independently initiate investigations into cognizable offences without Magisterial orders, while also allowing Magistrates to order such investigations under certain conditions. [Source: Section 175, BNSS 2023]</t>
  </si>
  <si>
    <t xml:space="preserve">CASE_3195</t>
  </si>
  <si>
    <t xml:space="preserve">No, under sub-section (2), "No proceeding of a police officer in any such case shall at any stage be called in question on the ground that the case was one which such officer was not empowered under this section to investigate." [Source: Section 175, BNSS 2023]</t>
  </si>
  <si>
    <t xml:space="preserve">CASE_3196</t>
  </si>
  <si>
    <t xml:space="preserve">The Magistrate must receive "a report containing facts and circumstances of the incident from the officer superior to him" and consider "the assertions made by the public servant as to the situation that led to the incident." [Source: Section 175, BNSS 2023]</t>
  </si>
  <si>
    <t xml:space="preserve">CASE_3197</t>
  </si>
  <si>
    <t xml:space="preserve">Yes, under the proviso to sub-section (1), considering the nature and gravity of the offence, the Superintendent "may require the Deputy Superintendent of Police to investigate the case." [Source: Section 175, BNSS 2023]</t>
  </si>
  <si>
    <t xml:space="preserve">CASE_3198</t>
  </si>
  <si>
    <t xml:space="preserve">The consequence is that public servants are shielded from immediate, frivolous criminal investigations by Magistrates over actions taken in their official capacity, ensuring their side of the story and a superior officer's report are considered first. [Source: Section 175, BNSS 2023]</t>
  </si>
  <si>
    <t xml:space="preserve">CASE_3199</t>
  </si>
  <si>
    <t xml:space="preserve">Procedure for investigation</t>
  </si>
  <si>
    <t xml:space="preserve">The officer in charge must send a report to the Magistrate and proceed (or depute a subordinate) to the spot to investigate the facts, discover the offender, and take necessary measures for arrest. [Source: Section 176, BNSS 2023]</t>
  </si>
  <si>
    <t xml:space="preserve">Hugging Face source record: BNSS_176</t>
  </si>
  <si>
    <t xml:space="preserve">CASE_3200</t>
  </si>
  <si>
    <t xml:space="preserve">Section 176 of BNSS 2023 outlines the mandatory procedure for initiating a police investigation upon receiving information of a cognizable offence, including exceptions for minor offences and special rules for rape cases and forensic evidence gathering. [Source: Section 176, BNSS 2023]</t>
  </si>
  <si>
    <t xml:space="preserve">CASE_3201</t>
  </si>
  <si>
    <t xml:space="preserve">Yes, under sub-section (3), for offences punishable for seven years or more, the officer "shall... cause the forensic expert to visit the crime scene to collect forensic evidence... and also cause videography of the process." [Source: Section 176, BNSS 2023]</t>
  </si>
  <si>
    <t xml:space="preserve">CASE_3202</t>
  </si>
  <si>
    <t xml:space="preserve">It "shall be conducted at the residence of the victim or in the place of her choice." [Source: Section 176, BNSS 2023]</t>
  </si>
  <si>
    <t xml:space="preserve">CASE_3203</t>
  </si>
  <si>
    <t xml:space="preserve">No, under proviso (a) to sub-section (1), when information is against a person by name and "the case is not of a serious nature," the officer "need not proceed in person or depute a subordinate officer to make an investigation on the spot." [Source: Section 176, BNSS 2023]</t>
  </si>
  <si>
    <t xml:space="preserve">CASE_3204</t>
  </si>
  <si>
    <t xml:space="preserve">The consequence is that under sub-section (2), the officer must state the reasons in their report to the Magistrate and must also "forthwith notify to the informant" that they will not investigate. [Source: Section 176, BNSS 2023]</t>
  </si>
  <si>
    <t xml:space="preserve">CASE_3205</t>
  </si>
  <si>
    <t xml:space="preserve">Report how submitted</t>
  </si>
  <si>
    <t xml:space="preserve">If directed by the State Government, the report is submitted through a designated superior officer of police, who may add instructions before transmitting it to the Magistrate without delay. [Source: Section 177, BNSS 2023]</t>
  </si>
  <si>
    <t xml:space="preserve">Hugging Face source record: BNSS_177</t>
  </si>
  <si>
    <t xml:space="preserve">CASE_3206</t>
  </si>
  <si>
    <t xml:space="preserve">Section 177 of BNSS 2023 regulates the routing of the initial investigation report (often called the FIR or occurrence report) through superior police officers to the Magistrate. [Source: Section 177, BNSS 2023]</t>
  </si>
  <si>
    <t xml:space="preserve">CASE_3207</t>
  </si>
  <si>
    <t xml:space="preserve">Yes, under sub-section (2), the superior officer "may give such instructions to the officer in charge of the police station as he thinks fit, and shall, after recording such instructions on such report, transmit the same." [Source: Section 177, BNSS 2023]</t>
  </si>
  <si>
    <t xml:space="preserve">CASE_3208</t>
  </si>
  <si>
    <t xml:space="preserve">They must "transmit the same without delay to the Magistrate." [Source: Section 177, BNSS 2023]</t>
  </si>
  <si>
    <t xml:space="preserve">CASE_3209</t>
  </si>
  <si>
    <t xml:space="preserve">No, this routing is only required "if the State Government so directs" and through an officer it appoints "by general or special order." [Source: Section 177, BNSS 2023]</t>
  </si>
  <si>
    <t xml:space="preserve">CASE_3210</t>
  </si>
  <si>
    <t xml:space="preserve">The consequence is that it provides a statutory mechanism for senior police leadership to review, correct, and guide the investigative strategy of subordinates right at the inception of a criminal case before the Magistrate even sees it. [Source: Section 177, BNSS 2023]</t>
  </si>
  <si>
    <t xml:space="preserve">CASE_3211</t>
  </si>
  <si>
    <t xml:space="preserve">Power to hold investigation or preliminary inquiry</t>
  </si>
  <si>
    <t xml:space="preserve">The Magistrate may direct a police investigation or decide to personally hold a preliminary inquiry, or depute a subordinate Magistrate to do so, or otherwise dispose of the case. [Source: Section 178, BNSS 2023]</t>
  </si>
  <si>
    <t xml:space="preserve">Hugging Face source record: BNSS_178</t>
  </si>
  <si>
    <t xml:space="preserve">CASE_3212</t>
  </si>
  <si>
    <t xml:space="preserve">Section 178 of BNSS 2023 gives the Magistrate the power to control the direction of a new case upon receiving the police report (under Section 176), allowing them to order further police investigation or initiate a Magisterial inquiry. [Source: Section 178, BNSS 2023]</t>
  </si>
  <si>
    <t xml:space="preserve">CASE_3213</t>
  </si>
  <si>
    <t xml:space="preserve">Yes, under section 178, the Magistrate, on receiving the report under section 176, "may direct an investigation." [Source: Section 178, BNSS 2023]</t>
  </si>
  <si>
    <t xml:space="preserve">CASE_3214</t>
  </si>
  <si>
    <t xml:space="preserve">The Magistrate may direct an "investigation" (which is done by the police) or hold a "preliminary inquiry" (which is done by a Magistrate). [Source: Section 178, BNSS 2023]</t>
  </si>
  <si>
    <t xml:space="preserve">CASE_3215</t>
  </si>
  <si>
    <t xml:space="preserve">No, the section gives them the broad discretion to "otherwise to dispose of, the case in the manner provided in this Sanhita." [Source: Section 178, BNSS 2023]</t>
  </si>
  <si>
    <t xml:space="preserve">CASE_3216</t>
  </si>
  <si>
    <t xml:space="preserve">The consequence is that the police do not have the final say on whether a reported crime is pursued or dropped; the Magistrate serves as a vital judicial check, capable of overriding police inaction. [Source: Section 178, BNSS 2023]</t>
  </si>
  <si>
    <t xml:space="preserve">CASE_3217</t>
  </si>
  <si>
    <t xml:space="preserve">Police officer's power to require attendance of witnesses</t>
  </si>
  <si>
    <t xml:space="preserve">Yes, a police officer can issue a written order requiring any acquainted person within their station's limits or adjoining stations to attend an investigation. [Source: Section 179, BNSS 2023]</t>
  </si>
  <si>
    <t xml:space="preserve">Hugging Face source record: BNSS_179</t>
  </si>
  <si>
    <t xml:space="preserve">CASE_3218</t>
  </si>
  <si>
    <t xml:space="preserve">Section 179 of BNSS 2023 governs the police's power to compel the attendance of witnesses for investigation, while laying down strict protections against summoning vulnerable demographics to the police station. [Source: Section 179, BNSS 2023]</t>
  </si>
  <si>
    <t xml:space="preserve">CASE_3219</t>
  </si>
  <si>
    <t xml:space="preserve">No, under the first proviso, no male person "above the age of sixty years... shall be required to attend at any place other than the place in which such person resides." The police order was unlawful. [Source: Section 179, BNSS 2023]</t>
  </si>
  <si>
    <t xml:space="preserve">CASE_3220</t>
  </si>
  <si>
    <t xml:space="preserve">A male person under fifteen or above sixty, a woman, a mentally or physically disabled person, or a person with acute illness. [Source: Section 179, BNSS 2023]</t>
  </si>
  <si>
    <t xml:space="preserve">CASE_3221</t>
  </si>
  <si>
    <t xml:space="preserve">Yes, the second proviso states: "if such person is willing to attend at the police station, such person may be permitted so to do." [Source: Section 179, BNSS 2023]</t>
  </si>
  <si>
    <t xml:space="preserve">CASE_3222</t>
  </si>
  <si>
    <t xml:space="preserve">The consequence is that the State can establish rules to pay the "reasonable expenses" of witnesses who are compelled to travel to attend an investigation, preventing financial hardship for assisting law enforcement. [Source: Section 179, BNSS 2023]</t>
  </si>
  <si>
    <t xml:space="preserve">CASE_3223</t>
  </si>
  <si>
    <t xml:space="preserve">Examination of witnesses by police</t>
  </si>
  <si>
    <t xml:space="preserve">The witness is bound to answer all questions truly, except those questions whose answers would tend to expose them to a criminal charge, penalty, or forfeiture. [Source: Section 180, BNSS 2023]</t>
  </si>
  <si>
    <t xml:space="preserve">Hugging Face source record: BNSS_180</t>
  </si>
  <si>
    <t xml:space="preserve">CASE_3224</t>
  </si>
  <si>
    <t xml:space="preserve">Section 180 of BNSS 2023 establishes the framework for the oral examination of witnesses by police, the obligation of witnesses to tell the truth (with self-incrimination protections), and the rules for recording these statements. [Source: Section 180, BNSS 2023]</t>
  </si>
  <si>
    <t xml:space="preserve">CASE_3225</t>
  </si>
  <si>
    <t xml:space="preserve">No, under sub-section (3), if the police officer reduces the statement to writing, "he shall make a separate and true record of the statement of each such person whose statement he records." [Source: Section 180, BNSS 2023]</t>
  </si>
  <si>
    <t xml:space="preserve">CASE_3226</t>
  </si>
  <si>
    <t xml:space="preserve">It "shall be recorded, by a woman police officer or any woman officer." [Source: Section 180, BNSS 2023]</t>
  </si>
  <si>
    <t xml:space="preserve">CASE_3227</t>
  </si>
  <si>
    <t xml:space="preserve">No, sub-section (2) explicitly states that the person "shall be bound to answer truly all questions relating to such case." [Source: Section 180, BNSS 2023]</t>
  </si>
  <si>
    <t xml:space="preserve">CASE_3228</t>
  </si>
  <si>
    <t xml:space="preserve">The consequence is that it statutorily embeds the fundamental right against self-incrimination (Article 20(3) of the Constitution) directly into the police interrogation process, protecting witnesses from being forced to confess to crimes. [Source: Section 180, BNSS 2023]</t>
  </si>
  <si>
    <t xml:space="preserve">CASE_3229</t>
  </si>
  <si>
    <t xml:space="preserve">Statements to police and use thereof</t>
  </si>
  <si>
    <t xml:space="preserve">No, statements made to the police during an investigation and reduced to writing shall not be signed by the person making them. [Source: Section 181, BNSS 2023]</t>
  </si>
  <si>
    <t xml:space="preserve">Hugging Face source record: BNSS_181</t>
  </si>
  <si>
    <t xml:space="preserve">CASE_3230</t>
  </si>
  <si>
    <t xml:space="preserve">Section 181 of BNSS 2023 governs the use of police statements (often called "161 statements" under the old CrPC) in court, strictly limiting their use primarily to contradicting the witness during cross-examination. [Source: Section 181, BNSS 2023]</t>
  </si>
  <si>
    <t xml:space="preserve">CASE_3231</t>
  </si>
  <si>
    <t xml:space="preserve">Yes, under the proviso to sub-section (1), any part of the written statement "may be used by the accused... to contradict such witness in the manner provided by section 148 of the Bharatiya Sakshya Adhiniyam, 2023." [Source: Section 181, BNSS 2023]</t>
  </si>
  <si>
    <t xml:space="preserve">CASE_3232</t>
  </si>
  <si>
    <t xml:space="preserve">Yes, but only "with the permission of the Court," as stated in the proviso to sub-section (1). [Source: Section 181, BNSS 2023]</t>
  </si>
  <si>
    <t xml:space="preserve">CASE_3233</t>
  </si>
  <si>
    <t xml:space="preserve">Yes, the Explanation clarifies that an omission to state a fact "may amount to contradiction if the same appears to be significant and otherwise relevant having regard to the context." [Source: Section 181, BNSS 2023]</t>
  </si>
  <si>
    <t xml:space="preserve">CASE_3234</t>
  </si>
  <si>
    <t xml:space="preserve">The consequence is that witnesses are protected from being legally bound or overly pressured by police-drafted documents, ensuring that substantive evidence is given fresh in court under oath, rather than just rubber-stamping what the police wrote down. [Source: Section 181, BNSS 2023]</t>
  </si>
  <si>
    <t xml:space="preserve">CASE_3235</t>
  </si>
  <si>
    <t xml:space="preserve">No inducement to be offered</t>
  </si>
  <si>
    <t xml:space="preserve">No, no police officer or person in authority is allowed to offer any inducement, threat, or promise to influence a statement during an investigation. [Source: Section 182, BNSS 2023]</t>
  </si>
  <si>
    <t xml:space="preserve">Hugging Face source record: BNSS_182</t>
  </si>
  <si>
    <t xml:space="preserve">CASE_3236</t>
  </si>
  <si>
    <t xml:space="preserve">Section 182 of BNSS 2023 strictly prohibits police officers from using inducements, threats, or promises to extract statements, while also ensuring police do not prevent individuals from making voluntary statements. [Source: Section 182, BNSS 2023]</t>
  </si>
  <si>
    <t xml:space="preserve">CASE_3237</t>
  </si>
  <si>
    <t xml:space="preserve">No, under sub-section (2), "no police officer or other person shall prevent, by any caution or otherwise, any person from making... any statement which he may be disposed to make of his own free will." [Source: Section 182, BNSS 2023]</t>
  </si>
  <si>
    <t xml:space="preserve">CASE_3238</t>
  </si>
  <si>
    <t xml:space="preserve">It is mentioned in "section 22 of the Bharatiya Sakshya Adhiniyam, 2023." [Source: Section 182, BNSS 2023]</t>
  </si>
  <si>
    <t xml:space="preserve">CASE_3239</t>
  </si>
  <si>
    <t xml:space="preserve">No, sub-section (1) provides no exceptions; no police officer "shall offer or make... any such inducement, threat or promise." [Source: Section 182, BNSS 2023]</t>
  </si>
  <si>
    <t xml:space="preserve">CASE_3240</t>
  </si>
  <si>
    <t xml:space="preserve">The consequence is that it illegalizes coercive interrogation tactics, ensuring that any statements or confessions gathered during the investigation are the product of the witness or accused's free will, thereby safeguarding the integrity of the evidence. [Source: Section 182, BNSS 2023]</t>
  </si>
  <si>
    <t xml:space="preserve">CASE_3241</t>
  </si>
  <si>
    <t xml:space="preserve">Recording of confessions and statements</t>
  </si>
  <si>
    <t xml:space="preserve">A Magistrate records it after warning the person that they don't have to confess and that it can be used against them. The Magistrate must believe it is voluntary and signs a memorandum confirming this. [Source: Section 183, BNSS 2023]</t>
  </si>
  <si>
    <t xml:space="preserve">Hugging Face source record: BNSS_183</t>
  </si>
  <si>
    <t xml:space="preserve">CASE_3242</t>
  </si>
  <si>
    <t xml:space="preserve">Section 183 of BNSS 2023 (historically Section 164 CrPC) regulates the formal recording of confessions and statements by Magistrates during an investigation, with rigorous safeguards to ensure voluntariness and special rules for victims of sexual offences. [Source: Section 183, BNSS 2023]</t>
  </si>
  <si>
    <t xml:space="preserve">CASE_3243</t>
  </si>
  <si>
    <t xml:space="preserve">Under sub-section (3), "the Magistrate shall not authorise the detention of such person in police custody" if they state they are not willing to make the confession. [Source: Section 183, BNSS 2023]</t>
  </si>
  <si>
    <t xml:space="preserve">CASE_3244</t>
  </si>
  <si>
    <t xml:space="preserve">The Magistrate must explain "that he is not bound to make a confession and that, if he does so, it may be used as evidence against him." [Source: Section 183, BNSS 2023]</t>
  </si>
  <si>
    <t xml:space="preserve">CASE_3245</t>
  </si>
  <si>
    <t xml:space="preserve">No, the second proviso to sub-section (1) explicitly states: "no confession shall be recorded by a police officer on whom any power of a Magistrate has been conferred." [Source: Section 183, BNSS 2023]</t>
  </si>
  <si>
    <t xml:space="preserve">CASE_3246</t>
  </si>
  <si>
    <t xml:space="preserve">Under clause (b), the consequence is that this recorded statement "shall be considered a statement in lieu of examination-in-chief... such that the maker of the statement can be cross-examined on such statement, without the need for recording the same at the time of trial," sparing her the trauma of repeating the testimony. [Source: Section 183, BNSS 2023]</t>
  </si>
  <si>
    <t xml:space="preserve">CASE_3247</t>
  </si>
  <si>
    <t xml:space="preserve">Medical examination of victim of rape</t>
  </si>
  <si>
    <t xml:space="preserve">They must send her to a registered medical practitioner employed in a government or local authority hospital within 24 hours of receiving the information, and the doctor must examine her and prepare a detailed report. [Source: Section 184, BNSS 2023]</t>
  </si>
  <si>
    <t xml:space="preserve">Hugging Face source record: BNSS_184</t>
  </si>
  <si>
    <t xml:space="preserve">CASE_3248</t>
  </si>
  <si>
    <t xml:space="preserve">Section 184 of BNSS 2023 dictates the mandatory procedure and timeframe for the medical examination of rape victims, detailing the specific contents required in the medical report and the absolute necessity of consent. [Source: Section 184, BNSS 2023]</t>
  </si>
  <si>
    <t xml:space="preserve">CASE_3249</t>
  </si>
  <si>
    <t xml:space="preserve">Yes, sub-section (1) allows the examination to be conducted by "any other registered medical practitioner" in the "absence of such a practitioner" employed in a government or local authority hospital. [Source: Section 184, BNSS 2023]</t>
  </si>
  <si>
    <t xml:space="preserve">CASE_3250</t>
  </si>
  <si>
    <t xml:space="preserve">"The exact time of commencement and completion of the examination shall also be noted in the report." [Source: Section 184, BNSS 2023]</t>
  </si>
  <si>
    <t xml:space="preserve">CASE_3251</t>
  </si>
  <si>
    <t xml:space="preserve">No, sub-section (7) explicitly states: "Nothing in this section shall be construed as rendering lawful any examination without the consent of the woman or of any person competent to give such consent on her behalf." [Source: Section 184, BNSS 2023]</t>
  </si>
  <si>
    <t xml:space="preserve">CASE_3252</t>
  </si>
  <si>
    <t xml:space="preserve">The consequence is that the medical practitioner cannot indefinitely delay handing over crucial forensic evidence; they are legally bound to forward the report to the investigating officer within seven days, ensuring the investigation proceeds swiftly. [Source: Section 184, BNSS 2023]</t>
  </si>
  <si>
    <t xml:space="preserve">CASE_3253</t>
  </si>
  <si>
    <t xml:space="preserve">Search by police officer</t>
  </si>
  <si>
    <t xml:space="preserve">Yes, if the officer has reasonable grounds to believe something necessary for the investigation is in a place within their station's limits and cannot be obtained otherwise without undue delay, they can record their reasons in writing and conduct the search. [Source: Section 185, BNSS 2023]</t>
  </si>
  <si>
    <t xml:space="preserve">Hugging Face source record: BNSS_185</t>
  </si>
  <si>
    <t xml:space="preserve">CASE_3254</t>
  </si>
  <si>
    <t xml:space="preserve">Section 185 of BNSS 2023 grants police officers the power to conduct warrantless searches during investigations under exigent circumstances, requiring written justification, mandatory audio-video recording, and immediate reporting to a Magistrate. [Source: Section 185, BNSS 2023]</t>
  </si>
  <si>
    <t xml:space="preserve">CASE_3255</t>
  </si>
  <si>
    <t xml:space="preserve">Yes, the proviso to sub-section (2) strictly mandates that "the search conducted under this section shall be recorded through audio-video electronic means preferably by mobile phone." [Source: Section 185, BNSS 2023]</t>
  </si>
  <si>
    <t xml:space="preserve">CASE_3256</t>
  </si>
  <si>
    <t xml:space="preserve">They must record "the grounds of his belief" and specify "so far as possible, the thing for which search is to be made." [Source: Section 185, BNSS 2023]</t>
  </si>
  <si>
    <t xml:space="preserve">CASE_3257</t>
  </si>
  <si>
    <t xml:space="preserve">No, under sub-section (3), if they are unable to conduct it in person, they may "require any officer subordinate to him to make the search" after recording the reasons and giving a written order. [Source: Section 185, BNSS 2023]</t>
  </si>
  <si>
    <t xml:space="preserve">CASE_3258</t>
  </si>
  <si>
    <t xml:space="preserve">The consequence is that the police are subjected to immediate judicial oversight; it prevents officers from secretly searching premises without a warrant and hiding the fact, ensuring accountability to both the judiciary and the property owner. [Source: Section 185, BNSS 2023]</t>
  </si>
  <si>
    <t xml:space="preserve">CASE_3259</t>
  </si>
  <si>
    <t xml:space="preserve">When officer in charge of police station may require another to issue search-warrant</t>
  </si>
  <si>
    <t xml:space="preserve">The Mumbai officer can require the officer in charge of the Pune police station to conduct the search. In emergencies where delay would destroy evidence, the Mumbai officer can even search the Pune house themselves directly. [Source: Section 186, BNSS 2023]</t>
  </si>
  <si>
    <t xml:space="preserve">Hugging Face source record: BNSS_186</t>
  </si>
  <si>
    <t xml:space="preserve">CASE_3260</t>
  </si>
  <si>
    <t xml:space="preserve">Section 186 of BNSS 2023 regulates how a police officer can cause a search to be made outside the limits of their own police station, either by requesting the local officer or by executing an emergency search themselves. [Source: Section 186, BNSS 2023]</t>
  </si>
  <si>
    <t xml:space="preserve">CASE_3261</t>
  </si>
  <si>
    <t xml:space="preserve">Yes, under sub-section (3), if delay might result in evidence being concealed or destroyed, it is lawful for the officer "to search, or cause to be searched, any place in the limits of another police station... as if such place were within the limits of his own." [Source: Section 186, BNSS 2023]</t>
  </si>
  <si>
    <t xml:space="preserve">CASE_3262</t>
  </si>
  <si>
    <t xml:space="preserve">Under sub-section (4), they must "forthwith send notice of the search... and shall also send with such notice a copy of the list (if any) prepared under section 103." [Source: Section 186, BNSS 2023]</t>
  </si>
  <si>
    <t xml:space="preserve">CASE_3263</t>
  </si>
  <si>
    <t xml:space="preserve">No, under sub-section (1), only "An officer in charge of a police station or a police officer not being below the rank of sub-inspector making an investigation" can require this. [Source: Section 186, BNSS 2023]</t>
  </si>
  <si>
    <t xml:space="preserve">CASE_3264</t>
  </si>
  <si>
    <t xml:space="preserve">The consequence is that rigid territorial boundaries between police stations do not become a shield for criminals; investigating officers have the legal agility to cross jurisdictions instantly to secure evaporating evidence. [Source: Section 186, BNSS 2023]</t>
  </si>
  <si>
    <t xml:space="preserve">CASE_3265</t>
  </si>
  <si>
    <t xml:space="preserve">Procedure when investigation cannot be completed in twenty-four hours</t>
  </si>
  <si>
    <t xml:space="preserve">A Magistrate can authorize detention in police or judicial custody, but the maximum total period before a right to default bail arises is 90 days for crimes punishable by 10+ years/life/death, and 60 days for all other offences. [Source: Section 187, BNSS 2023]</t>
  </si>
  <si>
    <t xml:space="preserve">Hugging Face source record: BNSS_187</t>
  </si>
  <si>
    <t xml:space="preserve">CASE_3266</t>
  </si>
  <si>
    <t xml:space="preserve">Section 187 of BNSS 2023 (historically Section 167 CrPC) governs the procedure for extending an accused's detention beyond the initial 24 hours, setting strict maximum limits (60 or 90 days) after which "default bail" becomes a statutory right. [Source: Section 187, BNSS 2023]</t>
  </si>
  <si>
    <t xml:space="preserve">CASE_3267</t>
  </si>
  <si>
    <t xml:space="preserve">No, under sub-section (3)(ii), for offences not punishable by 10+ years, the limit is 60 days. On expiry of 60 days, "the accused person shall be released on bail if he is prepared to and does furnish bail." The Magistrate has no discretion to refuse. [Source: Section 187, BNSS 2023]</t>
  </si>
  <si>
    <t xml:space="preserve">CASE_3268</t>
  </si>
  <si>
    <t xml:space="preserve">The accused must be "produced before him in person for the first time and subsequently every time till the accused remains in the custody of the police." [Source: Section 187, BNSS 2023]</t>
  </si>
  <si>
    <t xml:space="preserve">CASE_3269</t>
  </si>
  <si>
    <t xml:space="preserve">Yes, under sub-section (6), if a Judicial Magistrate is not available, the police can transmit the accused to an Executive Magistrate, who can authorize detention for a term "not exceeding seven days in the aggregate." [Source: Section 187, BNSS 2023]</t>
  </si>
  <si>
    <t xml:space="preserve">CASE_3270</t>
  </si>
  <si>
    <t xml:space="preserve">The consequence is that the release is not automatic or self-executing; if the accused does not actually furnish the required bail bond, they will continue to languish in custody despite the time limit expiring. [Source: Section 187, BNSS 2023]</t>
  </si>
  <si>
    <t xml:space="preserve">CASE_3271</t>
  </si>
  <si>
    <t xml:space="preserve">Report of investigation by subordinate police officer</t>
  </si>
  <si>
    <t xml:space="preserve">When a subordinate police officer completes an investigation, they must report the results to the officer in charge of the police station. [Source: Section 188, BNSS 2023]</t>
  </si>
  <si>
    <t xml:space="preserve">Hugging Face source record: BNSS_188</t>
  </si>
  <si>
    <t xml:space="preserve">CASE_3272</t>
  </si>
  <si>
    <t xml:space="preserve">Section 188 of BNSS 2023 states the internal reporting requirement, mandating that subordinate investigating officers must submit the results of their investigations to the Station House Officer (SHO). [Source: Section 188, BNSS 2023]</t>
  </si>
  <si>
    <t xml:space="preserve">CASE_3273</t>
  </si>
  <si>
    <t xml:space="preserve">No, under section 188, the subordinate officer "shall report the result of such investigation to the officer in charge of the police station," who is legally responsible for forwarding reports to the Magistrate. [Source: Section 188, BNSS 2023]</t>
  </si>
  <si>
    <t xml:space="preserve">CASE_3274</t>
  </si>
  <si>
    <t xml:space="preserve">"any subordinate police officer [who] has made any investigation under this Chapter." [Source: Section 188, BNSS 2023]</t>
  </si>
  <si>
    <t xml:space="preserve">CASE_3275</t>
  </si>
  <si>
    <t xml:space="preserve">No, the statute explicitly specifies they shall report "to the officer in charge of the police station." [Source: Section 188, BNSS 2023]</t>
  </si>
  <si>
    <t xml:space="preserve">CASE_3276</t>
  </si>
  <si>
    <t xml:space="preserve">The consequence is that the officer in charge of the police station maintains centralized oversight and ultimate legal accountability for all investigations conducted by personnel within their station. [Source: Section 188, BNSS 2023]</t>
  </si>
  <si>
    <t xml:space="preserve">CASE_3277</t>
  </si>
  <si>
    <t xml:space="preserve">Release of accused when evidence deficient</t>
  </si>
  <si>
    <t xml:space="preserve">If there isn't sufficient evidence or reasonable suspicion, the police officer must release the person from custody after having them sign a bond to appear before a Magistrate if required later. [Source: Section 189, BNSS 2023]</t>
  </si>
  <si>
    <t xml:space="preserve">Hugging Face source record: BNSS_189</t>
  </si>
  <si>
    <t xml:space="preserve">CASE_3278</t>
  </si>
  <si>
    <t xml:space="preserve">Section 189 of BNSS 2023 provides the mechanism for the police to release an accused person when an investigation reveals deficient evidence, preventing unnecessary forwarding of innocent or weakly-evidenced suspects to court. [Source: Section 189, BNSS 2023]</t>
  </si>
  <si>
    <t xml:space="preserve">CASE_3279</t>
  </si>
  <si>
    <t xml:space="preserve">No, the officer shall "release him on his executing a bond or bail bond, as such officer may direct, to appear, if and when so required, before a Magistrate." [Source: Section 189, BNSS 2023]</t>
  </si>
  <si>
    <t xml:space="preserve">CASE_3280</t>
  </si>
  <si>
    <t xml:space="preserve">"the officer in charge of the police station." [Source: Section 189, BNSS 2023]</t>
  </si>
  <si>
    <t xml:space="preserve">CASE_3281</t>
  </si>
  <si>
    <t xml:space="preserve">No, the release is conditional; they are released on a bond "to appear, if and when so required, before a Magistrate... to try the accused or commit him for trial." [Source: Section 189, BNSS 2023]</t>
  </si>
  <si>
    <t xml:space="preserve">CASE_3282</t>
  </si>
  <si>
    <t xml:space="preserve">The consequence is that the accused regains their physical liberty immediately without enduring the delay and stigma of a court proceeding, though they remain legally tethered to the justice system via the bond. [Source: Section 189, BNSS 2023]</t>
  </si>
  <si>
    <t xml:space="preserve">CASE_3283</t>
  </si>
  <si>
    <t xml:space="preserve">Cases to be sent to Magistrate, when evidence is sufficient</t>
  </si>
  <si>
    <t xml:space="preserve">The police must forward the accused under custody to a Magistrate (or take security for their appearance if they are on bail), and make the witnesses sign bonds promising to show up in court to testify. [Source: Section 190, BNSS 2023]</t>
  </si>
  <si>
    <t xml:space="preserve">Hugging Face source record: BNSS_190</t>
  </si>
  <si>
    <t xml:space="preserve">CASE_3284</t>
  </si>
  <si>
    <t xml:space="preserve">Section 190 of BNSS 2023 requires the police to forward the accused, the weapon/articles, and the bound-over witnesses to the Magistrate when an investigation yields sufficient evidence for trial. [Source: Section 190, BNSS 2023]</t>
  </si>
  <si>
    <t xml:space="preserve">CASE_3285</t>
  </si>
  <si>
    <t xml:space="preserve">No, under the proviso to sub-section (1), the Magistrate "shall not refuse to accept the same on the ground that the accused is not taken in custody." [Source: Section 190, BNSS 2023]</t>
  </si>
  <si>
    <t xml:space="preserve">CASE_3286</t>
  </si>
  <si>
    <t xml:space="preserve">The officer "shall send to such Magistrate any weapon or other article which it may be necessary to produce before him." [Source: Section 190, BNSS 2023]</t>
  </si>
  <si>
    <t xml:space="preserve">CASE_3287</t>
  </si>
  <si>
    <t xml:space="preserve">No, under sub-section (1), "if the offence is bailable and the accused is able to give security, [the officer] shall take security from him for his appearance before such Magistrate." [Source: Section 190, BNSS 2023]</t>
  </si>
  <si>
    <t xml:space="preserve">CASE_3288</t>
  </si>
  <si>
    <t xml:space="preserve">The consequence is that the prosecution's key witnesses are legally compelled to attend the upcoming trial, preventing the case from collapsing due to witnesses failing to show up at court. [Source: Section 190, BNSS 2023]</t>
  </si>
  <si>
    <t xml:space="preserve">CASE_3289</t>
  </si>
  <si>
    <t xml:space="preserve">Complainant and witnesses not to be required to accompany police officer and not to be</t>
  </si>
  <si>
    <t xml:space="preserve">No, a complainant or witness on their way to court cannot be required to accompany a police officer or be subjected to unnecessary restraint, unless they refuse to attend court entirely. [Source: Section 191, BNSS 2023]</t>
  </si>
  <si>
    <t xml:space="preserve">Hugging Face source record: BNSS_191</t>
  </si>
  <si>
    <t xml:space="preserve">CASE_3290</t>
  </si>
  <si>
    <t xml:space="preserve">Section 191 of BNSS 2023 offers protection to complainants and witnesses against police harassment and unnecessary restraint while traveling to court, preserving their dignity and independence. [Source: Section 191, BNSS 2023]</t>
  </si>
  <si>
    <t xml:space="preserve">CASE_3291</t>
  </si>
  <si>
    <t xml:space="preserve">Yes, under the proviso, if a witness refuses to attend or execute a bond, the officer "may forward him in custody to the Magistrate, who may detain him in custody until he executes such bond, or until the hearing... is completed." [Source: Section 191, BNSS 2023]</t>
  </si>
  <si>
    <t xml:space="preserve">CASE_3292</t>
  </si>
  <si>
    <t xml:space="preserve">They cannot be "required to give any security for his appearance other than his own bond." [Source: Section 191, BNSS 2023]</t>
  </si>
  <si>
    <t xml:space="preserve">CASE_3293</t>
  </si>
  <si>
    <t xml:space="preserve">Yes, as an exception in the proviso, if the witness "refuses to attend or to execute a bond," they may be forwarded in custody. [Source: Section 191, BNSS 2023]</t>
  </si>
  <si>
    <t xml:space="preserve">CASE_3294</t>
  </si>
  <si>
    <t xml:space="preserve">The consequence is that it encourages public cooperation by ensuring witnesses are treated as free citizens aiding the court, rather than being treated like suspects or prisoners by the investigating police. [Source: Section 191, BNSS 2023]</t>
  </si>
  <si>
    <t xml:space="preserve">CASE_3295</t>
  </si>
  <si>
    <t xml:space="preserve">Diary of proceedings in investigation</t>
  </si>
  <si>
    <t xml:space="preserve">Yes, every investigating officer must maintain a daily, paginated case diary detailing when information was received, times of investigation, places visited, and circumstances ascertained. [Source: Section 192, BNSS 2023]</t>
  </si>
  <si>
    <t xml:space="preserve">Hugging Face source record: BNSS_192</t>
  </si>
  <si>
    <t xml:space="preserve">CASE_3296</t>
  </si>
  <si>
    <t xml:space="preserve">Section 192 of BNSS 2023 mandates the creation and maintenance of a police case diary to chronologically track investigation proceedings, and strictly limits the accused's access to it during trial. [Source: Section 192, BNSS 2023]</t>
  </si>
  <si>
    <t xml:space="preserve">CASE_3297</t>
  </si>
  <si>
    <t xml:space="preserve">No, under sub-section (5), "Neither the accused nor his agents shall be entitled to call for such diaries, nor shall he or they be entitled to see them merely because they are referred to by the Court." [Source: Section 192, BNSS 2023]</t>
  </si>
  <si>
    <t xml:space="preserve">CASE_3298</t>
  </si>
  <si>
    <t xml:space="preserve">"The statements of witnesses recorded during the course of investigation under section 180 shall be inserted in the case diary." [Source: Section 192, BNSS 2023]</t>
  </si>
  <si>
    <t xml:space="preserve">CASE_3299</t>
  </si>
  <si>
    <t xml:space="preserve">Yes, under sub-section (5), if the diaries "are used by the police officer who made them to refresh his memory, or if the Court uses them for the purpose of contradicting such police officer," then the accused gains access. [Source: Section 192, BNSS 2023]</t>
  </si>
  <si>
    <t xml:space="preserve">CASE_3300</t>
  </si>
  <si>
    <t xml:space="preserve">The consequence is that the judge has a private, chronological roadmap of the entire police investigation to verify testimonies and clarify timelines, even though the diary itself cannot be used as formal evidence against the accused. [Source: Section 192, BNSS 2023]</t>
  </si>
  <si>
    <t xml:space="preserve">CASE_3301</t>
  </si>
  <si>
    <t xml:space="preserve">Report of police officer on completion of investigation</t>
  </si>
  <si>
    <t xml:space="preserve">They file a final report (often called a charge-sheet or challan) with the Magistrate, detailing the parties, the nature of the information, whether an offence was committed, and if the accused was arrested. [Source: Section 193, BNSS 2023]</t>
  </si>
  <si>
    <t xml:space="preserve">Hugging Face source record: BNSS_193</t>
  </si>
  <si>
    <t xml:space="preserve">CASE_3302</t>
  </si>
  <si>
    <t xml:space="preserve">Section 193 of BNSS 2023 (historically Section 173 CrPC) dictates the contents, timelines, and filing procedure of the final police report upon completion of an investigation, and establishes the right of the police to conduct further investigation even after filing it. [Source: Section 193, BNSS 2023]</t>
  </si>
  <si>
    <t xml:space="preserve">CASE_3303</t>
  </si>
  <si>
    <t xml:space="preserve">They can investigate. Under sub-section (9), "Nothing in this section shall be deemed to preclude further investigation... and, where upon such investigation, the officer... obtains further evidence... he shall forward to the Magistrate a further report." [Source: Section 193, BNSS 2023]</t>
  </si>
  <si>
    <t xml:space="preserve">CASE_3304</t>
  </si>
  <si>
    <t xml:space="preserve">It "shall be completed within two months from the date on which the information was recorded." [Source: Section 193, BNSS 2023]</t>
  </si>
  <si>
    <t xml:space="preserve">CASE_3305</t>
  </si>
  <si>
    <t xml:space="preserve">Under sub-section (7), the officer can indicate that part of the statement, append a note requesting the Magistrate to exclude it from the copies granted to the accused, and state their reasons. [Source: Section 193, BNSS 2023]</t>
  </si>
  <si>
    <t xml:space="preserve">CASE_3306</t>
  </si>
  <si>
    <t xml:space="preserve">The consequence is that victims are statutorily guaranteed transparency and updates regarding their case, preventing the police from leaving complainants in the dark about the fate of their FIRs. [Source: Section 193, BNSS 2023]</t>
  </si>
  <si>
    <t xml:space="preserve">CASE_3307</t>
  </si>
  <si>
    <t xml:space="preserve">Police to enquire and report on suicide, etc</t>
  </si>
  <si>
    <t xml:space="preserve">The police must immediately inform the nearest Executive Magistrate empowered to hold inquests, proceed to the spot, investigate the apparent cause of death in front of local inhabitants, and draw up a detailed report. [Source: Section 194, BNSS 2023]</t>
  </si>
  <si>
    <t xml:space="preserve">Hugging Face source record: BNSS_194</t>
  </si>
  <si>
    <t xml:space="preserve">CASE_3308</t>
  </si>
  <si>
    <t xml:space="preserve">Section 194 of BNSS 2023 imposes the duty on police to conduct an immediate inquest report (Panchnama) upon receiving information of unnatural deaths (suicide, murder, accident) and forward it to a Magistrate. [Source: Section 194, BNSS 2023]</t>
  </si>
  <si>
    <t xml:space="preserve">CASE_3309</t>
  </si>
  <si>
    <t xml:space="preserve">Yes, under sub-section (3)(i), when "the case involves suicide by a woman within seven years of her marriage," the police officer "shall... forward the body, with a view to its being examined, to the nearest Civil Surgeon." [Source: Section 194, BNSS 2023]</t>
  </si>
  <si>
    <t xml:space="preserve">CASE_3310</t>
  </si>
  <si>
    <t xml:space="preserve">The investigation must be made "in the presence of two or more respectable inhabitants of the neighbourhood." [Source: Section 194, BNSS 2023]</t>
  </si>
  <si>
    <t xml:space="preserve">CASE_3311</t>
  </si>
  <si>
    <t xml:space="preserve">Yes, they do not have to proceed to the spot if "otherwise directed by any rule made by the State Government, or by any general or special order of the District or Sub-divisional Magistrate." [Source: Section 194, BNSS 2023]</t>
  </si>
  <si>
    <t xml:space="preserve">CASE_3312</t>
  </si>
  <si>
    <t xml:space="preserve">The consequence is that the initial police findings regarding an unnatural death are rapidly communicated to the District or Sub-divisional Magistrate, ensuring swift executive oversight and preventing evidence tampering or delayed reporting. [Source: Section 194, BNSS 2023]</t>
  </si>
  <si>
    <t xml:space="preserve">CASE_3313</t>
  </si>
  <si>
    <t xml:space="preserve">Power to summon persons</t>
  </si>
  <si>
    <t xml:space="preserve">Yes, the police can issue a written order summoning the respectable inhabitants and anyone else acquainted with the facts, and those summoned are bound to attend and answer truthfully. [Source: Section 195, BNSS 2023]</t>
  </si>
  <si>
    <t xml:space="preserve">Hugging Face source record: BNSS_195</t>
  </si>
  <si>
    <t xml:space="preserve">CASE_3314</t>
  </si>
  <si>
    <t xml:space="preserve">Section 195 of BNSS 2023 gives police officers conducting an inquest (under Section 194) the power to summon witnesses and compels those witnesses to answer questions truthfully, subject to protections against self-incrimination. [Source: Section 195, BNSS 2023]</t>
  </si>
  <si>
    <t xml:space="preserve">CASE_3315</t>
  </si>
  <si>
    <t xml:space="preserve">No, under the first proviso, no male person "above the age of sixty years... shall be required to attend at any place other than the place where such person resides." The officer must question him at his home. [Source: Section 195, BNSS 2023]</t>
  </si>
  <si>
    <t xml:space="preserve">CASE_3316</t>
  </si>
  <si>
    <t xml:space="preserve">They are not bound to answer "questions the answers to which would have a tendency to expose him to a criminal charge or to a penalty or forfeiture." [Source: Section 195, BNSS 2023]</t>
  </si>
  <si>
    <t xml:space="preserve">CASE_3317</t>
  </si>
  <si>
    <t xml:space="preserve">Yes, under the second proviso, "if such person is willing to attend and answer at the police station, such person may be permitted so to do." [Source: Section 195, BNSS 2023]</t>
  </si>
  <si>
    <t xml:space="preserve">CASE_3318</t>
  </si>
  <si>
    <t xml:space="preserve">Under sub-section (2), the consequence is that the summoned witnesses "shall not be required by the police officer to attend a Magistrate's Court," sparing them from unnecessary court appearances. [Source: Section 195, BNSS 2023]</t>
  </si>
  <si>
    <t xml:space="preserve">CASE_3319</t>
  </si>
  <si>
    <t xml:space="preserve">Inquiry by Magistrate into cause of death</t>
  </si>
  <si>
    <t xml:space="preserve">Yes, certain Magistrates are empowered to hold their own inquiry into the cause of an unnatural death, either instead of or in addition to the police investigation. [Source: Section 196, BNSS 2023]</t>
  </si>
  <si>
    <t xml:space="preserve">Hugging Face source record: BNSS_196</t>
  </si>
  <si>
    <t xml:space="preserve">CASE_3320</t>
  </si>
  <si>
    <t xml:space="preserve">Section 196 of BNSS 2023 authorizes and sometimes mandates Magisterial inquiries into unnatural deaths, particularly empowering them to order exhumations and mandating their involvement in cases of custodial death or custodial rape. [Source: Section 196, BNSS 2023]</t>
  </si>
  <si>
    <t xml:space="preserve">CASE_3321</t>
  </si>
  <si>
    <t xml:space="preserve">No, under sub-section (2)(a), where any person dies or disappears in police custody, "in addition to the inquiry or investigation held by the police, an inquiry shall be held by the Magistrate within whose local jurisdiction the offence has been committed." [Source: Section 196, BNSS 2023]</t>
  </si>
  <si>
    <t xml:space="preserve">CASE_3322</t>
  </si>
  <si>
    <t xml:space="preserve">Under sub-section (5), the Magistrate "shall, wherever practicable, inform the relatives of the deceased whose names and addresses are known, and shall allow them to remain present at the inquiry." [Source: Section 196, BNSS 2023]</t>
  </si>
  <si>
    <t xml:space="preserve">CASE_3323</t>
  </si>
  <si>
    <t xml:space="preserve">Yes, under sub-section (4), whenever the Magistrate "considers it expedient to make an examination of the dead body... in order to discover the cause of his death, the Magistrate may cause the body to be disinterred and examined." [Source: Section 196, BNSS 2023]</t>
  </si>
  <si>
    <t xml:space="preserve">CASE_3324</t>
  </si>
  <si>
    <t xml:space="preserve">The consequence is that it provides an independent, judicial layer of scrutiny over incidents occurring while individuals are entirely under the state's control, preventing police cover-ups of custodial violence. [Source: Section 196, BNSS 2023]</t>
  </si>
  <si>
    <t xml:space="preserve">CASE_3325</t>
  </si>
  <si>
    <t xml:space="preserve">Ordinary place of inquiry and trial</t>
  </si>
  <si>
    <t xml:space="preserve">Normally, a crime should be inquired into and tried by a Court that has local jurisdiction over the specific area where the crime was committed. [Source: Section 197, BNSS 2023]</t>
  </si>
  <si>
    <t xml:space="preserve">Hugging Face source record: BNSS_197</t>
  </si>
  <si>
    <t xml:space="preserve">CASE_3326</t>
  </si>
  <si>
    <t xml:space="preserve">Section 197 of BNSS 2023 establishes the fundamental territorial rule of criminal jurisdiction: an offence is ordinarily to be inquired into and tried by the Court within whose local jurisdiction the offence occurred. [Source: Section 197, BNSS 2023]</t>
  </si>
  <si>
    <t xml:space="preserve">CASE_3327</t>
  </si>
  <si>
    <t xml:space="preserve">The court in Jaipur. Under section 197, "Every offence shall ordinarily be inquired into and tried by a Court within whose local jurisdiction it was committed." [Source: Section 197, BNSS 2023]</t>
  </si>
  <si>
    <t xml:space="preserve">CASE_3328</t>
  </si>
  <si>
    <t xml:space="preserve">The "local jurisdiction" where the offence "was committed." [Source: Section 197, BNSS 2023]</t>
  </si>
  <si>
    <t xml:space="preserve">CASE_3329</t>
  </si>
  <si>
    <t xml:space="preserve">No, the use of "ordinarily" indicates this is the general rule, but it is subject to exceptions provided in the subsequent sections of the Sanhita where jurisdiction might be shared or shifted. [Source: Section 197, BNSS 2023]</t>
  </si>
  <si>
    <t xml:space="preserve">CASE_3330</t>
  </si>
  <si>
    <t xml:space="preserve">The consequence is that the prosecution must generally file the case in the geographical area where the crime happened, ensuring the trial is convenient for local witnesses and respects the specific jurisdiction's authority. [Source: Section 197, BNSS 2023]</t>
  </si>
  <si>
    <t xml:space="preserve">CASE_3331</t>
  </si>
  <si>
    <t xml:space="preserve">Place of inquiry or trial</t>
  </si>
  <si>
    <t xml:space="preserve">If an offence is committed partly in one area and partly in another, or if it's uncertain exactly where it happened, the court in *any* of those local areas can handle the inquiry or trial. [Source: Section 198, BNSS 2023]</t>
  </si>
  <si>
    <t xml:space="preserve">Hugging Face source record: BNSS_198</t>
  </si>
  <si>
    <t xml:space="preserve">CASE_3332</t>
  </si>
  <si>
    <t xml:space="preserve">Section 198 of BNSS 2023 resolves jurisdictional ambiguity by providing alternative venues for trial when an offence spans multiple local areas, is continuous, consists of several acts, or has an uncertain location. [Source: Section 198, BNSS 2023]</t>
  </si>
  <si>
    <t xml:space="preserve">CASE_3333</t>
  </si>
  <si>
    <t xml:space="preserve">Under clause (c), because kidnapping is a "continuing one, and continues to be committed in more local areas than one," it may be tried by a Court having jurisdiction over District A, District B, or District C. [Source: Section 198, BNSS 2023]</t>
  </si>
  <si>
    <t xml:space="preserve">CASE_3334</t>
  </si>
  <si>
    <t xml:space="preserve">"When it is uncertain in which of several local areas an offence was committed." [Source: Section 198, BNSS 2023]</t>
  </si>
  <si>
    <t xml:space="preserve">CASE_3335</t>
  </si>
  <si>
    <t xml:space="preserve">No, under clause (d), where an offence "consists of several acts done in different local areas, it may be inquired into or tried by a Court having jurisdiction over any of such local areas." [Source: Section 198, BNSS 2023]</t>
  </si>
  <si>
    <t xml:space="preserve">CASE_3336</t>
  </si>
  <si>
    <t xml:space="preserve">The consequence is that it prevents criminals from escaping justice on technicalities by claiming the prosecution filed the case in the "wrong" court when their criminal activities crossed municipal or district boundaries. [Source: Section 198, BNSS 2023]</t>
  </si>
  <si>
    <t xml:space="preserve">CASE_3337</t>
  </si>
  <si>
    <t xml:space="preserve">Offence triable where act is done or consequence ensues</t>
  </si>
  <si>
    <t xml:space="preserve">The trial can be held either in the court where the act was done OR in the court where the consequence occurred. [Source: Section 199, BNSS 2023]</t>
  </si>
  <si>
    <t xml:space="preserve">Hugging Face source record: BNSS_199</t>
  </si>
  <si>
    <t xml:space="preserve">CASE_3338</t>
  </si>
  <si>
    <t xml:space="preserve">Section 199 of BNSS 2023 establishes that when an offence involves both a criminal act and a resulting consequence, jurisdiction lies concurrently with the Courts in both the location of the act and the location of the consequence. [Source: Section 199, BNSS 2023]</t>
  </si>
  <si>
    <t xml:space="preserve">CASE_3339</t>
  </si>
  <si>
    <t xml:space="preserve">The trial can take place in either Chennai (where the act of mailing the poison was done) or Bengaluru (where the consequence of death ensued), as per section 199. [Source: Section 199, BNSS 2023]</t>
  </si>
  <si>
    <t xml:space="preserve">CASE_3340</t>
  </si>
  <si>
    <t xml:space="preserve">The "act which has been done" and the "consequence which has ensued." [Source: Section 199, BNSS 2023]</t>
  </si>
  <si>
    <t xml:space="preserve">CASE_3341</t>
  </si>
  <si>
    <t xml:space="preserve">No, the section uses the word "or", meaning jurisdiction vests in the Court within whose limits the consequence ensued, entirely regardless of where the originating act was performed. [Source: Section 199, BNSS 2023]</t>
  </si>
  <si>
    <t xml:space="preserve">CASE_3342</t>
  </si>
  <si>
    <t xml:space="preserve">The consequence is that prosecutors have the flexibility to choose the most convenient or appropriate venue for trial based on where evidence and witnesses for either the wrongful act or the resulting harm are most accessible. [Source: Section 199, BNSS 2023]</t>
  </si>
  <si>
    <t xml:space="preserve">CASE_3343</t>
  </si>
  <si>
    <t xml:space="preserve">Place of trial where act is an offence by reason of relation to other offence</t>
  </si>
  <si>
    <t xml:space="preserve">The trial for the connected offence can take place either where that connected act was done or where the primary offence was committed. [Source: Section 200, BNSS 2023]</t>
  </si>
  <si>
    <t xml:space="preserve">Hugging Face source record: BNSS_200</t>
  </si>
  <si>
    <t xml:space="preserve">CASE_3344</t>
  </si>
  <si>
    <t xml:space="preserve">Section 200 of BNSS 2023 covers jurisdiction for related offences (like abetment or receiving stolen property), stating they can be tried either where the related act occurred or where the primary offence took place. [Source: Section 200, BNSS 2023]</t>
  </si>
  <si>
    <t xml:space="preserve">CASE_3345</t>
  </si>
  <si>
    <t xml:space="preserve">Yes, under section 200, because abetment is an offence by reason of its relation to the murder, the abetment "may be inquired into or tried by a Court within whose local jurisdiction either act was done." Therefore, City B has jurisdiction. [Source: Section 200, BNSS 2023]</t>
  </si>
  <si>
    <t xml:space="preserve">CASE_3346</t>
  </si>
  <si>
    <t xml:space="preserve">It addresses a situation "When an act is an offence by reason of its relation to any other act which is also an offence". [Source: Section 200, BNSS 2023]</t>
  </si>
  <si>
    <t xml:space="preserve">CASE_3347</t>
  </si>
  <si>
    <t xml:space="preserve">No, the section explicitly covers situations related to another act "which would be an offence if the doer were capable of committing an offence" (e.g., abetting a child or a person of unsound mind). [Source: Section 200, BNSS 2023]</t>
  </si>
  <si>
    <t xml:space="preserve">CASE_3348</t>
  </si>
  <si>
    <t xml:space="preserve">The consequence is that conspirators, abettors, and facilitators can be brought to trial in the same court as the principal offender where the main crime happened, enabling joint trials and a comprehensive presentation of evidence. [Source: Section 200, BNSS 2023]</t>
  </si>
  <si>
    <t xml:space="preserve">CASE_3349</t>
  </si>
  <si>
    <t xml:space="preserve">Place of trial in case of certain offences</t>
  </si>
  <si>
    <t xml:space="preserve">They can be tried in the court where the theft happened, or in any court where the stolen property was possessed, received, or retained by someone who knew it was stolen. [Source: Section 201, BNSS 2023]</t>
  </si>
  <si>
    <t xml:space="preserve">Hugging Face source record: BNSS_201</t>
  </si>
  <si>
    <t xml:space="preserve">CASE_3350</t>
  </si>
  <si>
    <t xml:space="preserve">Section 201 of BNSS 2023 details specific, expanded territorial jurisdictions for certain mobile or property-related offences, including dacoity, kidnapping, theft, extortion, robbery, and criminal misappropriation. [Source: Section 201, BNSS 2023]</t>
  </si>
  <si>
    <t xml:space="preserve">CASE_3351</t>
  </si>
  <si>
    <t xml:space="preserve">No, under sub-section (2), the offence of kidnapping "may be inquired into or tried by a Court within whose local jurisdiction the person was kidnapped or abducted or was conveyed or concealed or detained." Therefore, courts in Delhi, Haryana, or Punjab have jurisdiction. [Source: Section 201, BNSS 2023]</t>
  </si>
  <si>
    <t xml:space="preserve">CASE_3352</t>
  </si>
  <si>
    <t xml:space="preserve">The court within whose local jurisdiction "the offence was committed" or where "the accused person is found." [Source: Section 201, BNSS 2023]</t>
  </si>
  <si>
    <t xml:space="preserve">CASE_3353</t>
  </si>
  <si>
    <t xml:space="preserve">Yes, under sub-section (4), the offence may be tried where it was committed or where the property "was required to be returned or accounted for, by the accused person." [Source: Section 201, BNSS 2023]</t>
  </si>
  <si>
    <t xml:space="preserve">CASE_3354</t>
  </si>
  <si>
    <t xml:space="preserve">The consequence is that law enforcement has the flexibility to prosecute thieves and fences in the jurisdiction where they are caught with the loot, rather than being forced to transfer the case back to the original site of the theft. [Source: Section 201, BNSS 2023]</t>
  </si>
  <si>
    <t xml:space="preserve">CASE_3355</t>
  </si>
  <si>
    <t xml:space="preserve">Offences committed by means of electronic communications, letters, etc</t>
  </si>
  <si>
    <t xml:space="preserve">The cheating case can be tried in the court where the electronic message was sent from, where it was received, where the property was delivered by the victim, or where the scammer received the property. [Source: Section 202, BNSS 2023]</t>
  </si>
  <si>
    <t xml:space="preserve">Hugging Face source record: BNSS_202</t>
  </si>
  <si>
    <t xml:space="preserve">CASE_3356</t>
  </si>
  <si>
    <t xml:space="preserve">Section 202 of BNSS 2023 addresses jurisdiction for offences committed via electronic communications or letters (like cyber fraud and cheating), and also specifies jurisdiction for bigamy offences under the BNS. [Source: Section 202, BNSS 2023]</t>
  </si>
  <si>
    <t xml:space="preserve">CASE_3357</t>
  </si>
  <si>
    <t xml:space="preserve">Yes, under sub-section (1), cheating by electronic communications may be tried by a Court within whose local jurisdiction "such electronic communications... were received," which is Hyderabad. [Source: Section 202, BNSS 2023]</t>
  </si>
  <si>
    <t xml:space="preserve">CASE_3358</t>
  </si>
  <si>
    <t xml:space="preserve">The court within whose local jurisdiction "the wife by the first marriage has taken up permanent residence after the commission of the offence." [Source: Section 202, BNSS 2023]</t>
  </si>
  <si>
    <t xml:space="preserve">CASE_3359</t>
  </si>
  <si>
    <t xml:space="preserve">This specific section focuses on cheating where "the deception is practised by means of electronic communications or letters or telecommunication messages" and where property delivery is induced. General cheating without these elements would fall under general jurisdiction rules. [Source: Section 202, BNSS 2023]</t>
  </si>
  <si>
    <t xml:space="preserve">CASE_3360</t>
  </si>
  <si>
    <t xml:space="preserve">The consequence is that cybercrime victims do not have to travel to the distant city where the cybercriminal is physically located to initiate a prosecution; they can seek justice in their own local courts where they received the deceptive message or lost their property. [Source: Section 202, BNSS 2023]</t>
  </si>
  <si>
    <t xml:space="preserve">CASE_3361</t>
  </si>
  <si>
    <t xml:space="preserve">Offence committed on journey or voyage</t>
  </si>
  <si>
    <t xml:space="preserve">The trial can take place in any court whose local jurisdiction the train, plane, or person passed through during that journey or voyage. [Source: Section 203, BNSS 2023]</t>
  </si>
  <si>
    <t xml:space="preserve">Hugging Face source record: BNSS_203</t>
  </si>
  <si>
    <t xml:space="preserve">CASE_3362</t>
  </si>
  <si>
    <t xml:space="preserve">Section 203 of BNSS 2023 addresses the jurisdictional challenge of offences committed during a journey or voyage, granting jurisdiction to any court along the route traversed by the person or thing involved. [Source: Section 203, BNSS 2023]</t>
  </si>
  <si>
    <t xml:space="preserve">CASE_3363</t>
  </si>
  <si>
    <t xml:space="preserve">Yes, under section 203, the offence may be tried by a Court through whose local jurisdiction "that person or thing passed in the course of that journey," which includes Gwalior. [Source: Section 203, BNSS 2023]</t>
  </si>
  <si>
    <t xml:space="preserve">CASE_3364</t>
  </si>
  <si>
    <t xml:space="preserve">"the person by or against whom, or the thing in respect of which, the offence is committed". [Source: Section 203, BNSS 2023]</t>
  </si>
  <si>
    <t xml:space="preserve">CASE_3365</t>
  </si>
  <si>
    <t xml:space="preserve">No, the section specifically states "When an offence is committed *whilst* the person... or the thing... is *in the course of performing* a journey or voyage." [Source: Section 203, BNSS 2023]</t>
  </si>
  <si>
    <t xml:space="preserve">CASE_3366</t>
  </si>
  <si>
    <t xml:space="preserve">The consequence is that it eliminates the often impossible burden of proving exactly which territorial boundary a speeding vehicle was crossing at the exact moment a crime occurred inside it, allowing prosecution anywhere along the route. [Source: Section 203, BNSS 2023]</t>
  </si>
  <si>
    <t xml:space="preserve">CASE_3367</t>
  </si>
  <si>
    <t xml:space="preserve">Place of trial for offences triable together</t>
  </si>
  <si>
    <t xml:space="preserve">Any court that is competent to try *any* of the connected offences can handle the entire joint trial for all the offences and all the accused persons. [Source: Section 204, BNSS 2023]</t>
  </si>
  <si>
    <t xml:space="preserve">Hugging Face source record: BNSS_204</t>
  </si>
  <si>
    <t xml:space="preserve">CASE_3368</t>
  </si>
  <si>
    <t xml:space="preserve">Section 204 of BNSS 2023 establishes that when offences or persons can be legally tried together (under joinder rules), any court competent to try one of those offences has jurisdiction to try the whole combined case. [Source: Section 204, BNSS 2023]</t>
  </si>
  <si>
    <t xml:space="preserve">CASE_3369</t>
  </si>
  <si>
    <t xml:space="preserve">Yes, under section 204, if offences may be tried together, "the offences may be inquired into or tried by any Court competent to inquire into or try any of the offences." District X is competent to try the robbery, so it can try both. [Source: Section 204, BNSS 2023]</t>
  </si>
  <si>
    <t xml:space="preserve">CASE_3370</t>
  </si>
  <si>
    <t xml:space="preserve">"by virtue of the provisions of section 242, section 243 or section 244". [Source: Section 204, BNSS 2023]</t>
  </si>
  <si>
    <t xml:space="preserve">CASE_3371</t>
  </si>
  <si>
    <t xml:space="preserve">While section 204 grants territorial jurisdiction, it is implicitly subject to the court also having the substantive *power* to try the more severe offence (usually laid out in the First Schedule). A Magistrate cannot try a Sessions-triable offence, so the joint case must go to the higher competent court. [Source: Section 204, BNSS 2023]</t>
  </si>
  <si>
    <t xml:space="preserve">CASE_3372</t>
  </si>
  <si>
    <t xml:space="preserve">The consequence is judicial efficiency; it prevents the fragmentation of connected cases across multiple different territorial courts, saving time, reducing costs, and avoiding conflicting judgments on the same set of facts. [Source: Section 204, BNSS 2023]</t>
  </si>
  <si>
    <t xml:space="preserve">CASE_3373</t>
  </si>
  <si>
    <t xml:space="preserve">Power to order cases to be tried in different sessions divisions</t>
  </si>
  <si>
    <t xml:space="preserve">Yes, the State Government may direct that any case or class of cases committed for trial in a district may be tried in any sessions division, provided it doesn't conflict with High Court or Supreme Court orders. [Source: Section 205, BNSS 2023]</t>
  </si>
  <si>
    <t xml:space="preserve">Hugging Face source record: BNSS_205</t>
  </si>
  <si>
    <t xml:space="preserve">CASE_3374</t>
  </si>
  <si>
    <t xml:space="preserve">Section 205 of BNSS 2023 allows the State Government to alter the normal territorial jurisdiction for trials by directing that cases committed in any district be tried in any sessions division. [Source: Section 205, BNSS 2023]</t>
  </si>
  <si>
    <t xml:space="preserve">CASE_3375</t>
  </si>
  <si>
    <t xml:space="preserve">The High Court's order prevails. The proviso to section 205 states that the State Government's direction must not be "repugnant to any direction previously issued by the High Court or the Supreme Court." [Source: Section 205, BNSS 2023]</t>
  </si>
  <si>
    <t xml:space="preserve">CASE_3376</t>
  </si>
  <si>
    <t xml:space="preserve">"any case or class of cases committed for trial in any district". [Source: Section 205, BNSS 2023]</t>
  </si>
  <si>
    <t xml:space="preserve">CASE_3377</t>
  </si>
  <si>
    <t xml:space="preserve">No, the language allows transfer to "any sessions division," which implicitly means any sessions division within the jurisdiction of that specific State Government. [Source: Section 205, BNSS 2023]</t>
  </si>
  <si>
    <t xml:space="preserve">CASE_3378</t>
  </si>
  <si>
    <t xml:space="preserve">The consequence is that the State Government can administratively manage the trial venue for reasons like security, public order, or judicial load, without needing complex judicial transfer proceedings, as long as higher courts haven't intervened. [Source: Section 205, BNSS 2023]</t>
  </si>
  <si>
    <t xml:space="preserve">CASE_3379</t>
  </si>
  <si>
    <t xml:space="preserve">High Court to decide, in case of doubt, district where inquiry or trial shall take place</t>
  </si>
  <si>
    <t xml:space="preserve">If both courts are under the same High Court, that High Court decides. If they are under different High Courts, the High Court where proceedings started first decides, and the other proceedings stop. [Source: Section 206, BNSS 2023]</t>
  </si>
  <si>
    <t xml:space="preserve">Hugging Face source record: BNSS_206</t>
  </si>
  <si>
    <t xml:space="preserve">CASE_3380</t>
  </si>
  <si>
    <t xml:space="preserve">Section 206 of BNSS 2023 resolves the conflict that arises when multiple courts take cognizance of the same offence, laying down the rule for which High Court acts as the final arbiter. [Source: Section 206, BNSS 2023]</t>
  </si>
  <si>
    <t xml:space="preserve">CASE_3381</t>
  </si>
  <si>
    <t xml:space="preserve">Under clause (a), since both courts are subordinate to the same High Court, the question shall be decided "by that High Court" (the Bombay High Court). [Source: Section 206, BNSS 2023]</t>
  </si>
  <si>
    <t xml:space="preserve">CASE_3382</t>
  </si>
  <si>
    <t xml:space="preserve">"the High Court within the local limits of whose appellate criminal jurisdiction the proceedings were first commenced". [Source: Section 206, BNSS 2023]</t>
  </si>
  <si>
    <t xml:space="preserve">CASE_3383</t>
  </si>
  <si>
    <t xml:space="preserve">No, the section explicitly states that once the High Court where proceedings first commenced takes up the question, "thereupon all other proceedings in respect of that offence shall be discontinued." [Source: Section 206, BNSS 2023]</t>
  </si>
  <si>
    <t xml:space="preserve">CASE_3384</t>
  </si>
  <si>
    <t xml:space="preserve">The consequence is the prevention of parallel trials, conflicting judgments, and double jeopardy across state lines, establishing a clear "first-in-time" rule for appellate jurisdiction over the dispute. [Source: Section 206, BNSS 2023]</t>
  </si>
  <si>
    <t xml:space="preserve">CASE_3385</t>
  </si>
  <si>
    <t xml:space="preserve">Power to issue summons or warrant for offence committed beyond local jurisdiction</t>
  </si>
  <si>
    <t xml:space="preserve">Yes, a First Class Magistrate can issue a summons or warrant, compel the person's appearance, and then send them to the correct Magistrate who actually has jurisdiction, or grant bail if applicable. [Source: Section 207, BNSS 2023]</t>
  </si>
  <si>
    <t xml:space="preserve">Hugging Face source record: BNSS_207</t>
  </si>
  <si>
    <t xml:space="preserve">CASE_3386</t>
  </si>
  <si>
    <t xml:space="preserve">Section 207 of BNSS 2023 allows a Magistrate of the first class to initiate proceedings and compel the appearance of a person found within their local limits who committed an offence outside their jurisdiction. [Source: Section 207, BNSS 2023]</t>
  </si>
  <si>
    <t xml:space="preserve">CASE_3387</t>
  </si>
  <si>
    <t xml:space="preserve">No, the Magistrate can inquire into it as if committed locally only to compel appearance, but must then "send such person to the Magistrate having jurisdiction to inquire into or try such offence." [Source: Section 207, BNSS 2023]</t>
  </si>
  <si>
    <t xml:space="preserve">CASE_3388</t>
  </si>
  <si>
    <t xml:space="preserve">The Magistrate may "take a bond or bail bond for his appearance before the Magistrate having such jurisdiction." [Source: Section 207, BNSS 2023]</t>
  </si>
  <si>
    <t xml:space="preserve">CASE_3389</t>
  </si>
  <si>
    <t xml:space="preserve">Under sub-section (2), "the case shall be reported for the orders of the High Court." [Source: Section 207, BNSS 2023]</t>
  </si>
  <si>
    <t xml:space="preserve">CASE_3390</t>
  </si>
  <si>
    <t xml:space="preserve">The consequence is that criminals cannot escape justice simply by crossing territorial boundaries and hiding in a different city; local Magistrates have the power to apprehend them and ship them back to the correct jurisdiction. [Source: Section 207, BNSS 2023]</t>
  </si>
  <si>
    <t xml:space="preserve">CASE_3391</t>
  </si>
  <si>
    <t xml:space="preserve">Offence committed outside India</t>
  </si>
  <si>
    <t xml:space="preserve">Yes, an Indian citizen committing an offence anywhere outside India can be tried at any place in India where they are found or where the offence is registered, subject to central government approval. [Source: Section 208, BNSS 2023]</t>
  </si>
  <si>
    <t xml:space="preserve">Hugging Face source record: BNSS_208</t>
  </si>
  <si>
    <t xml:space="preserve">CASE_3392</t>
  </si>
  <si>
    <t xml:space="preserve">Section 208 of BNSS 2023 deals with the extra-territorial jurisdiction of Indian courts, allowing the trial of Indian citizens for offences committed abroad, and foreigners for offences on Indian ships/aircraft. [Source: Section 208, BNSS 2023]</t>
  </si>
  <si>
    <t xml:space="preserve">CASE_3393</t>
  </si>
  <si>
    <t xml:space="preserve">Yes, under clause (b), an offence committed by a non-citizen "on any ship or aircraft registered in India" can be dealt with as if committed in India where he is found. [Source: Section 208, BNSS 2023]</t>
  </si>
  <si>
    <t xml:space="preserve">CASE_3394</t>
  </si>
  <si>
    <t xml:space="preserve">It requires "the previous sanction of the Central Government." [Source: Section 208, BNSS 2023]</t>
  </si>
  <si>
    <t xml:space="preserve">CASE_3395</t>
  </si>
  <si>
    <t xml:space="preserve">The section states "When an offence is committed...", implying it must be an offence under Indian law. Because of the extra-territorial application of the BNS, they can be tried in India as if the act was committed in India. [Source: Section 208, BNSS 2023]</t>
  </si>
  <si>
    <t xml:space="preserve">CASE_3396</t>
  </si>
  <si>
    <t xml:space="preserve">The consequence is that it provides flexible territorial jurisdiction; the trial doesn't have to wait until the fugitive is physically caught, as it can proceed where the FIR is registered, or alternatively, where they eventually land or are arrested. [Source: Section 208, BNSS 2023]</t>
  </si>
  <si>
    <t xml:space="preserve">CASE_3397</t>
  </si>
  <si>
    <t xml:space="preserve">Receipt of evidence relating to offences committed outside India</t>
  </si>
  <si>
    <t xml:space="preserve">Yes, if the Central Government directs it, copies of depositions or exhibits produced before a foreign judicial officer or an Indian diplomat abroad can be received as evidence by the Indian court. [Source: Section 209, BNSS 2023]</t>
  </si>
  <si>
    <t xml:space="preserve">Hugging Face source record: BNSS_209</t>
  </si>
  <si>
    <t xml:space="preserve">CASE_3398</t>
  </si>
  <si>
    <t xml:space="preserve">Section 209 of BNSS 2023 authorizes the receipt of foreign evidence (depositions and exhibits) in Indian trials for offences committed outside India, subject to the Central Government's direction. [Source: Section 209, BNSS 2023]</t>
  </si>
  <si>
    <t xml:space="preserve">CASE_3399</t>
  </si>
  <si>
    <t xml:space="preserve">Yes, if the Central Government directs it, depositions made "before a diplomatic or consular representative of India in or for that territory shall be received as evidence by the Court." [Source: Section 209, BNSS 2023]</t>
  </si>
  <si>
    <t xml:space="preserve">CASE_3400</t>
  </si>
  <si>
    <t xml:space="preserve">"before a judicial officer, in or for that territory or before a diplomatic or consular representative of India in or for that territory". [Source: Section 209, BNSS 2023]</t>
  </si>
  <si>
    <t xml:space="preserve">CASE_3401</t>
  </si>
  <si>
    <t xml:space="preserve">No, it requires that "the Central Government may, if it thinks fit, direct" that the copies be received as evidence. [Source: Section 209, BNSS 2023]</t>
  </si>
  <si>
    <t xml:space="preserve">CASE_3402</t>
  </si>
  <si>
    <t xml:space="preserve">The consequence is that it overcomes the massive logistical and jurisdictional hurdles of compelling foreign witnesses to travel to India for a trial, making extra-territorial prosecutions under Section 208 practically feasible. [Source: Section 209, BNSS 2023]</t>
  </si>
  <si>
    <t xml:space="preserve">CASE_3403</t>
  </si>
  <si>
    <t xml:space="preserve">Cognizance of offences by Magistrate</t>
  </si>
  <si>
    <t xml:space="preserve">A Magistrate takes cognizance in three ways: by receiving a complaint, upon a police report, or upon information received from any person or their own knowledge that a crime occurred. [Source: Section 210, BNSS 2023]</t>
  </si>
  <si>
    <t xml:space="preserve">Hugging Face source record: BNSS_210</t>
  </si>
  <si>
    <t xml:space="preserve">CASE_3404</t>
  </si>
  <si>
    <t xml:space="preserve">Section 210 of BNSS 2023 (historically Section 190 CrPC) outlines the three specific methods by which Magistrates are empowered to take "cognizance" of an offence, effectively initiating the judicial process. [Source: Section 210, BNSS 2023]</t>
  </si>
  <si>
    <t xml:space="preserve">CASE_3405</t>
  </si>
  <si>
    <t xml:space="preserve">Yes, under sub-section (1)(c), a Magistrate may take cognizance "upon his own knowledge, that such offence has been committed." [Source: Section 210, BNSS 2023]</t>
  </si>
  <si>
    <t xml:space="preserve">CASE_3406</t>
  </si>
  <si>
    <t xml:space="preserve">Yes, clause (b) explicitly states: "upon a police report (submitted in any mode including electronic mode) of such facts." [Source: Section 210, BNSS 2023]</t>
  </si>
  <si>
    <t xml:space="preserve">CASE_3407</t>
  </si>
  <si>
    <t xml:space="preserve">No, under sub-section (1), a Magistrate of the second class must be "specially empowered in this behalf under sub-section (2)" by the Chief Judicial Magistrate. [Source: Section 210, BNSS 2023]</t>
  </si>
  <si>
    <t xml:space="preserve">CASE_3408</t>
  </si>
  <si>
    <t xml:space="preserve">The consequence is the formal shift of the matter from a purely investigative police phase into the judicial machinery, activating the court's power to issue summons, warrants, and begin inquiry or trial procedures. [Source: Section 210, BNSS 2023]</t>
  </si>
  <si>
    <t xml:space="preserve">CASE_3409</t>
  </si>
  <si>
    <t xml:space="preserve">Transfer on application of accused</t>
  </si>
  <si>
    <t xml:space="preserve">The accused must be informed before evidence is taken that they have the right to have the case transferred to a different Magistrate. If they object to the current Magistrate, the case must be transferred. [Source: Section 211, BNSS 2023]</t>
  </si>
  <si>
    <t xml:space="preserve">Hugging Face source record: BNSS_211</t>
  </si>
  <si>
    <t xml:space="preserve">CASE_3410</t>
  </si>
  <si>
    <t xml:space="preserve">Section 211 of BNSS 2023 provides a safeguard against judicial bias by granting the accused the right to transfer the case if the Magistrate took cognizance based on their own knowledge or information (suo motu). [Source: Section 211, BNSS 2023]</t>
  </si>
  <si>
    <t xml:space="preserve">CASE_3411</t>
  </si>
  <si>
    <t xml:space="preserve">No, section 211 mandates that the accused "shall, before any evidence is taken, be informed that he is entitled to have the case inquired into or tried by another Magistrate." Informing them after evidence is taken violates this. [Source: Section 211, BNSS 2023]</t>
  </si>
  <si>
    <t xml:space="preserve">CASE_3412</t>
  </si>
  <si>
    <t xml:space="preserve">It applies only when cognizance is taken "under clause (c) of sub-section (1) of section 210" (information received from any person other than police, or own knowledge). [Source: Section 211, BNSS 2023]</t>
  </si>
  <si>
    <t xml:space="preserve">CASE_3413</t>
  </si>
  <si>
    <t xml:space="preserve">Yes, the section says "if the accused or any of the accused, if there be more than one, objects... the case shall be transferred". [Source: Section 211, BNSS 2023]</t>
  </si>
  <si>
    <t xml:space="preserve">CASE_3414</t>
  </si>
  <si>
    <t xml:space="preserve">The consequence is that it enforces the principle that "no man shall be a judge in his own cause," preventing a Magistrate from acting as both the initial witness/informant and the impartial judge in the same trial. [Source: Section 211, BNSS 2023]</t>
  </si>
  <si>
    <t xml:space="preserve">CASE_3415</t>
  </si>
  <si>
    <t xml:space="preserve">Making over of cases to Magistrates</t>
  </si>
  <si>
    <t xml:space="preserve">Yes, a Chief Judicial Magistrate can take cognizance of an offence and then make over the case for inquiry or trial to any competent subordinate Magistrate. [Source: Section 212, BNSS 2023]</t>
  </si>
  <si>
    <t xml:space="preserve">Hugging Face source record: BNSS_212</t>
  </si>
  <si>
    <t xml:space="preserve">CASE_3416</t>
  </si>
  <si>
    <t xml:space="preserve">Section 212 of BNSS 2023 grants the Chief Judicial Magistrate (and specially empowered First Class Magistrates) the power to distribute judicial workload by "making over" cases they have taken cognizance of to competent subordinate Magistrates. [Source: Section 212, BNSS 2023]</t>
  </si>
  <si>
    <t xml:space="preserve">CASE_3417</t>
  </si>
  <si>
    <t xml:space="preserve">No, under sub-section (2), a Magistrate of the first class can only make over a case if they are "empowered in this behalf by the Chief Judicial Magistrate." [Source: Section 212, BNSS 2023]</t>
  </si>
  <si>
    <t xml:space="preserve">CASE_3418</t>
  </si>
  <si>
    <t xml:space="preserve">The First Class Magistrate makes it over to "such other competent Magistrate as the Chief Judicial Magistrate may, by general or special order, specify". [Source: Section 212, BNSS 2023]</t>
  </si>
  <si>
    <t xml:space="preserve">CASE_3419</t>
  </si>
  <si>
    <t xml:space="preserve">No, sub-section (1) strictly says they may make over the case to "any competent Magistrate subordinate to him." An incompetent Magistrate cannot try the case. [Source: Section 212, BNSS 2023]</t>
  </si>
  <si>
    <t xml:space="preserve">CASE_3420</t>
  </si>
  <si>
    <t xml:space="preserve">The consequence is that it allows the Chief Judicial Magistrate to act as a central funnel for receiving new cases and efficiently distributing them among the subordinate judiciary based on caseloads and jurisdiction, without the police having to figure out exactly which judge to file with. [Source: Section 212, BNSS 2023]</t>
  </si>
  <si>
    <t xml:space="preserve">CASE_3421</t>
  </si>
  <si>
    <t xml:space="preserve">Cognizance of offences by Court of Session</t>
  </si>
  <si>
    <t xml:space="preserve">No, generally a Court of Session cannot take cognizance of an offence directly. The case must first be filed with a Magistrate, who then "commits" (transfers) it to the Court of Session. [Source: Section 213, BNSS 2023]</t>
  </si>
  <si>
    <t xml:space="preserve">Hugging Face source record: BNSS_213</t>
  </si>
  <si>
    <t xml:space="preserve">CASE_3422</t>
  </si>
  <si>
    <t xml:space="preserve">Section 213 of BNSS 2023 (historically Section 193 CrPC) establishes that a Court of Session does not have original jurisdiction to take cognizance of offences directly; it can only try cases that have been formally committed to it by a Magistrate. [Source: Section 213, BNSS 2023]</t>
  </si>
  <si>
    <t xml:space="preserve">CASE_3423</t>
  </si>
  <si>
    <t xml:space="preserve">No, under section 213, "no Court of Session shall take cognizance of any offence as a Court of original jurisdiction unless the case has been committed to it by a Magistrate." [Source: Section 213, BNSS 2023]</t>
  </si>
  <si>
    <t xml:space="preserve">CASE_3424</t>
  </si>
  <si>
    <t xml:space="preserve">The case must be "committed to it by a Magistrate under this Sanhita." [Source: Section 213, BNSS 2023]</t>
  </si>
  <si>
    <t xml:space="preserve">CASE_3425</t>
  </si>
  <si>
    <t xml:space="preserve">The section begins with the exception: "Except as otherwise expressly provided by this Sanhita or by any other law for the time being in force," meaning special laws (like the SC/ST Act or Defamation against high dignitaries) might allow direct cognizance. [Source: Section 213, BNSS 2023]</t>
  </si>
  <si>
    <t xml:space="preserve">CASE_3426</t>
  </si>
  <si>
    <t xml:space="preserve">The consequence is that Magistrates serve as the mandatory gatekeepers and filter for all serious crimes, ensuring that initial procedures, document supply to the accused, and basic scrutiny are completed before the heavy machinery of a Sessions trial begins. [Source: Section 213, BNSS 2023]</t>
  </si>
  <si>
    <t xml:space="preserve">CASE_3427</t>
  </si>
  <si>
    <t xml:space="preserve">Additional Sessions Judges to try cases made over to them</t>
  </si>
  <si>
    <t xml:space="preserve">An Additional Sessions Judge tries cases that are assigned to them by the main Sessions Judge of their division, or cases directed to them by the High Court. [Source: Section 214, BNSS 2023]</t>
  </si>
  <si>
    <t xml:space="preserve">Hugging Face source record: BNSS_214</t>
  </si>
  <si>
    <t xml:space="preserve">CASE_3428</t>
  </si>
  <si>
    <t xml:space="preserve">Section 214 of BNSS 2023 dictates that Additional Sessions Judges derive their specific trial docket entirely through assignment ("making over") by the principal Sessions Judge or by special orders from the High Court. [Source: Section 214, BNSS 2023]</t>
  </si>
  <si>
    <t xml:space="preserve">CASE_3429</t>
  </si>
  <si>
    <t xml:space="preserve">No, an Additional Sessions Judge "shall try such cases as the Sessions Judge of the division may... make over to him." They cannot independently pull cases from the general docket without assignment. [Source: Section 214, BNSS 2023]</t>
  </si>
  <si>
    <t xml:space="preserve">CASE_3430</t>
  </si>
  <si>
    <t xml:space="preserve">"the High Court may, by special order, direct him to try." [Source: Section 214, BNSS 2023]</t>
  </si>
  <si>
    <t xml:space="preserve">CASE_3431</t>
  </si>
  <si>
    <t xml:space="preserve">No, the section allows the assignment to be done "by general or special order," meaning they can have a standing general order assigning certain types of cases or cases from certain areas. [Source: Section 214, BNSS 2023]</t>
  </si>
  <si>
    <t xml:space="preserve">CASE_3432</t>
  </si>
  <si>
    <t xml:space="preserve">The consequence is that the principal Sessions Judge acts as the master of the roster for the division, retaining administrative control over the distribution of work among all Additional Sessions Judges to ensure efficient case management. [Source: Section 214, BNSS 2023]</t>
  </si>
  <si>
    <t xml:space="preserve">CASE_3433</t>
  </si>
  <si>
    <t xml:space="preserve">Prosecution for contempt of lawful authority of public servants, for offences against public</t>
  </si>
  <si>
    <t xml:space="preserve">No, for offences against the lawful authority of public servants or offences against public justice (like fake evidence), only the public servant concerned, the Court, or an authorized officer can file the written complaint. [Source: Section 215, BNSS 2023]</t>
  </si>
  <si>
    <t xml:space="preserve">Hugging Face source record: BNSS_215</t>
  </si>
  <si>
    <t xml:space="preserve">CASE_3434</t>
  </si>
  <si>
    <t xml:space="preserve">Section 215 of BNSS 2023 prohibits courts from taking cognizance of contempt of public servants, offences against public justice, and offences relating to documents given in evidence, except on a written complaint by the concerned public servant or Court. [Source: Section 215, BNSS 2023]</t>
  </si>
  <si>
    <t xml:space="preserve">CASE_3435</t>
  </si>
  <si>
    <t xml:space="preserve">No, under clause (b)(i), for offences related to proceedings in any Court (which includes perjury under BNS sections 229-233), the Court cannot take cognizance "except on the complaint in writing of that Court or by such officer of the Court as that Court may authorise". [Source: Section 215, BNSS 2023]</t>
  </si>
  <si>
    <t xml:space="preserve">CASE_3436</t>
  </si>
  <si>
    <t xml:space="preserve">"some other public servant to whom he is administratively subordinate or of some other public servant who is authorised by the concerned public servant so to do". [Source: Section 215, BNSS 2023]</t>
  </si>
  <si>
    <t xml:space="preserve">CASE_3437</t>
  </si>
  <si>
    <t xml:space="preserve">This section applies when an offence is alleged to have been committed "in respect of a document produced or given in evidence in a proceeding in any Court." Interpretation of this usually means the offence must relate to the court proceeding, but the strict text requires a court complaint if the document was produced in evidence. [Source: Section 215, BNSS 2023]</t>
  </si>
  <si>
    <t xml:space="preserve">CASE_3438</t>
  </si>
  <si>
    <t xml:space="preserve">The consequence is that it prevents private individuals from using these specific charges (like perjury or disobeying orders) as tools of harassment or retaliation against their opponents; only the aggrieved authority can initiate prosecution. [Source: Section 215, BNSS 2023]</t>
  </si>
  <si>
    <t xml:space="preserve">CASE_3439</t>
  </si>
  <si>
    <t xml:space="preserve">Procedure for witnesses in case of threatening, etc</t>
  </si>
  <si>
    <t xml:space="preserve">The threatened witness themselves, or any other person, may file a complaint regarding the threatening of a witness. [Source: Section 216, BNSS 2023]</t>
  </si>
  <si>
    <t xml:space="preserve">Hugging Face source record: BNSS_216</t>
  </si>
  <si>
    <t xml:space="preserve">CASE_3440</t>
  </si>
  <si>
    <t xml:space="preserve">Section 216 of BNSS 2023 provides a broad locus standi for the offence of threatening a witness (under section 232 BNS), allowing the witness or "any other person" to file the complaint, unlike section 215 which restricts complainants. [Source: Section 216, BNSS 2023]</t>
  </si>
  <si>
    <t xml:space="preserve">CASE_3441</t>
  </si>
  <si>
    <t xml:space="preserve">Yes, under section 216, "A witness or any other person may file a complaint in relation to an offence under section 232 of the Bharatiya Nyaya Sanhita, 2023." [Source: Section 216, BNSS 2023]</t>
  </si>
  <si>
    <t xml:space="preserve">CASE_3442</t>
  </si>
  <si>
    <t xml:space="preserve">"an offence under section 232 of the Bharatiya Nyaya Sanhita, 2023." [Source: Section 216, BNSS 2023]</t>
  </si>
  <si>
    <t xml:space="preserve">CASE_3443</t>
  </si>
  <si>
    <t xml:space="preserve">No, unlike section 215 (which handles perjury/forgery in court), section 216 specifically allows "A witness or any other person" to file it directly, bypassing the need for a formal court complaint. [Source: Section 216, BNSS 2023]</t>
  </si>
  <si>
    <t xml:space="preserve">CASE_3444</t>
  </si>
  <si>
    <t xml:space="preserve">The consequence is enhanced protection for the justice system; it ensures that intimidation tactics can be prosecuted even if the primary victim (the witness) is successfully silenced or too intimidated to approach the authorities themselves. [Source: Section 216, BNSS 2023]</t>
  </si>
  <si>
    <t xml:space="preserve">CASE_3445</t>
  </si>
  <si>
    <t xml:space="preserve">Prosecution for offences against State and for criminal conspiracy to commit such</t>
  </si>
  <si>
    <t xml:space="preserve">No, a court cannot take cognizance of offences against the State or criminal conspiracy to commit them without the previous sanction (permission) of the Central Government, State Government, or District Magistrate. [Source: Section 217, BNSS 2023]</t>
  </si>
  <si>
    <t xml:space="preserve">Hugging Face source record: BNSS_217</t>
  </si>
  <si>
    <t xml:space="preserve">CASE_3446</t>
  </si>
  <si>
    <t xml:space="preserve">Section 217 of BNSS 2023 establishes the mandatory requirement of prior government sanction before any court can take cognizance of offences against the State, promoting enmity between groups, or criminal conspiracy. [Source: Section 217, BNSS 2023]</t>
  </si>
  <si>
    <t xml:space="preserve">CASE_3447</t>
  </si>
  <si>
    <t xml:space="preserve">No, under sub-section (1)(a), no Court shall take cognizance of an offence under section 196 of the BNS "except with the previous sanction of the Central Government or of the State Government." [Source: Section 217, BNSS 2023]</t>
  </si>
  <si>
    <t xml:space="preserve">CASE_3448</t>
  </si>
  <si>
    <t xml:space="preserve">"the State Government or the District Magistrate". [Source: Section 217, BNSS 2023]</t>
  </si>
  <si>
    <t xml:space="preserve">CASE_3449</t>
  </si>
  <si>
    <t xml:space="preserve">No, sub-section (3) requires consent for criminal conspiracy "other than a criminal conspiracy to commit an offence punishable with death, imprisonment for life or rigorous imprisonment for a term of two years or upwards". Therefore, conspiracy to murder does not need this sanction. [Source: Section 217, BNSS 2023]</t>
  </si>
  <si>
    <t xml:space="preserve">CASE_3450</t>
  </si>
  <si>
    <t xml:space="preserve">The consequence is that the sanctioning authority can gather facts through a police inspector before deciding whether to grant sanction, ensuring that frivolous or politically motivated allegations against the State are filtered out before a formal trial begins. [Source: Section 217, BNSS 2023]</t>
  </si>
  <si>
    <t xml:space="preserve">CASE_3451</t>
  </si>
  <si>
    <t xml:space="preserve">Prosecution of Judges and public servants</t>
  </si>
  <si>
    <t xml:space="preserve">Generally no. You cannot prosecute a Judge, Magistrate, or a public servant (removable only by the Government) for acts done in discharge of their official duty without previous sanction from the Central or State Government. [Source: Section 218, BNSS 2023]</t>
  </si>
  <si>
    <t xml:space="preserve">Hugging Face source record: BNSS_218</t>
  </si>
  <si>
    <t xml:space="preserve">CASE_3452</t>
  </si>
  <si>
    <t xml:space="preserve">Section 218 of BNSS 2023 provides immunity from prosecution to Judges, Magistrates, certain public servants, and Armed Forces members for acts committed in the discharge of official duties, requiring prior government sanction to take cognizance. [Source: Section 218, BNSS 2023]</t>
  </si>
  <si>
    <t xml:space="preserve">CASE_3453</t>
  </si>
  <si>
    <t xml:space="preserve">Yes, if the officer is a public servant not removable from office save by government sanction, and the act was "while acting or purporting to act in the discharge of his official duty," the court cannot take cognizance "except with the previous sanction" of the relevant Government. [Source: Section 218, BNSS 2023]</t>
  </si>
  <si>
    <t xml:space="preserve">CASE_3454</t>
  </si>
  <si>
    <t xml:space="preserve">Under the second proviso to sub-section (1), the Government must take a decision within 120 days. If it fails to do so, "the sanction shall be deemed to have been accorded by such Government." [Source: Section 218, BNSS 2023]</t>
  </si>
  <si>
    <t xml:space="preserve">CASE_3455</t>
  </si>
  <si>
    <t xml:space="preserve">No, the third proviso explicitly states "no sanction shall be required in case of a public servant accused of any offence alleged to have been committed under section 64, section 65... [and other sexual offence sections] of the Bharatiya Nyaya Sanhita, 2023." [Source: Section 218, BNSS 2023]</t>
  </si>
  <si>
    <t xml:space="preserve">CASE_3456</t>
  </si>
  <si>
    <t xml:space="preserve">The consequence is that the Government retains control even after granting sanction, as it "may determine the person by whom, the manner in which... the prosecution... is to be conducted, and may specify the Court before which the trial is to be held." [Source: Section 218, BNSS 2023]</t>
  </si>
  <si>
    <t xml:space="preserve">CASE_3457</t>
  </si>
  <si>
    <t xml:space="preserve">Prosecution for offences against marriage</t>
  </si>
  <si>
    <t xml:space="preserve">No, for offences against marriage (like bigamy or deceitful marriage), the court can only take the case if the complaint is made by the "person aggrieved by the offence" (e.g., the victimized spouse), with some exceptions for relatives. [Source: Section 219, BNSS 2023]</t>
  </si>
  <si>
    <t xml:space="preserve">Hugging Face source record: BNSS_219</t>
  </si>
  <si>
    <t xml:space="preserve">CASE_3458</t>
  </si>
  <si>
    <t xml:space="preserve">Section 219 of BNSS 2023 dictates that offences against marriage (sections 81-84 BNS) can generally only be prosecuted upon a complaint by the "person aggrieved," barring strangers from interfering in matrimonial disputes. [Source: Section 219, BNSS 2023]</t>
  </si>
  <si>
    <t xml:space="preserve">CASE_3459</t>
  </si>
  <si>
    <t xml:space="preserve">No, under section 219, no Court shall take cognizance except upon a complaint made by "some person aggrieved by the offence." The neighbor is not an aggrieved person in this context. [Source: Section 219, BNSS 2023]</t>
  </si>
  <si>
    <t xml:space="preserve">CASE_3460</t>
  </si>
  <si>
    <t xml:space="preserve">"her father, mother, brother, sister, son or daughter or by her father's or mother's brother or sister, or, with the leave of the Court, by any other person related to her by blood, marriage or adoption." [Source: Section 219, BNSS 2023]</t>
  </si>
  <si>
    <t xml:space="preserve">CASE_3461</t>
  </si>
  <si>
    <t xml:space="preserve">No, sub-section (2) explicitly states: "no person other than the husband of the woman shall be deemed to be aggrieved by any offence punishable under section 84". [Source: Section 219, BNSS 2023]</t>
  </si>
  <si>
    <t xml:space="preserve">CASE_3462</t>
  </si>
  <si>
    <t xml:space="preserve">The consequence is that if a husband has sexual intercourse with his own wife who is under 18 (an offence under section 64 BNS), the court cannot take cognizance if more than one year has passed since the offence was committed, acting as a strict statute of limitations. [Source: Section 219, BNSS 2023]</t>
  </si>
  <si>
    <t xml:space="preserve">CASE_3463</t>
  </si>
  <si>
    <t xml:space="preserve">Prosecution of offences under section 85 of Bharatiya Nyaya Sanhita, 2023</t>
  </si>
  <si>
    <t xml:space="preserve">A court can take the case based on a police report, or a complaint made by the aggrieved woman herself, her parents, siblings, aunts/uncles, or with court permission, other relatives by blood, marriage, or adoption. [Source: Section 220, BNSS 2023]</t>
  </si>
  <si>
    <t xml:space="preserve">Hugging Face source record: BNSS_220</t>
  </si>
  <si>
    <t xml:space="preserve">CASE_3464</t>
  </si>
  <si>
    <t xml:space="preserve">Section 220 of BNSS 2023 regulates the initiation of prosecution for the offence of cruelty by a husband or his relatives (Section 85 BNS), specifying exactly who has the legal standing to file a complaint. [Source: Section 220, BNSS 2023]</t>
  </si>
  <si>
    <t xml:space="preserve">CASE_3465</t>
  </si>
  <si>
    <t xml:space="preserve">Yes, under section 220, cognizance can be taken "upon a complaint made by... her father, mother, brother, sister". The brother has legal standing to file. [Source: Section 220, BNSS 2023]</t>
  </si>
  <si>
    <t xml:space="preserve">CASE_3466</t>
  </si>
  <si>
    <t xml:space="preserve">"upon a police report of facts which constitute such offence" OR "upon a complaint made by the person aggrieved... or by her [specified relatives]". [Source: Section 220, BNSS 2023]</t>
  </si>
  <si>
    <t xml:space="preserve">CASE_3467</t>
  </si>
  <si>
    <t xml:space="preserve">No, the section restricts private complaints to the aggrieved person, specific close relatives, or "with the leave of the Court, by any other person related to her by blood, marriage or adoption." A non-relative friend does not have standing. [Source: Section 220, BNSS 2023]</t>
  </si>
  <si>
    <t xml:space="preserve">CASE_3468</t>
  </si>
  <si>
    <t xml:space="preserve">The consequence is that cruelty against women is treated as a severe societal issue, allowing state machinery (police) to investigate and prosecute it directly upon receiving information, rather than strictly relying on the victim or her family to initiate a private court battle. [Source: Section 220, BNSS 2023]</t>
  </si>
  <si>
    <t xml:space="preserve">CASE_3469</t>
  </si>
  <si>
    <t xml:space="preserve">Cognizance of offence</t>
  </si>
  <si>
    <t xml:space="preserve">The court can only start the case if the wife herself files a complaint against the husband, and the court is prima facie satisfied with the facts. [Source: Section 221, BNSS 2023]</t>
  </si>
  <si>
    <t xml:space="preserve">Hugging Face source record: BNSS_221</t>
  </si>
  <si>
    <t xml:space="preserve">CASE_3470</t>
  </si>
  <si>
    <t xml:space="preserve">Section 221 of BNSS 2023 specifically addresses the cognizance of an offence under section 67 BNS (sexual intercourse by a man with his wife during separation without consent), requiring a complaint by the wife. [Source: Section 221, BNSS 2023]</t>
  </si>
  <si>
    <t xml:space="preserve">CASE_3471</t>
  </si>
  <si>
    <t xml:space="preserve">No, under section 221, the Court shall not take cognizance "except upon prima facie satisfaction... upon a complaint having been filed or made by the wife against the husband." The sister cannot file it on her behalf. [Source: Section 221, BNSS 2023]</t>
  </si>
  <si>
    <t xml:space="preserve">CASE_3472</t>
  </si>
  <si>
    <t xml:space="preserve">"except upon prima facie satisfaction of the facts which constitute the offence". [Source: Section 221, BNSS 2023]</t>
  </si>
  <si>
    <t xml:space="preserve">CASE_3473</t>
  </si>
  <si>
    <t xml:space="preserve">No, the section strictly limits cognizance to instances where a complaint has been "filed or made by the wife against the husband," precluding state initiation via a police report. [Source: Section 221, BNSS 2023]</t>
  </si>
  <si>
    <t xml:space="preserve">CASE_3474</t>
  </si>
  <si>
    <t xml:space="preserve">The consequence is that it protects the highly private nature of marital separation, ensuring that criminal proceedings for this specific offence can only be triggered by the direct, autonomous decision of the aggrieved wife, preventing third-party interference. [Source: Section 221, BNSS 2023]</t>
  </si>
  <si>
    <t xml:space="preserve">CASE_3475</t>
  </si>
  <si>
    <t xml:space="preserve">Prosecution for defamation</t>
  </si>
  <si>
    <t xml:space="preserve">For a regular citizen, the "person aggrieved" (the person who was defamed) must personally make the complaint to the court. [Source: Section 222, BNSS 2023]</t>
  </si>
  <si>
    <t xml:space="preserve">Hugging Face source record: BNSS_222</t>
  </si>
  <si>
    <t xml:space="preserve">CASE_3476</t>
  </si>
  <si>
    <t xml:space="preserve">Section 222 of BNSS 2023 outlines the procedure for prosecuting defamation, establishing the general rule that only the aggrieved person can complain, but creating a special, direct-to-Sessions procedure for defaming high-ranking state officials. [Source: Section 222, BNSS 2023]</t>
  </si>
  <si>
    <t xml:space="preserve">CASE_3477</t>
  </si>
  <si>
    <t xml:space="preserve">No, under sub-section (2), when defamation is against the President regarding their public functions, "a Court of Session may take cognizance of such offence... upon a complaint in writing made by the Public Prosecutor." [Source: Section 222, BNSS 2023]</t>
  </si>
  <si>
    <t xml:space="preserve">CASE_3478</t>
  </si>
  <si>
    <t xml:space="preserve">The previous sanction "of the State Government". [Source: Section 222, BNSS 2023]</t>
  </si>
  <si>
    <t xml:space="preserve">CASE_3479</t>
  </si>
  <si>
    <t xml:space="preserve">No, sub-section (6) explicitly states: "Nothing in this section shall affect the right of the person... to make a complaint in respect of that offence before a Magistrate having jurisdiction". The public servant can still file a regular private complaint. [Source: Section 222, BNSS 2023]</t>
  </si>
  <si>
    <t xml:space="preserve">CASE_3480</t>
  </si>
  <si>
    <t xml:space="preserve">The consequence is that the special, expedited procedure of having a Public Prosecutor file directly in a Court of Session for defaming a public official is only available if initiated swiftly (within 6 months); otherwise, they must use the standard Magistrate complaint route. [Source: Section 222, BNSS 2023]</t>
  </si>
  <si>
    <t xml:space="preserve">CASE_3481</t>
  </si>
  <si>
    <t xml:space="preserve">Examination of complainant</t>
  </si>
  <si>
    <t xml:space="preserve">The Magistrate must examine the complainant and any witnesses present on oath, write down what they say, and have everyone sign it. Crucially, the Magistrate must also give the accused an opportunity to be heard before taking cognizance. [Source: Section 223, BNSS 2023]</t>
  </si>
  <si>
    <t xml:space="preserve">Hugging Face source record: BNSS_223</t>
  </si>
  <si>
    <t xml:space="preserve">CASE_3482</t>
  </si>
  <si>
    <t xml:space="preserve">Section 223 of BNSS 2023 mandates the examination of the complainant on oath, but importantly adds a new proviso that no cognizance shall be taken without first "giving the accused an opportunity of being heard," preventing ex-parte initiation of cases. [Source: Section 223, BNSS 2023]</t>
  </si>
  <si>
    <t xml:space="preserve">CASE_3483</t>
  </si>
  <si>
    <t xml:space="preserve">No, the first proviso strictly states that "no cognizance of an offence shall be taken by the Magistrate without giving the accused an opportunity of being heard." The Magistrate must give notice to the partner first. [Source: Section 223, BNSS 2023]</t>
  </si>
  <si>
    <t xml:space="preserve">CASE_3484</t>
  </si>
  <si>
    <t xml:space="preserve">(a) The public servant must be given an opportunity to make assertions about the situation, and (b) "a report containing facts and circumstances of the incident from the officer superior to such public servant is received." [Source: Section 223, BNSS 2023]</t>
  </si>
  <si>
    <t xml:space="preserve">CASE_3485</t>
  </si>
  <si>
    <t xml:space="preserve">No, under the second proviso, the Magistrate need not examine them if "a public servant acting or purporting to act in the discharge of his official duties or a Court has made the complaint," or if the Magistrate makes the case over to another Magistrate. [Source: Section 223, BNSS 2023]</t>
  </si>
  <si>
    <t xml:space="preserve">CASE_3486</t>
  </si>
  <si>
    <t xml:space="preserve">The consequence is an added layer of administrative scrutiny that protects public servants from frivolous or vindictive criminal complaints regarding their official acts, ensuring the court has institutional context before proceeding. [Source: Section 223, BNSS 2023]</t>
  </si>
  <si>
    <t xml:space="preserve">CASE_3487</t>
  </si>
  <si>
    <t xml:space="preserve">Procedure by Magistrate not competent to take cognizance of case</t>
  </si>
  <si>
    <t xml:space="preserve">The judge must return the written complaint to the person, write an endorsement on it stating it's being returned, and tell them to present it to the proper, competent court. [Source: Section 224, BNSS 2023]</t>
  </si>
  <si>
    <t xml:space="preserve">Hugging Face source record: BNSS_224</t>
  </si>
  <si>
    <t xml:space="preserve">CASE_3488</t>
  </si>
  <si>
    <t xml:space="preserve">Section 224 of BNSS 2023 instructs a Magistrate who receives a complaint they are not competent to take cognizance of (due to lack of territorial or subject-matter jurisdiction) to return it for presentation to the proper Court. [Source: Section 224, BNSS 2023]</t>
  </si>
  <si>
    <t xml:space="preserve">CASE_3489</t>
  </si>
  <si>
    <t xml:space="preserve">Under clause (b), because the complaint is not in writing, the Magistrate shall "direct the complainant to the proper Court." [Source: Section 224, BNSS 2023]</t>
  </si>
  <si>
    <t xml:space="preserve">CASE_3490</t>
  </si>
  <si>
    <t xml:space="preserve">The Magistrate must return it "with an endorsement to that effect" (i.e., writing on the complaint that it is being returned for lack of jurisdiction). [Source: Section 224, BNSS 2023]</t>
  </si>
  <si>
    <t xml:space="preserve">CASE_3491</t>
  </si>
  <si>
    <t xml:space="preserve">No, the section does not authorize dismissal on merits; it strictly mandates administrative routing—either returning the document or directing the person to the correct venue, preserving the complainant's right to seek justice. [Source: Section 224, BNSS 2023]</t>
  </si>
  <si>
    <t xml:space="preserve">CASE_3492</t>
  </si>
  <si>
    <t xml:space="preserve">The consequence is that it saves the complainant from having their case permanently dismissed due to a procedural filing error; instead, they are guided to the correct judicial forum to have their grievances heard. [Source: Section 224, BNSS 2023]</t>
  </si>
  <si>
    <t xml:space="preserve">CASE_3493</t>
  </si>
  <si>
    <t xml:space="preserve">Postponement of issue of process</t>
  </si>
  <si>
    <t xml:space="preserve">No, the Magistrate may (and must, if the accused lives outside their area) postpone issuing process to either inquire into the case themselves or order a police investigation to see if there's sufficient ground to proceed. [Source: Section 225, BNSS 2023]</t>
  </si>
  <si>
    <t xml:space="preserve">Hugging Face source record: BNSS_225</t>
  </si>
  <si>
    <t xml:space="preserve">CASE_3494</t>
  </si>
  <si>
    <t xml:space="preserve">Section 225 of BNSS 2023 authorizes a Magistrate to postpone the issue of process (summons/warrant) and conduct a preliminary inquiry or direct a police investigation to ascertain if there are sufficient grounds for proceeding with a complaint. [Source: Section 225, BNSS 2023]</t>
  </si>
  <si>
    <t xml:space="preserve">CASE_3495</t>
  </si>
  <si>
    <t xml:space="preserve">No, under sub-section (1), because "the accused is residing at a place beyond the area in which he exercises his jurisdiction," the Magistrate "shall... postpone the issue of process" and conduct an inquiry or order an investigation first. [Source: Section 225, BNSS 2023]</t>
  </si>
  <si>
    <t xml:space="preserve">CASE_3496</t>
  </si>
  <si>
    <t xml:space="preserve">"where it appears to the Magistrate that the offence complained of is triable exclusively by the Court of Session". [Source: Section 225, BNSS 2023]</t>
  </si>
  <si>
    <t xml:space="preserve">CASE_3497</t>
  </si>
  <si>
    <t xml:space="preserve">Under sub-section (3), they have all powers of an officer in charge of a police station "except the power to arrest without warrant." [Source: Section 225, BNSS 2023]</t>
  </si>
  <si>
    <t xml:space="preserve">CASE_3498</t>
  </si>
  <si>
    <t xml:space="preserve">The consequence is that it protects innocent people living in distant places from being harassed by frivolous or vindictive false complaints, forcing the complainant to establish a prima facie case before forcing the accused to travel across the country. [Source: Section 225, BNSS 2023]</t>
  </si>
  <si>
    <t xml:space="preserve">CASE_3499</t>
  </si>
  <si>
    <t xml:space="preserve">Dismissal of complaint</t>
  </si>
  <si>
    <t xml:space="preserve">The Magistrate shall dismiss the complaint and must briefly record the reasons for doing so. [Source: Section 226, BNSS 2023]</t>
  </si>
  <si>
    <t xml:space="preserve">Hugging Face source record: BNSS_226</t>
  </si>
  <si>
    <t xml:space="preserve">CASE_3500</t>
  </si>
  <si>
    <t xml:space="preserve">Section 226 of BNSS 2023 gives the Magistrate the power to dismiss a complaint at the pre-summoning stage if, after considering statements on oath and any preliminary inquiry/investigation results, there is no sufficient ground for proceeding. [Source: Section 226, BNSS 2023]</t>
  </si>
  <si>
    <t xml:space="preserve">CASE_3501</t>
  </si>
  <si>
    <t xml:space="preserve">The Magistrate should "dismiss the complaint" because there is "no sufficient ground for proceeding." Crucially, the Magistrate must "briefly record his reasons for so doing." [Source: Section 226, BNSS 2023]</t>
  </si>
  <si>
    <t xml:space="preserve">CASE_3502</t>
  </si>
  <si>
    <t xml:space="preserve">"the statements on oath (if any) of the complainant", "and of the witnesses", and "the result of the inquiry or investigation (if any) under section 225". [Source: Section 226, BNSS 2023]</t>
  </si>
  <si>
    <t xml:space="preserve">CASE_3503</t>
  </si>
  <si>
    <t xml:space="preserve">No, the section explicitly mandates that "in every such case he shall briefly record his reasons for so doing." A dismissal without recorded reasons would violate this rule. [Source: Section 226, BNSS 2023]</t>
  </si>
  <si>
    <t xml:space="preserve">CASE_3504</t>
  </si>
  <si>
    <t xml:space="preserve">The consequence is that the accused is entirely spared from the criminal process; they are not summoned, they do not have to appear in court, and they don't even have to hire a lawyer, as the case is thrown out before it officially begins for them. [Source: Section 226, BNSS 2023]</t>
  </si>
  <si>
    <t xml:space="preserve">CASE_3505</t>
  </si>
  <si>
    <t xml:space="preserve">Issue of process</t>
  </si>
  <si>
    <t xml:space="preserve">The Magistrate issues "process"—a summons for a summons-case, or a warrant (or summons) for a warrant-case—to compel the accused to appear in court. [Source: Section 227, BNSS 2023]</t>
  </si>
  <si>
    <t xml:space="preserve">Hugging Face source record: BNSS_227</t>
  </si>
  <si>
    <t xml:space="preserve">CASE_3506</t>
  </si>
  <si>
    <t xml:space="preserve">Section 227 of BNSS 2023 dictates the procedure for the "issue of process," where a Magistrate, upon finding sufficient ground to proceed, formally summons the accused or issues an arrest warrant depending on the severity of the case. [Source: Section 227, BNSS 2023]</t>
  </si>
  <si>
    <t xml:space="preserve">CASE_3507</t>
  </si>
  <si>
    <t xml:space="preserve">No, under sub-section (1)(a), if it appears to be a summons-case, the Magistrate "shall issue summons to the accused for his attendance." A warrant cannot be initially issued for a summons-case under this specific clause. [Source: Section 227, BNSS 2023]</t>
  </si>
  <si>
    <t xml:space="preserve">CASE_3508</t>
  </si>
  <si>
    <t xml:space="preserve">"a list of the prosecution witnesses has been filed." [Source: Section 227, BNSS 2023]</t>
  </si>
  <si>
    <t xml:space="preserve">CASE_3509</t>
  </si>
  <si>
    <t xml:space="preserve">Under sub-section (3), it "shall be accompanied by a copy of such complaint." [Source: Section 227, BNSS 2023]</t>
  </si>
  <si>
    <t xml:space="preserve">CASE_3510</t>
  </si>
  <si>
    <t xml:space="preserve">The consequence under sub-section (4) is that "no process shall be issued" and the Magistrate "may dismiss the complaint." [Source: Section 227, BNSS 2023]</t>
  </si>
  <si>
    <t xml:space="preserve">CASE_3511</t>
  </si>
  <si>
    <t xml:space="preserve">Magistrate may dispense with personal attendance of accused</t>
  </si>
  <si>
    <t xml:space="preserve">Not always. A Magistrate can dispense with the personal attendance of the accused and allow them to appear through their advocate instead. [Source: Section 228, BNSS 2023]</t>
  </si>
  <si>
    <t xml:space="preserve">Hugging Face source record: BNSS_228</t>
  </si>
  <si>
    <t xml:space="preserve">CASE_3512</t>
  </si>
  <si>
    <t xml:space="preserve">Section 228 of BNSS 2023 gives the Magistrate the discretion to dispense with the personal attendance of an accused person who has been summoned, permitting representation by an advocate. [Source: Section 228, BNSS 2023]</t>
  </si>
  <si>
    <t xml:space="preserve">CASE_3513</t>
  </si>
  <si>
    <t xml:space="preserve">Yes, under sub-section (2), the Magistrate may "at any stage of the proceedings, direct the personal attendance of the accused, and, if necessary, enforce such attendance". [Source: Section 228, BNSS 2023]</t>
  </si>
  <si>
    <t xml:space="preserve">CASE_3514</t>
  </si>
  <si>
    <t xml:space="preserve">"Whenever a Magistrate issues a summons". (This generally implies it's not applicable if a warrant was issued). [Source: Section 228, BNSS 2023]</t>
  </si>
  <si>
    <t xml:space="preserve">CASE_3515</t>
  </si>
  <si>
    <t xml:space="preserve">No, it is entirely at the Magistrate's discretion ("if he sees reason so to do"), and that exemption can be revoked at any time under sub-section (2). [Source: Section 228, BNSS 2023]</t>
  </si>
  <si>
    <t xml:space="preserve">CASE_3516</t>
  </si>
  <si>
    <t xml:space="preserve">The consequence is that it prevents minor criminal proceedings from being used as a tool for harassment by forcing unnecessary, time-consuming physical court appearances, allowing the legal process to continue via counsel. [Source: Section 228, BNSS 2023]</t>
  </si>
  <si>
    <t xml:space="preserve">CASE_3517</t>
  </si>
  <si>
    <t xml:space="preserve">Special summons in cases of petty offence</t>
  </si>
  <si>
    <t xml:space="preserve">For petty offences (fine under ₹5000), the Magistrate can issue a "special summons" allowing the accused to plead guilty by mail or through a lawyer and just pay the fine without ever physically going to court. [Source: Section 229, BNSS 2023]</t>
  </si>
  <si>
    <t xml:space="preserve">Hugging Face source record: BNSS_229</t>
  </si>
  <si>
    <t xml:space="preserve">CASE_3518</t>
  </si>
  <si>
    <t xml:space="preserve">Section 229 of BNSS 2023 introduces a streamlined "special summons" procedure for petty offences, enabling accused persons to plead guilty and remit fines via post/messenger or an advocate without personal court attendance. [Source: Section 229, BNSS 2023]</t>
  </si>
  <si>
    <t xml:space="preserve">CASE_3519</t>
  </si>
  <si>
    <t xml:space="preserve">He can "transmit before the specified date, by post or by messenger to the Magistrate, the said plea in writing and the amount of fine specified in the summons." [Source: Section 229, BNSS 2023]</t>
  </si>
  <si>
    <t xml:space="preserve">CASE_3520</t>
  </si>
  <si>
    <t xml:space="preserve">Any offence punishable only with fine "not exceeding five thousand rupees". [Source: Section 229, BNSS 2023]</t>
  </si>
  <si>
    <t xml:space="preserve">CASE_3521</t>
  </si>
  <si>
    <t xml:space="preserve">No, sub-section (2) explicitly states that "petty offence... does not include any offence so punishable under the Motor Vehicles Act, 1988... or under any other law which provides for convicting the accused person in his absence on a plea of guilty." [Source: Section 229, BNSS 2023]</t>
  </si>
  <si>
    <t xml:space="preserve">CASE_3522</t>
  </si>
  <si>
    <t xml:space="preserve">The consequence is a massive reduction in the backlog of minor cases clogging the lower courts, saving judicial time while still enforcing penalties for minor infractions. [Source: Section 229, BNSS 2023]</t>
  </si>
  <si>
    <t xml:space="preserve">CASE_3523</t>
  </si>
  <si>
    <t xml:space="preserve">Supply to accused of copy of police report and other documents</t>
  </si>
  <si>
    <t xml:space="preserve">The accused (and victim) must be given free copies of the police report, the FIR, witness statements, confessions, and any other relevant documents submitted by the police within 14 days. [Source: Section 230, BNSS 2023]</t>
  </si>
  <si>
    <t xml:space="preserve">Hugging Face source record: BNSS_230</t>
  </si>
  <si>
    <t xml:space="preserve">CASE_3524</t>
  </si>
  <si>
    <t xml:space="preserve">Section 230 of BNSS 2023 mandates that the Magistrate must supply the accused and the victim (free of cost and within 14 days) with copies of the police report, FIR, witness statements, and confessions to ensure a fair trial. [Source: Section 230, BNSS 2023]</t>
  </si>
  <si>
    <t xml:space="preserve">CASE_3525</t>
  </si>
  <si>
    <t xml:space="preserve">No, under the second proviso, if the document is voluminous, the Magistrate "may furnish the copies through electronic means or direct that he will only be allowed to inspect it either personally or through an advocate in Court." Furthermore, the third proviso states "supply of documents in electronic form shall be considered as duly furnished." [Source: Section 230, BNSS 2023]</t>
  </si>
  <si>
    <t xml:space="preserve">CASE_3526</t>
  </si>
  <si>
    <t xml:space="preserve">"without delay, and in no case beyond fourteen days from the date of production or appearance of the accused". [Source: Section 230, BNSS 2023]</t>
  </si>
  <si>
    <t xml:space="preserve">CASE_3527</t>
  </si>
  <si>
    <t xml:space="preserve">No, under clause (iii) and the first proviso, the Magistrate may exclude a part of a statement if the police officer made a request for exclusion (under section 193(7)) and the Magistrate finds the reasons proper. [Source: Section 230, BNSS 2023]</t>
  </si>
  <si>
    <t xml:space="preserve">CASE_3528</t>
  </si>
  <si>
    <t xml:space="preserve">The consequence is the protection of the right to a fair trial and the right to defend oneself; it prevents "trial by ambush" by ensuring the accused knows exactly what evidence the state plans to use against them well before the trial begins. [Source: Section 230, BNSS 2023]</t>
  </si>
  <si>
    <t xml:space="preserve">CASE_3529</t>
  </si>
  <si>
    <t xml:space="preserve">Supply of copies of statements and documents to accused in other cases triable by Court of</t>
  </si>
  <si>
    <t xml:space="preserve">The Magistrate must give the accused free copies of the sworn statements of the complainant and witnesses, any recorded confessions, and any documents the prosecution plans to rely on. [Source: Section 231, BNSS 2023]</t>
  </si>
  <si>
    <t xml:space="preserve">Hugging Face source record: BNSS_231</t>
  </si>
  <si>
    <t xml:space="preserve">CASE_3530</t>
  </si>
  <si>
    <t xml:space="preserve">Section 231 of BNSS 2023 outlines the procedure for supplying documents to the accused in a complaint case (instituted otherwise than on a police report) when the offence is triable exclusively by the Court of Session. [Source: Section 231, BNSS 2023]</t>
  </si>
  <si>
    <t xml:space="preserve">CASE_3531</t>
  </si>
  <si>
    <t xml:space="preserve">Yes, under section 231, the Magistrate shall furnish to the accused "the statements recorded under section 223 or section 225, of all persons examined by the Magistrate." [Source: Section 231, BNSS 2023]</t>
  </si>
  <si>
    <t xml:space="preserve">CASE_3532</t>
  </si>
  <si>
    <t xml:space="preserve">"the statements and confessions, if any, recorded under section 180 or section 183". [Source: Section 231, BNSS 2023]</t>
  </si>
  <si>
    <t xml:space="preserve">CASE_3533</t>
  </si>
  <si>
    <t xml:space="preserve">No, the first proviso states that if the document is "voluminous", the Magistrate can instead direct that the accused "will only be allowed to inspect it either personally or through an advocate in Court." Or provide it electronically as per the second proviso. [Source: Section 231, BNSS 2023]</t>
  </si>
  <si>
    <t xml:space="preserve">CASE_3534</t>
  </si>
  <si>
    <t xml:space="preserve">The consequence is parity with police report cases; it ensures that even in private complaint cases involving serious crimes, the accused is fully aware of the evidentiary basis of the charges before facing trial in the higher Court of Session. [Source: Section 231, BNSS 2023]</t>
  </si>
  <si>
    <t xml:space="preserve">CASE_3535</t>
  </si>
  <si>
    <t xml:space="preserve">Commitment of case to Court of Session when offence is triable exclusively by it</t>
  </si>
  <si>
    <t xml:space="preserve">The lower Magistrate handles the initial paperwork, gives the accused the necessary documents, remands the accused to custody (or bail), and then formally "commits" (transfers) the case record to the Court of Session. [Source: Section 232, BNSS 2023]</t>
  </si>
  <si>
    <t xml:space="preserve">Hugging Face source record: BNSS_232</t>
  </si>
  <si>
    <t xml:space="preserve">CASE_3536</t>
  </si>
  <si>
    <t xml:space="preserve">Section 232 of BNSS 2023 governs the "committal" proceedings, where a Magistrate, recognizing an offence is exclusively triable by the Court of Session, formally transfers the case, the accused, and the evidence to that higher court. [Source: Section 232, BNSS 2023]</t>
  </si>
  <si>
    <t xml:space="preserve">CASE_3537</t>
  </si>
  <si>
    <t xml:space="preserve">Under the second proviso, "any application filed before the Magistrate... shall be forwarded to the Court of Session with the committal of the case." The Magistrate should send it up to the Sessions Judge. [Source: Section 232, BNSS 2023]</t>
  </si>
  <si>
    <t xml:space="preserve">CASE_3538</t>
  </si>
  <si>
    <t xml:space="preserve">"within a period of ninety days from the date of taking cognizance". [Source: Section 232, BNSS 2023]</t>
  </si>
  <si>
    <t xml:space="preserve">CASE_3539</t>
  </si>
  <si>
    <t xml:space="preserve">Yes, the first proviso states "such period may be extended by the Magistrate for a period not exceeding one hundred and eighty days for the reasons to be recorded in writing". [Source: Section 232, BNSS 2023]</t>
  </si>
  <si>
    <t xml:space="preserve">CASE_3540</t>
  </si>
  <si>
    <t xml:space="preserve">The consequence is that once committed, the Magistrate's authority to grant temporary remand ends; the Magistrate remands the accused to custody "during, and until the conclusion of, the trial" (subject to bail provisions), placing their continued custody under the authority of the Sessions Court. [Source: Section 232, BNSS 2023]</t>
  </si>
  <si>
    <t xml:space="preserve">CASE_3541</t>
  </si>
  <si>
    <t xml:space="preserve">Procedure to be followed when there is a complaint case and police investigation in respect</t>
  </si>
  <si>
    <t xml:space="preserve">The Magistrate stops the private complaint case, asks the police for a report, and if the police eventually file charges against the same person, the Magistrate merges the private case and the police case and tries them together. [Source: Section 233, BNSS 2023]</t>
  </si>
  <si>
    <t xml:space="preserve">Hugging Face source record: BNSS_233</t>
  </si>
  <si>
    <t xml:space="preserve">CASE_3542</t>
  </si>
  <si>
    <t xml:space="preserve">Section 233 of BNSS 2023 resolves the conflict of parallel proceedings by outlining the procedure to merge a private complaint case with an ongoing police investigation regarding the same offence. [Source: Section 233, BNSS 2023]</t>
  </si>
  <si>
    <t xml:space="preserve">CASE_3543</t>
  </si>
  <si>
    <t xml:space="preserve">Under sub-section (1), the Magistrate "shall stay the proceedings of such inquiry or trial and call for a report on the matter from the police officer conducting the investigation." [Source: Section 233, BNSS 2023]</t>
  </si>
  <si>
    <t xml:space="preserve">CASE_3544</t>
  </si>
  <si>
    <t xml:space="preserve">Under sub-section (2), the Magistrate "shall inquire into or try together the complaint case and the case arising out of the police report as if both the cases were instituted on a police report." [Source: Section 233, BNSS 2023]</t>
  </si>
  <si>
    <t xml:space="preserve">CASE_3545</t>
  </si>
  <si>
    <t xml:space="preserve">Under sub-section (3), if the Magistrate "does not take cognizance of any offence on the police report, he shall proceed with the inquiry or trial, which was stayed by him" (i.e., resume the private complaint case). [Source: Section 233, BNSS 2023]</t>
  </si>
  <si>
    <t xml:space="preserve">CASE_3546</t>
  </si>
  <si>
    <t xml:space="preserve">The consequence is judicial efficiency and the prevention of conflicting judgments; it ensures the accused doesn't face double jeopardy by having to defend themselves in two separate trials for the exact same set of facts. [Source: Section 233, BNSS 2023]</t>
  </si>
  <si>
    <t xml:space="preserve">CASE_3547</t>
  </si>
  <si>
    <t xml:space="preserve">Contents of charge</t>
  </si>
  <si>
    <t xml:space="preserve">The court drafts a formal "charge" that states the specific offence, the name of the law, the section number, and enough details about the offence to give the accused clear notice of what they are accused of. [Source: Section 234, BNSS 2023]</t>
  </si>
  <si>
    <t xml:space="preserve">Hugging Face source record: BNSS_234</t>
  </si>
  <si>
    <t xml:space="preserve">CASE_3548</t>
  </si>
  <si>
    <t xml:space="preserve">Section 234 of BNSS 2023 defines the contents of a formal "charge," outlining that it must specify the offence, the law, the section, and the necessary legal conditions to ensure the accused understands the allegations against them. [Source: Section 234, BNSS 2023]</t>
  </si>
  <si>
    <t xml:space="preserve">CASE_3549</t>
  </si>
  <si>
    <t xml:space="preserve">No, under sub-section (5) and Illustration (a), the mere fact that the charge is made "is equivalent to a statement that every legal condition required by law to constitute the offence charged was fulfilled," which includes the absence of general exceptions like self-defense. [Source: Section 234, BNSS 2023]</t>
  </si>
  <si>
    <t xml:space="preserve">CASE_3550</t>
  </si>
  <si>
    <t xml:space="preserve">"so much of the definition of the offence must be stated as to give the accused notice of the matter with which he is charged." [Source: Section 234, BNSS 2023]</t>
  </si>
  <si>
    <t xml:space="preserve">CASE_3551</t>
  </si>
  <si>
    <t xml:space="preserve">Under sub-section (7), the "fact, date and place of the previous conviction shall be stated in the charge." However, if omitted, the Court may add it "at any time before sentence is passed." [Source: Section 234, BNSS 2023]</t>
  </si>
  <si>
    <t xml:space="preserve">CASE_3552</t>
  </si>
  <si>
    <t xml:space="preserve">The consequence is that it sets the strict boundaries of the trial; it crystallizes the accusations so the accused can prepare a focused defense, and the prosecution is generally restricted to proving only what is stated in the charge. [Source: Section 234, BNSS 2023]</t>
  </si>
  <si>
    <t xml:space="preserve">CASE_3553</t>
  </si>
  <si>
    <t xml:space="preserve">Particulars as to time, place and person</t>
  </si>
  <si>
    <t xml:space="preserve">The charge must contain details about the time, the place, the person against whom the offence was committed, and the thing in respect of which it was committed, to give the accused sufficient notice. [Source: Section 235, BNSS 2023]</t>
  </si>
  <si>
    <t xml:space="preserve">Hugging Face source record: BNSS_235</t>
  </si>
  <si>
    <t xml:space="preserve">CASE_3554</t>
  </si>
  <si>
    <t xml:space="preserve">Section 235 of BNSS 2023 mandates that a charge must contain reasonably sufficient particulars regarding the time, place, and person/thing involved in the alleged offence to give the accused clear notice of the allegations. [Source: Section 235, BNSS 2023]</t>
  </si>
  <si>
    <t xml:space="preserve">CASE_3555</t>
  </si>
  <si>
    <t xml:space="preserve">No, under sub-section (2), for criminal breach of trust or misappropriation, "it shall be sufficient to specify the gross sum... and the dates between which the offence is alleged to have been committed, without specifying particular items or exact dates". [Source: Section 235, BNSS 2023]</t>
  </si>
  <si>
    <t xml:space="preserve">CASE_3556</t>
  </si>
  <si>
    <t xml:space="preserve">The proviso states that the time included "shall not exceed one year." [Source: Section 235, BNSS 2023]</t>
  </si>
  <si>
    <t xml:space="preserve">CASE_3557</t>
  </si>
  <si>
    <t xml:space="preserve">Yes, sub-section (2) explicitly covers "dishonest misappropriation of money or other movable property" and allows the charge to "describe the movable property" in respect of which the offence was committed over that time frame. [Source: Section 235, BNSS 2023]</t>
  </si>
  <si>
    <t xml:space="preserve">CASE_3558</t>
  </si>
  <si>
    <t xml:space="preserve">The consequence is that it prevents complex embezzlement cases from failing due to minor technical errors in pinpointing the exact day a specific hundred rupees was stolen out of a massive multi-month fraud, streamlining the prosecution of white-collar crime. [Source: Section 235, BNSS 2023]</t>
  </si>
  <si>
    <t xml:space="preserve">CASE_3559</t>
  </si>
  <si>
    <t xml:space="preserve">When manner of committing offence must be stated</t>
  </si>
  <si>
    <t xml:space="preserve">The charge must explain the manner in which the offence was committed only when simply stating the time, place, and person isn't enough to give the accused clear notice of what they actually did wrong. [Source: Section 236, BNSS 2023]</t>
  </si>
  <si>
    <t xml:space="preserve">Hugging Face source record: BNSS_236</t>
  </si>
  <si>
    <t xml:space="preserve">CASE_3560</t>
  </si>
  <si>
    <t xml:space="preserve">Section 236 of BNSS 2023 requires that when the standard particulars (time, place, person) do not give sufficient notice of the allegation (e.g., in cheating or perjury), the charge must also state the specific *manner* in which the offence was committed. [Source: Section 236, BNSS 2023]</t>
  </si>
  <si>
    <t xml:space="preserve">CASE_3561</t>
  </si>
  <si>
    <t xml:space="preserve">No, per Illustration (b), if A is accused of cheating B at a given time and place, "The charge must set out the manner in which A cheated B." Just saying "cheated" does not give sufficient notice. [Source: Section 236, BNSS 2023]</t>
  </si>
  <si>
    <t xml:space="preserve">CASE_3562</t>
  </si>
  <si>
    <t xml:space="preserve">It must be stated "When the nature of the case is such that the particulars mentioned in sections 234 and 235 do not give the accused sufficient notice of the matter with which he is charged". [Source: Section 236, BNSS 2023]</t>
  </si>
  <si>
    <t xml:space="preserve">CASE_3563</t>
  </si>
  <si>
    <t xml:space="preserve">No, Illustration (e) explicitly states: "A is accused of the murder of B at a given time and place. The charge need not state the manner in which A murdered B." The word "murder" itself usually provides sufficient notice. [Source: Section 236, BNSS 2023]</t>
  </si>
  <si>
    <t xml:space="preserve">CASE_3564</t>
  </si>
  <si>
    <t xml:space="preserve">The consequence is that the accused is protected from vague allegations in complex crimes (like fraud or obstruction), ensuring they know exactly what acts they need to defend against before the trial begins. [Source: Section 236, BNSS 2023]</t>
  </si>
  <si>
    <t xml:space="preserve">CASE_3565</t>
  </si>
  <si>
    <t xml:space="preserve">Words in charge taken in sense of law under which offence is punishable</t>
  </si>
  <si>
    <t xml:space="preserve">The words used in a charge are legally deemed to have the exact meaning given to them by the specific law that punishes that offence. [Source: Section 237, BNSS 2023]</t>
  </si>
  <si>
    <t xml:space="preserve">Hugging Face source record: BNSS_237</t>
  </si>
  <si>
    <t xml:space="preserve">CASE_3566</t>
  </si>
  <si>
    <t xml:space="preserve">Section 237 of BNSS 2023 establishes the rule of statutory interpretation for charges: any word used to describe an offence in a charge carries the specific legal definition attached to it by the penal statute, not necessarily its common English meaning. [Source: Section 237, BNSS 2023]</t>
  </si>
  <si>
    <t xml:space="preserve">CASE_3567</t>
  </si>
  <si>
    <t xml:space="preserve">The court is bound to use the strict legal definition in the BNS. Under section 237, the word "theft" in the charge is deemed to be used "in the sense attached to them respectively by the law under which such offence is punishable." [Source: Section 237, BNSS 2023]</t>
  </si>
  <si>
    <t xml:space="preserve">CASE_3568</t>
  </si>
  <si>
    <t xml:space="preserve">"the law under which such offence is punishable." [Source: Section 237, BNSS 2023]</t>
  </si>
  <si>
    <t xml:space="preserve">CASE_3569</t>
  </si>
  <si>
    <t xml:space="preserve">No, section 237 creates a strict legal fiction ("shall be deemed") that ties the words in the charge directly to their penal statute definitions, preventing the prosecution from shifting to a broader, non-legal meaning later. [Source: Section 237, BNSS 2023]</t>
  </si>
  <si>
    <t xml:space="preserve">CASE_3570</t>
  </si>
  <si>
    <t xml:space="preserve">The consequence is certainty and precision in criminal trials; the accused knows exactly what legal elements the prosecution must prove, preventing convictions based on colloquial or loose interpretations of criminal terminology. [Source: Section 237, BNSS 2023]</t>
  </si>
  <si>
    <t xml:space="preserve">CASE_3571</t>
  </si>
  <si>
    <t xml:space="preserve">Effect of errors</t>
  </si>
  <si>
    <t xml:space="preserve">No, an error or omission in a charge is only considered important if it actually misled the accused and caused a failure of justice. Minor typos don't ruin the trial. [Source: Section 238, BNSS 2023]</t>
  </si>
  <si>
    <t xml:space="preserve">Hugging Face source record: BNSS_238</t>
  </si>
  <si>
    <t xml:space="preserve">CASE_3572</t>
  </si>
  <si>
    <t xml:space="preserve">Section 238 of BNSS 2023 embodies the principle of curability of formal defects, stating that errors or omissions in a charge are not material unless they actually mislead the accused and occasion a failure of justice. [Source: Section 238, BNSS 2023]</t>
  </si>
  <si>
    <t xml:space="preserve">CASE_3573</t>
  </si>
  <si>
    <t xml:space="preserve">No, per Illustration (d), because he knew exactly which murder was being tried and brought the right witnesses, the Court may infer "that A was not misled, and that the error in the charge was immaterial." [Source: Section 238, BNSS 2023]</t>
  </si>
  <si>
    <t xml:space="preserve">CASE_3574</t>
  </si>
  <si>
    <t xml:space="preserve">It is material only if "the accused was in fact misled by such error or omission, AND it has occasioned a failure of justice." [Source: Section 238, BNSS 2023]</t>
  </si>
  <si>
    <t xml:space="preserve">CASE_3575</t>
  </si>
  <si>
    <t xml:space="preserve">In this situation, per Illustration (c), because he had no means of knowing and offered no defense, the Court may infer the omission "was, in the case, a material error," meaning it is an exception to the general rule of curability. [Source: Section 238, BNSS 2023]</t>
  </si>
  <si>
    <t xml:space="preserve">CASE_3576</t>
  </si>
  <si>
    <t xml:space="preserve">The consequence is the prevention of guilty parties escaping punishment on pure technicalities (like a misspelled name or wrong date) when they perfectly understood the allegations against them and had a fair opportunity to defend themselves. [Source: Section 238, BNSS 2023]</t>
  </si>
  <si>
    <t xml:space="preserve">CASE_3577</t>
  </si>
  <si>
    <t xml:space="preserve">Court may alter charge</t>
  </si>
  <si>
    <t xml:space="preserve">Yes, the court can alter or add to any charge at any time before the final judgment is pronounced, as long as they read and explain the new charge to the accused. [Source: Section 239, BNSS 2023]</t>
  </si>
  <si>
    <t xml:space="preserve">Hugging Face source record: BNSS_239</t>
  </si>
  <si>
    <t xml:space="preserve">CASE_3578</t>
  </si>
  <si>
    <t xml:space="preserve">Section 239 of BNSS 2023 grants the Court broad power to alter or add to charges at any stage before judgment, while outlining procedures to ensure neither the defense nor prosecution is prejudiced by the late change. [Source: Section 239, BNSS 2023]</t>
  </si>
  <si>
    <t xml:space="preserve">CASE_3579</t>
  </si>
  <si>
    <t xml:space="preserve">Under sub-section (4), if proceeding immediately is likely to prejudice the accused, "the Court may either direct a new trial or adjourn the trial for such period as may be necessary." [Source: Section 239, BNSS 2023]</t>
  </si>
  <si>
    <t xml:space="preserve">CASE_3580</t>
  </si>
  <si>
    <t xml:space="preserve">"Every such alteration or addition shall be read and explained to the accused." [Source: Section 239, BNSS 2023]</t>
  </si>
  <si>
    <t xml:space="preserve">CASE_3581</t>
  </si>
  <si>
    <t xml:space="preserve">No, under sub-section (5), if the altered charge requires previous sanction, "the case shall not be proceeded with until such sanction is obtained," unless sanction was already obtained on the same facts. [Source: Section 239, BNSS 2023]</t>
  </si>
  <si>
    <t xml:space="preserve">CASE_3582</t>
  </si>
  <si>
    <t xml:space="preserve">The consequence is flexibility; it allows the court to adapt the legal framework of the trial to match the actual evidence that emerges during witness testimony, preventing a mistrial simply because the initial police paperwork categorized the crime incorrectly. [Source: Section 239, BNSS 2023]</t>
  </si>
  <si>
    <t xml:space="preserve">CASE_3583</t>
  </si>
  <si>
    <t xml:space="preserve">Recall of witnesses when charge altered</t>
  </si>
  <si>
    <t xml:space="preserve">Yes, whenever a charge is altered, both the prosecutor and the accused must be allowed to recall and re-examine witnesses who have already testified, specifically regarding the new charge. [Source: Section 240, BNSS 2023]</t>
  </si>
  <si>
    <t xml:space="preserve">Hugging Face source record: BNSS_240</t>
  </si>
  <si>
    <t xml:space="preserve">CASE_3584</t>
  </si>
  <si>
    <t xml:space="preserve">Section 240 of BNSS 2023 guarantees the right of both the prosecution and defense to recall, re-summon, and examine previous witnesses, and to call new material witnesses, whenever a charge is altered after the trial begins. [Source: Section 240, BNSS 2023]</t>
  </si>
  <si>
    <t xml:space="preserve">CASE_3585</t>
  </si>
  <si>
    <t xml:space="preserve">The judge generally must allow it under section 240(a), unless the Court records in writing that the recall is purely "for the purpose of vexation or delay or for defeating the ends of justice." Denying it just because they already testified is improper. [Source: Section 240, BNSS 2023]</t>
  </si>
  <si>
    <t xml:space="preserve">CASE_3586</t>
  </si>
  <si>
    <t xml:space="preserve">The right "also to call any further witness whom the Court may think to be material." [Source: Section 240, BNSS 2023]</t>
  </si>
  <si>
    <t xml:space="preserve">CASE_3587</t>
  </si>
  <si>
    <t xml:space="preserve">No, the Court can refuse the recall if it records in writing that the party "desires to recall or re-examine such witness for the purpose of vexation or delay or for defeating the ends of justice". [Source: Section 240, BNSS 2023]</t>
  </si>
  <si>
    <t xml:space="preserve">CASE_3588</t>
  </si>
  <si>
    <t xml:space="preserve">The consequence is the preservation of the right to a fair trial and effective cross-examination; if the accusations change, the defense must have the opportunity to test the evidence against the *new* allegations, not just the old ones. [Source: Section 240, BNSS 2023]</t>
  </si>
  <si>
    <t xml:space="preserve">CASE_3589</t>
  </si>
  <si>
    <t xml:space="preserve">Separate charges for distinct offences</t>
  </si>
  <si>
    <t xml:space="preserve">The general rule is that for every distinct offence, there must be a separate charge and a separate trial. (However, the accused can request a joint trial in writing if it won't prejudice them). [Source: Section 241, BNSS 2023]</t>
  </si>
  <si>
    <t xml:space="preserve">Hugging Face source record: BNSS_241</t>
  </si>
  <si>
    <t xml:space="preserve">CASE_3590</t>
  </si>
  <si>
    <t xml:space="preserve">Section 241 of BNSS 2023 establishes the general rule against the joinder of charges: every distinct offence must be charged separately and tried separately, preventing the jury/judge from being prejudiced by an accumulation of unrelated accusations. [Source: Section 241, BNSS 2023]</t>
  </si>
  <si>
    <t xml:space="preserve">CASE_3591</t>
  </si>
  <si>
    <t xml:space="preserve">No, under section 241 and its Illustration, "A must be separately charged and separately tried for the theft and causing grievous hurt" because they are distinct offences. [Source: Section 241, BNSS 2023]</t>
  </si>
  <si>
    <t xml:space="preserve">CASE_3592</t>
  </si>
  <si>
    <t xml:space="preserve">(1) The accused person must desire it "by an application in writing," and (2) the Magistrate must be "of opinion that such person is not likely to be prejudiced thereby". [Source: Section 241, BNSS 2023]</t>
  </si>
  <si>
    <t xml:space="preserve">CASE_3593</t>
  </si>
  <si>
    <t xml:space="preserve">No, sub-section (2) explicitly states that nothing in this section shall affect the operation of sections 242, 243, 244, and 246, which specifically provide statutory exceptions allowing joinder of charges (e.g., same kind of offences within a year, same transaction). [Source: Section 241, BNSS 2023]</t>
  </si>
  <si>
    <t xml:space="preserve">CASE_3594</t>
  </si>
  <si>
    <t xml:space="preserve">The consequence is preventing prejudice against the accused; if unrelated crimes were tried together, the judge might infer the accused has a generally criminal character, leading to a conviction based on cumulative suspicion rather than specific proof for each distinct charge. [Source: Section 241, BNSS 2023]</t>
  </si>
  <si>
    <t xml:space="preserve">CASE_3595</t>
  </si>
  <si>
    <t xml:space="preserve">Offences of same kind within year may be charged together</t>
  </si>
  <si>
    <t xml:space="preserve">Yes, if a person commits multiple offences of the "same kind" (like multiple thefts) within a 12-month period, they can be charged and tried for up to five of them in a single trial. [Source: Section 242, BNSS 2023]</t>
  </si>
  <si>
    <t xml:space="preserve">Hugging Face source record: BNSS_242</t>
  </si>
  <si>
    <t xml:space="preserve">CASE_3596</t>
  </si>
  <si>
    <t xml:space="preserve">Section 242 of BNSS 2023 provides an exception for joinder of charges based on similarity and time: up to five offences of the same kind committed within 12 months can be tried together in one trial. [Source: Section 242, BNSS 2023]</t>
  </si>
  <si>
    <t xml:space="preserve">CASE_3597</t>
  </si>
  <si>
    <t xml:space="preserve">Yes, under section 242, because the offences are of the "same kind" (theft) and were committed "within the space of twelve months," he may be tried at one trial for all three. [Source: Section 242, BNSS 2023]</t>
  </si>
  <si>
    <t xml:space="preserve">CASE_3598</t>
  </si>
  <si>
    <t xml:space="preserve">"any number of them not exceeding five." [Source: Section 242, BNSS 2023]</t>
  </si>
  <si>
    <t xml:space="preserve">CASE_3599</t>
  </si>
  <si>
    <t xml:space="preserve">No, under sub-section (2), offences are of the same kind only when they are "punishable with the same amount of punishment under the same section of the Bharatiya Nyaya Sanhita... or of any special or local law". Robbery and theft fall under different sections. [Source: Section 242, BNSS 2023]</t>
  </si>
  <si>
    <t xml:space="preserve">CASE_3600</t>
  </si>
  <si>
    <t xml:space="preserve">The consequence is significant judicial efficiency; it prevents courts from being bogged down by multiple separate trials for a serial offender (like a chronic embezzler or pickpocket) when the evidence and nature of the crimes are highly repetitive. [Source: Section 242, BNSS 2023]</t>
  </si>
  <si>
    <t xml:space="preserve">CASE_3601</t>
  </si>
  <si>
    <t xml:space="preserve">Trial for more than one offence</t>
  </si>
  <si>
    <t xml:space="preserve">No, if a series of acts are so connected that they form the "same transaction," all the different offences committed during that transaction can be charged and tried together in one single trial. [Source: Section 243, BNSS 2023]</t>
  </si>
  <si>
    <t xml:space="preserve">Hugging Face source record: BNSS_243</t>
  </si>
  <si>
    <t xml:space="preserve">CASE_3602</t>
  </si>
  <si>
    <t xml:space="preserve">Section 243 of BNSS 2023 details the "same transaction" exception, allowing joinder of multiple different offences committed by the same person if the acts are so connected as to form a single continuous transaction, or if the acts fall under multiple definitions of offences. [Source: Section 243, BNSS 2023]</t>
  </si>
  <si>
    <t xml:space="preserve">CASE_3603</t>
  </si>
  <si>
    <t xml:space="preserve">Yes, because the house-breaking and the stabbing form "one series of acts so connected together as to form the same transaction," he may be charged and tried at one trial for every such offence under sub-section (1). [Source: Section 243, BNSS 2023]</t>
  </si>
  <si>
    <t xml:space="preserve">CASE_3604</t>
  </si>
  <si>
    <t xml:space="preserve">"one or more offences of falsification of accounts". [Source: Section 243, BNSS 2023]</t>
  </si>
  <si>
    <t xml:space="preserve">CASE_3605</t>
  </si>
  <si>
    <t xml:space="preserve">No, under sub-section (3), if acts constitute an offence falling within two or more separate definitions, "the person accused of them may be charged with, and tried at one trial for, each of such offences." [Source: Section 243, BNSS 2023]</t>
  </si>
  <si>
    <t xml:space="preserve">CASE_3606</t>
  </si>
  <si>
    <t xml:space="preserve">The consequence is that prosecutors can present the entire narrative of a complex criminal event in one cohesive trial, allowing the judge/jury to understand the full context without arbitrarily splitting up witness testimony across multiple disjointed proceedings. [Source: Section 243, BNSS 2023]</t>
  </si>
  <si>
    <t xml:space="preserve">CASE_3607</t>
  </si>
  <si>
    <t xml:space="preserve">Where it is doubtful what offence has been committed</t>
  </si>
  <si>
    <t xml:space="preserve">The court can charge the person with *all* the possible offences, or charge them in the alternative (e.g., "you committed theft OR you received stolen property"), and the court will convict based on what the evidence ultimately proves. [Source: Section 244, BNSS 2023]</t>
  </si>
  <si>
    <t xml:space="preserve">Hugging Face source record: BNSS_244</t>
  </si>
  <si>
    <t xml:space="preserve">CASE_3608</t>
  </si>
  <si>
    <t xml:space="preserve">Section 244 of BNSS 2023 solves the dilemma of legal ambiguity by allowing alternative or cumulative charges when a single act or series of acts makes it doubtful exactly which of several specific legal offences the provable facts will constitute. [Source: Section 244, BNSS 2023]</t>
  </si>
  <si>
    <t xml:space="preserve">CASE_3609</t>
  </si>
  <si>
    <t xml:space="preserve">Yes, under sub-section (1), he may be charged with having committed "all or any of such offences... or he may be charged in the alternative with having committed someone of the said offences." [Source: Section 244, BNSS 2023]</t>
  </si>
  <si>
    <t xml:space="preserve">CASE_3610</t>
  </si>
  <si>
    <t xml:space="preserve">That a single act/series of acts is "of such a nature that it is doubtful which of several offences the facts which can be proved will constitute". [Source: Section 244, BNSS 2023]</t>
  </si>
  <si>
    <t xml:space="preserve">CASE_3611</t>
  </si>
  <si>
    <t xml:space="preserve">Yes, under sub-section (2), if he is charged with one offence and evidence shows he committed a different offence he *might* have been charged with under this section, "he may be convicted of the offence which he is shown to have committed, although he was not charged with it." [Source: Section 244, BNSS 2023]</t>
  </si>
  <si>
    <t xml:space="preserve">CASE_3612</t>
  </si>
  <si>
    <t xml:space="preserve">The consequence is that guilty persons do not escape punishment due to hyper-technical disputes over the precise legal categorization of their criminal act; the court can apply the correct law to the proven facts at the end of the trial. [Source: Section 244, BNSS 2023]</t>
  </si>
  <si>
    <t xml:space="preserve">CASE_3613</t>
  </si>
  <si>
    <t xml:space="preserve">When offence proved included in offence charged</t>
  </si>
  <si>
    <t xml:space="preserve">Yes, if the proven facts show the person committed a "minor offence" that is included within the particulars of the major offence they were originally charged with, they can be convicted of the minor offence without needing a new charge. [Source: Section 245, BNSS 2023]</t>
  </si>
  <si>
    <t xml:space="preserve">Hugging Face source record: BNSS_245</t>
  </si>
  <si>
    <t xml:space="preserve">CASE_3614</t>
  </si>
  <si>
    <t xml:space="preserve">Section 245 of BNSS 2023 allows a court to convict an accused of a minor offence (or an attempt to commit the offence) if the facts proved during the trial establish the minor offence, even if the accused was only formally charged with a more severe, related offence. [Source: Section 245, BNSS 2023]</t>
  </si>
  <si>
    <t xml:space="preserve">CASE_3615</t>
  </si>
  <si>
    <t xml:space="preserve">Yes, per Illustration (b), if he is charged with grievous hurt but proves he acted on grave and sudden provocation, "He may be convicted under sub-section (2) of section 122 of that Sanhita" (the minor offence), although not expressly charged with it. [Source: Section 245, BNSS 2023]</t>
  </si>
  <si>
    <t xml:space="preserve">CASE_3616</t>
  </si>
  <si>
    <t xml:space="preserve">They "may be convicted of an attempt to commit such offence although the attempt is not separately charged." [Source: Section 245, BNSS 2023]</t>
  </si>
  <si>
    <t xml:space="preserve">CASE_3617</t>
  </si>
  <si>
    <t xml:space="preserve">No, under sub-section (4), a conviction for a minor offence is not authorized "where the conditions requisite for the initiation of proceedings in respect of that minor offence have not been satisfied" (e.g., lacking necessary government sanction). [Source: Section 245, BNSS 2023]</t>
  </si>
  <si>
    <t xml:space="preserve">CASE_3618</t>
  </si>
  <si>
    <t xml:space="preserve">The consequence is that the prosecution doesn't entirely lose a case just because they overcharged the defendant; if they fail to prove the aggravating factors of a severe crime but successfully prove the core elements of a lesser included crime, justice is still served via a conviction for the lesser crime. [Source: Section 245, BNSS 2023]</t>
  </si>
  <si>
    <t xml:space="preserve">CASE_3619</t>
  </si>
  <si>
    <t xml:space="preserve">What persons may be charged jointly</t>
  </si>
  <si>
    <t xml:space="preserve">Yes, people can be charged and tried jointly if they committed the same offence in the same transaction, or if some committed the offence and others abetted or attempted it, or in certain cases involving stolen property or counterfeit coins. [Source: Section 246, BNSS 2023]</t>
  </si>
  <si>
    <t xml:space="preserve">Hugging Face source record: BNSS_246</t>
  </si>
  <si>
    <t xml:space="preserve">CASE_3620</t>
  </si>
  <si>
    <t xml:space="preserve">Section 246 of BNSS 2023 authorizes the joinder of persons, detailing specific scenarios (like same transaction, abetment, joint offences of same kind) where multiple accused individuals can be charged and tried together in a single trial. [Source: Section 246, BNSS 2023]</t>
  </si>
  <si>
    <t xml:space="preserve">CASE_3621</t>
  </si>
  <si>
    <t xml:space="preserve">No, under clauses (a) and (b), persons accused of the same offence in the same transaction, and persons accused of abetment, "may be charged and tried together". [Source: Section 246, BNSS 2023]</t>
  </si>
  <si>
    <t xml:space="preserve">CASE_3622</t>
  </si>
  <si>
    <t xml:space="preserve">If the first person is accused of theft/extortion/cheating/misappropriation, and the second person is accused of "receiving or retaining, or assisting in the disposal or concealment of, property possession of which is alleged to have been transferred by any such offence". [Source: Section 246, BNSS 2023]</t>
  </si>
  <si>
    <t xml:space="preserve">CASE_3623</t>
  </si>
  <si>
    <t xml:space="preserve">Yes, under the proviso, if they apply in writing, the Magistrate/Court may try them together "if he or it is satisfied that such persons would not be prejudicially affected thereby, and it is expedient so to do," even if they don't fall into categories (a) through (g). [Source: Section 246, BNSS 2023]</t>
  </si>
  <si>
    <t xml:space="preserve">CASE_3624</t>
  </si>
  <si>
    <t xml:space="preserve">The consequence is judicial efficiency and consistency; it prevents witnesses from having to testify multiple times about the same event and avoids the risk of different judges reaching contradictory verdicts on the exact same set of shared facts. [Source: Section 246, BNSS 2023]</t>
  </si>
  <si>
    <t xml:space="preserve">CASE_3625</t>
  </si>
  <si>
    <t xml:space="preserve">Withdrawal of remaining charges on conviction on one of several charges</t>
  </si>
  <si>
    <t xml:space="preserve">The prosecutor can withdraw the remaining charges (with court consent), or the court can stay them. This withdrawal acts like an acquittal for those remaining charges, unless the first conviction gets overturned on appeal. [Source: Section 247, BNSS 2023]</t>
  </si>
  <si>
    <t xml:space="preserve">Hugging Face source record: BNSS_247</t>
  </si>
  <si>
    <t xml:space="preserve">CASE_3626</t>
  </si>
  <si>
    <t xml:space="preserve">Section 247 of BNSS 2023 establishes the procedure for withdrawing remaining charges when a conviction is secured on one of several charges, stating that such withdrawal has the effect of an acquittal, subject to revival if the primary conviction is set aside. [Source: Section 247, BNSS 2023]</t>
  </si>
  <si>
    <t xml:space="preserve">CASE_3627</t>
  </si>
  <si>
    <t xml:space="preserve">Yes, the section states the withdrawal acts as an acquittal "unless the conviction be set aside, in which case the said Court... may proceed with the inquiry into, or trial of, the charge or charges so withdrawn." [Source: Section 247, BNSS 2023]</t>
  </si>
  <si>
    <t xml:space="preserve">CASE_3628</t>
  </si>
  <si>
    <t xml:space="preserve">"the complainant, or the officer conducting the prosecution, may, with the consent of the Court, withdraw... or the Court of its own accord may stay the inquiry into, or trial of, such charge or charges". [Source: Section 247, BNSS 2023]</t>
  </si>
  <si>
    <t xml:space="preserve">CASE_3629</t>
  </si>
  <si>
    <t xml:space="preserve">No, the prosecutor may only withdraw the remaining charges "with the consent of the Court". [Source: Section 247, BNSS 2023]</t>
  </si>
  <si>
    <t xml:space="preserve">CASE_3630</t>
  </si>
  <si>
    <t xml:space="preserve">The consequence is that it saves immense court time; once a substantial conviction is secured that carries an adequate penalty, the court doesn't need to waste weeks trying to prove alternative or lesser charges just for the sake of completeness. [Source: Section 247, BNSS 2023]</t>
  </si>
  <si>
    <t xml:space="preserve">CASE_3631</t>
  </si>
  <si>
    <t xml:space="preserve">Trial to be conducted by Public Prosecutor</t>
  </si>
  <si>
    <t xml:space="preserve">In every trial before a Court of Session, the prosecution must be conducted by a Public Prosecutor. [Source: Section 248, BNSS 2023]</t>
  </si>
  <si>
    <t xml:space="preserve">Hugging Face source record: BNSS_248</t>
  </si>
  <si>
    <t xml:space="preserve">CASE_3632</t>
  </si>
  <si>
    <t xml:space="preserve">Section 248 of BNSS 2023 mandates that in a Court of Session (which handles serious crimes like murder), the prosecution cannot be conducted by a private lawyer alone; it shall be conducted by a state-appointed Public Prosecutor. [Source: Section 248, BNSS 2023]</t>
  </si>
  <si>
    <t xml:space="preserve">CASE_3633</t>
  </si>
  <si>
    <t xml:space="preserve">No, under section 248, "In every trial before a Court of Session, the prosecution shall be conducted by a Public Prosecutor." A private lawyer can only assist the Public Prosecutor, not conduct the trial independently. [Source: Section 248, BNSS 2023]</t>
  </si>
  <si>
    <t xml:space="preserve">CASE_3634</t>
  </si>
  <si>
    <t xml:space="preserve">"In every trial before a Court of Session". [Source: Section 248, BNSS 2023]</t>
  </si>
  <si>
    <t xml:space="preserve">CASE_3635</t>
  </si>
  <si>
    <t xml:space="preserve">No, the language is absolute: "shall be conducted by a Public Prosecutor." (Other parts of the code handle the appointment of special prosecutors, but it must be a recognized PP). [Source: Section 248, BNSS 2023]</t>
  </si>
  <si>
    <t xml:space="preserve">CASE_3636</t>
  </si>
  <si>
    <t xml:space="preserve">The consequence is that it ensures serious crimes are prosecuted as offences against the State, rather than private disputes, ensuring that the prosecutor acts as an officer of the court seeking justice, rather than a hired gun seeking vengeance. [Source: Section 248, BNSS 2023]</t>
  </si>
  <si>
    <t xml:space="preserve">CASE_3637</t>
  </si>
  <si>
    <t xml:space="preserve">Opening case for prosecution</t>
  </si>
  <si>
    <t xml:space="preserve">It begins with the prosecutor "opening the case," which means they describe the charges against the accused and outline what evidence they plan to use to prove the person is guilty. [Source: Section 249, BNSS 2023]</t>
  </si>
  <si>
    <t xml:space="preserve">Hugging Face source record: BNSS_249</t>
  </si>
  <si>
    <t xml:space="preserve">CASE_3638</t>
  </si>
  <si>
    <t xml:space="preserve">Section 249 of BNSS 2023 describes the "Opening case for prosecution" in a Court of Session, where the prosecutor must introduce the charges and state the evidence proposed to prove the accused's guilt. [Source: Section 249, BNSS 2023]</t>
  </si>
  <si>
    <t xml:space="preserve">CASE_3639</t>
  </si>
  <si>
    <t xml:space="preserve">No, under section 249, when the accused is brought before the court, "the prosecutor shall open his case by describing the charge brought against the accused and stating by what evidence he proposes to prove the guilt". The opening statement must precede witness testimony. [Source: Section 249, BNSS 2023]</t>
  </si>
  <si>
    <t xml:space="preserve">CASE_3640</t>
  </si>
  <si>
    <t xml:space="preserve">(1) "describing the charge brought against the accused" and (2) "stating by what evidence he proposes to prove the guilt of the accused." [Source: Section 249, BNSS 2023]</t>
  </si>
  <si>
    <t xml:space="preserve">CASE_3641</t>
  </si>
  <si>
    <t xml:space="preserve">No, the section uses the mandatory word "shall" ("the prosecutor shall open his case"), making this an essential formal step in the trial process. [Source: Section 249, BNSS 2023]</t>
  </si>
  <si>
    <t xml:space="preserve">CASE_3642</t>
  </si>
  <si>
    <t xml:space="preserve">The consequence is that it provides a roadmap for the judge and the defense, summarizing the prosecution's narrative and evidentiary strategy, ensuring everyone understands the scope of the trial before detailed testimonies begin. [Source: Section 249, BNSS 2023]</t>
  </si>
  <si>
    <t xml:space="preserve">CASE_3643</t>
  </si>
  <si>
    <t xml:space="preserve">Discharge</t>
  </si>
  <si>
    <t xml:space="preserve">The accused can apply for "discharge" within 60 days. If the Judge reviews the documents and agrees there is no sufficient ground to proceed, the Judge will discharge the accused (throw out the case) and record the reasons. [Source: Section 250, BNSS 2023]</t>
  </si>
  <si>
    <t xml:space="preserve">Hugging Face source record: BNSS_250</t>
  </si>
  <si>
    <t xml:space="preserve">CASE_3644</t>
  </si>
  <si>
    <t xml:space="preserve">Section 250 of BNSS 2023 provides the remedy of "Discharge," allowing a Sessions Judge to dismiss a case before framing charges if, after hearing both sides and reviewing the record, they find "not sufficient ground for proceeding." [Source: Section 250, BNSS 2023]</t>
  </si>
  <si>
    <t xml:space="preserve">CASE_3645</t>
  </si>
  <si>
    <t xml:space="preserve">The lawyer should file "an application for discharge" under sub-section (1), arguing to the Judge that "there is not sufficient ground for proceeding against the accused." [Source: Section 250, BNSS 2023]</t>
  </si>
  <si>
    <t xml:space="preserve">CASE_3646</t>
  </si>
  <si>
    <t xml:space="preserve">"within a period of sixty days from the date of commitment of the case". [Source: Section 250, BNSS 2023]</t>
  </si>
  <si>
    <t xml:space="preserve">CASE_3647</t>
  </si>
  <si>
    <t xml:space="preserve">No, sub-section (2) explicitly requires the Judge to make the decision "after hearing the submissions of the accused and the prosecution in this behalf". Both sides must be heard. [Source: Section 250, BNSS 2023]</t>
  </si>
  <si>
    <t xml:space="preserve">CASE_3648</t>
  </si>
  <si>
    <t xml:space="preserve">The consequence is that the accused is freed from the ordeal of a full trial; the case is terminated at the threshold because the prosecution's evidence, even if taken at face value, is too weak to justify framing formal charges. [Source: Section 250, BNSS 2023]</t>
  </si>
  <si>
    <t xml:space="preserve">CASE_3649</t>
  </si>
  <si>
    <t xml:space="preserve">Framing of charge</t>
  </si>
  <si>
    <t xml:space="preserve">The judge will officially "frame a charge" in writing (within 60 days), read and explain it to the accused, and ask if the accused pleads guilty or wants a trial. [Source: Section 251, BNSS 2023]</t>
  </si>
  <si>
    <t xml:space="preserve">Hugging Face source record: BNSS_251</t>
  </si>
  <si>
    <t xml:space="preserve">CASE_3650</t>
  </si>
  <si>
    <t xml:space="preserve">Section 251 of BNSS 2023 mandates that if there are grounds for presuming the accused committed the offence, the Judge shall frame a charge in writing (or transfer it if it's not a Sessions offence), read it to the accused, and record their plea. [Source: Section 251, BNSS 2023]</t>
  </si>
  <si>
    <t xml:space="preserve">CASE_3651</t>
  </si>
  <si>
    <t xml:space="preserve">Under sub-section (1)(a), the Judge "may, frame a charge against the accused and, by order, transfer the case for trial to the Chief Judicial Magistrate, or any other Judicial Magistrate of the first class". [Source: Section 251, BNSS 2023]</t>
  </si>
  <si>
    <t xml:space="preserve">CASE_3652</t>
  </si>
  <si>
    <t xml:space="preserve">"within a period of sixty days from the date of first hearing on charge." [Source: Section 251, BNSS 2023]</t>
  </si>
  <si>
    <t xml:space="preserve">CASE_3653</t>
  </si>
  <si>
    <t xml:space="preserve">No, under sub-section (2), the charge shall be read and explained to the accused "present either physically or through audio-video electronic means". [Source: Section 251, BNSS 2023]</t>
  </si>
  <si>
    <t xml:space="preserve">CASE_3654</t>
  </si>
  <si>
    <t xml:space="preserve">The consequence is that it sets the fundamental trajectory of the case: a guilty plea may lead to immediate conviction, while claiming to be tried forces the prosecution to bear the burden of proving the charges through evidence in a full trial. [Source: Section 251, BNSS 2023]</t>
  </si>
  <si>
    <t xml:space="preserve">CASE_3655</t>
  </si>
  <si>
    <t xml:space="preserve">Conviction on plea of guilty</t>
  </si>
  <si>
    <t xml:space="preserve">The judge will record the guilty plea and has the discretion to immediately convict the person based on that plea. [Source: Section 252, BNSS 2023]</t>
  </si>
  <si>
    <t xml:space="preserve">Hugging Face source record: BNSS_252</t>
  </si>
  <si>
    <t xml:space="preserve">CASE_3656</t>
  </si>
  <si>
    <t xml:space="preserve">Section 252 of BNSS 2023 grants the Judge the discretionary power to convict an accused person if they voluntarily plead guilty after the charges are framed. [Source: Section 252, BNSS 2023]</t>
  </si>
  <si>
    <t xml:space="preserve">CASE_3657</t>
  </si>
  <si>
    <t xml:space="preserve">No, the section says the Judge "shall record the plea and may, in his discretion, convict him thereon." The judge can choose to proceed with a trial if they doubt the voluntariness or truthfulness of the plea, especially in serious cases like murder. [Source: Section 252, BNSS 2023]</t>
  </si>
  <si>
    <t xml:space="preserve">CASE_3658</t>
  </si>
  <si>
    <t xml:space="preserve">The Judge "shall record the plea". (The conviction is discretionary, but recording the plea is mandatory). [Source: Section 252, BNSS 2023]</t>
  </si>
  <si>
    <t xml:space="preserve">CASE_3659</t>
  </si>
  <si>
    <t xml:space="preserve">No, the mandate that the Judge "shall record the plea" means the exact words of the accused must be written down so an appellate court can verify the plea was clear, unambiguous, and voluntary. [Source: Section 252, BNSS 2023]</t>
  </si>
  <si>
    <t xml:space="preserve">CASE_3660</t>
  </si>
  <si>
    <t xml:space="preserve">The consequence is the bypass of the entire evidentiary trial phase (witness testimonies, cross-examinations, etc.), moving the case directly to the sentencing phase, saving massive amounts of judicial time. [Source: Section 252, BNSS 2023]</t>
  </si>
  <si>
    <t xml:space="preserve">CASE_3661</t>
  </si>
  <si>
    <t xml:space="preserve">Date for prosecution evidence</t>
  </si>
  <si>
    <t xml:space="preserve">The judge will fix a future date for examining witnesses (the trial) and will issue legal summons/processes to force those witnesses to show up in court. [Source: Section 253, BNSS 2023]</t>
  </si>
  <si>
    <t xml:space="preserve">Hugging Face source record: BNSS_253</t>
  </si>
  <si>
    <t xml:space="preserve">CASE_3662</t>
  </si>
  <si>
    <t xml:space="preserve">Section 253 of BNSS 2023 mandates that if an accused claims trial (or refuses to plead), the Judge must fix a date for the prosecution's evidence and issue necessary processes to compel the attendance of witnesses or production of documents. [Source: Section 253, BNSS 2023]</t>
  </si>
  <si>
    <t xml:space="preserve">CASE_3663</t>
  </si>
  <si>
    <t xml:space="preserve">The prosecutor must make an application to the judge. Under section 253, the Judge "may, on the application of the prosecution, issue any process for compelling the attendance of any witness". [Source: Section 253, BNSS 2023]</t>
  </si>
  <si>
    <t xml:space="preserve">CASE_3664</t>
  </si>
  <si>
    <t xml:space="preserve">"If the accused refuses to plead, or does not plead, or claims to be tried or is not convicted under section 252". [Source: Section 253, BNSS 2023]</t>
  </si>
  <si>
    <t xml:space="preserve">CASE_3665</t>
  </si>
  <si>
    <t xml:space="preserve">No, if the accused "refuses to plead, or does not plead", the judge must treat it as claiming a trial and proceed to fix a date for evidence. Silence cannot be taken as a guilty plea. [Source: Section 253, BNSS 2023]</t>
  </si>
  <si>
    <t xml:space="preserve">CASE_3666</t>
  </si>
  <si>
    <t xml:space="preserve">The consequence is that witnesses are legally bound to appear in court under threat of arrest or penalty, ensuring the prosecution has the ability to present its evidence even if witnesses are reluctant or uncooperative. [Source: Section 253, BNSS 2023]</t>
  </si>
  <si>
    <t xml:space="preserve">CASE_3667</t>
  </si>
  <si>
    <t xml:space="preserve">Evidence for prosecution</t>
  </si>
  <si>
    <t xml:space="preserve">On the fixed date, the judge takes all the evidence the prosecution has. Witnesses can give their testimony in person or through audio-video electronic means (like video conferencing). [Source: Section 254, BNSS 2023]</t>
  </si>
  <si>
    <t xml:space="preserve">Hugging Face source record: BNSS_254</t>
  </si>
  <si>
    <t xml:space="preserve">CASE_3668</t>
  </si>
  <si>
    <t xml:space="preserve">Section 254 of BNSS 2023 governs the "Evidence for prosecution" phase in a Sessions trial, detailing the taking of evidence, the allowance of electronic testimonies, and the judge's discretion regarding cross-examination timing. [Source: Section 254, BNSS 2023]</t>
  </si>
  <si>
    <t xml:space="preserve">CASE_3669</t>
  </si>
  <si>
    <t xml:space="preserve">No, under sub-section (2), "The deposition of evidence of any public servant may be taken through audio-video electronic means." He can testify via video link. [Source: Section 254, BNSS 2023]</t>
  </si>
  <si>
    <t xml:space="preserve">CASE_3670</t>
  </si>
  <si>
    <t xml:space="preserve">The Judge may "permit the cross-examination of any witness to be deferred until any other witness or witnesses have been examined or recall any witness for further cross-examination." [Source: Section 254, BNSS 2023]</t>
  </si>
  <si>
    <t xml:space="preserve">CASE_3671</t>
  </si>
  <si>
    <t xml:space="preserve">No, the first proviso to sub-section (1) clearly states "evidence of a witness under this sub-section may be recorded by audio-video electronic means," which applies generally to any witness, not just public servants. [Source: Section 254, BNSS 2023]</t>
  </si>
  <si>
    <t xml:space="preserve">CASE_3672</t>
  </si>
  <si>
    <t xml:space="preserve">The consequence is that it prevents defense lawyers from immediately breaking down the testimony of a vulnerable witness before corroborating witnesses can testify, allowing the prosecution to present a complete narrative block before the defense tries to dismantle it. [Source: Section 254, BNSS 2023]</t>
  </si>
  <si>
    <t xml:space="preserve">CASE_3673</t>
  </si>
  <si>
    <t xml:space="preserve">Acquittal</t>
  </si>
  <si>
    <t xml:space="preserve">If the judge considers there is no evidence that the accused committed the offence after hearing the prosecution, examining the accused, and hearing both sides, the judge must record an order of acquittal right away. [Source: Section 255, BNSS 2023]</t>
  </si>
  <si>
    <t xml:space="preserve">Hugging Face source record: BNSS_255</t>
  </si>
  <si>
    <t xml:space="preserve">CASE_3674</t>
  </si>
  <si>
    <t xml:space="preserve">Section 255 of BNSS 2023 mandates that if, after taking prosecution evidence and hearing arguments, the Judge considers there is no evidence against the accused, the Judge shall record an order of acquittal. [Source: Section 255, BNSS 2023]</t>
  </si>
  <si>
    <t xml:space="preserve">CASE_3675</t>
  </si>
  <si>
    <t xml:space="preserve">No, under section 255, if "the Judge considers that there is no evidence that the accused committed the offence, the Judge shall record an order of acquittal." The trial ends there. [Source: Section 255, BNSS 2023]</t>
  </si>
  <si>
    <t xml:space="preserve">CASE_3676</t>
  </si>
  <si>
    <t xml:space="preserve">"taking the evidence for the prosecution", "examining the accused", and "hearing the prosecution and the defence on the point". [Source: Section 255, BNSS 2023]</t>
  </si>
  <si>
    <t xml:space="preserve">CASE_3677</t>
  </si>
  <si>
    <t xml:space="preserve">This section specifically applies when "there is *no* evidence". If there is some evidence, even if weak, the trial generally proceeds to the defense phase before a final judgment on the weight of the evidence is made. [Source: Section 255, BNSS 2023]</t>
  </si>
  <si>
    <t xml:space="preserve">CASE_3678</t>
  </si>
  <si>
    <t xml:space="preserve">The consequence is that the accused is immediately freed from the proceedings without having to go through the time and expense of presenting a defense, as the state entirely failed its initial burden of proof. [Source: Section 255, BNSS 2023]</t>
  </si>
  <si>
    <t xml:space="preserve">CASE_3679</t>
  </si>
  <si>
    <t xml:space="preserve">Entering upon defence</t>
  </si>
  <si>
    <t xml:space="preserve">The accused is called upon to "enter on his defence," meaning it's their turn to present their own evidence, witnesses, or written statements to prove their innocence. [Source: Section 256, BNSS 2023]</t>
  </si>
  <si>
    <t xml:space="preserve">Hugging Face source record: BNSS_256</t>
  </si>
  <si>
    <t xml:space="preserve">CASE_3680</t>
  </si>
  <si>
    <t xml:space="preserve">Section 256 of BNSS 2023 initiates the defense phase of a Sessions trial, where the accused (if not acquitted under section 255) is called upon to adduce evidence, submit written statements, and request summons for defense witnesses. [Source: Section 256, BNSS 2023]</t>
  </si>
  <si>
    <t xml:space="preserve">CASE_3681</t>
  </si>
  <si>
    <t xml:space="preserve">No, under sub-section (2), "If the accused puts in any written statement, the Judge shall file it with the record." The judge must accept it. [Source: Section 256, BNSS 2023]</t>
  </si>
  <si>
    <t xml:space="preserve">CASE_3682</t>
  </si>
  <si>
    <t xml:space="preserve">The judge can refuse if they consider, for reasons to be recorded, that the application "is made for the purpose of vexation or delay or for defeating the ends of justice." [Source: Section 256, BNSS 2023]</t>
  </si>
  <si>
    <t xml:space="preserve">CASE_3683</t>
  </si>
  <si>
    <t xml:space="preserve">No, the section says he shall be called upon to enter on his defence and adduce "any evidence he may have." If he chooses to rely solely on the weakness of the prosecution's case and has no evidence of his own, he doesn't have to produce any. [Source: Section 256, BNSS 2023]</t>
  </si>
  <si>
    <t xml:space="preserve">CASE_3684</t>
  </si>
  <si>
    <t xml:space="preserve">The consequence is that it prevents the accused from abusing the legal process by endlessly calling irrelevant or repetitive witnesses merely to stall the trial and delay a final judgment. [Source: Section 256, BNSS 2023]</t>
  </si>
  <si>
    <t xml:space="preserve">CASE_3685</t>
  </si>
  <si>
    <t xml:space="preserve">Arguments</t>
  </si>
  <si>
    <t xml:space="preserve">The prosecutor speaks first to sum up their case, and then the accused (or their lawyer) gets to reply. [Source: Section 257, BNSS 2023]</t>
  </si>
  <si>
    <t xml:space="preserve">Hugging Face source record: BNSS_257</t>
  </si>
  <si>
    <t xml:space="preserve">CASE_3686</t>
  </si>
  <si>
    <t xml:space="preserve">Section 257 of BNSS 2023 governs the closing arguments phase, stipulating that the prosecutor sums up the case first, followed by the right of reply for the accused or their advocate. [Source: Section 257, BNSS 2023]</t>
  </si>
  <si>
    <t xml:space="preserve">CASE_3687</t>
  </si>
  <si>
    <t xml:space="preserve">Yes, under the proviso, "where any point of law is raised by the accused or his advocate, the prosecution may, with the permission of the Judge, make his submissions with regard to such point of law." [Source: Section 257, BNSS 2023]</t>
  </si>
  <si>
    <t xml:space="preserve">CASE_3688</t>
  </si>
  <si>
    <t xml:space="preserve">"When the examination of the witnesses (if any) for the defence is complete". [Source: Section 257, BNSS 2023]</t>
  </si>
  <si>
    <t xml:space="preserve">CASE_3689</t>
  </si>
  <si>
    <t xml:space="preserve">No, the general rule gives the *accused* the right to reply to the prosecutor's summary. The prosecutor can only speak again "with the permission of the Judge" and only strictly regarding "any point of law" raised by the defense. [Source: Section 257, BNSS 2023]</t>
  </si>
  <si>
    <t xml:space="preserve">CASE_3690</t>
  </si>
  <si>
    <t xml:space="preserve">The consequence is the protection of the accused's right to a fair trial; because the state has the burden of proof, the defense gets the last word on the facts to ensure they can thoroughly rebut the state's entire narrative before the judge decides. [Source: Section 257, BNSS 2023]</t>
  </si>
  <si>
    <t xml:space="preserve">CASE_3691</t>
  </si>
  <si>
    <t xml:space="preserve">Judgment of acquittal or conviction</t>
  </si>
  <si>
    <t xml:space="preserve">The judge must give the judgment as soon as possible within 30 days, though it can be extended to 45 days if they record the reasons for the delay in writing. [Source: Section 258, BNSS 2023]</t>
  </si>
  <si>
    <t xml:space="preserve">Hugging Face source record: BNSS_258</t>
  </si>
  <si>
    <t xml:space="preserve">CASE_3692</t>
  </si>
  <si>
    <t xml:space="preserve">Section 258 of BNSS 2023 establishes a strict timeline for the delivery of judgments in Sessions trials, mandating it be done within 30 days of completing arguments, extendable to 45 days for recorded reasons. [Source: Section 258, BNSS 2023]</t>
  </si>
  <si>
    <t xml:space="preserve">CASE_3693</t>
  </si>
  <si>
    <t xml:space="preserve">Yes. Under sub-section (2), if the accused is convicted, the Judge shall "hear the accused on the questions of sentence, and then pass sentence on him". The judge must give the accused a chance to argue for a lighter sentence before deciding the punishment. [Source: Section 258, BNSS 2023]</t>
  </si>
  <si>
    <t xml:space="preserve">CASE_3694</t>
  </si>
  <si>
    <t xml:space="preserve">"a period of forty-five days" (the initial 30 days plus the 15-day extension). [Source: Section 258, BNSS 2023]</t>
  </si>
  <si>
    <t xml:space="preserve">CASE_3695</t>
  </si>
  <si>
    <t xml:space="preserve">Yes, sub-section (2) provides an exception: "unless he proceeds in accordance with the provisions of section 401" (which deals with releasing offenders on probation of good conduct). [Source: Section 258, BNSS 2023]</t>
  </si>
  <si>
    <t xml:space="preserve">CASE_3696</t>
  </si>
  <si>
    <t xml:space="preserve">The consequence is the individualization of justice; it ensures the court considers mitigating factors (like the offender's age, background, or remorse) before deciding the severity of the punishment, rather than just applying a mechanical penalty based solely on the conviction. [Source: Section 258, BNSS 2023]</t>
  </si>
  <si>
    <t xml:space="preserve">CASE_3697</t>
  </si>
  <si>
    <t xml:space="preserve">Previous conviction</t>
  </si>
  <si>
    <t xml:space="preserve">The previous conviction can only be brought up, proven, and recorded *after* the judge has already convicted the person for the current crime. It cannot be mentioned during the main trial. [Source: Section 259, BNSS 2023]</t>
  </si>
  <si>
    <t xml:space="preserve">Hugging Face source record: BNSS_259</t>
  </si>
  <si>
    <t xml:space="preserve">CASE_3698</t>
  </si>
  <si>
    <t xml:space="preserve">Section 259 of BNSS 2023 regulates the procedure for proving a previous conviction for enhanced punishment, strictly segregating this process from the main trial to prevent prejudice against the accused. [Source: Section 259, BNSS 2023]</t>
  </si>
  <si>
    <t xml:space="preserve">CASE_3699</t>
  </si>
  <si>
    <t xml:space="preserve">No, the proviso strictly states: "nor shall the previous conviction be referred to by the prosecution or in any evidence adduced by it, unless and until the accused has been convicted under section 252 or section 258." [Source: Section 259, BNSS 2023]</t>
  </si>
  <si>
    <t xml:space="preserve">CASE_3700</t>
  </si>
  <si>
    <t xml:space="preserve">The Judge "may... take evidence in respect of the alleged previous conviction, and shall record a finding thereon". [Source: Section 259, BNSS 2023]</t>
  </si>
  <si>
    <t xml:space="preserve">CASE_3701</t>
  </si>
  <si>
    <t xml:space="preserve">No, the section specifies the evidence-taking procedure applies when "the accused does not admit that he has been previously convicted". If they admit it, the judge can simply apply the enhanced punishment. [Source: Section 259, BNSS 2023]</t>
  </si>
  <si>
    <t xml:space="preserve">CASE_3702</t>
  </si>
  <si>
    <t xml:space="preserve">The consequence is preventing bias; it ensures the judge evaluates the evidence for the current crime entirely objectively, without being prejudiced by the knowledge that the accused is a known "criminal" from past deeds. [Source: Section 259, BNSS 2023]</t>
  </si>
  <si>
    <t xml:space="preserve">CASE_3703</t>
  </si>
  <si>
    <t xml:space="preserve">Procedure in cases instituted under sub-section (2) of section 222</t>
  </si>
  <si>
    <t xml:space="preserve">The Sessions Court tries the case using the procedures normally meant for lower Magistrates handling warrant cases, and usually, the defamed official must testify as a witness. [Source: Section 260, BNSS 2023]</t>
  </si>
  <si>
    <t xml:space="preserve">Hugging Face source record: BNSS_260</t>
  </si>
  <si>
    <t xml:space="preserve">CASE_3704</t>
  </si>
  <si>
    <t xml:space="preserve">Section 260 of BNSS 2023 governs the special trial procedure for defamation cases initiated directly in the Court of Session by a Public Prosecutor (under section 222(2)), prescribing a warrant-case procedure and compensation mechanisms for false accusations. [Source: Section 260, BNSS 2023]</t>
  </si>
  <si>
    <t xml:space="preserve">CASE_3705</t>
  </si>
  <si>
    <t xml:space="preserve">Yes, under sub-section (3), the Court may direct the person alleged to have been defamed (the Minister) "to show cause why he should not pay compensation to such accused", up to ₹5,000. [Source: Section 260, BNSS 2023]</t>
  </si>
  <si>
    <t xml:space="preserve">CASE_3706</t>
  </si>
  <si>
    <t xml:space="preserve">"the President, the Vice-President or the Governor of a State or the Administrator of a Union territory". [Source: Section 260, BNSS 2023]</t>
  </si>
  <si>
    <t xml:space="preserve">CASE_3707</t>
  </si>
  <si>
    <t xml:space="preserve">Usually yes, but the proviso to sub-section (1) provides an exception: "unless the Court of Session, for reasons to be recorded, otherwise directs". [Source: Section 260, BNSS 2023]</t>
  </si>
  <si>
    <t xml:space="preserve">CASE_3708</t>
  </si>
  <si>
    <t xml:space="preserve">The consequence is the protection of the public official's reputation from further damage and public spectacle during a trial that is specifically about discussing highly defamatory and potentially embarrassing allegations. [Source: Section 260, BNSS 2023]</t>
  </si>
  <si>
    <t xml:space="preserve">CASE_3709</t>
  </si>
  <si>
    <t xml:space="preserve">Compliance with section 230</t>
  </si>
  <si>
    <t xml:space="preserve">The Magistrate must make sure the accused has been given all the necessary documents (like the police report, FIR, and witness statements) as required by law. [Source: Section 261, BNSS 2023]</t>
  </si>
  <si>
    <t xml:space="preserve">Hugging Face source record: BNSS_261</t>
  </si>
  <si>
    <t xml:space="preserve">CASE_3710</t>
  </si>
  <si>
    <t xml:space="preserve">Section 261 of BNSS 2023 mandates that at the commencement of a warrant-case trial instituted on a police report, the Magistrate must verify compliance with section 230, ensuring the accused has received all required copies of documents. [Source: Section 261, BNSS 2023]</t>
  </si>
  <si>
    <t xml:space="preserve">CASE_3711</t>
  </si>
  <si>
    <t xml:space="preserve">Under section 261, "the Magistrate shall satisfy himself that he has complied with the provisions of section 230." The Magistrate must pause the proceedings and ensure those documents are supplied to the accused before moving forward. [Source: Section 261, BNSS 2023]</t>
  </si>
  <si>
    <t xml:space="preserve">CASE_3712</t>
  </si>
  <si>
    <t xml:space="preserve">"in any warrant-case instituted on a police report". [Source: Section 261, BNSS 2023]</t>
  </si>
  <si>
    <t xml:space="preserve">CASE_3713</t>
  </si>
  <si>
    <t xml:space="preserve">The section requires the Magistrate to "satisfy himself." While it doesn't prescribe the exact method, legal standards generally require the Magistrate to actively confirm with the accused or their counsel, not merely rely on police assertions. [Source: Section 261, BNSS 2023]</t>
  </si>
  <si>
    <t xml:space="preserve">CASE_3714</t>
  </si>
  <si>
    <t xml:space="preserve">The consequence is the prevention of "trial by ambush"; it guarantees the accused's fundamental right to know the evidence against them is upheld right at the starting line, ensuring they can prepare an adequate defense. [Source: Section 261, BNSS 2023]</t>
  </si>
  <si>
    <t xml:space="preserve">CASE_3715</t>
  </si>
  <si>
    <t xml:space="preserve">When accused shall be discharged</t>
  </si>
  <si>
    <t xml:space="preserve">The accused can apply for "discharge" within 60 days of getting the documents. If the Magistrate thinks the charge is groundless after reviewing the report and hearing both sides, they will discharge the accused and record the reasons. [Source: Section 262, BNSS 2023]</t>
  </si>
  <si>
    <t xml:space="preserve">Hugging Face source record: BNSS_262</t>
  </si>
  <si>
    <t xml:space="preserve">CASE_3716</t>
  </si>
  <si>
    <t xml:space="preserve">Section 262 of BNSS 2023 provides the remedy of discharge in warrant-cases before a Magistrate, allowing the accused to be freed if the Magistrate, upon reviewing the police report and hearing the parties, finds the charge groundless. [Source: Section 262, BNSS 2023]</t>
  </si>
  <si>
    <t xml:space="preserve">CASE_3717</t>
  </si>
  <si>
    <t xml:space="preserve">Under sub-section (1), the application for discharge must be preferred "within a period of sixty days from the date of supply of copies of documents under section 230." [Source: Section 262, BNSS 2023]</t>
  </si>
  <si>
    <t xml:space="preserve">CASE_3718</t>
  </si>
  <si>
    <t xml:space="preserve">The Magistrate must consider "the charge against the accused to be groundless". [Source: Section 262, BNSS 2023]</t>
  </si>
  <si>
    <t xml:space="preserve">CASE_3719</t>
  </si>
  <si>
    <t xml:space="preserve">No, sub-section (2) explicitly requires the Magistrate to make the decision "after giving the prosecution and the accused an opportunity of being heard". [Source: Section 262, BNSS 2023]</t>
  </si>
  <si>
    <t xml:space="preserve">CASE_3720</t>
  </si>
  <si>
    <t xml:space="preserve">The consequence is that the accused is spared the harassment, time, and expense of a full criminal trial, filtering out frivolous, malicious, or legally unsustainable police cases before formal charges are even framed. [Source: Section 262, BNSS 2023]</t>
  </si>
  <si>
    <t xml:space="preserve">CASE_3721</t>
  </si>
  <si>
    <t xml:space="preserve">The Magistrate will formally write down the charge (within 60 days), read and explain it to the accused, and ask if they plead guilty or want a trial. [Source: Section 263, BNSS 2023]</t>
  </si>
  <si>
    <t xml:space="preserve">Hugging Face source record: BNSS_263</t>
  </si>
  <si>
    <t xml:space="preserve">CASE_3722</t>
  </si>
  <si>
    <t xml:space="preserve">Section 263 of BNSS 2023 mandates the framing of a formal written charge by the Magistrate if they find grounds to presume the accused committed an offence, followed by reading the charge and recording the accused's plea. [Source: Section 263, BNSS 2023]</t>
  </si>
  <si>
    <t xml:space="preserve">CASE_3723</t>
  </si>
  <si>
    <t xml:space="preserve">Under sub-section (1), the Magistrate "shall frame in writing a charge against the accused within a period of sixty days from the date of first hearing on charge." [Source: Section 263, BNSS 2023]</t>
  </si>
  <si>
    <t xml:space="preserve">CASE_3724</t>
  </si>
  <si>
    <t xml:space="preserve">The offence must be one "which such Magistrate is competent to try" AND "which, in his opinion, could be adequately punished by him". [Source: Section 263, BNSS 2023]</t>
  </si>
  <si>
    <t xml:space="preserve">CASE_3725</t>
  </si>
  <si>
    <t xml:space="preserve">No, under sub-section (2), "The charge shall then be read and explained to the accused". The Magistrate has a duty to ensure comprehension before taking a plea. [Source: Section 263, BNSS 2023]</t>
  </si>
  <si>
    <t xml:space="preserve">CASE_3726</t>
  </si>
  <si>
    <t xml:space="preserve">The consequence is that if the Magistrate realizes the crime is so severe it deserves a punishment heavier than what their specific court has the power to give, they cannot frame the charge themselves and must commit or transfer the case to a higher court (like the Chief Judicial Magistrate or Sessions Court). [Source: Section 263, BNSS 2023]</t>
  </si>
  <si>
    <t xml:space="preserve">CASE_3727</t>
  </si>
  <si>
    <t xml:space="preserve">The Magistrate will record the guilty plea and has the discretion to convict the person right then based on their confession. [Source: Section 264, BNSS 2023]</t>
  </si>
  <si>
    <t xml:space="preserve">Hugging Face source record: BNSS_264</t>
  </si>
  <si>
    <t xml:space="preserve">CASE_3728</t>
  </si>
  <si>
    <t xml:space="preserve">Section 264 of BNSS 2023 grants the Magistrate the discretionary power to convict an accused person upon a plea of guilty in a warrant-case instituted on a police report. [Source: Section 264, BNSS 2023]</t>
  </si>
  <si>
    <t xml:space="preserve">CASE_3729</t>
  </si>
  <si>
    <t xml:space="preserve">Likely yes, but it depends on the Magistrate. Under section 264, "the Magistrate shall record the plea and may, in his discretion, convict him thereon." The Magistrate can choose to convict him immediately, ending the trial phase. [Source: Section 264, BNSS 2023]</t>
  </si>
  <si>
    <t xml:space="preserve">CASE_3730</t>
  </si>
  <si>
    <t xml:space="preserve">The Magistrate "shall record the plea". [Source: Section 264, BNSS 2023]</t>
  </si>
  <si>
    <t xml:space="preserve">CASE_3731</t>
  </si>
  <si>
    <t xml:space="preserve">Yes, the conviction is "in his discretion." A Magistrate might refuse to convict on a plea if they suspect the plea was coerced, if the accused clearly doesn't understand the nature of the charge, or if the facts admitted don't actually constitute an offence in law. [Source: Section 264, BNSS 2023]</t>
  </si>
  <si>
    <t xml:space="preserve">CASE_3732</t>
  </si>
  <si>
    <t xml:space="preserve">The consequence is rapid case disposal; the court avoids the lengthy process of summoning witnesses, taking evidence, and hearing cross-examinations, moving swiftly to the sentencing phase. [Source: Section 264, BNSS 2023]</t>
  </si>
  <si>
    <t xml:space="preserve">CASE_3733</t>
  </si>
  <si>
    <t xml:space="preserve">The Magistrate will fix a date to examine witnesses and take evidence from the prosecution to prove the case. The Magistrate must give the accused the police witness statements in advance. [Source: Section 265, BNSS 2023]</t>
  </si>
  <si>
    <t xml:space="preserve">Hugging Face source record: BNSS_265</t>
  </si>
  <si>
    <t xml:space="preserve">CASE_3734</t>
  </si>
  <si>
    <t xml:space="preserve">Section 265 of BNSS 2023 governs the "Evidence for prosecution" phase in a warrant-case instituted on a police report, triggered when the accused claims a trial instead of pleading guilty. [Source: Section 265, BNSS 2023]</t>
  </si>
  <si>
    <t xml:space="preserve">CASE_3735</t>
  </si>
  <si>
    <t xml:space="preserve">Under sub-section (2), the prosecutor can apply to the Magistrate, and the Magistrate "may, on the application of the prosecution, issue a summons to any of its witnesses directing him to attend". [Source: Section 265, BNSS 2023]</t>
  </si>
  <si>
    <t xml:space="preserve">CASE_3736</t>
  </si>
  <si>
    <t xml:space="preserve">"the statement of witnesses recorded during investigation by the police." [Source: Section 265, BNSS 2023]</t>
  </si>
  <si>
    <t xml:space="preserve">CASE_3737</t>
  </si>
  <si>
    <t xml:space="preserve">No, the second proviso to sub-section (3) provides an exception: "the examination of a witness under this sub-section may be done by audio-video electronic means at the designated place to be notified by the State Government." [Source: Section 265, BNSS 2023]</t>
  </si>
  <si>
    <t xml:space="preserve">CASE_3738</t>
  </si>
  <si>
    <t xml:space="preserve">The consequence is that the prosecution can present its witnesses in a logical sequence without the defense immediately breaking the narrative flow through cross-examination, allowing the judge to hear the complete story before it is challenged. [Source: Section 265, BNSS 2023]</t>
  </si>
  <si>
    <t xml:space="preserve">CASE_3739</t>
  </si>
  <si>
    <t xml:space="preserve">Evidence for defence</t>
  </si>
  <si>
    <t xml:space="preserve">After the prosecution finishes presenting its evidence, the accused is called upon to "enter upon his defence" and produce their own evidence and witnesses. [Source: Section 266, BNSS 2023]</t>
  </si>
  <si>
    <t xml:space="preserve">Hugging Face source record: BNSS_266</t>
  </si>
  <si>
    <t xml:space="preserve">CASE_3740</t>
  </si>
  <si>
    <t xml:space="preserve">Section 266 of BNSS 2023 initiates the "Evidence for defence" phase in a warrant-case instituted on a police report, detailing the accused's right to produce evidence and the Magistrate's role in summoning defense witnesses. [Source: Section 266, BNSS 2023]</t>
  </si>
  <si>
    <t xml:space="preserve">CASE_3741</t>
  </si>
  <si>
    <t xml:space="preserve">Yes, under sub-section (2), the Magistrate shall issue the process *unless* he considers the application "is made for the purpose of vexation or delay or for defeating the ends of justice," which he must record in writing. [Source: Section 266, BNSS 2023]</t>
  </si>
  <si>
    <t xml:space="preserve">CASE_3742</t>
  </si>
  <si>
    <t xml:space="preserve">The Magistrate may "require that the reasonable expenses incurred by the witness in attending for the purposes of the trial be deposited in Court." [Source: Section 266, BNSS 2023]</t>
  </si>
  <si>
    <t xml:space="preserve">CASE_3743</t>
  </si>
  <si>
    <t xml:space="preserve">Generally no, the first proviso to sub-section (2) states that if the accused already had the opportunity to cross-examine a witness, their attendance shall not be compelled again "unless the Magistrate is satisfied that it is necessary for the ends of justice". [Source: Section 266, BNSS 2023]</t>
  </si>
  <si>
    <t xml:space="preserve">CASE_3744</t>
  </si>
  <si>
    <t xml:space="preserve">The consequence is making it easier and cheaper for the accused to mount a defense, as they can call expert witnesses or alibi witnesses who live far away without bearing the heavy financial burden of paying their travel expenses to court. [Source: Section 266, BNSS 2023]</t>
  </si>
  <si>
    <t xml:space="preserve">CASE_3745</t>
  </si>
  <si>
    <t xml:space="preserve">When the accused appears before the Magistrate, the Magistrate skips the police report review (since there isn't one) and immediately starts hearing the prosecution (the complainant) and taking their evidence. [Source: Section 267, BNSS 2023]</t>
  </si>
  <si>
    <t xml:space="preserve">Hugging Face source record: BNSS_267</t>
  </si>
  <si>
    <t xml:space="preserve">CASE_3746</t>
  </si>
  <si>
    <t xml:space="preserve">Section 267 of BNSS 2023 establishes the initial evidentiary procedure for warrant-cases instituted *otherwise* than on a police report, requiring the Magistrate to directly hear the prosecution and take evidence as soon as the accused appears. [Source: Section 267, BNSS 2023]</t>
  </si>
  <si>
    <t xml:space="preserve">CASE_3747</t>
  </si>
  <si>
    <t xml:space="preserve">Under sub-section (2), the complainant (acting as the prosecution) should make an application to the Magistrate, who "may, on the application of the prosecution, issue a summons to any of its witnesses directing him to attend". [Source: Section 267, BNSS 2023]</t>
  </si>
  <si>
    <t xml:space="preserve">CASE_3748</t>
  </si>
  <si>
    <t xml:space="preserve">"When... the accused appears or is brought before a Magistrate". [Source: Section 267, BNSS 2023]</t>
  </si>
  <si>
    <t xml:space="preserve">CASE_3749</t>
  </si>
  <si>
    <t xml:space="preserve">No, unlike cases based on police reports where charges are framed right after reading the report, in complaint cases, the Magistrate must take "all such evidence as may be produced in support of the prosecution" *first*, to determine if a charge is even warranted. [Source: Section 267, BNSS 2023]</t>
  </si>
  <si>
    <t xml:space="preserve">CASE_3750</t>
  </si>
  <si>
    <t xml:space="preserve">The consequence is that it places the initial burden heavily on the private complainant to actually produce credible evidence in court right from the start, preventing citizens from harassing others with baseless formal charges that lack any evidentiary backing. [Source: Section 267, BNSS 2023]</t>
  </si>
  <si>
    <t xml:space="preserve">CASE_3751</t>
  </si>
  <si>
    <t xml:space="preserve">If the Magistrate considers that no case has been made out against the accused (meaning even if the evidence wasn't challenged, it wouldn't lead to a conviction), the Magistrate must discharge the accused. [Source: Section 268, BNSS 2023]</t>
  </si>
  <si>
    <t xml:space="preserve">Hugging Face source record: BNSS_268</t>
  </si>
  <si>
    <t xml:space="preserve">CASE_3752</t>
  </si>
  <si>
    <t xml:space="preserve">Section 268 of BNSS 2023 provides the safeguard of "Discharge" in warrant-cases instituted otherwise than on a police report, allowing the Magistrate to dismiss the case if the initial prosecution evidence fails to establish a prima facie case. [Source: Section 268, BNSS 2023]</t>
  </si>
  <si>
    <t xml:space="preserve">CASE_3753</t>
  </si>
  <si>
    <t xml:space="preserve">Under sub-section (1), if the Magistrate considers that "no case against the accused has been made out which, if unrebutted, would warrant his conviction, the Magistrate shall discharge him." [Source: Section 268, BNSS 2023]</t>
  </si>
  <si>
    <t xml:space="preserve">CASE_3754</t>
  </si>
  <si>
    <t xml:space="preserve">The evidence must fail to make out a case "which, if unrebutted, would warrant his conviction". [Source: Section 268, BNSS 2023]</t>
  </si>
  <si>
    <t xml:space="preserve">CASE_3755</t>
  </si>
  <si>
    <t xml:space="preserve">No, sub-section (2) provides an exception: "Nothing in this section shall be deemed to prevent a Magistrate from discharging the accused at any previous stage of the case if... he considers the charge to be groundless." [Source: Section 268, BNSS 2023]</t>
  </si>
  <si>
    <t xml:space="preserve">CASE_3756</t>
  </si>
  <si>
    <t xml:space="preserve">The consequence is that the accused doesn't even have to present a defense or undergo a full trial if the complainant's own initial evidence is inherently defective or insufficient to prove a crime occurred. [Source: Section 268, BNSS 2023]</t>
  </si>
  <si>
    <t xml:space="preserve">CASE_3757</t>
  </si>
  <si>
    <t xml:space="preserve">Procedure where accused is not discharged</t>
  </si>
  <si>
    <t xml:space="preserve">The Magistrate will officially write down the charge, read it to the accused, ask how they plead, and if they plead not guilty, allow the accused to cross-examine the complainant's witnesses. [Source: Section 269, BNSS 2023]</t>
  </si>
  <si>
    <t xml:space="preserve">Hugging Face source record: BNSS_269</t>
  </si>
  <si>
    <t xml:space="preserve">CASE_3758</t>
  </si>
  <si>
    <t xml:space="preserve">Section 269 of BNSS 2023 mandates that if the accused is not discharged, the Magistrate shall frame the charge in writing, record the plea, and if the accused claims trial, recall the prosecution witnesses for cross-examination by the defense. [Source: Section 269, BNSS 2023]</t>
  </si>
  <si>
    <t xml:space="preserve">CASE_3759</t>
  </si>
  <si>
    <t xml:space="preserve">Yes. Under sub-section (4), the accused is asked "whether he wishes to cross-examine any... of the witnesses for the prosecution whose evidence has been taken." Under sub-section (5), if he says yes, "the witnesses named by him shall be recalled and, after cross-examination... they shall be discharged." [Source: Section 269, BNSS 2023]</t>
  </si>
  <si>
    <t xml:space="preserve">CASE_3760</t>
  </si>
  <si>
    <t xml:space="preserve">The offence must be one "which such Magistrate is competent to try" and "which, in his opinion, could be adequately punished by him". [Source: Section 269, BNSS 2023]</t>
  </si>
  <si>
    <t xml:space="preserve">CASE_3761</t>
  </si>
  <si>
    <t xml:space="preserve">Under sub-section (7), if their attendance cannot be secured, "it shall be deemed that such witness has not been examined for not being available". Their earlier unchecked testimony is essentially nullified for the purpose of the trial. [Source: Section 269, BNSS 2023]</t>
  </si>
  <si>
    <t xml:space="preserve">CASE_3762</t>
  </si>
  <si>
    <t xml:space="preserve">The consequence is that it protects the accused's fundamental right to cross-examination; the court cannot base a conviction on the testimony of a complainant's witness if the defense never had the legal opportunity to challenge that testimony's truthfulness. [Source: Section 269, BNSS 2023]</t>
  </si>
  <si>
    <t xml:space="preserve">CASE_3763</t>
  </si>
  <si>
    <t xml:space="preserve">After the charges are framed, the prosecution's witnesses are cross-examined, and any remaining prosecution evidence is taken, the accused is then called upon to present their defense evidence. [Source: Section 270, BNSS 2023]</t>
  </si>
  <si>
    <t xml:space="preserve">Hugging Face source record: BNSS_270</t>
  </si>
  <si>
    <t xml:space="preserve">CASE_3764</t>
  </si>
  <si>
    <t xml:space="preserve">Section 270 of BNSS 2023 initiates the "Evidence for defence" phase in a warrant-case instituted otherwise than on a police report, simply applying the same rules found in section 266 to this stage. [Source: Section 270, BNSS 2023]</t>
  </si>
  <si>
    <t xml:space="preserve">CASE_3765</t>
  </si>
  <si>
    <t xml:space="preserve">"The accused shall then be called upon to enter upon his defence and produce his evidence". [Source: Section 270, BNSS 2023]</t>
  </si>
  <si>
    <t xml:space="preserve">CASE_3766</t>
  </si>
  <si>
    <t xml:space="preserve">"the provisions of section 266 shall apply to the case." [Source: Section 270, BNSS 2023]</t>
  </si>
  <si>
    <t xml:space="preserve">CASE_3767</t>
  </si>
  <si>
    <t xml:space="preserve">No, it explicitly cross-references section 266, ensuring the rules for presenting a defense and summoning defense witnesses are identical whether the case started via police report or private complaint. [Source: Section 270, BNSS 2023]</t>
  </si>
  <si>
    <t xml:space="preserve">CASE_3768</t>
  </si>
  <si>
    <t xml:space="preserve">The consequence is that it synchronizes the two different types of warrant-case trials (police report vs. private complaint); although they start differently, once the prosecution rests, the trial converges into identical procedures for the defense phase. [Source: Section 270, BNSS 2023]</t>
  </si>
  <si>
    <t xml:space="preserve">CASE_3769</t>
  </si>
  <si>
    <t xml:space="preserve">Acquittal or conviction</t>
  </si>
  <si>
    <t xml:space="preserve">It ends with the Magistrate recording an order of acquittal if the accused is found not guilty, or passing a sentence (after hearing the accused) if found guilty. [Source: Section 271, BNSS 2023]</t>
  </si>
  <si>
    <t xml:space="preserve">Hugging Face source record: BNSS_271</t>
  </si>
  <si>
    <t xml:space="preserve">CASE_3770</t>
  </si>
  <si>
    <t xml:space="preserve">Section 271 of BNSS 2023 governs "Acquittal or conviction" at the conclusion of a warrant-case trial, detailing the mandatory recording of acquittal, the hearing on sentencing for convictions, and the post-conviction procedure for proving previous criminal records. [Source: Section 271, BNSS 2023]</t>
  </si>
  <si>
    <t xml:space="preserve">CASE_3771</t>
  </si>
  <si>
    <t xml:space="preserve">No, under sub-section (2), when the Magistrate finds the accused guilty, "he shall, after hearing the accused on the question of sentence, pass sentence upon him according to law." The mandatory hearing on sentence was skipped. [Source: Section 271, BNSS 2023]</t>
  </si>
  <si>
    <t xml:space="preserve">CASE_3772</t>
  </si>
  <si>
    <t xml:space="preserve">"after he has convicted the said accused" (meaning after the conviction for the *current* offence is finalized). [Source: Section 271, BNSS 2023]</t>
  </si>
  <si>
    <t xml:space="preserve">CASE_3773</t>
  </si>
  <si>
    <t xml:space="preserve">Yes, sub-section (2) says the Magistrate shall pass sentence "but does not proceed in accordance with the provisions of section 364 or section 401" (which relate to submitting the proceedings to a Chief Judicial Magistrate for higher punishment, or releasing the offender on probation). [Source: Section 271, BNSS 2023]</t>
  </si>
  <si>
    <t xml:space="preserve">CASE_3774</t>
  </si>
  <si>
    <t xml:space="preserve">The consequence is that it completely walls off the accused's criminal history from the judge's mind while deciding guilt for the current incident, ensuring the verdict is based strictly on the current evidence, not past bad character. [Source: Section 271, BNSS 2023]</t>
  </si>
  <si>
    <t xml:space="preserve">CASE_3775</t>
  </si>
  <si>
    <t xml:space="preserve">Absence of complainant</t>
  </si>
  <si>
    <t xml:space="preserve">If it's a minor offence (non-cognizable or compoundable), the Magistrate can give the complainant 30 days' notice. If they still don't show up, the Magistrate can just discharge the accused and close the case before charges are even framed. [Source: Section 272, BNSS 2023]</t>
  </si>
  <si>
    <t xml:space="preserve">Hugging Face source record: BNSS_272</t>
  </si>
  <si>
    <t xml:space="preserve">CASE_3776</t>
  </si>
  <si>
    <t xml:space="preserve">Section 272 of BNSS 2023 addresses the "Absence of complainant" in warrant-cases instituted on complaint, giving the Magistrate discretion to discharge the accused if the complainant fails to appear for a compoundable or non-cognizable offence, after giving 30 days' time. [Source: Section 272, BNSS 2023]</t>
  </si>
  <si>
    <t xml:space="preserve">CASE_3777</t>
  </si>
  <si>
    <t xml:space="preserve">The Magistrate has the discretion to throw it out, but must first give "thirty days' time to the complainant to be present" before discharging the accused under this section. [Source: Section 272, BNSS 2023]</t>
  </si>
  <si>
    <t xml:space="preserve">CASE_3778</t>
  </si>
  <si>
    <t xml:space="preserve">The offence must be one that "may be lawfully compounded" OR "is not a cognizable offence". [Source: Section 272, BNSS 2023]</t>
  </si>
  <si>
    <t xml:space="preserve">CASE_3779</t>
  </si>
  <si>
    <t xml:space="preserve">No, this section explicitly restricts this power to offences that "may be lawfully compounded or is not a cognizable offence." Serious crimes cannot be dismissed just because the complainant missed a day. [Source: Section 272, BNSS 2023]</t>
  </si>
  <si>
    <t xml:space="preserve">CASE_3780</t>
  </si>
  <si>
    <t xml:space="preserve">The consequence is that the accused is protected from endless harassment by a malicious complainant who files a petty case just to drag the accused to court but never bothers to show up to actually prosecute the case. [Source: Section 272, BNSS 2023]</t>
  </si>
  <si>
    <t xml:space="preserve">CASE_3781</t>
  </si>
  <si>
    <t xml:space="preserve">Compensation for accusation without reasonable cause</t>
  </si>
  <si>
    <t xml:space="preserve">If the Magistrate thinks there was no reasonable ground for making the accusation, they can order the person who made the fake complaint to pay compensation to the accused, and if they don't pay, they can be sent to jail for up to 30 days. [Source: Section 273, BNSS 2023]</t>
  </si>
  <si>
    <t xml:space="preserve">Hugging Face source record: BNSS_273</t>
  </si>
  <si>
    <t xml:space="preserve">CASE_3782</t>
  </si>
  <si>
    <t xml:space="preserve">Section 273 of BNSS 2023 establishes the mechanism for "Compensation for accusation without reasonable cause," allowing Magistrates to fine complainants/informants who initiate baseless criminal cases and award that money to the wrongfully accused. [Source: Section 273, BNSS 2023]</t>
  </si>
  <si>
    <t xml:space="preserve">CASE_3783</t>
  </si>
  <si>
    <t xml:space="preserve">Yes, under sub-section (1), the Magistrate can call upon her to "show cause why he should not pay compensation to such accused", and under sub-section (2), order her to pay compensation not exceeding the amount of fine the Magistrate is empowered to impose. [Source: Section 273, BNSS 2023]</t>
  </si>
  <si>
    <t xml:space="preserve">CASE_3784</t>
  </si>
  <si>
    <t xml:space="preserve">The Magistrate must be "of opinion that there was no reasonable ground for making the accusation". [Source: Section 273, BNSS 2023]</t>
  </si>
  <si>
    <t xml:space="preserve">CASE_3785</t>
  </si>
  <si>
    <t xml:space="preserve">No, sub-section (5) states: "No person who has been directed to pay compensation under this section shall, by reason of such order, be exempted from any civil or criminal liability". However, the compensation paid will be taken into account in a subsequent civil suit. [Source: Section 273, BNSS 2023]</t>
  </si>
  <si>
    <t xml:space="preserve">CASE_3786</t>
  </si>
  <si>
    <t xml:space="preserve">The consequence is deterrence; it strongly discourages people from using the criminal justice system as a weapon for personal vendettas, knowing that filing a frivolous case could result in them having to personally pay the victim or go to jail themselves. [Source: Section 273, BNSS 2023]</t>
  </si>
  <si>
    <t xml:space="preserve">CASE_3787</t>
  </si>
  <si>
    <t xml:space="preserve">Substance of accusation to be stated</t>
  </si>
  <si>
    <t xml:space="preserve">It's much simpler. The Magistrate just tells the accused the "substance of the accusation" (what they are accused of) and asks how they plead. The Magistrate doesn't have to write up a formal, complex "charge" document. [Source: Section 274, BNSS 2023]</t>
  </si>
  <si>
    <t xml:space="preserve">Hugging Face source record: BNSS_274</t>
  </si>
  <si>
    <t xml:space="preserve">CASE_3788</t>
  </si>
  <si>
    <t xml:space="preserve">Section 274 of BNSS 2023 introduces the starting procedure for the "Trial of Summons-Cases," where the Magistrate simply states the particulars of the offence to the accused and takes their plea, explicitly dispensing with the need to frame a formal charge. [Source: Section 274, BNSS 2023]</t>
  </si>
  <si>
    <t xml:space="preserve">CASE_3789</t>
  </si>
  <si>
    <t xml:space="preserve">No, section 274 explicitly states that in a summons-case, "it shall not be necessary to frame a formal charge." Stating the particulars orally is legally sufficient. [Source: Section 274, BNSS 2023]</t>
  </si>
  <si>
    <t xml:space="preserve">CASE_3790</t>
  </si>
  <si>
    <t xml:space="preserve">The Magistrate shall "after recording reasons in writing, release the accused and such release shall have the effect of discharge." [Source: Section 274, BNSS 2023]</t>
  </si>
  <si>
    <t xml:space="preserve">CASE_3791</t>
  </si>
  <si>
    <t xml:space="preserve">No, the core requirement remains: "the particulars of the offence of which he is accused shall be stated to him". The accused still has a fundamental right to know the allegations. [Source: Section 274, BNSS 2023]</t>
  </si>
  <si>
    <t xml:space="preserve">CASE_3792</t>
  </si>
  <si>
    <t xml:space="preserve">The consequence is immense speed and efficiency; minor offences (like petty theft, traffic violations, or public nuisance) can be processed through the courts rapidly without bogging down the system with heavy procedural paperwork. [Source: Section 274, BNSS 2023]</t>
  </si>
  <si>
    <t xml:space="preserve">CASE_3793</t>
  </si>
  <si>
    <t xml:space="preserve">The Magistrate must record the plea using the exact words of the accused as much as possible, and then has the discretion to immediately convict the accused. [Source: Section 275, BNSS 2023]</t>
  </si>
  <si>
    <t xml:space="preserve">Hugging Face source record: BNSS_275</t>
  </si>
  <si>
    <t xml:space="preserve">CASE_3794</t>
  </si>
  <si>
    <t xml:space="preserve">Section 275 of BNSS 2023 establishes the procedure for a "Conviction on plea of guilty" in a summons-case, requiring the Magistrate to record the exact words of the plea before exercising discretion to convict. [Source: Section 275, BNSS 2023]</t>
  </si>
  <si>
    <t xml:space="preserve">CASE_3795</t>
  </si>
  <si>
    <t xml:space="preserve">No, under section 275, the Magistrate "shall record the plea as nearly as possible in the words used by the accused". The Magistrate must record the full statement, as the condition ("but he called my mother...") might amount to a legal defense (provocation), meaning it's not actually an unequivocal guilty plea. [Source: Section 275, BNSS 2023]</t>
  </si>
  <si>
    <t xml:space="preserve">CASE_3796</t>
  </si>
  <si>
    <t xml:space="preserve">It must be recorded "as nearly as possible in the words used by the accused". [Source: Section 275, BNSS 2023]</t>
  </si>
  <si>
    <t xml:space="preserve">CASE_3797</t>
  </si>
  <si>
    <t xml:space="preserve">No, the conviction is "in his discretion." A Magistrate might refuse to convict on a guilty plea if they suspect the accused is covering for someone else, or doesn't understand the law. [Source: Section 275, BNSS 2023]</t>
  </si>
  <si>
    <t xml:space="preserve">CASE_3798</t>
  </si>
  <si>
    <t xml:space="preserve">The consequence is that appellate courts can review the precise statement to ensure the accused made an unambiguous, voluntary admission of guilt, preventing unfair convictions based on a Magistrate misinterpreting a complex statement as a simple "guilty" plea. [Source: Section 275, BNSS 2023]</t>
  </si>
  <si>
    <t xml:space="preserve">CASE_3799</t>
  </si>
  <si>
    <t xml:space="preserve">Conviction on plea of guilty in absence of accused in petty cases</t>
  </si>
  <si>
    <t xml:space="preserve">No. If the summons allows it, the accused can plead guilty without appearing in court by sending a letter with their plea and the fine money by post or messenger, or they can authorize their lawyer to plead guilty on their behalf. [Source: Section 276, BNSS 2023]</t>
  </si>
  <si>
    <t xml:space="preserve">Hugging Face source record: BNSS_276</t>
  </si>
  <si>
    <t xml:space="preserve">CASE_3800</t>
  </si>
  <si>
    <t xml:space="preserve">Section 276 of BNSS 2023 introduces a convenience mechanism for petty cases, allowing an accused to plead guilty in absentia by transmitting a letter and the specified fine, or through an authorized advocate. [Source: Section 276, BNSS 2023]</t>
  </si>
  <si>
    <t xml:space="preserve">CASE_3801</t>
  </si>
  <si>
    <t xml:space="preserve">Under sub-section (1), she can "transmit to the Magistrate, by post or by messenger, a letter containing his plea and also the amount of fine specified in the summons." [Source: Section 276, BNSS 2023]</t>
  </si>
  <si>
    <t xml:space="preserve">CASE_3802</t>
  </si>
  <si>
    <t xml:space="preserve">"a letter containing his plea" AND "the amount of fine specified in the summons." [Source: Section 276, BNSS 2023]</t>
  </si>
  <si>
    <t xml:space="preserve">CASE_3803</t>
  </si>
  <si>
    <t xml:space="preserve">No, under sub-section (2), the Magistrate may only "sentence him to pay the fine specified in the summons". In-absentia pleas are strictly for fine-only resolutions in petty cases. [Source: Section 276, BNSS 2023]</t>
  </si>
  <si>
    <t xml:space="preserve">CASE_3804</t>
  </si>
  <si>
    <t xml:space="preserve">The consequence is massive relief for both the public and the courts; citizens avoid disproportionate travel expenses for minor fines, and courts can dispose of thousands of petty cases administratively without clogging the courtrooms. [Source: Section 276, BNSS 2023]</t>
  </si>
  <si>
    <t xml:space="preserve">CASE_3805</t>
  </si>
  <si>
    <t xml:space="preserve">Procedure when not convicted</t>
  </si>
  <si>
    <t xml:space="preserve">The Magistrate simply hears the prosecution and takes their evidence, and then immediately hears the accused and takes their defense evidence. The Magistrate can also issue summons for witnesses if requested. [Source: Section 277, BNSS 2023]</t>
  </si>
  <si>
    <t xml:space="preserve">Hugging Face source record: BNSS_277</t>
  </si>
  <si>
    <t xml:space="preserve">CASE_3806</t>
  </si>
  <si>
    <t xml:space="preserve">Section 277 of BNSS 2023 outlines the "Procedure when not convicted" (the actual trial phase) for summons-cases, mandating the Magistrate to take evidence from both the prosecution and the defense in a continuous, streamlined manner. [Source: Section 277, BNSS 2023]</t>
  </si>
  <si>
    <t xml:space="preserve">CASE_3807</t>
  </si>
  <si>
    <t xml:space="preserve">Yes, under sub-section (3), the Magistrate "may, before summoning any witness on such application, require that the reasonable expenses of the witness incurred in attending... be deposited in Court." [Source: Section 277, BNSS 2023]</t>
  </si>
  <si>
    <t xml:space="preserve">CASE_3808</t>
  </si>
  <si>
    <t xml:space="preserve">The Magistrate shall "proceed to hear the prosecution and take all such evidence as may be produced in support of the prosecution" before hearing the defense. [Source: Section 277, BNSS 2023]</t>
  </si>
  <si>
    <t xml:space="preserve">CASE_3809</t>
  </si>
  <si>
    <t xml:space="preserve">No, section 277 requires hearing the prosecution and then hearing the accused. Summons-cases (as per section 274) do not require the framing of a formal charge at any stage; the trial proceeds straight from prosecution evidence to defense evidence. [Source: Section 277, BNSS 2023]</t>
  </si>
  <si>
    <t xml:space="preserve">CASE_3810</t>
  </si>
  <si>
    <t xml:space="preserve">The consequence is a highly accelerated trial process; by eliminating the formal charge-framing step and moving directly from prosecution to defense, summons-cases can often be concluded in a single hearing day. [Source: Section 277, BNSS 2023]</t>
  </si>
  <si>
    <t xml:space="preserve">CASE_3811</t>
  </si>
  <si>
    <t xml:space="preserve">The Magistrate will either record an order of acquittal if the accused is not guilty, or pass a sentence of punishment if the accused is guilty. [Source: Section 278, BNSS 2023]</t>
  </si>
  <si>
    <t xml:space="preserve">Hugging Face source record: BNSS_278</t>
  </si>
  <si>
    <t xml:space="preserve">CASE_3812</t>
  </si>
  <si>
    <t xml:space="preserve">Section 278 of BNSS 2023 mandates the final judgment in a summons-case: recording an acquittal if evidence is insufficient, or passing a sentence if guilt is proven, while allowing conviction for alternative offences proved during the trial. [Source: Section 278, BNSS 2023]</t>
  </si>
  <si>
    <t xml:space="preserve">CASE_3813</t>
  </si>
  <si>
    <t xml:space="preserve">Yes, under sub-section (3), the Magistrate may convict the accused of *any* offence triable under this Chapter which the facts prove they committed, "whatever may be the nature of the complaint or summons," provided the accused is not prejudiced by this change. [Source: Section 278, BNSS 2023]</t>
  </si>
  <si>
    <t xml:space="preserve">CASE_3814</t>
  </si>
  <si>
    <t xml:space="preserve">Yes, the Magistrate can take the evidence referred to in section 277 "and such further evidence, if any, as he may, of his own motion, cause to be produced". The Magistrate can actively seek out evidence. [Source: Section 278, BNSS 2023]</t>
  </si>
  <si>
    <t xml:space="preserve">CASE_3815</t>
  </si>
  <si>
    <t xml:space="preserve">No, sub-section (2) provides exceptions if the Magistrate proceeds "in accordance with the provisions of section 364 or section 401" (e.g., sending the case to a higher Magistrate for heavier punishment, or releasing on probation). [Source: Section 278, BNSS 2023]</t>
  </si>
  <si>
    <t xml:space="preserve">CASE_3816</t>
  </si>
  <si>
    <t xml:space="preserve">The consequence is preventing guilty individuals from escaping justice on minor technicalities; it allows the court to adapt the final conviction to the actual facts proven at trial, without forcing the prosecution to start a whole new case just to fix a categorization error on the initial summons. [Source: Section 278, BNSS 2023]</t>
  </si>
  <si>
    <t xml:space="preserve">CASE_3817</t>
  </si>
  <si>
    <t xml:space="preserve">Non-appearance or death of complainant</t>
  </si>
  <si>
    <t xml:space="preserve">The Magistrate will give the complainant 30 days to appear. If they still don't show up, or if they have died, the Magistrate shall acquit the accused, unless there's a good reason to postpone the trial. [Source: Section 279, BNSS 2023]</t>
  </si>
  <si>
    <t xml:space="preserve">Hugging Face source record: BNSS_279</t>
  </si>
  <si>
    <t xml:space="preserve">CASE_3818</t>
  </si>
  <si>
    <t xml:space="preserve">Section 279 of BNSS 2023 addresses the "Non-appearance or death of complainant" in summons-cases, mandating the acquittal of the accused after a 30-day waiting period if the complainant fails to appear, with provisions for dispensing with their attendance if represented by counsel. [Source: Section 279, BNSS 2023]</t>
  </si>
  <si>
    <t xml:space="preserve">CASE_3819</t>
  </si>
  <si>
    <t xml:space="preserve">No, under sub-section (2), the provisions regarding non-appearance apply "to cases where the non-appearance of the complainant is due to his death." The Magistrate will likely acquit the accused unless there's a compelling reason to continue. [Source: Section 279, BNSS 2023]</t>
  </si>
  <si>
    <t xml:space="preserve">CASE_3820</t>
  </si>
  <si>
    <t xml:space="preserve">(1) "where the complainant is represented by an advocate or by the officer conducting the prosecution" or (2) "where the Magistrate is of opinion that the personal attendance of the complainant is not necessary". [Source: Section 279, BNSS 2023]</t>
  </si>
  <si>
    <t xml:space="preserve">CASE_3821</t>
  </si>
  <si>
    <t xml:space="preserve">No, the Magistrate shall acquit "unless for some reason he thinks it proper to adjourn the hearing of the case to some other day". [Source: Section 279, BNSS 2023]</t>
  </si>
  <si>
    <t xml:space="preserve">CASE_3822</t>
  </si>
  <si>
    <t xml:space="preserve">The consequence is finality; because it is an *acquittal*, double jeopardy applies. The complainant (or their heirs) cannot come back a year later and try to file the exact same minor case against the accused again. [Source: Section 279, BNSS 2023]</t>
  </si>
  <si>
    <t xml:space="preserve">CASE_3823</t>
  </si>
  <si>
    <t xml:space="preserve">Withdrawal of complaint</t>
  </si>
  <si>
    <t xml:space="preserve">Yes. At any point before the final order is given, if the complainant convinces the Magistrate there are good reasons, the Magistrate can let them withdraw the complaint, which results in the accused being acquitted. [Source: Section 280, BNSS 2023]</t>
  </si>
  <si>
    <t xml:space="preserve">Hugging Face source record: BNSS_280</t>
  </si>
  <si>
    <t xml:space="preserve">CASE_3824</t>
  </si>
  <si>
    <t xml:space="preserve">Section 280 of BNSS 2023 authorizes the "Withdrawal of complaint" in summons-cases, allowing a complainant, with the Magistrate's permission, to drop the charges before the final order, resulting in an acquittal for the accused. [Source: Section 280, BNSS 2023]</t>
  </si>
  <si>
    <t xml:space="preserve">CASE_3825</t>
  </si>
  <si>
    <t xml:space="preserve">Under section 280, if the Magistrate permits him to withdraw it, the Magistrate "shall thereupon acquit the accused against whom the complaint is so withdrawn." The case is permanently over. [Source: Section 280, BNSS 2023]</t>
  </si>
  <si>
    <t xml:space="preserve">CASE_3826</t>
  </si>
  <si>
    <t xml:space="preserve">"at any time before a final order is passed". [Source: Section 280, BNSS 2023]</t>
  </si>
  <si>
    <t xml:space="preserve">CASE_3827</t>
  </si>
  <si>
    <t xml:space="preserve">Yes, the section explicitly states the complainant can withdraw the complaint against the accused, "or if there be more than one accused, against all or any of them". [Source: Section 280, BNSS 2023]</t>
  </si>
  <si>
    <t xml:space="preserve">CASE_3828</t>
  </si>
  <si>
    <t xml:space="preserve">The consequence is that it prevents abuse of process; the court can refuse the withdrawal if it suspects the accused is extorting or violently intimidating the complainant into dropping the charges against their will. [Source: Section 280, BNSS 2023]</t>
  </si>
  <si>
    <t xml:space="preserve">CASE_3829</t>
  </si>
  <si>
    <t xml:space="preserve">Power to stop proceedings in certain cases</t>
  </si>
  <si>
    <t xml:space="preserve">Yes, in a summons-case not based on a private complaint (e.g., started by police), a First Class Magistrate can stop the proceedings at any stage for recorded reasons. If the main witnesses already testified, it counts as an acquittal; otherwise, it's just a discharge. [Source: Section 281, BNSS 2023]</t>
  </si>
  <si>
    <t xml:space="preserve">Hugging Face source record: BNSS_281</t>
  </si>
  <si>
    <t xml:space="preserve">CASE_3830</t>
  </si>
  <si>
    <t xml:space="preserve">Section 281 of BNSS 2023 grants the "Power to stop proceedings in certain cases," allowing specific Magistrates to halt summons-case trials (instituted otherwise than on complaint) at any stage, resulting in either a discharge or acquittal depending on whether principal witnesses have testified. [Source: Section 281, BNSS 2023]</t>
  </si>
  <si>
    <t xml:space="preserve">CASE_3831</t>
  </si>
  <si>
    <t xml:space="preserve">Under section 281, because the stoppage occurred *before* the evidence of principal witnesses was recorded, the Magistrate shall "release the accused, and such release shall have the effect of discharge." [Source: Section 281, BNSS 2023]</t>
  </si>
  <si>
    <t xml:space="preserve">CASE_3832</t>
  </si>
  <si>
    <t xml:space="preserve">"a Magistrate of the first class". (Any other Judicial Magistrate requires "the previous sanction of the Chief Judicial Magistrate"). [Source: Section 281, BNSS 2023]</t>
  </si>
  <si>
    <t xml:space="preserve">CASE_3833</t>
  </si>
  <si>
    <t xml:space="preserve">No, this power explicitly applies only "In any summons-case instituted otherwise than upon complaint". It cannot be used to arbitrarily shut down a private citizen's legal grievance. [Source: Section 281, BNSS 2023]</t>
  </si>
  <si>
    <t xml:space="preserve">CASE_3834</t>
  </si>
  <si>
    <t xml:space="preserve">The consequence is fairness regarding double jeopardy; if the prosecution has already presented its main case (witnesses) and the trial is stopped, the accused gets a final acquittal (cannot be retried). If it's stopped early, they only get a discharge (could potentially be charged again if better evidence arises). [Source: Section 281, BNSS 2023]</t>
  </si>
  <si>
    <t xml:space="preserve">CASE_3835</t>
  </si>
  <si>
    <t xml:space="preserve">Power of Court to convert summonscases into warrant-cases</t>
  </si>
  <si>
    <t xml:space="preserve">If the offence carries a penalty of more than 6 months in prison, the Magistrate can switch the trial mid-way to the stricter warrant-case procedure, re-hear the case, and recall witnesses. [Source: Section 282, BNSS 2023]</t>
  </si>
  <si>
    <t xml:space="preserve">Hugging Face source record: BNSS_282</t>
  </si>
  <si>
    <t xml:space="preserve">CASE_3836</t>
  </si>
  <si>
    <t xml:space="preserve">Section 282 of BNSS 2023 provides the "Power of Court to convert summons-cases into warrant-cases," allowing a Magistrate to upgrade the trial procedure mid-stream if justice demands it, provided the offence is punishable by more than six months imprisonment. [Source: Section 282, BNSS 2023]</t>
  </si>
  <si>
    <t xml:space="preserve">CASE_3837</t>
  </si>
  <si>
    <t xml:space="preserve">Under section 282, the Magistrate may "proceed to re-hear the case in the manner provided by this Sanhita for the trial of warrant-cases and may recall any witness who may have been examined." [Source: Section 282, BNSS 2023]</t>
  </si>
  <si>
    <t xml:space="preserve">CASE_3838</t>
  </si>
  <si>
    <t xml:space="preserve">The offence must be one "punishable with imprisonment for a term exceeding six months". [Source: Section 282, BNSS 2023]</t>
  </si>
  <si>
    <t xml:space="preserve">CASE_3839</t>
  </si>
  <si>
    <t xml:space="preserve">No, the conversion is strictly limited to offences punishable with "imprisonment for a term exceeding six months." Petty offences cannot be artificially escalated to warrant-case procedures. [Source: Section 282, BNSS 2023]</t>
  </si>
  <si>
    <t xml:space="preserve">CASE_3840</t>
  </si>
  <si>
    <t xml:space="preserve">The consequence is that if a case turns out to be more serious than initially thought, the accused is guaranteed the robust procedural protections of a warrant-case (like the formal framing of charges and multiple opportunities for cross-examination) rather than being railroaded through a simplified summons process. [Source: Section 282, BNSS 2023]</t>
  </si>
  <si>
    <t xml:space="preserve">CASE_3841</t>
  </si>
  <si>
    <t xml:space="preserve">Power to try summarily</t>
  </si>
  <si>
    <t xml:space="preserve">A summary trial is an extremely fast, simplified trial process used for minor offences. Magistrates must use it for specific petty crimes (like theft of property under ₹20,000, or minor insults). [Source: Section 283, BNSS 2023]</t>
  </si>
  <si>
    <t xml:space="preserve">Hugging Face source record: BNSS_283</t>
  </si>
  <si>
    <t xml:space="preserve">CASE_3842</t>
  </si>
  <si>
    <t xml:space="preserve">Section 283 of BNSS 2023 details the "Power to try summarily," mandating Chief Judicial Magistrates and First Class Magistrates to use a highly expedited summary trial procedure for a specific list of minor offences (e.g., small thefts, minor intimidation). [Source: Section 283, BNSS 2023]</t>
  </si>
  <si>
    <t xml:space="preserve">CASE_3843</t>
  </si>
  <si>
    <t xml:space="preserve">No. Because it is theft where the value of the property stolen does not exceed ₹20,000, sub-section (1)(i) mandates that a Magistrate "shall try in a summary way" this offence, resolving it quickly. [Source: Section 283, BNSS 2023]</t>
  </si>
  <si>
    <t xml:space="preserve">CASE_3844</t>
  </si>
  <si>
    <t xml:space="preserve">"where the value of the property... does not exceed twenty thousand rupees". [Source: Section 283, BNSS 2023]</t>
  </si>
  <si>
    <t xml:space="preserve">CASE_3845</t>
  </si>
  <si>
    <t xml:space="preserve">No, under sub-section (3), if the Magistrate decides "it is undesirable to try it summarily, the Magistrate shall recall any witnesses... and proceed to re-hear the case in the manner provided by this Sanhita" (e.g., as a regular warrant or summons case). [Source: Section 283, BNSS 2023]</t>
  </si>
  <si>
    <t xml:space="preserve">CASE_3846</t>
  </si>
  <si>
    <t xml:space="preserve">The consequence is a drastic reduction in court backlog; by forcing the fastest possible procedure for routine, low-stakes crimes, judicial resources are freed up to handle serious felonies like murder and rape. [Source: Section 283, BNSS 2023]</t>
  </si>
  <si>
    <t xml:space="preserve">CASE_3847</t>
  </si>
  <si>
    <t xml:space="preserve">Summary trial by Magistrate of second class</t>
  </si>
  <si>
    <t xml:space="preserve">Yes, but only if the High Court specifically gives them the power to do so, and they can only try very minor offences that are punished only by a fine or a maximum of 6 months in prison. [Source: Section 284, BNSS 2023]</t>
  </si>
  <si>
    <t xml:space="preserve">Hugging Face source record: BNSS_284</t>
  </si>
  <si>
    <t xml:space="preserve">CASE_3848</t>
  </si>
  <si>
    <t xml:space="preserve">Section 284 of BNSS 2023 authorizes the High Court to confer the power to conduct summary trials upon a Magistrate of the second class, strictly limiting their jurisdiction to offences punishable by fine only or up to six months imprisonment. [Source: Section 284, BNSS 2023]</t>
  </si>
  <si>
    <t xml:space="preserve">CASE_3849</t>
  </si>
  <si>
    <t xml:space="preserve">No, under section 284, a Second Class Magistrate can only be empowered to try summarily offences "which is punishable only with fine or with imprisonment for a term not exceeding six months". They cannot summarily try a 3-year offence. [Source: Section 284, BNSS 2023]</t>
  </si>
  <si>
    <t xml:space="preserve">CASE_3850</t>
  </si>
  <si>
    <t xml:space="preserve">"The High Court". [Source: Section 284, BNSS 2023]</t>
  </si>
  <si>
    <t xml:space="preserve">CASE_3851</t>
  </si>
  <si>
    <t xml:space="preserve">No, the power is not inherent. The High Court "may confer" it upon them; without explicit empowerment by the High Court, they cannot conduct summary trials. [Source: Section 284, BNSS 2023]</t>
  </si>
  <si>
    <t xml:space="preserve">CASE_3852</t>
  </si>
  <si>
    <t xml:space="preserve">The consequence is risk mitigation; summary trials have fewer procedural protections and less detailed record-keeping. Restricting newer/lower-level judges to very minor offences ensures that if they make a mistake during the rapid process, the potential unjust harm to the accused (max 6 months) is limited. [Source: Section 284, BNSS 2023]</t>
  </si>
  <si>
    <t xml:space="preserve">CASE_3853</t>
  </si>
  <si>
    <t xml:space="preserve">Procedure for summary trials</t>
  </si>
  <si>
    <t xml:space="preserve">No, summary trials generally just follow the existing rules for summons-cases (the simpler type of regular trial). However, there is a strict limit: a judge cannot give a prison sentence longer than 3 months in a summary trial. [Source: Section 285, BNSS 2023]</t>
  </si>
  <si>
    <t xml:space="preserve">Hugging Face source record: BNSS_285</t>
  </si>
  <si>
    <t xml:space="preserve">CASE_3854</t>
  </si>
  <si>
    <t xml:space="preserve">Section 285 of BNSS 2023 establishes that summary trials shall follow the procedure for summons-cases, and imposes a strict jurisdictional cap: no sentence of imprisonment exceeding three months can be passed upon conviction. [Source: Section 285, BNSS 2023]</t>
  </si>
  <si>
    <t xml:space="preserve">CASE_3855</t>
  </si>
  <si>
    <t xml:space="preserve">No, under sub-section (2), "No sentence of imprisonment for a term exceeding three months shall be passed in the case of any conviction under this Chapter." The sentence is illegal. [Source: Section 285, BNSS 2023]</t>
  </si>
  <si>
    <t xml:space="preserve">CASE_3856</t>
  </si>
  <si>
    <t xml:space="preserve">"the procedure specified in this Sanhita for the trial of summons-case shall be followed". [Source: Section 285, BNSS 2023]</t>
  </si>
  <si>
    <t xml:space="preserve">CASE_3857</t>
  </si>
  <si>
    <t xml:space="preserve">No, the 3-month limit is absolute for convictions *under this Chapter*. If the Magistrate believes a harsher sentence is required, they must use Section 283(3) to recall witnesses and re-hear the case as a regular warrant/summons case, abandoning the summary procedure. [Source: Section 285, BNSS 2023]</t>
  </si>
  <si>
    <t xml:space="preserve">CASE_3858</t>
  </si>
  <si>
    <t xml:space="preserve">The consequence is a balance of power; it allows the state to process minor crimes incredibly fast by skipping complex procedural protections, but protects the accused by ensuring this "fast-track" justice cannot result in severe, long-term loss of liberty. [Source: Section 285, BNSS 2023]</t>
  </si>
  <si>
    <t xml:space="preserve">CASE_3859</t>
  </si>
  <si>
    <t xml:space="preserve">Record in summary trials</t>
  </si>
  <si>
    <t xml:space="preserve">No, the record-keeping is very minimal. The Magistrate only has to fill out a specific form with basic details like the date, the name of the accused, the offence, the plea, the final finding, and the sentence. [Source: Section 286, BNSS 2023]</t>
  </si>
  <si>
    <t xml:space="preserve">Hugging Face source record: BNSS_286</t>
  </si>
  <si>
    <t xml:space="preserve">CASE_3860</t>
  </si>
  <si>
    <t xml:space="preserve">Section 286 of BNSS 2023 outlines the mandatory "Record in summary trials," requiring the Magistrate to enter specific, abbreviated particulars (like case number, offence, plea, and finding) in a form directed by the State Government, dispensing with detailed trial transcripts. [Source: Section 286, BNSS 2023]</t>
  </si>
  <si>
    <t xml:space="preserve">CASE_3861</t>
  </si>
  <si>
    <t xml:space="preserve">Generally, no. Under section 286, the Magistrate is only required to enter specific basic particulars (a through j). Full verbatim transcripts of evidence are not mandated for the standard record in summary trials. [Source: Section 286, BNSS 2023]</t>
  </si>
  <si>
    <t xml:space="preserve">CASE_3862</t>
  </si>
  <si>
    <t xml:space="preserve">"the value of the property in respect of which the offence has been committed". [Source: Section 286, BNSS 2023]</t>
  </si>
  <si>
    <t xml:space="preserve">CASE_3863</t>
  </si>
  <si>
    <t xml:space="preserve">No, the section states the Magistrate shall enter the particulars "in such form as the State Government may direct". [Source: Section 286, BNSS 2023]</t>
  </si>
  <si>
    <t xml:space="preserve">CASE_3864</t>
  </si>
  <si>
    <t xml:space="preserve">The consequence is the massive acceleration of the judicial process; by removing the burden of meticulously documenting every word spoken in court, Magistrates can finalize a dozen petty cases in the time it would normally take to document just one. [Source: Section 286, BNSS 2023]</t>
  </si>
  <si>
    <t xml:space="preserve">CASE_3865</t>
  </si>
  <si>
    <t xml:space="preserve">Judgment in cases tried summarily</t>
  </si>
  <si>
    <t xml:space="preserve">The judge must write a judgment that contains a brief summary of the evidence presented and a short explanation of the reasons why they found the person guilty. [Source: Section 287, BNSS 2023]</t>
  </si>
  <si>
    <t xml:space="preserve">Hugging Face source record: BNSS_287</t>
  </si>
  <si>
    <t xml:space="preserve">CASE_3866</t>
  </si>
  <si>
    <t xml:space="preserve">Section 287 of BNSS 2023 mandates that in contested summary trials (where the accused does not plead guilty), the Magistrate must record the "substance of the evidence" and write a judgment containing a brief statement of the reasons for their finding. [Source: Section 287, BNSS 2023]</t>
  </si>
  <si>
    <t xml:space="preserve">CASE_3867</t>
  </si>
  <si>
    <t xml:space="preserve">No. Under section 287, because the accused did not plead guilty, the Magistrate "shall record the substance of the evidence and a judgment containing a brief statement of the reasons for the finding." Just writing "Guilty" is insufficient. [Source: Section 287, BNSS 2023]</t>
  </si>
  <si>
    <t xml:space="preserve">CASE_3868</t>
  </si>
  <si>
    <t xml:space="preserve">(1) "the substance of the evidence" AND (2) "a judgment containing a brief statement of the reasons for the finding." [Source: Section 287, BNSS 2023]</t>
  </si>
  <si>
    <t xml:space="preserve">CASE_3869</t>
  </si>
  <si>
    <t xml:space="preserve">No, the requirement only applies "in which the accused does not plead guilty". If they plead guilty, the basic record under Section 286 is sufficient. [Source: Section 287, BNSS 2023]</t>
  </si>
  <si>
    <t xml:space="preserve">CASE_3870</t>
  </si>
  <si>
    <t xml:space="preserve">The consequence is that it provides a minimal safeguard against arbitrary convictions; it forces the Magistrate to rationally link the evidence to the verdict, and gives a higher court at least some material to review if the accused appeals the summary conviction. [Source: Section 287, BNSS 2023]</t>
  </si>
  <si>
    <t xml:space="preserve">CASE_3871</t>
  </si>
  <si>
    <t xml:space="preserve">Language of record and judgment</t>
  </si>
  <si>
    <t xml:space="preserve">The record and judgment must be written in the court's language. The High Court can allow the Magistrate to use a specially appointed court officer to do the actual preparing/writing, but the Magistrate must personally sign it. [Source: Section 288, BNSS 2023]</t>
  </si>
  <si>
    <t xml:space="preserve">Hugging Face source record: BNSS_288</t>
  </si>
  <si>
    <t xml:space="preserve">CASE_3872</t>
  </si>
  <si>
    <t xml:space="preserve">Section 288 of BNSS 2023 dictates the language of the record/judgment in summary trials and permits the High Court to authorize Magistrates to delegate the physical preparation of these documents to an appointed officer, provided the Magistrate signs them. [Source: Section 288, BNSS 2023]</t>
  </si>
  <si>
    <t xml:space="preserve">CASE_3873</t>
  </si>
  <si>
    <t xml:space="preserve">No. While sub-section (2) allows the preparation of the record/judgment by an appointed officer, it explicitly mandates that "the record or judgment so prepared shall be signed by such Magistrate." A clerk cannot sign for the Magistrate. [Source: Section 288, BNSS 2023]</t>
  </si>
  <si>
    <t xml:space="preserve">CASE_3874</t>
  </si>
  <si>
    <t xml:space="preserve">"The High Court may authorise" the Magistrate to do so, using an officer "appointed in this behalf by the Chief Judicial Magistrate". [Source: Section 288, BNSS 2023]</t>
  </si>
  <si>
    <t xml:space="preserve">CASE_3875</t>
  </si>
  <si>
    <t xml:space="preserve">No, sub-section (1) mandates: "Every such record and judgment shall be written in the language of the Court." [Source: Section 288, BNSS 2023]</t>
  </si>
  <si>
    <t xml:space="preserve">CASE_3876</t>
  </si>
  <si>
    <t xml:space="preserve">The consequence is increased administrative efficiency; the Magistrate can focus purely on hearing evidence and making decisions, while clerks handle the bureaucratic paperwork of filling out the summary forms, speeding up the docket. [Source: Section 288, BNSS 2023]</t>
  </si>
  <si>
    <t xml:space="preserve">CASE_3877</t>
  </si>
  <si>
    <t xml:space="preserve">Application of Chapter</t>
  </si>
  <si>
    <t xml:space="preserve">Plea bargaining is a process where the accused negotiates with the victim/prosecution to get a lighter sentence in exchange for admitting guilt. No, it cannot be used for crimes punished by death, life in prison, or more than 7 years in prison, nor for crimes against women, children, or the socio-economic condition of the country. [Source: Section 289, BNSS 2023]</t>
  </si>
  <si>
    <t xml:space="preserve">Hugging Face source record: BNSS_289</t>
  </si>
  <si>
    <t xml:space="preserve">CASE_3878</t>
  </si>
  <si>
    <t xml:space="preserve">Section 289 of BNSS 2023 defines the application of plea bargaining, restricting it to offences punishable by up to seven years imprisonment, and explicitly excluding serious crimes (death/life sentences), crimes against women/children, and socio-economic offences. [Source: Section 289, BNSS 2023]</t>
  </si>
  <si>
    <t xml:space="preserve">CASE_3879</t>
  </si>
  <si>
    <t xml:space="preserve">No, sub-section (1) explicitly states that plea bargaining "does not apply where such offence... has been committed against a woman, or a child." [Source: Section 289, BNSS 2023]</t>
  </si>
  <si>
    <t xml:space="preserve">CASE_3880</t>
  </si>
  <si>
    <t xml:space="preserve">The offence must be one "other than an offence for which the punishment... of imprisonment for a term exceeding seven years has been provided". Therefore, the maximum eligible punishment is 7 years. [Source: Section 289, BNSS 2023]</t>
  </si>
  <si>
    <t xml:space="preserve">CASE_3881</t>
  </si>
  <si>
    <t xml:space="preserve">No, even if it is under 7 years, it is excepted (ineligible) if it "affects the socio-economic condition of the country or has been committed against a woman, or a child." [Source: Section 289, BNSS 2023]</t>
  </si>
  <si>
    <t xml:space="preserve">CASE_3882</t>
  </si>
  <si>
    <t xml:space="preserve">The consequence is that it prevents wealthy or powerful offenders from "buying their way out" of serious societal harms (like large-scale corruption or violence against vulnerable populations) through private financial settlements, ensuring the state maintains strict punitive deterrence for those specific crimes. [Source: Section 289, BNSS 2023]</t>
  </si>
  <si>
    <t xml:space="preserve">CASE_3883</t>
  </si>
  <si>
    <t xml:space="preserve">Application for plea bargaining</t>
  </si>
  <si>
    <t xml:space="preserve">The accused must file an application within 30 days of the charges being framed. They must include an affidavit swearing they are doing it voluntarily, understand the punishment, and aren't repeat offenders for this crime. The judge then checks with them in private to make sure they weren't forced into it. [Source: Section 290, BNSS 2023]</t>
  </si>
  <si>
    <t xml:space="preserve">Hugging Face source record: BNSS_290</t>
  </si>
  <si>
    <t xml:space="preserve">CASE_3884</t>
  </si>
  <si>
    <t xml:space="preserve">Section 290 of BNSS 2023 initiates the plea bargaining process, detailing the requirements for the accused's application (including timelines and affidavits), the mandatory "in camera" voluntariness check by the Court, and the timeline for working out a disposition. [Source: Section 290, BNSS 2023]</t>
  </si>
  <si>
    <t xml:space="preserve">CASE_3885</t>
  </si>
  <si>
    <t xml:space="preserve">No, under sub-section (1), the application for plea bargaining must be filed "within a period of thirty days from the date of framing of charge". He missed the deadline. [Source: Section 290, BNSS 2023]</t>
  </si>
  <si>
    <t xml:space="preserve">CASE_3886</t>
  </si>
  <si>
    <t xml:space="preserve">Under sub-section (4), the Court shall examine the accused "in camera, where the other party in the case shall not be present". (The prosecutor/complainant cannot be there). [Source: Section 290, BNSS 2023]</t>
  </si>
  <si>
    <t xml:space="preserve">CASE_3887</t>
  </si>
  <si>
    <t xml:space="preserve">No, the affidavit under sub-section (2) requires stating "that he has not previously been convicted by a Court in which he had been charged with the same offence." If the Court finds out he has been (sub-section 4(b)), plea bargaining fails. [Source: Section 290, BNSS 2023]</t>
  </si>
  <si>
    <t xml:space="preserve">CASE_3888</t>
  </si>
  <si>
    <t xml:space="preserve">The consequence is the prevention of coercion; it gives the accused a safe, private space to tell the judge if the police or prosecutor secretly threatened them or extorted them into filing the plea bargaining application, ensuring the waiver of their right to a full trial is genuinely voluntary. [Source: Section 290, BNSS 2023]</t>
  </si>
  <si>
    <t xml:space="preserve">CASE_3889</t>
  </si>
  <si>
    <t xml:space="preserve">Guidelines for mutually satisfactory disposition</t>
  </si>
  <si>
    <t xml:space="preserve">The court holds a meeting. If it's a police case, the prosecutor, police officer, accused, and victim participate. If it's a private complaint, just the accused and the victim meet. The accused and victim can bring their lawyers. [Source: Section 291, BNSS 2023]</t>
  </si>
  <si>
    <t xml:space="preserve">Hugging Face source record: BNSS_291</t>
  </si>
  <si>
    <t xml:space="preserve">CASE_3890</t>
  </si>
  <si>
    <t xml:space="preserve">Section 291 of BNSS 2023 establishes the "Guidelines for mutually satisfactory disposition," identifying the mandatory participants for the plea bargaining meetings (differing based on whether it's a police report or complaint case) and emphasizing the Court's duty to ensure voluntary participation. [Source: Section 291, BNSS 2023]</t>
  </si>
  <si>
    <t xml:space="preserve">CASE_3891</t>
  </si>
  <si>
    <t xml:space="preserve">No. Under clause (a), in a case instituted on a police report, the Court "shall issue notice to the Public Prosecutor, the police officer who has investigated the case, the accused and the victim of the case to participate". The police officer's exclusion violates the procedure. [Source: Section 291, BNSS 2023]</t>
  </si>
  <si>
    <t xml:space="preserve">CASE_3892</t>
  </si>
  <si>
    <t xml:space="preserve">"it shall be the duty of the Court to ensure that the entire process is completed voluntarily by the parties participating in the meeting". [Source: Section 291, BNSS 2023]</t>
  </si>
  <si>
    <t xml:space="preserve">CASE_3893</t>
  </si>
  <si>
    <t xml:space="preserve">No, the proviso to both clauses states that "the accused, if he so desires, may participate in such meeting with his advocate". The victim may also bring an advocate. [Source: Section 291, BNSS 2023]</t>
  </si>
  <si>
    <t xml:space="preserve">CASE_3894</t>
  </si>
  <si>
    <t xml:space="preserve">The consequence is that it ensures state interests are represented; the police can provide context on the severity of the crime and the accused's background, preventing the accused from strong-arming a vulnerable victim into an inappropriately lenient settlement without state oversight. [Source: Section 291, BNSS 2023]</t>
  </si>
  <si>
    <t xml:space="preserve">CASE_3895</t>
  </si>
  <si>
    <t xml:space="preserve">Report of mutually satisfactory disposition to be submitted before Court</t>
  </si>
  <si>
    <t xml:space="preserve">If they reach an agreement, the judge writes a report about it, and everyone who participated signs it. If they can't agree, the judge notes the failure, and the regular trial just starts up again from where it paused. [Source: Section 292, BNSS 2023]</t>
  </si>
  <si>
    <t xml:space="preserve">Hugging Face source record: BNSS_292</t>
  </si>
  <si>
    <t xml:space="preserve">CASE_3896</t>
  </si>
  <si>
    <t xml:space="preserve">Section 292 of BNSS 2023 mandates the submission of a "Report of mutually satisfactory disposition," requiring it to be signed by the judge and all participants if an agreement is reached, or directing the resumption of the regular trial if negotiations fail. [Source: Section 292, BNSS 2023]</t>
  </si>
  <si>
    <t xml:space="preserve">CASE_3897</t>
  </si>
  <si>
    <t xml:space="preserve">The court failed to get the signatures of the participants. Section 292 requires that the report "shall be signed by the presiding officer of the Court and all other persons who participated in the meeting". [Source: Section 292, BNSS 2023]</t>
  </si>
  <si>
    <t xml:space="preserve">CASE_3898</t>
  </si>
  <si>
    <t xml:space="preserve">It proceeds "from the stage the application under sub-section (1) of section 290 has been filed in such case." (It resumes exactly where it paused). [Source: Section 292, BNSS 2023]</t>
  </si>
  <si>
    <t xml:space="preserve">CASE_3899</t>
  </si>
  <si>
    <t xml:space="preserve">No. Section 291 emphasizes the process must be "voluntary." If the victim refuses, then under section 292, "if no such disposition has been worked out," the court simply records that fact and proceeds with the trial. The court cannot impose a settlement. [Source: Section 292, BNSS 2023]</t>
  </si>
  <si>
    <t xml:space="preserve">CASE_3900</t>
  </si>
  <si>
    <t xml:space="preserve">The consequence is the creation of a binding, undeniable record of consent; it prevents any party (especially the accused or the victim) from later appealing or sabotaging the agreement by claiming they misunderstood the terms or were excluded from the final decision. [Source: Section 292, BNSS 2023]</t>
  </si>
  <si>
    <t xml:space="preserve">CASE_3901</t>
  </si>
  <si>
    <t xml:space="preserve">Disposal of case</t>
  </si>
  <si>
    <t xml:space="preserve">The judge will first award the agreed compensation to the victim. For punishment, the judge can release the accused on probation if eligible. If not, the judge will give them half the minimum sentence required by law (or 1/4th for first-time offenders). If there is no minimum law, the judge gives 1/4th of the maximum sentence (or 1/6th for first-time offenders). [Source: Section 293, BNSS 2023]</t>
  </si>
  <si>
    <t xml:space="preserve">Hugging Face source record: BNSS_293</t>
  </si>
  <si>
    <t xml:space="preserve">CASE_3902</t>
  </si>
  <si>
    <t xml:space="preserve">Section 293 of BNSS 2023 dictates the "Disposal of case" following a successful plea bargain, establishing a strict, mathematically reduced sentencing formula (ranging from probation, to half/quarter of minimums, to quarter/sixth of maximums) depending on the offence and offender's history. [Source: Section 293, BNSS 2023]</t>
  </si>
  <si>
    <t xml:space="preserve">CASE_3903</t>
  </si>
  <si>
    <t xml:space="preserve">Under clause (c), because there is a minimum punishment, and he is *not* a first-time offender, the court "may sentence the accused to half of such minimum punishment". Half of 2 years is 1 year in prison. [Source: Section 293, BNSS 2023]</t>
  </si>
  <si>
    <t xml:space="preserve">CASE_3904</t>
  </si>
  <si>
    <t xml:space="preserve">"the Court shall award the compensation to the victim in accordance with the disposition". [Source: Section 293, BNSS 2023]</t>
  </si>
  <si>
    <t xml:space="preserve">CASE_3905</t>
  </si>
  <si>
    <t xml:space="preserve">No, under clause (b), if the Court views that the provisions of the Probation of Offenders Act are attracted, "it may release the accused on probation or provide the benefit of any such law" instead of imposing prison time. [Source: Section 293, BNSS 2023]</t>
  </si>
  <si>
    <t xml:space="preserve">CASE_3906</t>
  </si>
  <si>
    <t xml:space="preserve">The consequence is predictability and fairness; it removes judicial arbitrariness, guaranteeing accused persons exactly how much their sentence will be reduced if they waive their right to a trial, which heavily incentivizes utilizing the plea bargaining system. [Source: Section 293, BNSS 2023]</t>
  </si>
  <si>
    <t xml:space="preserve">CASE_3907</t>
  </si>
  <si>
    <t xml:space="preserve">Judgment of Court</t>
  </si>
  <si>
    <t xml:space="preserve">The judge must deliver the final judgment in an open courtroom (where the public can see) and physically sign it. [Source: Section 294, BNSS 2023]</t>
  </si>
  <si>
    <t xml:space="preserve">Hugging Face source record: BNSS_294</t>
  </si>
  <si>
    <t xml:space="preserve">CASE_3908</t>
  </si>
  <si>
    <t xml:space="preserve">Section 294 of BNSS 2023 states the formal requirement for the "Judgment of Court" in plea bargaining cases, mandating that the final judgment be delivered in open Court and signed by the presiding officer. [Source: Section 294, BNSS 2023]</t>
  </si>
  <si>
    <t xml:space="preserve">CASE_3909</t>
  </si>
  <si>
    <t xml:space="preserve">No. Under section 294, "The Court shall deliver its judgment in terms of section 293 in the open Court". It cannot be done secretly or merely via mail. [Source: Section 294, BNSS 2023]</t>
  </si>
  <si>
    <t xml:space="preserve">CASE_3910</t>
  </si>
  <si>
    <t xml:space="preserve">Deliver it "in the open Court" AND "the same shall be signed by the presiding officer". [Source: Section 294, BNSS 2023]</t>
  </si>
  <si>
    <t xml:space="preserve">CASE_3911</t>
  </si>
  <si>
    <t xml:space="preserve">No, while the initial voluntariness check (Section 290) is done in camera, the final judgment under Section 294 explicitly "shall" be delivered in open Court. [Source: Section 294, BNSS 2023]</t>
  </si>
  <si>
    <t xml:space="preserve">CASE_3912</t>
  </si>
  <si>
    <t xml:space="preserve">The consequence is transparency; even though the negotiations happened privately, the final result—the crime admitted to, the compensation paid, and the reduced sentence given—becomes a matter of public record, maintaining public trust in the justice system and preventing secret deals. [Source: Section 294, BNSS 2023]</t>
  </si>
  <si>
    <t xml:space="preserve">CASE_3913</t>
  </si>
  <si>
    <t xml:space="preserve">Finality of judgment</t>
  </si>
  <si>
    <t xml:space="preserve">Generally, no. The judgment is final and no regular appeal is allowed. The only exceptions are special, extraordinary constitutional appeals to the High Court or Supreme Court (under Articles 136, 226, and 227). [Source: Section 295, BNSS 2023]</t>
  </si>
  <si>
    <t xml:space="preserve">Hugging Face source record: BNSS_295</t>
  </si>
  <si>
    <t xml:space="preserve">CASE_3914</t>
  </si>
  <si>
    <t xml:space="preserve">Section 295 of BNSS 2023 establishes the "Finality of judgment" for plea bargaining, barring all statutory appeals against the Court's judgment and permitting only constitutional writ petitions and special leave petitions. [Source: Section 295, BNSS 2023]</t>
  </si>
  <si>
    <t xml:space="preserve">CASE_3915</t>
  </si>
  <si>
    <t xml:space="preserve">No, under section 295, "The judgment delivered by the Court under this section shall be final and no appeal... shall lie in any Court against such judgment." The Sessions Court must dismiss it. [Source: Section 295, BNSS 2023]</t>
  </si>
  <si>
    <t xml:space="preserve">CASE_3916</t>
  </si>
  <si>
    <t xml:space="preserve">"the special leave petition under article 136 and writ petition under articles 226 and 227 of the Constitution". [Source: Section 295, BNSS 2023]</t>
  </si>
  <si>
    <t xml:space="preserve">CASE_3917</t>
  </si>
  <si>
    <t xml:space="preserve">No, the section explicitly carves out exceptions for constitutional review by the highest courts: "(except the special leave petition under article 136 and writ petition under articles 226 and 227 of the Constitution)". [Source: Section 295, BNSS 2023]</t>
  </si>
  <si>
    <t xml:space="preserve">CASE_3918</t>
  </si>
  <si>
    <t xml:space="preserve">The consequence is preserving the core benefit of plea bargaining: judicial efficiency. If accused persons could plead guilty to get a lighter sentence and then immediately appeal to get it reduced further, it would clog the appellate courts and defeat the purpose of a final "deal." [Source: Section 295, BNSS 2023]</t>
  </si>
  <si>
    <t xml:space="preserve">CASE_3919</t>
  </si>
  <si>
    <t xml:space="preserve">Power of Court in plea bargaining</t>
  </si>
  <si>
    <t xml:space="preserve">No, the court retains all its normal powers regarding bail, trial procedures, and case disposal while discharging its plea bargaining functions. [Source: Section 296, BNSS 2023]</t>
  </si>
  <si>
    <t xml:space="preserve">Hugging Face source record: BNSS_296</t>
  </si>
  <si>
    <t xml:space="preserve">CASE_3920</t>
  </si>
  <si>
    <t xml:space="preserve">Section 296 of BNSS 2023 clarifies the "Power of Court in plea bargaining," explicitly stating that the Court retains all vested powers regarding bail, trial of offences, and other disposal matters under the Sanhita while handling plea bargains. [Source: Section 296, BNSS 2023]</t>
  </si>
  <si>
    <t xml:space="preserve">CASE_3921</t>
  </si>
  <si>
    <t xml:space="preserve">No. Under section 296, the Court "shall have... all the powers vested in respect of bail... and other matters relating to the disposal of a case". The judge can still hear the bail application. [Source: Section 296, BNSS 2023]</t>
  </si>
  <si>
    <t xml:space="preserve">CASE_3922</t>
  </si>
  <si>
    <t xml:space="preserve">"bail, trial of offences and other matters relating to the disposal of a case". [Source: Section 296, BNSS 2023]</t>
  </si>
  <si>
    <t xml:space="preserve">CASE_3923</t>
  </si>
  <si>
    <t xml:space="preserve">No, section 296 ensures that the regular criminal courts simply utilize their existing, comprehensive powers "under this Sanhita" to manage the plea bargaining process. [Source: Section 296, BNSS 2023]</t>
  </si>
  <si>
    <t xml:space="preserve">CASE_3924</t>
  </si>
  <si>
    <t xml:space="preserve">The consequence is administrative continuity; it ensures there are no procedural "black holes" where a judge is powerless to manage an accused's custody or handle emergent issues simply because the parties are attempting to negotiate a plea. [Source: Section 296, BNSS 2023]</t>
  </si>
  <si>
    <t xml:space="preserve">CASE_3925</t>
  </si>
  <si>
    <t xml:space="preserve">Period of detention undergone by accused to be set off against sentence of imprisonment</t>
  </si>
  <si>
    <t xml:space="preserve">No, the 6 months they already spent in jail will be "set off" (subtracted) from their final 1-year sentence, just like in a regular trial. They will only have to serve the remaining 6 months. [Source: Section 297, BNSS 2023]</t>
  </si>
  <si>
    <t xml:space="preserve">Hugging Face source record: BNSS_297</t>
  </si>
  <si>
    <t xml:space="preserve">CASE_3926</t>
  </si>
  <si>
    <t xml:space="preserve">Section 297 of BNSS 2023 applies the principle of "set off" (referencing section 468) to plea bargaining, mandating that any period of detention already undergone by the accused must be deducted from the sentence imposed under Chapter XXIII. [Source: Section 297, BNSS 2023]</t>
  </si>
  <si>
    <t xml:space="preserve">CASE_3927</t>
  </si>
  <si>
    <t xml:space="preserve">Because of the "set off" provision in section 297, his 2 years of prior detention completely satisfy the 1.5-year sentence. He should be released immediately (unless held on other charges). [Source: Section 297, BNSS 2023]</t>
  </si>
  <si>
    <t xml:space="preserve">CASE_3928</t>
  </si>
  <si>
    <t xml:space="preserve">"The provisions of section 468 shall apply". [Source: Section 297, BNSS 2023]</t>
  </si>
  <si>
    <t xml:space="preserve">CASE_3929</t>
  </si>
  <si>
    <t xml:space="preserve">No, it explicitly applies "in the same manner as they apply in respect of the imprisonment under other provisions of this Sanhita." [Source: Section 297, BNSS 2023]</t>
  </si>
  <si>
    <t xml:space="preserve">CASE_3930</t>
  </si>
  <si>
    <t xml:space="preserve">The consequence is fairness and incentive; if undertrial prisoners knew their prior jail time wouldn't count towards a plea-bargained sentence, they would have zero incentive to plead guilty and would instead fight the case to the bitter end just to get their time credited, clogging the courts. [Source: Section 297, BNSS 2023]</t>
  </si>
  <si>
    <t xml:space="preserve">CASE_3931</t>
  </si>
  <si>
    <t xml:space="preserve">Savings</t>
  </si>
  <si>
    <t xml:space="preserve">The Plea Bargaining chapter wins. Its rules override any inconsistent rules found elsewhere in the criminal code. [Source: Section 298, BNSS 2023]</t>
  </si>
  <si>
    <t xml:space="preserve">Hugging Face source record: BNSS_298</t>
  </si>
  <si>
    <t xml:space="preserve">CASE_3932</t>
  </si>
  <si>
    <t xml:space="preserve">Section 298 of BNSS 2023 uses a "Savings" clause with overriding effect, stating that the provisions of the plea bargaining chapter shall prevail over any inconsistent provisions elsewhere in the Sanhita. [Source: Section 298, BNSS 2023]</t>
  </si>
  <si>
    <t xml:space="preserve">CASE_3933</t>
  </si>
  <si>
    <t xml:space="preserve">The judge follows the plea bargaining rule. Under section 298, the provisions of the plea bargaining chapter "shall have effect notwithstanding anything inconsistent therewith contained in any other provisions of this Sanhita". [Source: Section 298, BNSS 2023]</t>
  </si>
  <si>
    <t xml:space="preserve">CASE_3934</t>
  </si>
  <si>
    <t xml:space="preserve">Yes, it "includes an Assistant Public Prosecutor appointed under section 19." [Source: Section 298, BNSS 2023]</t>
  </si>
  <si>
    <t xml:space="preserve">CASE_3935</t>
  </si>
  <si>
    <t xml:space="preserve">No, section 298 explicitly forbids this: "nothing in such other provisions shall be construed to constrain the meaning of any provision of this Chapter." [Source: Section 298, BNSS 2023]</t>
  </si>
  <si>
    <t xml:space="preserve">CASE_3936</t>
  </si>
  <si>
    <t xml:space="preserve">The consequence is that Chapter XXIII acts as a self-contained, insulated sub-system within the criminal code; it guarantees that the special incentives (like massively reduced sentences) offered to induce guilty pleas cannot be invalidated by rigid sentencing mandates found in the general law. [Source: Section 298, BNSS 2023]</t>
  </si>
  <si>
    <t xml:space="preserve">CASE_3937</t>
  </si>
  <si>
    <t xml:space="preserve">Statements of accused not to be used</t>
  </si>
  <si>
    <t xml:space="preserve">Absolutely not. Anything stated in the plea bargaining application cannot be used for any other purpose, including as evidence of guilt in a subsequent trial. [Source: Section 299, BNSS 2023]</t>
  </si>
  <si>
    <t xml:space="preserve">Hugging Face source record: BNSS_299</t>
  </si>
  <si>
    <t xml:space="preserve">CASE_3938</t>
  </si>
  <si>
    <t xml:space="preserve">Section 299 of BNSS 2023 provides absolute immunity regarding "Statements of accused not to be used," prohibiting any statements or facts admitted in a plea bargaining application from being used for any purpose outside of the plea bargaining process itself. [Source: Section 299, BNSS 2023]</t>
  </si>
  <si>
    <t xml:space="preserve">CASE_3939</t>
  </si>
  <si>
    <t xml:space="preserve">No. Under section 299, "the statements or facts stated by an accused in an application for plea bargaining... shall not be used for any other purpose except for the purpose of this Chapter." The affidavit is inadmissible. [Source: Section 299, BNSS 2023]</t>
  </si>
  <si>
    <t xml:space="preserve">CASE_3940</t>
  </si>
  <si>
    <t xml:space="preserve">It overrides everything. The section begins with a non-obstante clause: "Notwithstanding anything contained in any law for the time being in force". [Source: Section 299, BNSS 2023]</t>
  </si>
  <si>
    <t xml:space="preserve">CASE_3941</t>
  </si>
  <si>
    <t xml:space="preserve">No, the prohibition is absolute: "shall not be used for any other purpose". There are no exceptions listed for civil trials or other legal proceedings. [Source: Section 299, BNSS 2023]</t>
  </si>
  <si>
    <t xml:space="preserve">CASE_3942</t>
  </si>
  <si>
    <t xml:space="preserve">The consequence is removing the fear of self-incrimination; if accused persons knew that a failed plea negotiation would hand the prosecutor a signed confession for the upcoming trial, no lawyer would ever advise their client to attempt plea bargaining. This section makes the negotiation a safe "blank slate." [Source: Section 299, BNSS 2023]</t>
  </si>
  <si>
    <t xml:space="preserve">CASE_3943</t>
  </si>
  <si>
    <t xml:space="preserve">Non-application of Chapter</t>
  </si>
  <si>
    <t xml:space="preserve">No, nothing in this chapter applies to juveniles or children governed by the Juvenile Justice Act. They have their own separate rules. [Source: Section 300, BNSS 2023]</t>
  </si>
  <si>
    <t xml:space="preserve">Hugging Face source record: BNSS_300</t>
  </si>
  <si>
    <t xml:space="preserve">CASE_3944</t>
  </si>
  <si>
    <t xml:space="preserve">Section 300 of BNSS 2023 establishes the "Non-application of Chapter" for juveniles, explicitly stating that Chapter XXIV (attendance of confined persons) does not apply to any juvenile or child as defined in the Juvenile Justice Act, 2015. [Source: Section 300, BNSS 2023]</t>
  </si>
  <si>
    <t xml:space="preserve">CASE_3945</t>
  </si>
  <si>
    <t xml:space="preserve">No. Section 300 strictly states, "Nothing in this Chapter shall apply to any juvenile or child". The Magistrate must rely on the procedures within the Juvenile Justice Act, not this chapter of the BNSS. [Source: Section 300, BNSS 2023]</t>
  </si>
  <si>
    <t xml:space="preserve">CASE_3946</t>
  </si>
  <si>
    <t xml:space="preserve">"section 2 of the Juvenile Justice (Care and Protection of Children) Act, 2015". [Source: Section 300, BNSS 2023]</t>
  </si>
  <si>
    <t xml:space="preserve">CASE_3947</t>
  </si>
  <si>
    <t xml:space="preserve">No, the exclusion is absolute: "Nothing in this Chapter shall apply". There are no exceptions based on the severity of the crime. [Source: Section 300, BNSS 2023]</t>
  </si>
  <si>
    <t xml:space="preserve">CASE_3948</t>
  </si>
  <si>
    <t xml:space="preserve">The consequence is the preservation of the protective, non-punitive ethos of the juvenile justice system, ensuring that children are not subjected to adult prison-transfer protocols, armed police escorts, and intimidating adult courtroom environments without specialized safeguards. [Source: Section 300, BNSS 2023]</t>
  </si>
  <si>
    <t xml:space="preserve">CASE_3949</t>
  </si>
  <si>
    <t xml:space="preserve">It includes people held under preventive detention laws. [Source: Section 301, BNSS 2023]</t>
  </si>
  <si>
    <t xml:space="preserve">Hugging Face source record: BNSS_301</t>
  </si>
  <si>
    <t xml:space="preserve">CASE_3950</t>
  </si>
  <si>
    <t xml:space="preserve">Section 301 of BNSS 2023 expands the definitions for Chapter XXIV, stating that "detained" includes preventive detention, and "prison" includes subsidiary jails, reformatories, and Borstal institutions. [Source: Section 301, BNSS 2023]</t>
  </si>
  <si>
    <t xml:space="preserve">CASE_3951</t>
  </si>
  <si>
    <t xml:space="preserve">No, the jailer is wrong. Under Section 301(a), "detained" explicitly "includes detained under any law providing for preventive detention". The court can order his attendance. [Source: Section 301, BNSS 2023]</t>
  </si>
  <si>
    <t xml:space="preserve">CASE_3952</t>
  </si>
  <si>
    <t xml:space="preserve">"any reformatory, Borstal institution or other institution of a like nature." [Source: Section 301, BNSS 2023]</t>
  </si>
  <si>
    <t xml:space="preserve">CASE_3953</t>
  </si>
  <si>
    <t xml:space="preserve">Yes, under clause (b)(i), a prison includes "any place which has been declared by the State Government, by general or special order, to be a subsidiary jail". [Source: Section 301, BNSS 2023]</t>
  </si>
  <si>
    <t xml:space="preserve">CASE_3954</t>
  </si>
  <si>
    <t xml:space="preserve">The consequence is that the courts have the widest possible reach to compel the attendance of witnesses or accused persons, ensuring that the state cannot hide individuals from judicial scrutiny simply by labelling their confinement facility as something other than a "prison." [Source: Section 301, BNSS 2023]</t>
  </si>
  <si>
    <t xml:space="preserve">CASE_3955</t>
  </si>
  <si>
    <t xml:space="preserve">Power to require attendance of prisoners</t>
  </si>
  <si>
    <t xml:space="preserve">The Court can make a direct order requiring the officer in charge of the prison to produce the prisoner before the Court. [Source: Section 302, BNSS 2023]</t>
  </si>
  <si>
    <t xml:space="preserve">Hugging Face source record: BNSS_302</t>
  </si>
  <si>
    <t xml:space="preserve">CASE_3956</t>
  </si>
  <si>
    <t xml:space="preserve">Section 302 of BNSS 2023 grants the "Power to require attendance of prisoners," allowing Courts to order prison officers to produce confined persons to answer charges or give evidence, with a requirement for countersignatures if the order comes from a Second Class Magistrate. [Source: Section 302, BNSS 2023]</t>
  </si>
  <si>
    <t xml:space="preserve">CASE_3957</t>
  </si>
  <si>
    <t xml:space="preserve">No. Under sub-section (2), because the order is from a Magistrate of the second class, "it shall not be forwarded to, or acted upon by, the officer in charge of the prison unless it is countersigned by the Chief Judicial Magistrate". [Source: Section 302, BNSS 2023]</t>
  </si>
  <si>
    <t xml:space="preserve">CASE_3958</t>
  </si>
  <si>
    <t xml:space="preserve">(a) "for answering to a charge of an offence, or for the purpose of any proceedings against him" or (b) "that it is necessary for the ends of justice to examine such person as a witness". [Source: Section 302, BNSS 2023]</t>
  </si>
  <si>
    <t xml:space="preserve">CASE_3959</t>
  </si>
  <si>
    <t xml:space="preserve">No. Under sub-section (3), the CJM considers the statement of facts and "may... decline to countersign the order." [Source: Section 302, BNSS 2023]</t>
  </si>
  <si>
    <t xml:space="preserve">CASE_3960</t>
  </si>
  <si>
    <t xml:space="preserve">The consequence is a security safeguard; it prevents inexperienced, lower-level judges from recklessly ordering the dangerous transport of high-risk prisoners for trivial reasons, ensuring a senior judge (the CJM) reviews the necessity and safety of the transport first. [Source: Section 302, BNSS 2023]</t>
  </si>
  <si>
    <t xml:space="preserve">CASE_3961</t>
  </si>
  <si>
    <t xml:space="preserve">Power of State Government or Central Government to exclude certain persons from operation of section 302</t>
  </si>
  <si>
    <t xml:space="preserve">Yes. The State or Central Government can issue an order directing that a specific person or class of persons shall not be removed from prison, usually due to security risks or public interest. This government order overrides the judge's order. [Source: Section 303, BNSS 2023]</t>
  </si>
  <si>
    <t xml:space="preserve">Hugging Face source record: BNSS_303</t>
  </si>
  <si>
    <t xml:space="preserve">CASE_3962</t>
  </si>
  <si>
    <t xml:space="preserve">Section 303 of BNSS 2023 establishes the "Power of State Government or Central Government to exclude certain persons from operation of section 302," allowing the executive to block judicial production orders for specific prisoners based on public order, the nature of the offence, or public interest. [Source: Section 303, BNSS 2023]</t>
  </si>
  <si>
    <t xml:space="preserve">CASE_3963</t>
  </si>
  <si>
    <t xml:space="preserve">The prison officer obeys the Government. Under sub-section (1), once the Government order is made, "no order made under section 302... shall have effect in respect of such person". [Source: Section 303, BNSS 2023]</t>
  </si>
  <si>
    <t xml:space="preserve">CASE_3964</t>
  </si>
  <si>
    <t xml:space="preserve">(a) "the nature of the offence", (b) "the likelihood of the disturbance of public order", and (c) "the public interest, generally". [Source: Section 303, BNSS 2023]</t>
  </si>
  <si>
    <t xml:space="preserve">CASE_3965</t>
  </si>
  <si>
    <t xml:space="preserve">No, sub-section (1) explicitly states the government's order nullifies court orders "whether before or after the order of the State Government". [Source: Section 303, BNSS 2023]</t>
  </si>
  <si>
    <t xml:space="preserve">CASE_3966</t>
  </si>
  <si>
    <t xml:space="preserve">The consequence is a rare instance where executive security concerns explicitly trump judicial procedure; the law recognizes that moving highly dangerous individuals outside prison walls can pose such a severe threat to public safety that the Government must have the ultimate veto over a judge's request for their physical presence. [Source: Section 303, BNSS 2023]</t>
  </si>
  <si>
    <t xml:space="preserve">CASE_3967</t>
  </si>
  <si>
    <t xml:space="preserve">Officer in charge of prison to abstain from carrying out order in certain contingencies</t>
  </si>
  <si>
    <t xml:space="preserve">Yes. If the prisoner is too sick to move, is waiting for a different trial, is about to be released very soon, or is blocked by a Government order, the prison officer must abstain from moving them and just tell the judge why. [Source: Section 304, BNSS 2023]</t>
  </si>
  <si>
    <t xml:space="preserve">Hugging Face source record: BNSS_304</t>
  </si>
  <si>
    <t xml:space="preserve">CASE_3968</t>
  </si>
  <si>
    <t xml:space="preserve">Section 304 of BNSS 2023 dictates contingencies where an "Officer in charge of prison to abstain from carrying out order," mandating refusal to produce a prisoner if they are sick, under remand for another trial, nearing sentence expiration, or subject to a Government exclusion order. [Source: Section 304, BNSS 2023]</t>
  </si>
  <si>
    <t xml:space="preserve">CASE_3969</t>
  </si>
  <si>
    <t xml:space="preserve">Under clause (a), because the person "is by reason of sickness or infirmity unfit to be removed", the officer "shall abstain from carrying out the Court's order and shall send to the Court a statement of reasons for so abstaining". [Source: Section 304, BNSS 2023]</t>
  </si>
  <si>
    <t xml:space="preserve">CASE_3970</t>
  </si>
  <si>
    <t xml:space="preserve">The officer "shall send to the Court a statement of reasons for so abstaining". [Source: Section 304, BNSS 2023]</t>
  </si>
  <si>
    <t xml:space="preserve">CASE_3971</t>
  </si>
  <si>
    <t xml:space="preserve">No, the proviso creates an exception: if attendance is required for giving evidence at a place "not more than twenty-five kilometres distance from the prison," the officer shall *not* abstain based on the reason in clause (b). They must transport the prisoner. [Source: Section 304, BNSS 2023]</t>
  </si>
  <si>
    <t xml:space="preserve">CASE_3972</t>
  </si>
  <si>
    <t xml:space="preserve">The consequence is preventing illegal detention; if transporting a prisoner to court and back would take 3 days, but their sentence legally ends tomorrow, the prison officer must refuse the court order to ensure the prisoner is lawfully released on time, rather than holding them extra days just for transit. [Source: Section 304, BNSS 2023]</t>
  </si>
  <si>
    <t xml:space="preserve">CASE_3973</t>
  </si>
  <si>
    <t xml:space="preserve">Prisoner to be brought to Court in custody</t>
  </si>
  <si>
    <t xml:space="preserve">The prison officer must make sure the prisoner is brought to the specific court at the correct time, kept in custody near the court while waiting, and then taken back to prison after the court is finished with them. [Source: Section 305, BNSS 2023]</t>
  </si>
  <si>
    <t xml:space="preserve">Hugging Face source record: BNSS_305</t>
  </si>
  <si>
    <t xml:space="preserve">CASE_3974</t>
  </si>
  <si>
    <t xml:space="preserve">Section 305 of BNSS 2023 imposes the duty of ensuring a "Prisoner to be brought to Court in custody," requiring the officer in charge of the prison to transport the prisoner, maintain custody at the court, and return them upon court authorization, subject to the abstention rules in Section 304. [Source: Section 305, BNSS 2023]</t>
  </si>
  <si>
    <t xml:space="preserve">CASE_3975</t>
  </si>
  <si>
    <t xml:space="preserve">No. Under section 305, the officer "shall cause him to be kept in custody in or near the Court until he has been examined". Letting the prisoner wander unattended violates this custody requirement. [Source: Section 305, BNSS 2023]</t>
  </si>
  <si>
    <t xml:space="preserve">CASE_3976</t>
  </si>
  <si>
    <t xml:space="preserve">"until he has been examined or until the Court authorises him to be taken back to the prison". [Source: Section 305, BNSS 2023]</t>
  </si>
  <si>
    <t xml:space="preserve">CASE_3977</t>
  </si>
  <si>
    <t xml:space="preserve">Yes, the entire section begins with "Subject to the provisions of section 304", meaning if the contingencies in 304 apply (like sickness or a government blocking order), the officer must disobey the order to bring the prisoner to court. [Source: Section 305, BNSS 2023]</t>
  </si>
  <si>
    <t xml:space="preserve">CASE_3978</t>
  </si>
  <si>
    <t xml:space="preserve">The consequence is preventing escapes and witness tampering; it ensures that even though the prisoner has temporarily left the secure physical environment of the prison walls, their legal status as a strictly monitored, detained individual does not change while on court premises. [Source: Section 305, BNSS 2023]</t>
  </si>
  <si>
    <t xml:space="preserve">CASE_3979</t>
  </si>
  <si>
    <t xml:space="preserve">Power to issue commission for examination of witness in prison</t>
  </si>
  <si>
    <t xml:space="preserve">Yes. The judge has the power to issue a "commission," meaning they appoint someone to go into the prison and examine the prisoner as a witness right there. [Source: Section 306, BNSS 2023]</t>
  </si>
  <si>
    <t xml:space="preserve">Hugging Face source record: BNSS_306</t>
  </si>
  <si>
    <t xml:space="preserve">CASE_3980</t>
  </si>
  <si>
    <t xml:space="preserve">Section 306 of BNSS 2023 preserves the "Power to issue commission for examination of witness in prison," ensuring that the rules restricting prisoner movement do not prevent the Court from sending a commissioner into the prison to record testimony. [Source: Section 306, BNSS 2023]</t>
  </si>
  <si>
    <t xml:space="preserve">CASE_3981</t>
  </si>
  <si>
    <t xml:space="preserve">No. Under section 306, the court can issue "a commission for the examination, as a witness, of any person confined or detained in a prison". The court can send someone to the prison to get the testimony instead of moving the prisoner. [Source: Section 306, BNSS 2023]</t>
  </si>
  <si>
    <t xml:space="preserve">CASE_3982</t>
  </si>
  <si>
    <t xml:space="preserve">"under section 319". [Source: Section 306, BNSS 2023]</t>
  </si>
  <si>
    <t xml:space="preserve">CASE_3983</t>
  </si>
  <si>
    <t xml:space="preserve">No, the section states that "the provisions of Part B of Chapter XXV shall apply in relation to the examination on commission of any such person in the prison as they apply in relation to the examination on commission of any other person." The rules are the same. [Source: Section 306, BNSS 2023]</t>
  </si>
  <si>
    <t xml:space="preserve">CASE_3984</t>
  </si>
  <si>
    <t xml:space="preserve">The consequence is ensuring that justice is not thwarted by administrative security rules; even if a high-risk prisoner cannot be brought into a public courtroom, their crucial testimony can still be legally secured and entered into evidence without compromising public safety. [Source: Section 306, BNSS 2023]</t>
  </si>
  <si>
    <t xml:space="preserve">CASE_3985</t>
  </si>
  <si>
    <t xml:space="preserve">Language of Courts</t>
  </si>
  <si>
    <t xml:space="preserve">The State Government decides the official language for all courts within that State, except for the High Court. [Source: Section 307, BNSS 2023]</t>
  </si>
  <si>
    <t xml:space="preserve">Hugging Face source record: BNSS_307</t>
  </si>
  <si>
    <t xml:space="preserve">CASE_3986</t>
  </si>
  <si>
    <t xml:space="preserve">Section 307 of BNSS 2023 grants the State Government the authority to determine the "Language of Courts" for all courts within the State, specifically excepting the High Court. [Source: Section 307, BNSS 2023]</t>
  </si>
  <si>
    <t xml:space="preserve">CASE_3987</t>
  </si>
  <si>
    <t xml:space="preserve">No. Under section 307, "The State Government may determine what shall be... the language of each Court". A District Judge cannot override the State Government's determination. [Source: Section 307, BNSS 2023]</t>
  </si>
  <si>
    <t xml:space="preserve">CASE_3988</t>
  </si>
  <si>
    <t xml:space="preserve">"other than the High Court." [Source: Section 307, BNSS 2023]</t>
  </si>
  <si>
    <t xml:space="preserve">CASE_3989</t>
  </si>
  <si>
    <t xml:space="preserve">No, the power is granted exclusively to "The State Government". [Source: Section 307, BNSS 2023]</t>
  </si>
  <si>
    <t xml:space="preserve">CASE_3990</t>
  </si>
  <si>
    <t xml:space="preserve">The consequence is ensuring access to justice; it allows states to mandate that local courts operate in the regional language actually spoken by the local population, rather than forcing citizens to navigate the justice system in a foreign or unfamiliar language like English or Hindi (in non-Hindi speaking states). [Source: Section 307, BNSS 2023]</t>
  </si>
  <si>
    <t xml:space="preserve">CASE_3991</t>
  </si>
  <si>
    <t xml:space="preserve">Evidence to be taken in presence of accused</t>
  </si>
  <si>
    <t xml:space="preserve">All evidence must be taken in the presence of the accused, or their lawyer. The accused can even attend via video call. However, there are special rules to ensure child rape victims don't have to face the accused directly. [Source: Section 308, BNSS 2023]</t>
  </si>
  <si>
    <t xml:space="preserve">Hugging Face source record: BNSS_308</t>
  </si>
  <si>
    <t xml:space="preserve">CASE_3992</t>
  </si>
  <si>
    <t xml:space="preserve">Section 308 of BNSS 2023 protects the right that "Evidence to be taken in presence of accused," mandating that all trial evidence be recorded in the presence of the accused (or their advocate), with provisions for audio-video presence and special protections for minor sexual offence victims. [Source: Section 308, BNSS 2023]</t>
  </si>
  <si>
    <t xml:space="preserve">CASE_3993</t>
  </si>
  <si>
    <t xml:space="preserve">No, under section 308, "Except as otherwise expressly provided, all evidence taken in the course of the trial... shall be taken in the presence of the accused". The accused has a fundamental right to witness the testimony. [Source: Section 308, BNSS 2023]</t>
  </si>
  <si>
    <t xml:space="preserve">CASE_3994</t>
  </si>
  <si>
    <t xml:space="preserve">"in the presence of his advocate". [Source: Section 308, BNSS 2023]</t>
  </si>
  <si>
    <t xml:space="preserve">CASE_3995</t>
  </si>
  <si>
    <t xml:space="preserve">No, the proviso states the Court "may take appropriate measures to ensure that such woman is not confronted by the accused while at the same time ensuring the right of cross-examination of the accused" (e.g., using screens or video links). [Source: Section 308, BNSS 2023]</t>
  </si>
  <si>
    <t xml:space="preserve">CASE_3996</t>
  </si>
  <si>
    <t xml:space="preserve">The consequence is modernization and safety; highly dangerous accused persons, or those imprisoned far away, can legally "attend" their trial virtually, satisfying their constitutional right to confront witnesses without the logistical risk of physically transporting them to the courtroom every day. [Source: Section 308, BNSS 2023]</t>
  </si>
  <si>
    <t xml:space="preserve">CASE_3997</t>
  </si>
  <si>
    <t xml:space="preserve">Record in summonscases and inquiries</t>
  </si>
  <si>
    <t xml:space="preserve">The Magistrate simply writes a "memorandum" (a summary) of the substance of what the witness says. They don't have to write down every single word or question. [Source: Section 309, BNSS 2023]</t>
  </si>
  <si>
    <t xml:space="preserve">Hugging Face source record: BNSS_309</t>
  </si>
  <si>
    <t xml:space="preserve">CASE_3998</t>
  </si>
  <si>
    <t xml:space="preserve">Section 309 of BNSS 2023 establishes the "Record in summons-cases and inquiries," requiring the Magistrate to personally make a memorandum of the substance of the evidence as the witness testifies, rather than a verbatim transcript. [Source: Section 309, BNSS 2023]</t>
  </si>
  <si>
    <t xml:space="preserve">CASE_3999</t>
  </si>
  <si>
    <t xml:space="preserve">The Magistrate is right. Under section 309(1), in summons-cases, "the Magistrate shall... make a memorandum of the substance of the evidence". A verbatim record is not required. [Source: Section 309, BNSS 2023]</t>
  </si>
  <si>
    <t xml:space="preserve">CASE_4000</t>
  </si>
  <si>
    <t xml:space="preserve">"in the language of the Court". [Source: Section 309, BNSS 2023]</t>
  </si>
  <si>
    <t xml:space="preserve">CASE_4001</t>
  </si>
  <si>
    <t xml:space="preserve">Under the proviso, if unable, "he shall, after recording the reason of his inability, cause such memorandum to be made in writing or from his dictation in open Court." [Source: Section 309, BNSS 2023]</t>
  </si>
  <si>
    <t xml:space="preserve">CASE_4002</t>
  </si>
  <si>
    <t xml:space="preserve">The consequence is speed. By only summarizing the core legal facts of a witness's testimony, Magistrates can process minor petty offences much faster without getting bogged down in hours of clerical dictation. [Source: Section 309, BNSS 2023]</t>
  </si>
  <si>
    <t xml:space="preserve">CASE_4003</t>
  </si>
  <si>
    <t xml:space="preserve">Record in warrant-cases</t>
  </si>
  <si>
    <t xml:space="preserve">It must be very detailed. The judge must write down the evidence as the witness speaks, usually in a narrative story format, but they can also write it as a direct "Q&amp;A" format if they want. They can also use video recording. [Source: Section 310, BNSS 2023]</t>
  </si>
  <si>
    <t xml:space="preserve">Hugging Face source record: BNSS_310</t>
  </si>
  <si>
    <t xml:space="preserve">CASE_4004</t>
  </si>
  <si>
    <t xml:space="preserve">Section 310 of BNSS 2023 mandates the "Record in warrant-cases," requiring the evidence to be taken down in writing (usually in narrative form) by the Magistrate or via dictation as the examination proceeds, with a provision for audio-video recording. [Source: Section 310, BNSS 2023]</t>
  </si>
  <si>
    <t xml:space="preserve">CASE_4005</t>
  </si>
  <si>
    <t xml:space="preserve">Yes. Under sub-section (3), while evidence is ordinarily taken as a narrative, "the Magistrate may, in his discretion take down... any part of such evidence in the form of question and answer." [Source: Section 310, BNSS 2023]</t>
  </si>
  <si>
    <t xml:space="preserve">CASE_4006</t>
  </si>
  <si>
    <t xml:space="preserve">"an officer of the Court appointed by him in this behalf," acting under the Magistrate's direction and superintendence. [Source: Section 310, BNSS 2023]</t>
  </si>
  <si>
    <t xml:space="preserve">CASE_4007</t>
  </si>
  <si>
    <t xml:space="preserve">No, the proviso to sub-section (1) provides an exception for modern technology: "evidence of a witness under this sub-section may also be recorded by audio-video electronic means in the presence of the advocate". [Source: Section 310, BNSS 2023]</t>
  </si>
  <si>
    <t xml:space="preserve">CASE_4008</t>
  </si>
  <si>
    <t xml:space="preserve">The consequence is accountability; sub-section (2) forces the Magistrate to officially justify (e.g., physical incapacity) why they delegated this crucial task, ensuring they don't just hand off their core judicial duties to clerks out of laziness. [Source: Section 310, BNSS 2023]</t>
  </si>
  <si>
    <t xml:space="preserve">CASE_4009</t>
  </si>
  <si>
    <t xml:space="preserve">Record in trial before Court of Session</t>
  </si>
  <si>
    <t xml:space="preserve">The presiding Judge writes it down or dictates it in open court as the witness speaks, usually as a narrative story, but they can choose to record it as exact Questions and Answers. The Judge must sign it. [Source: Section 311, BNSS 2023]</t>
  </si>
  <si>
    <t xml:space="preserve">Hugging Face source record: BNSS_311</t>
  </si>
  <si>
    <t xml:space="preserve">CASE_4010</t>
  </si>
  <si>
    <t xml:space="preserve">Section 311 of BNSS 2023 establishes the "Record in trial before Court of Session," mirroring the warrant-case procedure by requiring the presiding Judge to take down evidence in writing (usually narratively) or via dictation, and sign the final record. [Source: Section 311, BNSS 2023]</t>
  </si>
  <si>
    <t xml:space="preserve">CASE_4011</t>
  </si>
  <si>
    <t xml:space="preserve">No. Under sub-section (1), the evidence must be taken down "either by the presiding Judge himself or by his dictation in open Court, or under his direction and superintendence". The judge must be actively involved as the examination proceeds. [Source: Section 311, BNSS 2023]</t>
  </si>
  <si>
    <t xml:space="preserve">CASE_4012</t>
  </si>
  <si>
    <t xml:space="preserve">"Such evidence shall ordinarily be taken down in the form of a narrative". [Source: Section 311, BNSS 2023]</t>
  </si>
  <si>
    <t xml:space="preserve">CASE_4013</t>
  </si>
  <si>
    <t xml:space="preserve">Interestingly, no. Unlike Section 310 (warrant-cases), Section 311 currently contains no explicit proviso authorizing audio-video recording as a substitute for the written/dictated record in a Court of Session trial. [Source: Section 311, BNSS 2023]</t>
  </si>
  <si>
    <t xml:space="preserve">CASE_4014</t>
  </si>
  <si>
    <t xml:space="preserve">The consequence is authentication; by signing it under sub-section (3), the Judge officially certifies that the transcript is an accurate, legally binding reflection of exactly what was said in their courtroom, which is crucial for any subsequent appeals. [Source: Section 311, BNSS 2023]</t>
  </si>
  <si>
    <t xml:space="preserve">CASE_4015</t>
  </si>
  <si>
    <t xml:space="preserve">Language of record of evidence</t>
  </si>
  <si>
    <t xml:space="preserve">If the witness speaks the court's language, it's recorded in that language. If they speak a different language, the court tries to record it in their language. If that's too hard, the court immediately translates what they are saying into the court's language and records the translation. [Source: Section 312, BNSS 2023]</t>
  </si>
  <si>
    <t xml:space="preserve">Hugging Face source record: BNSS_312</t>
  </si>
  <si>
    <t xml:space="preserve">CASE_4016</t>
  </si>
  <si>
    <t xml:space="preserve">Section 312 of BNSS 2023 governs the "Language of record of evidence," prioritizing recording in the Court's language, but allowing recording in the witness's language if practicable, accompanied by a true translation into the Court's language. [Source: Section 312, BNSS 2023]</t>
  </si>
  <si>
    <t xml:space="preserve">CASE_4017</t>
  </si>
  <si>
    <t xml:space="preserve">Yes. Under clause (c), because the evidence was taken down in a language other than the court's language, "a true translation thereof in the language of the Court [Hindi] shall be prepared as soon as practicable... and shall form part of the record". [Source: Section 312, BNSS 2023]</t>
  </si>
  <si>
    <t xml:space="preserve">CASE_4018</t>
  </si>
  <si>
    <t xml:space="preserve">"a true translation of the evidence in the language of the Court". [Source: Section 312, BNSS 2023]</t>
  </si>
  <si>
    <t xml:space="preserve">CASE_4019</t>
  </si>
  <si>
    <t xml:space="preserve">No, the proviso states that if evidence is taken down in English, "and a translation thereof in the language of the Court is not required by any of the parties, the Court may dispense with such translation." [Source: Section 312, BNSS 2023]</t>
  </si>
  <si>
    <t xml:space="preserve">CASE_4020</t>
  </si>
  <si>
    <t xml:space="preserve">The consequence is massive time-saving in higher courts or complex corporate cases where all the lawyers and judges are fluent in English; it prevents the pointless administrative burden of translating highly technical English testimony into a local language just for the sake of a rule, when everyone in the room already understands it. [Source: Section 312, BNSS 2023]</t>
  </si>
  <si>
    <t xml:space="preserve">CASE_4021</t>
  </si>
  <si>
    <t xml:space="preserve">Procedure in regard to such evidence when completed</t>
  </si>
  <si>
    <t xml:space="preserve">The written record must be read out loud to the witness while the accused is present. The witness can correct mistakes. If the judge disagrees with the witness's correction, the judge just writes down the witness's objection on the record. [Source: Section 313, BNSS 2023]</t>
  </si>
  <si>
    <t xml:space="preserve">Hugging Face source record: BNSS_313</t>
  </si>
  <si>
    <t xml:space="preserve">CASE_4022</t>
  </si>
  <si>
    <t xml:space="preserve">Section 313 of BNSS 2023 mandates the "Procedure in regard to such evidence when completed," requiring the recorded evidence to be read over to the witness in the presence of the accused for verification, correction, or the recording of any objections. [Source: Section 313, BNSS 2023]</t>
  </si>
  <si>
    <t xml:space="preserve">CASE_4023</t>
  </si>
  <si>
    <t xml:space="preserve">No. Under sub-section (2), the judge "may, instead of correcting the evidence, make a memorandum thereon of the objection made to it by the witness and shall add such remarks as he thinks necessary." The judge leaves "blue" but adds a note about the witness's claim. [Source: Section 313, BNSS 2023]</t>
  </si>
  <si>
    <t xml:space="preserve">CASE_4024</t>
  </si>
  <si>
    <t xml:space="preserve">"in the presence of the accused, if in attendance, or of his advocate, if he appears by an advocate". [Source: Section 313, BNSS 2023]</t>
  </si>
  <si>
    <t xml:space="preserve">CASE_4025</t>
  </si>
  <si>
    <t xml:space="preserve">No. Under sub-section (3), if the record is in a different language that the witness doesn't understand, "the record shall be interpreted to him in the language in which it was given, or in a language which he understands." [Source: Section 313, BNSS 2023]</t>
  </si>
  <si>
    <t xml:space="preserve">CASE_4026</t>
  </si>
  <si>
    <t xml:space="preserve">The consequence is preventing appellate disputes; it locks in the definitive version of the testimony right then and there. A witness cannot claim 3 years later during an appeal that the court stenographer typed the wrong word, because the law proves they were given the chance to correct it on the spot. [Source: Section 313, BNSS 2023]</t>
  </si>
  <si>
    <t xml:space="preserve">CASE_4027</t>
  </si>
  <si>
    <t xml:space="preserve">Interpretation of evidence to accused or his advocate</t>
  </si>
  <si>
    <t xml:space="preserve">The court must interpret (translate) the witness's testimony out loud in open court into a language the accused can understand, so the accused knows exactly what is being said against them. [Source: Section 314, BNSS 2023]</t>
  </si>
  <si>
    <t xml:space="preserve">Hugging Face source record: BNSS_314</t>
  </si>
  <si>
    <t xml:space="preserve">CASE_4028</t>
  </si>
  <si>
    <t xml:space="preserve">Section 314 of BNSS 2023 guarantees the "Interpretation of evidence to accused or his advocate," mandating that if evidence is given in a language not understood by the accused or their lawyer, it must be interpreted to them in open Court. [Source: Section 314, BNSS 2023]</t>
  </si>
  <si>
    <t xml:space="preserve">CASE_4029</t>
  </si>
  <si>
    <t xml:space="preserve">Yes. Under sub-section (1), "Whenever any evidence is given in a language not understood by the accused... it shall be interpreted to him in open Court in a language understood by him." [Source: Section 314, BNSS 2023]</t>
  </si>
  <si>
    <t xml:space="preserve">CASE_4030</t>
  </si>
  <si>
    <t xml:space="preserve">"it shall be interpreted to such advocate in that language." [Source: Section 314, BNSS 2023]</t>
  </si>
  <si>
    <t xml:space="preserve">CASE_4031</t>
  </si>
  <si>
    <t xml:space="preserve">No, sub-section (3) provides an exception for "documents... put for the purpose of formal proof". For these, "it shall be in the discretion of the Court to interpret as much thereof as appears necessary." [Source: Section 314, BNSS 2023]</t>
  </si>
  <si>
    <t xml:space="preserve">CASE_4032</t>
  </si>
  <si>
    <t xml:space="preserve">The consequence is making the constitutional right to a fair trial an actual reality; the right to cross-examine witnesses is completely useless if the accused doesn't even know what the witness just said. This ensures the accused can actively participate in their own defense. [Source: Section 314, BNSS 2023]</t>
  </si>
  <si>
    <t xml:space="preserve">CASE_4033</t>
  </si>
  <si>
    <t xml:space="preserve">Remarks respecting demeanour of witness</t>
  </si>
  <si>
    <t xml:space="preserve">The judge is explicitly required to record any material remarks about the witness's demeanour (behavior, body language, tone) while they are testifying. [Source: Section 315, BNSS 2023]</t>
  </si>
  <si>
    <t xml:space="preserve">Hugging Face source record: BNSS_315</t>
  </si>
  <si>
    <t xml:space="preserve">CASE_4034</t>
  </si>
  <si>
    <t xml:space="preserve">Section 315 of BNSS 2023 mandates the recording of "Remarks respecting demeanour of witness," requiring the presiding Judge or Magistrate to record any material observations about how the witness behaved during examination. [Source: Section 315, BNSS 2023]</t>
  </si>
  <si>
    <t xml:space="preserve">CASE_4035</t>
  </si>
  <si>
    <t xml:space="preserve">Yes. Under section 315, when recording evidence, the Magistrate "shall also record such remarks (if any) as he thinks material respecting the demeanour of such witness whilst under examination." [Source: Section 315, BNSS 2023]</t>
  </si>
  <si>
    <t xml:space="preserve">CASE_4036</t>
  </si>
  <si>
    <t xml:space="preserve">Only if the Judge or Magistrate "thinks material" respecting the demeanour. [Source: Section 315, BNSS 2023]</t>
  </si>
  <si>
    <t xml:space="preserve">CASE_4037</t>
  </si>
  <si>
    <t xml:space="preserve">No, the phrase "(if any)" indicates that remarks on demeanour are only recorded when the judge actively observes something they believe is legally relevant or indicative of truthfulness/deceit. [Source: Section 315, BNSS 2023]</t>
  </si>
  <si>
    <t xml:space="preserve">CASE_4038</t>
  </si>
  <si>
    <t xml:space="preserve">The consequence is providing crucial context to higher courts; since appellate judges only read cold, written transcripts, a trial judge's note that a witness "hesitated for a long time and looked at the accused before answering" helps the appellate court understand why the trial judge may have found that witness unconvincing. [Source: Section 315, BNSS 2023]</t>
  </si>
  <si>
    <t xml:space="preserve">CASE_4039</t>
  </si>
  <si>
    <t xml:space="preserve">Record of examination of accused</t>
  </si>
  <si>
    <t xml:space="preserve">It must be extremely detailed. Every single question asked by the judge and every single answer given by the accused must be recorded in full. The accused must then sign it. [Source: Section 316, BNSS 2023]</t>
  </si>
  <si>
    <t xml:space="preserve">Hugging Face source record: BNSS_316</t>
  </si>
  <si>
    <t xml:space="preserve">CASE_4040</t>
  </si>
  <si>
    <t xml:space="preserve">Section 316 of BNSS 2023 outlines the "Record of examination of accused," demanding that the entire examination, including every specific question and answer, be recorded in full, read back to the accused, signed by them, and certified by the Magistrate. [Source: Section 316, BNSS 2023]</t>
  </si>
  <si>
    <t xml:space="preserve">CASE_4041</t>
  </si>
  <si>
    <t xml:space="preserve">No. Under sub-section (1), "the whole of such examination, including every question put to him and every answer given by him, shall be recorded in full". Summaries are not allowed. [Source: Section 316, BNSS 2023]</t>
  </si>
  <si>
    <t xml:space="preserve">CASE_4042</t>
  </si>
  <si>
    <t xml:space="preserve">That "the examination was taken in his presence and hearing" and that "the record contains a full and true account of the statement made by the accused". [Source: Section 316, BNSS 2023]</t>
  </si>
  <si>
    <t xml:space="preserve">CASE_4043</t>
  </si>
  <si>
    <t xml:space="preserve">No, sub-section (5) explicitly states, "Nothing in this section shall be deemed to apply to the examination of an accused person in the course of a summary trial." [Source: Section 316, BNSS 2023]</t>
  </si>
  <si>
    <t xml:space="preserve">CASE_4044</t>
  </si>
  <si>
    <t xml:space="preserve">The consequence is logistical practicality; if an accused is examined via video conference from a remote prison, it takes time to physically or securely digitally transmit the final certified transcript to the prison for their required signature, and 72 hours accommodates this delay. [Source: Section 316, BNSS 2023]</t>
  </si>
  <si>
    <t xml:space="preserve">CASE_4045</t>
  </si>
  <si>
    <t xml:space="preserve">Interpreter to be bound to interpret truthfully</t>
  </si>
  <si>
    <t xml:space="preserve">Yes. Any interpreter used by a Criminal Court is legally bound to provide a true and accurate interpretation of the evidence or statements. [Source: Section 317, BNSS 2023]</t>
  </si>
  <si>
    <t xml:space="preserve">Hugging Face source record: BNSS_317</t>
  </si>
  <si>
    <t xml:space="preserve">CASE_4046</t>
  </si>
  <si>
    <t xml:space="preserve">Section 317 of BNSS 2023 establishes that an "Interpreter to be bound to interpret truthfully," imposing a mandatory legal duty on any interpreter engaged by a Criminal Court to accurately and truthfully translate evidence or statements. [Source: Section 317, BNSS 2023]</t>
  </si>
  <si>
    <t xml:space="preserve">CASE_4047</t>
  </si>
  <si>
    <t xml:space="preserve">No. Under section 317, the interpreter "shall be bound to state the true interpretation of such evidence or statement." Altering the testimony, even for clarity, violates this binding duty. [Source: Section 317, BNSS 2023]</t>
  </si>
  <si>
    <t xml:space="preserve">CASE_4048</t>
  </si>
  <si>
    <t xml:space="preserve">"the interpretation of any evidence or statement". [Source: Section 317, BNSS 2023]</t>
  </si>
  <si>
    <t xml:space="preserve">CASE_4049</t>
  </si>
  <si>
    <t xml:space="preserve">It applies broadly: "When the services of an interpreter are required by any Criminal Court". It covers anyone stepping into that role for the court. [Source: Section 317, BNSS 2023]</t>
  </si>
  <si>
    <t xml:space="preserve">CASE_4050</t>
  </si>
  <si>
    <t xml:space="preserve">The consequence is ensuring the integrity of the trial record and making the interpreter liable for perjury or contempt if they deliberately mistranslate testimony to help one side, thereby safeguarding the court from being manipulated by linguistic barriers. [Source: Section 317, BNSS 2023]</t>
  </si>
  <si>
    <t xml:space="preserve">CASE_4051</t>
  </si>
  <si>
    <t xml:space="preserve">Record in High Court</t>
  </si>
  <si>
    <t xml:space="preserve">Not necessarily. The High Court has the power to write its own general rules prescribing exactly how witness evidence and accused examinations should be recorded in its own cases. [Source: Section 318, BNSS 2023]</t>
  </si>
  <si>
    <t xml:space="preserve">Hugging Face source record: BNSS_318</t>
  </si>
  <si>
    <t xml:space="preserve">CASE_4052</t>
  </si>
  <si>
    <t xml:space="preserve">Section 318 of BNSS 2023 covers the "Record in High Court," granting every High Court the authority to prescribe its own general rules regarding the manner in which witness evidence and accused examinations are taken down in cases before it. [Source: Section 318, BNSS 2023]</t>
  </si>
  <si>
    <t xml:space="preserve">CASE_4053</t>
  </si>
  <si>
    <t xml:space="preserve">The High Court is right. Under section 318, the High Court "may, by general rule, prescribe the manner in which the evidence... shall be taken down in cases coming before it, and such evidence... shall be taken down in accordance with such rule." [Source: Section 318, BNSS 2023]</t>
  </si>
  <si>
    <t xml:space="preserve">CASE_4054</t>
  </si>
  <si>
    <t xml:space="preserve">"the evidence of witnesses and the examination of the accused". [Source: Section 318, BNSS 2023]</t>
  </si>
  <si>
    <t xml:space="preserve">CASE_4055</t>
  </si>
  <si>
    <t xml:space="preserve">No, the power is to prescribe the manner "by general rule," meaning it must be a standardized procedure applicable to their cases generally, not an ad-hoc procedure invented for a single defendant. [Source: Section 318, BNSS 2023]</t>
  </si>
  <si>
    <t xml:space="preserve">CASE_4056</t>
  </si>
  <si>
    <t xml:space="preserve">The consequence is acknowledging the specialized nature and high volume of High Court proceedings, allowing these constitutional courts the flexibility to adopt modern, efficient recording technologies (like automated transcription) or specialized administrative workflows without being restricted by the rigid statutory procedures designed for lower district magistrates. [Source: Section 318, BNSS 2023]</t>
  </si>
  <si>
    <t xml:space="preserve">CASE_4057</t>
  </si>
  <si>
    <t xml:space="preserve">When attendance of witness may be dispensed with and commission issued</t>
  </si>
  <si>
    <t xml:space="preserve">Yes. The court can "dispense with" their attendance and instead issue a "commission." This means the court sends someone (a commissioner) to wherever the witness is to take their testimony there. [Source: Section 319, BNSS 2023]</t>
  </si>
  <si>
    <t xml:space="preserve">Hugging Face source record: BNSS_319</t>
  </si>
  <si>
    <t xml:space="preserve">CASE_4058</t>
  </si>
  <si>
    <t xml:space="preserve">Section 319 of BNSS 2023 dictates "When attendance of witness may be dispensed with and commission issued," allowing courts to send a commission to examine a witness if procuring their physical attendance would cause unreasonable delay, expense, or inconvenience. [Source: Section 319, BNSS 2023]</t>
  </si>
  <si>
    <t xml:space="preserve">CASE_4059</t>
  </si>
  <si>
    <t xml:space="preserve">Under section 319(1), because procuring his attendance involves unreasonable "delay, expense or inconvenience", the Magistrate "may dispense with such attendance and may issue a commission for the examination of the witness". [Source: Section 319, BNSS 2023]</t>
  </si>
  <si>
    <t xml:space="preserve">CASE_4060</t>
  </si>
  <si>
    <t xml:space="preserve">"the President or the Vice-President of India or the Governor of a State or the Administrator of a Union territory". [Source: Section 319, BNSS 2023]</t>
  </si>
  <si>
    <t xml:space="preserve">CASE_4061</t>
  </si>
  <si>
    <t xml:space="preserve">Not necessarily. Under sub-section (2), the Court may "direct that such amount as the Court considers reasonable to meet the expenses of the accused, including the advocate's fees, be paid by the prosecution." [Source: Section 319, BNSS 2023]</t>
  </si>
  <si>
    <t xml:space="preserve">CASE_4062</t>
  </si>
  <si>
    <t xml:space="preserve">The consequence is protecting the dignity and continuous functioning of the highest constitutional offices; it prevents political opponents from harassing the President or Governors by constantly subpoenaing them to physically appear in minor criminal courts across the country. [Source: Section 319, BNSS 2023]</t>
  </si>
  <si>
    <t xml:space="preserve">CASE_4063</t>
  </si>
  <si>
    <t xml:space="preserve">Commission to whom to be issued</t>
  </si>
  <si>
    <t xml:space="preserve">If the witness is in India, the order is sent to the local Chief Judicial Magistrate or a designated officer in that area. If they are in a foreign country, it's sent through the Central Government to the foreign court or authority, based on international treaties. [Source: Section 320, BNSS 2023]</t>
  </si>
  <si>
    <t xml:space="preserve">Hugging Face source record: BNSS_320</t>
  </si>
  <si>
    <t xml:space="preserve">CASE_4064</t>
  </si>
  <si>
    <t xml:space="preserve">Section 320 of BNSS 2023 establishes "Commission to whom to be issued," directing domestic commissions to the local Chief Judicial Magistrate, and international commissions through Central Government channels to foreign authorities based on mutual treaties. [Source: Section 320, BNSS 2023]</t>
  </si>
  <si>
    <t xml:space="preserve">CASE_4065</t>
  </si>
  <si>
    <t xml:space="preserve">Under sub-section (1), because the witness is within the Sanhita's territories, "the commission shall be directed to the Chief Judicial Magistrate within whose local jurisdiction the witness is to be found" (in this case, the CJM in Jaipur). [Source: Section 320, BNSS 2023]</t>
  </si>
  <si>
    <t xml:space="preserve">CASE_4066</t>
  </si>
  <si>
    <t xml:space="preserve">That "arrangements have been made by the Central Government with the Government of such country or place for taking the evidence of witnesses in relation to criminal matters". [Source: Section 320, BNSS 2023]</t>
  </si>
  <si>
    <t xml:space="preserve">CASE_4067</t>
  </si>
  <si>
    <t xml:space="preserve">No, under sub-section (3), for witnesses outside India, the commission must be "sent to such authority for transmission as the Central Government may, by notification, prescribe". It must go through designated diplomatic/central channels. [Source: Section 320, BNSS 2023]</t>
  </si>
  <si>
    <t xml:space="preserve">CASE_4068</t>
  </si>
  <si>
    <t xml:space="preserve">The consequence is maintaining strict jurisdictional boundaries and international sovereignty; a judge in Mumbai has no legal power in Jaipur or London, so this section provides the legal bridge, asking the local sovereign authority in those places to use *their* power to secure the testimony on Mumbai's behalf. [Source: Section 320, BNSS 2023]</t>
  </si>
  <si>
    <t xml:space="preserve">CASE_4069</t>
  </si>
  <si>
    <t xml:space="preserve">Execution of commissions</t>
  </si>
  <si>
    <t xml:space="preserve">The local Magistrate summons the witness (or goes to them) and takes down their testimony. While doing this, they have all the exact same powers as if they were running a serious "warrant-case" trial themselves. [Source: Section 321, BNSS 2023]</t>
  </si>
  <si>
    <t xml:space="preserve">Hugging Face source record: BNSS_321</t>
  </si>
  <si>
    <t xml:space="preserve">CASE_4070</t>
  </si>
  <si>
    <t xml:space="preserve">Section 321 of BNSS 2023 governs the "Execution of commissions," empowering the receiving Chief Judicial Magistrate (or their appointee) to summon the witness and record evidence using the same powers available in trials of warrant-cases. [Source: Section 321, BNSS 2023]</t>
  </si>
  <si>
    <t xml:space="preserve">CASE_4071</t>
  </si>
  <si>
    <t xml:space="preserve">The Chennai Magistrate has the power. Under section 321, the executing Magistrate "may for this purpose exercise the same powers, as in trials of warrant-cases under this Sanhita." They can deal with the witness directly. [Source: Section 321, BNSS 2023]</t>
  </si>
  <si>
    <t xml:space="preserve">CASE_4072</t>
  </si>
  <si>
    <t xml:space="preserve">No, the section states it is executed by "the Chief Judicial Magistrate or such Magistrate as he may appoint in this behalf". They can delegate it to another local Magistrate. [Source: Section 321, BNSS 2023]</t>
  </si>
  <si>
    <t xml:space="preserve">CASE_4073</t>
  </si>
  <si>
    <t xml:space="preserve">No, the section explicitly gives the Magistrate the option to "summon the witness before him or proceed to the place where the witness is". [Source: Section 321, BNSS 2023]</t>
  </si>
  <si>
    <t xml:space="preserve">CASE_4074</t>
  </si>
  <si>
    <t xml:space="preserve">The consequence is ensuring the commission is taken seriously; it prevents witnesses from ignoring the out-of-state commission by granting the local executing judge the full coercive and administrative authority (like issuing summons, administering oaths, and compelling answers) of a high-level trial court. [Source: Section 321, BNSS 2023]</t>
  </si>
  <si>
    <t xml:space="preserve">CASE_4075</t>
  </si>
  <si>
    <t xml:space="preserve">Parties may examine witnesses</t>
  </si>
  <si>
    <t xml:space="preserve">Yes. The parties can either send written questions ("interrogatories") for the Magistrate to ask the witness, or they (or their lawyers) can physically travel to where the commission is happening and cross-examine the witness in person. [Source: Section 322, BNSS 2023]</t>
  </si>
  <si>
    <t xml:space="preserve">Hugging Face source record: BNSS_322</t>
  </si>
  <si>
    <t xml:space="preserve">CASE_4076</t>
  </si>
  <si>
    <t xml:space="preserve">Section 322 of BNSS 2023 ensures "Parties may examine witnesses" during commissions by allowing parties to submit written interrogatories, or to appear in person or via advocate to examine, cross-examine, and re-examine the witness before the executing Magistrate. [Source: Section 322, BNSS 2023]</t>
  </si>
  <si>
    <t xml:space="preserve">CASE_4077</t>
  </si>
  <si>
    <t xml:space="preserve">No. Under sub-section (1), the parties may "forward any interrogatories in writing which the Court... may think relevant". The accused can write out their cross-examination questions, and the executing Magistrate will ask them on their behalf. [Source: Section 322, BNSS 2023]</t>
  </si>
  <si>
    <t xml:space="preserve">CASE_4078</t>
  </si>
  <si>
    <t xml:space="preserve">"the Court or Magistrate directing the commission may think relevant to the issue". (The original trial court filters them). [Source: Section 322, BNSS 2023]</t>
  </si>
  <si>
    <t xml:space="preserve">CASE_4079</t>
  </si>
  <si>
    <t xml:space="preserve">No. Sub-section (2) says a party may appear "if not in custody, in person". If they are in custody, they can only appear via an advocate or rely on written interrogatories. [Source: Section 322, BNSS 2023]</t>
  </si>
  <si>
    <t xml:space="preserve">CASE_4080</t>
  </si>
  <si>
    <t xml:space="preserve">The consequence is balancing fairness with economic reality; wealthy parties can afford to fly their lawyers to cross-examine a distant witness in real-time, but indigent defendants still retain their fundamental constitutional right to confront their accuser via the cost-free mechanism of written interrogatories. [Source: Section 322, BNSS 2023]</t>
  </si>
  <si>
    <t xml:space="preserve">CASE_4081</t>
  </si>
  <si>
    <t xml:space="preserve">Return of commission</t>
  </si>
  <si>
    <t xml:space="preserve">The recorded testimony (deposition) is sent back to the original trial court. The lawyers can inspect it, and it becomes official evidence in the trial, almost as if the witness had testified right there in the courtroom. [Source: Section 323, BNSS 2023]</t>
  </si>
  <si>
    <t xml:space="preserve">Hugging Face source record: BNSS_323</t>
  </si>
  <si>
    <t xml:space="preserve">CASE_4082</t>
  </si>
  <si>
    <t xml:space="preserve">Section 323 of BNSS 2023 governs the "Return of commission," stipulating that the executed commission and witness deposition be returned to the issuing Court, made open to inspection, and officially read into evidence, potentially even for subsequent stages of the case. [Source: Section 323, BNSS 2023]</t>
  </si>
  <si>
    <t xml:space="preserve">CASE_4083</t>
  </si>
  <si>
    <t xml:space="preserve">The defense lawyer is right. Under sub-section (1), "the commission, the return thereto and the deposition shall be open at all reasonable times to inspection of the parties". [Source: Section 323, BNSS 2023]</t>
  </si>
  <si>
    <t xml:space="preserve">CASE_4084</t>
  </si>
  <si>
    <t xml:space="preserve">"if it satisfies the conditions specified by section 27 of the Bharatiya Sakshya Adhiniyam, 2023". [Source: Section 323, BNSS 2023]</t>
  </si>
  <si>
    <t xml:space="preserve">CASE_4085</t>
  </si>
  <si>
    <t xml:space="preserve">No, sub-section (1) states it may be read in evidence "subject to all just exceptions". Lawyers can still object to parts of it (e.g., arguing a specific answer was hearsay) just like live testimony. [Source: Section 323, BNSS 2023]</t>
  </si>
  <si>
    <t xml:space="preserve">CASE_4086</t>
  </si>
  <si>
    <t xml:space="preserve">The consequence is legal equivalency; it ensures that testimony gathered 1,000 miles away by a different judge holds the exact same evidentiary weight and permanence in the trial file as testimony given by a witness standing inches from the trial judge. [Source: Section 323, BNSS 2023]</t>
  </si>
  <si>
    <t xml:space="preserve">CASE_4087</t>
  </si>
  <si>
    <t xml:space="preserve">Adjournment of proceeding</t>
  </si>
  <si>
    <t xml:space="preserve">The main trial or proceeding is usually "adjourned" (paused) for a reasonable amount of time to allow the commission to be executed and the results sent back. [Source: Section 324, BNSS 2023]</t>
  </si>
  <si>
    <t xml:space="preserve">Hugging Face source record: BNSS_324</t>
  </si>
  <si>
    <t xml:space="preserve">CASE_4088</t>
  </si>
  <si>
    <t xml:space="preserve">Section 324 of BNSS 2023 allows for the "Adjournment of proceeding," permitting the inquiry or trial to be paused for a specified, reasonable timeframe while waiting for the execution and return of a witness commission. [Source: Section 324, BNSS 2023]</t>
  </si>
  <si>
    <t xml:space="preserve">CASE_4089</t>
  </si>
  <si>
    <t xml:space="preserve">Under section 324, the judge should adjourn the trial. The section states the proceeding "may be adjourned for a specified time reasonably sufficient for the execution and return of the commission." [Source: Section 324, BNSS 2023]</t>
  </si>
  <si>
    <t xml:space="preserve">CASE_4090</t>
  </si>
  <si>
    <t xml:space="preserve">No, it states it may be adjourned "for a specified time reasonably sufficient". The delay must have a set limit and be reasonable. [Source: Section 324, BNSS 2023]</t>
  </si>
  <si>
    <t xml:space="preserve">CASE_4091</t>
  </si>
  <si>
    <t xml:space="preserve">No, the word used is "may be adjourned." If the prosecution has 20 other local witnesses ready to testify, the judge could choose to continue hearing those local witnesses while waiting for the commission to return. [Source: Section 324, BNSS 2023]</t>
  </si>
  <si>
    <t xml:space="preserve">CASE_4092</t>
  </si>
  <si>
    <t xml:space="preserve">The consequence is preventing procedural chaos; it explicitly grants the trial judge the statutory authority to pause the often strict statutory timelines for completing trials, ensuring that the necessary pursuit of distant evidence doesn't accidentally cause the trial to "time out" or conclude prematurely. [Source: Section 324, BNSS 2023]</t>
  </si>
  <si>
    <t xml:space="preserve">CASE_4093</t>
  </si>
  <si>
    <t xml:space="preserve">Execution of foreign commissions</t>
  </si>
  <si>
    <t xml:space="preserve">The Indian judge will execute the foreign commission using the exact same powers and rules as if the commission had been issued by an Indian court, provided the Central Government has officially notified that foreign court. [Source: Section 325, BNSS 2023]</t>
  </si>
  <si>
    <t xml:space="preserve">Hugging Face source record: BNSS_325</t>
  </si>
  <si>
    <t xml:space="preserve">CASE_4094</t>
  </si>
  <si>
    <t xml:space="preserve">Section 325 of BNSS 2023 governs the "Execution of foreign commissions," applying domestic commission execution rules (Sections 321-323) to commissions issued by specified foreign courts or non-Sanhita domestic courts, as notified by the Central Government. [Source: Section 325, BNSS 2023]</t>
  </si>
  <si>
    <t xml:space="preserve">CASE_4095</t>
  </si>
  <si>
    <t xml:space="preserve">Not if the French court has been specified by the Central Government. Under section 325(1), the provisions for executing commissions "shall apply in respect of commissions issued by any of the Courts... hereinafter mentioned". [Source: Section 325, BNSS 2023]</t>
  </si>
  <si>
    <t xml:space="preserve">CASE_4096</t>
  </si>
  <si>
    <t xml:space="preserve">"having authority, under the law in force in that country or place, to issue commissions for the examination of witnesses in relation to criminal matters." [Source: Section 325, BNSS 2023]</t>
  </si>
  <si>
    <t xml:space="preserve">CASE_4097</t>
  </si>
  <si>
    <t xml:space="preserve">No, under clause (2)(a), it also applies to courts "exercising jurisdiction within an area in India to which this Sanhita does not extend" (e.g., special tribal areas, if specified by the Central Govt). [Source: Section 325, BNSS 2023]</t>
  </si>
  <si>
    <t xml:space="preserve">CASE_4098</t>
  </si>
  <si>
    <t xml:space="preserve">The consequence is fulfilling international legal assistance treaties; it allows India to reciprocate by helping foreign nations gather evidence on Indian soil, using the established domestic procedural framework to ensure the evidence is gathered legally and respectfully. [Source: Section 325, BNSS 2023]</t>
  </si>
  <si>
    <t xml:space="preserve">CASE_4099</t>
  </si>
  <si>
    <t xml:space="preserve">Deposition of medical witness</t>
  </si>
  <si>
    <t xml:space="preserve">No. A medical witness's written deposition can be used as evidence without them being called to court. However, if the prosecution, defense, or the judge demands it, the court must summon the doctor to testify. [Source: Section 326, BNSS 2023]</t>
  </si>
  <si>
    <t xml:space="preserve">Hugging Face source record: BNSS_326</t>
  </si>
  <si>
    <t xml:space="preserve">CASE_4100</t>
  </si>
  <si>
    <t xml:space="preserve">Section 326 of BNSS 2023 allows the "Deposition of medical witness" to be given in evidence without calling the deponent as a witness, while preserving the right of the Court or parties to apply to summon the expert for examination. [Source: Section 326, BNSS 2023]</t>
  </si>
  <si>
    <t xml:space="preserve">CASE_4101</t>
  </si>
  <si>
    <t xml:space="preserve">Yes. Under sub-section (2), the Court "shall, on the application of the prosecution or the accused, summon and examine any such deponent". The defense's application makes it mandatory. [Source: Section 326, BNSS 2023]</t>
  </si>
  <si>
    <t xml:space="preserve">CASE_4102</t>
  </si>
  <si>
    <t xml:space="preserve">It must have been "taken and attested by a Magistrate in the presence of the accused, or taken on commission under this Chapter". [Source: Section 326, BNSS 2023]</t>
  </si>
  <si>
    <t xml:space="preserve">CASE_4103</t>
  </si>
  <si>
    <t xml:space="preserve">No. Sub-section (2) states "The Court may, if it thinks fit... summon and examine any such deponent". The judge has independent discretion. [Source: Section 326, BNSS 2023]</t>
  </si>
  <si>
    <t xml:space="preserve">CASE_4104</t>
  </si>
  <si>
    <t xml:space="preserve">The consequence is preventing severe disruption to public healthcare; if every civil surgeon had to spend days sitting in court waiting to testify for every single assault or murder case they examined, hospitals would be paralyzed. This saves medical professionals' time unless their specific testimony is actively disputed. [Source: Section 326, BNSS 2023]</t>
  </si>
  <si>
    <t xml:space="preserve">CASE_4105</t>
  </si>
  <si>
    <t xml:space="preserve">Identification report of Magistrate</t>
  </si>
  <si>
    <t xml:space="preserve">Usually no. The Magistrate's written report of the identification parade can be used as direct evidence. But again, if the lawyers or the judge specifically ask for the Magistrate to be summoned, they must come. [Source: Section 327, BNSS 2023]</t>
  </si>
  <si>
    <t xml:space="preserve">Hugging Face source record: BNSS_327</t>
  </si>
  <si>
    <t xml:space="preserve">CASE_4106</t>
  </si>
  <si>
    <t xml:space="preserve">Section 327 of BNSS 2023 makes an "Identification report of Magistrate" admissible as evidence without calling the Magistrate as a witness, subject to the rights of the parties or the court to summon them. [Source: Section 327, BNSS 2023]</t>
  </si>
  <si>
    <t xml:space="preserve">CASE_4107</t>
  </si>
  <si>
    <t xml:space="preserve">Yes. Under sub-section (1), "Any document purporting to be a report of identification under the hand of an Executive Magistrate... may be used as evidence... although such Magistrate is not called as a witness". [Source: Section 327, BNSS 2023]</t>
  </si>
  <si>
    <t xml:space="preserve">CASE_4108</t>
  </si>
  <si>
    <t xml:space="preserve">"in respect of a person or property". [Source: Section 327, BNSS 2023]</t>
  </si>
  <si>
    <t xml:space="preserve">CASE_4109</t>
  </si>
  <si>
    <t xml:space="preserve">No, the proviso strictly states that if the report contains a statement by a suspect to which certain evidence rules (like confessions to police) apply, "such statement shall not be used under this sub-section except in accordance with the provisions of those sections." [Source: Section 327, BNSS 2023]</t>
  </si>
  <si>
    <t xml:space="preserve">CASE_4110</t>
  </si>
  <si>
    <t xml:space="preserve">The consequence is judicial efficiency; Executive Magistrates conduct thousands of routine identification parades. Treating their official reports as prima facie evidence prevents tying up administrative officers in endless court appearances for procedural formalities, unless their specific conduct of the lineup is actually challenged. [Source: Section 327, BNSS 2023]</t>
  </si>
  <si>
    <t xml:space="preserve">CASE_4111</t>
  </si>
  <si>
    <t xml:space="preserve">Evidence of officers of Mint</t>
  </si>
  <si>
    <t xml:space="preserve">Generally, no. Their official report can be used directly as evidence. While they can be summoned to answer questions, they cannot be forced to bring their internal, unpublished lab records to court. [Source: Section 328, BNSS 2023]</t>
  </si>
  <si>
    <t xml:space="preserve">Hugging Face source record: BNSS_328</t>
  </si>
  <si>
    <t xml:space="preserve">CASE_4112</t>
  </si>
  <si>
    <t xml:space="preserve">Section 328 of BNSS 2023 allows "Evidence of officers of Mint" and other specified forensic/printing presses to be used as evidence via their written reports without calling the officer, heavily restricting the disclosure of their internal testing methods and unpublished records. [Source: Section 328, BNSS 2023]</t>
  </si>
  <si>
    <t xml:space="preserve">CASE_4113</t>
  </si>
  <si>
    <t xml:space="preserve">The court may summon the officer to answer questions, but under the proviso to sub-section (2), "no such officer shall be summoned to produce any records on which the report is based." The secret manuals remain protected. [Source: Section 328, BNSS 2023]</t>
  </si>
  <si>
    <t xml:space="preserve">CASE_4114</t>
  </si>
  <si>
    <t xml:space="preserve">"the nature or particulars of any test applied by him in the course of the examination of the matter or thing." [Source: Section 328, BNSS 2023]</t>
  </si>
  <si>
    <t xml:space="preserve">CASE_4115</t>
  </si>
  <si>
    <t xml:space="preserve">No, the prohibition in sub-section (3) is absolute "except with the permission of the General Manager or any officer in charge". The judge cannot override this specific national security protection. [Source: Section 328, BNSS 2023]</t>
  </si>
  <si>
    <t xml:space="preserve">CASE_4116</t>
  </si>
  <si>
    <t xml:space="preserve">The consequence is safeguarding national security and the integrity of the currency; if counterfeiters could use defense lawyers to legally force government experts to reveal exactly how the RBI detects fake notes or forged passports, they would immediately use that information to improve their counterfeiting techniques. [Source: Section 328, BNSS 2023]</t>
  </si>
  <si>
    <t xml:space="preserve">CASE_4117</t>
  </si>
  <si>
    <t xml:space="preserve">Reports of certain Government scientific experts</t>
  </si>
  <si>
    <t xml:space="preserve">No. Reports from certain high-level Government scientific experts (like Chemical Examiners or Explosives Controllers) can be used as direct evidence. If the court summons them, they can even send a knowledgeable assistant in their place to testify. [Source: Section 329, BNSS 2023]</t>
  </si>
  <si>
    <t xml:space="preserve">Hugging Face source record: BNSS_329</t>
  </si>
  <si>
    <t xml:space="preserve">CASE_4118</t>
  </si>
  <si>
    <t xml:space="preserve">Section 329 of BNSS 2023 makes "Reports of certain Government scientific experts" directly admissible as evidence without calling the expert, and allows these specific experts to depute a responsible officer to testify on their behalf if summoned. [Source: Section 329, BNSS 2023]</t>
  </si>
  <si>
    <t xml:space="preserve">CASE_4119</t>
  </si>
  <si>
    <t xml:space="preserve">Yes. Under sub-section (3), if unable to attend personally, the expert "may... depute any responsible officer working with him to attend the Court, if such officer is conversant with the facts of the case". [Source: Section 329, BNSS 2023]</t>
  </si>
  <si>
    <t xml:space="preserve">CASE_4120</t>
  </si>
  <si>
    <t xml:space="preserve">Any of the following: (a) Chemical Examiner, (b) Chief Controller of Explosives, (c) Director of the Finger Print Bureau, (d) Director, Haffkeine Institute, (e) Director of a Forensic Science Lab, (f) Serologist to the Government. [Source: Section 329, BNSS 2023]</t>
  </si>
  <si>
    <t xml:space="preserve">CASE_4121</t>
  </si>
  <si>
    <t xml:space="preserve">No, sub-section (3) says they can depute an officer "unless the Court has expressly directed him to appear personally". [Source: Section 329, BNSS 2023]</t>
  </si>
  <si>
    <t xml:space="preserve">CASE_4122</t>
  </si>
  <si>
    <t xml:space="preserve">The consequence is extreme administrative efficiency; the "Director" of a massive state forensic lab cannot physically testify in every murder trial in the state. Allowing them to send the actual bench-scientist who performed the test ensures the court gets the facts without bottlenecking the entire laboratory system. [Source: Section 329, BNSS 2023]</t>
  </si>
  <si>
    <t xml:space="preserve">CASE_4123</t>
  </si>
  <si>
    <t xml:space="preserve">No formal proof of certain documents</t>
  </si>
  <si>
    <t xml:space="preserve">No. The parties must give each other a list of documents early on. If the other side doesn't dispute that the document is genuine within 30 days, the document is accepted as evidence without needing any formal proof of signatures. [Source: Section 330, BNSS 2023]</t>
  </si>
  <si>
    <t xml:space="preserve">Hugging Face source record: BNSS_330</t>
  </si>
  <si>
    <t xml:space="preserve">CASE_4124</t>
  </si>
  <si>
    <t xml:space="preserve">Section 330 of BNSS 2023 mandates "No formal proof of certain documents," requiring parties to admit or deny the genuineness of filed documents within 30 days; undisputed documents are then read into evidence without needing formal proof of signature. [Source: Section 330, BNSS 2023]</t>
  </si>
  <si>
    <t xml:space="preserve">CASE_4125</t>
  </si>
  <si>
    <t xml:space="preserve">The prosecution wins. Under sub-section (1), the defense had to admit or deny it "in no case later than thirty days". Because they didn't dispute it, under sub-section (3), "such document may be read in evidence... without proof of the signature". [Source: Section 330, BNSS 2023]</t>
  </si>
  <si>
    <t xml:space="preserve">CASE_4126</t>
  </si>
  <si>
    <t xml:space="preserve">"unless the report of such expert is disputed by any of the parties to the trial." [Source: Section 330, BNSS 2023]</t>
  </si>
  <si>
    <t xml:space="preserve">CASE_4127</t>
  </si>
  <si>
    <t xml:space="preserve">Yes. The proviso to sub-section (3) states: "Provided that the Court may, in its discretion, require such signature to be proved." [Source: Section 330, BNSS 2023]</t>
  </si>
  <si>
    <t xml:space="preserve">CASE_4128</t>
  </si>
  <si>
    <t xml:space="preserve">The consequence is drastically reducing trial length; it eliminates the "gotcha" tactic of forcing the opposing side to spend days tracking down witnesses to formally verify the signatures on hundreds of routine, undisputed bank statements, emails, or invoices, focusing the trial only on the evidence that is actually contested. [Source: Section 330, BNSS 2023]</t>
  </si>
  <si>
    <t xml:space="preserve">CASE_4129</t>
  </si>
  <si>
    <t xml:space="preserve">Affidavit in proof of conduct of public servants</t>
  </si>
  <si>
    <t xml:space="preserve">No, they can just submit a sworn written statement (an affidavit) to prove the facts about the public servant's conduct, and the court can accept that as evidence. [Source: Section 331, BNSS 2023]</t>
  </si>
  <si>
    <t xml:space="preserve">Hugging Face source record: BNSS_331</t>
  </si>
  <si>
    <t xml:space="preserve">CASE_4130</t>
  </si>
  <si>
    <t xml:space="preserve">Section 331 of BNSS 2023 allows an "Affidavit in proof of conduct of public servants," permitting an applicant to use a sworn affidavit, rather than live oral testimony, to provide evidence of facts when making allegations respecting a public servant during a proceeding. [Source: Section 331, BNSS 2023]</t>
  </si>
  <si>
    <t xml:space="preserve">CASE_4131</t>
  </si>
  <si>
    <t xml:space="preserve">Yes. Under section 331, when allegations are made respecting a public servant, "the applicant may give evidence of the facts alleged in the application by affidavit, and the Court may... order that evidence relating to such facts be so given." [Source: Section 331, BNSS 2023]</t>
  </si>
  <si>
    <t xml:space="preserve">CASE_4132</t>
  </si>
  <si>
    <t xml:space="preserve">"in the course of any inquiry, trial or other proceeding under this Sanhita". [Source: Section 331, BNSS 2023]</t>
  </si>
  <si>
    <t xml:space="preserve">CASE_4133</t>
  </si>
  <si>
    <t xml:space="preserve">No, the section states "the Court may, if it thinks fit, order that evidence relating to such facts be so given." The court retains discretion to demand live testimony instead. [Source: Section 331, BNSS 2023]</t>
  </si>
  <si>
    <t xml:space="preserve">CASE_4134</t>
  </si>
  <si>
    <t xml:space="preserve">The consequence is expediting administrative and procedural disputes; when resolving side-issues about official misconduct (which often hold up the main trial), courts can quickly review sworn written statements rather than derailing the main trial to hold a mini-trial with live witnesses just about the clerk's behavior. [Source: Section 331, BNSS 2023]</t>
  </si>
  <si>
    <t xml:space="preserve">CASE_4135</t>
  </si>
  <si>
    <t xml:space="preserve">Evidence of formal character on affidavit</t>
  </si>
  <si>
    <t xml:space="preserve">Yes, if their evidence is purely "formal" (like stating they delivered a letter, or took photos of a crime scene without analyzing them). But if the other side wants to question them, the court will summon them. [Source: Section 332, BNSS 2023]</t>
  </si>
  <si>
    <t xml:space="preserve">Hugging Face source record: BNSS_332</t>
  </si>
  <si>
    <t xml:space="preserve">CASE_4136</t>
  </si>
  <si>
    <t xml:space="preserve">Section 332 of BNSS 2023 permits "Evidence of formal character on affidavit," allowing formal evidence to be submitted via written affidavit and read in any inquiry or trial, while preserving the right of the parties to have the deponent summoned for cross-examination. [Source: Section 332, BNSS 2023]</t>
  </si>
  <si>
    <t xml:space="preserve">CASE_4137</t>
  </si>
  <si>
    <t xml:space="preserve">Yes. Under sub-section (1), "The evidence of any person whose evidence is of a formal character may be given by affidavit". Taking routine photos is generally considered formal evidence. [Source: Section 332, BNSS 2023]</t>
  </si>
  <si>
    <t xml:space="preserve">CASE_4138</t>
  </si>
  <si>
    <t xml:space="preserve">The Court "shall... summon and examine any such person as to the facts contained in his affidavit." [Source: Section 332, BNSS 2023]</t>
  </si>
  <si>
    <t xml:space="preserve">CASE_4139</t>
  </si>
  <si>
    <t xml:space="preserve">No, an eyewitness account of a crime is substantive evidence, not "evidence of a formal character." Therefore, sub-section (1) does not apply, and they must testify live. [Source: Section 332, BNSS 2023]</t>
  </si>
  <si>
    <t xml:space="preserve">CASE_4140</t>
  </si>
  <si>
    <t xml:space="preserve">The consequence is saving massive amounts of court time; it prevents the pointless exercise of forcing a dozen different police constables, couriers, and clerks to take the stand for 2 minutes each just to formally swear they moved a piece of paper from desk A to desk B, streamlining the trial process. [Source: Section 332, BNSS 2023]</t>
  </si>
  <si>
    <t xml:space="preserve">CASE_4141</t>
  </si>
  <si>
    <t xml:space="preserve">Authorities before whom affidavits may be sworn</t>
  </si>
  <si>
    <t xml:space="preserve">An affidavit can be sworn before any Judge, Magistrate, a High Court appointed Commissioner of Oaths, or a registered Notary Public. Also, the affidavit must clearly state what the person actually knows versus what they just believe to be true. [Source: Section 333, BNSS 2023]</t>
  </si>
  <si>
    <t xml:space="preserve">Hugging Face source record: BNSS_333</t>
  </si>
  <si>
    <t xml:space="preserve">CASE_4142</t>
  </si>
  <si>
    <t xml:space="preserve">Section 333 of BNSS 2023 specifies the "Authorities before whom affidavits may be sworn" (Judges, Magistrates, Commissioners, Notaries), and dictates the required format, demanding deponents separate personal knowledge from mere belief, while allowing courts to strike out scandalous matter. [Source: Section 333, BNSS 2023]</t>
  </si>
  <si>
    <t xml:space="preserve">CASE_4143</t>
  </si>
  <si>
    <t xml:space="preserve">Under sub-section (3), "The Court may order any scandalous and irrelevant matter in the affidavit to be struck out or amended." The judge will cross it out. [Source: Section 333, BNSS 2023]</t>
  </si>
  <si>
    <t xml:space="preserve">CASE_4144</t>
  </si>
  <si>
    <t xml:space="preserve">"the deponent shall clearly state the grounds of such belief." [Source: Section 333, BNSS 2023]</t>
  </si>
  <si>
    <t xml:space="preserve">CASE_4145</t>
  </si>
  <si>
    <t xml:space="preserve">No. Sub-section (1) strictly limits the authorities to: Judges/Magistrates, Commissioners of Oaths, and Notaries. A regular police officer is not on this list. [Source: Section 333, BNSS 2023]</t>
  </si>
  <si>
    <t xml:space="preserve">CASE_4146</t>
  </si>
  <si>
    <t xml:space="preserve">The consequence is evidentiary clarity; it prevents witnesses from sneaking hearsay or assumptions into a sworn document disguised as hard facts. By forcing them to state the *grounds* of their belief, the court can instantly judge if that belief is legally reliable or just baseless gossip. [Source: Section 333, BNSS 2023]</t>
  </si>
  <si>
    <t xml:space="preserve">CASE_4147</t>
  </si>
  <si>
    <t xml:space="preserve">Previous conviction or acquittal how proved</t>
  </si>
  <si>
    <t xml:space="preserve">They can prove it by producing a certified extract from the previous court's records, or a certificate signed by the jailer where the person served time, along with evidence proving the person currently on trial is the exact same person. [Source: Section 334, BNSS 2023]</t>
  </si>
  <si>
    <t xml:space="preserve">Hugging Face source record: BNSS_334</t>
  </si>
  <si>
    <t xml:space="preserve">CASE_4148</t>
  </si>
  <si>
    <t xml:space="preserve">Section 334 of BNSS 2023 outlines "Previous conviction or acquittal how proved," allowing proof via certified court extracts or jailer certificates/warrants of commitment, provided there is accompanying evidence establishing the identity of the accused. [Source: Section 334, BNSS 2023]</t>
  </si>
  <si>
    <t xml:space="preserve">CASE_4149</t>
  </si>
  <si>
    <t xml:space="preserve">No. Under section 334(b), producing the certificate must be done "together with... evidence as to the identity of the accused person with the person so convicted". The prosecutor must also prove the "John Doe" on trial is the same "John Doe" from the jail. [Source: Section 334, BNSS 2023]</t>
  </si>
  <si>
    <t xml:space="preserve">CASE_4150</t>
  </si>
  <si>
    <t xml:space="preserve">"the officer having the custody of the records of the Court in which such conviction or acquittal was held". [Source: Section 334, BNSS 2023]</t>
  </si>
  <si>
    <t xml:space="preserve">CASE_4151</t>
  </si>
  <si>
    <t xml:space="preserve">No, the section explicitly states these methods may be used "in addition to any other mode provided by any law for the time being in force". [Source: Section 334, BNSS 2023]</t>
  </si>
  <si>
    <t xml:space="preserve">CASE_4152</t>
  </si>
  <si>
    <t xml:space="preserve">The consequence is practical expediency; decades-old court records can be destroyed in fires or floods, but jail registers are often well-preserved. Allowing the jailer's certificate or the original jail warrant as proof ensures that repeat offenders cannot escape enhanced sentencing just because the original courthouse lost the trial transcript. [Source: Section 334, BNSS 2023]</t>
  </si>
  <si>
    <t xml:space="preserve">CASE_4153</t>
  </si>
  <si>
    <t xml:space="preserve">Record of evidence in absence of accused</t>
  </si>
  <si>
    <t xml:space="preserve">The court can record the testimony of prosecution witnesses even in the accused's absence. If the accused is caught years later, those recorded testimonies can be used against them, especially if the original witnesses are dead or can't be found by then. [Source: Section 335, BNSS 2023]</t>
  </si>
  <si>
    <t xml:space="preserve">Hugging Face source record: BNSS_335</t>
  </si>
  <si>
    <t xml:space="preserve">CASE_4154</t>
  </si>
  <si>
    <t xml:space="preserve">Section 335 of BNSS 2023 allows the "Record of evidence in absence of accused," permitting courts to examine witnesses and record depositions when an accused absconds with no immediate prospect of arrest, or when unknown persons commit severe crimes. [Source: Section 335, BNSS 2023]</t>
  </si>
  <si>
    <t xml:space="preserve">CASE_4155</t>
  </si>
  <si>
    <t xml:space="preserve">Yes. Under section 335(1), the deposition recorded in his absence "may, on the arrest of such person, be given in evidence against him... if the deponent is dead". [Source: Section 335, BNSS 2023]</t>
  </si>
  <si>
    <t xml:space="preserve">CASE_4156</t>
  </si>
  <si>
    <t xml:space="preserve">That the accused "has absconded" and "that there is no immediate prospect of arresting him". [Source: Section 335, BNSS 2023]</t>
  </si>
  <si>
    <t xml:space="preserve">CASE_4157</t>
  </si>
  <si>
    <t xml:space="preserve">No, sub-section (2) specifically restricts this power to situations where "an offence punishable with death or imprisonment for life has been committed by some person or persons unknown". Petty theft does not qualify. [Source: Section 335, BNSS 2023]</t>
  </si>
  <si>
    <t xml:space="preserve">CASE_4158</t>
  </si>
  <si>
    <t xml:space="preserve">The consequence is preventing justice from being defeated by delay; witnesses' memories fade, or they may die or be intimidated over time. By locking in their testimony immediately while the accused is on the run, the state ensures a viable prosecution awaits the fugitive upon their eventual capture. [Source: Section 335, BNSS 2023]</t>
  </si>
  <si>
    <t xml:space="preserve">CASE_4159</t>
  </si>
  <si>
    <t xml:space="preserve">Evidence of public servants, experts, police officers in certain cases</t>
  </si>
  <si>
    <t xml:space="preserve">No. The court will summon the "successor officer" (the person who took over their job) to testify about the document instead, and their testimony can even be done via video call. [Source: Section 336, BNSS 2023]</t>
  </si>
  <si>
    <t xml:space="preserve">Hugging Face source record: BNSS_336</t>
  </si>
  <si>
    <t xml:space="preserve">CASE_4160</t>
  </si>
  <si>
    <t xml:space="preserve">Section 336 of BNSS 2023 governs "Evidence of public servants, experts, police officers in certain cases," allowing the court to secure the presence of a "successor officer" to depose on a document if the original author has died, retired, transferred, or is unavailable. [Source: Section 336, BNSS 2023]</t>
  </si>
  <si>
    <t xml:space="preserve">CASE_4161</t>
  </si>
  <si>
    <t xml:space="preserve">Yes. Under section 336, because the expert died, "the Court shall secure presence of successor officer of such public servant, expert, or officer who is holding that post at the time of such deposition to give deposition on such document". [Source: Section 336, BNSS 2023]</t>
  </si>
  <si>
    <t xml:space="preserve">CASE_4162</t>
  </si>
  <si>
    <t xml:space="preserve">If "securing presence of such public servant, expert or officer is likely to cause delay in holding the inquiry, trial or other proceeding". [Source: Section 336, BNSS 2023]</t>
  </si>
  <si>
    <t xml:space="preserve">CASE_4163</t>
  </si>
  <si>
    <t xml:space="preserve">No. The first proviso states: "Provided that no public servant... shall be called to appear before the Court unless the report... is disputed by any of the parties". If undisputed, nobody needs to testify. [Source: Section 336, BNSS 2023]</t>
  </si>
  <si>
    <t xml:space="preserve">CASE_4164</t>
  </si>
  <si>
    <t xml:space="preserve">The consequence is tremendous logistical relief; when a transferred police officer moves 1000 km away, they don't have to abandon their new post and travel for three days just to formally verify a signature they made two years ago, speeding up both the trial and general policing. [Source: Section 336, BNSS 2023]</t>
  </si>
  <si>
    <t xml:space="preserve">CASE_4165</t>
  </si>
  <si>
    <t xml:space="preserve">Person once convicted or acquitted not to be tried for same offence</t>
  </si>
  <si>
    <t xml:space="preserve">No. If a person is tried and either convicted or acquitted, they cannot be tried again for that exact same offence, nor for any other offence based on the exact same facts that could have been charged in the first trial. [Source: Section 337, BNSS 2023]</t>
  </si>
  <si>
    <t xml:space="preserve">Hugging Face source record: BNSS_337</t>
  </si>
  <si>
    <t xml:space="preserve">CASE_4166</t>
  </si>
  <si>
    <t xml:space="preserve">Section 337 of BNSS 2023 establishes that a "Person once convicted or acquitted not to be tried for same offence," preventing subsequent trials for the same offense or on the same facts where different charges could have been originally framed. [Source: Section 337, BNSS 2023]</t>
  </si>
  <si>
    <t xml:space="preserve">CASE_4167</t>
  </si>
  <si>
    <t xml:space="preserve">Yes. Under sub-section (3), if the act caused consequences which "constituted a different offence from that of which he was convicted", he may be tried for the new offence if the consequences "had not happened... at the time when he was convicted." (Also supported by Illustration b). [Source: Section 337, BNSS 2023]</t>
  </si>
  <si>
    <t xml:space="preserve">CASE_4168</t>
  </si>
  <si>
    <t xml:space="preserve">No, "The dismissal of a complaint, or the discharge of the accused, is not an acquittal for the purposes of this section." [Source: Section 337, BNSS 2023]</t>
  </si>
  <si>
    <t xml:space="preserve">CASE_4169</t>
  </si>
  <si>
    <t xml:space="preserve">No. Under sub-section (4), a person may be subsequently tried if "the Court by which he was first tried was not competent to try the offence". An incompetent court's verdict doesn't trigger double jeopardy. [Source: Section 337, BNSS 2023]</t>
  </si>
  <si>
    <t xml:space="preserve">CASE_4170</t>
  </si>
  <si>
    <t xml:space="preserve">The consequence is protecting citizens from state harassment; the state cannot continuously traumatize and bankrupt an individual by forcing them to defend themselves in multiple trials for the exact same incident simply because the prosecutor lost the first time or forgot to add a related charge. [Source: Section 337, BNSS 2023]</t>
  </si>
  <si>
    <t xml:space="preserve">CASE_4171</t>
  </si>
  <si>
    <t xml:space="preserve">Appearance by Public Prosecutors</t>
  </si>
  <si>
    <t xml:space="preserve">No, the Public Prosecutor in charge of a case can appear and plead without any written authority. [Source: Section 338, BNSS 2023]</t>
  </si>
  <si>
    <t xml:space="preserve">Hugging Face source record: BNSS_338</t>
  </si>
  <si>
    <t xml:space="preserve">CASE_4172</t>
  </si>
  <si>
    <t xml:space="preserve">Section 338 of BNSS 2023 governs "Appearance by Public Prosecutors," granting them the right to appear and plead without written authority, and subordinating any privately hired advocates to their direction. [Source: Section 338, BNSS 2023]</t>
  </si>
  <si>
    <t xml:space="preserve">CASE_4173</t>
  </si>
  <si>
    <t xml:space="preserve">No. Under sub-section (2), if a private person instructs an advocate, "the Public Prosecutor... shall conduct the prosecution, and the advocate so instructed shall act therein under the directions of the Public Prosecutor". The state prosecutor is the boss. [Source: Section 338, BNSS 2023]</t>
  </si>
  <si>
    <t xml:space="preserve">CASE_4174</t>
  </si>
  <si>
    <t xml:space="preserve">They "may, with the permission of the Court, submit written arguments after the evidence is closed in the case." [Source: Section 338, BNSS 2023]</t>
  </si>
  <si>
    <t xml:space="preserve">CASE_4175</t>
  </si>
  <si>
    <t xml:space="preserve">No, the statute strictly mandates that the Public Prosecutor "shall conduct the prosecution" and the private lawyer "shall act therein under the directions". There is no exception giving control to the private lawyer. [Source: Section 338, BNSS 2023]</t>
  </si>
  <si>
    <t xml:space="preserve">CASE_4176</t>
  </si>
  <si>
    <t xml:space="preserve">The consequence is maintaining the principle that crimes are an offense against the State, not just the individual victim; it ensures that the prosecution is conducted objectively in the pursuit of justice, rather than turning into a private vendetta fueled by the victim's personal wealth. [Source: Section 338, BNSS 2023]</t>
  </si>
  <si>
    <t xml:space="preserve">CASE_4177</t>
  </si>
  <si>
    <t xml:space="preserve">Permission to conduct prosecution</t>
  </si>
  <si>
    <t xml:space="preserve">A Magistrate can permit someone other than a Public Prosecutor to conduct the case. However, an investigating police officer who worked on that specific case can never be permitted to prosecute it. And generally, officers below the rank of Inspector cannot prosecute. [Source: Section 339, BNSS 2023]</t>
  </si>
  <si>
    <t xml:space="preserve">Hugging Face source record: BNSS_339</t>
  </si>
  <si>
    <t xml:space="preserve">CASE_4178</t>
  </si>
  <si>
    <t xml:space="preserve">Section 339 of BNSS 2023 outlines "Permission to conduct prosecution," allowing Magistrates to permit individuals other than appointed prosecutors to run a case, but strictly barring police officers below the rank of Inspector, or any officer who investigated the specific offence. [Source: Section 339, BNSS 2023]</t>
  </si>
  <si>
    <t xml:space="preserve">CASE_4179</t>
  </si>
  <si>
    <t xml:space="preserve">No. The proviso strictly states: "Provided that no police officer shall be permitted to conduct the prosecution if he has taken part in the investigation into the offence". Because he investigated it, he is barred. [Source: Section 339, BNSS 2023]</t>
  </si>
  <si>
    <t xml:space="preserve">CASE_4180</t>
  </si>
  <si>
    <t xml:space="preserve">They cannot be "below the rank of inspector". [Source: Section 339, BNSS 2023]</t>
  </si>
  <si>
    <t xml:space="preserve">CASE_4181</t>
  </si>
  <si>
    <t xml:space="preserve">No, the section says "no person, other than the Advocate-General or Government Advocate or a Public Prosecutor... shall be entitled to do so without such permission". Official state lawyers have an automatic right. [Source: Section 339, BNSS 2023]</t>
  </si>
  <si>
    <t xml:space="preserve">CASE_4182</t>
  </si>
  <si>
    <t xml:space="preserve">The consequence is preserving the fairness of the trial; an investigating officer is inherently biased toward securing a conviction to validate their own police work. Forcing a separation between the investigator and the prosecutor ensures the evidence is presented by a more objective, legally trained mind. [Source: Section 339, BNSS 2023]</t>
  </si>
  <si>
    <t xml:space="preserve">CASE_4183</t>
  </si>
  <si>
    <t xml:space="preserve">Right of person against whom proceedings are instituted to be defended</t>
  </si>
  <si>
    <t xml:space="preserve">Yes. Any person accused of an offence has the absolute right to be defended by an advocate (lawyer) of their own choice. [Source: Section 340, BNSS 2023]</t>
  </si>
  <si>
    <t xml:space="preserve">Hugging Face source record: BNSS_340</t>
  </si>
  <si>
    <t xml:space="preserve">CASE_4184</t>
  </si>
  <si>
    <t xml:space="preserve">Section 340 of BNSS 2023 codifies the "Right of person against whom proceedings are instituted to be defended," guaranteeing that any accused before a Criminal Court has the right to be defended by an advocate of his choice. [Source: Section 340, BNSS 2023]</t>
  </si>
  <si>
    <t xml:space="preserve">CASE_4185</t>
  </si>
  <si>
    <t xml:space="preserve">No, it is highly illegal. Under section 340, "Any person accused of an offence... may of right be defended by an advocate of his choice." The Magistrate cannot deny this fundamental right, regardless of how minor the offence is. [Source: Section 340, BNSS 2023]</t>
  </si>
  <si>
    <t xml:space="preserve">CASE_4186</t>
  </si>
  <si>
    <t xml:space="preserve">It extends further; it applies to "Any person accused of an offence... or against whom proceedings are instituted under this Sanhita". (E.g., proceedings for keeping the peace). [Source: Section 340, BNSS 2023]</t>
  </si>
  <si>
    <t xml:space="preserve">CASE_4187</t>
  </si>
  <si>
    <t xml:space="preserve">No, the statute explicitly guarantees the right to be defended by an advocate "of his choice." The state cannot dictate the choice of private counsel. [Source: Section 340, BNSS 2023]</t>
  </si>
  <si>
    <t xml:space="preserve">CASE_4188</t>
  </si>
  <si>
    <t xml:space="preserve">The consequence is ensuring equality of arms; the State prosecutes citizens using highly trained legal experts (Public Prosecutors). To prevent the trial from being a grossly unfair mismatch, the law guarantees the citizen the right to bring their own legal expert to defend them. [Source: Section 340, BNSS 2023]</t>
  </si>
  <si>
    <t xml:space="preserve">CASE_4189</t>
  </si>
  <si>
    <t xml:space="preserve">Legal aid to accused at State expense in certain cases</t>
  </si>
  <si>
    <t xml:space="preserve">If the accused has no lawyer and cannot afford one, the Court is required to assign a lawyer to defend them for free, and the State Government pays the lawyer's fees. [Source: Section 341, BNSS 2023]</t>
  </si>
  <si>
    <t xml:space="preserve">Hugging Face source record: BNSS_341</t>
  </si>
  <si>
    <t xml:space="preserve">CASE_4190</t>
  </si>
  <si>
    <t xml:space="preserve">Section 341 of BNSS 2023 mandates "Legal aid to accused at State expense in certain cases," obligating the Court to assign an advocate at state expense if an unrepresented accused lacks sufficient means to engage one. [Source: Section 341, BNSS 2023]</t>
  </si>
  <si>
    <t xml:space="preserve">CASE_4191</t>
  </si>
  <si>
    <t xml:space="preserve">Under section 341(1), because the accused has "not sufficient means to engage an advocate, the Court shall assign an advocate for his defence at the expense of the State." It is a mandatory duty. [Source: Section 341, BNSS 2023]</t>
  </si>
  <si>
    <t xml:space="preserve">CASE_4192</t>
  </si>
  <si>
    <t xml:space="preserve">"The High Court may, with the previous approval of the State Government, make rules". [Source: Section 341, BNSS 2023]</t>
  </si>
  <si>
    <t xml:space="preserve">CASE_4193</t>
  </si>
  <si>
    <t xml:space="preserve">The mandatory rule in sub-section (1) applies generally to "a trial or appeal before a Court", but sub-section (3) gives the State Government power to specify by notification exactly when these rules apply to "any class of trials before other Courts in the State as they apply... to trials before Courts of Session." [Source: Section 341, BNSS 2023]</t>
  </si>
  <si>
    <t xml:space="preserve">CASE_4194</t>
  </si>
  <si>
    <t xml:space="preserve">The consequence is fulfilling the constitutional mandate of equal justice under the law; it prevents the tragedy of an innocent person being convicted and sent to prison simply because they were too impoverished to navigate complex legal procedures or cross-examine witnesses effectively. [Source: Section 341, BNSS 2023]</t>
  </si>
  <si>
    <t xml:space="preserve">CASE_4195</t>
  </si>
  <si>
    <t xml:space="preserve">Procedure when corporation or registered society is an accused</t>
  </si>
  <si>
    <t xml:space="preserve">The corporation appoints a human "representative." Anything the court normally requires the "accused" to do (like be present, or answer questions) is done by this representative on behalf of the company. [Source: Section 342, BNSS 2023]</t>
  </si>
  <si>
    <t xml:space="preserve">Hugging Face source record: BNSS_342</t>
  </si>
  <si>
    <t xml:space="preserve">CASE_4196</t>
  </si>
  <si>
    <t xml:space="preserve">Section 342 of BNSS 2023 defines the "Procedure when corporation or registered society is an accused," allowing the entity to appoint a human representative, and legally construing any requirement directed at the "accused" as being directed at this representative. [Source: Section 342, BNSS 2023]</t>
  </si>
  <si>
    <t xml:space="preserve">CASE_4197</t>
  </si>
  <si>
    <t xml:space="preserve">Under section 342(3), the corporation appoints a representative, and "any requirement that the accused shall be examined shall be construed as a requirement that the representative shall be examined." The human representative speaks for the company. [Source: Section 342, BNSS 2023]</t>
  </si>
  <si>
    <t xml:space="preserve">CASE_4198</t>
  </si>
  <si>
    <t xml:space="preserve">"a statement in writing purporting to be signed by the managing director of the corporation or by any person duly authorised by him". [Source: Section 342, BNSS 2023]</t>
  </si>
  <si>
    <t xml:space="preserve">CASE_4199</t>
  </si>
  <si>
    <t xml:space="preserve">No. Sub-section (2) explicitly states "such appointment need not be under the seal of the corporation." [Source: Section 342, BNSS 2023]</t>
  </si>
  <si>
    <t xml:space="preserve">CASE_4200</t>
  </si>
  <si>
    <t xml:space="preserve">The consequence is ensuring corporate accountability; without this mechanism, a company could endlessly delay or sabotage criminal proceedings by arguing that "the accused" isn't physically present in the courtroom. This forces the corporation to provide a human interface for the justice system to interact with. [Source: Section 342, BNSS 2023]</t>
  </si>
  <si>
    <t xml:space="preserve">CASE_4201</t>
  </si>
  <si>
    <t xml:space="preserve">Tender of pardon to accomplice</t>
  </si>
  <si>
    <t xml:space="preserve">Yes. This is called "tendering a pardon" to an accomplice (turning them into an "approver"). If they tell the whole truth, they are pardoned. But they must remain in custody until the trial ends. [Source: Section 343, BNSS 2023]</t>
  </si>
  <si>
    <t xml:space="preserve">Hugging Face source record: BNSS_343</t>
  </si>
  <si>
    <t xml:space="preserve">CASE_4202</t>
  </si>
  <si>
    <t xml:space="preserve">Section 343 of BNSS 2023 details the "Tender of pardon to accomplice," allowing Magistrates to offer pardons to accomplices in serious crimes in exchange for a full and true disclosure of the offence, turning them into prosecution witnesses. [Source: Section 343, BNSS 2023]</t>
  </si>
  <si>
    <t xml:space="preserve">CASE_4203</t>
  </si>
  <si>
    <t xml:space="preserve">No. Under sub-section (4)(b), every person accepting a pardon "shall, unless he is already on bail, be detained in custody until the termination of the trial." He must stay in jail until he finishes testifying. [Source: Section 343, BNSS 2023]</t>
  </si>
  <si>
    <t xml:space="preserve">CASE_4204</t>
  </si>
  <si>
    <t xml:space="preserve">"any offence punishable with imprisonment which may extend to seven years or with a more severe sentence." [Source: Section 343, BNSS 2023]</t>
  </si>
  <si>
    <t xml:space="preserve">CASE_4205</t>
  </si>
  <si>
    <t xml:space="preserve">It must be documented. Under sub-section (3), the Magistrate "shall record his reasons for so doing" and "whether the tender was or was not accepted". [Source: Section 343, BNSS 2023]</t>
  </si>
  <si>
    <t xml:space="preserve">CASE_4206</t>
  </si>
  <si>
    <t xml:space="preserve">The consequence is breaking the code of silence in organized crime; the justice system calculates that letting one guilty minor player go free is a worthwhile trade-off to secure the necessary inside testimony to convict the violent ringleaders of a major conspiracy. [Source: Section 343, BNSS 2023]</t>
  </si>
  <si>
    <t xml:space="preserve">CASE_4207</t>
  </si>
  <si>
    <t xml:space="preserve">Power to direct tender of pardon</t>
  </si>
  <si>
    <t xml:space="preserve">Yes. At any time before the final judgment is passed, the trial court judge can offer a pardon to an accomplice to get their testimony. [Source: Section 344, BNSS 2023]</t>
  </si>
  <si>
    <t xml:space="preserve">Hugging Face source record: BNSS_344</t>
  </si>
  <si>
    <t xml:space="preserve">CASE_4208</t>
  </si>
  <si>
    <t xml:space="preserve">Section 344 of BNSS 2023 grants the "Power to direct tender of pardon" to the trial court itself, allowing the court to which a case is committed to tender a pardon to an accomplice at any time before judgment is passed. [Source: Section 344, BNSS 2023]</t>
  </si>
  <si>
    <t xml:space="preserve">CASE_4209</t>
  </si>
  <si>
    <t xml:space="preserve">Yes. Under section 344, "At any time after commitment of a case but before judgment is passed, the Court to which the commitment is made may... tender a pardon on the same condition to such person." [Source: Section 344, BNSS 2023]</t>
  </si>
  <si>
    <t xml:space="preserve">CASE_4210</t>
  </si>
  <si>
    <t xml:space="preserve">"before judgment is passed". [Source: Section 344, BNSS 2023]</t>
  </si>
  <si>
    <t xml:space="preserve">CASE_4211</t>
  </si>
  <si>
    <t xml:space="preserve">No, the section explicitly states the court may "tender a pardon on the same condition to such person" (referencing the condition in Section 343: full and true disclosure). [Source: Section 344, BNSS 2023]</t>
  </si>
  <si>
    <t xml:space="preserve">CASE_4212</t>
  </si>
  <si>
    <t xml:space="preserve">The consequence is trial flexibility; if the complexities or weaknesses of a case only become apparent during the actual trial, the presiding judge has an emergency lever to secure crucial inside testimony, preventing a collapse of justice just because the initial investigating Magistrate missed the opportunity. [Source: Section 344, BNSS 2023]</t>
  </si>
  <si>
    <t xml:space="preserve">CASE_4213</t>
  </si>
  <si>
    <t xml:space="preserve">Trial of person not complying with conditions of pardon</t>
  </si>
  <si>
    <t xml:space="preserve">Their pardon is revoked, and they are put on trial for the original crime they committed, plus they can also be charged with giving false evidence (perjury). [Source: Section 345, BNSS 2023]</t>
  </si>
  <si>
    <t xml:space="preserve">Hugging Face source record: BNSS_345</t>
  </si>
  <si>
    <t xml:space="preserve">CASE_4214</t>
  </si>
  <si>
    <t xml:space="preserve">Section 345 of BNSS 2023 governs the "Trial of person not complying with conditions of pardon," allowing the prosecution of a pardoned accomplice for the original offense and for perjury if the Public Prosecutor certifies they willfully concealed facts or gave false evidence. [Source: Section 345, BNSS 2023]</t>
  </si>
  <si>
    <t xml:space="preserve">CASE_4215</t>
  </si>
  <si>
    <t xml:space="preserve">No. The first proviso to sub-section (1) explicitly states: "Provided that such person shall not be tried jointly with any of the other accused". They must be tried separately. [Source: Section 345, BNSS 2023]</t>
  </si>
  <si>
    <t xml:space="preserve">CASE_4216</t>
  </si>
  <si>
    <t xml:space="preserve">It shall, "notwithstanding anything contained in this Sanhita, pass judgment of acquittal." [Source: Section 345, BNSS 2023]</t>
  </si>
  <si>
    <t xml:space="preserve">CASE_4217</t>
  </si>
  <si>
    <t xml:space="preserve">No, the second proviso to sub-section (1) states that such person "shall not be tried for the offence of giving false evidence except with the sanction of the High Court". [Source: Section 345, BNSS 2023]</t>
  </si>
  <si>
    <t xml:space="preserve">CASE_4218</t>
  </si>
  <si>
    <t xml:space="preserve">The consequence is ensuring accountability; by allowing the confession they made when accepting the pardon to be used against them in their subsequent trial (under sub-section 2), the state guarantees that criminals cannot exploit the pardon system to confess, get immunity, sabotage the trial with lies, and then walk free. [Source: Section 345, BNSS 2023]</t>
  </si>
  <si>
    <t xml:space="preserve">CASE_4219</t>
  </si>
  <si>
    <t xml:space="preserve">Power to postpone or adjourn proceedings</t>
  </si>
  <si>
    <t xml:space="preserve">No. Trials are supposed to run day-to-day. A lawyer being engaged in another court is strictly not a valid ground for an adjournment. Adjournments are only granted for circumstances beyond a party's control, and usually only twice. [Source: Section 346, BNSS 2023]</t>
  </si>
  <si>
    <t xml:space="preserve">Hugging Face source record: BNSS_346</t>
  </si>
  <si>
    <t xml:space="preserve">CASE_4220</t>
  </si>
  <si>
    <t xml:space="preserve">Section 346 of BNSS 2023 restricts the "Power to postpone or adjourn proceedings," mandating day-to-day trials, capping remands at 15 days, imposing a two-month completion deadline for sexual offenses, and strictly limiting adjournments to circumstances beyond a party's control (maximum two). [Source: Section 346, BNSS 2023]</t>
  </si>
  <si>
    <t xml:space="preserve">CASE_4221</t>
  </si>
  <si>
    <t xml:space="preserve">Yes. Under the provisos, if the advocate "though present in Court, is not ready to examine or cross-examine... the Court may, if thinks fit, record the statement of the witness and pass such orders... dispensing with the... cross-examination". [Source: Section 346, BNSS 2023]</t>
  </si>
  <si>
    <t xml:space="preserve">CASE_4222</t>
  </si>
  <si>
    <t xml:space="preserve">"within a period of two months from the date of filing of the chargesheet." [Source: Section 346, BNSS 2023]</t>
  </si>
  <si>
    <t xml:space="preserve">CASE_4223</t>
  </si>
  <si>
    <t xml:space="preserve">No, the third proviso to sub-section (2) explicitly forbids this: "no adjournment shall be granted for the purpose only of enabling the accused person to show cause against the sentence proposed to be imposed on him". [Source: Section 346, BNSS 2023]</t>
  </si>
  <si>
    <t xml:space="preserve">CASE_4224</t>
  </si>
  <si>
    <t xml:space="preserve">The consequence is dismantling the culture of endless litigation; it prevents wealthy defendants or disorganized lawyers from intentionally dragging out criminal trials for decades through frivolous delays, thereby respecting the victims' right to timely justice and reducing court backlogs. [Source: Section 346, BNSS 2023]</t>
  </si>
  <si>
    <t xml:space="preserve">CASE_4225</t>
  </si>
  <si>
    <t xml:space="preserve">Local inspection</t>
  </si>
  <si>
    <t xml:space="preserve">Yes. A judge or Magistrate can visit the scene of the crime to properly understand the evidence, but they must give notice to the parties first, and they must write down notes (a memorandum) about what they saw. [Source: Section 347, BNSS 2023]</t>
  </si>
  <si>
    <t xml:space="preserve">Hugging Face source record: BNSS_347</t>
  </si>
  <si>
    <t xml:space="preserve">CASE_4226</t>
  </si>
  <si>
    <t xml:space="preserve">Section 347 of BNSS 2023 provides for "Local inspection," allowing any Judge or Magistrate to visit and inspect the alleged crime scene after giving notice, requiring them to record a memorandum of relevant facts observed. [Source: Section 347, BNSS 2023]</t>
  </si>
  <si>
    <t xml:space="preserve">CASE_4227</t>
  </si>
  <si>
    <t xml:space="preserve">No. Under section 347(1), the judge must give "due notice to the parties" before inspecting, and "shall without unnecessary delay record a memorandum of any relevant facts observed". Secret inspections are not permitted. [Source: Section 347, BNSS 2023]</t>
  </si>
  <si>
    <t xml:space="preserve">CASE_4228</t>
  </si>
  <si>
    <t xml:space="preserve">"Such memorandum shall form part of the record of the case". [Source: Section 347, BNSS 2023]</t>
  </si>
  <si>
    <t xml:space="preserve">CASE_4229</t>
  </si>
  <si>
    <t xml:space="preserve">No, sub-section (2) explicitly states "a copy of the memorandum shall be furnished to him free of cost." [Source: Section 347, BNSS 2023]</t>
  </si>
  <si>
    <t xml:space="preserve">CASE_4230</t>
  </si>
  <si>
    <t xml:space="preserve">The consequence is enhanced judicial comprehension; verbal descriptions or 2D photos of complex physical spaces (like a multi-room house where a shootout occurred) can be deeply confusing. Allowing the judge to see the physical geometry and sightlines firsthand ensures they don't base their verdict on a spatial misunderstanding. [Source: Section 347, BNSS 2023]</t>
  </si>
  <si>
    <t xml:space="preserve">CASE_4231</t>
  </si>
  <si>
    <t xml:space="preserve">Power to summon material witness, or examine person present</t>
  </si>
  <si>
    <t xml:space="preserve">Yes. The court has wide powers to summon anyone, examine anyone who happens to be sitting in the courtroom, or recall a witness who already testified, if their evidence is essential to making a fair decision. [Source: Section 348, BNSS 2023]</t>
  </si>
  <si>
    <t xml:space="preserve">Hugging Face source record: BNSS_348</t>
  </si>
  <si>
    <t xml:space="preserve">CASE_4232</t>
  </si>
  <si>
    <t xml:space="preserve">Section 348 of BNSS 2023 establishes the "Power to summon material witness, or examine person present," giving the Court discretionary authority to summon, examine, or recall any person, and making it mandatory if their evidence appears essential to a just decision. [Source: Section 348, BNSS 2023]</t>
  </si>
  <si>
    <t xml:space="preserve">CASE_4233</t>
  </si>
  <si>
    <t xml:space="preserve">No. Under section 348, "the Court shall summon and examine or re-call and re-examine any such person if his evidence appears to it to be essential to the just decision of the case." It is actually mandatory for the judge to do so. [Source: Section 348, BNSS 2023]</t>
  </si>
  <si>
    <t xml:space="preserve">CASE_4234</t>
  </si>
  <si>
    <t xml:space="preserve">Yes, the section permits the court to "examine any person in attendance, though not summoned as a witness". [Source: Section 348, BNSS 2023]</t>
  </si>
  <si>
    <t xml:space="preserve">CASE_4235</t>
  </si>
  <si>
    <t xml:space="preserve">No, the section states this power can be used "at any stage of any inquiry, trial or other proceeding". [Source: Section 348, BNSS 2023]</t>
  </si>
  <si>
    <t xml:space="preserve">CASE_4236</t>
  </si>
  <si>
    <t xml:space="preserve">The consequence is transforming the judge from a passive referee into an active truth-seeker; it ensures that justice isn't derailed simply because of the incompetence, strategic gamesmanship, or negligence of the prosecuting or defense attorneys who purposefully or accidentally failed to call a vital witness. [Source: Section 348, BNSS 2023]</t>
  </si>
  <si>
    <t xml:space="preserve">CASE_4237</t>
  </si>
  <si>
    <t xml:space="preserve">Power of Magistrate to order person to give specimen signatures or handwriting, etc</t>
  </si>
  <si>
    <t xml:space="preserve">Yes. A First Class Magistrate can order any person (including the accused) to provide specimen signatures, handwriting, fingerprints, or voice samples, usually if they have been arrested at some point in the investigation. [Source: Section 349, BNSS 2023]</t>
  </si>
  <si>
    <t xml:space="preserve">Hugging Face source record: BNSS_349</t>
  </si>
  <si>
    <t xml:space="preserve">CASE_4238</t>
  </si>
  <si>
    <t xml:space="preserve">Section 349 of BNSS 2023 outlines the "Power of Magistrate to order person to give specimen signatures or handwriting, etc.," allowing First Class Magistrates to compel individuals to provide biological or physical specimens (signatures, prints, voice) for investigation. [Source: Section 349, BNSS 2023]</t>
  </si>
  <si>
    <t xml:space="preserve">CASE_4239</t>
  </si>
  <si>
    <t xml:space="preserve">Yes. Under section 349, the Magistrate may direct any person "to give specimen signatures or finger impressions or handwriting or voice sample". Because John was previously arrested, the first proviso is satisfied. [Source: Section 349, BNSS 2023]</t>
  </si>
  <si>
    <t xml:space="preserve">CASE_4240</t>
  </si>
  <si>
    <t xml:space="preserve">"unless the person has at some time been arrested in connection with such investigation or proceeding". [Source: Section 349, BNSS 2023]</t>
  </si>
  <si>
    <t xml:space="preserve">CASE_4241</t>
  </si>
  <si>
    <t xml:space="preserve">Yes, but only under the second proviso: "the Magistrate may, for the reasons to be recorded in writing, order any person to give such specimen or sample without him being arrested." It requires written justification. [Source: Section 349, BNSS 2023]</t>
  </si>
  <si>
    <t xml:space="preserve">CASE_4242</t>
  </si>
  <si>
    <t xml:space="preserve">The consequence is modernizing evidence collection; it allows investigators to legally compel suspects to provide audio samples to match against wiretaps or intercepted digital calls, overcoming previous legal ambiguities about whether compelling a voice sample violated the right against self-incrimination. [Source: Section 349, BNSS 2023]</t>
  </si>
  <si>
    <t xml:space="preserve">CASE_4243</t>
  </si>
  <si>
    <t xml:space="preserve">Expenses of complainants and witnesses</t>
  </si>
  <si>
    <t xml:space="preserve">Not necessarily. The Criminal Court has the power to order the Government to pay the reasonable expenses of complainants and witnesses who attend court. [Source: Section 350, BNSS 2023]</t>
  </si>
  <si>
    <t xml:space="preserve">Hugging Face source record: BNSS_350</t>
  </si>
  <si>
    <t xml:space="preserve">CASE_4244</t>
  </si>
  <si>
    <t xml:space="preserve">Section 350 of BNSS 2023 covers "Expenses of complainants and witnesses," granting Criminal Courts the discretion to order the Government to pay reasonable expenses for individuals attending inquiries or trials. [Source: Section 350, BNSS 2023]</t>
  </si>
  <si>
    <t xml:space="preserve">CASE_4245</t>
  </si>
  <si>
    <t xml:space="preserve">Yes. Under section 350, "any Criminal Court may, if it thinks fit, order payment, on the part of the Government, of the reasonable expenses of any complainant or witness". [Source: Section 350, BNSS 2023]</t>
  </si>
  <si>
    <t xml:space="preserve">CASE_4246</t>
  </si>
  <si>
    <t xml:space="preserve">"Subject to any rules made by the State Government". [Source: Section 350, BNSS 2023]</t>
  </si>
  <si>
    <t xml:space="preserve">CASE_4247</t>
  </si>
  <si>
    <t xml:space="preserve">No, the section states the Court "may, if it thinks fit," order payment. It is a discretionary power. [Source: Section 350, BNSS 2023]</t>
  </si>
  <si>
    <t xml:space="preserve">CASE_4248</t>
  </si>
  <si>
    <t xml:space="preserve">The consequence is ensuring witness cooperation; if testifying in court means a citizen will go bankrupt from travel costs and lost wages, they will simply hide from subpoenas or claim they saw nothing. Compensating them removes the financial penalty of doing their civic duty. [Source: Section 350, BNSS 2023]</t>
  </si>
  <si>
    <t xml:space="preserve">CASE_4249</t>
  </si>
  <si>
    <t xml:space="preserve">Power to examine accused</t>
  </si>
  <si>
    <t xml:space="preserve">Yes. The judge is actually required to question the accused generally about the case to give them a chance to explain the evidence. The accused is not under oath, and cannot be punished for refusing to answer or even for lying. [Source: Section 351, BNSS 2023]</t>
  </si>
  <si>
    <t xml:space="preserve">Hugging Face source record: BNSS_351</t>
  </si>
  <si>
    <t xml:space="preserve">CASE_4250</t>
  </si>
  <si>
    <t xml:space="preserve">Section 351 of BNSS 2023 outlines the "Power to examine accused," requiring the Court to question the accused without an oath after prosecution witnesses are examined, allowing the accused to explain circumstances, without penalizing them for silence or false answers. [Source: Section 351, BNSS 2023]</t>
  </si>
  <si>
    <t xml:space="preserve">CASE_4251</t>
  </si>
  <si>
    <t xml:space="preserve">No. Under section 351(3), "The accused shall not render himself liable to punishment by refusing to answer such questions, or by giving false answers to them." He cannot be punished for the lie. [Source: Section 351, BNSS 2023]</t>
  </si>
  <si>
    <t xml:space="preserve">CASE_4252</t>
  </si>
  <si>
    <t xml:space="preserve">"the Court may permit filing of written statement by the accused as sufficient compliance of this section." [Source: Section 351, BNSS 2023]</t>
  </si>
  <si>
    <t xml:space="preserve">CASE_4253</t>
  </si>
  <si>
    <t xml:space="preserve">No. Under sub-section (1)(a), the Court "may at any stage, without previously warning the accused put such questions to him as the Court considers necessary". The mandatory questioning is after the prosecution, but discretionary questioning can happen anytime. [Source: Section 351, BNSS 2023]</t>
  </si>
  <si>
    <t xml:space="preserve">CASE_4254</t>
  </si>
  <si>
    <t xml:space="preserve">The consequence is upholding the right against self-incrimination; it gives the unrepresented or frightened accused a pressure-free opportunity to tell their side of the story directly to the judge, without the terror of accidentally committing perjury or being forced to swear away their innocence. [Source: Section 351, BNSS 2023]</t>
  </si>
  <si>
    <t xml:space="preserve">CASE_4255</t>
  </si>
  <si>
    <t xml:space="preserve">Oral arguments and memorandum of arguments</t>
  </si>
  <si>
    <t xml:space="preserve">They make brief oral arguments. Before they finish speaking, they can also submit a structured written document (a memorandum) summarizing their points. The judge can cut them off if they talk too much or stray off-topic. [Source: Section 352, BNSS 2023]</t>
  </si>
  <si>
    <t xml:space="preserve">Hugging Face source record: BNSS_352</t>
  </si>
  <si>
    <t xml:space="preserve">CASE_4256</t>
  </si>
  <si>
    <t xml:space="preserve">Section 352 of BNSS 2023 regulates "Oral arguments and memorandum of arguments," allowing parties to submit concise oral arguments and a written memorandum with distinct headings, while giving the Court power to regulate non-concise or irrelevant oral arguments. [Source: Section 352, BNSS 2023]</t>
  </si>
  <si>
    <t xml:space="preserve">CASE_4257</t>
  </si>
  <si>
    <t xml:space="preserve">Yes. Under sub-section (4), "The Court may, if it is of opinion that the oral arguments are not concise or relevant, regulate such arguments." [Source: Section 352, BNSS 2023]</t>
  </si>
  <si>
    <t xml:space="preserve">CASE_4258</t>
  </si>
  <si>
    <t xml:space="preserve">It must set forth the arguments "concisely and under distinct headings". [Source: Section 352, BNSS 2023]</t>
  </si>
  <si>
    <t xml:space="preserve">CASE_4259</t>
  </si>
  <si>
    <t xml:space="preserve">Generally no. Sub-section (3) says "No adjournment... shall be granted for the purpose of filing the written arguments unless the Court, for reasons to be recorded in writing, considers it necessary". [Source: Section 352, BNSS 2023]</t>
  </si>
  <si>
    <t xml:space="preserve">CASE_4260</t>
  </si>
  <si>
    <t xml:space="preserve">The consequence is curbing judicial fatigue and trial delays; it forces advocates to distill their cases into sharp, focused legal points rather than burying the judge under avalanches of rhetorical rambling, making the final judgment process much faster and more accurate. [Source: Section 352, BNSS 2023]</t>
  </si>
  <si>
    <t xml:space="preserve">CASE_4261</t>
  </si>
  <si>
    <t xml:space="preserve">Accused person to be competent witness</t>
  </si>
  <si>
    <t xml:space="preserve">Yes. An accused person can volunteer to be a witness for themselves. However, the prosecutor or judge cannot force them to testify, and if they choose to stay silent, nobody is allowed to point to their silence as proof of guilt. [Source: Section 353, BNSS 2023]</t>
  </si>
  <si>
    <t xml:space="preserve">Hugging Face source record: BNSS_353</t>
  </si>
  <si>
    <t xml:space="preserve">CASE_4262</t>
  </si>
  <si>
    <t xml:space="preserve">Section 353 of BNSS 2023 makes the "Accused person to be competent witness" for the defense upon their written request, but strictly prohibits any party or the Court from commenting on or drawing adverse presumptions from their failure to testify. [Source: Section 353, BNSS 2023]</t>
  </si>
  <si>
    <t xml:space="preserve">CASE_4263</t>
  </si>
  <si>
    <t xml:space="preserve">Absolutely not. Under proviso (b) to sub-section (1), the accused's "failure to give evidence shall not be made the subject of any comment by any of the parties or the Court or give rise to any presumption against himself". The prosecutor violated the law. [Source: Section 353, BNSS 2023]</t>
  </si>
  <si>
    <t xml:space="preserve">CASE_4264</t>
  </si>
  <si>
    <t xml:space="preserve">They can only be called "on his own request in writing". [Source: Section 353, BNSS 2023]</t>
  </si>
  <si>
    <t xml:space="preserve">CASE_4265</t>
  </si>
  <si>
    <t xml:space="preserve">They are treated as a competent witness and "may give evidence on oath". Therefore, unlike their examination under Section 351, if they testify under Section 353, they are under oath and subject to perjury laws. [Source: Section 353, BNSS 2023]</t>
  </si>
  <si>
    <t xml:space="preserve">CASE_4266</t>
  </si>
  <si>
    <t xml:space="preserve">The consequence is preserving the absolute burden of proof on the prosecution; it ensures the state must prove the defendant's guilt using its own evidence, preventing the state from weaponizing the defendant's constitutional right to remain silent against them. [Source: Section 353, BNSS 2023]</t>
  </si>
  <si>
    <t xml:space="preserve">CASE_4267</t>
  </si>
  <si>
    <t xml:space="preserve">No influence to be used to induce disclosure</t>
  </si>
  <si>
    <t xml:space="preserve">No. Except for the legal process of tendering a pardon to an accomplice, no one can use threats, promises, or any other influence to induce an accused person to reveal or hide what they know. [Source: Section 354, BNSS 2023]</t>
  </si>
  <si>
    <t xml:space="preserve">Hugging Face source record: BNSS_354</t>
  </si>
  <si>
    <t xml:space="preserve">CASE_4268</t>
  </si>
  <si>
    <t xml:space="preserve">Section 354 of BNSS 2023 dictates "No influence to be used to induce disclosure," barring the use of any promise, threat, or other influence on an accused to make them disclose or withhold knowledge, excepting formal pardon procedures. [Source: Section 354, BNSS 2023]</t>
  </si>
  <si>
    <t xml:space="preserve">CASE_4269</t>
  </si>
  <si>
    <t xml:space="preserve">No. Under section 354, "no influence, by means of any promise or threat or otherwise, shall be used to an accused person to induce him to disclose... any matter". [Source: Section 354, BNSS 2023]</t>
  </si>
  <si>
    <t xml:space="preserve">CASE_4270</t>
  </si>
  <si>
    <t xml:space="preserve">"Except as provided in sections 343 and 344" (which deal with tendering pardons to accomplices). [Source: Section 354, BNSS 2023]</t>
  </si>
  <si>
    <t xml:space="preserve">CASE_4271</t>
  </si>
  <si>
    <t xml:space="preserve">It covers both. The section forbids influence used to induce him to "disclose or withhold any matter within his knowledge." [Source: Section 354, BNSS 2023]</t>
  </si>
  <si>
    <t xml:space="preserve">CASE_4272</t>
  </si>
  <si>
    <t xml:space="preserve">The consequence is preventing coerced and false confessions; desperate accused persons will often confess to crimes they didn't commit if threatened with violence or promised leniency. Banning all influence guarantees that any statements made by the accused are entirely voluntary and reliable. [Source: Section 354, BNSS 2023]</t>
  </si>
  <si>
    <t xml:space="preserve">CASE_4273</t>
  </si>
  <si>
    <t xml:space="preserve">Provision for inquiries and trial being held in absence of accused in certain cases</t>
  </si>
  <si>
    <t xml:space="preserve">Yes. If the accused persistently disturbs the proceedings, or if justice doesn't require their presence, the judge can dispense with their attendance and proceed with the trial, provided the accused is represented by a lawyer. [Source: Section 355, BNSS 2023]</t>
  </si>
  <si>
    <t xml:space="preserve">Hugging Face source record: BNSS_355</t>
  </si>
  <si>
    <t xml:space="preserve">CASE_4274</t>
  </si>
  <si>
    <t xml:space="preserve">Section 355 of BNSS 2023 details the "Provision for inquiries and trial being held in absence of accused in certain cases," giving Magistrates discretion to dispense with the attendance of an accused who disturbs proceedings or whose presence is unnecessary, if they are represented by an advocate. [Source: Section 355, BNSS 2023]</t>
  </si>
  <si>
    <t xml:space="preserve">CASE_4275</t>
  </si>
  <si>
    <t xml:space="preserve">No. Under sub-section (2), if the accused "is not represented by an advocate... he may, if he thinks fit... either adjourn such inquiry or trial, or order that the case of such accused be taken up or tried separately." He cannot just proceed in the unrepresented accused's absence. [Source: Section 355, BNSS 2023]</t>
  </si>
  <si>
    <t xml:space="preserve">CASE_4276</t>
  </si>
  <si>
    <t xml:space="preserve">"attendance through audio-video electronic means." [Source: Section 355, BNSS 2023]</t>
  </si>
  <si>
    <t xml:space="preserve">CASE_4277</t>
  </si>
  <si>
    <t xml:space="preserve">No, under sub-section (1), the judge "may, at any subsequent stage of the proceedings, direct the personal attendance of such accused." [Source: Section 355, BNSS 2023]</t>
  </si>
  <si>
    <t xml:space="preserve">CASE_4278</t>
  </si>
  <si>
    <t xml:space="preserve">The consequence is preventing the trial process itself from becoming a punishment; it spares defendants in minor cases the financial ruin of traveling across the country for 5-minute procedural hearings, while also giving judges a tool to stop unruly defendants from intentionally sabotaging the trial process. [Source: Section 355, BNSS 2023]</t>
  </si>
  <si>
    <t xml:space="preserve">CASE_4279</t>
  </si>
  <si>
    <t xml:space="preserve">Inquiry, trial or judgment in absentia of proclaimed offender</t>
  </si>
  <si>
    <t xml:space="preserve">They can be tried, convicted, and sentenced in absentia. By absconding, they legally waive their right to be present. The court appoints a state lawyer to defend them, publishes notices in newspapers, and proceeds with the trial. [Source: Section 356, BNSS 2023]</t>
  </si>
  <si>
    <t xml:space="preserve">Hugging Face source record: BNSS_356</t>
  </si>
  <si>
    <t xml:space="preserve">CASE_4280</t>
  </si>
  <si>
    <t xml:space="preserve">Section 356 of BNSS 2023 authorizes "Inquiry, trial or judgment in absentia of proclaimed offender," declaring that absconding waives the right to be present, and allowing courts to proceed with trials, examine witnesses, and pronounce judgments against fugitives after adhering to strict notice procedures. [Source: Section 356, BNSS 2023]</t>
  </si>
  <si>
    <t xml:space="preserve">CASE_4281</t>
  </si>
  <si>
    <t xml:space="preserve">No. The proviso to sub-section (1) explicitly states: "Provided that the Court shall not commence the trial unless a period of ninety days has lapsed from the date of framing of the charge." The judge must wait 90 days. [Source: Section 356, BNSS 2023]</t>
  </si>
  <si>
    <t xml:space="preserve">CASE_4282</t>
  </si>
  <si>
    <t xml:space="preserve">Any two of: (i) issuing two consecutive arrest warrants at least 30 days apart, (ii) publishing a notice in a national/local newspaper, (iii) informing a relative or friend, (iv) affixing notice on their house and local police station. [Source: Section 356, BNSS 2023]</t>
  </si>
  <si>
    <t xml:space="preserve">CASE_4283</t>
  </si>
  <si>
    <t xml:space="preserve">No. Sub-section (7) states "No appeal shall lie against the judgment under this section unless the proclaimed offender presents himself before the Court of appeal". They must surrender to appeal. [Source: Section 356, BNSS 2023]</t>
  </si>
  <si>
    <t xml:space="preserve">CASE_4284</t>
  </si>
  <si>
    <t xml:space="preserve">"Provided that no appeal against conviction shall lie after the expiry of three years from the date of the judgment." If they hide for 3 years, their conviction becomes final and unappealable. [Source: Section 356, BNSS 2023]</t>
  </si>
  <si>
    <t xml:space="preserve">CASE_4285</t>
  </si>
  <si>
    <t xml:space="preserve">Procedure where accused does not understand proceedings</t>
  </si>
  <si>
    <t xml:space="preserve">The Magistrate proceeds with the trial. If the trial ends in a conviction, the Magistrate cannot sentence them directly; instead, they must forward the entire case to the High Court, which will decide what to do. [Source: Section 357, BNSS 2023]</t>
  </si>
  <si>
    <t xml:space="preserve">Hugging Face source record: BNSS_357</t>
  </si>
  <si>
    <t xml:space="preserve">CASE_4286</t>
  </si>
  <si>
    <t xml:space="preserve">Section 357 of BNSS 2023 dictates the "Procedure where accused does not understand proceedings," instructing lower courts to proceed with the trial but requiring them to forward any resulting conviction and case report to the High Court for final orders. [Source: Section 357, BNSS 2023]</t>
  </si>
  <si>
    <t xml:space="preserve">CASE_4287</t>
  </si>
  <si>
    <t xml:space="preserve">No. Because the accused cannot be made to understand the proceedings, under section 357, "if such proceedings result in a conviction, the proceedings shall be forwarded to the High Court with a report... and the High Court shall pass thereon such order as it thinks fit." [Source: Section 357, BNSS 2023]</t>
  </si>
  <si>
    <t xml:space="preserve">CASE_4288</t>
  </si>
  <si>
    <t xml:space="preserve">"though not a person of unsound mind". (Unsoundness of mind is handled by separate chapters). [Source: Section 357, BNSS 2023]</t>
  </si>
  <si>
    <t xml:space="preserve">CASE_4289</t>
  </si>
  <si>
    <t xml:space="preserve">No. The statute specifically says the proceedings shall be forwarded "if such proceedings result in a conviction". An acquittal ends the matter locally. [Source: Section 357, BNSS 2023]</t>
  </si>
  <si>
    <t xml:space="preserve">CASE_4290</t>
  </si>
  <si>
    <t xml:space="preserve">The consequence is an extreme safeguard against miscarriages of justice; because an accused who cannot understand the trial is utterly defenseless (they cannot instruct a lawyer or cross-examine witnesses), the law strips lower courts of the power to imprison them, demanding the highest court in the state review the fairness of the conviction. [Source: Section 357, BNSS 2023]</t>
  </si>
  <si>
    <t xml:space="preserve">CASE_4291</t>
  </si>
  <si>
    <t xml:space="preserve">Power to proceed against other persons appearing to be guilty of offence</t>
  </si>
  <si>
    <t xml:space="preserve">The judge has the power to immediately halt and proceed against Person B as well. The judge can summon or arrest Person B, and add them to the case, though the proceedings against Person B will have to start fresh. [Source: Section 358, BNSS 2023]</t>
  </si>
  <si>
    <t xml:space="preserve">Hugging Face source record: BNSS_358</t>
  </si>
  <si>
    <t xml:space="preserve">CASE_4292</t>
  </si>
  <si>
    <t xml:space="preserve">Section 358 of BNSS 2023 grants the "Power to proceed against other persons appearing to be guilty of offence," allowing a Court, based on evidence emerging during an inquiry/trial, to proceed against, summon, or arrest any person not currently accused who appears to have committed the offence. [Source: Section 358, BNSS 2023]</t>
  </si>
  <si>
    <t xml:space="preserve">CASE_4293</t>
  </si>
  <si>
    <t xml:space="preserve">Yes. Under sub-section (3), "Any person attending the Court, although not under arrest or upon a summons, may be detained by such Court for the purpose of the inquiry into, or trial of, the offence which he appears to have committed." [Source: Section 358, BNSS 2023]</t>
  </si>
  <si>
    <t xml:space="preserve">CASE_4294</t>
  </si>
  <si>
    <t xml:space="preserve">"the proceedings in respect of such person shall be commenced afresh, and the witnesses re-heard". [Source: Section 358, BNSS 2023]</t>
  </si>
  <si>
    <t xml:space="preserve">CASE_4295</t>
  </si>
  <si>
    <t xml:space="preserve">No, sub-section (4)(a) explicitly mandates that the proceedings be "commenced afresh" and witnesses "re-heard" specifically to protect the new defendant's right to cross-examine. [Source: Section 358, BNSS 2023]</t>
  </si>
  <si>
    <t xml:space="preserve">CASE_4296</t>
  </si>
  <si>
    <t xml:space="preserve">The consequence is judicial independence from police negligence; if the police purposefully shield a powerful co-conspirator and refuse to charge them, the judge isn't forced to turn a blind eye when the truth emerges in court. The judge can actively drag the shielded criminal into the dock to face justice. [Source: Section 358, BNSS 2023]</t>
  </si>
  <si>
    <t xml:space="preserve">CASE_4297</t>
  </si>
  <si>
    <t xml:space="preserve">BNSS</t>
  </si>
  <si>
    <t xml:space="preserve">Compounding of offences</t>
  </si>
  <si>
    <t xml:space="preserve">Yes, but only for specific, usually less severe offences (like simple hurt, minor theft, or defamation). This is called "compounding." For some offences, the victim can just do it themselves; for others, they need the judge's permission. If compounded, it counts as an acquittal. [Source: Section 359, BNSS 2023]</t>
  </si>
  <si>
    <t xml:space="preserve">Hugging Face source record: BNSS_359</t>
  </si>
  <si>
    <t xml:space="preserve">CASE_4298</t>
  </si>
  <si>
    <t xml:space="preserve">Section 359 of BNSS 2023 governs the "Compounding of offences," providing strict tables detailing which specific BNS offences can be settled (compounded) by the victim independently, which require Court permission, and establishing that compounding equates to an acquittal. [Source: Section 359, BNSS 2023]</t>
  </si>
  <si>
    <t xml:space="preserve">CASE_4299</t>
  </si>
  <si>
    <t xml:space="preserve">No. According to the table in sub-section (2), this offence (BNS Section 79) is in the category that may only be compounded "with the permission of the Court before which any prosecution for such offence is pending." She needs the judge's approval. [Source: Section 359, BNSS 2023]</t>
  </si>
  <si>
    <t xml:space="preserve">CASE_4300</t>
  </si>
  <si>
    <t xml:space="preserve">"The composition of an offence under this section shall have the effect of an acquittal of the accused". [Source: Section 359, BNSS 2023]</t>
  </si>
  <si>
    <t xml:space="preserve">CASE_4301</t>
  </si>
  <si>
    <t xml:space="preserve">No. Sub-section (7) explicitly states: "No offence shall be compounded if the accused is, by reason of a previous conviction, liable either to enhanced punishment or to a punishment of a different kind for such offence." [Source: Section 359, BNSS 2023]</t>
  </si>
  <si>
    <t xml:space="preserve">CASE_4302</t>
  </si>
  <si>
    <t xml:space="preserve">The consequence is restorative justice and system relief; it acknowledges that for private disputes (like defamation, minor cheating, or simple trespassing), a genuine apology and financial restitution between the parties is often a better outcome than a dragged-out prosecution, freeing up court time for serious, non-compoundable felonies like murder. [Source: Section 359, BNSS 2023]</t>
  </si>
  <si>
    <t xml:space="preserve">CASE_4303</t>
  </si>
  <si>
    <t xml:space="preserve">Withdrawal from prosecution</t>
  </si>
  <si>
    <t xml:space="preserve">Yes, but the Public Prosecutor MUST get the consent of the Court first, and the Court MUST give the victim a chance to be heard before agreeing to drop the case. [Source: Section 360, BNSS 2023]</t>
  </si>
  <si>
    <t xml:space="preserve">Hugging Face source record: BNSS_360</t>
  </si>
  <si>
    <t xml:space="preserve">CASE_4304</t>
  </si>
  <si>
    <t xml:space="preserve">Section 360 of BNSS 2023 controls "Withdrawal from prosecution," allowing a Public Prosecutor to withdraw a case before judgment with the Court's consent, discharging or acquitting the accused, while mandating that the victim be heard and requiring Central Government permission for specific central-level offences. [Source: Section 360, BNSS 2023]</t>
  </si>
  <si>
    <t xml:space="preserve">CASE_4305</t>
  </si>
  <si>
    <t xml:space="preserve">Because the withdrawal happened *after* the charge had been framed, under clause (b), "he shall be acquitted in respect of such offence". [Source: Section 360, BNSS 2023]</t>
  </si>
  <si>
    <t xml:space="preserve">CASE_4306</t>
  </si>
  <si>
    <t xml:space="preserve">"no Court shall allow such withdrawal without giving an opportunity of being heard to the victim in the case." [Source: Section 360, BNSS 2023]</t>
  </si>
  <si>
    <t xml:space="preserve">CASE_4307</t>
  </si>
  <si>
    <t xml:space="preserve">No. Under the first proviso (iii), if it involves damage to Central Government property, the Prosecutor cannot move for withdrawal "unless he has been permitted by the Central Government to do so", and the Court must demand to see that permission. [Source: Section 360, BNSS 2023]</t>
  </si>
  <si>
    <t xml:space="preserve">CASE_4308</t>
  </si>
  <si>
    <t xml:space="preserve">The consequence is preventing the abuse of prosecutorial discretion; it stops corrupt or heavily politicized state governments from simply ordering their prosecutors to drop all criminal charges against their political allies or wealthy donors, ensuring the judiciary and the victim have a veto over shady backdoor deals. [Source: Section 360, BNSS 2023]</t>
  </si>
  <si>
    <t xml:space="preserve">CASE_4309</t>
  </si>
  <si>
    <t xml:space="preserve">Procedure in cases which Magistrate cannot dispose of</t>
  </si>
  <si>
    <t xml:space="preserve">The Magistrate must immediately stop the trial, write a brief report explaining the issue, and send the whole case up to the Chief Judicial Magistrate (their boss) to decide who should handle it. [Source: Section 361, BNSS 2023]</t>
  </si>
  <si>
    <t xml:space="preserve">Hugging Face source record: BNSS_361</t>
  </si>
  <si>
    <t xml:space="preserve">CASE_4310</t>
  </si>
  <si>
    <t xml:space="preserve">Section 361 of BNSS 2023 details the "Procedure in cases which Magistrate cannot dispose of," instructing Magistrates who realize they lack jurisdiction or competency during an inquiry to stay proceedings and submit the case with a report to the Chief Judicial Magistrate for reassignment. [Source: Section 361, BNSS 2023]</t>
  </si>
  <si>
    <t xml:space="preserve">CASE_4311</t>
  </si>
  <si>
    <t xml:space="preserve">Under section 361(1)(a), because the evidence warrants a presumption "that he has no jurisdiction to try the case", he shall "stay the proceedings and submit the case, with a brief report explaining its nature, to the Chief Judicial Magistrate". [Source: Section 361, BNSS 2023]</t>
  </si>
  <si>
    <t xml:space="preserve">CASE_4312</t>
  </si>
  <si>
    <t xml:space="preserve">The CJM may: (1) "try the case himself", (2) "refer it to any Magistrate subordinate to him having jurisdiction", or (3) "commit the accused for trial". [Source: Section 361, BNSS 2023]</t>
  </si>
  <si>
    <t xml:space="preserve">CASE_4313</t>
  </si>
  <si>
    <t xml:space="preserve">No, the language is mandatory: "he shall stay the proceedings and submit the case". There is no exception allowing them to knowingly act without jurisdiction. [Source: Section 361, BNSS 2023]</t>
  </si>
  <si>
    <t xml:space="preserve">CASE_4314</t>
  </si>
  <si>
    <t xml:space="preserve">The consequence is preventing void trials; if a Magistrate finishes a trial for a crime they aren't legally empowered to judge, the entire verdict is legally void and the whole process has to be done again. This section forces them to hit the brakes the moment they realize they are out of their depth, saving court time. [Source: Section 361, BNSS 2023]</t>
  </si>
  <si>
    <t xml:space="preserve">CASE_4315</t>
  </si>
  <si>
    <t xml:space="preserve">Procedure when after commencement of inquiry or trial, Magistrate finds case should be committed</t>
  </si>
  <si>
    <t xml:space="preserve">The Magistrate stops the inquiry and "commits" (transfers) the case up to the Court of Session for trial. [Source: Section 362, BNSS 2023]</t>
  </si>
  <si>
    <t xml:space="preserve">Hugging Face source record: BNSS_362</t>
  </si>
  <si>
    <t xml:space="preserve">CASE_4316</t>
  </si>
  <si>
    <t xml:space="preserve">Section 362 of BNSS 2023 covers the "Procedure when after commencement of inquiry or trial, Magistrate finds case should be committed," requiring the Magistrate to halt and commit the case to the Court of Session if it becomes apparent at any stage before judgment that the case belongs there. [Source: Section 362, BNSS 2023]</t>
  </si>
  <si>
    <t xml:space="preserve">CASE_4317</t>
  </si>
  <si>
    <t xml:space="preserve">Yes. Under section 362, if it appears to him "at any stage of the proceedings before signing the judgment that the case is one which ought to be tried by the Court of Session, he shall commit it to that Court". He must stop writing the judgment and transfer it. [Source: Section 362, BNSS 2023]</t>
  </si>
  <si>
    <t xml:space="preserve">CASE_4318</t>
  </si>
  <si>
    <t xml:space="preserve">"before signing the judgment". [Source: Section 362, BNSS 2023]</t>
  </si>
  <si>
    <t xml:space="preserve">CASE_4319</t>
  </si>
  <si>
    <t xml:space="preserve">No. The word "shall" is used ("he shall commit it"). It is a mandatory requirement with no exceptions. [Source: Section 362, BNSS 2023]</t>
  </si>
  <si>
    <t xml:space="preserve">CASE_4320</t>
  </si>
  <si>
    <t xml:space="preserve">The consequence is ensuring defendants face the correct level of judicial scrutiny; Sessions Courts have more experienced judges and different procedural protections suited for severe crimes carrying life imprisonment or death. This rule ensures serious crimes don't slip through the cracks of the lower courts. [Source: Section 362, BNSS 2023]</t>
  </si>
  <si>
    <t xml:space="preserve">CASE_4321</t>
  </si>
  <si>
    <t xml:space="preserve">Trial of persons previously convicted of offences against coinage, stamp-law or</t>
  </si>
  <si>
    <t xml:space="preserve">Generally, no. If they've already been convicted of a serious counterfeiting/forgery crime and get caught doing it again, the Magistrate must send the case up to the Chief Judicial Magistrate or the Sessions Court, who have the power to hand down much harsher sentences. [Source: Section 363, BNSS 2023]</t>
  </si>
  <si>
    <t xml:space="preserve">Hugging Face source record: BNSS_363</t>
  </si>
  <si>
    <t xml:space="preserve">CASE_4322</t>
  </si>
  <si>
    <t xml:space="preserve">Section 363 of BNSS 2023 regulates the "Trial of persons previously convicted of offences against coinage, stamp-law or property," requiring Magistrates to forward repeat offenders facing 3+ years imprisonment for such crimes to the CJM or Court of Session, unless the Magistrate can independently pass an adequate sentence. [Source: Section 363, BNSS 2023]</t>
  </si>
  <si>
    <t xml:space="preserve">CASE_4323</t>
  </si>
  <si>
    <t xml:space="preserve">Because the Magistrate is not competent to pass an adequate sentence, under section 363(1), "he shall be sent for trial to the Chief Judicial Magistrate or committed to the Court of Session". [Source: Section 363, BNSS 2023]</t>
  </si>
  <si>
    <t xml:space="preserve">CASE_4324</t>
  </si>
  <si>
    <t xml:space="preserve">The accomplice "shall be similarly sent or committed, unless the Magistrate discharges such other person". The co-accused travel together to the higher court. [Source: Section 363, BNSS 2023]</t>
  </si>
  <si>
    <t xml:space="preserve">CASE_4325</t>
  </si>
  <si>
    <t xml:space="preserve">No, there is an exception: "unless the Magistrate is competent to try the case and is of opinion that he can himself pass an adequate sentence". [Source: Section 363, BNSS 2023]</t>
  </si>
  <si>
    <t xml:space="preserve">CASE_4326</t>
  </si>
  <si>
    <t xml:space="preserve">The consequence is protecting the state's economic integrity; repeat counterfeiters pose a systemic threat to the national currency and revenue. Ensuring their second trial occurs in a court empowered to issue devastatingly long sentences acts as a severe deterrent against making counterfeiting a career. [Source: Section 363, BNSS 2023]</t>
  </si>
  <si>
    <t xml:space="preserve">CASE_4327</t>
  </si>
  <si>
    <t xml:space="preserve">Procedure when Magistrate cannot pass sentence sufficiently severe</t>
  </si>
  <si>
    <t xml:space="preserve">The Magistrate records their opinion that the person is guilty, but instead of sentencing them, forwards the accused to the Chief Judicial Magistrate, who has the power to give a much harsher, appropriate punishment. [Source: Section 364, BNSS 2023]</t>
  </si>
  <si>
    <t xml:space="preserve">Hugging Face source record: BNSS_364</t>
  </si>
  <si>
    <t xml:space="preserve">CASE_4328</t>
  </si>
  <si>
    <t xml:space="preserve">Section 364 of BNSS 2023 defines the "Procedure when Magistrate cannot pass sentence sufficiently severe," permitting a Magistrate who finds an accused guilty but believes a harsher punishment is warranted than they can inflict, to forward the proceedings and the accused to the Chief Judicial Magistrate for sentencing. [Source: Section 364, BNSS 2023]</t>
  </si>
  <si>
    <t xml:space="preserve">CASE_4329</t>
  </si>
  <si>
    <t xml:space="preserve">No. The Magistrate cannot exceed their sentencing power. Under section 364(1), because he thinks the accused "ought to receive a punishment... more severe than, that which such Magistrate is empowered to inflict", he must "submit his proceedings, and forward the accused, to the Chief Judicial Magistrate". Only the CJM can pass the 7-year sentence. [Source: Section 364, BNSS 2023]</t>
  </si>
  <si>
    <t xml:space="preserve">CASE_4330</t>
  </si>
  <si>
    <t xml:space="preserve">The CJM "may... recall and examine any witness who has already given evidence in the case and may call for and take any further evidence". [Source: Section 364, BNSS 2023]</t>
  </si>
  <si>
    <t xml:space="preserve">CASE_4331</t>
  </si>
  <si>
    <t xml:space="preserve">No, sub-section (1) explicitly requires the Magistrate to form their opinion "after hearing the evidence for the prosecution and the accused". [Source: Section 364, BNSS 2023]</t>
  </si>
  <si>
    <t xml:space="preserve">CASE_4332</t>
  </si>
  <si>
    <t xml:space="preserve">The consequence is maximizing judicial efficiency without sacrificing proportionality; lower Magistrates can handle the bulk of fact-finding trials, but if the facts reveal a monster who needs a massive sentence, the system can seamlessly bump the sentencing phase up to a senior judge without having to completely redo the entire trial. [Source: Section 364, BNSS 2023]</t>
  </si>
  <si>
    <t xml:space="preserve">CASE_4333</t>
  </si>
  <si>
    <t xml:space="preserve">Conviction or commitment on evidence partly recorded by one Magistrate and partly by</t>
  </si>
  <si>
    <t xml:space="preserve">No. The new judge can continue exactly where the old judge left off, relying on the witness evidence the previous judge already recorded. However, if the new judge feels it's necessary for justice, they can call back any witness to testify again. [Source: Section 365, BNSS 2023]</t>
  </si>
  <si>
    <t xml:space="preserve">Hugging Face source record: BNSS_365</t>
  </si>
  <si>
    <t xml:space="preserve">CASE_4334</t>
  </si>
  <si>
    <t xml:space="preserve">Section 365 of BNSS 2023 allows for "Conviction or commitment on evidence partly recorded by one Magistrate and partly by another," permitting a succeeding Judge or Magistrate to act on evidence recorded by their predecessor, while retaining the discretion to re-summon witnesses if necessary. [Source: Section 365, BNSS 2023]</t>
  </si>
  <si>
    <t xml:space="preserve">CASE_4335</t>
  </si>
  <si>
    <t xml:space="preserve">No. Under sub-section (1), the succeeding judge "may act on the evidence so recorded by his predecessor". However, under the proviso, the judge *may* re-summon the witness for "further examination, cross-examination and re-examination". It is at the judge's discretion, not mandatory to start over. [Source: Section 365, BNSS 2023]</t>
  </si>
  <si>
    <t xml:space="preserve">CASE_4336</t>
  </si>
  <si>
    <t xml:space="preserve">"summary trials" (or cases stayed under section 361, or submitted to a superior Magistrate under section 364). [Source: Section 365, BNSS 2023]</t>
  </si>
  <si>
    <t xml:space="preserve">CASE_4337</t>
  </si>
  <si>
    <t xml:space="preserve">Yes, sub-section (2) explicitly clarifies that when a case is transferred, the former judge "shall be deemed to cease to exercise jurisdiction therein, and to be succeeded by the latter, within the meaning of sub-section (1)." [Source: Section 365, BNSS 2023]</t>
  </si>
  <si>
    <t xml:space="preserve">CASE_4338</t>
  </si>
  <si>
    <t xml:space="preserve">The consequence is massive time and resource savings; given the frequent transfer of judges in the Indian legal system, forcing every trial to restart from day one whenever a judge moved would paralyze the courts and traumatize witnesses who would have to testify repeatedly. [Source: Section 365, BNSS 2023]</t>
  </si>
  <si>
    <t xml:space="preserve">CASE_4339</t>
  </si>
  <si>
    <t xml:space="preserve">Court to be open</t>
  </si>
  <si>
    <t xml:space="preserve">Yes, generally, criminal courts are open to the public. However, the judge can order people to leave if needed. Also, trials for sexual offences (like rape) are strictly held "in camera" (closed to the public and press). [Source: Section 366, BNSS 2023]</t>
  </si>
  <si>
    <t xml:space="preserve">Hugging Face source record: BNSS_366</t>
  </si>
  <si>
    <t xml:space="preserve">CASE_4340</t>
  </si>
  <si>
    <t xml:space="preserve">Section 366 of BNSS 2023 mandates the "Court to be open" to the public generally, but provides the judge discretion to restrict access, and strictly mandates that trials for rape and other specified sexual offences against women and children be held "in camera" (privately). [Source: Section 366, BNSS 2023]</t>
  </si>
  <si>
    <t xml:space="preserve">CASE_4341</t>
  </si>
  <si>
    <t xml:space="preserve">Yes. Under sub-section (2), a rape trial "shall be conducted in camera". Furthermore, under sub-section (3), it is "not be lawful for any person to print or publish any matter in relation to any such proceedings except with the previous permission of the Court". [Source: Section 366, BNSS 2023]</t>
  </si>
  <si>
    <t xml:space="preserve">CASE_4342</t>
  </si>
  <si>
    <t xml:space="preserve">"in camera trial shall be conducted as far as practicable by a woman Judge or Magistrate." [Source: Section 366, BNSS 2023]</t>
  </si>
  <si>
    <t xml:space="preserve">CASE_4343</t>
  </si>
  <si>
    <t xml:space="preserve">Yes. The first proviso to sub-section (2) states the judge may, "on an application made by either of the parties, allow any particular person to have access to, or be or remain in, the room". [Source: Section 366, BNSS 2023]</t>
  </si>
  <si>
    <t xml:space="preserve">CASE_4344</t>
  </si>
  <si>
    <t xml:space="preserve">The consequence is protecting the dignity and privacy of survivors; testifying about sexual violence is deeply traumatizing, and doing so in front of a gallery of strangers or sensationalist media often deters victims from pursuing justice. Closed courts create a safer environment for truth-telling. [Source: Section 366, BNSS 2023]</t>
  </si>
  <si>
    <t xml:space="preserve">CASE_4345</t>
  </si>
  <si>
    <t xml:space="preserve">Procedure in case of accused being person of unsound mind</t>
  </si>
  <si>
    <t xml:space="preserve">The Magistrate stops the normal process and has a government doctor examine them. If they are mentally incapable of defending themselves, the proceedings are halted, and they are sent for psychiatric treatment until they are fit to face trial. [Source: Section 367, BNSS 2023]</t>
  </si>
  <si>
    <t xml:space="preserve">Hugging Face source record: BNSS_367</t>
  </si>
  <si>
    <t xml:space="preserve">CASE_4346</t>
  </si>
  <si>
    <t xml:space="preserve">Section 367 of BNSS 2023 details the "Procedure in case of accused being person of unsound mind," requiring a Magistrate to order a medical/psychiatric examination if an accused seems incapable of making a defense, and to postpone proceedings for treatment if incapacity is confirmed by doctors. [Source: Section 367, BNSS 2023]</t>
  </si>
  <si>
    <t xml:space="preserve">CASE_4347</t>
  </si>
  <si>
    <t xml:space="preserve">No. Under section 367(1), if the Magistrate has reason to believe the person is of unsound mind and incapable of making his defence, he "shall inquire into the fact... and shall cause such person to be examined by the civil surgeon". It is mandatory, not optional. [Source: Section 367, BNSS 2023]</t>
  </si>
  <si>
    <t xml:space="preserve">CASE_4348</t>
  </si>
  <si>
    <t xml:space="preserve">They may "prefer an appeal before the Medical Board" (consisting of the head of psychiatry at a Govt hospital and a psychiatry faculty member). [Source: Section 367, BNSS 2023]</t>
  </si>
  <si>
    <t xml:space="preserve">CASE_4349</t>
  </si>
  <si>
    <t xml:space="preserve">No. Under sub-section (4), the Magistrate first checks the prosecution evidence. If the Magistrate "finds that no prima facie case is made out against the accused, he shall... discharge the accused" instead of postponing for treatment. They only postpone for treatment if there is a real case against them. [Source: Section 367, BNSS 2023]</t>
  </si>
  <si>
    <t xml:space="preserve">CASE_4350</t>
  </si>
  <si>
    <t xml:space="preserve">The consequence is scientific accuracy in justice; "unsoundness of mind" (like schizophrenia) might be treatable, so the inquiry is postponed (sub-section 4). But "intellectual disability" is a permanent condition, so if it prevents them from defending themselves, the Magistrate "shall order closure of the inquiry" completely (sub-section 5), avoiding pointless delays. [Source: Section 367, BNSS 2023]</t>
  </si>
  <si>
    <t xml:space="preserve">CASE_4351</t>
  </si>
  <si>
    <t xml:space="preserve">Procedure in case of person of unsound mind tried before Court</t>
  </si>
  <si>
    <t xml:space="preserve">The judge must halt the trial and order a psychiatric evaluation. If the doctor confirms the accused is incapable of defending themselves due to unsound mind, the trial is paused, and the person is sent for treatment. [Source: Section 368, BNSS 2023]</t>
  </si>
  <si>
    <t xml:space="preserve">Hugging Face source record: BNSS_368</t>
  </si>
  <si>
    <t xml:space="preserve">CASE_4352</t>
  </si>
  <si>
    <t xml:space="preserve">Section 368 of BNSS 2023 dictates the "Procedure in case of person of unsound mind tried before Court," applying the same medical examination, appeal, and postponement/treatment protocols as Section 367, but specifically for the *trial* phase rather than the preliminary *inquiry* phase. [Source: Section 368, BNSS 2023]</t>
  </si>
  <si>
    <t xml:space="preserve">CASE_4353</t>
  </si>
  <si>
    <t xml:space="preserve">No. Under sub-section (3), if the judge finds "no prima facie case is made out against the accused, he or it shall, instead of postponing the trial, discharge the accused". [Source: Section 368, BNSS 2023]</t>
  </si>
  <si>
    <t xml:space="preserve">CASE_4354</t>
  </si>
  <si>
    <t xml:space="preserve">The court "shall not hold the trial and order the accused to be dealt with in accordance with section 369." [Source: Section 368, BNSS 2023]</t>
  </si>
  <si>
    <t xml:space="preserve">CASE_4355</t>
  </si>
  <si>
    <t xml:space="preserve">No, under the proviso to sub-section (2), the accused can "prefer an appeal before the Medical Board". [Source: Section 368, BNSS 2023]</t>
  </si>
  <si>
    <t xml:space="preserve">CASE_4356</t>
  </si>
  <si>
    <t xml:space="preserve">The consequence is upholding the right to a fair trial; it is a fundamental principle of justice that you cannot try a person who lacks the mental capacity to instruct a lawyer, understand the charges, or present a defense. Doing so would be equivalent to trying a person who is unconscious. [Source: Section 368, BNSS 2023]</t>
  </si>
  <si>
    <t xml:space="preserve">CASE_4357</t>
  </si>
  <si>
    <t xml:space="preserve">Release of person of unsound mind pending investigation or trial</t>
  </si>
  <si>
    <t xml:space="preserve">No. The court must release them on bail to a family member who promises to get them psychiatric treatment. If that's not possible, they are placed in a proper mental health facility for treatment, never in a standard prison cell. [Source: Section 369, BNSS 2023]</t>
  </si>
  <si>
    <t xml:space="preserve">Hugging Face source record: BNSS_369</t>
  </si>
  <si>
    <t xml:space="preserve">CASE_4358</t>
  </si>
  <si>
    <t xml:space="preserve">Section 369 of BNSS 2023 governs the "Release of person of unsound mind pending investigation or trial," mandating bail and out-patient treatment via relatives when safe, or ordering detention in a psychiatric facility governed by the Mental Healthcare Act when bail is inappropriate or unsafe. [Source: Section 369, BNSS 2023]</t>
  </si>
  <si>
    <t xml:space="preserve">CASE_4359</t>
  </si>
  <si>
    <t xml:space="preserve">No. Under sub-section (1), the Court "shall, whether the case is one in which bail may be taken or not, order release of such person on bail" if a relative undertakes to obtain treatment and prevent injury (as per the proviso). [Source: Section 369, BNSS 2023]</t>
  </si>
  <si>
    <t xml:space="preserve">CASE_4360</t>
  </si>
  <si>
    <t xml:space="preserve">"the Mental Healthcare Act, 2017 (10 of 2017)." [Source: Section 369, BNSS 2023]</t>
  </si>
  <si>
    <t xml:space="preserve">CASE_4361</t>
  </si>
  <si>
    <t xml:space="preserve">Yes, under proviso (a) to sub-section (3), "such release may be ordered, if sufficient security is given that the accused shall be prevented from doing injury to himself or to any other person". [Source: Section 369, BNSS 2023]</t>
  </si>
  <si>
    <t xml:space="preserve">CASE_4362</t>
  </si>
  <si>
    <t xml:space="preserve">The consequence is medicalizing the treatment of mentally ill defendants; it prevents the historical abuse of locking severely mentally ill people in brutal solitary confinement in prisons, ensuring they are treated as patients requiring clinical psychiatric care, not just as criminals requiring punishment. [Source: Section 369, BNSS 2023]</t>
  </si>
  <si>
    <t xml:space="preserve">CASE_4363</t>
  </si>
  <si>
    <t xml:space="preserve">Resumption of inquiry or trial</t>
  </si>
  <si>
    <t xml:space="preserve">Once the accused is cured and mentally sound again, the court resumes the trial or inquiry from where it left off. [Source: Section 370, BNSS 2023]</t>
  </si>
  <si>
    <t xml:space="preserve">Hugging Face source record: BNSS_370</t>
  </si>
  <si>
    <t xml:space="preserve">CASE_4364</t>
  </si>
  <si>
    <t xml:space="preserve">Section 370 of BNSS 2023 provides for the "Resumption of inquiry or trial," allowing a Magistrate or Court to resume proceedings once an accused person has ceased to be of unsound mind and is capable of making a defense. [Source: Section 370, BNSS 2023]</t>
  </si>
  <si>
    <t xml:space="preserve">CASE_4365</t>
  </si>
  <si>
    <t xml:space="preserve">Yes. Under sub-section (2), when sureties produce him to the appointed officer, "the certificate of such officer that the accused is capable of making his defence shall be receivable in evidence." [Source: Section 370, BNSS 2023]</t>
  </si>
  <si>
    <t xml:space="preserve">CASE_4366</t>
  </si>
  <si>
    <t xml:space="preserve">"at any time after the person concerned has ceased to be of unsound mind". [Source: Section 370, BNSS 2023]</t>
  </si>
  <si>
    <t xml:space="preserve">CASE_4367</t>
  </si>
  <si>
    <t xml:space="preserve">The section says "resume the inquiry or trial" and "require the accused to appear". It implies picking up where it was paused, though standard procedures for recalling witnesses might apply under other sections. [Source: Section 370, BNSS 2023]</t>
  </si>
  <si>
    <t xml:space="preserve">CASE_4368</t>
  </si>
  <si>
    <t xml:space="preserve">The consequence is ensuring that a claim of temporary mental illness does not serve as a permanent "get out of jail free" card; once the medical incapacity is resolved, the legal accountability for the alleged crime resumes. [Source: Section 370, BNSS 2023]</t>
  </si>
  <si>
    <t xml:space="preserve">CASE_4369</t>
  </si>
  <si>
    <t xml:space="preserve">Procedure on accused appearing before Magistrate or Court</t>
  </si>
  <si>
    <t xml:space="preserve">The judge looks at the accused. If the judge thinks they are better, the trial continues. If the judge thinks they are still too sick to defend themselves, they are sent back for more treatment or care. [Source: Section 371, BNSS 2023]</t>
  </si>
  <si>
    <t xml:space="preserve">Hugging Face source record: BNSS_371</t>
  </si>
  <si>
    <t xml:space="preserve">CASE_4370</t>
  </si>
  <si>
    <t xml:space="preserve">Section 371 of BNSS 2023 outlines the "Procedure on accused appearing before Magistrate or Court," directing the Court to proceed with the trial if the accused is now capable of defense, or to revert to sections 367/368/369 procedures if they remain incapable. [Source: Section 371, BNSS 2023]</t>
  </si>
  <si>
    <t xml:space="preserve">CASE_4371</t>
  </si>
  <si>
    <t xml:space="preserve">No. Under sub-section (2), if the Magistrate considers him "still incapable of making his defence", the Magistrate "shall deal with such accused in accordance with the provisions of section 369" (which means sending him back for treatment or care). [Source: Section 371, BNSS 2023]</t>
  </si>
  <si>
    <t xml:space="preserve">CASE_4372</t>
  </si>
  <si>
    <t xml:space="preserve">The Magistrate or Court must consider "him capable of making his defence". [Source: Section 371, BNSS 2023]</t>
  </si>
  <si>
    <t xml:space="preserve">CASE_4373</t>
  </si>
  <si>
    <t xml:space="preserve">The section simply states "If... the Magistrate or Court considers him capable". It gives the judicial officer the authority to make the determination based on the accused's appearance and likely medical certificates (as per Sec 370). [Source: Section 371, BNSS 2023]</t>
  </si>
  <si>
    <t xml:space="preserve">CASE_4374</t>
  </si>
  <si>
    <t xml:space="preserve">The consequence is creating a judicial feedback loop; the court retains ultimate oversight over the accused's fitness for trial, ensuring nobody is forced to face a jury while still mentally incapacitated, regardless of what administrative timelines have passed. [Source: Section 371, BNSS 2023]</t>
  </si>
  <si>
    <t xml:space="preserve">CASE_4375</t>
  </si>
  <si>
    <t xml:space="preserve">When accused appears to have been of sound mind</t>
  </si>
  <si>
    <t xml:space="preserve">The Magistrate finishes the inquiry and, if it's a serious crime, sends the case up to the Sessions Court for a full trial, noting that the defense of insanity at the time of the crime is the main issue. [Source: Section 372, BNSS 2023]</t>
  </si>
  <si>
    <t xml:space="preserve">Hugging Face source record: BNSS_372</t>
  </si>
  <si>
    <t xml:space="preserve">CASE_4376</t>
  </si>
  <si>
    <t xml:space="preserve">Section 372 of BNSS 2023 covers situations "When accused appears to have been of sound mind," requiring a Magistrate to proceed with the case or commit it to a Sessions Court if the accused is currently fit for trial, but evidence suggests they committed the act while mentally incapable of knowing it was wrong. [Source: Section 372, BNSS 2023]</t>
  </si>
  <si>
    <t xml:space="preserve">CASE_4377</t>
  </si>
  <si>
    <t xml:space="preserve">No. Because she "appears to be of sound mind at the time of inquiry or trial", she is fit to be tried. The Magistrate "shall proceed with the case, and, if the accused ought to be tried by the Court of Session, commit him for trial". Her past insanity is a defense to be argued at trial, not a reason to stop the trial now. [Source: Section 372, BNSS 2023]</t>
  </si>
  <si>
    <t xml:space="preserve">CASE_4378</t>
  </si>
  <si>
    <t xml:space="preserve">Being "incapable of knowing the nature of the act or that it was wrong or contrary to law". [Source: Section 372, BNSS 2023]</t>
  </si>
  <si>
    <t xml:space="preserve">CASE_4379</t>
  </si>
  <si>
    <t xml:space="preserve">No. The section says the Magistrate "shall proceed with the case". The actual acquittal on grounds of insanity requires a full judgment (as dealt with in the next section). [Source: Section 372, BNSS 2023]</t>
  </si>
  <si>
    <t xml:space="preserve">CASE_4380</t>
  </si>
  <si>
    <t xml:space="preserve">The consequence is procedural clarity; past insanity (insanity at the time of the act) is a substantive legal defense that results in acquittal. Present insanity (insanity at the time of trial) is a procedural block that pauses the trial. Section 372 ensures cases with past insanity defenses proceed to a full verdict if the defendant is currently fit. [Source: Section 372, BNSS 2023]</t>
  </si>
  <si>
    <t xml:space="preserve">CASE_4381</t>
  </si>
  <si>
    <t xml:space="preserve">Judgment of acquittal on ground of unsoundness of mind</t>
  </si>
  <si>
    <t xml:space="preserve">No. The court's judgment must specifically state whether or not the person physically committed the act they were accused of, even though they are being acquitted because they were legally insane at the time. [Source: Section 373, BNSS 2023]</t>
  </si>
  <si>
    <t xml:space="preserve">Hugging Face source record: BNSS_373</t>
  </si>
  <si>
    <t xml:space="preserve">CASE_4382</t>
  </si>
  <si>
    <t xml:space="preserve">Section 373 of BNSS 2023 dictates the form of a "Judgment of acquittal on ground of unsoundness of mind," requiring that the finding must specifically state whether the accused actually committed the alleged act, despite being acquitted due to lacking criminal intent. [Source: Section 373, BNSS 2023]</t>
  </si>
  <si>
    <t xml:space="preserve">CASE_4383</t>
  </si>
  <si>
    <t xml:space="preserve">No. Under section 373, "the finding shall state specifically whether he committed the act or not." The judge must explicitly write that the man did physically commit the act of killing, before acquitting him for lacking the mental capacity to know it was wrong. [Source: Section 373, BNSS 2023]</t>
  </si>
  <si>
    <t xml:space="preserve">CASE_4384</t>
  </si>
  <si>
    <t xml:space="preserve">"incapable of knowing the nature of the act alleged as constituting the offence, or that it was wrong or contrary to law". [Source: Section 373, BNSS 2023]</t>
  </si>
  <si>
    <t xml:space="preserve">CASE_4385</t>
  </si>
  <si>
    <t xml:space="preserve">Generally no, as this section specifically relies on "unsoundness of mind" (a medical/legal term for insanity/mental illness), not voluntary intoxication (which is handled differently under the penal code). [Source: Section 373, BNSS 2023]</t>
  </si>
  <si>
    <t xml:space="preserve">CASE_4386</t>
  </si>
  <si>
    <t xml:space="preserve">The consequence is critical for post-trial public safety; if the person didn't even commit the physical act, they go entirely free. But if the judge records that they *did* commit a violent act (but were just insane), it triggers the state's power in the next section (374) to detain them in a psychiatric facility to protect the public. [Source: Section 373, BNSS 2023]</t>
  </si>
  <si>
    <t xml:space="preserve">CASE_4387</t>
  </si>
  <si>
    <t xml:space="preserve">Person acquitted on ground of unsoundness of mind to be detained in safe custody</t>
  </si>
  <si>
    <t xml:space="preserve">Not necessarily. Because they committed the physical act but were legally insane, the court can order them to be detained safely in a psychiatric facility, or hand them over to a family member who promises to keep them safe and prevent them from hurting anyone. [Source: Section 374, BNSS 2023]</t>
  </si>
  <si>
    <t xml:space="preserve">Hugging Face source record: BNSS_374</t>
  </si>
  <si>
    <t xml:space="preserve">CASE_4388</t>
  </si>
  <si>
    <t xml:space="preserve">Section 374 of BNSS 2023 deals with a "Person acquitted on ground of unsoundness of mind to be detained in safe custody," empowering the Court to order the acquitted person's detention in a mental health facility or delivery to a relative under strict security conditions to prevent harm. [Source: Section 374, BNSS 2023]</t>
  </si>
  <si>
    <t xml:space="preserve">CASE_4389</t>
  </si>
  <si>
    <t xml:space="preserve">No. Under sub-section (2), "No order for the detention of the accused in a public mental health establishment shall be made... otherwise than in accordance with such rules as the State Government may have made under the Mental Healthcare Act, 2017". [Source: Section 374, BNSS 2023]</t>
  </si>
  <si>
    <t xml:space="preserve">CASE_4390</t>
  </si>
  <si>
    <t xml:space="preserve">They must guarantee the person shall: (a) "be properly taken care of and prevented from doing injury to himself or to any other person", and (b) "be produced for the inspection of such officer... as the State Government may direct." [Source: Section 374, BNSS 2023]</t>
  </si>
  <si>
    <t xml:space="preserve">CASE_4391</t>
  </si>
  <si>
    <t xml:space="preserve">No. Sub-section (1) only applies "Whenever the finding states that the accused person committed the act alleged". If they didn't do it, they are entirely free. [Source: Section 374, BNSS 2023]</t>
  </si>
  <si>
    <t xml:space="preserve">CASE_4392</t>
  </si>
  <si>
    <t xml:space="preserve">The consequence is creating a unique legal status; a normal acquittal means absolute freedom. An insanity acquittal means freedom from *criminal punishment*, but it triggers the state's *civil commitment* powers, allowing the state to restrict the person's liberty indefinitely in a medical facility to protect society from a dangerous, uncontrollable illness. [Source: Section 374, BNSS 2023]</t>
  </si>
  <si>
    <t xml:space="preserve">CASE_4393</t>
  </si>
  <si>
    <t xml:space="preserve">Power of State Government to empower officer in charge to discharge</t>
  </si>
  <si>
    <t xml:space="preserve">Normally, the Inspector-General of Prisons has this authority, but the State Government can also give this power directly to the officer in charge of that specific jail. [Source: Section 375, BNSS 2023]</t>
  </si>
  <si>
    <t xml:space="preserve">Hugging Face source record: BNSS_375</t>
  </si>
  <si>
    <t xml:space="preserve">CASE_4394</t>
  </si>
  <si>
    <t xml:space="preserve">Section 375 of BNSS 2023 addresses the "Power of State Government to empower officer in charge to discharge," allowing the State Government to authorize a jail's officer-in-charge to perform the functions of the Inspector-General of Prisons under sections 376 or 377 regarding detained persons of unsound mind. [Source: Section 375, BNSS 2023]</t>
  </si>
  <si>
    <t xml:space="preserve">CASE_4395</t>
  </si>
  <si>
    <t xml:space="preserve">Yes. Because the State Government empowered the officer in charge under section 375, they can "discharge all or any of the functions of the Inspector-General of Prisons under section 376". [Source: Section 375, BNSS 2023]</t>
  </si>
  <si>
    <t xml:space="preserve">CASE_4396</t>
  </si>
  <si>
    <t xml:space="preserve">"section 376 or section 377". [Source: Section 375, BNSS 2023]</t>
  </si>
  <si>
    <t xml:space="preserve">CASE_4397</t>
  </si>
  <si>
    <t xml:space="preserve">No, the text specifically says "empower the officer in charge of the jail". Hospitals are governed by the Mental Health Review Board under other sections. [Source: Section 375, BNSS 2023]</t>
  </si>
  <si>
    <t xml:space="preserve">CASE_4398</t>
  </si>
  <si>
    <t xml:space="preserve">The consequence is administrative efficiency; it prevents mentally ill detainees who have recovered from languishing in jail for months just waiting for a high-ranking official (the Inspector-General) to visit their specific facility to sign their release paperwork. [Source: Section 375, BNSS 2023]</t>
  </si>
  <si>
    <t xml:space="preserve">CASE_4399</t>
  </si>
  <si>
    <t xml:space="preserve">Procedure where prisoner of unsound mind is reported capable of making his defence</t>
  </si>
  <si>
    <t xml:space="preserve">The head of their facility (like the Inspector-General of Prisons or the Mental Health Review Board) issues a formal certificate stating they are capable of making a defense, and then they are taken back to the Magistrate or Court. [Source: Section 376, BNSS 2023]</t>
  </si>
  <si>
    <t xml:space="preserve">Hugging Face source record: BNSS_376</t>
  </si>
  <si>
    <t xml:space="preserve">CASE_4400</t>
  </si>
  <si>
    <t xml:space="preserve">Section 376 of BNSS 2023 outlines the "Procedure where prisoner of unsound mind is reported capable of making his defence," requiring the Inspector-General of Prisons or Mental Health Review Board to certify the person's fitness, after which they are brought before the Court to resume proceedings under Section 371. [Source: Section 376, BNSS 2023]</t>
  </si>
  <si>
    <t xml:space="preserve">CASE_4401</t>
  </si>
  <si>
    <t xml:space="preserve">No. Under section 376, for a person in a public mental health establishment, it requires the "Mental Health Review Board constituted under the Mental Healthcare Act" to certify his capability. A nurse's opinion is not sufficient. [Source: Section 376, BNSS 2023]</t>
  </si>
  <si>
    <t xml:space="preserve">CASE_4402</t>
  </si>
  <si>
    <t xml:space="preserve">"the certificate of such Inspector-General or visitors as aforesaid shall be receivable as evidence." [Source: Section 376, BNSS 2023]</t>
  </si>
  <si>
    <t xml:space="preserve">CASE_4403</t>
  </si>
  <si>
    <t xml:space="preserve">No, this section explicitly applies if "a person is detained under the provisions of sub-section (2) of section 369" (i.e., detained in a jail or facility). People released on bail to family are handled via Section 370. [Source: Section 376, BNSS 2023]</t>
  </si>
  <si>
    <t xml:space="preserve">CASE_4404</t>
  </si>
  <si>
    <t xml:space="preserve">The consequence is ensuring rigorous medical-legal oversight; it prevents police or ambitious prosecutors from prematurely dragging a still-sick defendant back into a trial before qualified, high-level authorities have definitively certified their mental restoration. [Source: Section 376, BNSS 2023]</t>
  </si>
  <si>
    <t xml:space="preserve">CASE_4405</t>
  </si>
  <si>
    <t xml:space="preserve">Procedure where person of unsound mind detained is declared fit to be released</t>
  </si>
  <si>
    <t xml:space="preserve">The medical authorities certify they are no longer a danger, and then the State Government makes the final decision. The State Government might even appoint a special Commission (a judge and two doctors) to double-check their sanity before releasing them. [Source: Section 377, BNSS 2023]</t>
  </si>
  <si>
    <t xml:space="preserve">Hugging Face source record: BNSS_377</t>
  </si>
  <si>
    <t xml:space="preserve">CASE_4406</t>
  </si>
  <si>
    <t xml:space="preserve">Section 377 of BNSS 2023 covers the "Procedure where person of unsound mind detained is declared fit to be released," empowering the State Government to release, retain, or transfer a detainee after medical authorities certify they are no longer a danger, with the option to appoint a Commission for formal inquiry. [Source: Section 377, BNSS 2023]</t>
  </si>
  <si>
    <t xml:space="preserve">CASE_4407</t>
  </si>
  <si>
    <t xml:space="preserve">No. Even with the certificate, only "the State Government may thereupon order him to be released". The hospital cannot release him independently. [Source: Section 377, BNSS 2023]</t>
  </si>
  <si>
    <t xml:space="preserve">CASE_4408</t>
  </si>
  <si>
    <t xml:space="preserve">"consisting of a Judicial and two medical officers." [Source: Section 377, BNSS 2023]</t>
  </si>
  <si>
    <t xml:space="preserve">CASE_4409</t>
  </si>
  <si>
    <t xml:space="preserve">No, sub-section (1) says the State Government "may thereupon order him to be released, or to be detained in custody, or to be transferred". It retains discretion, and can use the Commission to double-check. [Source: Section 377, BNSS 2023]</t>
  </si>
  <si>
    <t xml:space="preserve">CASE_4410</t>
  </si>
  <si>
    <t xml:space="preserve">The consequence is prioritizing public safety over immediate medical optimism; releasing a violently insane person who merely *appears* cured is a massive risk to society. This section provides multiple layers of bureaucratic and judicial verification to ensure they are truly harmless before re-entering the public. [Source: Section 377, BNSS 2023]</t>
  </si>
  <si>
    <t xml:space="preserve">CASE_4411</t>
  </si>
  <si>
    <t xml:space="preserve">Delivery of person of unsound mind to care of relative or friend</t>
  </si>
  <si>
    <t xml:space="preserve">Yes. A relative or friend can apply to the State Government to take them home. However, the relative must guarantee they will take proper care of the person, prevent them from hurting anyone, and bring them to court whenever required. [Source: Section 378, BNSS 2023]</t>
  </si>
  <si>
    <t xml:space="preserve">Hugging Face source record: BNSS_378</t>
  </si>
  <si>
    <t xml:space="preserve">CASE_4412</t>
  </si>
  <si>
    <t xml:space="preserve">Section 378 of BNSS 2023 deals with the "Delivery of person of unsound mind to care of relative or friend," allowing the State Government to transfer custody of a detained person to a relative/friend upon receiving satisfactory security regarding care, safety, and future production before the authorities. [Source: Section 378, BNSS 2023]</t>
  </si>
  <si>
    <t xml:space="preserve">CASE_4413</t>
  </si>
  <si>
    <t xml:space="preserve">No. Under sub-section (1)(c), the relative must give security that the person shall "be produced when required before such Magistrate or Court". If she refuses this condition, the transfer cannot happen. [Source: Section 378, BNSS 2023]</t>
  </si>
  <si>
    <t xml:space="preserve">CASE_4414</t>
  </si>
  <si>
    <t xml:space="preserve">The Magistrate "shall call upon the relative or friend to whom such accused was delivered to produce him before the Magistrate or Court". [Source: Section 378, BNSS 2023]</t>
  </si>
  <si>
    <t xml:space="preserve">CASE_4415</t>
  </si>
  <si>
    <t xml:space="preserve">No. Section 378(1) explicitly states "the State Government may... order such person to be delivered". (The Court has its own powers to deliver to relatives under other sections like 369/374, but *this* specific mechanism is an application to the State Government). [Source: Section 378, BNSS 2023]</t>
  </si>
  <si>
    <t xml:space="preserve">CASE_4416</t>
  </si>
  <si>
    <t xml:space="preserve">The consequence is humane alternatives to state detention; state psychiatric hospitals or jails are often terrible environments for recovery. Allowing vetted families to take custody (under strict security bonds) promotes better mental health recovery while still ensuring the state can pull the person back for trial if they get better. [Source: Section 378, BNSS 2023]</t>
  </si>
  <si>
    <t xml:space="preserve">CASE_4417</t>
  </si>
  <si>
    <t xml:space="preserve">Procedure in cases mentioned in section 215</t>
  </si>
  <si>
    <t xml:space="preserve">No. Crimes committed against the court itself (like forgery in court or perjury) cannot usually be investigated directly by police. The judge whose court was lied to must conduct a preliminary inquiry, write a formal complaint, and send it to a Magistrate to start the criminal case against the liar. [Source: Section 379, BNSS 2023]</t>
  </si>
  <si>
    <t xml:space="preserve">Hugging Face source record: BNSS_379</t>
  </si>
  <si>
    <t xml:space="preserve">CASE_4418</t>
  </si>
  <si>
    <t xml:space="preserve">Section 379 of BNSS 2023 sets out the "Procedure in cases mentioned in section 215," requiring a Court that believes an offence (like perjury or forgery) was committed in its proceedings to conduct a preliminary inquiry, record a finding, make a written complaint, and forward it to a First Class Magistrate. [Source: Section 379, BNSS 2023]</t>
  </si>
  <si>
    <t xml:space="preserve">CASE_4419</t>
  </si>
  <si>
    <t xml:space="preserve">No. Under section 379(1), the court must "make a complaint thereof in writing; (c) send it to a Magistrate of the first class having jurisdiction". The judge cannot try and punish the witness themselves; they must act as the complainant and send the case to another Magistrate. [Source: Section 379, BNSS 2023]</t>
  </si>
  <si>
    <t xml:space="preserve">CASE_4420</t>
  </si>
  <si>
    <t xml:space="preserve">"by such officer of the Court as the Court may appoint" (sub-section 3(a)). [Source: Section 379, BNSS 2023]</t>
  </si>
  <si>
    <t xml:space="preserve">CASE_4421</t>
  </si>
  <si>
    <t xml:space="preserve">Yes. Under sub-section (2), the power to make the complaint "may... be exercised by the Court to which such former Court is subordinate". A higher court can file the complaint if the lower court fails to do so. [Source: Section 379, BNSS 2023]</t>
  </si>
  <si>
    <t xml:space="preserve">CASE_4422</t>
  </si>
  <si>
    <t xml:space="preserve">The consequence is preventing vindictive retaliation by litigants; if any angry loser in a lawsuit could just call the police and accuse the winning side's witnesses of perjury, the system would collapse into chaos. By forcing the judge to be the gatekeeper who officially files the complaint, it ensures only genuine cases of perjury or forgery are prosecuted. [Source: Section 379, BNSS 2023]</t>
  </si>
  <si>
    <t xml:space="preserve">CASE_4423</t>
  </si>
  <si>
    <t xml:space="preserve">Appeal</t>
  </si>
  <si>
    <t xml:space="preserve">Yes. You can appeal to the higher court that the original judge reports to. The higher court can review the situation and order that the complaint be filed. [Source: Section 380, BNSS 2023]</t>
  </si>
  <si>
    <t xml:space="preserve">Hugging Face source record: BNSS_380</t>
  </si>
  <si>
    <t xml:space="preserve">CASE_4424</t>
  </si>
  <si>
    <t xml:space="preserve">Section 380 of BNSS 2023 governs the "Appeal" process, allowing a person to appeal to a superior court if a lower court refuses to make a complaint under section 379 (for offences against justice), or if the lower court *does* make a complaint against them, empowering the superior court to direct withdrawal or making of the complaint. [Source: Section 380, BNSS 2023]</t>
  </si>
  <si>
    <t xml:space="preserve">CASE_4425</t>
  </si>
  <si>
    <t xml:space="preserve">No. Under sub-section (2), "An order under this section... shall be final, and shall not be subject to revision." The superior court's decision is absolute. [Source: Section 380, BNSS 2023]</t>
  </si>
  <si>
    <t xml:space="preserve">CASE_4426</t>
  </si>
  <si>
    <t xml:space="preserve">It must do so "after notice to the parties concerned". [Source: Section 380, BNSS 2023]</t>
  </si>
  <si>
    <t xml:space="preserve">CASE_4427</t>
  </si>
  <si>
    <t xml:space="preserve">No. Sub-section (1) explicitly states: "Any person on whose application any Court *other than a High Court* has refused to make a complaint". You cannot use this section to appeal a High Court's refusal. [Source: Section 380, BNSS 2023]</t>
  </si>
  <si>
    <t xml:space="preserve">CASE_4428</t>
  </si>
  <si>
    <t xml:space="preserve">The consequence is preventing endless procedural warfare; disputes about *whether* a perjury trial should happen can drag on for years. By making the first appeal final, the law forces the system to either quickly start the perjury trial or drop the matter entirely, rather than litigating the mere *filing* of the complaint forever. [Source: Section 380, BNSS 2023]</t>
  </si>
  <si>
    <t xml:space="preserve">CASE_4429</t>
  </si>
  <si>
    <t xml:space="preserve">Power to order costs</t>
  </si>
  <si>
    <t xml:space="preserve">Yes. The court handling the application for the complaint, or the court handling the appeal about it, has the power to order costs (making them pay money) as it sees fit. [Source: Section 381, BNSS 2023]</t>
  </si>
  <si>
    <t xml:space="preserve">Hugging Face source record: BNSS_381</t>
  </si>
  <si>
    <t xml:space="preserve">CASE_4430</t>
  </si>
  <si>
    <t xml:space="preserve">Section 381 of BNSS 2023 outlines the "Power to order costs," granting any Court dealing with an application for a complaint (under Section 379) or an appeal (under Section 380) the authority to make just orders regarding costs. [Source: Section 381, BNSS 2023]</t>
  </si>
  <si>
    <t xml:space="preserve">CASE_4431</t>
  </si>
  <si>
    <t xml:space="preserve">Yes. Under section 381, the Court dealing with the application "shall have power to make such order as to costs as may be just." [Source: Section 381, BNSS 2023]</t>
  </si>
  <si>
    <t xml:space="preserve">CASE_4432</t>
  </si>
  <si>
    <t xml:space="preserve">It applies to both. The section specifies "Any Court dealing with an application made to it for filing a complaint under section 379 or an appeal under section 380". [Source: Section 381, BNSS 2023]</t>
  </si>
  <si>
    <t xml:space="preserve">CASE_4433</t>
  </si>
  <si>
    <t xml:space="preserve">No, the section simply states "make such order as to costs as may be just", leaving the amount to the court's discretion based on justice. [Source: Section 381, BNSS 2023]</t>
  </si>
  <si>
    <t xml:space="preserve">CASE_4434</t>
  </si>
  <si>
    <t xml:space="preserve">The consequence is deterring the weaponization of the perjury laws; without the threat of financial costs, petty litigants would routinely file baseless applications demanding their opponents be prosecuted for perjury, simply to intimidate them. This section ensures a financial penalty for filing malicious applications. [Source: Section 381, BNSS 2023]</t>
  </si>
  <si>
    <t xml:space="preserve">CASE_4435</t>
  </si>
  <si>
    <t xml:space="preserve">Procedure of Magistrate taking cognizance</t>
  </si>
  <si>
    <t xml:space="preserve">No. The Magistrate treats a complaint filed by a judge exactly as if it were an official Police Report (a chargesheet), skipping the slow preliminary steps required for private complaints. [Source: Section 382, BNSS 2023]</t>
  </si>
  <si>
    <t xml:space="preserve">Hugging Face source record: BNSS_382</t>
  </si>
  <si>
    <t xml:space="preserve">CASE_4436</t>
  </si>
  <si>
    <t xml:space="preserve">Section 382 of BNSS 2023 governs the "Procedure of Magistrate taking cognizance," instructing Magistrates to treat complaints received under Section 379 or 380 as if they were instituted on a police report, and allowing them to adjourn hearings if an appeal is pending in the original underlying case. [Source: Section 382, BNSS 2023]</t>
  </si>
  <si>
    <t xml:space="preserve">CASE_4437</t>
  </si>
  <si>
    <t xml:space="preserve">No. Under section 382(1), the Magistrate shall "notwithstanding anything contained in Chapter XVI, proceed... to deal with the case as if it were instituted on a police report." Cases instituted on police reports skip the Chapter XVI complainant examination phase. The judge does not have to be examined. [Source: Section 382, BNSS 2023]</t>
  </si>
  <si>
    <t xml:space="preserve">CASE_4438</t>
  </si>
  <si>
    <t xml:space="preserve">If "an appeal is pending against the decision arrived at in the judicial proceeding out of which the matter has arisen". [Source: Section 382, BNSS 2023]</t>
  </si>
  <si>
    <t xml:space="preserve">CASE_4439</t>
  </si>
  <si>
    <t xml:space="preserve">No, the power is discretionary: "he may, if he thinks fit, at any stage, adjourn the hearing". [Source: Section 382, BNSS 2023]</t>
  </si>
  <si>
    <t xml:space="preserve">CASE_4440</t>
  </si>
  <si>
    <t xml:space="preserve">The consequence is expediting prosecutions against those who attack the justice system; it shows profound institutional trust in judges. A private citizen's complaint is viewed with suspicion and must be vetted, but a formal written complaint from a sitting Judge is considered as reliable as a fully investigated police chargesheet, allowing the trial to start immediately. [Source: Section 382, BNSS 2023]</t>
  </si>
  <si>
    <t xml:space="preserve">CASE_4441</t>
  </si>
  <si>
    <t xml:space="preserve">Summary procedure for trial for giving false evidence</t>
  </si>
  <si>
    <t xml:space="preserve">For perjury (giving false evidence), a Sessions Court or 1st Class Magistrate actually has the power to hold a quick, "summary" trial right after delivering their main judgment. They can ask the witness to explain themselves, and if unsatisfied, instantly sentence them to up to 3 months in jail. [Source: Section 383, BNSS 2023]</t>
  </si>
  <si>
    <t xml:space="preserve">Hugging Face source record: BNSS_383</t>
  </si>
  <si>
    <t xml:space="preserve">CASE_4442</t>
  </si>
  <si>
    <t xml:space="preserve">Section 383 of BNSS 2023 provides a "Summary procedure for trial for giving false evidence," allowing a Court of Session or First Class Magistrate, at the time of delivering judgment, to directly take cognizance, try summarily, and sentence a witness (up to 3 months/1000 rupees) for knowingly giving or fabricating false evidence. [Source: Section 383, BNSS 2023]</t>
  </si>
  <si>
    <t xml:space="preserve">CASE_4443</t>
  </si>
  <si>
    <t xml:space="preserve">Yes. Under section 383(1), a Court of Session may "try such offender summarily and sentence him to imprisonment for a term which may extend to three months" for knowingly giving false evidence. [Source: Section 383, BNSS 2023]</t>
  </si>
  <si>
    <t xml:space="preserve">CASE_4444</t>
  </si>
  <si>
    <t xml:space="preserve">They must be given "a reasonable opportunity of showing cause why he should not be punished for such offence". [Source: Section 383, BNSS 2023]</t>
  </si>
  <si>
    <t xml:space="preserve">CASE_4445</t>
  </si>
  <si>
    <t xml:space="preserve">No. Sub-section (3) states: "Nothing in this section shall affect the power of the Court to make a complaint under section 379 for the offence, where it does not choose to proceed under this section." [Source: Section 383, BNSS 2023]</t>
  </si>
  <si>
    <t xml:space="preserve">CASE_4446</t>
  </si>
  <si>
    <t xml:space="preserve">The consequence is immediate deterrence against perjury; witnesses are far less likely to brazenly lie under oath if they know the judge sitting in front of them has the power to throw them straight into jail the moment the trial ends, bypassing the years-long process of a separate perjury trial. [Source: Section 383, BNSS 2023]</t>
  </si>
  <si>
    <t xml:space="preserve">CASE_4447</t>
  </si>
  <si>
    <t xml:space="preserve">Procedure in certain cases of contempt</t>
  </si>
  <si>
    <t xml:space="preserve">The judge can immediately detain them. Before the court closes for the day, the judge can give them a chance to explain themselves, and if the excuse isn't good enough, fine them up to 1000 rupees or give them 1 month in jail if they don't pay. [Source: Section 384, BNSS 2023]</t>
  </si>
  <si>
    <t xml:space="preserve">Hugging Face source record: BNSS_384</t>
  </si>
  <si>
    <t xml:space="preserve">CASE_4448</t>
  </si>
  <si>
    <t xml:space="preserve">Section 384 of BNSS 2023 establishes the "Procedure in certain cases of contempt," permitting any Civil, Criminal, or Revenue Court to instantly detain a person committing specified offences (like insulting a public servant or interrupting proceedings) in its presence, and try them on the same day for a fine up to 1000 rupees. [Source: Section 384, BNSS 2023]</t>
  </si>
  <si>
    <t xml:space="preserve">CASE_4449</t>
  </si>
  <si>
    <t xml:space="preserve">Yes. Under section 384(1), the court can detain the offender, take cognizance "before the rising of the Court on the same day", give an opportunity to show cause, and sentence them to a "fine not exceeding one thousand rupees, and, in default of payment of fine, to simple imprisonment for a term which may extend to one month". [Source: Section 384, BNSS 2023]</t>
  </si>
  <si>
    <t xml:space="preserve">CASE_4450</t>
  </si>
  <si>
    <t xml:space="preserve">It must show "the nature and stage of the judicial proceeding" and "the nature of the interruption or insult." [Source: Section 384, BNSS 2023]</t>
  </si>
  <si>
    <t xml:space="preserve">CASE_4451</t>
  </si>
  <si>
    <t xml:space="preserve">No. The section explicitly limits the punishment to "sentence the offender to fine not exceeding one thousand rupees", with imprisonment only occurring "in default of payment of fine", and that imprisonment must be "simple imprisonment" (not hard labor). [Source: Section 384, BNSS 2023]</t>
  </si>
  <si>
    <t xml:space="preserve">CASE_4452</t>
  </si>
  <si>
    <t xml:space="preserve">The consequence is the preservation of judicial decorum and authority; courts cannot function in chaos. Giving every presiding officer the power to instantly fine and detain hecklers, disrupters, or those who maliciously refuse to answer questions ensures that the physical courtroom remains an orderly environment where justice can be administered without intimidation. [Source: Section 384, BNSS 2023]</t>
  </si>
  <si>
    <t xml:space="preserve">CASE_4453</t>
  </si>
  <si>
    <t xml:space="preserve">Procedure where Court considers that case should not be dealt with under</t>
  </si>
  <si>
    <t xml:space="preserve">The judge cannot sentence them to more than the summary limit directly. Instead, the judge records the facts and sends the person to a different Magistrate to stand trial for the contempt offense under normal procedures. [Source: Section 385, BNSS 2023]</t>
  </si>
  <si>
    <t xml:space="preserve">Hugging Face source record: BNSS_385</t>
  </si>
  <si>
    <t xml:space="preserve">CASE_4454</t>
  </si>
  <si>
    <t xml:space="preserve">Section 385 of BNSS 2023 outlines the "Procedure where Court considers that case should not be dealt with under section 384," allowing a Court that believes a contempt offender deserves imprisonment or a fine exceeding 200 rupees (or for any other reason) to forward the case to a Magistrate for a standard trial. [Source: Section 385, BNSS 2023]</t>
  </si>
  <si>
    <t xml:space="preserve">CASE_4455</t>
  </si>
  <si>
    <t xml:space="preserve">No. Under Section 385, if the Court considers a higher fine or imprisonment should be imposed, the Court "may forward the case to a Magistrate having jurisdiction to try the same". The original judge cannot impose the higher sentence themselves; they must transfer the case. [Source: Section 385, BNSS 2023]</t>
  </si>
  <si>
    <t xml:space="preserve">CASE_4456</t>
  </si>
  <si>
    <t xml:space="preserve">The court may "require security to be given for the appearance" (bail/bond) or, if security is not given, "shall forward such person in custody" (arrest). [Source: Section 385, BNSS 2023]</t>
  </si>
  <si>
    <t xml:space="preserve">CASE_4457</t>
  </si>
  <si>
    <t xml:space="preserve">Interestingly, no. The text of Section 385(1) says "or that a fine exceeding two hundred rupees should be imposed upon him". (This seems to be a historical anomaly or drafting specific, as 384 allows up to 1000). Furthermore, it allows forwarding if the court is "for any other reason of opinion that the case should not be disposed of under section 384". [Source: Section 385, BNSS 2023]</t>
  </si>
  <si>
    <t xml:space="preserve">CASE_4458</t>
  </si>
  <si>
    <t xml:space="preserve">The consequence is providing a graded response to contempt; Section 384 handles minor, immediate disruptions with swift, low-level fines. Section 385 ensures that truly egregious, violent, or deeply insulting behavior against the court isn't artificially capped at a minor fine, ensuring severe contempt faces severe, formalized justice. [Source: Section 385, BNSS 2023]</t>
  </si>
  <si>
    <t xml:space="preserve">CASE_4459</t>
  </si>
  <si>
    <t xml:space="preserve">When Registrar or Sub-Registrar to be deemed a Civil Court</t>
  </si>
  <si>
    <t xml:space="preserve">Yes, if the State Government explicitly directs it, Registrars and Sub-Registrars are legally treated as "Civil Courts," giving them the power to fine or detain people who cause disruptions in their presence. [Source: Section 386, BNSS 2023]</t>
  </si>
  <si>
    <t xml:space="preserve">Hugging Face source record: BNSS_386</t>
  </si>
  <si>
    <t xml:space="preserve">CASE_4460</t>
  </si>
  <si>
    <t xml:space="preserve">Section 386 of BNSS 2023 dictates "When Registrar or Sub-Registrar to be deemed a Civil Court," stating that upon State Government direction, officers appointed under the Registration Act are deemed Civil Courts for the purposes of wielding contempt powers under sections 384 and 385. [Source: Section 386, BNSS 2023]</t>
  </si>
  <si>
    <t xml:space="preserve">CASE_4461</t>
  </si>
  <si>
    <t xml:space="preserve">Yes. Because the State Government directed it, the Sub-Registrar "shall be deemed to be a Civil Court within the meaning of sections 384 and 385", giving them the exact same summary contempt powers as a judge. [Source: Section 386, BNSS 2023]</t>
  </si>
  <si>
    <t xml:space="preserve">CASE_4462</t>
  </si>
  <si>
    <t xml:space="preserve">"the Registration Act, 1908 (16 of 1908)". [Source: Section 386, BNSS 2023]</t>
  </si>
  <si>
    <t xml:space="preserve">CASE_4463</t>
  </si>
  <si>
    <t xml:space="preserve">No, it requires a specific trigger: "When the State Government so directs". It is not automatic. [Source: Section 386, BNSS 2023]</t>
  </si>
  <si>
    <t xml:space="preserve">CASE_4464</t>
  </si>
  <si>
    <t xml:space="preserve">The consequence is maintaining order in highly volatile administrative environments; property registration often involves intense, emotional disputes over immense wealth. Treating the registrar as a "Civil Court" deters violence and intimidation in these offices, protecting the integrity of public land records. [Source: Section 386, BNSS 2023]</t>
  </si>
  <si>
    <t xml:space="preserve">CASE_4465</t>
  </si>
  <si>
    <t xml:space="preserve">Discharge of offender on submission of apology</t>
  </si>
  <si>
    <t xml:space="preserve">Yes. The judge has the discretion to forgive the offender, cancel the fine or jail time, or discharge them completely if they offer a satisfactory apology or comply with the court's order. [Source: Section 387, BNSS 2023]</t>
  </si>
  <si>
    <t xml:space="preserve">Hugging Face source record: BNSS_387</t>
  </si>
  <si>
    <t xml:space="preserve">CASE_4466</t>
  </si>
  <si>
    <t xml:space="preserve">Section 387 of BNSS 2023 allows for the "Discharge of offender on submission of apology," granting the Court discretion to discharge a person or remit their punishment (under Section 384 or 385) if they submit to the Court's order or offer a satisfactory apology. [Source: Section 387, BNSS 2023]</t>
  </si>
  <si>
    <t xml:space="preserve">CASE_4467</t>
  </si>
  <si>
    <t xml:space="preserve">No. Under section 387, "the Court may, in its discretion, discharge the offender or remit the punishment... on apology being made to its satisfaction." The judge absolutely has the legal power to remit (cancel) the punishment. [Source: Section 387, BNSS 2023]</t>
  </si>
  <si>
    <t xml:space="preserve">CASE_4468</t>
  </si>
  <si>
    <t xml:space="preserve">"on his submission to the order or requisition of such Court" (e.g., finally agreeing to answer the question he previously refused to answer). [Source: Section 387, BNSS 2023]</t>
  </si>
  <si>
    <t xml:space="preserve">CASE_4469</t>
  </si>
  <si>
    <t xml:space="preserve">No. The section says "the Court may, in its discretion" and the apology must be "made to its satisfaction." A fake or insincere apology can be rejected. [Source: Section 387, BNSS 2023]</t>
  </si>
  <si>
    <t xml:space="preserve">CASE_4470</t>
  </si>
  <si>
    <t xml:space="preserve">The consequence is de-escalation; the primary goal of contempt powers isn't vindictive punishment, but forcing compliance and restoring the court's dignity. If an apology achieves that dignity, or compliance achieves the court's goal, grinding the offender through the penal system is unnecessary. [Source: Section 387, BNSS 2023]</t>
  </si>
  <si>
    <t xml:space="preserve">CASE_4471</t>
  </si>
  <si>
    <t xml:space="preserve">Imprisonment or committal of person refusing to answer or produce document</t>
  </si>
  <si>
    <t xml:space="preserve">The judge can instantly sentence them to up to 7 days in jail to think about it. If they still refuse after 7 days, the judge can hit them with formal contempt charges. [Source: Section 388, BNSS 2023]</t>
  </si>
  <si>
    <t xml:space="preserve">Hugging Face source record: BNSS_388</t>
  </si>
  <si>
    <t xml:space="preserve">CASE_4472</t>
  </si>
  <si>
    <t xml:space="preserve">Section 388 of BNSS 2023 covers the "Imprisonment or committal of person refusing to answer or produce document," allowing a Criminal Court to sentence an obstinate witness to simple imprisonment for up to seven days to compel their testimony or document production. [Source: Section 388, BNSS 2023]</t>
  </si>
  <si>
    <t xml:space="preserve">CASE_4473</t>
  </si>
  <si>
    <t xml:space="preserve">No. Section 388 states the court can do this if the witness "does not, after a reasonable opportunity has been given to him so to do, offer any reasonable excuse for such refusal". The judge must give them a chance to explain *why* they are refusing (e.g., asserting a legal privilege). [Source: Section 388, BNSS 2023]</t>
  </si>
  <si>
    <t xml:space="preserve">CASE_4474</t>
  </si>
  <si>
    <t xml:space="preserve">The section says the imprisonment is "unless in the meantime, such person consents to be examined and to answer, or to produce the document". If they consent, the imprisonment ends. [Source: Section 388, BNSS 2023]</t>
  </si>
  <si>
    <t xml:space="preserve">CASE_4475</t>
  </si>
  <si>
    <t xml:space="preserve">No. The section explicitly states: "in the event of his persisting in his refusal, he may be dealt with according to the provisions of section 384 or section 385" (meaning formal contempt charges and further punishment). [Source: Section 388, BNSS 2023]</t>
  </si>
  <si>
    <t xml:space="preserve">CASE_4476</t>
  </si>
  <si>
    <t xml:space="preserve">The consequence is providing a short, sharp shock to compel evidence; it acts as a high-pressure coercive tool. Seven days in a cell is often enough to break the stubbornness of a witness who is protecting a friend, ensuring the court gets the vital truth without immediately initiating a massive, separate criminal trial against the witness. [Source: Section 388, BNSS 2023]</t>
  </si>
  <si>
    <t xml:space="preserve">CASE_4477</t>
  </si>
  <si>
    <t xml:space="preserve">Summary procedure for punishment for non-attendance by a witness in obedience to</t>
  </si>
  <si>
    <t xml:space="preserve">The court can hold a quick summary trial and fine them up to 500 rupees for disobeying the summons. [Source: Section 389, BNSS 2023]</t>
  </si>
  <si>
    <t xml:space="preserve">Hugging Face source record: BNSS_389</t>
  </si>
  <si>
    <t xml:space="preserve">CASE_4478</t>
  </si>
  <si>
    <t xml:space="preserve">Section 389 of BNSS 2023 outlines the "Summary procedure for punishment for non-attendance by a witness in obedience to summons," allowing a Court to summarily try and fine (up to 500 rupees) any legally summoned witness who neglects to attend or departs early without just excuse. [Source: Section 389, BNSS 2023]</t>
  </si>
  <si>
    <t xml:space="preserve">CASE_4479</t>
  </si>
  <si>
    <t xml:space="preserve">Yes. The section specifically covers a witness who "departs from the place where he has to attend before the time at which it is lawful for him to depart". Leaving before being officially dismissed triggers the penalty. [Source: Section 389, BNSS 2023]</t>
  </si>
  <si>
    <t xml:space="preserve">CASE_4480</t>
  </si>
  <si>
    <t xml:space="preserve">They must be given "an opportunity of showing cause why he should not be punished under this section". [Source: Section 389, BNSS 2023]</t>
  </si>
  <si>
    <t xml:space="preserve">CASE_4481</t>
  </si>
  <si>
    <t xml:space="preserve">No. The punishment under sub-section (1) is strictly limited to "sentence him to fine not exceeding five hundred rupees." Imprisonment is not an option under this specific summary procedure. [Source: Section 389, BNSS 2023]</t>
  </si>
  <si>
    <t xml:space="preserve">CASE_4482</t>
  </si>
  <si>
    <t xml:space="preserve">The consequence is streamlined judicial administration; courts rely on witnesses to function. If judges had to file massive, formal criminal complaints every time a witness overslept or ignored a subpoena, the system would stall. This allows judges to quickly slap a fine on a truant witness and move on. [Source: Section 389, BNSS 2023]</t>
  </si>
  <si>
    <t xml:space="preserve">CASE_4483</t>
  </si>
  <si>
    <t xml:space="preserve">Appeals from convictions under sections 383, 384, 388 and 389</t>
  </si>
  <si>
    <t xml:space="preserve">Yes. Even though it was a quick summary punishment, the convicted person has the right to appeal to the superior court that normally hears appeals from that specific judge. [Source: Section 390, BNSS 2023]</t>
  </si>
  <si>
    <t xml:space="preserve">Hugging Face source record: BNSS_390</t>
  </si>
  <si>
    <t xml:space="preserve">CASE_4484</t>
  </si>
  <si>
    <t xml:space="preserve">Section 390 of BNSS 2023 governs "Appeals from convictions under sections 383, 384, 388 and 389," guaranteeing an appeal to the normally designated appellate court against these specific summary judicial punishments. [Source: Section 390, BNSS 2023]</t>
  </si>
  <si>
    <t xml:space="preserve">CASE_4485</t>
  </si>
  <si>
    <t xml:space="preserve">Under sub-section (4), an appeal from such conviction by a Registrar/Sub-Registrar "shall lie to the Court of Session for the sessions division within which the office of such Registrar or Sub-Registrar is situate." [Source: Section 390, BNSS 2023]</t>
  </si>
  <si>
    <t xml:space="preserve">CASE_4486</t>
  </si>
  <si>
    <t xml:space="preserve">The Appellate Court may "alter or reverse the finding, or reduce or reverse the sentence". [Source: Section 390, BNSS 2023]</t>
  </si>
  <si>
    <t xml:space="preserve">CASE_4487</t>
  </si>
  <si>
    <t xml:space="preserve">No. Sub-section (1) explicitly limits the right of appeal to "Any person sentenced by any Court *other than a High Court*". High Court summary contempt convictions follow different constitutional rules. [Source: Section 390, BNSS 2023]</t>
  </si>
  <si>
    <t xml:space="preserve">CASE_4488</t>
  </si>
  <si>
    <t xml:space="preserve">The consequence is preventing judicial tyranny; summary powers allow a judge to act as the victim, prosecutor, and jury all at once (e.g., when insulted). Guaranteeing an appeal ensures that a judge who acts out of personal anger rather than legal justice can be checked by a neutral higher court. [Source: Section 390, BNSS 2023]</t>
  </si>
  <si>
    <t xml:space="preserve">CASE_4489</t>
  </si>
  <si>
    <t xml:space="preserve">Certain Judges and Magistrates not to try certain offences when committed before</t>
  </si>
  <si>
    <t xml:space="preserve">No. A judge cannot be the trial judge for a contempt or justice-related offense that happened in their own courtroom against them, because they are essentially the victim. They must transfer the case to a different judge. (The only exception is the quick "summary" fines discussed earlier). [Source: Section 391, BNSS 2023]</t>
  </si>
  <si>
    <t xml:space="preserve">Hugging Face source record: BNSS_391</t>
  </si>
  <si>
    <t xml:space="preserve">CASE_4490</t>
  </si>
  <si>
    <t xml:space="preserve">Section 391 of BNSS 2023 dictates that "Certain Judges and Magistrates not to try certain offences when committed before themselves," prohibiting a judicial officer from formally trying an accused for offences against justice (like perjury or contempt) if the offence was committed in their presence, forcing them to transfer the case to another court. [Source: Section 391, BNSS 2023]</t>
  </si>
  <si>
    <t xml:space="preserve">CASE_4491</t>
  </si>
  <si>
    <t xml:space="preserve">No. Under section 391, "no Judge... or Magistrate shall try any person for any offence referred to in section 215, when such offence is committed before himself". The Magistrate is barred from trying the case. [Source: Section 391, BNSS 2023]</t>
  </si>
  <si>
    <t xml:space="preserve">CASE_4492</t>
  </si>
  <si>
    <t xml:space="preserve">"Except as provided in sections 383, 384, 388 and 389" (these are the summary, immediate punishment sections). [Source: Section 391, BNSS 2023]</t>
  </si>
  <si>
    <t xml:space="preserve">CASE_4493</t>
  </si>
  <si>
    <t xml:space="preserve">No. The section explicitly states "(other than a Judge of a High Court)". High Court judges have inherent constitutional powers regarding their own contempt. [Source: Section 391, BNSS 2023]</t>
  </si>
  <si>
    <t xml:space="preserve">CASE_4494</t>
  </si>
  <si>
    <t xml:space="preserve">The consequence is preserving objective neutrality in formal trials; while judges need immediate summary powers to maintain order, a full criminal trial requires a totally unbiased adjudicator. A judge who was personally insulted or lied to cannot possibly be expected to view the evidence neutrally in a full trial later on. [Source: Section 391, BNSS 2023]</t>
  </si>
  <si>
    <t xml:space="preserve">CASE_4495</t>
  </si>
  <si>
    <t xml:space="preserve">Judgment</t>
  </si>
  <si>
    <t xml:space="preserve">The judge must pronounce it in open court. They can read the whole thing, or just read the operative part (guilty/not guilty and the sentence) and explain it in a language the accused understands. It must be delivered within 45 days of the trial ending. [Source: Section 392, BNSS 2023]</t>
  </si>
  <si>
    <t xml:space="preserve">Hugging Face source record: BNSS_392</t>
  </si>
  <si>
    <t xml:space="preserve">CASE_4496</t>
  </si>
  <si>
    <t xml:space="preserve">Section 392 of BNSS 2023 covers the "Judgment," requiring it to be pronounced in open court within 45 days of trial termination, detailing methods of delivery (reading in full or operative part), and mandating the presence of the accused (physically or electronically). [Source: Section 392, BNSS 2023]</t>
  </si>
  <si>
    <t xml:space="preserve">CASE_4497</t>
  </si>
  <si>
    <t xml:space="preserve">No. First, sub-section (1) requires the judgment be pronounced "not later than forty-five days". Second, it must be pronounced "in open Court". Emailing it without an open court pronouncement violates the law. [Source: Section 392, BNSS 2023]</t>
  </si>
  <si>
    <t xml:space="preserve">CASE_4498</t>
  </si>
  <si>
    <t xml:space="preserve">They must "explain the substance of the judgment in a language which is understood by the accused or his advocate." [Source: Section 392, BNSS 2023]</t>
  </si>
  <si>
    <t xml:space="preserve">CASE_4499</t>
  </si>
  <si>
    <t xml:space="preserve">No. Under sub-section (6) proviso, if there are multiple accused and some don't attend, the judge "may, in order to avoid undue delay in the disposal of the case, pronounce the judgment notwithstanding their absence." Furthermore, sub-section (7) states the judgment isn't invalid just because a party was absent. [Source: Section 392, BNSS 2023]</t>
  </si>
  <si>
    <t xml:space="preserve">CASE_4500</t>
  </si>
  <si>
    <t xml:space="preserve">The consequence is modernizing transparency; it stops corrupt lower-level court staff from artificially withholding physical copies of judgments to extort bribes from lawyers and defendants who desperately need the document to file an appeal before their deadline expires. [Source: Section 392, BNSS 2023]</t>
  </si>
  <si>
    <t xml:space="preserve">CASE_4501</t>
  </si>
  <si>
    <t xml:space="preserve">Language and contents of judgment</t>
  </si>
  <si>
    <t xml:space="preserve">The judgment must be in the court's official language. It must list the main questions to be decided, the judge's decision on those questions, the reasons for that decision, and exactly which law and section the person is convicted under (or acquitted of). [Source: Section 393, BNSS 2023]</t>
  </si>
  <si>
    <t xml:space="preserve">Hugging Face source record: BNSS_393</t>
  </si>
  <si>
    <t xml:space="preserve">CASE_4502</t>
  </si>
  <si>
    <t xml:space="preserve">Section 393 of BNSS 2023 dictates the "Language and contents of judgment," requiring it to contain the points for determination, the decision, the reasoning, the specific penal section applied, and requiring special reasons for death sentences or unusually short prison terms. [Source: Section 393, BNSS 2023]</t>
  </si>
  <si>
    <t xml:space="preserve">CASE_4503</t>
  </si>
  <si>
    <t xml:space="preserve">No. Under sub-section (3), when the conviction is for an offence punishable with death or life imprisonment, "the judgment shall state the reasons for the sentence awarded, and, in the case of sentence of death, the special reasons for such sentence." A one-line death sentence is invalid. [Source: Section 393, BNSS 2023]</t>
  </si>
  <si>
    <t xml:space="preserve">CASE_4504</t>
  </si>
  <si>
    <t xml:space="preserve">The judge "shall record its reasons for awarding such sentence" (unless it was a summary trial or imprisonment till the rising of the court). [Source: Section 393, BNSS 2023]</t>
  </si>
  <si>
    <t xml:space="preserve">CASE_4505</t>
  </si>
  <si>
    <t xml:space="preserve">No, under sub-section (2), if it is doubtful under which of two sections the offence falls, "the Court shall distinctly express the same, and pass judgment in the alternative." [Source: Section 393, BNSS 2023]</t>
  </si>
  <si>
    <t xml:space="preserve">CASE_4506</t>
  </si>
  <si>
    <t xml:space="preserve">The consequence is preventing arbitrary judicial fiat; a judge cannot simply declare someone guilty based on a gut feeling. Forcing the judge to articulate their logical reasoning ensures they actually weighed the evidence, and gives the Appellate Court a clear target to review for legal errors. [Source: Section 393, BNSS 2023]</t>
  </si>
  <si>
    <t xml:space="preserve">CASE_4507</t>
  </si>
  <si>
    <t xml:space="preserve">Order for notifying address of previously convicted offender</t>
  </si>
  <si>
    <t xml:space="preserve">Yes. The court can order repeat offenders to notify the authorities about their home address, and any time they move or leave town, for up to five years after they get out of prison. [Source: Section 394, BNSS 2023]</t>
  </si>
  <si>
    <t xml:space="preserve">Hugging Face source record: BNSS_394</t>
  </si>
  <si>
    <t xml:space="preserve">CASE_4508</t>
  </si>
  <si>
    <t xml:space="preserve">Section 394 of BNSS 2023 allows an "Order for notifying address of previously convicted offender," permitting courts to mandate that recidivists convicted of offences carrying 3+ years imprisonment notify authorities of their residence and any changes for up to five years post-release. [Source: Section 394, BNSS 2023]</t>
  </si>
  <si>
    <t xml:space="preserve">CASE_4509</t>
  </si>
  <si>
    <t xml:space="preserve">No. Sub-section (1) requires that the previous conviction *and* the current conviction must be for an "offence punishable with imprisonment for a term of three years, or upwards". Minor thefts usually don't meet this threshold, so the tracking order cannot be applied. [Source: Section 394, BNSS 2023]</t>
  </si>
  <si>
    <t xml:space="preserve">CASE_4510</t>
  </si>
  <si>
    <t xml:space="preserve">"criminal conspiracies to commit such offences and to the abetment of such offences and attempts to commit them." [Source: Section 394, BNSS 2023]</t>
  </si>
  <si>
    <t xml:space="preserve">CASE_4511</t>
  </si>
  <si>
    <t xml:space="preserve">No. Sub-section (1) explicitly says "by any Court *other than that of a Magistrate of the second class*". Only higher courts can issue this order. [Source: Section 394, BNSS 2023]</t>
  </si>
  <si>
    <t xml:space="preserve">CASE_4512</t>
  </si>
  <si>
    <t xml:space="preserve">The consequence is enhanced proactive policing; it acknowledges that hardcore recidivists are highly likely to reoffend upon release. Forcing them to register their address allows local police to keep tabs on them, preventing them from melting anonymously into new communities to start a new crime spree. [Source: Section 394, BNSS 2023]</t>
  </si>
  <si>
    <t xml:space="preserve">CASE_4513</t>
  </si>
  <si>
    <t xml:space="preserve">Order to pay compensation</t>
  </si>
  <si>
    <t xml:space="preserve">The court can order that the fine money be given to the victim as compensation for their injuries or losses. It can also be used to pay for the prosecution's expenses or to compensate people who unknowingly bought stolen goods from the criminal. [Source: Section 395, BNSS 2023]</t>
  </si>
  <si>
    <t xml:space="preserve">Hugging Face source record: BNSS_395</t>
  </si>
  <si>
    <t xml:space="preserve">CASE_4514</t>
  </si>
  <si>
    <t xml:space="preserve">Section 395 of BNSS 2023 details the "Order to pay compensation," empowering a Court to apply recovered fines to defray prosecution costs, compensate victims for loss/injury, compensate dependents in fatal accidents, or compensate bona fide purchasers of stolen property. [Source: Section 395, BNSS 2023]</t>
  </si>
  <si>
    <t xml:space="preserve">CASE_4515</t>
  </si>
  <si>
    <t xml:space="preserve">No. Under sub-section (2), "If the fine is imposed in a case which is subject to appeal, no such payment shall be made before the period allowed for presenting the appeal has elapsed, or, if an appeal be presented, before the decision of the appeal." [Source: Section 395, BNSS 2023]</t>
  </si>
  <si>
    <t xml:space="preserve">CASE_4516</t>
  </si>
  <si>
    <t xml:space="preserve">Yes. The court may "order the accused person to pay, by way of compensation, such amount as may be specified in the order to the person who has suffered any loss or injury". [Source: Section 395, BNSS 2023]</t>
  </si>
  <si>
    <t xml:space="preserve">CASE_4517</t>
  </si>
  <si>
    <t xml:space="preserve">No, they are not banned. However, sub-section (5) states that "At the time of awarding compensation in any subsequent civil suit relating to the same matter, the Court shall take into account any sum paid or recovered as compensation under this section." [Source: Section 395, BNSS 2023]</t>
  </si>
  <si>
    <t xml:space="preserve">CASE_4518</t>
  </si>
  <si>
    <t xml:space="preserve">The consequence is providing swift, accessible justice to victims; instead of forcing a victim who just survived a grueling criminal trial to immediately hire a new lawyer and start a years-long civil lawsuit just to get their stolen money back or medical bills paid, the criminal judge can order restitution on the spot. [Source: Section 395, BNSS 2023]</t>
  </si>
  <si>
    <t xml:space="preserve">CASE_4519</t>
  </si>
  <si>
    <t xml:space="preserve">Victim compensation scheme</t>
  </si>
  <si>
    <t xml:space="preserve">The State Government has a special "Victim Compensation Scheme" fund. The Legal Services Authority can award money from this government fund to the victim to help them recover, even if the criminal is acquitted or never identified. [Source: Section 396, BNSS 2023]</t>
  </si>
  <si>
    <t xml:space="preserve">Hugging Face source record: BNSS_396</t>
  </si>
  <si>
    <t xml:space="preserve">CASE_4520</t>
  </si>
  <si>
    <t xml:space="preserve">Section 396 of BNSS 2023 establishes the "Victim compensation scheme," mandating State Governments to create funds to compensate victims. The Legal Services Authority determines the quantum based on court recommendations or direct applications (even if the offender is untraced or acquitted). [Source: Section 396, BNSS 2023]</t>
  </si>
  <si>
    <t xml:space="preserve">CASE_4521</t>
  </si>
  <si>
    <t xml:space="preserve">Yes. Under sub-section (4), "Where the offender is not traced or identified, but the victim is identified, and where no trial takes place, the victim or his dependents may make an application to the State or the District Legal Services Authority for award of compensation." [Source: Section 396, BNSS 2023]</t>
  </si>
  <si>
    <t xml:space="preserve">CASE_4522</t>
  </si>
  <si>
    <t xml:space="preserve">"within two months." (sub-section 5). [Source: Section 396, BNSS 2023]</t>
  </si>
  <si>
    <t xml:space="preserve">CASE_4523</t>
  </si>
  <si>
    <t xml:space="preserve">Yes, under sub-section (3), if the trial Court "is satisfied, that the compensation awarded under section 395 is not adequate for such rehabilitation... it may make recommendation for compensation." [Source: Section 396, BNSS 2023]</t>
  </si>
  <si>
    <t xml:space="preserve">CASE_4524</t>
  </si>
  <si>
    <t xml:space="preserve">The consequence is shifting the burden of victim care to the state; it recognizes that the state failed in its fundamental duty to protect the citizen from crime. Therefore, regardless of whether the specific criminal is caught or has money, the state takes financial responsibility for the victim's physical and psychological rehabilitation. [Source: Section 396, BNSS 2023]</t>
  </si>
  <si>
    <t xml:space="preserve">CASE_4525</t>
  </si>
  <si>
    <t xml:space="preserve">Treatment of victims</t>
  </si>
  <si>
    <t xml:space="preserve">Absolutely not. All hospitals (public or private) are legally mandated to immediately provide free first-aid and medical treatment to victims of specified violent crimes against women and children, and they must inform the police right away. [Source: Section 397, BNSS 2023]</t>
  </si>
  <si>
    <t xml:space="preserve">Hugging Face source record: BNSS_397</t>
  </si>
  <si>
    <t xml:space="preserve">CASE_4526</t>
  </si>
  <si>
    <t xml:space="preserve">Section 397 of BNSS 2023 dictates the "Treatment of victims," requiring all hospitals (public and private) to immediately provide free first-aid or medical treatment to victims of specified serious offences (primarily sexual offences and acid attacks under BNS and POCSO) and to inform the police. [Source: Section 397, BNSS 2023]</t>
  </si>
  <si>
    <t xml:space="preserve">CASE_4527</t>
  </si>
  <si>
    <t xml:space="preserve">Yes. Section 397 explicitly states "All hospitals, public or private... shall immediately, provide the first-aid or medical treatment, free of cost, to the victims of any offence covered under... section 124 of the Bharatiya Nyaya Sanhita". Acid attack (BNS 124) is covered. Refusal is a crime. [Source: Section 397, BNSS 2023]</t>
  </si>
  <si>
    <t xml:space="preserve">CASE_4528</t>
  </si>
  <si>
    <t xml:space="preserve">"the Protection of Children from Sexual Offences Act, 2012 (32 of 2012)". [Source: Section 397, BNSS 2023]</t>
  </si>
  <si>
    <t xml:space="preserve">CASE_4529</t>
  </si>
  <si>
    <t xml:space="preserve">No, the section strictly mandates that they "shall immediately inform the police of such incident." [Source: Section 397, BNSS 2023]</t>
  </si>
  <si>
    <t xml:space="preserve">CASE_4530</t>
  </si>
  <si>
    <t xml:space="preserve">The consequence is prioritizing human life over medical bureaucracy and profit; it eliminates the cruel "golden hour" delays where victims of horrific violence bleed out or suffer permanent damage while hospitals argue over police paperwork (FIRs) or demand cash deposits before initiating life-saving care. [Source: Section 397, BNSS 2023]</t>
  </si>
  <si>
    <t xml:space="preserve">CASE_4531</t>
  </si>
  <si>
    <t xml:space="preserve">Witness protection scheme</t>
  </si>
  <si>
    <t xml:space="preserve">Yes. The law explicitly requires every State Government to prepare and notify a formal Witness Protection Scheme to ensure the safety of people testifying in criminal cases. [Source: Section 398, BNSS 2023]</t>
  </si>
  <si>
    <t xml:space="preserve">Hugging Face source record: BNSS_398</t>
  </si>
  <si>
    <t xml:space="preserve">CASE_4532</t>
  </si>
  <si>
    <t xml:space="preserve">Section 398 of BNSS 2023 mandates a "Witness protection scheme," legally requiring every State Government to prepare and notify a scheme to ensure the protection of witnesses in criminal trials. [Source: Section 398, BNSS 2023]</t>
  </si>
  <si>
    <t xml:space="preserve">CASE_4533</t>
  </si>
  <si>
    <t xml:space="preserve">No. Under Section 398, "Every State Government shall prepare and notify a Witness Protection Scheme". It is a mandatory statutory duty, not an optional policy. [Source: Section 398, BNSS 2023]</t>
  </si>
  <si>
    <t xml:space="preserve">CASE_4534</t>
  </si>
  <si>
    <t xml:space="preserve">"with a view to ensure protection of the witnesses." [Source: Section 398, BNSS 2023]</t>
  </si>
  <si>
    <t xml:space="preserve">CASE_4535</t>
  </si>
  <si>
    <t xml:space="preserve">No, it is a brief enabling provision. It forces the State Government to "prepare and notify" a scheme, leaving the actual logistical and operational rules to the state's executive rule-making power. [Source: Section 398, BNSS 2023]</t>
  </si>
  <si>
    <t xml:space="preserve">CASE_4536</t>
  </si>
  <si>
    <t xml:space="preserve">The consequence is combating the plague of "hostile witnesses"; organized crime and powerful politicians routinely derail trials by intimidating witnesses into changing their stories. Mandating formal protection schemes helps secure the integrity of the trial process by shielding truth-tellers from violent reprisal. [Source: Section 398, BNSS 2023]</t>
  </si>
  <si>
    <t xml:space="preserve">CASE_4537</t>
  </si>
  <si>
    <t xml:space="preserve">Compensation to persons groundlessly arrested</t>
  </si>
  <si>
    <t xml:space="preserve">Yes. If a Magistrate finds there was no sufficient ground for the arrest, they can order the person who caused the false arrest to pay you up to 1000 rupees for your loss of time and expenses. [Source: Section 399, BNSS 2023]</t>
  </si>
  <si>
    <t xml:space="preserve">Hugging Face source record: BNSS_399</t>
  </si>
  <si>
    <t xml:space="preserve">CASE_4538</t>
  </si>
  <si>
    <t xml:space="preserve">Section 399 of BNSS 2023 covers "Compensation to persons groundlessly arrested," allowing a Magistrate to award up to 1000 rupees in compensation (payable by the person who baselessly caused the arrest) to a victim for loss of time and expenses, enforceable as a fine or via imprisonment. [Source: Section 399, BNSS 2023]</t>
  </si>
  <si>
    <t xml:space="preserve">CASE_4539</t>
  </si>
  <si>
    <t xml:space="preserve">Yes. Under sub-section (3), "if it cannot be so recovered, the person by whom it is payable shall be sentenced to simple imprisonment for such term not exceeding thirty days as the Magistrate directs". [Source: Section 399, BNSS 2023]</t>
  </si>
  <si>
    <t xml:space="preserve">CASE_4540</t>
  </si>
  <si>
    <t xml:space="preserve">"not exceeding one thousand rupees" (per person, as per sub-section 2). [Source: Section 399, BNSS 2023]</t>
  </si>
  <si>
    <t xml:space="preserve">CASE_4541</t>
  </si>
  <si>
    <t xml:space="preserve">No. The section specifies the compensation is "to be paid by the person *so causing* the arrest". It is aimed at malicious complainants/informants who misuse the police, not the police themselves (unless the police acted entirely on their own malice). [Source: Section 399, BNSS 2023]</t>
  </si>
  <si>
    <t xml:space="preserve">CASE_4542</t>
  </si>
  <si>
    <t xml:space="preserve">The consequence is providing a swift, low-level deterrent against frivolous or vindictive police complaints; it offers immediate, tangible redress for the humiliation of a false arrest without forcing the victim to launch a massive civil defamation lawsuit. [Source: Section 399, BNSS 2023]</t>
  </si>
  <si>
    <t xml:space="preserve">CASE_4543</t>
  </si>
  <si>
    <t xml:space="preserve">Order to pay costs in non-cognizable cases</t>
  </si>
  <si>
    <t xml:space="preserve">Yes. If the court convicts the accused in a non-cognizable case, it can order the convicted person to pay the complainant's prosecution costs, including witness fees and advocate's fees. [Source: Section 400, BNSS 2023]</t>
  </si>
  <si>
    <t xml:space="preserve">Hugging Face source record: BNSS_400</t>
  </si>
  <si>
    <t xml:space="preserve">CASE_4544</t>
  </si>
  <si>
    <t xml:space="preserve">Section 400 of BNSS 2023 allows an "Order to pay costs in non-cognizable cases," permitting the Court, upon convicting an accused in a privately filed non-cognizable case, to order the accused to reimburse the complainant for prosecution expenses (including advocate fees), with default resulting in imprisonment. [Source: Section 400, BNSS 2023]</t>
  </si>
  <si>
    <t xml:space="preserve">CASE_4545</t>
  </si>
  <si>
    <t xml:space="preserve">Yes. Under sub-section (1), the Court "may further order that in default of payment, the accused shall suffer simple imprisonment for a period not exceeding thirty days". [Source: Section 400, BNSS 2023]</t>
  </si>
  <si>
    <t xml:space="preserve">CASE_4546</t>
  </si>
  <si>
    <t xml:space="preserve">"any expenses incurred in respect of process-fees, witnesses and advocate's fees". [Source: Section 400, BNSS 2023]</t>
  </si>
  <si>
    <t xml:space="preserve">CASE_4547</t>
  </si>
  <si>
    <t xml:space="preserve">No, the section explicitly begins: "Whenever any complaint of a *non-cognizable* offence is made to a Court". [Source: Section 400, BNSS 2023]</t>
  </si>
  <si>
    <t xml:space="preserve">CASE_4548</t>
  </si>
  <si>
    <t xml:space="preserve">The consequence is making minor justice accessible; in non-cognizable cases, the State doesn't provide a free prosecutor. If victims couldn't recover their legal fees upon winning, they would never bother filing complaints for minor offenses because the lawyer would cost more than the dispute itself. [Source: Section 400, BNSS 2023]</t>
  </si>
  <si>
    <t xml:space="preserve">CASE_4549</t>
  </si>
  <si>
    <t xml:space="preserve">Order to release on probation of good conduct or after admonition</t>
  </si>
  <si>
    <t xml:space="preserve">For minor crimes (and for youth/women in slightly more serious crimes), if it's their first offense, the judge can release them on "probation of good conduct." They sign a bond promising to behave for up to 3 years. For extremely trivial crimes, the judge can release them with just a stern warning (admonition). [Source: Section 401, BNSS 2023]</t>
  </si>
  <si>
    <t xml:space="preserve">Hugging Face source record: BNSS_401</t>
  </si>
  <si>
    <t xml:space="preserve">CASE_4550</t>
  </si>
  <si>
    <t xml:space="preserve">Section 401 of BNSS 2023 governs the "Order to release on probation of good conduct or after admonition," allowing courts to release first-time adult offenders (crimes up to 7 years), and youth/women (crimes not punishable by death/life), on behavioral bonds instead of prison, or with an admonition for trivial theft/cheating offenses. [Source: Section 401, BNSS 2023]</t>
  </si>
  <si>
    <t xml:space="preserve">CASE_4551</t>
  </si>
  <si>
    <t xml:space="preserve">No. Under sub-section (1), for a "person not under twenty-one years of age" (an adult male), probation is only available if convicted of an offence "punishable with fine only or with imprisonment for a term of *seven years or less*". Since his crime carries 10 years, he is ineligible. [Source: Section 401, BNSS 2023]</t>
  </si>
  <si>
    <t xml:space="preserve">CASE_4552</t>
  </si>
  <si>
    <t xml:space="preserve">The court may "release him after due admonition" (a formal reprimand/warning). [Source: Section 401, BNSS 2023]</t>
  </si>
  <si>
    <t xml:space="preserve">CASE_4553</t>
  </si>
  <si>
    <t xml:space="preserve">Yes. Under sub-section (1), "any person under twenty-one years of age or any woman" is eligible as long as they are "convicted of an offence *not punishable with death or imprisonment for life*". Since 14 years is less than life, the youth is eligible. [Source: Section 401, BNSS 2023]</t>
  </si>
  <si>
    <t xml:space="preserve">CASE_4554</t>
  </si>
  <si>
    <t xml:space="preserve">The consequence is breaking the cycle of criminality; sending a young, first-time offender to a harsh prison for a minor mistake often turns them into a hardened, lifelong criminal due to prison influence. Probation allows the state to hold a threat of prison over their head (the bond) while allowing them to remain productive members of society. [Source: Section 401, BNSS 2023]</t>
  </si>
  <si>
    <t xml:space="preserve">CASE_4555</t>
  </si>
  <si>
    <t xml:space="preserve">Special reasons to be recorded in certain cases</t>
  </si>
  <si>
    <t xml:space="preserve">Yes. If a judge refuses to use the available probation laws or juvenile laws to help a young/first-time offender and sends them to jail instead, the judge must explicitly write down the "special reasons" for choosing harsh punishment over rehabilitation. [Source: Section 402, BNSS 2023]</t>
  </si>
  <si>
    <t xml:space="preserve">Hugging Face source record: BNSS_402</t>
  </si>
  <si>
    <t xml:space="preserve">CASE_4556</t>
  </si>
  <si>
    <t xml:space="preserve">Section 402 of BNSS 2023 requires "Special reasons to be recorded in certain cases," dictating that if a Court could have dealt with an offender under Section 401 (probation), the Probation of Offenders Act, or the Juvenile Justice Act, but chooses not to, it must explicitly record its special reasons for denying that rehabilitative treatment. [Source: Section 402, BNSS 2023]</t>
  </si>
  <si>
    <t xml:space="preserve">CASE_4557</t>
  </si>
  <si>
    <t xml:space="preserve">Yes. Because the Magistrate *could* have dealt with him under Section 401 but didn't, Section 402 strictly mandates that the court "shall record in its judgment the special reasons for not having done so." Failing to record reasons makes the judgment legally vulnerable. [Source: Section 402, BNSS 2023]</t>
  </si>
  <si>
    <t xml:space="preserve">CASE_4558</t>
  </si>
  <si>
    <t xml:space="preserve">"the Juvenile Justice (Care and Protection of Children) Act, 2015". [Source: Section 402, BNSS 2023]</t>
  </si>
  <si>
    <t xml:space="preserve">CASE_4559</t>
  </si>
  <si>
    <t xml:space="preserve">No. Section 402 only applies "Where in any case the Court *could have* dealt with" the person under probation/juvenile laws. A 40-year-old repeat offender is legally ineligible for Section 401 probation, so the judge doesn't need to justify not using it. [Source: Section 402, BNSS 2023]</t>
  </si>
  <si>
    <t xml:space="preserve">CASE_4560</t>
  </si>
  <si>
    <t xml:space="preserve">The consequence is creating a strong judicial presumption in favor of rehabilitation; it forces judges to pause and think before ruining a young life with a prison sentence. It makes probation the default expectation for eligible offenders, requiring the judge to logically justify why this specific individual is too dangerous to be given a second chance. [Source: Section 402, BNSS 2023]</t>
  </si>
  <si>
    <t xml:space="preserve">CASE_4561</t>
  </si>
  <si>
    <t xml:space="preserve">Court not to alter judgment</t>
  </si>
  <si>
    <t xml:space="preserve">Absolutely not. Once a criminal judgment is signed, the judge loses all power to alter or review it. They can only fix minor clerical typos or math errors. [Source: Section 403, BNSS 2023]</t>
  </si>
  <si>
    <t xml:space="preserve">Hugging Face source record: BNSS_403</t>
  </si>
  <si>
    <t xml:space="preserve">CASE_4562</t>
  </si>
  <si>
    <t xml:space="preserve">Section 403 of BNSS 2023 establishes the rule of "Court not to alter judgment," explicitly forbidding any Court from altering or reviewing its own judgment or final order once signed, except to correct minor clerical or arithmetical mistakes. [Source: Section 403, BNSS 2023]</t>
  </si>
  <si>
    <t xml:space="preserve">CASE_4563</t>
  </si>
  <si>
    <t xml:space="preserve">No. Under Section 403, "no Court, when it has signed its judgment... shall alter or review the same except to correct a clerical or arithmetical error." The Magistrate is powerless; the man must appeal to a higher court to fix the legal error. [Source: Section 403, BNSS 2023]</t>
  </si>
  <si>
    <t xml:space="preserve">CASE_4564</t>
  </si>
  <si>
    <t xml:space="preserve">"a clerical or arithmetical error." [Source: Section 403, BNSS 2023]</t>
  </si>
  <si>
    <t xml:space="preserve">CASE_4565</t>
  </si>
  <si>
    <t xml:space="preserve">Only if explicitly allowed elsewhere in the law. The section begins with the caveat: "Save as otherwise provided by this Sanhita or by any other law for the time being in force". [Source: Section 403, BNSS 2023]</t>
  </si>
  <si>
    <t xml:space="preserve">CASE_4566</t>
  </si>
  <si>
    <t xml:space="preserve">The consequence is the legal doctrine of "functus officio" (having performed his office); it ensures absolute certainty and finality in criminal trials. If judges could constantly change their minds, lawyers would harass them endlessly in their chambers to rewrite verdicts, leading to immense corruption and a total lack of closure for both victims and defendants. [Source: Section 403, BNSS 2023]</t>
  </si>
  <si>
    <t xml:space="preserve">CASE_4567</t>
  </si>
  <si>
    <t xml:space="preserve">Copy of judgment to be given to accused and other persons</t>
  </si>
  <si>
    <t xml:space="preserve">If the person is sentenced to prison, they must immediately be given a free copy of the judgment. Anyone else can apply to get a copy by paying a standard fee. If it's a death sentence, they get a free copy immediately whether they ask for it or not. [Source: Section 404, BNSS 2023]</t>
  </si>
  <si>
    <t xml:space="preserve">Hugging Face source record: BNSS_404</t>
  </si>
  <si>
    <t xml:space="preserve">CASE_4568</t>
  </si>
  <si>
    <t xml:space="preserve">Section 404 of BNSS 2023 mandates "Copy of judgment to be given to accused and other persons," requiring free, immediate copies for imprisoned or death-sentenced convicts, providing translated/certified copies for appealable cases, and allowing affected parties or the government to obtain copies upon application. [Source: Section 404, BNSS 2023]</t>
  </si>
  <si>
    <t xml:space="preserve">CASE_4569</t>
  </si>
  <si>
    <t xml:space="preserve">No. Under sub-section (1), when the accused is sentenced to imprisonment, a copy "shall, immediately after the pronouncement of the judgment, be given to him free of cost." Delaying it and charging a fee are both illegal. [Source: Section 404, BNSS 2023]</t>
  </si>
  <si>
    <t xml:space="preserve">CASE_4570</t>
  </si>
  <si>
    <t xml:space="preserve">The Court "shall inform him of the period within which, if he wishes to appeal, his appeal should be preferred." [Source: Section 404, BNSS 2023]</t>
  </si>
  <si>
    <t xml:space="preserve">CASE_4571</t>
  </si>
  <si>
    <t xml:space="preserve">Not automatically under this section. Sub-section (5) grants copies to "any person affected by a judgment". However, sub-section (6) allows the High Court to make rules to grant copies to "any person who is not affected... subject to such conditions, as the High Court may... provide." [Source: Section 404, BNSS 2023]</t>
  </si>
  <si>
    <t xml:space="preserve">CASE_4572</t>
  </si>
  <si>
    <t xml:space="preserve">The consequence is safeguarding the fundamental right to appeal; an imprisoned person cannot draft a legal appeal without seeing the exact reasons the judge used to convict them. Charging them money or delaying the document could cause them to miss their strict statutory deadline to file an appeal, unjustly trapping them in prison. [Source: Section 404, BNSS 2023]</t>
  </si>
  <si>
    <t xml:space="preserve">CASE_4573</t>
  </si>
  <si>
    <t xml:space="preserve">Judgment when to be translated</t>
  </si>
  <si>
    <t xml:space="preserve">The original English judgment is kept in the file, but if either party asks for it, a translated version in the court's official language (Hindi) must be added to the official record. [Source: Section 405, BNSS 2023]</t>
  </si>
  <si>
    <t xml:space="preserve">Hugging Face source record: BNSS_405</t>
  </si>
  <si>
    <t xml:space="preserve">CASE_4574</t>
  </si>
  <si>
    <t xml:space="preserve">Section 405 of BNSS 2023 dictates "Judgment when to be translated," requiring that if an original judgment is recorded in a language other than the Court's language, a translation into the Court's language must be added to the record if either party requires it. [Source: Section 405, BNSS 2023]</t>
  </si>
  <si>
    <t xml:space="preserve">CASE_4575</t>
  </si>
  <si>
    <t xml:space="preserve">Yes. Under section 405, "if either party so requires, a translation thereof into the language of the Court shall be added to such record." Since Marathi is the language of the court and the party required it, the translation must be provided. [Source: Section 405, BNSS 2023]</t>
  </si>
  <si>
    <t xml:space="preserve">CASE_4576</t>
  </si>
  <si>
    <t xml:space="preserve">"The original judgment shall be filed with the record of the proceedings". It is not discarded. [Source: Section 405, BNSS 2023]</t>
  </si>
  <si>
    <t xml:space="preserve">CASE_4577</t>
  </si>
  <si>
    <t xml:space="preserve">No, the translation requirement is triggered "if either party so requires". It is not automatically mandatory without a request. [Source: Section 405, BNSS 2023]</t>
  </si>
  <si>
    <t xml:space="preserve">CASE_4578</t>
  </si>
  <si>
    <t xml:space="preserve">The consequence is ensuring linguistic accessibility while allowing judicial efficiency; many Indian judges are educated and draft complex legal reasoning in English. This section allows them to write in their comfortable language, but strictly protects the right of the local litigants to understand their own fate in the local official language if they ask. [Source: Section 405, BNSS 2023]</t>
  </si>
  <si>
    <t xml:space="preserve">CASE_4579</t>
  </si>
  <si>
    <t xml:space="preserve">Court of Session to send copy of finding and sentence to District Magistrate</t>
  </si>
  <si>
    <t xml:space="preserve">The trial judge must send a copy of the final verdict and sentence to the District Magistrate (the chief executive officer) of the district where the trial took place. [Source: Section 406, BNSS 2023]</t>
  </si>
  <si>
    <t xml:space="preserve">Hugging Face source record: BNSS_406</t>
  </si>
  <si>
    <t xml:space="preserve">CASE_4580</t>
  </si>
  <si>
    <t xml:space="preserve">Section 406 of BNSS 2023 requires the "Court of Session to send copy of finding and sentence to District Magistrate," mandating that a Court of Session or Chief Judicial Magistrate forward a copy of their trial results to the District Magistrate of that local jurisdiction. [Source: Section 406, BNSS 2023]</t>
  </si>
  <si>
    <t xml:space="preserve">CASE_4581</t>
  </si>
  <si>
    <t xml:space="preserve">Yes. Section 406 explicitly states the Court of Session "shall forward a copy of its... finding and sentence (if any) to the District Magistrate". Even an acquittal (a finding with no sentence) must be forwarded. [Source: Section 406, BNSS 2023]</t>
  </si>
  <si>
    <t xml:space="preserve">CASE_4582</t>
  </si>
  <si>
    <t xml:space="preserve">"the Court of Session or a Chief Judicial Magistrate". [Source: Section 406, BNSS 2023]</t>
  </si>
  <si>
    <t xml:space="preserve">CASE_4583</t>
  </si>
  <si>
    <t xml:space="preserve">No, this section only applies "In cases tried by the Court of Session or a Chief Judicial Magistrate". [Source: Section 406, BNSS 2023]</t>
  </si>
  <si>
    <t xml:space="preserve">CASE_4584</t>
  </si>
  <si>
    <t xml:space="preserve">The consequence is executive awareness; the District Magistrate is responsible for the overall law and order of the district. If a serial killer is sentenced to death, or a dangerous gang is suddenly acquitted, the DM needs to know immediately to manage jail logistics, prevent riots, or prepare for police appeals. [Source: Section 406, BNSS 2023]</t>
  </si>
  <si>
    <t xml:space="preserve">CASE_4585</t>
  </si>
  <si>
    <t xml:space="preserve">Sentence of death to be submitted by Court of Session for confirmation</t>
  </si>
  <si>
    <t xml:space="preserve">Absolutely not. A death sentence passed by a Sessions Court cannot be executed until it is sent to the state's High Court and the High Court explicitly reviews and confirms the death penalty. [Source: Section 407, BNSS 2023]</t>
  </si>
  <si>
    <t xml:space="preserve">Hugging Face source record: BNSS_407</t>
  </si>
  <si>
    <t xml:space="preserve">CASE_4586</t>
  </si>
  <si>
    <t xml:space="preserve">Section 407 of BNSS 2023 governs the "Sentence of death to be submitted by Court of Session for confirmation," mandating that all death sentences passed by a Court of Session must be submitted forthwith to the High Court, and execution is strictly barred until High Court confirmation. [Source: Section 407, BNSS 2023]</t>
  </si>
  <si>
    <t xml:space="preserve">CASE_4587</t>
  </si>
  <si>
    <t xml:space="preserve">No. Under Section 407(1), "the sentence shall not be executed unless it is confirmed by the High Court." The Sessions Judge has no legal power to order an immediate execution bypassing the High Court. [Source: Section 407, BNSS 2023]</t>
  </si>
  <si>
    <t xml:space="preserve">CASE_4588</t>
  </si>
  <si>
    <t xml:space="preserve">The Court "shall commit the convicted person to jail custody under a warrant." [Source: Section 407, BNSS 2023]</t>
  </si>
  <si>
    <t xml:space="preserve">CASE_4589</t>
  </si>
  <si>
    <t xml:space="preserve">Yes. The section says "the proceedings shall forthwith be submitted... and the sentence shall not be executed unless it is confirmed". This is an automatic, mandatory statutory submission, independent of whether the convict actually files an appeal. [Source: Section 407, BNSS 2023]</t>
  </si>
  <si>
    <t xml:space="preserve">CASE_4590</t>
  </si>
  <si>
    <t xml:space="preserve">The consequence is the ultimate fail-safe against judicial error; death is irreversible. This section ensures that no single trial judge, no matter how senior, has the absolute power to end a human life without a mandatory, automatic review by the highest constitutional court in the state. [Source: Section 407, BNSS 2023]</t>
  </si>
  <si>
    <t xml:space="preserve">CASE_4591</t>
  </si>
  <si>
    <t xml:space="preserve">Power to direct further inquiry to be made or additional evidence to be taken</t>
  </si>
  <si>
    <t xml:space="preserve">Yes. If the High Court feels something was missed, they can order a further inquiry or demand new evidence be taken before they make their final decision on the death penalty. [Source: Section 408, BNSS 2023]</t>
  </si>
  <si>
    <t xml:space="preserve">Hugging Face source record: BNSS_408</t>
  </si>
  <si>
    <t xml:space="preserve">CASE_4592</t>
  </si>
  <si>
    <t xml:space="preserve">Section 408 of BNSS 2023 outlines the "Power to direct further inquiry to be made or additional evidence to be taken," allowing the High Court, while reviewing a death sentence, to conduct or order a further inquiry or take additional evidence regarding the convict's guilt or innocence. [Source: Section 408, BNSS 2023]</t>
  </si>
  <si>
    <t xml:space="preserve">CASE_4593</t>
  </si>
  <si>
    <t xml:space="preserve">Yes. Under Section 408(1), if the High Court thinks "additional evidence taken upon, any point bearing upon the guilt or innocence of the convicted person, it may make such inquiry or take such evidence itself, or direct it to be made or taken by the Court of Session." [Source: Section 408, BNSS 2023]</t>
  </si>
  <si>
    <t xml:space="preserve">CASE_4594</t>
  </si>
  <si>
    <t xml:space="preserve">No, not necessarily. Sub-section (2) states: "Unless the High Court otherwise directs, the presence of the convicted person may be dispensed with when such inquiry is made or such evidence is taken." [Source: Section 408, BNSS 2023]</t>
  </si>
  <si>
    <t xml:space="preserve">CASE_4595</t>
  </si>
  <si>
    <t xml:space="preserve">No. The section limits the inquiry/evidence to "any point bearing upon the guilt or innocence of the convicted person" (meaning, regarding the specific crime for which they were sentenced to death). [Source: Section 408, BNSS 2023]</t>
  </si>
  <si>
    <t xml:space="preserve">CASE_4596</t>
  </si>
  <si>
    <t xml:space="preserve">The consequence is prioritizing absolute truth over procedural finality in capital cases; in normal appeals, new evidence is rarely allowed. But because a life is at stake, the High Court is given broad inquisitorial powers to actively hunt for any missing piece of truth before confirming the execution. [Source: Section 408, BNSS 2023]</t>
  </si>
  <si>
    <t xml:space="preserve">CASE_4597</t>
  </si>
  <si>
    <t xml:space="preserve">Power of High Court to confirm sentence or annul conviction</t>
  </si>
  <si>
    <t xml:space="preserve">The High Court can confirm the death sentence, change it to life in prison, completely acquit the person and set them free, or cancel the trial and order the whole thing to start over. [Source: Section 409, BNSS 2023]</t>
  </si>
  <si>
    <t xml:space="preserve">Hugging Face source record: BNSS_409</t>
  </si>
  <si>
    <t xml:space="preserve">CASE_4598</t>
  </si>
  <si>
    <t xml:space="preserve">Section 409 of BNSS 2023 dictates the "Power of High Court to confirm sentence or annul conviction," granting the Court the authority to confirm the death sentence, pass a different sentence, annul the conviction and convict for a different offense, order a new trial, or acquit the accused entirely. [Source: Section 409, BNSS 2023]</t>
  </si>
  <si>
    <t xml:space="preserve">CASE_4599</t>
  </si>
  <si>
    <t xml:space="preserve">The High Court can let him go directly. Under Section 409(c), the High Court "may acquit the accused person" itself during the confirmation proceedings. [Source: Section 409, BNSS 2023]</t>
  </si>
  <si>
    <t xml:space="preserve">CASE_4600</t>
  </si>
  <si>
    <t xml:space="preserve">"no order of confirmation shall be made... until the period allowed for preferring an appeal has expired, or, if an appeal is presented within such period, until such appeal is disposed of." [Source: Section 409, BNSS 2023]</t>
  </si>
  <si>
    <t xml:space="preserve">CASE_4601</t>
  </si>
  <si>
    <t xml:space="preserve">Yes, under clause (b), the High Court may "annul the conviction, and convict the accused of any offence of which the Court of Session might have convicted him". [Source: Section 409, BNSS 2023]</t>
  </si>
  <si>
    <t xml:space="preserve">CASE_4602</t>
  </si>
  <si>
    <t xml:space="preserve">The consequence is preventing conflicting judgments; a convict on death row will simultaneously have their case sent for automatic confirmation AND will likely file their own personal appeal. The proviso forces the High Court to wait and hear the convict's appeal arguments before it makes its final decision on confirming the death sentence, ensuring a unified, comprehensive review. [Source: Section 409, BNSS 2023]</t>
  </si>
  <si>
    <t xml:space="preserve">CASE_4603</t>
  </si>
  <si>
    <t xml:space="preserve">Confirmation or new sentence to be signed by two Judges</t>
  </si>
  <si>
    <t xml:space="preserve">If the High Court bench hearing the case has two or more judges, at least two judges must sign the confirmation order for it to be valid. One judge alone cannot confirm a death sentence on a multi-judge bench. [Source: Section 410, BNSS 2023]</t>
  </si>
  <si>
    <t xml:space="preserve">Hugging Face source record: BNSS_410</t>
  </si>
  <si>
    <t xml:space="preserve">CASE_4604</t>
  </si>
  <si>
    <t xml:space="preserve">Section 410 of BNSS 2023 specifies "Confirmation or new sentence to be signed by two Judges," requiring that in a High Court consisting of two or more Judges, the confirmation of a death sentence or any new sentence must be made, passed, and signed by at least two Judges. [Source: Section 410, BNSS 2023]</t>
  </si>
  <si>
    <t xml:space="preserve">CASE_4605</t>
  </si>
  <si>
    <t xml:space="preserve">No. Under Section 410, "the confirmation of the sentence... shall, when such Court consists of two or more Judges, be made, passed and signed by at least two of them." A single signature on a multi-judge bench is invalid. [Source: Section 410, BNSS 2023]</t>
  </si>
  <si>
    <t xml:space="preserve">CASE_4606</t>
  </si>
  <si>
    <t xml:space="preserve">It applies to both. The section explicitly states: "the confirmation of the sentence, or any new sentence or order passed by the High Court... shall... be signed by at least two". [Source: Section 410, BNSS 2023]</t>
  </si>
  <si>
    <t xml:space="preserve">CASE_4607</t>
  </si>
  <si>
    <t xml:space="preserve">The section anticipates this by saying "when such Court consists of two or more Judges". If a court literally only has one judge, this specific rule wouldn't block them, but modern Indian High Courts all have multiple judges. [Source: Section 410, BNSS 2023]</t>
  </si>
  <si>
    <t xml:space="preserve">CASE_4608</t>
  </si>
  <si>
    <t xml:space="preserve">The consequence is enforcing judicial consensus on matters of life and death; the law refuses to let a single appellate judge's opinion dictate an execution. By requiring at least two judges to agree and sign their names to the death warrant, it ensures a collaborative, deeply scrutinized decision-making process. [Source: Section 410, BNSS 2023]</t>
  </si>
  <si>
    <t xml:space="preserve">CASE_4609</t>
  </si>
  <si>
    <t xml:space="preserve">Procedure in case of difference of opinion</t>
  </si>
  <si>
    <t xml:space="preserve">It results in a tie. The case must then be referred to a third judge to break the tie, following the rules laid out in another section (Section 433). [Source: Section 411, BNSS 2023]</t>
  </si>
  <si>
    <t xml:space="preserve">Hugging Face source record: BNSS_411</t>
  </si>
  <si>
    <t xml:space="preserve">CASE_4610</t>
  </si>
  <si>
    <t xml:space="preserve">Section 411 of BNSS 2023 provides the "Procedure in case of difference of opinion," stating that if a Bench of Judges is equally divided regarding a death sentence confirmation, the deadlock shall be resolved in the manner provided by Section 433 (which involves reference to a third judge). [Source: Section 411, BNSS 2023]</t>
  </si>
  <si>
    <t xml:space="preserve">CASE_4611</t>
  </si>
  <si>
    <t xml:space="preserve">No. Section 411 dictates that "Where... such Judges are equally divided in opinion, the case shall be decided in the manner provided by section 433" (which means a third judge will be brought in to break the tie). The harsher sentence does not win automatically. [Source: Section 411, BNSS 2023]</t>
  </si>
  <si>
    <t xml:space="preserve">CASE_4612</t>
  </si>
  <si>
    <t xml:space="preserve">"section 433". [Source: Section 411, BNSS 2023]</t>
  </si>
  <si>
    <t xml:space="preserve">CASE_4613</t>
  </si>
  <si>
    <t xml:space="preserve">Not under this section. The mandate is clear: "the case shall be decided in the manner provided by section 433." [Source: Section 411, BNSS 2023]</t>
  </si>
  <si>
    <t xml:space="preserve">CASE_4614</t>
  </si>
  <si>
    <t xml:space="preserve">The consequence is preventing arbitrary executions based on bench composition; if a tie just resulted in the lower court's death sentence standing, a man could be executed simply because he drew a two-judge bench that couldn't agree. Bringing in a third tie-breaking judge ensures a true majority consensus is reached before the state takes a life. [Source: Section 411, BNSS 2023]</t>
  </si>
  <si>
    <t xml:space="preserve">CASE_4615</t>
  </si>
  <si>
    <t xml:space="preserve">Procedure in cases submitted to High Court for confirmation</t>
  </si>
  <si>
    <t xml:space="preserve">An officer of the High Court must quickly send a sealed, signed copy of the final order (either physically or electronically) back to the local Court of Session that originally handed down the sentence. [Source: Section 412, BNSS 2023]</t>
  </si>
  <si>
    <t xml:space="preserve">Hugging Face source record: BNSS_412</t>
  </si>
  <si>
    <t xml:space="preserve">CASE_4616</t>
  </si>
  <si>
    <t xml:space="preserve">Section 412 of BNSS 2023 dictates the "Procedure in cases submitted to High Court for confirmation," requiring an officer of the High Court to send a sealed and attested copy of the confirmation order (or any other order) back to the originating Court of Session without delay, either physically or electronically. [Source: Section 412, BNSS 2023]</t>
  </si>
  <si>
    <t xml:space="preserve">CASE_4617</t>
  </si>
  <si>
    <t xml:space="preserve">No. Section 412 requires the proper officer to send "a copy of the order, under the seal of the High Court and attested with his official signature". A phone call is not a legally valid transmission of a death warrant confirmation. [Source: Section 412, BNSS 2023]</t>
  </si>
  <si>
    <t xml:space="preserve">CASE_4618</t>
  </si>
  <si>
    <t xml:space="preserve">"through electronic means". [Source: Section 412, BNSS 2023]</t>
  </si>
  <si>
    <t xml:space="preserve">CASE_4619</t>
  </si>
  <si>
    <t xml:space="preserve">No, the section specifies "after the order of confirmation *or other order* has been made". Even if they acquit the person, the order must be sent back. [Source: Section 412, BNSS 2023]</t>
  </si>
  <si>
    <t xml:space="preserve">CASE_4620</t>
  </si>
  <si>
    <t xml:space="preserve">The consequence is bureaucratic certainty; the lower Court of Session (and the prison superintendent who reports to them) holds the physical custody of the death row inmate. They cannot legally move forward with an execution (or release an acquitted person) based on rumors or news reports; they need a sealed, mathematically verifiable order from the High Court to act. [Source: Section 412, BNSS 2023]</t>
  </si>
  <si>
    <t xml:space="preserve">CASE_4621</t>
  </si>
  <si>
    <t xml:space="preserve">No appeal to lie unless otherwise provided</t>
  </si>
  <si>
    <t xml:space="preserve">No. In criminal law, you only have the right to appeal if the law specifically says you do. However, a victim now has a guaranteed right to appeal if the criminal is acquitted, convicted of a lesser crime, or if the compensation ordered is too low. [Source: Section 413, BNSS 2023]</t>
  </si>
  <si>
    <t xml:space="preserve">Hugging Face source record: BNSS_413</t>
  </si>
  <si>
    <t xml:space="preserve">CASE_4622</t>
  </si>
  <si>
    <t xml:space="preserve">Section 413 of BNSS 2023 declares "No appeal to lie unless otherwise provided," establishing that appeals are statutory rights, not inherent rights, while the proviso explicitly grants victims the right to appeal acquittals, lesser convictions, or inadequate compensation. [Source: Section 413, BNSS 2023]</t>
  </si>
  <si>
    <t xml:space="preserve">CASE_4623</t>
  </si>
  <si>
    <t xml:space="preserve">No. Under Section 413, "No appeal shall lie from any judgment or order of a Criminal Court except as provided for by this Sanhita". There is no inherent right to appeal; it must be specifically granted by the code (and minor fines often are not appealable). [Source: Section 413, BNSS 2023]</t>
  </si>
  <si>
    <t xml:space="preserve">CASE_4624</t>
  </si>
  <si>
    <t xml:space="preserve">1) "acquitting the accused", 2) "convicting for a lesser offence", or 3) "imposing inadequate compensation". [Source: Section 413, BNSS 2023]</t>
  </si>
  <si>
    <t xml:space="preserve">CASE_4625</t>
  </si>
  <si>
    <t xml:space="preserve">No, the proviso states "such appeal shall lie to the Court to which an appeal ordinarily lies against the order of conviction of such Court." They follow the normal hierarchical chain of appeals. [Source: Section 413, BNSS 2023]</t>
  </si>
  <si>
    <t xml:space="preserve">CASE_4626</t>
  </si>
  <si>
    <t xml:space="preserve">The consequence is a massive shift in criminal jurisprudence; historically, crimes were considered offenses against the "State," so only the State prosecutor could decide whether to appeal an acquittal. By giving victims a direct statutory right to appeal, the law empowers victims to fight for justice even if the state prosecutor is lazy, corrupt, or apathetic. [Source: Section 413, BNSS 2023]</t>
  </si>
  <si>
    <t xml:space="preserve">CASE_4627</t>
  </si>
  <si>
    <t xml:space="preserve">Appeal from orders requiring security or refusal to accept or rejecting surety for keeping</t>
  </si>
  <si>
    <t xml:space="preserve">Yes. You can appeal orders requiring you to give security, and orders rejecting your sureties, directly to the higher Court of Session. [Source: Section 414, BNSS 2023]</t>
  </si>
  <si>
    <t xml:space="preserve">Hugging Face source record: BNSS_414</t>
  </si>
  <si>
    <t xml:space="preserve">CASE_4628</t>
  </si>
  <si>
    <t xml:space="preserve">Section 414 of BNSS 2023 covers "Appeal from orders requiring security or refusal to accept or rejecting surety for keeping peace or good behavior," granting a person the right to appeal to the Court of Session against an order under section 136 (requiring security) or section 140 (rejecting a surety). [Source: Section 414, BNSS 2023]</t>
  </si>
  <si>
    <t xml:space="preserve">CASE_4629</t>
  </si>
  <si>
    <t xml:space="preserve">Yes. Under Section 414(i), "Any person... who has been ordered under section 136 to give security for keeping the peace... may appeal against such order to the Court of Session." [Source: Section 414, BNSS 2023]</t>
  </si>
  <si>
    <t xml:space="preserve">CASE_4630</t>
  </si>
  <si>
    <t xml:space="preserve">"to the Court of Session". [Source: Section 414, BNSS 2023]</t>
  </si>
  <si>
    <t xml:space="preserve">CASE_4631</t>
  </si>
  <si>
    <t xml:space="preserve">No. The proviso explicitly states: "nothing in this section shall apply to persons the proceedings against whom are laid before a Sessions Judge in accordance with the provisions of... section 141." [Source: Section 414, BNSS 2023]</t>
  </si>
  <si>
    <t xml:space="preserve">CASE_4632</t>
  </si>
  <si>
    <t xml:space="preserve">The consequence is checking executive power; Executive Magistrates often use "keeping the peace" bonds to arbitrarily lock up protestors or political opponents before they even commit a crime. Allowing an appeal to a judicial Court of Session ensures that these pre-crime preventive detentions are subject to strict judicial scrutiny. [Source: Section 414, BNSS 2023]</t>
  </si>
  <si>
    <t xml:space="preserve">CASE_4633</t>
  </si>
  <si>
    <t xml:space="preserve">Appeals from convictions</t>
  </si>
  <si>
    <t xml:space="preserve">If a Magistrate convicts you, you generally appeal to the Court of Session. If a Sessions Judge convicts you and sentences you to more than 7 years in prison, you appeal to the High Court. [Source: Section 415, BNSS 2023]</t>
  </si>
  <si>
    <t xml:space="preserve">Hugging Face source record: BNSS_415</t>
  </si>
  <si>
    <t xml:space="preserve">CASE_4634</t>
  </si>
  <si>
    <t xml:space="preserve">Section 415 of BNSS 2023 outlines "Appeals from convictions," establishing that appeals from a High Court's original jurisdiction go to the Supreme Court; from a Sessions Judge (over 7 years) to the High Court; and from Magistrates (or for certain bonds) to the Court of Session. [Source: Section 415, BNSS 2023]</t>
  </si>
  <si>
    <t xml:space="preserve">CASE_4635</t>
  </si>
  <si>
    <t xml:space="preserve">The High Court. Under sub-section (2), a person may appeal to the High Court if a sentence of more than 7 years has been passed "against him or against any other person convicted at the same trial". Because her co-defendant got 10 years, she also appeals to the High Court. [Source: Section 415, BNSS 2023]</t>
  </si>
  <si>
    <t xml:space="preserve">CASE_4636</t>
  </si>
  <si>
    <t xml:space="preserve">"within a period of six months from the date of filing of such appeal." [Source: Section 415, BNSS 2023]</t>
  </si>
  <si>
    <t xml:space="preserve">CASE_4637</t>
  </si>
  <si>
    <t xml:space="preserve">Yes, under sub-section (3)(c), any person "in respect of whom an order has been made... under section 401 by any Magistrate, may appeal to the Court of Session." [Source: Section 415, BNSS 2023]</t>
  </si>
  <si>
    <t xml:space="preserve">CASE_4638</t>
  </si>
  <si>
    <t xml:space="preserve">The consequence is preventing fragmented appeals and conflicting judgments; if one co-defendant appeals to the Sessions Court and the other to the High Court for the exact same crime, the courts might rule differently based on the same evidence. Forcing all appeals from the same trial to go to the highest required court ensures consistency. [Source: Section 415, BNSS 2023]</t>
  </si>
  <si>
    <t xml:space="preserve">CASE_4639</t>
  </si>
  <si>
    <t xml:space="preserve">No appeal in certain cases when accused pleads guilty</t>
  </si>
  <si>
    <t xml:space="preserve">No. If you voluntarily plead guilty and are convicted, you lose your right to appeal the conviction itself. You can only appeal if you think the punishment given is illegal or far too harsh. [Source: Section 416, BNSS 2023]</t>
  </si>
  <si>
    <t xml:space="preserve">Hugging Face source record: BNSS_416</t>
  </si>
  <si>
    <t xml:space="preserve">CASE_4640</t>
  </si>
  <si>
    <t xml:space="preserve">Section 416 of BNSS 2023 dictates "No appeal in certain cases when accused pleads guilty," stating that there is no appeal from a High Court conviction on a guilty plea, and no appeal from a Sessions/Magistrate conviction on a guilty plea except to challenge the extent or legality of the sentence. [Source: Section 416, BNSS 2023]</t>
  </si>
  <si>
    <t xml:space="preserve">CASE_4641</t>
  </si>
  <si>
    <t xml:space="preserve">Yes. While he cannot appeal his *conviction* (he cannot argue he is innocent), Section 416 allows an appeal from a Magistrate's guilty-plea conviction "except as to the extent or legality of the sentence." He can appeal arguing the extent (3 years) is excessive. [Source: Section 416, BNSS 2023]</t>
  </si>
  <si>
    <t xml:space="preserve">CASE_4642</t>
  </si>
  <si>
    <t xml:space="preserve">No. The exception for sentence legality only applies to the Court of Session or Magistrates (clause ii). For the High Court (clause i), "there shall be no appeal" at all. [Source: Section 416, BNSS 2023]</t>
  </si>
  <si>
    <t xml:space="preserve">CASE_4643</t>
  </si>
  <si>
    <t xml:space="preserve">The section assumes a legally valid guilty plea recorded under proper procedure. If the plea itself was obtained by fraud or coercion, the accused would have to challenge the plea's fundamental legal validity through high court writs or revision, rather than a standard statutory appeal. [Source: Section 416, BNSS 2023]</t>
  </si>
  <si>
    <t xml:space="preserve">CASE_4644</t>
  </si>
  <si>
    <t xml:space="preserve">The consequence is preserving judicial resources; allowing criminals to confess, waste the court's time securing a lighter sentence, and then immediately appeal claiming innocence would mock the justice system. The guilty plea acts as a final waiver of the right to contest the facts. [Source: Section 416, BNSS 2023]</t>
  </si>
  <si>
    <t xml:space="preserve">CASE_4645</t>
  </si>
  <si>
    <t xml:space="preserve">No appeal in petty cases</t>
  </si>
  <si>
    <t xml:space="preserve">No. To prevent the higher courts from being flooded with trivial matters, you are generally not allowed to appeal very minor "petty" sentences, like tiny fines or extremely short jail terms (under 3 months). [Source: Section 417, BNSS 2023]</t>
  </si>
  <si>
    <t xml:space="preserve">Hugging Face source record: BNSS_417</t>
  </si>
  <si>
    <t xml:space="preserve">CASE_4646</t>
  </si>
  <si>
    <t xml:space="preserve">Section 417 of BNSS 2023 mandates "No appeal in petty cases," barring appeals by convicted persons when courts pass very minor sentences (e.g., High Court/Sessions Court sentences under 3 months or minor fines, or Magistrate fines under 100/200 rupees). [Source: Section 417, BNSS 2023]</t>
  </si>
  <si>
    <t xml:space="preserve">CASE_4647</t>
  </si>
  <si>
    <t xml:space="preserve">No. The proviso clearly states a sentence shall not be appealable merely on the ground "that a direction for imprisonment in default of payment of fine is included in the sentence". The core sentence is just the 80-rupee fine, which is under the 100-rupee limit for First Class Magistrates. [Source: Section 417, BNSS 2023]</t>
  </si>
  <si>
    <t xml:space="preserve">CASE_4648</t>
  </si>
  <si>
    <t xml:space="preserve">"fine not exceeding two hundred rupees" (clause b). [Source: Section 417, BNSS 2023]</t>
  </si>
  <si>
    <t xml:space="preserve">CASE_4649</t>
  </si>
  <si>
    <t xml:space="preserve">Yes. The proviso states "an appeal may be brought against any such sentence if any other punishment is combined with it". [Source: Section 417, BNSS 2023]</t>
  </si>
  <si>
    <t xml:space="preserve">CASE_4650</t>
  </si>
  <si>
    <t xml:space="preserve">The consequence is judicial economy; it ensures that the expensive, slow machinery of the appellate courts is reserved for serious miscarriages of justice, preventing wealthy or vindictive defendants from abusing the appeals process to fight over a 100-rupee fine. [Source: Section 417, BNSS 2023]</t>
  </si>
  <si>
    <t xml:space="preserve">CASE_4651</t>
  </si>
  <si>
    <t xml:space="preserve">Appeal by State Government against sentence</t>
  </si>
  <si>
    <t xml:space="preserve">Yes. The State Government (or Central Government for central agencies) can direct the Public Prosecutor to appeal the sentence to a higher court on the specific ground that the punishment was inadequate. [Source: Section 418, BNSS 2023]</t>
  </si>
  <si>
    <t xml:space="preserve">Hugging Face source record: BNSS_418</t>
  </si>
  <si>
    <t xml:space="preserve">CASE_4652</t>
  </si>
  <si>
    <t xml:space="preserve">Section 418 of BNSS 2023 governs "Appeal by State Government against sentence," allowing the State or Central Government to direct the Public Prosecutor to appeal a sentence on the ground of its inadequacy to the Court of Session (if passed by a Magistrate) or the High Court. [Source: Section 418, BNSS 2023]</t>
  </si>
  <si>
    <t xml:space="preserve">CASE_4653</t>
  </si>
  <si>
    <t xml:space="preserve">Yes. Under sub-section (3), when showing cause against sentence enhancement, "the accused may plead for his acquittal or for the reduction of the sentence." [Source: Section 418, BNSS 2023]</t>
  </si>
  <si>
    <t xml:space="preserve">CASE_4654</t>
  </si>
  <si>
    <t xml:space="preserve">"the Central Government" (sub-section 2). [Source: Section 418, BNSS 2023]</t>
  </si>
  <si>
    <t xml:space="preserve">CASE_4655</t>
  </si>
  <si>
    <t xml:space="preserve">No. Sub-section (3) mandates the court "shall not enhance the sentence except after giving to the accused a reasonable opportunity of showing cause against such enhancement". [Source: Section 418, BNSS 2023]</t>
  </si>
  <si>
    <t xml:space="preserve">CASE_4656</t>
  </si>
  <si>
    <t xml:space="preserve">The consequence is a "double-edged sword" for prosecutors; if the State appeals to increase a 5-year sentence to 10 years, they open the door for the appellate judge to review the entire case and potentially rule that the defendant was innocent all along and acquit them entirely. [Source: Section 418, BNSS 2023]</t>
  </si>
  <si>
    <t xml:space="preserve">CASE_4657</t>
  </si>
  <si>
    <t xml:space="preserve">Appeal in case of acquittal</t>
  </si>
  <si>
    <t xml:space="preserve">It is not necessarily over. The government can direct a prosecutor to appeal the acquittal to a higher court. If the case was started by a private citizen's complaint (not the police), that citizen can ask the High Court for special permission to appeal the acquittal. [Source: Section 419, BNSS 2023]</t>
  </si>
  <si>
    <t xml:space="preserve">Hugging Face source record: BNSS_419</t>
  </si>
  <si>
    <t xml:space="preserve">CASE_4658</t>
  </si>
  <si>
    <t xml:space="preserve">Section 419 of BNSS 2023 details "Appeal in case of acquittal," allowing District Magistrates or State/Central Governments to appeal acquittals to Sessions or High Courts, but strictly requiring High Court "leave" (permission) for appeals there, and establishing strict time limits for private complainants seeking special leave. [Source: Section 419, BNSS 2023]</t>
  </si>
  <si>
    <t xml:space="preserve">CASE_4659</t>
  </si>
  <si>
    <t xml:space="preserve">No. Under sub-section (5), for a private complainant (not a public servant), the application must be made within "sixty days... computed from the date of that order of acquittal." Since 90 days have passed, it is barred by limitation. [Source: Section 419, BNSS 2023]</t>
  </si>
  <si>
    <t xml:space="preserve">CASE_4660</t>
  </si>
  <si>
    <t xml:space="preserve">"the District Magistrate". [Source: Section 419, BNSS 2023]</t>
  </si>
  <si>
    <t xml:space="preserve">CASE_4661</t>
  </si>
  <si>
    <t xml:space="preserve">No. Sub-section (6) strictly states: "If... the application... for the grant of special leave... is refused, no appeal from that order of acquittal shall lie under sub-section (1) or under sub-section (2)." The refusal is absolute. [Source: Section 419, BNSS 2023]</t>
  </si>
  <si>
    <t xml:space="preserve">CASE_4662</t>
  </si>
  <si>
    <t xml:space="preserve">The consequence is protecting the "double presumption of innocence"; a person acquitted at trial is presumed highly innocent. Forcing prosecutors to beg for "leave" prevents the State from using its limitless funds to endlessly harass an acquitted citizen with frivolous appeals without first proving to the High Court that the trial judge made a blatant, egregious error. [Source: Section 419, BNSS 2023]</t>
  </si>
  <si>
    <t xml:space="preserve">CASE_4663</t>
  </si>
  <si>
    <t xml:space="preserve">Appeal against conviction by High Court in certain cases</t>
  </si>
  <si>
    <t xml:space="preserve">Yes. If a High Court overturns your acquittal and hits you with a massive sentence (death, life, or 10+ years), you have an automatic, guaranteed right to appeal directly to the Supreme Court of India. [Source: Section 420, BNSS 2023]</t>
  </si>
  <si>
    <t xml:space="preserve">Hugging Face source record: BNSS_420</t>
  </si>
  <si>
    <t xml:space="preserve">CASE_4664</t>
  </si>
  <si>
    <t xml:space="preserve">Section 420 of BNSS 2023 provides an "Appeal against conviction by High Court in certain cases," granting an automatic right of appeal to the Supreme Court if a High Court reverses an acquittal and sentences the accused to death, life imprisonment, or imprisonment for ten years or more. [Source: Section 420, BNSS 2023]</t>
  </si>
  <si>
    <t xml:space="preserve">CASE_4665</t>
  </si>
  <si>
    <t xml:space="preserve">No. Section 420 only applies if the High Court sentences him "to death or to imprisonment for life or to imprisonment for a term of ten years or more". Because his sentence is only 5 years, he does not have this automatic right (he would have to seek special leave from the Supreme Court under the Constitution). [Source: Section 420, BNSS 2023]</t>
  </si>
  <si>
    <t xml:space="preserve">CASE_4666</t>
  </si>
  <si>
    <t xml:space="preserve">The High Court must have "on appeal, reversed an order of acquittal of an accused person and convicted him". [Source: Section 420, BNSS 2023]</t>
  </si>
  <si>
    <t xml:space="preserve">CASE_4667</t>
  </si>
  <si>
    <t xml:space="preserve">No. Section 420 specifically requires that the High Court "reversed an order of acquittal". If it's just confirming a conviction, this specific section does not grant the right (though other constitutional provisions or Supreme Court rules might). [Source: Section 420, BNSS 2023]</t>
  </si>
  <si>
    <t xml:space="preserve">CASE_4668</t>
  </si>
  <si>
    <t xml:space="preserve">The consequence is preventing ultimate shock and injustice; a man who was declared totally innocent by a trial judge but then suddenly handed a death sentence by an appellate court is facing extreme whiplash. This section guarantees that such a drastic, life-destroying reversal is reviewed by the highest court in the land before execution. [Source: Section 420, BNSS 2023]</t>
  </si>
  <si>
    <t xml:space="preserve">CASE_4669</t>
  </si>
  <si>
    <t xml:space="preserve">Special right of appeal in certain cases</t>
  </si>
  <si>
    <t xml:space="preserve">No. If several people are convicted in the same trial, and even one of them has the legal right to file an appeal, then all the other convicted people automatically get the right to appeal too. [Source: Section 421, BNSS 2023]</t>
  </si>
  <si>
    <t xml:space="preserve">Hugging Face source record: BNSS_421</t>
  </si>
  <si>
    <t xml:space="preserve">CASE_4670</t>
  </si>
  <si>
    <t xml:space="preserve">Section 421 of BNSS 2023 establishes a "Special right of appeal in certain cases," dictating that if multiple persons are convicted in one trial, and an appealable judgment is passed regarding *any* of them, all persons convicted in that trial automatically gain the right of appeal. [Source: Section 421, BNSS 2023]</t>
  </si>
  <si>
    <t xml:space="preserve">CASE_4671</t>
  </si>
  <si>
    <t xml:space="preserve">Yes. Because they were convicted in "one trial" and an "appealable judgment... has been passed in respect of any of such persons" (Leader A), Section 421 overrides the petty case rules ("Notwithstanding anything in this Chapter") and gives B and C the right to appeal alongside A. [Source: Section 421, BNSS 2023]</t>
  </si>
  <si>
    <t xml:space="preserve">CASE_4672</t>
  </si>
  <si>
    <t xml:space="preserve">They must be "convicted in one trial". [Source: Section 421, BNSS 2023]</t>
  </si>
  <si>
    <t xml:space="preserve">CASE_4673</t>
  </si>
  <si>
    <t xml:space="preserve">No, the section specifies "all or any of the *persons convicted* at such trial". An acquitted person has no conviction to appeal. [Source: Section 421, BNSS 2023]</t>
  </si>
  <si>
    <t xml:space="preserve">CASE_4674</t>
  </si>
  <si>
    <t xml:space="preserve">The consequence is preventing absurd contradictions; if an appellate court reviews Leader A's appeal and realizes the entire trial was based on a forged police document, it would be a gross miscarriage of justice if Followers B and C had to stay in prison simply because their individual sentences were too short to qualify for their own appeals. [Source: Section 421, BNSS 2023]</t>
  </si>
  <si>
    <t xml:space="preserve">CASE_4675</t>
  </si>
  <si>
    <t xml:space="preserve">Appeal to Court of Session how heard</t>
  </si>
  <si>
    <t xml:space="preserve">The main Sessions Judge or an Additional Sessions Judge can hear it. The main Sessions Judge (or the High Court) decides which specific appeals get handed over to the Additional Judges. [Source: Section 422, BNSS 2023]</t>
  </si>
  <si>
    <t xml:space="preserve">Hugging Face source record: BNSS_422</t>
  </si>
  <si>
    <t xml:space="preserve">CASE_4676</t>
  </si>
  <si>
    <t xml:space="preserve">Section 422 of BNSS 2023 governs "Appeal to Court of Session how heard," establishing that appeals to the Court of Session are heard by the Sessions Judge or an Additional Sessions Judge (as assigned by the Sessions Judge or High Court), and allowing Chief Judicial Magistrates to hear appeals from Second Class Magistrates. [Source: Section 422, BNSS 2023]</t>
  </si>
  <si>
    <t xml:space="preserve">CASE_4677</t>
  </si>
  <si>
    <t xml:space="preserve">No. Under the proviso to sub-section (1), "an appeal against a conviction on a trial held by a Magistrate of the second class may be heard and disposed of by the Chief Judicial Magistrate." [Source: Section 422, BNSS 2023]</t>
  </si>
  <si>
    <t xml:space="preserve">CASE_4678</t>
  </si>
  <si>
    <t xml:space="preserve">The "Sessions Judge of the division may, by general or special order" or "the High Court may, by special order". [Source: Section 422, BNSS 2023]</t>
  </si>
  <si>
    <t xml:space="preserve">CASE_4679</t>
  </si>
  <si>
    <t xml:space="preserve">No, sub-section (2) strictly limits them to hearing "only such appeals as the Sessions Judge... make over to him or as the High Court... direct him to hear." They have no independent power to grab cases. [Source: Section 422, BNSS 2023]</t>
  </si>
  <si>
    <t xml:space="preserve">CASE_4680</t>
  </si>
  <si>
    <t xml:space="preserve">The consequence is efficient docket management; it allows the principal Sessions Judge to act as the administrative head of the district's appellate system, delegating routine appeals to Additional judges while keeping highly sensitive or complex cases for themselves, preventing massive backlogs. [Source: Section 422, BNSS 2023]</t>
  </si>
  <si>
    <t xml:space="preserve">CASE_4681</t>
  </si>
  <si>
    <t xml:space="preserve">Petition of appeal</t>
  </si>
  <si>
    <t xml:space="preserve">No, you cannot appeal verbally. You or your lawyer must submit a formal written petition of appeal, and it must almost always be accompanied by a copy of the judgment or order you are complaining about. [Source: Section 423, BNSS 2023]</t>
  </si>
  <si>
    <t xml:space="preserve">Hugging Face source record: BNSS_423</t>
  </si>
  <si>
    <t xml:space="preserve">CASE_4682</t>
  </si>
  <si>
    <t xml:space="preserve">Section 423 of BNSS 2023 outlines the "Petition of appeal," mandating that every appeal must be a written petition presented by the appellant or their advocate, and generally must be accompanied by a copy of the judgment/order being appealed. [Source: Section 423, BNSS 2023]</t>
  </si>
  <si>
    <t xml:space="preserve">CASE_4683</t>
  </si>
  <si>
    <t xml:space="preserve">No. The requirement to include the judgment copy has a built-in exception: "(unless the Court to which it is presented otherwise directs)". The High Court can use its discretion to accept the petition and tell the lawyer to submit the judgment copy later. [Source: Section 423, BNSS 2023]</t>
  </si>
  <si>
    <t xml:space="preserve">CASE_4684</t>
  </si>
  <si>
    <t xml:space="preserve">"the appellant or his advocate". [Source: Section 423, BNSS 2023]</t>
  </si>
  <si>
    <t xml:space="preserve">CASE_4685</t>
  </si>
  <si>
    <t xml:space="preserve">No, the section strictly requires the appeal to be "in the form of a petition in writing". [Source: Section 423, BNSS 2023]</t>
  </si>
  <si>
    <t xml:space="preserve">CASE_4686</t>
  </si>
  <si>
    <t xml:space="preserve">The consequence is judicial efficiency; appellate judges cannot guess why the lower court convicted someone. By forcing the appellant to attach the lower court's judgment, the appellate judge can immediately read exactly what the trial judge's reasoning was and decide if the appeal has any merit before wasting time on a full hearing. [Source: Section 423, BNSS 2023]</t>
  </si>
  <si>
    <t xml:space="preserve">CASE_4687</t>
  </si>
  <si>
    <t xml:space="preserve">Procedure when appellant in jail</t>
  </si>
  <si>
    <t xml:space="preserve">They can hand their written appeal petition and the judgment copy directly to the officer in charge of the jail (the warden/superintendent), who is then legally obligated to forward it to the correct appellate court. [Source: Section 424, BNSS 2023]</t>
  </si>
  <si>
    <t xml:space="preserve">Hugging Face source record: BNSS_424</t>
  </si>
  <si>
    <t xml:space="preserve">CASE_4688</t>
  </si>
  <si>
    <t xml:space="preserve">Section 424 of BNSS 2023 details the "Procedure when appellant in jail," allowing an imprisoned appellant to present their petition of appeal and required copies to the officer in charge of the jail, who must then forward them to the proper Appellate Court. [Source: Section 424, BNSS 2023]</t>
  </si>
  <si>
    <t xml:space="preserve">CASE_4689</t>
  </si>
  <si>
    <t xml:space="preserve">Absolutely not. Section 424 states the officer in charge "shall thereupon forward such petition and copies to the proper Appellate Court." The jail officer has no judicial authority to evaluate the appeal; their duty is purely logistical and mandatory. [Source: Section 424, BNSS 2023]</t>
  </si>
  <si>
    <t xml:space="preserve">CASE_4690</t>
  </si>
  <si>
    <t xml:space="preserve">"to the officer in charge of the jail". [Source: Section 424, BNSS 2023]</t>
  </si>
  <si>
    <t xml:space="preserve">CASE_4691</t>
  </si>
  <si>
    <t xml:space="preserve">No, this section merely provides a physical transmission mechanism. It forces the jail officer to act as a courier for the prisoner's paperwork, nothing more. [Source: Section 424, BNSS 2023]</t>
  </si>
  <si>
    <t xml:space="preserve">CASE_4692</t>
  </si>
  <si>
    <t xml:space="preserve">The consequence is preventing the State from silencing appeals through incarceration; if a prisoner couldn't file an appeal without physically traveling to the court or paying an expensive lawyer to do it, the poorest convicts would be permanently trapped in illegal sentences. This ensures the jail walls do not block access to the appellate courts. [Source: Section 424, BNSS 2023]</t>
  </si>
  <si>
    <t xml:space="preserve">CASE_4693</t>
  </si>
  <si>
    <t xml:space="preserve">Summary dismissal of appeal</t>
  </si>
  <si>
    <t xml:space="preserve">No. The higher court reads your appeal petition first. If they think your arguments are completely baseless, they can dismiss the appeal "summarily" (immediately) without a full hearing, though they usually must give you a chance to explain your petition first. [Source: Section 425, BNSS 2023]</t>
  </si>
  <si>
    <t xml:space="preserve">Hugging Face source record: BNSS_425</t>
  </si>
  <si>
    <t xml:space="preserve">CASE_4694</t>
  </si>
  <si>
    <t xml:space="preserve">Section 425 of BNSS 2023 governs "Summary dismissal of appeal," granting the Appellate Court the power to dismiss an appeal summarily if it considers there is no sufficient ground for interfering, provided the appellant/advocate usually gets a reasonable opportunity to be heard first. [Source: Section 425, BNSS 2023]</t>
  </si>
  <si>
    <t xml:space="preserve">CASE_4695</t>
  </si>
  <si>
    <t xml:space="preserve">No. Proviso (a) to sub-section (1) explicitly states: "no appeal presented under section 423 shall be dismissed unless the appellant or his advocate has had a reasonable opportunity of being heard in support of the same". The judge must let the lawyer speak. [Source: Section 425, BNSS 2023]</t>
  </si>
  <si>
    <t xml:space="preserve">CASE_4696</t>
  </si>
  <si>
    <t xml:space="preserve">If the Appellate Court considers "that the appeal is frivolous or that the production of the accused in custody before the Court would involve such inconvenience as would be disproportionate in the circumstances of the case". [Source: Section 425, BNSS 2023]</t>
  </si>
  <si>
    <t xml:space="preserve">CASE_4697</t>
  </si>
  <si>
    <t xml:space="preserve">Sub-section (3) mandates: "Where the Appellate Court dismissing an appeal under this section is a Court of Session or of the Chief Judicial Magistrate, it shall record its reasons for doing so." [Source: Section 425, BNSS 2023]</t>
  </si>
  <si>
    <t xml:space="preserve">CASE_4698</t>
  </si>
  <si>
    <t xml:space="preserve">The consequence is preventing the appellate system from collapsing under the weight of frivolous litigation; many convicted persons file automated, generic appeals just to delay their sentences. Summary dismissal allows judges to quickly filter out the garbage appeals and save their time for cases where a real legal error might have occurred. [Source: Section 425, BNSS 2023]</t>
  </si>
  <si>
    <t xml:space="preserve">CASE_4699</t>
  </si>
  <si>
    <t xml:space="preserve">Procedure for hearing appeals not dismissed summarily</t>
  </si>
  <si>
    <t xml:space="preserve">The court sets a time and place for a full hearing and sends official notices to everyone involved: the person appealing, the government prosecutor, and the original victim/complainant (if it was a private case). They also order the lower court to send up the original trial records. [Source: Section 426, BNSS 2023]</t>
  </si>
  <si>
    <t xml:space="preserve">Hugging Face source record: BNSS_426</t>
  </si>
  <si>
    <t xml:space="preserve">CASE_4700</t>
  </si>
  <si>
    <t xml:space="preserve">Section 426 of BNSS 2023 outlines the "Procedure for hearing appeals not dismissed summarily," requiring the Appellate Court to issue notices of the hearing time/place to the appellant, State officer, complainant, or accused (as applicable), and to send for the lower court's record before hearing the parties. [Source: Section 426, BNSS 2023]</t>
  </si>
  <si>
    <t xml:space="preserve">CASE_4701</t>
  </si>
  <si>
    <t xml:space="preserve">Not automatically. Under sub-section (3), "Where the only ground for appeal from a conviction is the alleged severity of the sentence, the appellant shall not, except with the leave of the Court, urge or be heard in support of any other ground." He needs the judge's specific permission. [Source: Section 426, BNSS 2023]</t>
  </si>
  <si>
    <t xml:space="preserve">CASE_4702</t>
  </si>
  <si>
    <t xml:space="preserve">"if the appeal is only as to the extent or the legality of the sentence". (Since they aren't reviewing the facts of the crime, they don't need all the evidence boxes). [Source: Section 426, BNSS 2023]</t>
  </si>
  <si>
    <t xml:space="preserve">CASE_4703</t>
  </si>
  <si>
    <t xml:space="preserve">"the accused" (sub-section 1(iv)). [Source: Section 426, BNSS 2023]</t>
  </si>
  <si>
    <t xml:space="preserve">CASE_4704</t>
  </si>
  <si>
    <t xml:space="preserve">The consequence is ensuring the "audi alteram partem" (hear the other side) principle of natural justice; an appellate court cannot legally change a trial court's verdict or enhance a sentence without ensuring that all affected parties (defense, prosecution, and sometimes victims) have formal warning and a fair chance to argue their side. [Source: Section 426, BNSS 2023]</t>
  </si>
  <si>
    <t xml:space="preserve">CASE_4705</t>
  </si>
  <si>
    <t xml:space="preserve">Powers of Appellate Court</t>
  </si>
  <si>
    <t xml:space="preserve">Yes. An appellate judge has massive power. They can throw out the appeal, completely reverse a guilty verdict to innocent, reverse an innocent verdict to guilty, order a completely new trial, or increase/decrease the prison sentence. [Source: Section 427, BNSS 2023]</t>
  </si>
  <si>
    <t xml:space="preserve">Hugging Face source record: BNSS_427</t>
  </si>
  <si>
    <t xml:space="preserve">CASE_4706</t>
  </si>
  <si>
    <t xml:space="preserve">Section 427 of BNSS 2023 details the "Powers of Appellate Court," granting broad authority to reverse acquittals/convictions, alter findings, enhance or reduce sentences, order retrials, or dismiss the appeal entirely, subject to giving the accused an opportunity to show cause against sentence enhancement. [Source: Section 427, BNSS 2023]</t>
  </si>
  <si>
    <t xml:space="preserve">CASE_4707</t>
  </si>
  <si>
    <t xml:space="preserve">No. The first proviso explicitly states: "Provided that the sentence shall not be enhanced unless the accused has had an opportunity of showing cause against such enhancement". [Source: Section 427, BNSS 2023]</t>
  </si>
  <si>
    <t xml:space="preserve">CASE_4708</t>
  </si>
  <si>
    <t xml:space="preserve">It can "acquit or discharge the accused, or order him to be re-tried... or committed for trial". [Source: Section 427, BNSS 2023]</t>
  </si>
  <si>
    <t xml:space="preserve">CASE_4709</t>
  </si>
  <si>
    <t xml:space="preserve">No. The second proviso dictates: "the Appellate Court shall not inflict greater punishment... than might have been inflicted for that offence by the Court passing the order or sentence under appeal." The appellate court is limited by the maximum power of the original lower court. [Source: Section 427, BNSS 2023]</t>
  </si>
  <si>
    <t xml:space="preserve">CASE_4710</t>
  </si>
  <si>
    <t xml:space="preserve">The consequence is defining the absolute boundaries of appellate jurisdiction; it clarifies that an appellate court is not just a rubber stamp, but a powerful corrective body that can surgically alter a judgment, demand a do-over, or flip a verdict entirely to ensure substantive justice is achieved. [Source: Section 427, BNSS 2023]</t>
  </si>
  <si>
    <t xml:space="preserve">CASE_4711</t>
  </si>
  <si>
    <t xml:space="preserve">Judgments of subordinate Appellate Court</t>
  </si>
  <si>
    <t xml:space="preserve">Yes, generally. The strict rules from Chapter XXIX about writing, signing, and explaining judgments apply to the appellate judgments of a Sessions Court or Chief Judicial Magistrate too. However, the accused person usually doesn't have to be physically brought to the court just to listen to the appellate judgment being read. [Source: Section 428, BNSS 2023]</t>
  </si>
  <si>
    <t xml:space="preserve">Hugging Face source record: BNSS_428</t>
  </si>
  <si>
    <t xml:space="preserve">CASE_4712</t>
  </si>
  <si>
    <t xml:space="preserve">Section 428 of BNSS 2023 covers "Judgments of subordinate Appellate Court," mandating that the rules for original criminal court judgments (Chapter XXIX) apply to appellate judgments of a Court of Session or CJM, with the caveat that the accused need not be present for the delivery unless directed. [Source: Section 428, BNSS 2023]</t>
  </si>
  <si>
    <t xml:space="preserve">CASE_4713</t>
  </si>
  <si>
    <t xml:space="preserve">No. Section 428 explicitly states that "The rules contained in Chapter XXIX as to the judgment of a Criminal Court of original jurisdiction shall apply... to the judgment in appeal of a Court of Session". Chapter XXIX strictly requires signing and dating, so the appellate judge must do it too. [Source: Section 428, BNSS 2023]</t>
  </si>
  <si>
    <t xml:space="preserve">CASE_4714</t>
  </si>
  <si>
    <t xml:space="preserve">"the accused shall not be brought up, or required to attend, to hear judgment delivered." [Source: Section 428, BNSS 2023]</t>
  </si>
  <si>
    <t xml:space="preserve">CASE_4715</t>
  </si>
  <si>
    <t xml:space="preserve">No. The section is specifically titled "Judgments of subordinate Appellate Court" and the text explicitly applies it only to "the judgment in appeal of a Court of Session or Chief Judicial Magistrate". High Courts follow their own appellate rules. [Source: Section 428, BNSS 2023]</t>
  </si>
  <si>
    <t xml:space="preserve">CASE_4716</t>
  </si>
  <si>
    <t xml:space="preserve">The consequence is logistical sanity; if every prisoner whose appeal was rejected had to be heavily guarded and transported from a high-security prison just to stand in court while a judge reads "appeal dismissed," the police transport system would collapse. Since the appellate trial is just legal arguments, the physical presence of the accused at the end is unnecessary. [Source: Section 428, BNSS 2023]</t>
  </si>
  <si>
    <t xml:space="preserve">CASE_4717</t>
  </si>
  <si>
    <t xml:space="preserve">Order of High Court on appeal to be certified to lower Court</t>
  </si>
  <si>
    <t xml:space="preserve">The High Court must formally "certify" (send an official copy of) its final order down the chain of command to the original court that handled the trial. The lower court must then update its records to match the High Court's decision. [Source: Section 429, BNSS 2023]</t>
  </si>
  <si>
    <t xml:space="preserve">Hugging Face source record: BNSS_429</t>
  </si>
  <si>
    <t xml:space="preserve">CASE_4718</t>
  </si>
  <si>
    <t xml:space="preserve">Section 429 of BNSS 2023 details the "Order of High Court on appeal to be certified to lower Court," requiring the High Court to certify its appellate decision back to the original recording Court (routing it through the CJM or DM depending on the Magistrate type), and obligating the lower court to amend its records accordingly. [Source: Section 429, BNSS 2023]</t>
  </si>
  <si>
    <t xml:space="preserve">CASE_4719</t>
  </si>
  <si>
    <t xml:space="preserve">No. Under sub-section (1), "if such Court is that of an Executive Magistrate, the High Court's judgment or order shall be sent through the District Magistrate." It follows the executive chain of command. [Source: Section 429, BNSS 2023]</t>
  </si>
  <si>
    <t xml:space="preserve">CASE_4720</t>
  </si>
  <si>
    <t xml:space="preserve">"if necessary, the record shall be amended in accordance therewith." (sub-section 2). [Source: Section 429, BNSS 2023]</t>
  </si>
  <si>
    <t xml:space="preserve">CASE_4721</t>
  </si>
  <si>
    <t xml:space="preserve">It sends it directly. The routing requirement says "if such Court is that of a Judicial Magistrate *other than* the Chief Judicial Magistrate, the High Court's judgment... shall be sent through the Chief Judicial Magistrate". Therefore, for the CJM themselves, it goes direct. [Source: Section 429, BNSS 2023]</t>
  </si>
  <si>
    <t xml:space="preserve">CASE_4722</t>
  </si>
  <si>
    <t xml:space="preserve">The consequence is maintaining a single source of truth; court records trigger massive real-world actions (jail releases, property seizures, fine collections). If the High Court overturns a conviction but the lower court's registry never officially updates its files, the police might mistakenly arrest the person based on the old, invalid trial record. [Source: Section 429, BNSS 2023]</t>
  </si>
  <si>
    <t xml:space="preserve">CASE_4723</t>
  </si>
  <si>
    <t xml:space="preserve">Suspension of sentence pending appeal; release of appellant on bail</t>
  </si>
  <si>
    <t xml:space="preserve">Not necessarily. You can ask the appellate court to "suspend" your sentence and let you out on bail while the appeal is pending. If your sentence was 3 years or less, the trial court itself usually must give you bail immediately so you have time to file the appeal. [Source: Section 430, BNSS 2023]</t>
  </si>
  <si>
    <t xml:space="preserve">Hugging Face source record: BNSS_430</t>
  </si>
  <si>
    <t xml:space="preserve">CASE_4724</t>
  </si>
  <si>
    <t xml:space="preserve">Section 430 of BNSS 2023 governs "Suspension of sentence pending appeal; release of appellant on bail," allowing Appellate Courts to suspend sentences and grant bail (after hearing prosecutors for severe crimes), and mandating trial courts to grant temporary bail for short sentences (under 3 years) or bailable offenses to allow time to file the appeal. [Source: Section 430, BNSS 2023]</t>
  </si>
  <si>
    <t xml:space="preserve">CASE_4725</t>
  </si>
  <si>
    <t xml:space="preserve">Yes. Under sub-section (3)(i), because he was on bail and the sentence is "not exceeding three years," the Court "shall... order that the convicted person be released on bail... for such period as will afford sufficient time to present the appeal". [Source: Section 430, BNSS 2023]</t>
  </si>
  <si>
    <t xml:space="preserve">CASE_4726</t>
  </si>
  <si>
    <t xml:space="preserve">It "shall give opportunity to the Public Prosecutor for showing cause in writing against such release". [Source: Section 430, BNSS 2023]</t>
  </si>
  <si>
    <t xml:space="preserve">CASE_4727</t>
  </si>
  <si>
    <t xml:space="preserve">No. Under sub-section (4), "the time during which he is so released shall be excluded in computing the term for which he is so sentenced." Free time on bail does not count as prison time. [Source: Section 430, BNSS 2023]</t>
  </si>
  <si>
    <t xml:space="preserve">CASE_4728</t>
  </si>
  <si>
    <t xml:space="preserve">The consequence is balancing justice with liberty; if everyone had to sit in jail during a 5-year appeals process, an innocent person whose conviction is eventually overturned would have already had their life ruined by serving the full illegal sentence. Bail pending appeal prevents the punishment from outrunning the final legal truth. [Source: Section 430, BNSS 2023]</t>
  </si>
  <si>
    <t xml:space="preserve">CASE_4729</t>
  </si>
  <si>
    <t xml:space="preserve">Arrest of accused in appeal from acquittal</t>
  </si>
  <si>
    <t xml:space="preserve">Yes. When the government files an appeal against an acquittal, the High Court has the power to issue an arrest warrant, bring the acquitted person back to court, and either put them in jail or let them out on bail until the appeal is finished. [Source: Section 431, BNSS 2023]</t>
  </si>
  <si>
    <t xml:space="preserve">Hugging Face source record: BNSS_431</t>
  </si>
  <si>
    <t xml:space="preserve">CASE_4730</t>
  </si>
  <si>
    <t xml:space="preserve">Section 431 of BNSS 2023 covers the "Arrest of accused in appeal from acquittal," giving the High Court the authority to issue an arrest warrant for an acquitted person upon the presentation of an appeal under section 419, and to commit them to prison or grant bail pending the appeal. [Source: Section 431, BNSS 2023]</t>
  </si>
  <si>
    <t xml:space="preserve">CASE_4731</t>
  </si>
  <si>
    <t xml:space="preserve">Yes. Under Section 431, "When an appeal is presented under section 419, the High Court may issue a warrant directing that the accused be arrested and brought before it". [Source: Section 431, BNSS 2023]</t>
  </si>
  <si>
    <t xml:space="preserve">CASE_4732</t>
  </si>
  <si>
    <t xml:space="preserve">The Court may "commit him to prison pending the disposal of the appeal or admit him to bail." [Source: Section 431, BNSS 2023]</t>
  </si>
  <si>
    <t xml:space="preserve">CASE_4733</t>
  </si>
  <si>
    <t xml:space="preserve">No. The power is specifically granted to "the High Court" and is triggered only "When an appeal is presented under section 419". It is a High Court power, not a lower Magistrate power. [Source: Section 431, BNSS 2023]</t>
  </si>
  <si>
    <t xml:space="preserve">CASE_4734</t>
  </si>
  <si>
    <t xml:space="preserve">The consequence is securing the jurisdiction of the appellate court; in high-stakes cases (like terrorism or organized crime), if an obviously flawed acquittal allows a dangerous person to walk free, they will likely abscond before the High Court can fix the trial court's mistake. This section ensures the accused remains available to face final justice. [Source: Section 431, BNSS 2023]</t>
  </si>
  <si>
    <t xml:space="preserve">CASE_4735</t>
  </si>
  <si>
    <t xml:space="preserve">Appellate Court may take further evidence or direct it to be taken</t>
  </si>
  <si>
    <t xml:space="preserve">The appellate court can order that the new evidence be taken. They can either look at the evidence themselves, or order a lower court magistrate to take the evidence and send it up to them. [Source: Section 432, BNSS 2023]</t>
  </si>
  <si>
    <t xml:space="preserve">Hugging Face source record: BNSS_432</t>
  </si>
  <si>
    <t xml:space="preserve">CASE_4736</t>
  </si>
  <si>
    <t xml:space="preserve">Section 432 of BNSS 2023 provides that the "Appellate Court may take further evidence or direct it to be taken," allowing an Appellate Court, upon recording reasons, to take necessary additional evidence itself or direct a subordinate Magistrate (or Court of Session) to do so, while ensuring the accused's right to be present. [Source: Section 432, BNSS 2023]</t>
  </si>
  <si>
    <t xml:space="preserve">CASE_4737</t>
  </si>
  <si>
    <t xml:space="preserve">No. Under sub-section (3), "The accused or his advocate shall have the right to be present when the additional evidence is taken." Secret evidence gathering violates the statute. [Source: Section 432, BNSS 2023]</t>
  </si>
  <si>
    <t xml:space="preserve">CASE_4738</t>
  </si>
  <si>
    <t xml:space="preserve">It "shall record its reasons" (sub-section 1). It cannot just do it arbitrarily; it must explain why it is necessary. [Source: Section 432, BNSS 2023]</t>
  </si>
  <si>
    <t xml:space="preserve">CASE_4739</t>
  </si>
  <si>
    <t xml:space="preserve">No. Sub-section (2) states the Magistrate "shall certify such evidence to the Appellate Court, and such Court [the Appellate Court] shall thereupon proceed to dispose of the appeal." The lower court just gathers it; the higher court decides. [Source: Section 432, BNSS 2023]</t>
  </si>
  <si>
    <t xml:space="preserve">CASE_4740</t>
  </si>
  <si>
    <t xml:space="preserve">The consequence is prioritizing substantive truth over strict procedural rigidity; while appeals are normally strictly limited to the existing trial record, completely barring new evidence would lead to horrifying injustices if, for example, absolute proof of innocence (like new DNA evidence) is discovered while an innocent man's appeal is pending. [Source: Section 432, BNSS 2023]</t>
  </si>
  <si>
    <t xml:space="preserve">CASE_4741</t>
  </si>
  <si>
    <t xml:space="preserve">Procedure where Judges of Court of appeal are equally divided</t>
  </si>
  <si>
    <t xml:space="preserve">The case is given to a third judge to review. The third judge's opinion acts as the tie-breaker, and the final judgment is based on what that third judge decides. If any judge requests it, it can also be sent to a larger group of judges (a larger Bench) to be re-heard. [Source: Section 433, BNSS 2023]</t>
  </si>
  <si>
    <t xml:space="preserve">Hugging Face source record: BNSS_433</t>
  </si>
  <si>
    <t xml:space="preserve">CASE_4742</t>
  </si>
  <si>
    <t xml:space="preserve">Section 433 of BNSS 2023 outlines the "Procedure where Judges of Court of appeal are equally divided," mandating that a split decision by a High Court Bench be laid before another Judge of that Court whose opinion will act as the tie-breaker, unless a judge requires a larger Bench to re-hear the appeal. [Source: Section 433, BNSS 2023]</t>
  </si>
  <si>
    <t xml:space="preserve">CASE_4743</t>
  </si>
  <si>
    <t xml:space="preserve">No. Section 433 dictates that when the third judge delivers his opinion, "the judgment or order shall follow that opinion". Judge C's opinion breaks the tie and becomes the decisive ruling. [Source: Section 433, BNSS 2023]</t>
  </si>
  <si>
    <t xml:space="preserve">CASE_4744</t>
  </si>
  <si>
    <t xml:space="preserve">"the appeal shall be re-heard and decided by a larger Bench of Judges." [Source: Section 433, BNSS 2023]</t>
  </si>
  <si>
    <t xml:space="preserve">CASE_4745</t>
  </si>
  <si>
    <t xml:space="preserve">No, the section says the judge delivers his opinion "after such hearing as he thinks fit". It is an appellate hearing of legal arguments, not a full trial, and the judge has discretion over the extent of the hearing. [Source: Section 433, BNSS 2023]</t>
  </si>
  <si>
    <t xml:space="preserve">CASE_4746</t>
  </si>
  <si>
    <t xml:space="preserve">The consequence is ensuring legal finality; the justice system cannot function if an appeal ends in a permanent stalemate. By institutionalizing a clear tie-breaker (a third judge or a larger bench), the law guarantees that every criminal appeal will ultimately reach a definitive, actionable conclusion. [Source: Section 433, BNSS 2023]</t>
  </si>
  <si>
    <t xml:space="preserve">CASE_4747</t>
  </si>
  <si>
    <t xml:space="preserve">Finality of judgments and orders on appeal</t>
  </si>
  <si>
    <t xml:space="preserve">No. Once a designated Appellate Court makes a decision, that judgment is "final." You cannot keep filing the same appeal over and over again. [Source: Section 434, BNSS 2023]</t>
  </si>
  <si>
    <t xml:space="preserve">Hugging Face source record: BNSS_434</t>
  </si>
  <si>
    <t xml:space="preserve">CASE_4748</t>
  </si>
  <si>
    <t xml:space="preserve">Section 434 of BNSS 2023 declares the "Finality of judgments and orders on appeal," stating that appellate judgments are final, except for specific statutory exceptions (like further State appeals against acquittals/inadequacy, or High Court revisions), while clarifying that hearing an appeal against conviction doesn't bar hearing parallel appeals for enhancement or acquittal in the same case. [Source: Section 434, BNSS 2023]</t>
  </si>
  <si>
    <t xml:space="preserve">CASE_4749</t>
  </si>
  <si>
    <t xml:space="preserve">The Sessions Court can hear it. The proviso explicitly states: "notwithstanding the final disposal of an appeal against conviction... the Appellate Court may hear and dispose of, on the merits... (b) an appeal for the enhancement of sentence under section 418, arising out of the same case." [Source: Section 434, BNSS 2023]</t>
  </si>
  <si>
    <t xml:space="preserve">CASE_4750</t>
  </si>
  <si>
    <t xml:space="preserve">"Chapter XXXII" (which deals with Reference and Revision by the High Court). [Source: Section 434, BNSS 2023]</t>
  </si>
  <si>
    <t xml:space="preserve">CASE_4751</t>
  </si>
  <si>
    <t xml:space="preserve">While final within the statutory appellate framework of the High Court, the Constitution of India provides overarching powers to the Supreme Court (like Special Leave Petitions) which override this statutory finality. [Source: Section 434, BNSS 2023]</t>
  </si>
  <si>
    <t xml:space="preserve">CASE_4752</t>
  </si>
  <si>
    <t xml:space="preserve">The consequence is the legal doctrine of *res judicata*; it brings closure to criminal litigation. Without this rule, a wealthy convict could file a new appeal every month, paralyzing the courts and preventing the state from ever actually executing the punishment. [Source: Section 434, BNSS 2023]</t>
  </si>
  <si>
    <t xml:space="preserve">CASE_4753</t>
  </si>
  <si>
    <t xml:space="preserve">Abatement of appeals</t>
  </si>
  <si>
    <t xml:space="preserve">Usually, the appeal "abates" (is cancelled/dies with the person) because you can't punish a dead body. However, if the appeal was against a fine, or if close family members apply within 30 days to continue fighting to clear their dead loved one's name regarding a prison/death sentence, the appeal can continue. [Source: Section 435, BNSS 2023]</t>
  </si>
  <si>
    <t xml:space="preserve">Hugging Face source record: BNSS_435</t>
  </si>
  <si>
    <t xml:space="preserve">CASE_4754</t>
  </si>
  <si>
    <t xml:space="preserve">Section 435 of BNSS 2023 dictates the "Abatement of appeals," establishing that appeals against acquittals or for sentence enhancement abate on the accused's death; and appeals by a convict abate on their death (except appeals against fines), unless near relatives apply within 30 days to continue the appeal to clear the deceased's name. [Source: Section 435, BNSS 2023]</t>
  </si>
  <si>
    <t xml:space="preserve">CASE_4755</t>
  </si>
  <si>
    <t xml:space="preserve">Yes. Under the proviso to sub-section (2), "any of his near relatives may, within thirty days of the death of the appellant, apply to the Appellate Court for leave to continue the appeal; and if leave is granted, the appeal shall not abate." [Source: Section 435, BNSS 2023]</t>
  </si>
  <si>
    <t xml:space="preserve">CASE_4756</t>
  </si>
  <si>
    <t xml:space="preserve">"a parent, spouse, lineal descendant, brother or sister." [Source: Section 435, BNSS 2023]</t>
  </si>
  <si>
    <t xml:space="preserve">CASE_4757</t>
  </si>
  <si>
    <t xml:space="preserve">No. Sub-section (2) explicitly states: "Every other appeal... *(except an appeal from a sentence of fine)* shall finally abate". The appeal against the fine survives automatically because the government will try to collect that fine from the dead man's property (his heirs' inheritance). [Source: Section 435, BNSS 2023]</t>
  </si>
  <si>
    <t xml:space="preserve">CASE_4758</t>
  </si>
  <si>
    <t xml:space="preserve">The consequence is protecting posthumous dignity; a criminal conviction attaches a severe social stigma to a family name. Even though the dead person cannot serve the prison sentence, allowing the family to continue the fight ensures they have a legal avenue to officially clear their deceased loved one's reputation in the eyes of society. [Source: Section 435, BNSS 2023]</t>
  </si>
  <si>
    <t xml:space="preserve">CASE_4759</t>
  </si>
  <si>
    <t xml:space="preserve">Reference to High Court</t>
  </si>
  <si>
    <t xml:space="preserve">The lower court judge cannot declare the law invalid themselves. They must pause the case, write down why they think the law is invalid, and send ("refer") that legal question up to the High Court to decide. [Source: Section 436, BNSS 2023]</t>
  </si>
  <si>
    <t xml:space="preserve">Hugging Face source record: BNSS_436</t>
  </si>
  <si>
    <t xml:space="preserve">CASE_4760</t>
  </si>
  <si>
    <t xml:space="preserve">Section 436 of BNSS 2023 governs "Reference to High Court," requiring lower Courts to refer cases to the High Court if they involve necessary questions regarding the validity of an Act/Ordinance/Regulation that the lower court believes is invalid, but which hasn't yet been declared so by the High or Supreme Court. [Source: Section 436, BNSS 2023]</t>
  </si>
  <si>
    <t xml:space="preserve">CASE_4761</t>
  </si>
  <si>
    <t xml:space="preserve">No. Under Section 436(1), the Magistrate "shall state a case setting out its opinion and the reasons therefor, and refer the same for the decision of the High Court." The Magistrate cannot strike down the law. [Source: Section 436, BNSS 2023]</t>
  </si>
  <si>
    <t xml:space="preserve">CASE_4762</t>
  </si>
  <si>
    <t xml:space="preserve">The court may "either commit the accused to jail or release him on bail to appear when called upon" (sub-section 3). [Source: Section 436, BNSS 2023]</t>
  </si>
  <si>
    <t xml:space="preserve">CASE_4763</t>
  </si>
  <si>
    <t xml:space="preserve">Yes, under sub-section (2), a Court of Session may "refer for the decision of the High Court any question of law arising in the hearing of such case" even if it doesn't involve the validity of an Act. [Source: Section 436, BNSS 2023]</t>
  </si>
  <si>
    <t xml:space="preserve">CASE_4764</t>
  </si>
  <si>
    <t xml:space="preserve">The consequence is preventing legal chaos; if every local Magistrate could declare state or federal laws invalid, the law would change drastically from one district to another. By forcing "references" up to the High Court, it ensures that constitutional challenges are handled by senior constitutional judges, maintaining statewide legal uniformity. [Source: Section 436, BNSS 2023]</t>
  </si>
  <si>
    <t xml:space="preserve">CASE_4765</t>
  </si>
  <si>
    <t xml:space="preserve">Disposal of case according to decision of High Court</t>
  </si>
  <si>
    <t xml:space="preserve">The High Court sends a copy of its decision back down, and the lower court must then finish the original trial strictly following the High Court's ruling on that legal question. [Source: Section 437, BNSS 2023]</t>
  </si>
  <si>
    <t xml:space="preserve">Hugging Face source record: BNSS_437</t>
  </si>
  <si>
    <t xml:space="preserve">CASE_4766</t>
  </si>
  <si>
    <t xml:space="preserve">Section 437 of BNSS 2023 dictates the "Disposal of case according to decision of High Court," stating that once the High Court answers a referred question, it sends a copy of the order to the referring Court, which must then dispose of the case conformably to that order. [Source: Section 437, BNSS 2023]</t>
  </si>
  <si>
    <t xml:space="preserve">CASE_4767</t>
  </si>
  <si>
    <t xml:space="preserve">No. Section 437 explicitly mandates that the referring court "shall dispose of the case conformably to the said order." The Magistrate has no discretion to defy the High Court's ruling. [Source: Section 437, BNSS 2023]</t>
  </si>
  <si>
    <t xml:space="preserve">CASE_4768</t>
  </si>
  <si>
    <t xml:space="preserve">"The High Court may direct by whom the costs of such reference shall be paid" (sub-section 2). [Source: Section 437, BNSS 2023]</t>
  </si>
  <si>
    <t xml:space="preserve">CASE_4769</t>
  </si>
  <si>
    <t xml:space="preserve">No, this section does not provide any such mechanism. The lower court's only duty is to apply the decision conformably. [Source: Section 437, BNSS 2023]</t>
  </si>
  <si>
    <t xml:space="preserve">CASE_4770</t>
  </si>
  <si>
    <t xml:space="preserve">The consequence is absolute judicial discipline; it reinforces the hierarchical structure of the judiciary. The "reference" mechanism is a tool for lower courts to seek binding guidance, not to debate their superiors. Once the guidance is given, the lower court must execute it mechanically. [Source: Section 437, BNSS 2023]</t>
  </si>
  <si>
    <t xml:space="preserve">CASE_4771</t>
  </si>
  <si>
    <t xml:space="preserve">Calling for records to exercise powers of revision</t>
  </si>
  <si>
    <t xml:space="preserve">Yes. This is called "revision." A High Court or Sessions Judge can call up the records of any lower criminal court in their area to check if their proceedings were correct, legal, and proper. [Source: Section 438, BNSS 2023]</t>
  </si>
  <si>
    <t xml:space="preserve">Hugging Face source record: BNSS_438</t>
  </si>
  <si>
    <t xml:space="preserve">CASE_4772</t>
  </si>
  <si>
    <t xml:space="preserve">Section 438 of BNSS 2023 establishes "Calling for records to exercise powers of revision," allowing High Courts or Sessions Judges to call for and examine the records of any inferior Criminal Court to satisfy themselves as to the correctness, legality, or propriety of any finding, sentence, or order. [Source: Section 438, BNSS 2023]</t>
  </si>
  <si>
    <t xml:space="preserve">CASE_4773</t>
  </si>
  <si>
    <t xml:space="preserve">No. Under sub-section (3), "If an application under this section has been made by any person either to the High Court or to the Sessions Judge, no further application by the same person shall be entertained by the other of them." [Source: Section 438, BNSS 2023]</t>
  </si>
  <si>
    <t xml:space="preserve">CASE_4774</t>
  </si>
  <si>
    <t xml:space="preserve">"any interlocutory order passed in any appeal, inquiry, trial or other proceeding." [Source: Section 438, BNSS 2023]</t>
  </si>
  <si>
    <t xml:space="preserve">CASE_4775</t>
  </si>
  <si>
    <t xml:space="preserve">No. The Explanation explicitly states: "All Magistrates, whether Executive or Judicial... shall be deemed to be inferior to the Sessions Judge for the purposes of this sub-section". [Source: Section 438, BNSS 2023]</t>
  </si>
  <si>
    <t xml:space="preserve">CASE_4776</t>
  </si>
  <si>
    <t xml:space="preserve">The consequence is preventing the endless stalling of trials; an interlocutory order is a temporary ruling during a trial (like allowing a specific witness to speak, or granting a short adjournment). If lawyers could file a High Court revision against every single minor ruling the trial judge made day-by-day, trials would take decades to finish. [Source: Section 438, BNSS 2023]</t>
  </si>
  <si>
    <t xml:space="preserve">CASE_4777</t>
  </si>
  <si>
    <t xml:space="preserve">Power to order inquiry</t>
  </si>
  <si>
    <t xml:space="preserve">Yes. A High Court or Sessions Judge can order the Chief Judicial Magistrate (or tell them to order a subordinate Magistrate) to conduct a "further inquiry" into a complaint that was hastily dismissed, or into a case where the accused was wrongly discharged early. [Source: Section 439, BNSS 2023]</t>
  </si>
  <si>
    <t xml:space="preserve">Hugging Face source record: BNSS_439</t>
  </si>
  <si>
    <t xml:space="preserve">CASE_4778</t>
  </si>
  <si>
    <t xml:space="preserve">Section 439 of BNSS 2023 provides the "Power to order inquiry," allowing a High Court or Sessions Judge, upon examining a record, to direct a Chief Judicial Magistrate (or subordinate) to make a further inquiry into a dismissed complaint or a discharged accused person's case. [Source: Section 439, BNSS 2023]</t>
  </si>
  <si>
    <t xml:space="preserve">CASE_4779</t>
  </si>
  <si>
    <t xml:space="preserve">No. The proviso strictly states: "no Court shall make any direction under this section for inquiry into the case of any person who has been discharged unless such person has had an opportunity of showing cause why such direction should not be made." [Source: Section 439, BNSS 2023]</t>
  </si>
  <si>
    <t xml:space="preserve">CASE_4780</t>
  </si>
  <si>
    <t xml:space="preserve">"the Chief Judicial Magistrate" (who may do it himself or direct a subordinate). [Source: Section 439, BNSS 2023]</t>
  </si>
  <si>
    <t xml:space="preserve">CASE_4781</t>
  </si>
  <si>
    <t xml:space="preserve">No. It only gives the power "to direct... further inquiry". It forces the lower court to re-open the investigation/hearing, it doesn't bypass the trial process. [Source: Section 439, BNSS 2023]</t>
  </si>
  <si>
    <t xml:space="preserve">CASE_4782</t>
  </si>
  <si>
    <t xml:space="preserve">The consequence is protecting victims from lazy or corrupt lower courts; if a local Magistrate arbitrarily throws a valid criminal complaint in the trash to protect a powerful local defendant (dismissal/discharge), the higher courts can forcefully reopen the case and demand a thorough, legally sound investigation. [Source: Section 439, BNSS 2023]</t>
  </si>
  <si>
    <t xml:space="preserve">CASE_4783</t>
  </si>
  <si>
    <t xml:space="preserve">Sessions Judge's powers of revision</t>
  </si>
  <si>
    <t xml:space="preserve">They basically have the exact same revision powers as the High Court. However, if you choose to file your revision with the Sessions Judge and lose, you are stuck—you cannot try again with the High Court. [Source: Section 440, BNSS 2023]</t>
  </si>
  <si>
    <t xml:space="preserve">Hugging Face source record: BNSS_440</t>
  </si>
  <si>
    <t xml:space="preserve">CASE_4784</t>
  </si>
  <si>
    <t xml:space="preserve">Section 440 of BNSS 2023 outlines the "Sessions Judge's powers of revision," granting the Sessions Judge the same revision powers as the High Court (under section 442), while explicitly making the Sessions Judge's decision final and barring the applicant from seeking further revision from the High Court. [Source: Section 440, BNSS 2023]</t>
  </si>
  <si>
    <t xml:space="preserve">CASE_4785</t>
  </si>
  <si>
    <t xml:space="preserve">No. Under sub-section (3), "the decision of the Sessions Judge thereon in relation to such person shall be final and no further proceeding by way of revision at the instance of such person shall be entertained by the High Court". [Source: Section 440, BNSS 2023]</t>
  </si>
  <si>
    <t xml:space="preserve">CASE_4786</t>
  </si>
  <si>
    <t xml:space="preserve">"sub-section (1) of section 442" (which lists the High Court's powers). [Source: Section 440, BNSS 2023]</t>
  </si>
  <si>
    <t xml:space="preserve">CASE_4787</t>
  </si>
  <si>
    <t xml:space="preserve">Yes. The bar in sub-section (3) applies to further proceedings "at the instance of such person" (the one who made the application to the Sessions Judge). Since the accused didn't make the first application, he isn't barred from making his own. [Source: Section 440, BNSS 2023]</t>
  </si>
  <si>
    <t xml:space="preserve">CASE_4788</t>
  </si>
  <si>
    <t xml:space="preserve">The consequence is preventing "forum shopping" and endless appeals; it forces litigants to choose whether they want a faster, cheaper revision at the district level (Sessions Judge) or a slower, more expensive one at the state level (High Court). They cannot have both. [Source: Section 440, BNSS 2023]</t>
  </si>
  <si>
    <t xml:space="preserve">CASE_4789</t>
  </si>
  <si>
    <t xml:space="preserve">Power of Additional Sessions Judge</t>
  </si>
  <si>
    <t xml:space="preserve">An Additional Sessions Judge can use all the same revision powers, but only for the specific cases that the main Sessions Judge actively assigns and transfers to them. [Source: Section 441, BNSS 2023]</t>
  </si>
  <si>
    <t xml:space="preserve">Hugging Face source record: BNSS_441</t>
  </si>
  <si>
    <t xml:space="preserve">CASE_4790</t>
  </si>
  <si>
    <t xml:space="preserve">Section 441 of BNSS 2023 covers the "Power of Additional Sessions Judge," granting an Additional Sessions Judge all the revision powers of a Sessions Judge, but strictly limiting this to cases transferred to them by the Sessions Judge's general or special order. [Source: Section 441, BNSS 2023]</t>
  </si>
  <si>
    <t xml:space="preserve">CASE_4791</t>
  </si>
  <si>
    <t xml:space="preserve">No. Section 441 limits their power strictly "in respect of any case which may be transferred to him by or under any general or special order of the Sessions Judge." They cannot initiate revisions on their own without the principal Sessions Judge's assignment. [Source: Section 441, BNSS 2023]</t>
  </si>
  <si>
    <t xml:space="preserve">CASE_4792</t>
  </si>
  <si>
    <t xml:space="preserve">From "the Sessions Judge". [Source: Section 441, BNSS 2023]</t>
  </si>
  <si>
    <t xml:space="preserve">CASE_4793</t>
  </si>
  <si>
    <t xml:space="preserve">No, it states they "shall have and may exercise all the powers of a Sessions Judge" (meaning exactly the same powers, no more, no less, for transferred cases). [Source: Section 441, BNSS 2023]</t>
  </si>
  <si>
    <t xml:space="preserve">CASE_4794</t>
  </si>
  <si>
    <t xml:space="preserve">The consequence is maintaining centralized administrative control in the district; while Additional Judges are judicially equal and capable of handling complex revisions, the principal Sessions Judge acts as the gatekeeper to manage the district's workload and prevent multiple judges from accidentally calling up the same Magistrate's records simultaneously. [Source: Section 441, BNSS 2023]</t>
  </si>
  <si>
    <t xml:space="preserve">CASE_4795</t>
  </si>
  <si>
    <t xml:space="preserve">High Court's powers of revision</t>
  </si>
  <si>
    <t xml:space="preserve">No. While the High Court's revision powers are massive (they can order a new trial, change sentences, or reverse convictions), they are strictly forbidden from directly converting an acquittal (innocent verdict) into a conviction (guilty verdict) using revision. [Source: Section 442, BNSS 2023]</t>
  </si>
  <si>
    <t xml:space="preserve">Hugging Face source record: BNSS_442</t>
  </si>
  <si>
    <t xml:space="preserve">CASE_4796</t>
  </si>
  <si>
    <t xml:space="preserve">Section 442 of BNSS 2023 outlines the "High Court's powers of revision," allowing it to exercise almost all appellate powers (like altering sentences or ordering retrials) during a revision, but strictly prohibiting it from converting an acquittal into a conviction, and barring revision if an appeal was available but not used. [Source: Section 442, BNSS 2023]</t>
  </si>
  <si>
    <t xml:space="preserve">CASE_4797</t>
  </si>
  <si>
    <t xml:space="preserve">No. Under sub-section (3), "Nothing in this section shall be deemed to authorise a High Court to convert a finding of acquittal into one of conviction." Furthermore, under sub-section (4), if an appeal was possible but not brought, "no proceeding by way of revision shall be entertained". [Source: Section 442, BNSS 2023]</t>
  </si>
  <si>
    <t xml:space="preserve">CASE_4798</t>
  </si>
  <si>
    <t xml:space="preserve">It must ensure "he has had an opportunity of being heard either personally or by advocate in his own defence." [Source: Section 442, BNSS 2023]</t>
  </si>
  <si>
    <t xml:space="preserve">CASE_4799</t>
  </si>
  <si>
    <t xml:space="preserve">Not necessarily. Under sub-section (5), if the High Court is satisfied it was made under an "erroneous belief" and justice requires it, the High Court "may treat the application for revision as a petition of appeal and deal with the same accordingly." [Source: Section 442, BNSS 2023]</t>
  </si>
  <si>
    <t xml:space="preserve">CASE_4800</t>
  </si>
  <si>
    <t xml:space="preserve">The consequence is protecting the fundamental right to a full appellate hearing; if the State wants to turn an innocent man into a guilty man, they must undergo the rigorous, formal process of a statutory Appeal (which has strict timelines and procedures). They cannot sneak a conviction through the backdoor using the High Court's discretionary "revision" powers. [Source: Section 442, BNSS 2023]</t>
  </si>
  <si>
    <t xml:space="preserve">CASE_4801</t>
  </si>
  <si>
    <t xml:space="preserve">Power of High Court to withdraw or transfer revision cases</t>
  </si>
  <si>
    <t xml:space="preserve">The High Court steps in to prevent chaos. The High Court will decide whether it should take both cases itself, or send its case down to the Sessions Court so that both revisions are handled together by the same judge. [Source: Section 443, BNSS 2023]</t>
  </si>
  <si>
    <t xml:space="preserve">Hugging Face source record: BNSS_443</t>
  </si>
  <si>
    <t xml:space="preserve">CASE_4802</t>
  </si>
  <si>
    <t xml:space="preserve">Section 443 of BNSS 2023 governs the "Power of High Court to withdraw or transfer revision cases," mandating that if co-accused file parallel revisions in both the Sessions Court and High Court, the High Court decides which Court should consolidate and finally dispose of both applications to ensure convenience and consistency. [Source: Section 443, BNSS 2023]</t>
  </si>
  <si>
    <t xml:space="preserve">CASE_4803</t>
  </si>
  <si>
    <t xml:space="preserve">No. Under sub-section (4), "Where an application for revision is transferred by the High Court to the Sessions Judge, no further application for revision shall lie to the High Court... at the instance of the person... whose applications for revision have been disposed of by the Sessions Judge." [Source: Section 443, BNSS 2023]</t>
  </si>
  <si>
    <t xml:space="preserve">CASE_4804</t>
  </si>
  <si>
    <t xml:space="preserve">"the general convenience of the parties and the importance of the questions involved". [Source: Section 443, BNSS 2023]</t>
  </si>
  <si>
    <t xml:space="preserve">CASE_4805</t>
  </si>
  <si>
    <t xml:space="preserve">No, under sub-section (2), "that Court shall deal with the same as if it were an application duly made before itself." [Source: Section 443, BNSS 2023]</t>
  </si>
  <si>
    <t xml:space="preserve">CASE_4806</t>
  </si>
  <si>
    <t xml:space="preserve">The consequence is preventing conflicting judicial orders on the exact same set of facts; if the Sessions Judge overturned the conviction for A, but the High Court upheld the conviction for B on the exact same trial record, it would undermine public faith in the justice system. Consolidation guarantees a single, unified legal ruling. [Source: Section 443, BNSS 2023]</t>
  </si>
  <si>
    <t xml:space="preserve">CASE_4807</t>
  </si>
  <si>
    <t xml:space="preserve">Option of Court to hear parties</t>
  </si>
  <si>
    <t xml:space="preserve">Unlike a trial or an appeal, no. You do not have an automatic right to be heard during a revision. The court can choose to read your paperwork and decide without letting you or your lawyer speak, although they usually do allow it if they think it's helpful. [Source: Section 444, BNSS 2023]</t>
  </si>
  <si>
    <t xml:space="preserve">Hugging Face source record: BNSS_444</t>
  </si>
  <si>
    <t xml:space="preserve">CASE_4808</t>
  </si>
  <si>
    <t xml:space="preserve">Section 444 of BNSS 2023 dictates the "Option of Court to hear parties," stating that generally, no party has a statutory right to be heard (personally or by advocate) in revision proceedings, though the Court retains the discretionary option to hear them if it sees fit. [Source: Section 444, BNSS 2023]</t>
  </si>
  <si>
    <t xml:space="preserve">CASE_4809</t>
  </si>
  <si>
    <t xml:space="preserve">No. Under Section 444, "no party has any right to be heard either personally or by an advocate before any Court exercising its powers of revision". The court's dismissal based solely on the paperwork is legal. [Source: Section 444, BNSS 2023]</t>
  </si>
  <si>
    <t xml:space="preserve">CASE_4810</t>
  </si>
  <si>
    <t xml:space="preserve">The court may hear them "if it thinks fit" (it is entirely discretionary/optional). [Source: Section 444, BNSS 2023]</t>
  </si>
  <si>
    <t xml:space="preserve">CASE_4811</t>
  </si>
  <si>
    <t xml:space="preserve">Yes, if expressly provided elsewhere. The section starts with "Save as otherwise expressly provided by this Sanhita". For example, Section 442(2) expressly says no order can prejudice the accused unless he *has* had an opportunity of being heard. So if the court plans to hurt the accused's case, they *must* hear him. [Source: Section 444, BNSS 2023]</t>
  </si>
  <si>
    <t xml:space="preserve">CASE_4812</t>
  </si>
  <si>
    <t xml:space="preserve">The consequence is extreme judicial speed for filtering out garbage applications; revision is meant to be a quick supervisory check by a higher court, not a full re-argument of the trial. If every frivolous revision applicant had a guaranteed right to 30 minutes of speaking time in the High Court, the appellate system would collapse. [Source: Section 444, BNSS 2023]</t>
  </si>
  <si>
    <t xml:space="preserve">CASE_4813</t>
  </si>
  <si>
    <t xml:space="preserve">High Court's order to be certified to lower Court</t>
  </si>
  <si>
    <t xml:space="preserve">Exactly like in an appeal. The higher court "certifies" (sends an official, sealed copy of) its new order down to the lower court, which must then update its files and follow the new order. [Source: Section 445, BNSS 2023]</t>
  </si>
  <si>
    <t xml:space="preserve">Hugging Face source record: BNSS_445</t>
  </si>
  <si>
    <t xml:space="preserve">CASE_4814</t>
  </si>
  <si>
    <t xml:space="preserve">Section 445 of BNSS 2023 mandates that the "High Court's order to be certified to lower Court," requiring that when a case is revised by the High Court or Sessions Judge, the decision must be formally certified to the originating Court, which must then amend its records and issue conformable orders. [Source: Section 445, BNSS 2023]</t>
  </si>
  <si>
    <t xml:space="preserve">CASE_4815</t>
  </si>
  <si>
    <t xml:space="preserve">Yes. Section 445 mandates that the revising court "shall, in the manner provided by section 429, certify its decision or order to the Court". Section 429 requires formal certification. The Magistrate must wait for the legally binding document before acting. [Source: Section 445, BNSS 2023]</t>
  </si>
  <si>
    <t xml:space="preserve">CASE_4816</t>
  </si>
  <si>
    <t xml:space="preserve">"if necessary, the record shall be amended in accordance therewith." [Source: Section 445, BNSS 2023]</t>
  </si>
  <si>
    <t xml:space="preserve">CASE_4817</t>
  </si>
  <si>
    <t xml:space="preserve">No, the text explicitly applies to when a case is revised "by the High Court *or a Sessions Judge*". Both must certify their revision orders downwards. [Source: Section 445, BNSS 2023]</t>
  </si>
  <si>
    <t xml:space="preserve">CASE_4818</t>
  </si>
  <si>
    <t xml:space="preserve">The consequence is maintaining a rigorous, unbroken chain of custody for judicial orders; a local police station or jail warden takes orders from the local Magistrate. The Magistrate cannot legally instruct the police to release a prisoner based on a newspaper article about a High Court revision; they must have the certified, official paper trail in their own file to act. [Source: Section 445, BNSS 2023]</t>
  </si>
  <si>
    <t xml:space="preserve">CASE_4819</t>
  </si>
  <si>
    <t xml:space="preserve">Power of Supreme Court to transfer cases and appeals</t>
  </si>
  <si>
    <t xml:space="preserve">Yes. The Supreme Court of India has the power to transfer a case or appeal from one High Court to another High Court, or from a lower court in one state to a lower court in a different state, if it's necessary for justice. [Source: Section 446, BNSS 2023]</t>
  </si>
  <si>
    <t xml:space="preserve">Hugging Face source record: BNSS_446</t>
  </si>
  <si>
    <t xml:space="preserve">CASE_4820</t>
  </si>
  <si>
    <t xml:space="preserve">Section 446 of BNSS 2023 outlines the "Power of Supreme Court to transfer cases and appeals," granting it the authority to transfer cases/appeals across state lines (between High Courts or their subordinate courts) when expedient for the ends of justice, acting upon applications supported by affidavits. [Source: Section 446, BNSS 2023]</t>
  </si>
  <si>
    <t xml:space="preserve">CASE_4821</t>
  </si>
  <si>
    <t xml:space="preserve">No. Under sub-section (2), every such application by an interested party "shall... be supported by affidavit or affirmation." (Only the Attorney-General or Advocate-General is exempt from this). [Source: Section 446, BNSS 2023]</t>
  </si>
  <si>
    <t xml:space="preserve">CASE_4822</t>
  </si>
  <si>
    <t xml:space="preserve">It can "order the applicant to pay by way of compensation to any person who has opposed the application such sum as it may consider appropriate". [Source: Section 446, BNSS 2023]</t>
  </si>
  <si>
    <t xml:space="preserve">CASE_4823</t>
  </si>
  <si>
    <t xml:space="preserve">No. Sub-section (2) explicitly states: "The Supreme Court may act under this section only on the application of the Attorney-General of India or of a party interested". A judge trying the case is not an applicant under this section. [Source: Section 446, BNSS 2023]</t>
  </si>
  <si>
    <t xml:space="preserve">CASE_4824</t>
  </si>
  <si>
    <t xml:space="preserve">The consequence is maintaining federal harmony; a High Court in State A has no authority to order a court in State B to take a case. Only the apex court, which oversees all states, has the jurisdictional supremacy to forcibly move litigation across state borders to ensure a fair trial. [Source: Section 446, BNSS 2023]</t>
  </si>
  <si>
    <t xml:space="preserve">CASE_4825</t>
  </si>
  <si>
    <t xml:space="preserve">Power of High Court to transfer cases and appeals</t>
  </si>
  <si>
    <t xml:space="preserve">The High Court can transfer the entire trial out of that local district to a different, safer court within the state, or even decide to conduct the trial itself, to ensure a fair and impartial hearing. [Source: Section 447, BNSS 2023]</t>
  </si>
  <si>
    <t xml:space="preserve">Hugging Face source record: BNSS_447</t>
  </si>
  <si>
    <t xml:space="preserve">CASE_4826</t>
  </si>
  <si>
    <t xml:space="preserve">Section 447 of BNSS 2023 details the "Power of High Court to transfer cases and appeals," allowing it to transfer cases among subordinate courts, commit cases to Sessions, or try cases itself, when necessary for a fair trial, dealing with complex law, or general convenience, while imposing strict procedural safeguards for such applications. [Source: Section 447, BNSS 2023]</t>
  </si>
  <si>
    <t xml:space="preserve">CASE_4827</t>
  </si>
  <si>
    <t xml:space="preserve">Yes. The proviso to sub-section (2) states: "no application shall lie to the High Court for transferring a case from one Criminal Court to another Criminal Court in the same sessions division, unless an application for such transfer has been made to the Sessions Judge and rejected by him." [Source: Section 447, BNSS 2023]</t>
  </si>
  <si>
    <t xml:space="preserve">CASE_4828</t>
  </si>
  <si>
    <t xml:space="preserve">"at least twenty-four hours have elapsed between the giving of such notice and the hearing of the application." [Source: Section 447, BNSS 2023]</t>
  </si>
  <si>
    <t xml:space="preserve">CASE_4829</t>
  </si>
  <si>
    <t xml:space="preserve">No. Sub-section (8) dictates: "it shall observe in such trial the same procedure which that Court would have observed if the case had not been so transferred." It must use the lower court's rulebook. [Source: Section 447, BNSS 2023]</t>
  </si>
  <si>
    <t xml:space="preserve">CASE_4830</t>
  </si>
  <si>
    <t xml:space="preserve">The consequence is preventing the trial from becoming moot; if the lower court rushes to convict the defendant while the High Court is still deciding whether the lower court was hopelessly biased, the damage is already done. A stay hits the "pause" button to ensure the transfer application has meaningful effect. [Source: Section 447, BNSS 2023]</t>
  </si>
  <si>
    <t xml:space="preserve">CASE_4831</t>
  </si>
  <si>
    <t xml:space="preserve">Power of Sessions Judge to transfer cases and appeals</t>
  </si>
  <si>
    <t xml:space="preserve">Yes. If it is necessary for justice (like if one Magistrate is heavily biased or overworked), the Sessions Judge can transfer a case between any criminal courts within their specific district (sessions division). [Source: Section 448, BNSS 2023]</t>
  </si>
  <si>
    <t xml:space="preserve">Hugging Face source record: BNSS_448</t>
  </si>
  <si>
    <t xml:space="preserve">CASE_4832</t>
  </si>
  <si>
    <t xml:space="preserve">Section 448 of BNSS 2023 outlines the "Power of Sessions Judge to transfer cases and appeals," granting them the authority to transfer cases between Criminal Courts within their own sessions division, utilizing the same procedures (affidavits, stays, etc.) as the High Court uses in Section 447. [Source: Section 448, BNSS 2023]</t>
  </si>
  <si>
    <t xml:space="preserve">CASE_4833</t>
  </si>
  <si>
    <t xml:space="preserve">No. Sub-section (3) applies the rules of Section 447, but explicitly modifies the compensation limit: "except that sub-section (7) of that section shall so apply as if for the word 'sum' occurring therein, the words 'sum not exceeding ten thousand rupees' were substituted." The maximum fine is 10,000 rupees. [Source: Section 448, BNSS 2023]</t>
  </si>
  <si>
    <t xml:space="preserve">CASE_4834</t>
  </si>
  <si>
    <t xml:space="preserve">"either on the report of the lower Court, or on the application of a party interested, or on his own initiative." [Source: Section 448, BNSS 2023]</t>
  </si>
  <si>
    <t xml:space="preserve">CASE_4835</t>
  </si>
  <si>
    <t xml:space="preserve">No. Sub-section (1) strictly limits the transfer "from one Criminal Court to another Criminal Court *in his sessions division*." He cannot transfer cases outside his own district. [Source: Section 448, BNSS 2023]</t>
  </si>
  <si>
    <t xml:space="preserve">CASE_4836</t>
  </si>
  <si>
    <t xml:space="preserve">The consequence is local administrative efficiency; instead of clogging the state High Court with hundreds of minor requests to move a petty theft trial from Courtroom 2 to Courtroom 4 down the hall, the principal judge of the district can quickly handle these local logistical adjustments. [Source: Section 448, BNSS 2023]</t>
  </si>
  <si>
    <t xml:space="preserve">CASE_4837</t>
  </si>
  <si>
    <t xml:space="preserve">Withdrawal of cases and appeals by Sessions Judges</t>
  </si>
  <si>
    <t xml:space="preserve">Yes, but only before the trial actually starts. Once the trial or appeal has commenced before the Additional Judge, the head Sessions Judge cannot yank the case away. [Source: Section 449, BNSS 2023]</t>
  </si>
  <si>
    <t xml:space="preserve">Hugging Face source record: BNSS_449</t>
  </si>
  <si>
    <t xml:space="preserve">CASE_4838</t>
  </si>
  <si>
    <t xml:space="preserve">Section 449 of BNSS 2023 governs the "Withdrawal of cases and appeals by Sessions Judges," allowing a principal Sessions Judge to withdraw/recall cases assigned to a CJM at any time, but restricting the recall of cases assigned to an Additional Sessions Judge to the period *before* the trial/hearing has commenced. [Source: Section 449, BNSS 2023]</t>
  </si>
  <si>
    <t xml:space="preserve">CASE_4839</t>
  </si>
  <si>
    <t xml:space="preserve">No. Under sub-section (2), the Sessions Judge may recall a case made over to an Additional Sessions Judge "At any time *before* the trial of the case or the hearing of the appeal has commenced". Since hearings have already occurred, the recall is illegal. [Source: Section 449, BNSS 2023]</t>
  </si>
  <si>
    <t xml:space="preserve">CASE_4840</t>
  </si>
  <si>
    <t xml:space="preserve">They may "try the case in his own Court", "hear the appeal himself", or "make it over... to another Court". [Source: Section 449, BNSS 2023]</t>
  </si>
  <si>
    <t xml:space="preserve">CASE_4841</t>
  </si>
  <si>
    <t xml:space="preserve">No. Sub-section (1) (regarding the CJM) has no time limit. The time limit restricting recall only to "before the trial... has commenced" is found exclusively in sub-section (2), which applies specifically to an "Additional Sessions Judge." [Source: Section 449, BNSS 2023]</t>
  </si>
  <si>
    <t xml:space="preserve">CASE_4842</t>
  </si>
  <si>
    <t xml:space="preserve">The consequence is protecting judicial independence; an Additional Sessions Judge is functionally equal in power to the main Sessions Judge regarding the trials they conduct. If the main judge could snatch a case away right before a verdict is announced simply because they didn't like the way the trial was going, it would destroy the integrity of the proceedings. [Source: Section 449, BNSS 2023]</t>
  </si>
  <si>
    <t xml:space="preserve">CASE_4843</t>
  </si>
  <si>
    <t xml:space="preserve">Withdrawal of cases by Judicial Magistrates</t>
  </si>
  <si>
    <t xml:space="preserve">Yes. The Chief Judicial Magistrate (CJM) can withdraw or recall any case they previously assigned to a lower Magistrate. After taking it back, the CJM can either judge it themselves or give it to a different competent Magistrate. [Source: Section 450, BNSS 2023]</t>
  </si>
  <si>
    <t xml:space="preserve">Hugging Face source record: BNSS_450</t>
  </si>
  <si>
    <t xml:space="preserve">CASE_4844</t>
  </si>
  <si>
    <t xml:space="preserve">Section 450 of BNSS 2023 outlines the "Withdrawal of cases by Judicial Magistrates," authorizing the Chief Judicial Magistrate to withdraw/recall cases from subordinates to try themselves or reassign, and allowing any Judicial Magistrate to recall cases they previously made over to others under section 212. [Source: Section 450, BNSS 2023]</t>
  </si>
  <si>
    <t xml:space="preserve">CASE_4845</t>
  </si>
  <si>
    <t xml:space="preserve">Yes. Under sub-section (2), "Any Judicial Magistrate may recall any case made over by him under sub-section (2) of section 212 to any other Magistrate and may inquire into or try such cases himself." [Source: Section 450, BNSS 2023]</t>
  </si>
  <si>
    <t xml:space="preserve">CASE_4846</t>
  </si>
  <si>
    <t xml:space="preserve">The CJM "may inquire into or try such case himself, or refer it for inquiry or trial to any other such Magistrate". [Source: Section 450, BNSS 2023]</t>
  </si>
  <si>
    <t xml:space="preserve">CASE_4847</t>
  </si>
  <si>
    <t xml:space="preserve">No. The general power to withdraw cases from *any* subordinate magistrate belongs exclusively to the "Chief Judicial Magistrate" (sub-section 1). A regular magistrate can only recall cases they specifically handed out themselves under section 212 (sub-section 2). [Source: Section 450, BNSS 2023]</t>
  </si>
  <si>
    <t xml:space="preserve">CASE_4848</t>
  </si>
  <si>
    <t xml:space="preserve">The consequence is centralized docket control; it allows the CJM, as the administrative head of the district's magistrates, to balance the workload, removing cases from overwhelmed or slow judges and reassigning them to ensure speedy trials. [Source: Section 450, BNSS 2023]</t>
  </si>
  <si>
    <t xml:space="preserve">CASE_4849</t>
  </si>
  <si>
    <t xml:space="preserve">Making over or withdrawal of cases by Executive Magistrates</t>
  </si>
  <si>
    <t xml:space="preserve">Yes. A District Magistrate or Sub-divisional Magistrate can assign a proceeding to a lower Executive Magistrate, or take a case back from them to handle it personally or give it to someone else. [Source: Section 451, BNSS 2023]</t>
  </si>
  <si>
    <t xml:space="preserve">Hugging Face source record: BNSS_451</t>
  </si>
  <si>
    <t xml:space="preserve">CASE_4850</t>
  </si>
  <si>
    <t xml:space="preserve">Section 451 of BNSS 2023 details the "Making over or withdrawal of cases by Executive Magistrates," granting District Magistrates and Sub-divisional Magistrates the administrative authority to make over, withdraw, or recall proceedings from their subordinate Executive Magistrates. [Source: Section 451, BNSS 2023]</t>
  </si>
  <si>
    <t xml:space="preserve">CASE_4851</t>
  </si>
  <si>
    <t xml:space="preserve">Yes. Under clause (b), the District Magistrate may "withdraw any case from, or recall any case which he has made over to, any Magistrate subordinate to him, and dispose of such proceeding himself". [Source: Section 451, BNSS 2023]</t>
  </si>
  <si>
    <t xml:space="preserve">CASE_4852</t>
  </si>
  <si>
    <t xml:space="preserve">"Any District Magistrate or Sub-divisional Magistrate". [Source: Section 451, BNSS 2023]</t>
  </si>
  <si>
    <t xml:space="preserve">CASE_4853</t>
  </si>
  <si>
    <t xml:space="preserve">No. This section specifically applies to "Executive Magistrates" and the proceedings they handle (like public order, security bonds). It does not grant them power over the Judicial Magistrates handling substantive criminal trials. [Source: Section 451, BNSS 2023]</t>
  </si>
  <si>
    <t xml:space="preserve">CASE_4854</t>
  </si>
  <si>
    <t xml:space="preserve">The consequence is flexible administrative governance; executive proceedings often deal with fast-moving public order crises. This allows the senior officials (DM/SDM) to instantly delegate tasks to subordinates or take direct control of explosive situations without needing a formal judicial order. [Source: Section 451, BNSS 2023]</t>
  </si>
  <si>
    <t xml:space="preserve">CASE_4855</t>
  </si>
  <si>
    <t xml:space="preserve">Reasons to be recorded</t>
  </si>
  <si>
    <t xml:space="preserve">Yes. They cannot just secretly move cases around. The law requires them to write down the specific reasons why they are transferring, withdrawing, or recalling a case. [Source: Section 452, BNSS 2023]</t>
  </si>
  <si>
    <t xml:space="preserve">Hugging Face source record: BNSS_452</t>
  </si>
  <si>
    <t xml:space="preserve">CASE_4856</t>
  </si>
  <si>
    <t xml:space="preserve">Section 452 of BNSS 2023 mandates "Reasons to be recorded," requiring that any Sessions Judge or Magistrate making a case transfer/withdrawal order under sections 448, 449, 450, or 451 must formally record their reasons for doing so. [Source: Section 452, BNSS 2023]</t>
  </si>
  <si>
    <t xml:space="preserve">CASE_4857</t>
  </si>
  <si>
    <t xml:space="preserve">No. Section 452 explicitly states: "A Sessions Judge or Magistrate making an order under... section 450... shall record his reasons for making it." A silent, unexplained withdrawal violates this requirement. [Source: Section 452, BNSS 2023]</t>
  </si>
  <si>
    <t xml:space="preserve">CASE_4858</t>
  </si>
  <si>
    <t xml:space="preserve">"section 448, section 449, section 450 or section 451". [Source: Section 452, BNSS 2023]</t>
  </si>
  <si>
    <t xml:space="preserve">CASE_4859</t>
  </si>
  <si>
    <t xml:space="preserve">Technically, this specific section only lists "A Sessions Judge or Magistrate". It does not explicitly mention the High Court. (However, High Courts are generally bound by Constitutional principles to provide reasoned orders, even if not explicitly captured by this one specific section of the BNSS). [Source: Section 452, BNSS 2023]</t>
  </si>
  <si>
    <t xml:space="preserve">CASE_4860</t>
  </si>
  <si>
    <t xml:space="preserve">The consequence is preventing administrative abuse and corruption; it stops a senior judge from quietly pulling a case away from an honest junior judge to give it to a corrupt one in exchange for a bribe, because the senior judge is forced to publicly justify the transfer on the official record. [Source: Section 452, BNSS 2023]</t>
  </si>
  <si>
    <t xml:space="preserve">CASE_4861</t>
  </si>
  <si>
    <t xml:space="preserve">Execution of order passed under section 409</t>
  </si>
  <si>
    <t xml:space="preserve">The High Court sends its confirmation order back down to the Sessions Court. The Sessions Court is then responsible for issuing the actual "warrant" (the official paperwork) to the prison to carry out the execution. [Source: Section 453, BNSS 2023]</t>
  </si>
  <si>
    <t xml:space="preserve">Hugging Face source record: BNSS_453</t>
  </si>
  <si>
    <t xml:space="preserve">CASE_4862</t>
  </si>
  <si>
    <t xml:space="preserve">Section 453 of BNSS 2023 dictates the "Execution of order passed under section 409," requiring the Court of Session, upon receiving the High Court's confirmation of a death sentence, to cause the order to be carried into effect by issuing a warrant or taking necessary steps. [Source: Section 453, BNSS 2023]</t>
  </si>
  <si>
    <t xml:space="preserve">CASE_4863</t>
  </si>
  <si>
    <t xml:space="preserve">No. Section 453 specifies that "the Court of Session... shall cause such order to be carried into effect by issuing a warrant". The warden must wait for the formal execution warrant signed by the Sessions Court judge, not an email from the High Court. [Source: Section 453, BNSS 2023]</t>
  </si>
  <si>
    <t xml:space="preserve">CASE_4864</t>
  </si>
  <si>
    <t xml:space="preserve">"the Court of Session". [Source: Section 453, BNSS 2023]</t>
  </si>
  <si>
    <t xml:space="preserve">CASE_4865</t>
  </si>
  <si>
    <t xml:space="preserve">No, the section says they execute the "order of confirmation *or other order*". If the order is an acquittal, the "other steps necessary" would be issuing a release order, not an execution warrant. [Source: Section 453, BNSS 2023]</t>
  </si>
  <si>
    <t xml:space="preserve">CASE_4866</t>
  </si>
  <si>
    <t xml:space="preserve">The consequence is maintaining the administrative chain of custody; the Sessions Court holds the original trial record and is the local authority interfacing with the local prison. It ensures the physical execution of the sentence is managed by the local district authorities who have physical jurisdiction over the prisoner. [Source: Section 453, BNSS 2023]</t>
  </si>
  <si>
    <t xml:space="preserve">CASE_4867</t>
  </si>
  <si>
    <t xml:space="preserve">Execution of sentence of death passed by High Court</t>
  </si>
  <si>
    <t xml:space="preserve">Even if the High Court is the one who originally pronounced the death sentence on appeal, the paperwork still goes down to the local Sessions Court. The Sessions Court is always the one that issues the actual execution warrant to the jail. [Source: Section 454, BNSS 2023]</t>
  </si>
  <si>
    <t xml:space="preserve">Hugging Face source record: BNSS_454</t>
  </si>
  <si>
    <t xml:space="preserve">CASE_4868</t>
  </si>
  <si>
    <t xml:space="preserve">Section 454 of BNSS 2023 governs the "Execution of sentence of death passed by High Court," mandating that when the High Court passes a death sentence in appeal or revision, the Court of Session shall issue the warrant to carry it into effect upon receiving the High Court's order. [Source: Section 454, BNSS 2023]</t>
  </si>
  <si>
    <t xml:space="preserve">CASE_4869</t>
  </si>
  <si>
    <t xml:space="preserve">No. Section 454 explicitly states that "the Court of Session shall, on receiving the order of the High Court, cause the sentence to be carried into effect by issuing a warrant." The High Court passes the sentence, but the Sessions Court issues the warrant. [Source: Section 454, BNSS 2023]</t>
  </si>
  <si>
    <t xml:space="preserve">CASE_4870</t>
  </si>
  <si>
    <t xml:space="preserve">"in appeal or in revision". [Source: Section 454, BNSS 2023]</t>
  </si>
  <si>
    <t xml:space="preserve">CASE_4871</t>
  </si>
  <si>
    <t xml:space="preserve">No. Death sentences are strictly the domain of the Sessions Courts and High Courts. The section explicitly directs "the Court of Session" to issue the warrant. [Source: Section 454, BNSS 2023]</t>
  </si>
  <si>
    <t xml:space="preserve">CASE_4872</t>
  </si>
  <si>
    <t xml:space="preserve">The consequence is standardizing the morbid bureaucracy of state executions; regardless of whether the death sentence was confirmed by the High Court or originally invented by the High Court, the local prison warden only ever has to look to one familiar local authority (the Sessions Court) for the final, deadly piece of paper. [Source: Section 454, BNSS 2023]</t>
  </si>
  <si>
    <t xml:space="preserve">CASE_4873</t>
  </si>
  <si>
    <t xml:space="preserve">Postponement of execution of sentence of death in case of appeal to Supreme</t>
  </si>
  <si>
    <t xml:space="preserve">The person gets time. The High Court is legally required to postpone (delay) the execution to give the condemned person time to file an appeal with the Supreme Court, or to apply for special permission to appeal. [Source: Section 455, BNSS 2023]</t>
  </si>
  <si>
    <t xml:space="preserve">Hugging Face source record: BNSS_455</t>
  </si>
  <si>
    <t xml:space="preserve">CASE_4874</t>
  </si>
  <si>
    <t xml:space="preserve">Section 455 of BNSS 2023 mandates the "Postponement of execution of sentence of death in case of appeal to Supreme Court," requiring High Courts to stay executions until the expiration of the appeal period, the disposal of the appeal itself, or the disposal of applications for special leave/certificates to appeal to the Supreme Court. [Source: Section 455, BNSS 2023]</t>
  </si>
  <si>
    <t xml:space="preserve">CASE_4875</t>
  </si>
  <si>
    <t xml:space="preserve">No. Under sub-section (1), the High Court "shall order the execution of the sentence to be postponed until the period allowed for preferring such appeal has expired". Even if he hasn't filed it yet, he must be kept alive for the full duration of his legal time window. [Source: Section 455, BNSS 2023]</t>
  </si>
  <si>
    <t xml:space="preserve">CASE_4876</t>
  </si>
  <si>
    <t xml:space="preserve">"for such period as it considers sufficient to enable him to present such petition." [Source: Section 455, BNSS 2023]</t>
  </si>
  <si>
    <t xml:space="preserve">CASE_4877</t>
  </si>
  <si>
    <t xml:space="preserve">No. The postponement only lasts "until such appeal is disposed of" (sub-section 1). Once the Supreme Court disposes of the appeal by rejecting it, this specific statutory protection ends. [Source: Section 455, BNSS 2023]</t>
  </si>
  <si>
    <t xml:space="preserve">CASE_4878</t>
  </si>
  <si>
    <t xml:space="preserve">The consequence is preventing irreversible miscarriages of justice; death is the final punishment. If the state executes a man while his appeal is still sitting in the Supreme Court mailroom, and the Supreme Court later decides he was innocent, the state has committed murder. This section ensures the legal process is fully exhausted before the trapdoor opens. [Source: Section 455, BNSS 2023]</t>
  </si>
  <si>
    <t xml:space="preserve">CASE_4879</t>
  </si>
  <si>
    <t xml:space="preserve">Commutation of sentence of death on pregnant woman</t>
  </si>
  <si>
    <t xml:space="preserve">No. If a woman who has been sentenced to death is found to be pregnant, the High Court is legally required to change (commute) her death sentence to life in prison instead. [Source: Section 456, BNSS 2023]</t>
  </si>
  <si>
    <t xml:space="preserve">Hugging Face source record: BNSS_456</t>
  </si>
  <si>
    <t xml:space="preserve">CASE_4880</t>
  </si>
  <si>
    <t xml:space="preserve">Section 456 of BNSS 2023 mandates the "Commutation of sentence of death on pregnant woman," explicitly requiring the High Court to commute a death sentence to imprisonment for life if the condemned woman is found to be pregnant. [Source: Section 456, BNSS 2023]</t>
  </si>
  <si>
    <t xml:space="preserve">CASE_4881</t>
  </si>
  <si>
    <t xml:space="preserve">No. Section 456 states the High Court "shall commute the sentence". "Shall" makes it an absolute legal mandate with no discretion. [Source: Section 456, BNSS 2023]</t>
  </si>
  <si>
    <t xml:space="preserve">CASE_4882</t>
  </si>
  <si>
    <t xml:space="preserve">"imprisonment for life." [Source: Section 456, BNSS 2023]</t>
  </si>
  <si>
    <t xml:space="preserve">CASE_4883</t>
  </si>
  <si>
    <t xml:space="preserve">No. The section specifically grants this power/duty only to "the High Court". (The lower court would likely have to inform the High Court to trigger the commutation). [Source: Section 456, BNSS 2023]</t>
  </si>
  <si>
    <t xml:space="preserve">CASE_4884</t>
  </si>
  <si>
    <t xml:space="preserve">The consequence is protecting innocent fetal life; executing a pregnant woman would inherently involve the state-sanctioned killing of an unborn child who committed no crime. Converting the sentence to life imprisonment ensures the mother is punished without committing a secondary injustice. [Source: Section 456, BNSS 2023]</t>
  </si>
  <si>
    <t xml:space="preserve">CASE_4885</t>
  </si>
  <si>
    <t xml:space="preserve">Power to appoint place of imprisonment</t>
  </si>
  <si>
    <t xml:space="preserve">Generally, the State Government decides which prisons criminals go to. If a criminal is accidentally put in a "civil" jail (for debtors), a judge can order them moved to a proper "criminal" jail. [Source: Section 457, BNSS 2023]</t>
  </si>
  <si>
    <t xml:space="preserve">Hugging Face source record: BNSS_457</t>
  </si>
  <si>
    <t xml:space="preserve">CASE_4886</t>
  </si>
  <si>
    <t xml:space="preserve">Section 457 of BNSS 2023 defines the "Power to appoint place of imprisonment," granting the State Government general authority to direct where persons shall be confined, while giving Courts/Magistrates the power to transfer prisoners from civil jails to criminal jails (and defining rules for their return). [Source: Section 457, BNSS 2023]</t>
  </si>
  <si>
    <t xml:space="preserve">CASE_4887</t>
  </si>
  <si>
    <t xml:space="preserve">Yes. Under sub-section (3)(a), if "three years have elapsed since he was removed to the criminal jail... he shall be deemed to have been released from the civil jail under section 58 of the Code of Civil Procedure". His civil debt jail time effectively ran concurrently and expired. [Source: Section 457, BNSS 2023]</t>
  </si>
  <si>
    <t xml:space="preserve">CASE_4888</t>
  </si>
  <si>
    <t xml:space="preserve">"the State Government". [Source: Section 457, BNSS 2023]</t>
  </si>
  <si>
    <t xml:space="preserve">CASE_4889</t>
  </si>
  <si>
    <t xml:space="preserve">No, under sub-section (3), "he shall, on being released therefrom, be sent back to the civil jail", unless 3 years have elapsed or the civil court certifies he is entitled to release. So after 1 year, he goes back to the civil jail. [Source: Section 457, BNSS 2023]</t>
  </si>
  <si>
    <t xml:space="preserve">CASE_4890</t>
  </si>
  <si>
    <t xml:space="preserve">The consequence is maintaining different penal regimes; civil jails are for people who refuse to pay debts (coercive custody), while criminal jails are for punishing violent or dangerous offenders (punitive custody). Mixing them could endanger non-violent debtors. [Source: Section 457, BNSS 2023]</t>
  </si>
  <si>
    <t xml:space="preserve">CASE_4891</t>
  </si>
  <si>
    <t xml:space="preserve">Execution of sentence of imprisonment</t>
  </si>
  <si>
    <t xml:space="preserve">The judge signs a "warrant" (official order) and hands it to the police along with the convicted person to deliver them to the jail. If the convicted person ran away before the sentence was announced, the judge issues an arrest warrant, and their prison sentence only starts counting on the day they are finally caught. [Source: Section 458, BNSS 2023]</t>
  </si>
  <si>
    <t xml:space="preserve">Hugging Face source record: BNSS_458</t>
  </si>
  <si>
    <t xml:space="preserve">CASE_4892</t>
  </si>
  <si>
    <t xml:space="preserve">Section 458 of BNSS 2023 details the "Execution of sentence of imprisonment," requiring the Court to forward a warrant and the accused to the jail forthwith, or to issue an arrest warrant if the accused is absent (in which case the sentence commences upon arrest). [Source: Section 458, BNSS 2023]</t>
  </si>
  <si>
    <t xml:space="preserve">CASE_4893</t>
  </si>
  <si>
    <t xml:space="preserve">No. Under sub-section (2), because he was not present when sentenced, the Court issues an arrest warrant, "and in such case, the sentence shall commence on the date of his arrest." His 5-year clock starts on the day he is caught. [Source: Section 458, BNSS 2023]</t>
  </si>
  <si>
    <t xml:space="preserve">CASE_4894</t>
  </si>
  <si>
    <t xml:space="preserve">"where the accused is sentenced to imprisonment till the rising of the Court". [Source: Section 458, BNSS 2023]</t>
  </si>
  <si>
    <t xml:space="preserve">CASE_4895</t>
  </si>
  <si>
    <t xml:space="preserve">No. Sub-section (1) says "unless the accused is already confined in such jail". The court just sends the warrant to the jail to update their paperwork. [Source: Section 458, BNSS 2023]</t>
  </si>
  <si>
    <t xml:space="preserve">CASE_4896</t>
  </si>
  <si>
    <t xml:space="preserve">The consequence is preventing fugitives from running out the clock; if sentences started counting the day they were pronounced regardless of custody, criminals out on bail would simply hide in the forest for the duration of their sentence and then emerge completely free. [Source: Section 458, BNSS 2023]</t>
  </si>
  <si>
    <t xml:space="preserve">CASE_4897</t>
  </si>
  <si>
    <t xml:space="preserve">Direction of warrant for execution</t>
  </si>
  <si>
    <t xml:space="preserve">The warrant is addressed directly to the "officer in charge" of the specific jail or place where the prisoner is going to be locked up. [Source: Section 459, BNSS 2023]</t>
  </si>
  <si>
    <t xml:space="preserve">Hugging Face source record: BNSS_459</t>
  </si>
  <si>
    <t xml:space="preserve">CASE_4898</t>
  </si>
  <si>
    <t xml:space="preserve">Section 459 of BNSS 2023 dictates the "Direction of warrant for execution," stating that every warrant for executing a sentence of imprisonment must be directed to the officer in charge of the jail or confinement facility. [Source: Section 459, BNSS 2023]</t>
  </si>
  <si>
    <t xml:space="preserve">CASE_4899</t>
  </si>
  <si>
    <t xml:space="preserve">No. Section 459 strictly requires that the warrant "shall be directed to the officer in charge of the jail or other place in which the prisoner is... to be, confined." It goes to the prison warden, not the local police chief. [Source: Section 459, BNSS 2023]</t>
  </si>
  <si>
    <t xml:space="preserve">CASE_4900</t>
  </si>
  <si>
    <t xml:space="preserve">"the officer in charge of the jail or other place". [Source: Section 459, BNSS 2023]</t>
  </si>
  <si>
    <t xml:space="preserve">CASE_4901</t>
  </si>
  <si>
    <t xml:space="preserve">No, the statute contains no such exception. It strictly mandates direction to the officer in charge of the jail. [Source: Section 459, BNSS 2023]</t>
  </si>
  <si>
    <t xml:space="preserve">CASE_4902</t>
  </si>
  <si>
    <t xml:space="preserve">The consequence is establishing clear legal custody and indemnity; a jailer commits the tort of false imprisonment if they lock someone up without legal authority. A warrant explicitly addressed to the jailer provides them with the absolute legal shield and mandate required to hold the citizen against their will. [Source: Section 459, BNSS 2023]</t>
  </si>
  <si>
    <t xml:space="preserve">CASE_4903</t>
  </si>
  <si>
    <t xml:space="preserve">Warrant with whom to be lodged</t>
  </si>
  <si>
    <t xml:space="preserve">The physical warrant is lodged (stored) with the jailor inside the jail. [Source: Section 460, BNSS 2023]</t>
  </si>
  <si>
    <t xml:space="preserve">Hugging Face source record: BNSS_460</t>
  </si>
  <si>
    <t xml:space="preserve">CASE_4904</t>
  </si>
  <si>
    <t xml:space="preserve">Section 460 of BNSS 2023 governs "Warrant with whom to be lodged," requiring that when a prisoner is confined in a jail, the execution warrant must be lodged with the jailor. [Source: Section 460, BNSS 2023]</t>
  </si>
  <si>
    <t xml:space="preserve">CASE_4905</t>
  </si>
  <si>
    <t xml:space="preserve">No. Section 460 states "the warrant shall be lodged with the jailor." The jailor must keep the physical document on-site as proof of their legal authority to hold the prisoner. [Source: Section 460, BNSS 2023]</t>
  </si>
  <si>
    <t xml:space="preserve">CASE_4906</t>
  </si>
  <si>
    <t xml:space="preserve">"with the jailor." [Source: Section 460, BNSS 2023]</t>
  </si>
  <si>
    <t xml:space="preserve">CASE_4907</t>
  </si>
  <si>
    <t xml:space="preserve">No, the warrant remains lodged with the jailor for the duration of the confinement term as their ongoing authorization. [Source: Section 460, BNSS 2023]</t>
  </si>
  <si>
    <t xml:space="preserve">CASE_4908</t>
  </si>
  <si>
    <t xml:space="preserve">The consequence is administrative accountability and habeas corpus readiness; if a judge or a lawyer suddenly shows up demanding to know why a citizen is in a cage, the jailor can immediately pull the physical warrant from their filing cabinet to legally justify the detention. [Source: Section 460, BNSS 2023]</t>
  </si>
  <si>
    <t xml:space="preserve">CASE_4909</t>
  </si>
  <si>
    <t xml:space="preserve">Warrant for levy of fine</t>
  </si>
  <si>
    <t xml:space="preserve">The court can seize and sell the criminal's movable property (like their car or TV). Alternatively, the court can tell the district Collector to seize and sell the criminal's real estate (land/houses) just like they would collect unpaid property taxes. [Source: Section 461, BNSS 2023]</t>
  </si>
  <si>
    <t xml:space="preserve">Hugging Face source record: BNSS_461</t>
  </si>
  <si>
    <t xml:space="preserve">CASE_4910</t>
  </si>
  <si>
    <t xml:space="preserve">Section 461 of BNSS 2023 provides the "Warrant for levy of fine," allowing a Court to recover unpaid fines by issuing a warrant for the attachment/sale of movable property, or by authorizing the District Collector to realize the amount from movable/immovable property as arrears of land revenue. [Source: Section 461, BNSS 2023]</t>
  </si>
  <si>
    <t xml:space="preserve">CASE_4911</t>
  </si>
  <si>
    <t xml:space="preserve">No. The proviso to sub-section (3) explicitly states: "no such warrant shall be executed by the arrest or detention in prison of the offender." The Collector can only seize property, not the person. [Source: Section 461, BNSS 2023]</t>
  </si>
  <si>
    <t xml:space="preserve">CASE_4912</t>
  </si>
  <si>
    <t xml:space="preserve">"any movable property belonging to the offender". (The Court itself cannot directly seize immovable property like land; it must use the Collector for that). [Source: Section 461, BNSS 2023]</t>
  </si>
  <si>
    <t xml:space="preserve">CASE_4913</t>
  </si>
  <si>
    <t xml:space="preserve">Generally, no. The proviso to sub-section (1) states that if the offender has undergone the whole default imprisonment, "no Court shall issue such warrant" unless it records "special reasons" in writing, or unless the fine was meant to be used to pay compensation to the victim under section 395. [Source: Section 461, BNSS 2023]</t>
  </si>
  <si>
    <t xml:space="preserve">CASE_4914</t>
  </si>
  <si>
    <t xml:space="preserve">The consequence is unlocking immense state power; land revenue recovery laws are incredibly draconian and efficient, designed to quickly seize and auction off farmland if taxes aren't paid. By linking criminal fines to this system, the state ensures criminals cannot hide their wealth in real estate to avoid paying their debts to society. [Source: Section 461, BNSS 2023]</t>
  </si>
  <si>
    <t xml:space="preserve">CASE_4915</t>
  </si>
  <si>
    <t xml:space="preserve">Effect of such warrant</t>
  </si>
  <si>
    <t xml:space="preserve">Yes, but only after they take the warrant to the local District Magistrate in Pune and have the Pune Magistrate sign it ("endorse" it). Once endorsed, the Mumbai warrant is valid in Pune. [Source: Section 462, BNSS 2023]</t>
  </si>
  <si>
    <t xml:space="preserve">Hugging Face source record: BNSS_462</t>
  </si>
  <si>
    <t xml:space="preserve">CASE_4916</t>
  </si>
  <si>
    <t xml:space="preserve">Section 462 of BNSS 2023 defines the "Effect of such warrant," stating that a court's warrant to attach movable property for fine recovery can be executed outside its local jurisdiction if it is endorsed by the District Magistrate of the area where the property is found. [Source: Section 462, BNSS 2023]</t>
  </si>
  <si>
    <t xml:space="preserve">CASE_4917</t>
  </si>
  <si>
    <t xml:space="preserve">No. Because the property was found "outside such jurisdiction," Section 462 requires that the warrant "is endorsed by the District Magistrate within whose local jurisdiction such property is found" *before* it authorizes attachment. The police jumped the gun. [Source: Section 462, BNSS 2023]</t>
  </si>
  <si>
    <t xml:space="preserve">CASE_4918</t>
  </si>
  <si>
    <t xml:space="preserve">"it is endorsed by the District Magistrate". [Source: Section 462, BNSS 2023]</t>
  </si>
  <si>
    <t xml:space="preserve">CASE_4919</t>
  </si>
  <si>
    <t xml:space="preserve">No, Section 462 explicitly applies only to "A warrant issued under clause (a) of sub-section (1) of section 461" (which is the direct court warrant for movable property). Warrants sent to the Collector follow land revenue rules. [Source: Section 462, BNSS 2023]</t>
  </si>
  <si>
    <t xml:space="preserve">CASE_4920</t>
  </si>
  <si>
    <t xml:space="preserve">The consequence is maintaining local sovereign control; police from District A cannot simply raid homes in District B without warning. Forcing them to get the District B Magistrate's signature ensures the local authorities are aware of and authorize the seizure happening in their territory, preventing inter-departmental conflicts. [Source: Section 462, BNSS 2023]</t>
  </si>
  <si>
    <t xml:space="preserve">CASE_4921</t>
  </si>
  <si>
    <t xml:space="preserve">Warrant for levy of fine issued by a Court in any territory to which this Sanhita does not</t>
  </si>
  <si>
    <t xml:space="preserve">The non-BNSS court can send a warrant to the District Collector in the BNSS state, and the Collector must execute it and seize the land exactly as if the warrant had been issued by a normal BNSS court. [Source: Section 463, BNSS 2023]</t>
  </si>
  <si>
    <t xml:space="preserve">Hugging Face source record: BNSS_463</t>
  </si>
  <si>
    <t xml:space="preserve">CASE_4922</t>
  </si>
  <si>
    <t xml:space="preserve">Section 463 of BNSS 2023 covers a "Warrant for levy of fine issued by a Court in any territory to which this Sanhita does not extend," deeming such warrants directed to a Collector within the BNSS territory as validly issued under Section 461(1)(b), allowing realization as land revenue arrears. [Source: Section 463, BNSS 2023]</t>
  </si>
  <si>
    <t xml:space="preserve">CASE_4923</t>
  </si>
  <si>
    <t xml:space="preserve">Yes. Under Section 463, "such warrant shall be deemed to be a warrant issued under clause (b) of sub-section (1) of section 461 by a Court in the territories to which this Sanhita extends". The Collector executes it under BNSS rules. [Source: Section 463, BNSS 2023]</t>
  </si>
  <si>
    <t xml:space="preserve">CASE_4924</t>
  </si>
  <si>
    <t xml:space="preserve">"to the Collector of a district in the territories to which this Sanhita extends". [Source: Section 463, BNSS 2023]</t>
  </si>
  <si>
    <t xml:space="preserve">CASE_4925</t>
  </si>
  <si>
    <t xml:space="preserve">No. It refers to a Court "in any territory to which this Sanhita does not extend," which in the context of Indian law implies territories within India (like certain tribal areas or states with special status) where the central BNSS hasn't been fully adopted, not foreign nations. [Source: Section 463, BNSS 2023]</t>
  </si>
  <si>
    <t xml:space="preserve">CASE_4926</t>
  </si>
  <si>
    <t xml:space="preserve">The consequence is closing jurisdictional loopholes; it ensures that criminals cannot commit crimes in special-status areas and then shield their wealth by buying property across the border in standard-status states. It creates a seamless mechanism for financial punishment across India's complex jurisdictional map. [Source: Section 463, BNSS 2023]</t>
  </si>
  <si>
    <t xml:space="preserve">CASE_4927</t>
  </si>
  <si>
    <t xml:space="preserve">Suspension of execution of sentence of imprisonment</t>
  </si>
  <si>
    <t xml:space="preserve">Not necessarily. The judge can give you up to 30 days to get the money, or let you pay in installments over a few months. They will suspend your jail sentence and let you go home on a bond, but if you miss a payment deadline, you go straight to jail. [Source: Section 464, BNSS 2023]</t>
  </si>
  <si>
    <t xml:space="preserve">Hugging Face source record: BNSS_464</t>
  </si>
  <si>
    <t xml:space="preserve">CASE_4928</t>
  </si>
  <si>
    <t xml:space="preserve">Section 464 of BNSS 2023 governs the "Suspension of execution of sentence of imprisonment," allowing courts to grant offenders up to 30 days (or scheduled installments) to pay a fine, releasing them on bond in the interim, but authorizing immediate execution of default imprisonment if a payment is missed. [Source: Section 464, BNSS 2023]</t>
  </si>
  <si>
    <t xml:space="preserve">CASE_4929</t>
  </si>
  <si>
    <t xml:space="preserve">No. Under sub-section (1)(a), the court may order the fine payable in installments, but "the first shall be payable on or before a date *not more than thirty days* from the date of the order" and subsequent installments at intervals "of *not more than thirty days*". 60 days violates the statute. [Source: Section 464, BNSS 2023]</t>
  </si>
  <si>
    <t xml:space="preserve">CASE_4930</t>
  </si>
  <si>
    <t xml:space="preserve">They must execute "a bond or bail bond, as the Court thinks fit". [Source: Section 464, BNSS 2023]</t>
  </si>
  <si>
    <t xml:space="preserve">CASE_4931</t>
  </si>
  <si>
    <t xml:space="preserve">It applies to other orders too. Sub-section (2) states: "The provisions of sub-section (1) shall be applicable also in any case in which an order for the payment of money has been made on non-recovery of which imprisonment may be awarded". [Source: Section 464, BNSS 2023]</t>
  </si>
  <si>
    <t xml:space="preserve">CASE_4932</t>
  </si>
  <si>
    <t xml:space="preserve">The consequence is avoiding the criminalization of temporary poverty; if courts had to instantly jail everyone who couldn't pull 10,000 rupees out of their pocket at the moment of sentencing, prisons would be overflowing with minor offenders. This grace period gives citizens a fair chance to liquidate assets or borrow money to pay their debt to society. [Source: Section 464, BNSS 2023]</t>
  </si>
  <si>
    <t xml:space="preserve">CASE_4933</t>
  </si>
  <si>
    <t xml:space="preserve">Who may issue warrant</t>
  </si>
  <si>
    <t xml:space="preserve">The new judge who takes over their old desk (their "successor-in-office") has the full legal power to issue the warrant. [Source: Section 465, BNSS 2023]</t>
  </si>
  <si>
    <t xml:space="preserve">Hugging Face source record: BNSS_465</t>
  </si>
  <si>
    <t xml:space="preserve">CASE_4934</t>
  </si>
  <si>
    <t xml:space="preserve">Section 465 of BNSS 2023 specifies "Who may issue warrant," establishing that a warrant for the execution of a sentence may be issued either by the Judge/Magistrate who originally passed the sentence, or by their successor-in-office. [Source: Section 465, BNSS 2023]</t>
  </si>
  <si>
    <t xml:space="preserve">CASE_4935</t>
  </si>
  <si>
    <t xml:space="preserve">No. Section 465 explicitly states the warrant may be issued "by the Judge or Magistrate who passed the sentence, or *by his successor-in-office*." Judge B can legally sign it. [Source: Section 465, BNSS 2023]</t>
  </si>
  <si>
    <t xml:space="preserve">CASE_4936</t>
  </si>
  <si>
    <t xml:space="preserve">"the Judge or Magistrate who passed the sentence, or by his successor-in-office." [Source: Section 465, BNSS 2023]</t>
  </si>
  <si>
    <t xml:space="preserve">CASE_4937</t>
  </si>
  <si>
    <t xml:space="preserve">No. The section specifies the "successor-in-office". The DM is an executive officer, not the successor to the judicial office. The warrant must be signed by the person holding that specific judicial chair. [Source: Section 465, BNSS 2023]</t>
  </si>
  <si>
    <t xml:space="preserve">CASE_4938</t>
  </si>
  <si>
    <t xml:space="preserve">The consequence is preventing the paralysis of the justice system; the Indian judicial system features frequent transfers, promotions, and retirements. If a sentence evaporated just because the specific human being who pronounced it moved to a different city, the administration of punishment would collapse. The power belongs to the *office*, not the individual. [Source: Section 465, BNSS 2023]</t>
  </si>
  <si>
    <t xml:space="preserve">CASE_4939</t>
  </si>
  <si>
    <t xml:space="preserve">Sentence on escaped convict when to take effect</t>
  </si>
  <si>
    <t xml:space="preserve">It depends on the severity. If the new sentence is harsher than the old one (e.g., they were serving simple imprisonment but are now sentenced to rigorous), the new sentence starts immediately. If it's not harsher, the new sentence only starts after they finish whatever time was left on their old sentence when they escaped. [Source: Section 466, BNSS 2023]</t>
  </si>
  <si>
    <t xml:space="preserve">Hugging Face source record: BNSS_466</t>
  </si>
  <si>
    <t xml:space="preserve">CASE_4940</t>
  </si>
  <si>
    <t xml:space="preserve">Section 466 of BNSS 2023 establishes when a "Sentence on escaped convict when to take effect," dictating that death/life/fine sentences take effect immediately, while new term sentences take effect immediately if severer in kind, but if not severer, they take effect only after the unexpired portion of the original sentence is served. [Source: Section 466, BNSS 2023]</t>
  </si>
  <si>
    <t xml:space="preserve">CASE_4941</t>
  </si>
  <si>
    <t xml:space="preserve">No. Under sub-section (2)(b), because the new sentence (simple) is not severer in kind than the old sentence (rigorous), the new sentence "shall take effect after he has suffered imprisonment for a further period equal to that which, at the time of his escape, remained unexpired of his former sentence." [Source: Section 466, BNSS 2023]</t>
  </si>
  <si>
    <t xml:space="preserve">CASE_4942</t>
  </si>
  <si>
    <t xml:space="preserve">"a sentence of rigorous imprisonment". [Source: Section 466, BNSS 2023]</t>
  </si>
  <si>
    <t xml:space="preserve">CASE_4943</t>
  </si>
  <si>
    <t xml:space="preserve">No. Sub-section (1) explicitly states that when a sentence of "death, imprisonment for life or fine" is passed on an escaped convict, it "shall... take effect immediately." [Source: Section 466, BNSS 2023]</t>
  </si>
  <si>
    <t xml:space="preserve">CASE_4944</t>
  </si>
  <si>
    <t xml:space="preserve">The consequence is immediate penal escalation; if a runaway thief (simple imprisonment) murders someone and gets rigorous imprisonment, delaying the rigorous punishment for years while he finishes his easy thief sentence fails to immediately address the severe danger he now poses and the severity of his new crime. [Source: Section 466, BNSS 2023]</t>
  </si>
  <si>
    <t xml:space="preserve">CASE_4945</t>
  </si>
  <si>
    <t xml:space="preserve">Sentence on offender already sentenced for another offence</t>
  </si>
  <si>
    <t xml:space="preserve">Usually, they serve 5 years total; the new 2-year sentence starts after the first 3-year sentence finishes (consecutive). However, the judge has the special power to order that the two sentences run at the same time (concurrently), which would mean they only serve 3 years total. [Source: Section 467, BNSS 2023]</t>
  </si>
  <si>
    <t xml:space="preserve">Hugging Face source record: BNSS_467</t>
  </si>
  <si>
    <t xml:space="preserve">CASE_4946</t>
  </si>
  <si>
    <t xml:space="preserve">Section 467 of BNSS 2023 details the "Sentence on offender already sentenced for another offence," establishing the general rule that a subsequent sentence commences at the expiration of the previous sentence (consecutively) unless the Court explicitly directs them to run concurrently, with specific rules for life imprisonment. [Source: Section 467, BNSS 2023]</t>
  </si>
  <si>
    <t xml:space="preserve">CASE_4947</t>
  </si>
  <si>
    <t xml:space="preserve">No. Under sub-section (2), "When a person already undergoing a sentence of imprisonment for life is sentenced on a subsequent conviction to imprisonment for a term... the subsequent sentence shall run concurrently with such previous sentence." [Source: Section 467, BNSS 2023]</t>
  </si>
  <si>
    <t xml:space="preserve">CASE_4948</t>
  </si>
  <si>
    <t xml:space="preserve">"the latter sentence shall commence immediately." (It overrides the preventive detention). [Source: Section 467, BNSS 2023]</t>
  </si>
  <si>
    <t xml:space="preserve">CASE_4949</t>
  </si>
  <si>
    <t xml:space="preserve">No. The default rule in sub-section (1) is consecutive ("shall commence at the expiration of the imprisonment"). It only becomes concurrent "unless the Court directs" it to be. [Source: Section 467, BNSS 2023]</t>
  </si>
  <si>
    <t xml:space="preserve">CASE_4950</t>
  </si>
  <si>
    <t xml:space="preserve">The consequence is judicial proportionality; if a man committed 10 distinct minor frauds in one month, giving him 2 years consecutively for each (20 years total) might be excessively harsh compared to a murderer. Concurrent sentencing allows the judge to punish the overall behavior without creating mathematically absurd, lifetime prison terms for non-violent crimes. [Source: Section 467, BNSS 2023]</t>
  </si>
  <si>
    <t xml:space="preserve">CASE_4951</t>
  </si>
  <si>
    <t xml:space="preserve">No. The time you already spent in jail during the investigation and trial is subtracted ("set off") from your final sentence. You would only have to serve the remaining 3 years. [Source: Section 468, BNSS 2023]</t>
  </si>
  <si>
    <t xml:space="preserve">Hugging Face source record: BNSS_468</t>
  </si>
  <si>
    <t xml:space="preserve">CASE_4952</t>
  </si>
  <si>
    <t xml:space="preserve">Section 468 of BNSS 2023 mandates the "Period of detention undergone by accused to be set off against sentence of imprisonment," requiring that any time an accused spent in custody during investigation/trial be subtracted from their final term of imprisonment, restricting their remaining liability to the balance. [Source: Section 468, BNSS 2023]</t>
  </si>
  <si>
    <t xml:space="preserve">CASE_4953</t>
  </si>
  <si>
    <t xml:space="preserve">No. Section 468 explicitly excludes "imprisonment in default of payment of fine". Pre-trial detention cannot be used to pay off a financial penalty. He must serve the default time or pay. [Source: Section 468, BNSS 2023]</t>
  </si>
  <si>
    <t xml:space="preserve">CASE_4954</t>
  </si>
  <si>
    <t xml:space="preserve">"such period of detention shall be set off against the period of fourteen years referred to in that section." [Source: Section 468, BNSS 2023]</t>
  </si>
  <si>
    <t xml:space="preserve">CASE_4955</t>
  </si>
  <si>
    <t xml:space="preserve">No. The section specifies setting off "the period of detention, if any, undergone by him". Bail is not detention. [Source: Section 468, BNSS 2023]</t>
  </si>
  <si>
    <t xml:space="preserve">CASE_4956</t>
  </si>
  <si>
    <t xml:space="preserve">The consequence is preventing double punishment and ensuring equity; without it, a poor person denied bail who spends 3 years in pre-trial custody and gets a 3-year sentence would effectively serve 6 years, while a rich person who got bail would only serve 3. This section guarantees the total deprivation of liberty matches the judge's sentence exactly. [Source: Section 468, BNSS 2023]</t>
  </si>
  <si>
    <t xml:space="preserve">CASE_4957</t>
  </si>
  <si>
    <t xml:space="preserve">You serve all your main ("substantive") prison sentences first. Only after you have finished all the guaranteed prison time do you serve the extra penalty time for not paying the fine. [Source: Section 469, BNSS 2023]</t>
  </si>
  <si>
    <t xml:space="preserve">Hugging Face source record: BNSS_469</t>
  </si>
  <si>
    <t xml:space="preserve">CASE_4958</t>
  </si>
  <si>
    <t xml:space="preserve">Section 469 of BNSS 2023, titled "Saving," dictates that when imprisonment in default of a fine is attached to a substantive sentence, and the offender has further substantive sentences to serve consecutively, the default imprisonment is postponed and shall not take effect until all substantive sentences are completed. [Source: Section 469, BNSS 2023]</t>
  </si>
  <si>
    <t xml:space="preserve">CASE_4959</t>
  </si>
  <si>
    <t xml:space="preserve">No. Under sub-section (2), "effect shall not be given to the award of imprisonment in default of payment of the fine until the person has undergone the further sentence or sentences." He must serve the 2 years of A, then the 3 years of B, and *then* the 6 months default time. [Source: Section 469, BNSS 2023]</t>
  </si>
  <si>
    <t xml:space="preserve">CASE_4960</t>
  </si>
  <si>
    <t xml:space="preserve">"a further substantive sentence or further substantive sentences of imprisonment". [Source: Section 469, BNSS 2023]</t>
  </si>
  <si>
    <t xml:space="preserve">CASE_4961</t>
  </si>
  <si>
    <t xml:space="preserve">No. Sub-section (1) explicitly states: "Nothing in section 466 or section 467 shall be held to excuse any person from any part of the punishment to which he is liable upon his former or subsequent conviction." [Source: Section 469, BNSS 2023]</t>
  </si>
  <si>
    <t xml:space="preserve">CASE_4962</t>
  </si>
  <si>
    <t xml:space="preserve">The consequence is prioritizing absolute penal sanctions over conditional financial ones; substantive sentences are guaranteed punishments for crimes. Imprisonment in default is merely a coercive tool to collect money. It makes sense to enforce the absolute punishment for the crimes first, leaving the optional fine-collection period for the end, as the prisoner might acquire money to pay the fine during their long substantive term. [Source: Section 469, BNSS 2023]</t>
  </si>
  <si>
    <t xml:space="preserve">CASE_4963</t>
  </si>
  <si>
    <t xml:space="preserve">Return of warrant on execution of sentence</t>
  </si>
  <si>
    <t xml:space="preserve">Once the prisoner has fully served their time, the jail warden must sign the original execution warrant, state exactly how the sentence was carried out, and mail it back to the judge's court as proof of completion. [Source: Section 470, BNSS 2023]</t>
  </si>
  <si>
    <t xml:space="preserve">Hugging Face source record: BNSS_470</t>
  </si>
  <si>
    <t xml:space="preserve">CASE_4964</t>
  </si>
  <si>
    <t xml:space="preserve">Section 470 of BNSS 2023 mandates the "Return of warrant on execution of sentence," requiring the executing officer (jailor) to return the warrant to the issuing Court with a signed endorsement certifying exactly how the sentence was fully executed. [Source: Section 470, BNSS 2023]</t>
  </si>
  <si>
    <t xml:space="preserve">CASE_4965</t>
  </si>
  <si>
    <t xml:space="preserve">No. Section 470 mandates that "the officer executing it shall return the warrant to the Court from which it is issued". Destroying it violates the requirement to return the endorsed warrant to the judiciary. [Source: Section 470, BNSS 2023]</t>
  </si>
  <si>
    <t xml:space="preserve">CASE_4966</t>
  </si>
  <si>
    <t xml:space="preserve">"an endorsement under his hand certifying the manner in which the sentence has been executed." [Source: Section 470, BNSS 2023]</t>
  </si>
  <si>
    <t xml:space="preserve">CASE_4967</t>
  </si>
  <si>
    <t xml:space="preserve">No, the text explicitly requires them to "return the warrant" itself with an endorsement on it. [Source: Section 470, BNSS 2023]</t>
  </si>
  <si>
    <t xml:space="preserve">CASE_4968</t>
  </si>
  <si>
    <t xml:space="preserve">The consequence is closing the judicial loop; the court ordered the deprivation of liberty, and the executive branch carried it out. By returning the physical warrant with a certification of execution, the court's file is officially closed with definitive proof that the executive branch faithfully obeyed the judicial order. [Source: Section 470, BNSS 2023]</t>
  </si>
  <si>
    <t xml:space="preserve">CASE_4969</t>
  </si>
  <si>
    <t xml:space="preserve">Money ordered to be paid recoverable as a fine</t>
  </si>
  <si>
    <t xml:space="preserve">Any money ordered to be paid under this code is treated exactly like a "fine" for the purposes of collecting it. The court can seize the criminal's property to get the compensation money, just like they would to collect a fine. [Source: Section 471, BNSS 2023]</t>
  </si>
  <si>
    <t xml:space="preserve">Hugging Face source record: BNSS_471</t>
  </si>
  <si>
    <t xml:space="preserve">CASE_4970</t>
  </si>
  <si>
    <t xml:space="preserve">Section 471 of BNSS 2023 dictates that "Money ordered to be paid recoverable as a fine," establishing that any money (like costs or compensation) ordered payable under the Sanhita, where no specific recovery method is provided, shall be recovered using the exact same mechanisms (attachment, sale, Collector warrants) used for fines. [Source: Section 471, BNSS 2023]</t>
  </si>
  <si>
    <t xml:space="preserve">CASE_4971</t>
  </si>
  <si>
    <t xml:space="preserve">No. Section 471 explicitly states: "Any money (other than a fine) payable... shall be recoverable as if it were a fine". The court can seize the motorcycle. [Source: Section 471, BNSS 2023]</t>
  </si>
  <si>
    <t xml:space="preserve">CASE_4972</t>
  </si>
  <si>
    <t xml:space="preserve">Yes, because the proviso amends Section 461(1) to include "or an order for payment of costs under section 400," meaning they can still issue the warrant to recover those specific costs even after default jail time is served. [Source: Section 471, BNSS 2023]</t>
  </si>
  <si>
    <t xml:space="preserve">CASE_4973</t>
  </si>
  <si>
    <t xml:space="preserve">No, the section applies to money "the method of recovery of which is *not otherwise expressly provided for*". Specific provisions override this general catch-all. [Source: Section 471, BNSS 2023]</t>
  </si>
  <si>
    <t xml:space="preserve">CASE_4974</t>
  </si>
  <si>
    <t xml:space="preserve">The consequence is statutory efficiency; instead of rewriting the complex rules for seizing property, holding auctions, and involving the District Collector for every single type of monetary penalty (costs, compensation, rewards), the code writes the recovery process once (for fines) and links all other monetary orders to that powerful enforcement engine. [Source: Section 471, BNSS 2023]</t>
  </si>
  <si>
    <t xml:space="preserve">CASE_4975</t>
  </si>
  <si>
    <t xml:space="preserve">Mercy petition in death sentence cases</t>
  </si>
  <si>
    <t xml:space="preserve">There is one final option. The convict (or their family) has 30 days to file a "mercy petition" to the President of India or the State Governor, asking them to use their constitutional executive power to pardon or commute the death sentence. [Source: Section 472, BNSS 2023]</t>
  </si>
  <si>
    <t xml:space="preserve">Hugging Face source record: BNSS_472</t>
  </si>
  <si>
    <t xml:space="preserve">CASE_4976</t>
  </si>
  <si>
    <t xml:space="preserve">Section 472 of BNSS 2023 formalizes the "Mercy petition in death sentence cases," establishing strict time limits (30 days from final judicial rejection) for convicts to file mercy petitions to the Governor/President, mandating government processing timelines (60 days), and declaring the President/Governor's decision final and unchallengeable in any Court. [Source: Section 472, BNSS 2023]</t>
  </si>
  <si>
    <t xml:space="preserve">CASE_4977</t>
  </si>
  <si>
    <t xml:space="preserve">No. Under sub-section (7), "No appeal shall lie in any Court against the order of the President... and any question as to the arriving of the decision by the President... shall not be inquired into in any Court." [Source: Section 472, BNSS 2023]</t>
  </si>
  <si>
    <t xml:space="preserve">CASE_4978</t>
  </si>
  <si>
    <t xml:space="preserve">"within a period of sixty days". [Source: Section 472, BNSS 2023]</t>
  </si>
  <si>
    <t xml:space="preserve">CASE_4979</t>
  </si>
  <si>
    <t xml:space="preserve">No. Sub-section (5) mandates that "in case there are more than one convict in a case, the petitions shall be decided by the President together in the interests of justice." (And sub-section 3 requires the jail superintendent to send the details of the non-petitioning convicts anyway). [Source: Section 472, BNSS 2023]</t>
  </si>
  <si>
    <t xml:space="preserve">CASE_4980</t>
  </si>
  <si>
    <t xml:space="preserve">The consequence is preventing the "death row phenomenon"; historically, mercy petitions sat on executive desks for years or decades, causing immense psychological torture to prisoners awaiting execution. These statutory deadlines force the executive branch to make life-or-death decisions expeditiously. [Source: Section 472, BNSS 2023]</t>
  </si>
  <si>
    <t xml:space="preserve">CASE_4981</t>
  </si>
  <si>
    <t xml:space="preserve">Power to suspend or remit sentences</t>
  </si>
  <si>
    <t xml:space="preserve">Yes. The executive Government has the power to suspend or "remit" (cancel the remainder of) any sentence at any time. They can do this unconditionally, or they can attach rules (like "you are free, but if you commit any crime, you go back to prison"). [Source: Section 473, BNSS 2023]</t>
  </si>
  <si>
    <t xml:space="preserve">Hugging Face source record: BNSS_473</t>
  </si>
  <si>
    <t xml:space="preserve">CASE_4982</t>
  </si>
  <si>
    <t xml:space="preserve">Section 473 of BNSS 2023 outlines the "Power to suspend or remit sentences," granting the appropriate Government the discretionary authority to suspend or remit sentences with or without conditions, allowing them to seek the trial judge's opinion, and empowering police to arrest without warrant if conditions of release are violated. [Source: Section 473, BNSS 2023]</t>
  </si>
  <si>
    <t xml:space="preserve">CASE_4983</t>
  </si>
  <si>
    <t xml:space="preserve">No. Under sub-section (3), if a condition is not fulfilled, the Government may cancel the remission, and the person "may, if at large, be arrested by any police officer, without warrant and remanded to undergo the unexpired portion of the sentence." [Source: Section 473, BNSS 2023]</t>
  </si>
  <si>
    <t xml:space="preserve">CASE_4984</t>
  </si>
  <si>
    <t xml:space="preserve">They must be "in jail" (and present it through the officer in charge, or have someone else declare they are in jail). [Source: Section 473, BNSS 2023]</t>
  </si>
  <si>
    <t xml:space="preserve">CASE_4985</t>
  </si>
  <si>
    <t xml:space="preserve">No. Sub-section (7)(a) defines the "appropriate Government" for offences relating to matters where the executive power of the Union extends as "the Central Government". The State cannot remit central offences. [Source: Section 473, BNSS 2023]</t>
  </si>
  <si>
    <t xml:space="preserve">CASE_4986</t>
  </si>
  <si>
    <t xml:space="preserve">The consequence is bridging the gap between executive mercy and judicial fact-finding; politicians might want to release a prisoner for political reasons, but forcing them to request the trial judge's opinion (and reasons) ensures the executive is confronted with the raw, horrific facts of the actual trial record before making a potentially dangerous public safety decision. [Source: Section 473, BNSS 2023]</t>
  </si>
  <si>
    <t xml:space="preserve">CASE_4987</t>
  </si>
  <si>
    <t xml:space="preserve">Power to commute sentence</t>
  </si>
  <si>
    <t xml:space="preserve">No. The Government can unilaterally "commute" (swap) a harsh sentence for a milder one without the prisoner's consent. For example, they can swap a death sentence for life imprisonment, or rigorous imprisonment for simple imprisonment. [Source: Section 474, BNSS 2023]</t>
  </si>
  <si>
    <t xml:space="preserve">Hugging Face source record: BNSS_474</t>
  </si>
  <si>
    <t xml:space="preserve">CASE_4988</t>
  </si>
  <si>
    <t xml:space="preserve">Section 474 of BNSS 2023 defines the "Power to commute sentence," allowing the appropriate Government, without the sentenced person's consent, to substitute severer punishments for lesser ones according to a strict statutory schedule (e.g., death to life, life to &gt;=7 years, &gt;=7 years to &gt;=3 years, &lt;7 years to fine). [Source: Section 474, BNSS 2023]</t>
  </si>
  <si>
    <t xml:space="preserve">CASE_4989</t>
  </si>
  <si>
    <t xml:space="preserve">No. Under clause (b), the Government can commute a sentence of imprisonment for life "for imprisonment for a term *not less than seven years*". They cannot legally commute it to anything shorter than 7 years. [Source: Section 474, BNSS 2023]</t>
  </si>
  <si>
    <t xml:space="preserve">CASE_4990</t>
  </si>
  <si>
    <t xml:space="preserve">"for fine". [Source: Section 474, BNSS 2023]</t>
  </si>
  <si>
    <t xml:space="preserve">CASE_4991</t>
  </si>
  <si>
    <t xml:space="preserve">No. Clause (a) explicitly limits the commutation of a sentence of death to "imprisonment for life". They cannot skip steps down the punishment ladder. [Source: Section 474, BNSS 2023]</t>
  </si>
  <si>
    <t xml:space="preserve">CASE_4992</t>
  </si>
  <si>
    <t xml:space="preserve">The consequence is absolute sovereign supremacy over punishment; occasionally, a fanatic or martyr might *want* to be executed to cause a political riot. The state can forcefully deny them martyrdom by unilaterally commuting their death sentence to life in prison, frustrating their political goals. [Source: Section 474, BNSS 2023]</t>
  </si>
  <si>
    <t xml:space="preserve">CASE_4993</t>
  </si>
  <si>
    <t xml:space="preserve">Restriction on powers of remission or commutation in certain cases</t>
  </si>
  <si>
    <t xml:space="preserve">No. For heinous crimes where death was a possible punishment, or where a death sentence was commuted to life, the law places a hard limit on executive mercy: the prisoner *cannot* be released by the government until they have served an absolute minimum of 14 years in prison. [Source: Section 475, BNSS 2023]</t>
  </si>
  <si>
    <t xml:space="preserve">Hugging Face source record: BNSS_475</t>
  </si>
  <si>
    <t xml:space="preserve">CASE_4994</t>
  </si>
  <si>
    <t xml:space="preserve">Section 475 of BNSS 2023 establishes a "Restriction on powers of remission or commutation in certain cases," overriding Section 473 by mandating an absolute minimum of fourteen years of actual imprisonment before a person serving life for a capital-eligible offence (or a commuted death sentence) can be released. [Source: Section 475, BNSS 2023]</t>
  </si>
  <si>
    <t xml:space="preserve">CASE_4995</t>
  </si>
  <si>
    <t xml:space="preserve">No. Section 475 begins with "Notwithstanding anything contained in section 473". Because she committed an offence "for which death is one of the punishments provided by law," she "shall not be released from prison unless he had served at least fourteen years". The Governor's remission is blocked by this 14-year statutory floor. [Source: Section 475, BNSS 2023]</t>
  </si>
  <si>
    <t xml:space="preserve">CASE_4996</t>
  </si>
  <si>
    <t xml:space="preserve">"at least fourteen years of imprisonment." [Source: Section 475, BNSS 2023]</t>
  </si>
  <si>
    <t xml:space="preserve">CASE_4997</t>
  </si>
  <si>
    <t xml:space="preserve">No. The restriction explicitly applies only to conviction "for an offence for which death is one of the punishments provided by law" (or commuted death sentences). If death wasn't an option in the penal code for that specific crime, this specific 14-year block doesn't apply. [Source: Section 475, BNSS 2023]</t>
  </si>
  <si>
    <t xml:space="preserve">CASE_4998</t>
  </si>
  <si>
    <t xml:space="preserve">The consequence is protecting society from corrupt or excessively lenient politicians; historically, governments would frequently release organized crime bosses or political assassins sentenced to life after only a few years as political favors. Section 475 guarantees that for the absolute worst crimes, the sentence of "Life" means at least 14 real, unavoidable years behind bars, regardless of who is in power. [Source: Section 475, BNSS 2023]</t>
  </si>
  <si>
    <t xml:space="preserve">CASE_4999</t>
  </si>
  <si>
    <t xml:space="preserve">Concurrent power of Central Government in case of death sentences</t>
  </si>
  <si>
    <t xml:space="preserve">Yes. For death sentences specifically, the Central Government has the exact same power as the State Government to suspend, remit, or commute the sentence. [Source: Section 476, BNSS 2023]</t>
  </si>
  <si>
    <t xml:space="preserve">Hugging Face source record: BNSS_476</t>
  </si>
  <si>
    <t xml:space="preserve">CASE_5000</t>
  </si>
  <si>
    <t xml:space="preserve">Section 476 of BNSS 2023 establishes the "Concurrent power of Central Government in case of death sentences," granting the Central Government the same powers to suspend, remit, or commute death sentences (under sections 473 and 474) as are conferred upon the State Government. [Source: Section 476, BNSS 2023]</t>
  </si>
  <si>
    <t xml:space="preserve">Section_No</t>
  </si>
  <si>
    <t xml:space="preserve">Section_Title</t>
  </si>
  <si>
    <t xml:space="preserve">Old_IPC_Section</t>
  </si>
  <si>
    <t xml:space="preserve">Verified</t>
  </si>
  <si>
    <t xml:space="preserve">Official_Source</t>
  </si>
  <si>
    <t xml:space="preserve">Not applicable - no offence or penalty defined here (definition, exception or general provision)</t>
  </si>
  <si>
    <t xml:space="preserve">N/A</t>
  </si>
  <si>
    <t xml:space="preserve">BNS 2023 text - confirm no penalty clause</t>
  </si>
  <si>
    <t xml:space="preserve">Punished as for abetting that offence if it were committed in India</t>
  </si>
  <si>
    <t xml:space="preserve">Same as underlying offence</t>
  </si>
  <si>
    <t xml:space="preserve">108A</t>
  </si>
  <si>
    <t xml:space="preserve">Filled from general knowledge, NOT checked: verify against BNS 2023 text and BNSS 2023 First Schedule</t>
  </si>
  <si>
    <t xml:space="preserve">Punished as for abetting the offence committed in India</t>
  </si>
  <si>
    <t xml:space="preserve">New provision</t>
  </si>
  <si>
    <t xml:space="preserve">Punishment provided for the offence abetted [s.49]</t>
  </si>
  <si>
    <t xml:space="preserve">109</t>
  </si>
  <si>
    <t xml:space="preserve">Punishment provided for the offence abetted, where the abetted person acts with a different intention [s.50]</t>
  </si>
  <si>
    <t xml:space="preserve">110</t>
  </si>
  <si>
    <t xml:space="preserve">Abettor liable as if he had abetted the act actually done (liability provision) [s.51]</t>
  </si>
  <si>
    <t xml:space="preserve">111</t>
  </si>
  <si>
    <t xml:space="preserve">Abettor liable to cumulative punishment for the act abetted and the act done [s.52]</t>
  </si>
  <si>
    <t xml:space="preserve">112</t>
  </si>
  <si>
    <t xml:space="preserve">Abettor liable for the effect caused, as if he had directly abetted it [s.53]</t>
  </si>
  <si>
    <t xml:space="preserve">113</t>
  </si>
  <si>
    <t xml:space="preserve">Abettor present at the offence is deemed to have committed it, and is punished as for that offence [s.54]</t>
  </si>
  <si>
    <t xml:space="preserve">114</t>
  </si>
  <si>
    <t xml:space="preserve">Imprisonment up to 7 years and fine; up to 14 years and fine if the act abetted causes harm [s.55]</t>
  </si>
  <si>
    <t xml:space="preserve">115</t>
  </si>
  <si>
    <t xml:space="preserve">Imprisonment up to one-fourth of the longest term for the offence, or fine, or both; up to half of it if the act abetted causes harm [s.56]</t>
  </si>
  <si>
    <t xml:space="preserve">116</t>
  </si>
  <si>
    <t xml:space="preserve">Imprisonment up to 3 years, or fine, or both [s.57]</t>
  </si>
  <si>
    <t xml:space="preserve">117</t>
  </si>
  <si>
    <t xml:space="preserve">Imprisonment up to 7 years and fine if the offence is committed; up to 3 years and fine if not [s.58]</t>
  </si>
  <si>
    <t xml:space="preserve">118</t>
  </si>
  <si>
    <t xml:space="preserve">Up to half of the longest term for the offence, or fine, or both (up to 10 years if death/life offence); up to one-fourth if not committed [s.59]</t>
  </si>
  <si>
    <t xml:space="preserve">119</t>
  </si>
  <si>
    <t xml:space="preserve">Imprisonment up to one-fourth of the longest term for the offence, or fine, or both; up to one-eighth if not committed [s.60]</t>
  </si>
  <si>
    <t xml:space="preserve">120</t>
  </si>
  <si>
    <t xml:space="preserve">Same as abetment for offences punishable with death, life or rigorous imprisonment of 2 years or more; otherwise up to 6 months, or fine, or both [s.61]</t>
  </si>
  <si>
    <t xml:space="preserve">120B</t>
  </si>
  <si>
    <t xml:space="preserve">Imprisonment up to half of the longest term for the offence attempted, or fine, or both [s.62]</t>
  </si>
  <si>
    <t xml:space="preserve">511</t>
  </si>
  <si>
    <t xml:space="preserve">Rigorous imprisonment not less than 10 years, may extend to life, and fine [s.64(1)]</t>
  </si>
  <si>
    <t xml:space="preserve">Yes</t>
  </si>
  <si>
    <t xml:space="preserve">No</t>
  </si>
  <si>
    <t xml:space="preserve">376</t>
  </si>
  <si>
    <t xml:space="preserve">Rigorous imprisonment not less than 20 years, may extend to life (remainder of natural life), and fine; death if victim is under 12 [s.65]</t>
  </si>
  <si>
    <t xml:space="preserve">376(3), 376AB</t>
  </si>
  <si>
    <t xml:space="preserve">Rigorous imprisonment not less than 20 years, may extend to life (remainder of natural life), or death</t>
  </si>
  <si>
    <t xml:space="preserve">376A</t>
  </si>
  <si>
    <t xml:space="preserve">Rigorous imprisonment not less than 2 years, may extend to 7 years, and fine</t>
  </si>
  <si>
    <t xml:space="preserve">376B</t>
  </si>
  <si>
    <t xml:space="preserve">Rigorous imprisonment not less than 5 years, may extend to 10 years, and fine</t>
  </si>
  <si>
    <t xml:space="preserve">376C</t>
  </si>
  <si>
    <t xml:space="preserve">Imprisonment up to 10 years and fine</t>
  </si>
  <si>
    <t xml:space="preserve">Rigorous imprisonment not less than 20 years, may extend to life (remainder of natural life), and fine; life or death if victim is under 18 [s.70]</t>
  </si>
  <si>
    <t xml:space="preserve">376D, 376DA, 376DB</t>
  </si>
  <si>
    <t xml:space="preserve">Imprisonment for life (remainder of natural life), or death</t>
  </si>
  <si>
    <t xml:space="preserve">376E</t>
  </si>
  <si>
    <t xml:space="preserve">Imprisonment up to 2 years and fine</t>
  </si>
  <si>
    <t xml:space="preserve">228A(1)-(2)</t>
  </si>
  <si>
    <t xml:space="preserve">228A(3)</t>
  </si>
  <si>
    <t xml:space="preserve">Imprisonment not less than 1 year, may extend to 5 years, and fine</t>
  </si>
  <si>
    <t xml:space="preserve">354</t>
  </si>
  <si>
    <t xml:space="preserve">Rigorous imprisonment up to 3 years, or fine, or both [s.75(2)]; up to 1 year, or fine, or both for sexually coloured remarks [s.75(3)]</t>
  </si>
  <si>
    <t xml:space="preserve">354A</t>
  </si>
  <si>
    <t xml:space="preserve">Imprisonment not less than 3 years, may extend to 7 years, and fine</t>
  </si>
  <si>
    <t xml:space="preserve">354B</t>
  </si>
  <si>
    <t xml:space="preserve">First conviction: 1 to 3 years and fine; repeat conviction: 3 to 7 years and fine [s.77]</t>
  </si>
  <si>
    <t xml:space="preserve">Yes (first conviction); No (repeat)</t>
  </si>
  <si>
    <t xml:space="preserve">354C</t>
  </si>
  <si>
    <t xml:space="preserve">First conviction: up to 3 years and fine; repeat conviction: up to 5 years and fine [s.78]</t>
  </si>
  <si>
    <t xml:space="preserve">354D</t>
  </si>
  <si>
    <t xml:space="preserve">Simple imprisonment up to 3 years and fine</t>
  </si>
  <si>
    <t xml:space="preserve">509</t>
  </si>
  <si>
    <t xml:space="preserve">Imprisonment not less than 7 years, may extend to life [s.80(2)]</t>
  </si>
  <si>
    <t xml:space="preserve">304B</t>
  </si>
  <si>
    <t xml:space="preserve">493</t>
  </si>
  <si>
    <t xml:space="preserve">Imprisonment up to 7 years and fine [s.82(1)]</t>
  </si>
  <si>
    <t xml:space="preserve">With court permission</t>
  </si>
  <si>
    <t xml:space="preserve">494</t>
  </si>
  <si>
    <t xml:space="preserve">Imprisonment up to 7 years and fine</t>
  </si>
  <si>
    <t xml:space="preserve">496</t>
  </si>
  <si>
    <t xml:space="preserve">Imprisonment up to 2 years, or fine, or both</t>
  </si>
  <si>
    <t xml:space="preserve">498</t>
  </si>
  <si>
    <t xml:space="preserve">Imprisonment up to 3 years and fine</t>
  </si>
  <si>
    <t xml:space="preserve">498A</t>
  </si>
  <si>
    <t xml:space="preserve">366</t>
  </si>
  <si>
    <t xml:space="preserve">Imprisonment up to 3 years, or fine, or both; up to 7 years and fine if the woman is quick with child [s.88]</t>
  </si>
  <si>
    <t xml:space="preserve">312</t>
  </si>
  <si>
    <t xml:space="preserve">Imprisonment for life, or up to 10 years, and fine</t>
  </si>
  <si>
    <t xml:space="preserve">313</t>
  </si>
  <si>
    <t xml:space="preserve">Imprisonment up to 10 years and fine; life or the same term if done without the woman's consent [s.90]</t>
  </si>
  <si>
    <t xml:space="preserve">314</t>
  </si>
  <si>
    <t xml:space="preserve">Imprisonment up to 10 years, or fine, or both</t>
  </si>
  <si>
    <t xml:space="preserve">315</t>
  </si>
  <si>
    <t xml:space="preserve">316</t>
  </si>
  <si>
    <t xml:space="preserve">Imprisonment up to 7 years, or fine, or both</t>
  </si>
  <si>
    <t xml:space="preserve">317</t>
  </si>
  <si>
    <t xml:space="preserve">318</t>
  </si>
  <si>
    <t xml:space="preserve">Imprisonment not less than 3 years, may extend to 10 years, and fine</t>
  </si>
  <si>
    <t xml:space="preserve">366A</t>
  </si>
  <si>
    <t xml:space="preserve">369</t>
  </si>
  <si>
    <t xml:space="preserve">372</t>
  </si>
  <si>
    <t xml:space="preserve">Rigorous imprisonment not less than 7 years, may extend to 14 years, and fine</t>
  </si>
  <si>
    <t xml:space="preserve">373</t>
  </si>
  <si>
    <t xml:space="preserve">Same punishment as if the death of the intended person had been caused (murder or culpable homicide) [s.102]</t>
  </si>
  <si>
    <t xml:space="preserve">301</t>
  </si>
  <si>
    <t xml:space="preserve">Death or imprisonment for life, and fine [s.103(1)]</t>
  </si>
  <si>
    <t xml:space="preserve">302</t>
  </si>
  <si>
    <t xml:space="preserve">Death or imprisonment for life</t>
  </si>
  <si>
    <t xml:space="preserve">303</t>
  </si>
  <si>
    <t xml:space="preserve">Life imprisonment, or 5 to 10 years, and fine (act done with intention); up to 10 years, or fine, or both (act done with knowledge)</t>
  </si>
  <si>
    <t xml:space="preserve">304</t>
  </si>
  <si>
    <t xml:space="preserve">Up to 5 years and fine [s.106(1)]; up to 2 years and fine for a registered medical practitioner</t>
  </si>
  <si>
    <t xml:space="preserve">304A</t>
  </si>
  <si>
    <t xml:space="preserve">Death, or imprisonment for life, or imprisonment up to 10 years, and fine</t>
  </si>
  <si>
    <t xml:space="preserve">305</t>
  </si>
  <si>
    <t xml:space="preserve">306</t>
  </si>
  <si>
    <t xml:space="preserve">Imprisonment up to 10 years and fine; if hurt is caused, imprisonment for life or the term above [s.109(1)]</t>
  </si>
  <si>
    <t xml:space="preserve">307</t>
  </si>
  <si>
    <t xml:space="preserve">Imprisonment up to 3 years, or fine, or both; up to 7 years, or fine, or both if hurt is caused [s.110]</t>
  </si>
  <si>
    <t xml:space="preserve">308</t>
  </si>
  <si>
    <t xml:space="preserve">Death or life imprisonment and fine not less than Rs 10 lakh if death results; otherwise 5 years to life and fine not less than Rs 5 lakh [s.111(2)]</t>
  </si>
  <si>
    <t xml:space="preserve">Imprisonment not less than 1 year, may extend to 7 years, and fine</t>
  </si>
  <si>
    <t xml:space="preserve">Death or life imprisonment and fine if death results; otherwise 5 years to life and fine [s.113(2)]</t>
  </si>
  <si>
    <t xml:space="preserve">Imprisonment up to 1 year, or fine up to Rs 10,000, or both [s.115(2)]</t>
  </si>
  <si>
    <t xml:space="preserve">323</t>
  </si>
  <si>
    <t xml:space="preserve">Imprisonment up to 7 years and fine [s.117(2)]</t>
  </si>
  <si>
    <t xml:space="preserve">325</t>
  </si>
  <si>
    <t xml:space="preserve">Up to 3 years, or fine, or both for hurt by dangerous weapons [s.118(1)]; life or up to 10 years and fine for grievous hurt [s.118(2)]</t>
  </si>
  <si>
    <t xml:space="preserve">Yes (118(1)); No (118(2))</t>
  </si>
  <si>
    <t xml:space="preserve">With court permission (118(1)); No (118(2))</t>
  </si>
  <si>
    <t xml:space="preserve">324, 326</t>
  </si>
  <si>
    <t xml:space="preserve">Imprisonment up to 10 years and fine [s.119(1)]; life or up to 10 years and fine for grievous hurt [s.119(2)]</t>
  </si>
  <si>
    <t xml:space="preserve">327, 329</t>
  </si>
  <si>
    <t xml:space="preserve">Imprisonment up to 7 years and fine [s.120(1)]; up to 10 years and fine for grievous hurt [s.120(2)]</t>
  </si>
  <si>
    <t xml:space="preserve">330, 331</t>
  </si>
  <si>
    <t xml:space="preserve">Imprisonment up to 5 years, or fine, or both [s.121(1)]; up to 10 years and fine for grievous hurt [s.121(2)]</t>
  </si>
  <si>
    <t xml:space="preserve">332, 333</t>
  </si>
  <si>
    <t xml:space="preserve">Imprisonment up to 1 month, or fine, or both [s.122(1)]; up to 5 years, or fine, or both for grievous hurt [s.122(2)]</t>
  </si>
  <si>
    <t xml:space="preserve">Yes (122(1)); With court permission (122(2))</t>
  </si>
  <si>
    <t xml:space="preserve">334, 335</t>
  </si>
  <si>
    <t xml:space="preserve">328</t>
  </si>
  <si>
    <t xml:space="preserve">Not less than 10 years, may extend to life, and fine for acid attack [s.124(1)]; 5 to 7 years and fine for attempt [s.124(2)]</t>
  </si>
  <si>
    <t xml:space="preserve">326A, 326B</t>
  </si>
  <si>
    <t xml:space="preserve">Up to 3 months, or fine, or both; up to 6 months for hurt; up to 3 years for grievous hurt [s.125]</t>
  </si>
  <si>
    <t xml:space="preserve">336, 337, 338</t>
  </si>
  <si>
    <t xml:space="preserve">Imprisonment up to 1 month, or fine, or both [s.126(2)]; higher terms for graver forms (e.g. up to 6 months)</t>
  </si>
  <si>
    <t xml:space="preserve">339, 341</t>
  </si>
  <si>
    <t xml:space="preserve">Imprisonment up to 1 year, or fine, or both [s.127(2)]; terms rise with duration/purpose of confinement, up to 3 years and fine</t>
  </si>
  <si>
    <t xml:space="preserve">Varies by sub-section</t>
  </si>
  <si>
    <t xml:space="preserve">340, 342, 343, 344, 346, 347, 348</t>
  </si>
  <si>
    <t xml:space="preserve">Imprisonment up to 3 months, or fine up to Rs 1,000, or both</t>
  </si>
  <si>
    <t xml:space="preserve">352</t>
  </si>
  <si>
    <t xml:space="preserve">353</t>
  </si>
  <si>
    <t xml:space="preserve">355</t>
  </si>
  <si>
    <t xml:space="preserve">356</t>
  </si>
  <si>
    <t xml:space="preserve">Imprisonment up to 1 year, or fine, or both</t>
  </si>
  <si>
    <t xml:space="preserve">357</t>
  </si>
  <si>
    <t xml:space="preserve">Imprisonment up to 1 month, or fine, or both</t>
  </si>
  <si>
    <t xml:space="preserve">358</t>
  </si>
  <si>
    <t xml:space="preserve">Imprisonment up to 7 years and fine [s.137(2)]</t>
  </si>
  <si>
    <t xml:space="preserve">363</t>
  </si>
  <si>
    <t xml:space="preserve">Rigorous imprisonment 10 years to life and fine (kidnapping); not less than 20 years to life (maiming) [s.139]</t>
  </si>
  <si>
    <t xml:space="preserve">363A</t>
  </si>
  <si>
    <t xml:space="preserve">Imprisonment for life or up to 10 years and fine [s.140(1)]; death or life imprisonment and fine for ransom [s.140(2)]</t>
  </si>
  <si>
    <t xml:space="preserve">364, 364A</t>
  </si>
  <si>
    <t xml:space="preserve">366B</t>
  </si>
  <si>
    <t xml:space="preserve">Same punishment as for the kidnapping or abduction concealed</t>
  </si>
  <si>
    <t xml:space="preserve">368</t>
  </si>
  <si>
    <t xml:space="preserve">Rigorous imprisonment 7 to 10 years and fine; more serious terms (up to life) for multiple or minor victims [s.143]</t>
  </si>
  <si>
    <t xml:space="preserve">370</t>
  </si>
  <si>
    <t xml:space="preserve">Rigorous imprisonment 5 to 7 years and fine; 5 to 10 years if victim is a minor [s.144]</t>
  </si>
  <si>
    <t xml:space="preserve">370A</t>
  </si>
  <si>
    <t xml:space="preserve">371</t>
  </si>
  <si>
    <t xml:space="preserve">374</t>
  </si>
  <si>
    <t xml:space="preserve">Death or imprisonment for life, and fine</t>
  </si>
  <si>
    <t xml:space="preserve">121</t>
  </si>
  <si>
    <t xml:space="preserve">121A</t>
  </si>
  <si>
    <t xml:space="preserve">122</t>
  </si>
  <si>
    <t xml:space="preserve">123</t>
  </si>
  <si>
    <t xml:space="preserve">124</t>
  </si>
  <si>
    <t xml:space="preserve">Imprisonment for life, or up to 7 years, and fine</t>
  </si>
  <si>
    <t xml:space="preserve">New provision (replaces 124A)</t>
  </si>
  <si>
    <t xml:space="preserve">125</t>
  </si>
  <si>
    <t xml:space="preserve">Imprisonment up to 7 years, fine and forfeiture of property</t>
  </si>
  <si>
    <t xml:space="preserve">126</t>
  </si>
  <si>
    <t xml:space="preserve">127</t>
  </si>
  <si>
    <t xml:space="preserve">128</t>
  </si>
  <si>
    <t xml:space="preserve">129</t>
  </si>
  <si>
    <t xml:space="preserve">130</t>
  </si>
  <si>
    <t xml:space="preserve">131</t>
  </si>
  <si>
    <t xml:space="preserve">Death, or life imprisonment, or up to 10 years, and fine</t>
  </si>
  <si>
    <t xml:space="preserve">132</t>
  </si>
  <si>
    <t xml:space="preserve">133</t>
  </si>
  <si>
    <t xml:space="preserve">134</t>
  </si>
  <si>
    <t xml:space="preserve">135</t>
  </si>
  <si>
    <t xml:space="preserve">136</t>
  </si>
  <si>
    <t xml:space="preserve">Fine</t>
  </si>
  <si>
    <t xml:space="preserve">137</t>
  </si>
  <si>
    <t xml:space="preserve">Imprisonment up to 6 months, or fine, or both</t>
  </si>
  <si>
    <t xml:space="preserve">138</t>
  </si>
  <si>
    <t xml:space="preserve">Imprisonment up to 3 months, or fine, or both</t>
  </si>
  <si>
    <t xml:space="preserve">140</t>
  </si>
  <si>
    <t xml:space="preserve">Imprisonment up to 1 year, or fine, or both; fine only for treating [s.173]</t>
  </si>
  <si>
    <t xml:space="preserve">171E</t>
  </si>
  <si>
    <t xml:space="preserve">Imprisonment up to 1 year, or fine, or both; up to 2 years for personation [s.174]</t>
  </si>
  <si>
    <t xml:space="preserve">171F</t>
  </si>
  <si>
    <t xml:space="preserve">171G</t>
  </si>
  <si>
    <t xml:space="preserve">171H</t>
  </si>
  <si>
    <t xml:space="preserve">171I</t>
  </si>
  <si>
    <t xml:space="preserve">Imprisonment for life, or up to 10 years, and fine (currency notes/bank notes); up to 7 years and fine (coin, stamps) [s.178]</t>
  </si>
  <si>
    <t xml:space="preserve">231, 232, 255, 489A</t>
  </si>
  <si>
    <t xml:space="preserve">489B</t>
  </si>
  <si>
    <t xml:space="preserve">489C</t>
  </si>
  <si>
    <t xml:space="preserve">233, 234, 235, 256, 257, 489D</t>
  </si>
  <si>
    <t xml:space="preserve">489E</t>
  </si>
  <si>
    <t xml:space="preserve">Imprisonment up to 3 years, or fine, or both</t>
  </si>
  <si>
    <t xml:space="preserve">261</t>
  </si>
  <si>
    <t xml:space="preserve">262</t>
  </si>
  <si>
    <t xml:space="preserve">263</t>
  </si>
  <si>
    <t xml:space="preserve">263A</t>
  </si>
  <si>
    <t xml:space="preserve">244</t>
  </si>
  <si>
    <t xml:space="preserve">245</t>
  </si>
  <si>
    <t xml:space="preserve">Imprisonment up to 6 months, or fine, or both [s.189(2)]</t>
  </si>
  <si>
    <t xml:space="preserve">143</t>
  </si>
  <si>
    <t xml:space="preserve">Same punishment as for the offence committed in prosecution of the common object</t>
  </si>
  <si>
    <t xml:space="preserve">149</t>
  </si>
  <si>
    <t xml:space="preserve">Imprisonment up to 2 years, or fine, or both [s.191(2)]</t>
  </si>
  <si>
    <t xml:space="preserve">147</t>
  </si>
  <si>
    <t xml:space="preserve">Imprisonment up to 1 year, or fine, or both if riot is committed; up to 6 months, or fine, or both if not [s.192]</t>
  </si>
  <si>
    <t xml:space="preserve">153</t>
  </si>
  <si>
    <t xml:space="preserve">154, 155, 156</t>
  </si>
  <si>
    <t xml:space="preserve">159, 160</t>
  </si>
  <si>
    <t xml:space="preserve">152</t>
  </si>
  <si>
    <t xml:space="preserve">Imprisonment up to 3 years, or fine, or both; up to 5 years and fine if committed in a place of worship [s.196]</t>
  </si>
  <si>
    <t xml:space="preserve">153A</t>
  </si>
  <si>
    <t xml:space="preserve">Imprisonment up to 3 years, or fine, or both; up to 5 years and fine if committed in a place of worship [s.197]</t>
  </si>
  <si>
    <t xml:space="preserve">153B</t>
  </si>
  <si>
    <t xml:space="preserve">Simple imprisonment up to 1 year, or fine, or both</t>
  </si>
  <si>
    <t xml:space="preserve">166</t>
  </si>
  <si>
    <t xml:space="preserve">Rigorous imprisonment 6 months to 2 years and fine</t>
  </si>
  <si>
    <t xml:space="preserve">166A</t>
  </si>
  <si>
    <t xml:space="preserve">166B</t>
  </si>
  <si>
    <t xml:space="preserve">167</t>
  </si>
  <si>
    <t xml:space="preserve">168</t>
  </si>
  <si>
    <t xml:space="preserve">Simple imprisonment up to 2 years, or fine, or both; property confiscated</t>
  </si>
  <si>
    <t xml:space="preserve">169</t>
  </si>
  <si>
    <t xml:space="preserve">170</t>
  </si>
  <si>
    <t xml:space="preserve">171</t>
  </si>
  <si>
    <t xml:space="preserve">Simple imprisonment up to 1 month, or fine, or both; up to 6 months, or fine, or both if summons requires attendance in Court [s.206]</t>
  </si>
  <si>
    <t xml:space="preserve">172</t>
  </si>
  <si>
    <t xml:space="preserve">Simple imprisonment up to 1 month, or fine, or both; up to 6 months, or fine, or both if summons requires attendance in Court [s.207]</t>
  </si>
  <si>
    <t xml:space="preserve">173</t>
  </si>
  <si>
    <t xml:space="preserve">Simple imprisonment up to 1 month, or fine, or both; up to 6 months, or fine, or both if attendance in Court is required [s.208]</t>
  </si>
  <si>
    <t xml:space="preserve">174</t>
  </si>
  <si>
    <t xml:space="preserve">Imprisonment up to 3 years, or fine, or both; up to 7 years and fine if declared a proclaimed offender [s.209]</t>
  </si>
  <si>
    <t xml:space="preserve">174A</t>
  </si>
  <si>
    <t xml:space="preserve">Simple imprisonment up to 1 month, or fine, or both; up to 6 months, or fine, or both if production in Court is required [s.210]</t>
  </si>
  <si>
    <t xml:space="preserve">175</t>
  </si>
  <si>
    <t xml:space="preserve">Simple imprisonment up to 1 month, or fine, or both; up to 6 months, or fine, or both in graver cases [s.211]</t>
  </si>
  <si>
    <t xml:space="preserve">176</t>
  </si>
  <si>
    <t xml:space="preserve">Simple imprisonment up to 6 months, or fine, or both; up to 2 years, or fine, or both if information relates to an offence [s.212]</t>
  </si>
  <si>
    <t xml:space="preserve">177</t>
  </si>
  <si>
    <t xml:space="preserve">Simple imprisonment up to 6 months, or fine, or both</t>
  </si>
  <si>
    <t xml:space="preserve">178</t>
  </si>
  <si>
    <t xml:space="preserve">179</t>
  </si>
  <si>
    <t xml:space="preserve">Simple imprisonment up to 3 months, or fine, or both</t>
  </si>
  <si>
    <t xml:space="preserve">180</t>
  </si>
  <si>
    <t xml:space="preserve">181</t>
  </si>
  <si>
    <t xml:space="preserve">182</t>
  </si>
  <si>
    <t xml:space="preserve">183</t>
  </si>
  <si>
    <t xml:space="preserve">184</t>
  </si>
  <si>
    <t xml:space="preserve">185</t>
  </si>
  <si>
    <t xml:space="preserve">186</t>
  </si>
  <si>
    <t xml:space="preserve">Simple imprisonment up to 1 month, or fine, or both; up to 6 months in graver cases [s.222]</t>
  </si>
  <si>
    <t xml:space="preserve">187</t>
  </si>
  <si>
    <t xml:space="preserve">Simple imprisonment up to 6 months, or fine, or both; up to 1 year, or fine, or both if danger to human life or safety [s.223]</t>
  </si>
  <si>
    <t xml:space="preserve">188</t>
  </si>
  <si>
    <t xml:space="preserve">189</t>
  </si>
  <si>
    <t xml:space="preserve">190</t>
  </si>
  <si>
    <t xml:space="preserve">Imprisonment up to 1 year, or fine, or both, or community service</t>
  </si>
  <si>
    <t xml:space="preserve">309</t>
  </si>
  <si>
    <t xml:space="preserve">Imprisonment up to 7 years and fine [s.229(1)]</t>
  </si>
  <si>
    <t xml:space="preserve">193</t>
  </si>
  <si>
    <t xml:space="preserve">Imprisonment for life, or rigorous imprisonment up to 10 years, and fine; death or life if an innocent person is executed [s.230]</t>
  </si>
  <si>
    <t xml:space="preserve">194</t>
  </si>
  <si>
    <t xml:space="preserve">Same punishment as for the offence for which conviction is sought</t>
  </si>
  <si>
    <t xml:space="preserve">195</t>
  </si>
  <si>
    <t xml:space="preserve">Imprisonment up to 7 years, or fine, or both; same as the innocent person's sentence if convicted [s.232]</t>
  </si>
  <si>
    <t xml:space="preserve">195A</t>
  </si>
  <si>
    <t xml:space="preserve">Same punishment as for giving or fabricating false evidence</t>
  </si>
  <si>
    <t xml:space="preserve">196</t>
  </si>
  <si>
    <t xml:space="preserve">Same punishment as for giving false evidence</t>
  </si>
  <si>
    <t xml:space="preserve">197</t>
  </si>
  <si>
    <t xml:space="preserve">198</t>
  </si>
  <si>
    <t xml:space="preserve">199</t>
  </si>
  <si>
    <t xml:space="preserve">200</t>
  </si>
  <si>
    <t xml:space="preserve">Up to 7 years and fine (capital offence); up to 3 years and fine (life offence); up to one-fourth of the longest term, or fine, or both (other offences) [s.238]</t>
  </si>
  <si>
    <t xml:space="preserve">201</t>
  </si>
  <si>
    <t xml:space="preserve">Imprisonment up to 6 months, or fine, or both; up to 2 years in graver cases [s.239]</t>
  </si>
  <si>
    <t xml:space="preserve">202</t>
  </si>
  <si>
    <t xml:space="preserve">203</t>
  </si>
  <si>
    <t xml:space="preserve">204</t>
  </si>
  <si>
    <t xml:space="preserve">205</t>
  </si>
  <si>
    <t xml:space="preserve">206</t>
  </si>
  <si>
    <t xml:space="preserve">207</t>
  </si>
  <si>
    <t xml:space="preserve">208</t>
  </si>
  <si>
    <t xml:space="preserve">209</t>
  </si>
  <si>
    <t xml:space="preserve">210</t>
  </si>
  <si>
    <t xml:space="preserve">Imprisonment up to 2 years, or fine, or both; up to 7 years and fine if the charge is of an offence punishable with 7 years or more [s.248]</t>
  </si>
  <si>
    <t xml:space="preserve">211</t>
  </si>
  <si>
    <t xml:space="preserve">Up to 5 years and fine (capital offence); up to 3 years (life or 10-year offence); lesser terms for other offences [s.249]</t>
  </si>
  <si>
    <t xml:space="preserve">212</t>
  </si>
  <si>
    <t xml:space="preserve">Up to 7 years and fine (capital offence); up to 3 years and fine (life offence); up to one-fourth of the longest term (other offences) [s.250]</t>
  </si>
  <si>
    <t xml:space="preserve">213</t>
  </si>
  <si>
    <t xml:space="preserve">Up to 7 years and fine (capital offence); up to 3 years and fine (life offence); up to one-fourth of the longest term (other offences) [s.251]</t>
  </si>
  <si>
    <t xml:space="preserve">214</t>
  </si>
  <si>
    <t xml:space="preserve">215</t>
  </si>
  <si>
    <t xml:space="preserve">Up to 3 years and fine (offence with 10 years or more); up to one-fourth of the longest term (other offences) [s.253]</t>
  </si>
  <si>
    <t xml:space="preserve">216</t>
  </si>
  <si>
    <t xml:space="preserve">Rigorous imprisonment up to 7 years and fine</t>
  </si>
  <si>
    <t xml:space="preserve">216A</t>
  </si>
  <si>
    <t xml:space="preserve">217</t>
  </si>
  <si>
    <t xml:space="preserve">218</t>
  </si>
  <si>
    <t xml:space="preserve">219</t>
  </si>
  <si>
    <t xml:space="preserve">220</t>
  </si>
  <si>
    <t xml:space="preserve">Up to 7 years and fine (capital offence); up to 3 years and fine (other offences) [s.259]</t>
  </si>
  <si>
    <t xml:space="preserve">221</t>
  </si>
  <si>
    <t xml:space="preserve">Up to life imprisonment or 14 years and fine (capital sentence); up to 7 years or 3 years and fine otherwise [s.260]</t>
  </si>
  <si>
    <t xml:space="preserve">222</t>
  </si>
  <si>
    <t xml:space="preserve">Simple imprisonment up to 2 years and fine</t>
  </si>
  <si>
    <t xml:space="preserve">223</t>
  </si>
  <si>
    <t xml:space="preserve">224</t>
  </si>
  <si>
    <t xml:space="preserve">Imprisonment up to 2 years, or fine, or both; higher terms depending on gravity of the offence [s.263]</t>
  </si>
  <si>
    <t xml:space="preserve">225</t>
  </si>
  <si>
    <t xml:space="preserve">Imprisonment up to 3 years, or fine, or both; depends on the offence involved [s.264]</t>
  </si>
  <si>
    <t xml:space="preserve">225A</t>
  </si>
  <si>
    <t xml:space="preserve">225B</t>
  </si>
  <si>
    <t xml:space="preserve">Same punishment as for the original sentence, if not already served</t>
  </si>
  <si>
    <t xml:space="preserve">227</t>
  </si>
  <si>
    <t xml:space="preserve">228</t>
  </si>
  <si>
    <t xml:space="preserve">229</t>
  </si>
  <si>
    <t xml:space="preserve">229A</t>
  </si>
  <si>
    <t xml:space="preserve">269</t>
  </si>
  <si>
    <t xml:space="preserve">270</t>
  </si>
  <si>
    <t xml:space="preserve">271</t>
  </si>
  <si>
    <t xml:space="preserve">272</t>
  </si>
  <si>
    <t xml:space="preserve">273</t>
  </si>
  <si>
    <t xml:space="preserve">274</t>
  </si>
  <si>
    <t xml:space="preserve">275</t>
  </si>
  <si>
    <t xml:space="preserve">276</t>
  </si>
  <si>
    <t xml:space="preserve">277</t>
  </si>
  <si>
    <t xml:space="preserve">278</t>
  </si>
  <si>
    <t xml:space="preserve">Imprisonment up to 6 months, or fine up to Rs 1,000, or both</t>
  </si>
  <si>
    <t xml:space="preserve">279</t>
  </si>
  <si>
    <t xml:space="preserve">280</t>
  </si>
  <si>
    <t xml:space="preserve">281</t>
  </si>
  <si>
    <t xml:space="preserve">282</t>
  </si>
  <si>
    <t xml:space="preserve">283</t>
  </si>
  <si>
    <t xml:space="preserve">284</t>
  </si>
  <si>
    <t xml:space="preserve">285</t>
  </si>
  <si>
    <t xml:space="preserve">Imprisonment up to 6 months, or fine, or both; higher terms if hurt or death results [s.288]</t>
  </si>
  <si>
    <t xml:space="preserve">286</t>
  </si>
  <si>
    <t xml:space="preserve">287</t>
  </si>
  <si>
    <t xml:space="preserve">288</t>
  </si>
  <si>
    <t xml:space="preserve">289</t>
  </si>
  <si>
    <t xml:space="preserve">290</t>
  </si>
  <si>
    <t xml:space="preserve">291</t>
  </si>
  <si>
    <t xml:space="preserve">First conviction: up to 2 years and fine; repeat conviction: up to 5 years and fine [s.294]</t>
  </si>
  <si>
    <t xml:space="preserve">292, 293</t>
  </si>
  <si>
    <t xml:space="preserve">First conviction: up to 3 years and fine; repeat conviction: up to 7 years and fine [s.295]</t>
  </si>
  <si>
    <t xml:space="preserve">293</t>
  </si>
  <si>
    <t xml:space="preserve">294</t>
  </si>
  <si>
    <t xml:space="preserve">294A</t>
  </si>
  <si>
    <t xml:space="preserve">295</t>
  </si>
  <si>
    <t xml:space="preserve">295A</t>
  </si>
  <si>
    <t xml:space="preserve">296</t>
  </si>
  <si>
    <t xml:space="preserve">297</t>
  </si>
  <si>
    <t xml:space="preserve">298</t>
  </si>
  <si>
    <t xml:space="preserve">Imprisonment up to 3 years, or fine, or both [s.303(2)]</t>
  </si>
  <si>
    <t xml:space="preserve">379</t>
  </si>
  <si>
    <t xml:space="preserve">380</t>
  </si>
  <si>
    <t xml:space="preserve">381</t>
  </si>
  <si>
    <t xml:space="preserve">Rigorous imprisonment up to 10 years and fine</t>
  </si>
  <si>
    <t xml:space="preserve">382</t>
  </si>
  <si>
    <t xml:space="preserve">Up to 7 years, or fine, or both [s.308(2)]; up to 7 years and fine, up to 10 years and fine, or life for graver forms [s.308(3)-(7)]</t>
  </si>
  <si>
    <t xml:space="preserve">383, 384, 385, 386, 387, 388, 389</t>
  </si>
  <si>
    <t xml:space="preserve">Rigorous imprisonment up to 10 years and fine [s.309(4)]</t>
  </si>
  <si>
    <t xml:space="preserve">392</t>
  </si>
  <si>
    <t xml:space="preserve">Imprisonment for life, or rigorous imprisonment up to 10 years, and fine [s.310(2)]</t>
  </si>
  <si>
    <t xml:space="preserve">395</t>
  </si>
  <si>
    <t xml:space="preserve">Imprisonment not less than 7 years</t>
  </si>
  <si>
    <t xml:space="preserve">397</t>
  </si>
  <si>
    <t xml:space="preserve">398</t>
  </si>
  <si>
    <t xml:space="preserve">Rigorous imprisonment for life, or up to 10 years, and fine</t>
  </si>
  <si>
    <t xml:space="preserve">400</t>
  </si>
  <si>
    <t xml:space="preserve">Imprisonment 6 months to 2 years and fine</t>
  </si>
  <si>
    <t xml:space="preserve">403</t>
  </si>
  <si>
    <t xml:space="preserve">Imprisonment up to 3 years and fine; up to 7 years and fine for clerk or servant [s.315]</t>
  </si>
  <si>
    <t xml:space="preserve">404</t>
  </si>
  <si>
    <t xml:space="preserve">Imprisonment up to 5 years, or fine, or both [s.316(2)]</t>
  </si>
  <si>
    <t xml:space="preserve">406</t>
  </si>
  <si>
    <t xml:space="preserve">Imprisonment up to 7 years and fine [s.318(4)]</t>
  </si>
  <si>
    <t xml:space="preserve">420</t>
  </si>
  <si>
    <t xml:space="preserve">Imprisonment up to 5 years, or fine, or both [s.319(2)]</t>
  </si>
  <si>
    <t xml:space="preserve">416, 419</t>
  </si>
  <si>
    <t xml:space="preserve">421</t>
  </si>
  <si>
    <t xml:space="preserve">422</t>
  </si>
  <si>
    <t xml:space="preserve">423</t>
  </si>
  <si>
    <t xml:space="preserve">424</t>
  </si>
  <si>
    <t xml:space="preserve">Imprisonment up to 6 months, or fine, or both [s.324(2)]; higher terms (up to 5 years) for larger loss or damage to public property [s.324(3)-(5)]</t>
  </si>
  <si>
    <t xml:space="preserve">425, 426, 427</t>
  </si>
  <si>
    <t xml:space="preserve">Imprisonment up to 5 years, or fine, or both</t>
  </si>
  <si>
    <t xml:space="preserve">428, 429</t>
  </si>
  <si>
    <t xml:space="preserve">Imprisonment up to 5 years, 7 years, 10 years or life, depending on the nature of mischief [s.326]</t>
  </si>
  <si>
    <t xml:space="preserve">430, 431, 432, 433, 434, 435, 436</t>
  </si>
  <si>
    <t xml:space="preserve">437, 438</t>
  </si>
  <si>
    <t xml:space="preserve">439</t>
  </si>
  <si>
    <t xml:space="preserve">Imprisonment up to 3 months, or fine, or both [s.329(3)]; up to 1 year, or fine, or both for house-trespass [s.329(4)]</t>
  </si>
  <si>
    <t xml:space="preserve">441, 442, 447, 448</t>
  </si>
  <si>
    <t xml:space="preserve">Not applicable - definitions of lurking house-trespass and house-breaking; penalties are in s.331</t>
  </si>
  <si>
    <t xml:space="preserve">443, 444, 445, 446</t>
  </si>
  <si>
    <t xml:space="preserve">Up to 2 years and fine for house-trespass; 3 to 14 years or life and fine for graver forms (night, with weapons, hurt) [s.331]</t>
  </si>
  <si>
    <t xml:space="preserve">451, 452, 453, 454, 455, 456, 457, 458</t>
  </si>
  <si>
    <t xml:space="preserve">Up to 2 years and fine, rising to 10 years or life depending on the offence intended [s.332]</t>
  </si>
  <si>
    <t xml:space="preserve">449, 450</t>
  </si>
  <si>
    <t xml:space="preserve">452</t>
  </si>
  <si>
    <t xml:space="preserve">Imprisonment up to 2 years, or fine, or both; up to 7 years if by a clerk or servant [s.334]</t>
  </si>
  <si>
    <t xml:space="preserve">461</t>
  </si>
  <si>
    <t xml:space="preserve">Imprisonment up to 2 years, or fine, or both [s.336(2)]</t>
  </si>
  <si>
    <t xml:space="preserve">465</t>
  </si>
  <si>
    <t xml:space="preserve">466</t>
  </si>
  <si>
    <t xml:space="preserve">467</t>
  </si>
  <si>
    <t xml:space="preserve">Imprisonment up to 7 years and fine; life or 7 years for documents under s.338 [s.339]</t>
  </si>
  <si>
    <t xml:space="preserve">474</t>
  </si>
  <si>
    <t xml:space="preserve">Same punishment as for forging that document</t>
  </si>
  <si>
    <t xml:space="preserve">470, 471</t>
  </si>
  <si>
    <t xml:space="preserve">Imprisonment for life, or up to 7 years, and fine [s.341]</t>
  </si>
  <si>
    <t xml:space="preserve">472, 473</t>
  </si>
  <si>
    <t xml:space="preserve">Imprisonment for life, or up to 7 years, and fine; up to 7 years and fine for lesser cases [s.342]</t>
  </si>
  <si>
    <t xml:space="preserve">475, 476</t>
  </si>
  <si>
    <t xml:space="preserve">477</t>
  </si>
  <si>
    <t xml:space="preserve">477A</t>
  </si>
  <si>
    <t xml:space="preserve">481, 482</t>
  </si>
  <si>
    <t xml:space="preserve">483, 484</t>
  </si>
  <si>
    <t xml:space="preserve">485</t>
  </si>
  <si>
    <t xml:space="preserve">486</t>
  </si>
  <si>
    <t xml:space="preserve">487, 488</t>
  </si>
  <si>
    <t xml:space="preserve">Imprisonment up to 2 years, or fine, or both [s.351(2)]</t>
  </si>
  <si>
    <t xml:space="preserve">506</t>
  </si>
  <si>
    <t xml:space="preserve">504</t>
  </si>
  <si>
    <t xml:space="preserve">Imprisonment up to 3 years, or fine, or both; up to 5 years and fine in a place of worship [s.353]</t>
  </si>
  <si>
    <t xml:space="preserve">505</t>
  </si>
  <si>
    <t xml:space="preserve">508</t>
  </si>
  <si>
    <t xml:space="preserve">Community service up to 24 hours, or fine, or both</t>
  </si>
  <si>
    <t xml:space="preserve">510</t>
  </si>
  <si>
    <t xml:space="preserve">Simple imprisonment up to 2 years, or fine, or both, or community service [s.356(2)]</t>
  </si>
  <si>
    <t xml:space="preserve">500</t>
  </si>
  <si>
    <t xml:space="preserve">491</t>
  </si>
  <si>
    <t xml:space="preserve">Not applicable - procedural provision (BNSS), no offence defined</t>
  </si>
  <si>
    <t xml:space="preserve">BNSS 2023 (procedure)</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</si>
</sst>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1F3864"/>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95"/>
  </cols>
  <sheetData>
    <row r="1" customFormat="false" ht="32.25" hidden="false" customHeight="true" outlineLevel="0" collapsed="false">
      <c r="A1" s="2" t="s">
        <v>0</v>
      </c>
      <c r="B1" s="3"/>
    </row>
    <row r="2" customFormat="false" ht="15" hidden="false" customHeight="true" outlineLevel="0" collapsed="false">
      <c r="A2" s="4"/>
      <c r="B2" s="3"/>
    </row>
    <row r="3" customFormat="false" ht="15" hidden="false" customHeight="true" outlineLevel="0" collapsed="false">
      <c r="A3" s="4" t="s">
        <v>1</v>
      </c>
      <c r="B3" s="3" t="s">
        <v>2</v>
      </c>
    </row>
    <row r="4" customFormat="false" ht="15" hidden="false" customHeight="true" outlineLevel="0" collapsed="false">
      <c r="A4" s="4" t="s">
        <v>3</v>
      </c>
      <c r="B4" s="3" t="n">
        <f aca="false">COUNTA(Dataset!A2:A5001)</f>
        <v>5000</v>
      </c>
    </row>
    <row r="5" customFormat="false" ht="15" hidden="false" customHeight="true" outlineLevel="0" collapsed="false">
      <c r="A5" s="4" t="s">
        <v>4</v>
      </c>
      <c r="B5" s="3" t="n">
        <f aca="false">COUNTA(Section_Master!A2:A477)</f>
        <v>476</v>
      </c>
    </row>
    <row r="6" customFormat="false" ht="15" hidden="false" customHeight="true" outlineLevel="0" collapsed="false">
      <c r="A6" s="4" t="s">
        <v>5</v>
      </c>
      <c r="B6" s="3" t="n">
        <f aca="false">COUNTIF(Section_Master!D2:D477,"?*")</f>
        <v>476</v>
      </c>
    </row>
    <row r="7" customFormat="false" ht="15" hidden="false" customHeight="true" outlineLevel="0" collapsed="false">
      <c r="A7" s="4" t="s">
        <v>6</v>
      </c>
      <c r="B7" s="3" t="n">
        <f aca="false">COUNTIF(Section_Master!I2:I477,"Yes")</f>
        <v>0</v>
      </c>
    </row>
    <row r="8" customFormat="false" ht="15" hidden="false" customHeight="true" outlineLevel="0" collapsed="false">
      <c r="A8" s="4" t="s">
        <v>7</v>
      </c>
      <c r="B8" s="5" t="n">
        <f aca="false">COUNTA(Section_Master!A2:A477)-COUNTIF(Section_Master!D2:D477,"?*")</f>
        <v>0</v>
      </c>
    </row>
    <row r="9" customFormat="false" ht="15" hidden="false" customHeight="true" outlineLevel="0" collapsed="false">
      <c r="A9" s="6" t="s">
        <v>8</v>
      </c>
      <c r="B9" s="3"/>
    </row>
    <row r="10" customFormat="false" ht="15" hidden="false" customHeight="true" outlineLevel="0" collapsed="false">
      <c r="A10" s="4" t="s">
        <v>9</v>
      </c>
      <c r="B10" s="3" t="s">
        <v>10</v>
      </c>
    </row>
    <row r="11" customFormat="false" ht="23.25" hidden="false" customHeight="true" outlineLevel="0" collapsed="false">
      <c r="A11" s="4" t="s">
        <v>11</v>
      </c>
      <c r="B11" s="3" t="s">
        <v>12</v>
      </c>
    </row>
    <row r="12" customFormat="false" ht="23.25" hidden="false" customHeight="true" outlineLevel="0" collapsed="false">
      <c r="A12" s="4" t="s">
        <v>13</v>
      </c>
      <c r="B12" s="3" t="s">
        <v>14</v>
      </c>
    </row>
    <row r="13" customFormat="false" ht="23.25" hidden="false" customHeight="true" outlineLevel="0" collapsed="false">
      <c r="A13" s="4" t="s">
        <v>15</v>
      </c>
      <c r="B13" s="3" t="s">
        <v>16</v>
      </c>
    </row>
    <row r="14" customFormat="false" ht="15" hidden="false" customHeight="true" outlineLevel="0" collapsed="false">
      <c r="A14" s="4"/>
      <c r="B14" s="3"/>
    </row>
    <row r="15" customFormat="false" ht="15" hidden="false" customHeight="true" outlineLevel="0" collapsed="false">
      <c r="A15" s="6" t="s">
        <v>17</v>
      </c>
      <c r="B15" s="3"/>
    </row>
    <row r="16" customFormat="false" ht="15" hidden="false" customHeight="true" outlineLevel="0" collapsed="false">
      <c r="A16" s="4" t="s">
        <v>18</v>
      </c>
      <c r="B16" s="3" t="s">
        <v>19</v>
      </c>
    </row>
    <row r="17" customFormat="false" ht="15" hidden="false" customHeight="true" outlineLevel="0" collapsed="false">
      <c r="A17" s="4" t="s">
        <v>20</v>
      </c>
      <c r="B17" s="3" t="s">
        <v>21</v>
      </c>
    </row>
    <row r="18" customFormat="false" ht="15" hidden="false" customHeight="true" outlineLevel="0" collapsed="false">
      <c r="A18" s="4" t="s">
        <v>22</v>
      </c>
      <c r="B18" s="3" t="s">
        <v>23</v>
      </c>
    </row>
    <row r="19" customFormat="false" ht="15" hidden="false" customHeight="true" outlineLevel="0" collapsed="false">
      <c r="A19" s="4" t="s">
        <v>24</v>
      </c>
      <c r="B19" s="3" t="s">
        <v>25</v>
      </c>
    </row>
    <row r="20" customFormat="false" ht="15" hidden="false" customHeight="true" outlineLevel="0" collapsed="false">
      <c r="A20" s="4" t="s">
        <v>26</v>
      </c>
      <c r="B20" s="3" t="s">
        <v>27</v>
      </c>
    </row>
    <row r="21" customFormat="false" ht="23.25" hidden="false" customHeight="true" outlineLevel="0" collapsed="false">
      <c r="A21" s="4" t="s">
        <v>28</v>
      </c>
      <c r="B21" s="3" t="s">
        <v>29</v>
      </c>
    </row>
    <row r="22" customFormat="false" ht="15" hidden="false" customHeight="true" outlineLevel="0" collapsed="false">
      <c r="A22" s="4" t="s">
        <v>30</v>
      </c>
      <c r="B22" s="3" t="s">
        <v>31</v>
      </c>
    </row>
    <row r="23" customFormat="false" ht="15" hidden="false" customHeight="true" outlineLevel="0" collapsed="false">
      <c r="A23" s="4" t="s">
        <v>32</v>
      </c>
      <c r="B23" s="3" t="s">
        <v>33</v>
      </c>
    </row>
    <row r="24" customFormat="false" ht="15" hidden="false" customHeight="true" outlineLevel="0" collapsed="false">
      <c r="A24" s="4"/>
      <c r="B24" s="3"/>
    </row>
    <row r="25" customFormat="false" ht="15" hidden="false" customHeight="true" outlineLevel="0" collapsed="false">
      <c r="A25" s="6" t="s">
        <v>34</v>
      </c>
      <c r="B25" s="3"/>
    </row>
    <row r="26" customFormat="false" ht="23.25" hidden="false" customHeight="true" outlineLevel="0" collapsed="false">
      <c r="A26" s="4" t="s">
        <v>32</v>
      </c>
      <c r="B26" s="3" t="s">
        <v>35</v>
      </c>
    </row>
    <row r="27" customFormat="false" ht="15" hidden="false" customHeight="true" outlineLevel="0" collapsed="false">
      <c r="A27" s="4" t="s">
        <v>36</v>
      </c>
      <c r="B27" s="3" t="s">
        <v>37</v>
      </c>
    </row>
    <row r="28" customFormat="false" ht="23.25" hidden="false" customHeight="true" outlineLevel="0" collapsed="false">
      <c r="A28" s="7" t="s">
        <v>38</v>
      </c>
      <c r="B28" s="8"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32"/>
    <col collapsed="false" customWidth="true" hidden="false" outlineLevel="0" max="4" min="4" style="1" width="80"/>
    <col collapsed="false" customWidth="true" hidden="false" outlineLevel="0" max="5" min="5" style="1" width="12"/>
    <col collapsed="false" customWidth="true" hidden="false" outlineLevel="0" max="6" min="6" style="1" width="30"/>
    <col collapsed="false" customWidth="true" hidden="false" outlineLevel="0" max="7" min="7" style="1" width="12"/>
    <col collapsed="false" customWidth="true" hidden="false" outlineLevel="0" max="8" min="8" style="1" width="10"/>
    <col collapsed="false" customWidth="true" hidden="false" outlineLevel="0" max="9" min="9" style="1" width="13"/>
    <col collapsed="false" customWidth="true" hidden="false" outlineLevel="0" max="10" min="10" style="1" width="20"/>
    <col collapsed="false" customWidth="true" hidden="false" outlineLevel="0" max="11" min="11" style="1" width="32"/>
  </cols>
  <sheetData>
    <row r="1" customFormat="false" ht="27.75" hidden="false" customHeight="true" outlineLevel="0" collapsed="false">
      <c r="A1" s="9" t="s">
        <v>18</v>
      </c>
      <c r="B1" s="9" t="s">
        <v>20</v>
      </c>
      <c r="C1" s="9" t="s">
        <v>22</v>
      </c>
      <c r="D1" s="9" t="s">
        <v>24</v>
      </c>
      <c r="E1" s="9" t="s">
        <v>26</v>
      </c>
      <c r="F1" s="9" t="s">
        <v>40</v>
      </c>
      <c r="G1" s="9" t="s">
        <v>41</v>
      </c>
      <c r="H1" s="9" t="s">
        <v>42</v>
      </c>
      <c r="I1" s="9" t="s">
        <v>43</v>
      </c>
      <c r="J1" s="9" t="s">
        <v>30</v>
      </c>
      <c r="K1" s="9" t="s">
        <v>32</v>
      </c>
    </row>
    <row r="2" customFormat="false" ht="45.75" hidden="false" customHeight="true" outlineLevel="0" collapsed="false">
      <c r="A2" s="10" t="s">
        <v>44</v>
      </c>
      <c r="B2" s="10" t="s">
        <v>45</v>
      </c>
      <c r="C2" s="8" t="s">
        <v>46</v>
      </c>
      <c r="D2" s="8" t="s">
        <v>47</v>
      </c>
      <c r="E2" s="11" t="n">
        <v>1</v>
      </c>
      <c r="F2" s="8" t="str">
        <f aca="false">IFERROR(INDEX(Section_Master!$D$2:$D$477,MATCH($E2,Section_Master!$A$2:$A$477,0))&amp;"","")</f>
        <v>Not applicable - no offence or penalty defined here (definition, exception or general provision)</v>
      </c>
      <c r="G2" s="10" t="str">
        <f aca="false">IFERROR(INDEX(Section_Master!$E$2:$E$477,MATCH($E2,Section_Master!$A$2:$A$477,0))&amp;"","")</f>
        <v>N/A</v>
      </c>
      <c r="H2" s="10" t="str">
        <f aca="false">IFERROR(INDEX(Section_Master!$F$2:$F$477,MATCH($E2,Section_Master!$A$2:$A$477,0))&amp;"","")</f>
        <v>N/A</v>
      </c>
      <c r="I2" s="10" t="str">
        <f aca="false">IFERROR(INDEX(Section_Master!$G$2:$G$477,MATCH($E2,Section_Master!$A$2:$A$477,0))&amp;"","")</f>
        <v>N/A</v>
      </c>
      <c r="J2" s="10" t="s">
        <v>48</v>
      </c>
      <c r="K2" s="8" t="s">
        <v>49</v>
      </c>
    </row>
    <row r="3" customFormat="false" ht="45.75" hidden="false" customHeight="true" outlineLevel="0" collapsed="false">
      <c r="A3" s="10" t="s">
        <v>50</v>
      </c>
      <c r="B3" s="10" t="s">
        <v>45</v>
      </c>
      <c r="C3" s="8" t="s">
        <v>46</v>
      </c>
      <c r="D3" s="8" t="s">
        <v>51</v>
      </c>
      <c r="E3" s="11" t="n">
        <v>1</v>
      </c>
      <c r="F3" s="8" t="str">
        <f aca="false">IFERROR(INDEX(Section_Master!$D$2:$D$477,MATCH($E3,Section_Master!$A$2:$A$477,0))&amp;"","")</f>
        <v>Not applicable - no offence or penalty defined here (definition, exception or general provision)</v>
      </c>
      <c r="G3" s="10" t="str">
        <f aca="false">IFERROR(INDEX(Section_Master!$E$2:$E$477,MATCH($E3,Section_Master!$A$2:$A$477,0))&amp;"","")</f>
        <v>N/A</v>
      </c>
      <c r="H3" s="10" t="str">
        <f aca="false">IFERROR(INDEX(Section_Master!$F$2:$F$477,MATCH($E3,Section_Master!$A$2:$A$477,0))&amp;"","")</f>
        <v>N/A</v>
      </c>
      <c r="I3" s="10" t="str">
        <f aca="false">IFERROR(INDEX(Section_Master!$G$2:$G$477,MATCH($E3,Section_Master!$A$2:$A$477,0))&amp;"","")</f>
        <v>N/A</v>
      </c>
      <c r="J3" s="10" t="s">
        <v>52</v>
      </c>
      <c r="K3" s="8" t="s">
        <v>49</v>
      </c>
    </row>
    <row r="4" customFormat="false" ht="34.5" hidden="false" customHeight="true" outlineLevel="0" collapsed="false">
      <c r="A4" s="10" t="s">
        <v>53</v>
      </c>
      <c r="B4" s="10" t="s">
        <v>45</v>
      </c>
      <c r="C4" s="8" t="s">
        <v>46</v>
      </c>
      <c r="D4" s="8" t="s">
        <v>54</v>
      </c>
      <c r="E4" s="11" t="n">
        <v>1</v>
      </c>
      <c r="F4" s="8" t="str">
        <f aca="false">IFERROR(INDEX(Section_Master!$D$2:$D$477,MATCH($E4,Section_Master!$A$2:$A$477,0))&amp;"","")</f>
        <v>Not applicable - no offence or penalty defined here (definition, exception or general provision)</v>
      </c>
      <c r="G4" s="10" t="str">
        <f aca="false">IFERROR(INDEX(Section_Master!$E$2:$E$477,MATCH($E4,Section_Master!$A$2:$A$477,0))&amp;"","")</f>
        <v>N/A</v>
      </c>
      <c r="H4" s="10" t="str">
        <f aca="false">IFERROR(INDEX(Section_Master!$F$2:$F$477,MATCH($E4,Section_Master!$A$2:$A$477,0))&amp;"","")</f>
        <v>N/A</v>
      </c>
      <c r="I4" s="10" t="str">
        <f aca="false">IFERROR(INDEX(Section_Master!$G$2:$G$477,MATCH($E4,Section_Master!$A$2:$A$477,0))&amp;"","")</f>
        <v>N/A</v>
      </c>
      <c r="J4" s="10" t="s">
        <v>55</v>
      </c>
      <c r="K4" s="8" t="s">
        <v>49</v>
      </c>
    </row>
    <row r="5" customFormat="false" ht="23.25" hidden="false" customHeight="true" outlineLevel="0" collapsed="false">
      <c r="A5" s="10" t="s">
        <v>56</v>
      </c>
      <c r="B5" s="10" t="s">
        <v>45</v>
      </c>
      <c r="C5" s="8" t="s">
        <v>46</v>
      </c>
      <c r="D5" s="8" t="s">
        <v>57</v>
      </c>
      <c r="E5" s="11" t="n">
        <v>1</v>
      </c>
      <c r="F5" s="8" t="str">
        <f aca="false">IFERROR(INDEX(Section_Master!$D$2:$D$477,MATCH($E5,Section_Master!$A$2:$A$477,0))&amp;"","")</f>
        <v>Not applicable - no offence or penalty defined here (definition, exception or general provision)</v>
      </c>
      <c r="G5" s="10" t="str">
        <f aca="false">IFERROR(INDEX(Section_Master!$E$2:$E$477,MATCH($E5,Section_Master!$A$2:$A$477,0))&amp;"","")</f>
        <v>N/A</v>
      </c>
      <c r="H5" s="10" t="str">
        <f aca="false">IFERROR(INDEX(Section_Master!$F$2:$F$477,MATCH($E5,Section_Master!$A$2:$A$477,0))&amp;"","")</f>
        <v>N/A</v>
      </c>
      <c r="I5" s="10" t="str">
        <f aca="false">IFERROR(INDEX(Section_Master!$G$2:$G$477,MATCH($E5,Section_Master!$A$2:$A$477,0))&amp;"","")</f>
        <v>N/A</v>
      </c>
      <c r="J5" s="10" t="s">
        <v>58</v>
      </c>
      <c r="K5" s="8" t="s">
        <v>49</v>
      </c>
    </row>
    <row r="6" customFormat="false" ht="34.5" hidden="false" customHeight="true" outlineLevel="0" collapsed="false">
      <c r="A6" s="10" t="s">
        <v>59</v>
      </c>
      <c r="B6" s="10" t="s">
        <v>45</v>
      </c>
      <c r="C6" s="8" t="s">
        <v>46</v>
      </c>
      <c r="D6" s="8" t="s">
        <v>60</v>
      </c>
      <c r="E6" s="11" t="n">
        <v>1</v>
      </c>
      <c r="F6" s="8" t="str">
        <f aca="false">IFERROR(INDEX(Section_Master!$D$2:$D$477,MATCH($E6,Section_Master!$A$2:$A$477,0))&amp;"","")</f>
        <v>Not applicable - no offence or penalty defined here (definition, exception or general provision)</v>
      </c>
      <c r="G6" s="10" t="str">
        <f aca="false">IFERROR(INDEX(Section_Master!$E$2:$E$477,MATCH($E6,Section_Master!$A$2:$A$477,0))&amp;"","")</f>
        <v>N/A</v>
      </c>
      <c r="H6" s="10" t="str">
        <f aca="false">IFERROR(INDEX(Section_Master!$F$2:$F$477,MATCH($E6,Section_Master!$A$2:$A$477,0))&amp;"","")</f>
        <v>N/A</v>
      </c>
      <c r="I6" s="10" t="str">
        <f aca="false">IFERROR(INDEX(Section_Master!$G$2:$G$477,MATCH($E6,Section_Master!$A$2:$A$477,0))&amp;"","")</f>
        <v>N/A</v>
      </c>
      <c r="J6" s="10" t="s">
        <v>61</v>
      </c>
      <c r="K6" s="8" t="s">
        <v>49</v>
      </c>
    </row>
    <row r="7" customFormat="false" ht="34.5" hidden="false" customHeight="true" outlineLevel="0" collapsed="false">
      <c r="A7" s="10" t="s">
        <v>62</v>
      </c>
      <c r="B7" s="10" t="s">
        <v>45</v>
      </c>
      <c r="C7" s="8" t="s">
        <v>46</v>
      </c>
      <c r="D7" s="8" t="s">
        <v>63</v>
      </c>
      <c r="E7" s="11" t="n">
        <v>1</v>
      </c>
      <c r="F7" s="8" t="str">
        <f aca="false">IFERROR(INDEX(Section_Master!$D$2:$D$477,MATCH($E7,Section_Master!$A$2:$A$477,0))&amp;"","")</f>
        <v>Not applicable - no offence or penalty defined here (definition, exception or general provision)</v>
      </c>
      <c r="G7" s="10" t="str">
        <f aca="false">IFERROR(INDEX(Section_Master!$E$2:$E$477,MATCH($E7,Section_Master!$A$2:$A$477,0))&amp;"","")</f>
        <v>N/A</v>
      </c>
      <c r="H7" s="10" t="str">
        <f aca="false">IFERROR(INDEX(Section_Master!$F$2:$F$477,MATCH($E7,Section_Master!$A$2:$A$477,0))&amp;"","")</f>
        <v>N/A</v>
      </c>
      <c r="I7" s="10" t="str">
        <f aca="false">IFERROR(INDEX(Section_Master!$G$2:$G$477,MATCH($E7,Section_Master!$A$2:$A$477,0))&amp;"","")</f>
        <v>N/A</v>
      </c>
      <c r="J7" s="10" t="s">
        <v>64</v>
      </c>
      <c r="K7" s="8" t="s">
        <v>49</v>
      </c>
    </row>
    <row r="8" customFormat="false" ht="34.5" hidden="false" customHeight="true" outlineLevel="0" collapsed="false">
      <c r="A8" s="10" t="s">
        <v>65</v>
      </c>
      <c r="B8" s="10" t="s">
        <v>45</v>
      </c>
      <c r="C8" s="8" t="s">
        <v>66</v>
      </c>
      <c r="D8" s="8" t="s">
        <v>67</v>
      </c>
      <c r="E8" s="11" t="n">
        <v>2</v>
      </c>
      <c r="F8" s="8" t="str">
        <f aca="false">IFERROR(INDEX(Section_Master!$D$2:$D$477,MATCH($E8,Section_Master!$A$2:$A$477,0))&amp;"","")</f>
        <v>Not applicable - no offence or penalty defined here (definition, exception or general provision)</v>
      </c>
      <c r="G8" s="10" t="str">
        <f aca="false">IFERROR(INDEX(Section_Master!$E$2:$E$477,MATCH($E8,Section_Master!$A$2:$A$477,0))&amp;"","")</f>
        <v>N/A</v>
      </c>
      <c r="H8" s="10" t="str">
        <f aca="false">IFERROR(INDEX(Section_Master!$F$2:$F$477,MATCH($E8,Section_Master!$A$2:$A$477,0))&amp;"","")</f>
        <v>N/A</v>
      </c>
      <c r="I8" s="10" t="str">
        <f aca="false">IFERROR(INDEX(Section_Master!$G$2:$G$477,MATCH($E8,Section_Master!$A$2:$A$477,0))&amp;"","")</f>
        <v>N/A</v>
      </c>
      <c r="J8" s="10" t="s">
        <v>48</v>
      </c>
      <c r="K8" s="8" t="s">
        <v>68</v>
      </c>
    </row>
    <row r="9" customFormat="false" ht="34.5" hidden="false" customHeight="true" outlineLevel="0" collapsed="false">
      <c r="A9" s="10" t="s">
        <v>69</v>
      </c>
      <c r="B9" s="10" t="s">
        <v>45</v>
      </c>
      <c r="C9" s="8" t="s">
        <v>66</v>
      </c>
      <c r="D9" s="8" t="s">
        <v>70</v>
      </c>
      <c r="E9" s="11" t="n">
        <v>2</v>
      </c>
      <c r="F9" s="8" t="str">
        <f aca="false">IFERROR(INDEX(Section_Master!$D$2:$D$477,MATCH($E9,Section_Master!$A$2:$A$477,0))&amp;"","")</f>
        <v>Not applicable - no offence or penalty defined here (definition, exception or general provision)</v>
      </c>
      <c r="G9" s="10" t="str">
        <f aca="false">IFERROR(INDEX(Section_Master!$E$2:$E$477,MATCH($E9,Section_Master!$A$2:$A$477,0))&amp;"","")</f>
        <v>N/A</v>
      </c>
      <c r="H9" s="10" t="str">
        <f aca="false">IFERROR(INDEX(Section_Master!$F$2:$F$477,MATCH($E9,Section_Master!$A$2:$A$477,0))&amp;"","")</f>
        <v>N/A</v>
      </c>
      <c r="I9" s="10" t="str">
        <f aca="false">IFERROR(INDEX(Section_Master!$G$2:$G$477,MATCH($E9,Section_Master!$A$2:$A$477,0))&amp;"","")</f>
        <v>N/A</v>
      </c>
      <c r="J9" s="10" t="s">
        <v>52</v>
      </c>
      <c r="K9" s="8" t="s">
        <v>68</v>
      </c>
    </row>
    <row r="10" customFormat="false" ht="34.5" hidden="false" customHeight="true" outlineLevel="0" collapsed="false">
      <c r="A10" s="10" t="s">
        <v>71</v>
      </c>
      <c r="B10" s="10" t="s">
        <v>45</v>
      </c>
      <c r="C10" s="8" t="s">
        <v>66</v>
      </c>
      <c r="D10" s="8" t="s">
        <v>72</v>
      </c>
      <c r="E10" s="11" t="n">
        <v>2</v>
      </c>
      <c r="F10" s="8" t="str">
        <f aca="false">IFERROR(INDEX(Section_Master!$D$2:$D$477,MATCH($E10,Section_Master!$A$2:$A$477,0))&amp;"","")</f>
        <v>Not applicable - no offence or penalty defined here (definition, exception or general provision)</v>
      </c>
      <c r="G10" s="10" t="str">
        <f aca="false">IFERROR(INDEX(Section_Master!$E$2:$E$477,MATCH($E10,Section_Master!$A$2:$A$477,0))&amp;"","")</f>
        <v>N/A</v>
      </c>
      <c r="H10" s="10" t="str">
        <f aca="false">IFERROR(INDEX(Section_Master!$F$2:$F$477,MATCH($E10,Section_Master!$A$2:$A$477,0))&amp;"","")</f>
        <v>N/A</v>
      </c>
      <c r="I10" s="10" t="str">
        <f aca="false">IFERROR(INDEX(Section_Master!$G$2:$G$477,MATCH($E10,Section_Master!$A$2:$A$477,0))&amp;"","")</f>
        <v>N/A</v>
      </c>
      <c r="J10" s="10" t="s">
        <v>55</v>
      </c>
      <c r="K10" s="8" t="s">
        <v>68</v>
      </c>
    </row>
    <row r="11" customFormat="false" ht="23.25" hidden="false" customHeight="true" outlineLevel="0" collapsed="false">
      <c r="A11" s="10" t="s">
        <v>73</v>
      </c>
      <c r="B11" s="10" t="s">
        <v>45</v>
      </c>
      <c r="C11" s="8" t="s">
        <v>66</v>
      </c>
      <c r="D11" s="8" t="s">
        <v>74</v>
      </c>
      <c r="E11" s="11" t="n">
        <v>2</v>
      </c>
      <c r="F11" s="8" t="str">
        <f aca="false">IFERROR(INDEX(Section_Master!$D$2:$D$477,MATCH($E11,Section_Master!$A$2:$A$477,0))&amp;"","")</f>
        <v>Not applicable - no offence or penalty defined here (definition, exception or general provision)</v>
      </c>
      <c r="G11" s="10" t="str">
        <f aca="false">IFERROR(INDEX(Section_Master!$E$2:$E$477,MATCH($E11,Section_Master!$A$2:$A$477,0))&amp;"","")</f>
        <v>N/A</v>
      </c>
      <c r="H11" s="10" t="str">
        <f aca="false">IFERROR(INDEX(Section_Master!$F$2:$F$477,MATCH($E11,Section_Master!$A$2:$A$477,0))&amp;"","")</f>
        <v>N/A</v>
      </c>
      <c r="I11" s="10" t="str">
        <f aca="false">IFERROR(INDEX(Section_Master!$G$2:$G$477,MATCH($E11,Section_Master!$A$2:$A$477,0))&amp;"","")</f>
        <v>N/A</v>
      </c>
      <c r="J11" s="10" t="s">
        <v>58</v>
      </c>
      <c r="K11" s="8" t="s">
        <v>68</v>
      </c>
    </row>
    <row r="12" customFormat="false" ht="23.25" hidden="false" customHeight="true" outlineLevel="0" collapsed="false">
      <c r="A12" s="10" t="s">
        <v>75</v>
      </c>
      <c r="B12" s="10" t="s">
        <v>45</v>
      </c>
      <c r="C12" s="8" t="s">
        <v>66</v>
      </c>
      <c r="D12" s="8" t="s">
        <v>76</v>
      </c>
      <c r="E12" s="11" t="n">
        <v>2</v>
      </c>
      <c r="F12" s="8" t="str">
        <f aca="false">IFERROR(INDEX(Section_Master!$D$2:$D$477,MATCH($E12,Section_Master!$A$2:$A$477,0))&amp;"","")</f>
        <v>Not applicable - no offence or penalty defined here (definition, exception or general provision)</v>
      </c>
      <c r="G12" s="10" t="str">
        <f aca="false">IFERROR(INDEX(Section_Master!$E$2:$E$477,MATCH($E12,Section_Master!$A$2:$A$477,0))&amp;"","")</f>
        <v>N/A</v>
      </c>
      <c r="H12" s="10" t="str">
        <f aca="false">IFERROR(INDEX(Section_Master!$F$2:$F$477,MATCH($E12,Section_Master!$A$2:$A$477,0))&amp;"","")</f>
        <v>N/A</v>
      </c>
      <c r="I12" s="10" t="str">
        <f aca="false">IFERROR(INDEX(Section_Master!$G$2:$G$477,MATCH($E12,Section_Master!$A$2:$A$477,0))&amp;"","")</f>
        <v>N/A</v>
      </c>
      <c r="J12" s="10" t="s">
        <v>61</v>
      </c>
      <c r="K12" s="8" t="s">
        <v>68</v>
      </c>
    </row>
    <row r="13" customFormat="false" ht="34.5" hidden="false" customHeight="true" outlineLevel="0" collapsed="false">
      <c r="A13" s="10" t="s">
        <v>77</v>
      </c>
      <c r="B13" s="10" t="s">
        <v>45</v>
      </c>
      <c r="C13" s="8" t="s">
        <v>66</v>
      </c>
      <c r="D13" s="8" t="s">
        <v>78</v>
      </c>
      <c r="E13" s="11" t="n">
        <v>2</v>
      </c>
      <c r="F13" s="8" t="str">
        <f aca="false">IFERROR(INDEX(Section_Master!$D$2:$D$477,MATCH($E13,Section_Master!$A$2:$A$477,0))&amp;"","")</f>
        <v>Not applicable - no offence or penalty defined here (definition, exception or general provision)</v>
      </c>
      <c r="G13" s="10" t="str">
        <f aca="false">IFERROR(INDEX(Section_Master!$E$2:$E$477,MATCH($E13,Section_Master!$A$2:$A$477,0))&amp;"","")</f>
        <v>N/A</v>
      </c>
      <c r="H13" s="10" t="str">
        <f aca="false">IFERROR(INDEX(Section_Master!$F$2:$F$477,MATCH($E13,Section_Master!$A$2:$A$477,0))&amp;"","")</f>
        <v>N/A</v>
      </c>
      <c r="I13" s="10" t="str">
        <f aca="false">IFERROR(INDEX(Section_Master!$G$2:$G$477,MATCH($E13,Section_Master!$A$2:$A$477,0))&amp;"","")</f>
        <v>N/A</v>
      </c>
      <c r="J13" s="10" t="s">
        <v>64</v>
      </c>
      <c r="K13" s="8" t="s">
        <v>68</v>
      </c>
    </row>
    <row r="14" customFormat="false" ht="34.5" hidden="false" customHeight="true" outlineLevel="0" collapsed="false">
      <c r="A14" s="10" t="s">
        <v>79</v>
      </c>
      <c r="B14" s="10" t="s">
        <v>45</v>
      </c>
      <c r="C14" s="8" t="s">
        <v>80</v>
      </c>
      <c r="D14" s="8" t="s">
        <v>81</v>
      </c>
      <c r="E14" s="11" t="n">
        <v>3</v>
      </c>
      <c r="F14" s="8" t="str">
        <f aca="false">IFERROR(INDEX(Section_Master!$D$2:$D$477,MATCH($E14,Section_Master!$A$2:$A$477,0))&amp;"","")</f>
        <v>Not applicable - no offence or penalty defined here (definition, exception or general provision)</v>
      </c>
      <c r="G14" s="10" t="str">
        <f aca="false">IFERROR(INDEX(Section_Master!$E$2:$E$477,MATCH($E14,Section_Master!$A$2:$A$477,0))&amp;"","")</f>
        <v>N/A</v>
      </c>
      <c r="H14" s="10" t="str">
        <f aca="false">IFERROR(INDEX(Section_Master!$F$2:$F$477,MATCH($E14,Section_Master!$A$2:$A$477,0))&amp;"","")</f>
        <v>N/A</v>
      </c>
      <c r="I14" s="10" t="str">
        <f aca="false">IFERROR(INDEX(Section_Master!$G$2:$G$477,MATCH($E14,Section_Master!$A$2:$A$477,0))&amp;"","")</f>
        <v>N/A</v>
      </c>
      <c r="J14" s="10" t="s">
        <v>48</v>
      </c>
      <c r="K14" s="8" t="s">
        <v>82</v>
      </c>
    </row>
    <row r="15" customFormat="false" ht="45.75" hidden="false" customHeight="true" outlineLevel="0" collapsed="false">
      <c r="A15" s="10" t="s">
        <v>83</v>
      </c>
      <c r="B15" s="10" t="s">
        <v>45</v>
      </c>
      <c r="C15" s="8" t="s">
        <v>80</v>
      </c>
      <c r="D15" s="8" t="s">
        <v>84</v>
      </c>
      <c r="E15" s="11" t="n">
        <v>3</v>
      </c>
      <c r="F15" s="8" t="str">
        <f aca="false">IFERROR(INDEX(Section_Master!$D$2:$D$477,MATCH($E15,Section_Master!$A$2:$A$477,0))&amp;"","")</f>
        <v>Not applicable - no offence or penalty defined here (definition, exception or general provision)</v>
      </c>
      <c r="G15" s="10" t="str">
        <f aca="false">IFERROR(INDEX(Section_Master!$E$2:$E$477,MATCH($E15,Section_Master!$A$2:$A$477,0))&amp;"","")</f>
        <v>N/A</v>
      </c>
      <c r="H15" s="10" t="str">
        <f aca="false">IFERROR(INDEX(Section_Master!$F$2:$F$477,MATCH($E15,Section_Master!$A$2:$A$477,0))&amp;"","")</f>
        <v>N/A</v>
      </c>
      <c r="I15" s="10" t="str">
        <f aca="false">IFERROR(INDEX(Section_Master!$G$2:$G$477,MATCH($E15,Section_Master!$A$2:$A$477,0))&amp;"","")</f>
        <v>N/A</v>
      </c>
      <c r="J15" s="10" t="s">
        <v>52</v>
      </c>
      <c r="K15" s="8" t="s">
        <v>82</v>
      </c>
    </row>
    <row r="16" customFormat="false" ht="34.5" hidden="false" customHeight="true" outlineLevel="0" collapsed="false">
      <c r="A16" s="10" t="s">
        <v>85</v>
      </c>
      <c r="B16" s="10" t="s">
        <v>45</v>
      </c>
      <c r="C16" s="8" t="s">
        <v>80</v>
      </c>
      <c r="D16" s="8" t="s">
        <v>86</v>
      </c>
      <c r="E16" s="11" t="n">
        <v>3</v>
      </c>
      <c r="F16" s="8" t="str">
        <f aca="false">IFERROR(INDEX(Section_Master!$D$2:$D$477,MATCH($E16,Section_Master!$A$2:$A$477,0))&amp;"","")</f>
        <v>Not applicable - no offence or penalty defined here (definition, exception or general provision)</v>
      </c>
      <c r="G16" s="10" t="str">
        <f aca="false">IFERROR(INDEX(Section_Master!$E$2:$E$477,MATCH($E16,Section_Master!$A$2:$A$477,0))&amp;"","")</f>
        <v>N/A</v>
      </c>
      <c r="H16" s="10" t="str">
        <f aca="false">IFERROR(INDEX(Section_Master!$F$2:$F$477,MATCH($E16,Section_Master!$A$2:$A$477,0))&amp;"","")</f>
        <v>N/A</v>
      </c>
      <c r="I16" s="10" t="str">
        <f aca="false">IFERROR(INDEX(Section_Master!$G$2:$G$477,MATCH($E16,Section_Master!$A$2:$A$477,0))&amp;"","")</f>
        <v>N/A</v>
      </c>
      <c r="J16" s="10" t="s">
        <v>55</v>
      </c>
      <c r="K16" s="8" t="s">
        <v>82</v>
      </c>
    </row>
    <row r="17" customFormat="false" ht="34.5" hidden="false" customHeight="true" outlineLevel="0" collapsed="false">
      <c r="A17" s="10" t="s">
        <v>87</v>
      </c>
      <c r="B17" s="10" t="s">
        <v>45</v>
      </c>
      <c r="C17" s="8" t="s">
        <v>80</v>
      </c>
      <c r="D17" s="8" t="s">
        <v>88</v>
      </c>
      <c r="E17" s="11" t="n">
        <v>3</v>
      </c>
      <c r="F17" s="8" t="str">
        <f aca="false">IFERROR(INDEX(Section_Master!$D$2:$D$477,MATCH($E17,Section_Master!$A$2:$A$477,0))&amp;"","")</f>
        <v>Not applicable - no offence or penalty defined here (definition, exception or general provision)</v>
      </c>
      <c r="G17" s="10" t="str">
        <f aca="false">IFERROR(INDEX(Section_Master!$E$2:$E$477,MATCH($E17,Section_Master!$A$2:$A$477,0))&amp;"","")</f>
        <v>N/A</v>
      </c>
      <c r="H17" s="10" t="str">
        <f aca="false">IFERROR(INDEX(Section_Master!$F$2:$F$477,MATCH($E17,Section_Master!$A$2:$A$477,0))&amp;"","")</f>
        <v>N/A</v>
      </c>
      <c r="I17" s="10" t="str">
        <f aca="false">IFERROR(INDEX(Section_Master!$G$2:$G$477,MATCH($E17,Section_Master!$A$2:$A$477,0))&amp;"","")</f>
        <v>N/A</v>
      </c>
      <c r="J17" s="10" t="s">
        <v>58</v>
      </c>
      <c r="K17" s="8" t="s">
        <v>82</v>
      </c>
    </row>
    <row r="18" customFormat="false" ht="34.5" hidden="false" customHeight="true" outlineLevel="0" collapsed="false">
      <c r="A18" s="10" t="s">
        <v>89</v>
      </c>
      <c r="B18" s="10" t="s">
        <v>45</v>
      </c>
      <c r="C18" s="8" t="s">
        <v>80</v>
      </c>
      <c r="D18" s="8" t="s">
        <v>90</v>
      </c>
      <c r="E18" s="11" t="n">
        <v>3</v>
      </c>
      <c r="F18" s="8" t="str">
        <f aca="false">IFERROR(INDEX(Section_Master!$D$2:$D$477,MATCH($E18,Section_Master!$A$2:$A$477,0))&amp;"","")</f>
        <v>Not applicable - no offence or penalty defined here (definition, exception or general provision)</v>
      </c>
      <c r="G18" s="10" t="str">
        <f aca="false">IFERROR(INDEX(Section_Master!$E$2:$E$477,MATCH($E18,Section_Master!$A$2:$A$477,0))&amp;"","")</f>
        <v>N/A</v>
      </c>
      <c r="H18" s="10" t="str">
        <f aca="false">IFERROR(INDEX(Section_Master!$F$2:$F$477,MATCH($E18,Section_Master!$A$2:$A$477,0))&amp;"","")</f>
        <v>N/A</v>
      </c>
      <c r="I18" s="10" t="str">
        <f aca="false">IFERROR(INDEX(Section_Master!$G$2:$G$477,MATCH($E18,Section_Master!$A$2:$A$477,0))&amp;"","")</f>
        <v>N/A</v>
      </c>
      <c r="J18" s="10" t="s">
        <v>61</v>
      </c>
      <c r="K18" s="8" t="s">
        <v>82</v>
      </c>
    </row>
    <row r="19" customFormat="false" ht="34.5" hidden="false" customHeight="true" outlineLevel="0" collapsed="false">
      <c r="A19" s="10" t="s">
        <v>91</v>
      </c>
      <c r="B19" s="10" t="s">
        <v>45</v>
      </c>
      <c r="C19" s="8" t="s">
        <v>80</v>
      </c>
      <c r="D19" s="8" t="s">
        <v>92</v>
      </c>
      <c r="E19" s="11" t="n">
        <v>3</v>
      </c>
      <c r="F19" s="8" t="str">
        <f aca="false">IFERROR(INDEX(Section_Master!$D$2:$D$477,MATCH($E19,Section_Master!$A$2:$A$477,0))&amp;"","")</f>
        <v>Not applicable - no offence or penalty defined here (definition, exception or general provision)</v>
      </c>
      <c r="G19" s="10" t="str">
        <f aca="false">IFERROR(INDEX(Section_Master!$E$2:$E$477,MATCH($E19,Section_Master!$A$2:$A$477,0))&amp;"","")</f>
        <v>N/A</v>
      </c>
      <c r="H19" s="10" t="str">
        <f aca="false">IFERROR(INDEX(Section_Master!$F$2:$F$477,MATCH($E19,Section_Master!$A$2:$A$477,0))&amp;"","")</f>
        <v>N/A</v>
      </c>
      <c r="I19" s="10" t="str">
        <f aca="false">IFERROR(INDEX(Section_Master!$G$2:$G$477,MATCH($E19,Section_Master!$A$2:$A$477,0))&amp;"","")</f>
        <v>N/A</v>
      </c>
      <c r="J19" s="10" t="s">
        <v>64</v>
      </c>
      <c r="K19" s="8" t="s">
        <v>82</v>
      </c>
    </row>
    <row r="20" customFormat="false" ht="23.25" hidden="false" customHeight="true" outlineLevel="0" collapsed="false">
      <c r="A20" s="10" t="s">
        <v>93</v>
      </c>
      <c r="B20" s="10" t="s">
        <v>45</v>
      </c>
      <c r="C20" s="8" t="s">
        <v>94</v>
      </c>
      <c r="D20" s="8" t="s">
        <v>95</v>
      </c>
      <c r="E20" s="11" t="n">
        <v>4</v>
      </c>
      <c r="F20" s="8" t="str">
        <f aca="false">IFERROR(INDEX(Section_Master!$D$2:$D$477,MATCH($E20,Section_Master!$A$2:$A$477,0))&amp;"","")</f>
        <v>Not applicable - no offence or penalty defined here (definition, exception or general provision)</v>
      </c>
      <c r="G20" s="10" t="str">
        <f aca="false">IFERROR(INDEX(Section_Master!$E$2:$E$477,MATCH($E20,Section_Master!$A$2:$A$477,0))&amp;"","")</f>
        <v>N/A</v>
      </c>
      <c r="H20" s="10" t="str">
        <f aca="false">IFERROR(INDEX(Section_Master!$F$2:$F$477,MATCH($E20,Section_Master!$A$2:$A$477,0))&amp;"","")</f>
        <v>N/A</v>
      </c>
      <c r="I20" s="10" t="str">
        <f aca="false">IFERROR(INDEX(Section_Master!$G$2:$G$477,MATCH($E20,Section_Master!$A$2:$A$477,0))&amp;"","")</f>
        <v>N/A</v>
      </c>
      <c r="J20" s="10" t="s">
        <v>48</v>
      </c>
      <c r="K20" s="8" t="s">
        <v>96</v>
      </c>
    </row>
    <row r="21" customFormat="false" ht="34.5" hidden="false" customHeight="true" outlineLevel="0" collapsed="false">
      <c r="A21" s="10" t="s">
        <v>97</v>
      </c>
      <c r="B21" s="10" t="s">
        <v>45</v>
      </c>
      <c r="C21" s="8" t="s">
        <v>94</v>
      </c>
      <c r="D21" s="8" t="s">
        <v>98</v>
      </c>
      <c r="E21" s="11" t="n">
        <v>4</v>
      </c>
      <c r="F21" s="8" t="str">
        <f aca="false">IFERROR(INDEX(Section_Master!$D$2:$D$477,MATCH($E21,Section_Master!$A$2:$A$477,0))&amp;"","")</f>
        <v>Not applicable - no offence or penalty defined here (definition, exception or general provision)</v>
      </c>
      <c r="G21" s="10" t="str">
        <f aca="false">IFERROR(INDEX(Section_Master!$E$2:$E$477,MATCH($E21,Section_Master!$A$2:$A$477,0))&amp;"","")</f>
        <v>N/A</v>
      </c>
      <c r="H21" s="10" t="str">
        <f aca="false">IFERROR(INDEX(Section_Master!$F$2:$F$477,MATCH($E21,Section_Master!$A$2:$A$477,0))&amp;"","")</f>
        <v>N/A</v>
      </c>
      <c r="I21" s="10" t="str">
        <f aca="false">IFERROR(INDEX(Section_Master!$G$2:$G$477,MATCH($E21,Section_Master!$A$2:$A$477,0))&amp;"","")</f>
        <v>N/A</v>
      </c>
      <c r="J21" s="10" t="s">
        <v>52</v>
      </c>
      <c r="K21" s="8" t="s">
        <v>96</v>
      </c>
    </row>
    <row r="22" customFormat="false" ht="23.25" hidden="false" customHeight="true" outlineLevel="0" collapsed="false">
      <c r="A22" s="10" t="s">
        <v>99</v>
      </c>
      <c r="B22" s="10" t="s">
        <v>45</v>
      </c>
      <c r="C22" s="8" t="s">
        <v>94</v>
      </c>
      <c r="D22" s="8" t="s">
        <v>100</v>
      </c>
      <c r="E22" s="11" t="n">
        <v>4</v>
      </c>
      <c r="F22" s="8" t="str">
        <f aca="false">IFERROR(INDEX(Section_Master!$D$2:$D$477,MATCH($E22,Section_Master!$A$2:$A$477,0))&amp;"","")</f>
        <v>Not applicable - no offence or penalty defined here (definition, exception or general provision)</v>
      </c>
      <c r="G22" s="10" t="str">
        <f aca="false">IFERROR(INDEX(Section_Master!$E$2:$E$477,MATCH($E22,Section_Master!$A$2:$A$477,0))&amp;"","")</f>
        <v>N/A</v>
      </c>
      <c r="H22" s="10" t="str">
        <f aca="false">IFERROR(INDEX(Section_Master!$F$2:$F$477,MATCH($E22,Section_Master!$A$2:$A$477,0))&amp;"","")</f>
        <v>N/A</v>
      </c>
      <c r="I22" s="10" t="str">
        <f aca="false">IFERROR(INDEX(Section_Master!$G$2:$G$477,MATCH($E22,Section_Master!$A$2:$A$477,0))&amp;"","")</f>
        <v>N/A</v>
      </c>
      <c r="J22" s="10" t="s">
        <v>55</v>
      </c>
      <c r="K22" s="8" t="s">
        <v>96</v>
      </c>
    </row>
    <row r="23" customFormat="false" ht="23.25" hidden="false" customHeight="true" outlineLevel="0" collapsed="false">
      <c r="A23" s="10" t="s">
        <v>101</v>
      </c>
      <c r="B23" s="10" t="s">
        <v>45</v>
      </c>
      <c r="C23" s="8" t="s">
        <v>94</v>
      </c>
      <c r="D23" s="8" t="s">
        <v>102</v>
      </c>
      <c r="E23" s="11" t="n">
        <v>4</v>
      </c>
      <c r="F23" s="8" t="str">
        <f aca="false">IFERROR(INDEX(Section_Master!$D$2:$D$477,MATCH($E23,Section_Master!$A$2:$A$477,0))&amp;"","")</f>
        <v>Not applicable - no offence or penalty defined here (definition, exception or general provision)</v>
      </c>
      <c r="G23" s="10" t="str">
        <f aca="false">IFERROR(INDEX(Section_Master!$E$2:$E$477,MATCH($E23,Section_Master!$A$2:$A$477,0))&amp;"","")</f>
        <v>N/A</v>
      </c>
      <c r="H23" s="10" t="str">
        <f aca="false">IFERROR(INDEX(Section_Master!$F$2:$F$477,MATCH($E23,Section_Master!$A$2:$A$477,0))&amp;"","")</f>
        <v>N/A</v>
      </c>
      <c r="I23" s="10" t="str">
        <f aca="false">IFERROR(INDEX(Section_Master!$G$2:$G$477,MATCH($E23,Section_Master!$A$2:$A$477,0))&amp;"","")</f>
        <v>N/A</v>
      </c>
      <c r="J23" s="10" t="s">
        <v>58</v>
      </c>
      <c r="K23" s="8" t="s">
        <v>96</v>
      </c>
    </row>
    <row r="24" customFormat="false" ht="23.25" hidden="false" customHeight="true" outlineLevel="0" collapsed="false">
      <c r="A24" s="10" t="s">
        <v>103</v>
      </c>
      <c r="B24" s="10" t="s">
        <v>45</v>
      </c>
      <c r="C24" s="8" t="s">
        <v>94</v>
      </c>
      <c r="D24" s="8" t="s">
        <v>104</v>
      </c>
      <c r="E24" s="11" t="n">
        <v>4</v>
      </c>
      <c r="F24" s="8" t="str">
        <f aca="false">IFERROR(INDEX(Section_Master!$D$2:$D$477,MATCH($E24,Section_Master!$A$2:$A$477,0))&amp;"","")</f>
        <v>Not applicable - no offence or penalty defined here (definition, exception or general provision)</v>
      </c>
      <c r="G24" s="10" t="str">
        <f aca="false">IFERROR(INDEX(Section_Master!$E$2:$E$477,MATCH($E24,Section_Master!$A$2:$A$477,0))&amp;"","")</f>
        <v>N/A</v>
      </c>
      <c r="H24" s="10" t="str">
        <f aca="false">IFERROR(INDEX(Section_Master!$F$2:$F$477,MATCH($E24,Section_Master!$A$2:$A$477,0))&amp;"","")</f>
        <v>N/A</v>
      </c>
      <c r="I24" s="10" t="str">
        <f aca="false">IFERROR(INDEX(Section_Master!$G$2:$G$477,MATCH($E24,Section_Master!$A$2:$A$477,0))&amp;"","")</f>
        <v>N/A</v>
      </c>
      <c r="J24" s="10" t="s">
        <v>61</v>
      </c>
      <c r="K24" s="8" t="s">
        <v>96</v>
      </c>
    </row>
    <row r="25" customFormat="false" ht="23.25" hidden="false" customHeight="true" outlineLevel="0" collapsed="false">
      <c r="A25" s="10" t="s">
        <v>105</v>
      </c>
      <c r="B25" s="10" t="s">
        <v>45</v>
      </c>
      <c r="C25" s="8" t="s">
        <v>94</v>
      </c>
      <c r="D25" s="8" t="s">
        <v>106</v>
      </c>
      <c r="E25" s="11" t="n">
        <v>4</v>
      </c>
      <c r="F25" s="8" t="str">
        <f aca="false">IFERROR(INDEX(Section_Master!$D$2:$D$477,MATCH($E25,Section_Master!$A$2:$A$477,0))&amp;"","")</f>
        <v>Not applicable - no offence or penalty defined here (definition, exception or general provision)</v>
      </c>
      <c r="G25" s="10" t="str">
        <f aca="false">IFERROR(INDEX(Section_Master!$E$2:$E$477,MATCH($E25,Section_Master!$A$2:$A$477,0))&amp;"","")</f>
        <v>N/A</v>
      </c>
      <c r="H25" s="10" t="str">
        <f aca="false">IFERROR(INDEX(Section_Master!$F$2:$F$477,MATCH($E25,Section_Master!$A$2:$A$477,0))&amp;"","")</f>
        <v>N/A</v>
      </c>
      <c r="I25" s="10" t="str">
        <f aca="false">IFERROR(INDEX(Section_Master!$G$2:$G$477,MATCH($E25,Section_Master!$A$2:$A$477,0))&amp;"","")</f>
        <v>N/A</v>
      </c>
      <c r="J25" s="10" t="s">
        <v>64</v>
      </c>
      <c r="K25" s="8" t="s">
        <v>96</v>
      </c>
    </row>
    <row r="26" customFormat="false" ht="34.5" hidden="false" customHeight="true" outlineLevel="0" collapsed="false">
      <c r="A26" s="10" t="s">
        <v>107</v>
      </c>
      <c r="B26" s="10" t="s">
        <v>45</v>
      </c>
      <c r="C26" s="8" t="s">
        <v>108</v>
      </c>
      <c r="D26" s="8" t="s">
        <v>109</v>
      </c>
      <c r="E26" s="11" t="n">
        <v>5</v>
      </c>
      <c r="F26" s="8" t="str">
        <f aca="false">IFERROR(INDEX(Section_Master!$D$2:$D$477,MATCH($E26,Section_Master!$A$2:$A$477,0))&amp;"","")</f>
        <v>Not applicable - no offence or penalty defined here (definition, exception or general provision)</v>
      </c>
      <c r="G26" s="10" t="str">
        <f aca="false">IFERROR(INDEX(Section_Master!$E$2:$E$477,MATCH($E26,Section_Master!$A$2:$A$477,0))&amp;"","")</f>
        <v>N/A</v>
      </c>
      <c r="H26" s="10" t="str">
        <f aca="false">IFERROR(INDEX(Section_Master!$F$2:$F$477,MATCH($E26,Section_Master!$A$2:$A$477,0))&amp;"","")</f>
        <v>N/A</v>
      </c>
      <c r="I26" s="10" t="str">
        <f aca="false">IFERROR(INDEX(Section_Master!$G$2:$G$477,MATCH($E26,Section_Master!$A$2:$A$477,0))&amp;"","")</f>
        <v>N/A</v>
      </c>
      <c r="J26" s="10" t="s">
        <v>48</v>
      </c>
      <c r="K26" s="8" t="s">
        <v>110</v>
      </c>
    </row>
    <row r="27" customFormat="false" ht="34.5" hidden="false" customHeight="true" outlineLevel="0" collapsed="false">
      <c r="A27" s="10" t="s">
        <v>111</v>
      </c>
      <c r="B27" s="10" t="s">
        <v>45</v>
      </c>
      <c r="C27" s="8" t="s">
        <v>108</v>
      </c>
      <c r="D27" s="8" t="s">
        <v>112</v>
      </c>
      <c r="E27" s="11" t="n">
        <v>5</v>
      </c>
      <c r="F27" s="8" t="str">
        <f aca="false">IFERROR(INDEX(Section_Master!$D$2:$D$477,MATCH($E27,Section_Master!$A$2:$A$477,0))&amp;"","")</f>
        <v>Not applicable - no offence or penalty defined here (definition, exception or general provision)</v>
      </c>
      <c r="G27" s="10" t="str">
        <f aca="false">IFERROR(INDEX(Section_Master!$E$2:$E$477,MATCH($E27,Section_Master!$A$2:$A$477,0))&amp;"","")</f>
        <v>N/A</v>
      </c>
      <c r="H27" s="10" t="str">
        <f aca="false">IFERROR(INDEX(Section_Master!$F$2:$F$477,MATCH($E27,Section_Master!$A$2:$A$477,0))&amp;"","")</f>
        <v>N/A</v>
      </c>
      <c r="I27" s="10" t="str">
        <f aca="false">IFERROR(INDEX(Section_Master!$G$2:$G$477,MATCH($E27,Section_Master!$A$2:$A$477,0))&amp;"","")</f>
        <v>N/A</v>
      </c>
      <c r="J27" s="10" t="s">
        <v>52</v>
      </c>
      <c r="K27" s="8" t="s">
        <v>110</v>
      </c>
    </row>
    <row r="28" customFormat="false" ht="34.5" hidden="false" customHeight="true" outlineLevel="0" collapsed="false">
      <c r="A28" s="10" t="s">
        <v>113</v>
      </c>
      <c r="B28" s="10" t="s">
        <v>45</v>
      </c>
      <c r="C28" s="8" t="s">
        <v>108</v>
      </c>
      <c r="D28" s="8" t="s">
        <v>114</v>
      </c>
      <c r="E28" s="11" t="n">
        <v>5</v>
      </c>
      <c r="F28" s="8" t="str">
        <f aca="false">IFERROR(INDEX(Section_Master!$D$2:$D$477,MATCH($E28,Section_Master!$A$2:$A$477,0))&amp;"","")</f>
        <v>Not applicable - no offence or penalty defined here (definition, exception or general provision)</v>
      </c>
      <c r="G28" s="10" t="str">
        <f aca="false">IFERROR(INDEX(Section_Master!$E$2:$E$477,MATCH($E28,Section_Master!$A$2:$A$477,0))&amp;"","")</f>
        <v>N/A</v>
      </c>
      <c r="H28" s="10" t="str">
        <f aca="false">IFERROR(INDEX(Section_Master!$F$2:$F$477,MATCH($E28,Section_Master!$A$2:$A$477,0))&amp;"","")</f>
        <v>N/A</v>
      </c>
      <c r="I28" s="10" t="str">
        <f aca="false">IFERROR(INDEX(Section_Master!$G$2:$G$477,MATCH($E28,Section_Master!$A$2:$A$477,0))&amp;"","")</f>
        <v>N/A</v>
      </c>
      <c r="J28" s="10" t="s">
        <v>55</v>
      </c>
      <c r="K28" s="8" t="s">
        <v>110</v>
      </c>
    </row>
    <row r="29" customFormat="false" ht="23.25" hidden="false" customHeight="true" outlineLevel="0" collapsed="false">
      <c r="A29" s="10" t="s">
        <v>115</v>
      </c>
      <c r="B29" s="10" t="s">
        <v>45</v>
      </c>
      <c r="C29" s="8" t="s">
        <v>108</v>
      </c>
      <c r="D29" s="8" t="s">
        <v>116</v>
      </c>
      <c r="E29" s="11" t="n">
        <v>5</v>
      </c>
      <c r="F29" s="8" t="str">
        <f aca="false">IFERROR(INDEX(Section_Master!$D$2:$D$477,MATCH($E29,Section_Master!$A$2:$A$477,0))&amp;"","")</f>
        <v>Not applicable - no offence or penalty defined here (definition, exception or general provision)</v>
      </c>
      <c r="G29" s="10" t="str">
        <f aca="false">IFERROR(INDEX(Section_Master!$E$2:$E$477,MATCH($E29,Section_Master!$A$2:$A$477,0))&amp;"","")</f>
        <v>N/A</v>
      </c>
      <c r="H29" s="10" t="str">
        <f aca="false">IFERROR(INDEX(Section_Master!$F$2:$F$477,MATCH($E29,Section_Master!$A$2:$A$477,0))&amp;"","")</f>
        <v>N/A</v>
      </c>
      <c r="I29" s="10" t="str">
        <f aca="false">IFERROR(INDEX(Section_Master!$G$2:$G$477,MATCH($E29,Section_Master!$A$2:$A$477,0))&amp;"","")</f>
        <v>N/A</v>
      </c>
      <c r="J29" s="10" t="s">
        <v>58</v>
      </c>
      <c r="K29" s="8" t="s">
        <v>110</v>
      </c>
    </row>
    <row r="30" customFormat="false" ht="23.25" hidden="false" customHeight="true" outlineLevel="0" collapsed="false">
      <c r="A30" s="10" t="s">
        <v>117</v>
      </c>
      <c r="B30" s="10" t="s">
        <v>45</v>
      </c>
      <c r="C30" s="8" t="s">
        <v>108</v>
      </c>
      <c r="D30" s="8" t="s">
        <v>118</v>
      </c>
      <c r="E30" s="11" t="n">
        <v>5</v>
      </c>
      <c r="F30" s="8" t="str">
        <f aca="false">IFERROR(INDEX(Section_Master!$D$2:$D$477,MATCH($E30,Section_Master!$A$2:$A$477,0))&amp;"","")</f>
        <v>Not applicable - no offence or penalty defined here (definition, exception or general provision)</v>
      </c>
      <c r="G30" s="10" t="str">
        <f aca="false">IFERROR(INDEX(Section_Master!$E$2:$E$477,MATCH($E30,Section_Master!$A$2:$A$477,0))&amp;"","")</f>
        <v>N/A</v>
      </c>
      <c r="H30" s="10" t="str">
        <f aca="false">IFERROR(INDEX(Section_Master!$F$2:$F$477,MATCH($E30,Section_Master!$A$2:$A$477,0))&amp;"","")</f>
        <v>N/A</v>
      </c>
      <c r="I30" s="10" t="str">
        <f aca="false">IFERROR(INDEX(Section_Master!$G$2:$G$477,MATCH($E30,Section_Master!$A$2:$A$477,0))&amp;"","")</f>
        <v>N/A</v>
      </c>
      <c r="J30" s="10" t="s">
        <v>61</v>
      </c>
      <c r="K30" s="8" t="s">
        <v>110</v>
      </c>
    </row>
    <row r="31" customFormat="false" ht="23.25" hidden="false" customHeight="true" outlineLevel="0" collapsed="false">
      <c r="A31" s="10" t="s">
        <v>119</v>
      </c>
      <c r="B31" s="10" t="s">
        <v>45</v>
      </c>
      <c r="C31" s="8" t="s">
        <v>108</v>
      </c>
      <c r="D31" s="8" t="s">
        <v>120</v>
      </c>
      <c r="E31" s="11" t="n">
        <v>5</v>
      </c>
      <c r="F31" s="8" t="str">
        <f aca="false">IFERROR(INDEX(Section_Master!$D$2:$D$477,MATCH($E31,Section_Master!$A$2:$A$477,0))&amp;"","")</f>
        <v>Not applicable - no offence or penalty defined here (definition, exception or general provision)</v>
      </c>
      <c r="G31" s="10" t="str">
        <f aca="false">IFERROR(INDEX(Section_Master!$E$2:$E$477,MATCH($E31,Section_Master!$A$2:$A$477,0))&amp;"","")</f>
        <v>N/A</v>
      </c>
      <c r="H31" s="10" t="str">
        <f aca="false">IFERROR(INDEX(Section_Master!$F$2:$F$477,MATCH($E31,Section_Master!$A$2:$A$477,0))&amp;"","")</f>
        <v>N/A</v>
      </c>
      <c r="I31" s="10" t="str">
        <f aca="false">IFERROR(INDEX(Section_Master!$G$2:$G$477,MATCH($E31,Section_Master!$A$2:$A$477,0))&amp;"","")</f>
        <v>N/A</v>
      </c>
      <c r="J31" s="10" t="s">
        <v>64</v>
      </c>
      <c r="K31" s="8" t="s">
        <v>110</v>
      </c>
    </row>
    <row r="32" customFormat="false" ht="23.25" hidden="false" customHeight="true" outlineLevel="0" collapsed="false">
      <c r="A32" s="10" t="s">
        <v>121</v>
      </c>
      <c r="B32" s="10" t="s">
        <v>45</v>
      </c>
      <c r="C32" s="8" t="s">
        <v>122</v>
      </c>
      <c r="D32" s="8" t="s">
        <v>123</v>
      </c>
      <c r="E32" s="11" t="n">
        <v>6</v>
      </c>
      <c r="F32" s="8" t="str">
        <f aca="false">IFERROR(INDEX(Section_Master!$D$2:$D$477,MATCH($E32,Section_Master!$A$2:$A$477,0))&amp;"","")</f>
        <v>Not applicable - no offence or penalty defined here (definition, exception or general provision)</v>
      </c>
      <c r="G32" s="10" t="str">
        <f aca="false">IFERROR(INDEX(Section_Master!$E$2:$E$477,MATCH($E32,Section_Master!$A$2:$A$477,0))&amp;"","")</f>
        <v>N/A</v>
      </c>
      <c r="H32" s="10" t="str">
        <f aca="false">IFERROR(INDEX(Section_Master!$F$2:$F$477,MATCH($E32,Section_Master!$A$2:$A$477,0))&amp;"","")</f>
        <v>N/A</v>
      </c>
      <c r="I32" s="10" t="str">
        <f aca="false">IFERROR(INDEX(Section_Master!$G$2:$G$477,MATCH($E32,Section_Master!$A$2:$A$477,0))&amp;"","")</f>
        <v>N/A</v>
      </c>
      <c r="J32" s="10" t="s">
        <v>48</v>
      </c>
      <c r="K32" s="8" t="s">
        <v>124</v>
      </c>
    </row>
    <row r="33" customFormat="false" ht="34.5" hidden="false" customHeight="true" outlineLevel="0" collapsed="false">
      <c r="A33" s="10" t="s">
        <v>125</v>
      </c>
      <c r="B33" s="10" t="s">
        <v>45</v>
      </c>
      <c r="C33" s="8" t="s">
        <v>122</v>
      </c>
      <c r="D33" s="8" t="s">
        <v>126</v>
      </c>
      <c r="E33" s="11" t="n">
        <v>6</v>
      </c>
      <c r="F33" s="8" t="str">
        <f aca="false">IFERROR(INDEX(Section_Master!$D$2:$D$477,MATCH($E33,Section_Master!$A$2:$A$477,0))&amp;"","")</f>
        <v>Not applicable - no offence or penalty defined here (definition, exception or general provision)</v>
      </c>
      <c r="G33" s="10" t="str">
        <f aca="false">IFERROR(INDEX(Section_Master!$E$2:$E$477,MATCH($E33,Section_Master!$A$2:$A$477,0))&amp;"","")</f>
        <v>N/A</v>
      </c>
      <c r="H33" s="10" t="str">
        <f aca="false">IFERROR(INDEX(Section_Master!$F$2:$F$477,MATCH($E33,Section_Master!$A$2:$A$477,0))&amp;"","")</f>
        <v>N/A</v>
      </c>
      <c r="I33" s="10" t="str">
        <f aca="false">IFERROR(INDEX(Section_Master!$G$2:$G$477,MATCH($E33,Section_Master!$A$2:$A$477,0))&amp;"","")</f>
        <v>N/A</v>
      </c>
      <c r="J33" s="10" t="s">
        <v>52</v>
      </c>
      <c r="K33" s="8" t="s">
        <v>124</v>
      </c>
    </row>
    <row r="34" customFormat="false" ht="23.25" hidden="false" customHeight="true" outlineLevel="0" collapsed="false">
      <c r="A34" s="10" t="s">
        <v>127</v>
      </c>
      <c r="B34" s="10" t="s">
        <v>45</v>
      </c>
      <c r="C34" s="8" t="s">
        <v>122</v>
      </c>
      <c r="D34" s="8" t="s">
        <v>128</v>
      </c>
      <c r="E34" s="11" t="n">
        <v>6</v>
      </c>
      <c r="F34" s="8" t="str">
        <f aca="false">IFERROR(INDEX(Section_Master!$D$2:$D$477,MATCH($E34,Section_Master!$A$2:$A$477,0))&amp;"","")</f>
        <v>Not applicable - no offence or penalty defined here (definition, exception or general provision)</v>
      </c>
      <c r="G34" s="10" t="str">
        <f aca="false">IFERROR(INDEX(Section_Master!$E$2:$E$477,MATCH($E34,Section_Master!$A$2:$A$477,0))&amp;"","")</f>
        <v>N/A</v>
      </c>
      <c r="H34" s="10" t="str">
        <f aca="false">IFERROR(INDEX(Section_Master!$F$2:$F$477,MATCH($E34,Section_Master!$A$2:$A$477,0))&amp;"","")</f>
        <v>N/A</v>
      </c>
      <c r="I34" s="10" t="str">
        <f aca="false">IFERROR(INDEX(Section_Master!$G$2:$G$477,MATCH($E34,Section_Master!$A$2:$A$477,0))&amp;"","")</f>
        <v>N/A</v>
      </c>
      <c r="J34" s="10" t="s">
        <v>55</v>
      </c>
      <c r="K34" s="8" t="s">
        <v>124</v>
      </c>
    </row>
    <row r="35" customFormat="false" ht="23.25" hidden="false" customHeight="true" outlineLevel="0" collapsed="false">
      <c r="A35" s="10" t="s">
        <v>129</v>
      </c>
      <c r="B35" s="10" t="s">
        <v>45</v>
      </c>
      <c r="C35" s="8" t="s">
        <v>122</v>
      </c>
      <c r="D35" s="8" t="s">
        <v>130</v>
      </c>
      <c r="E35" s="11" t="n">
        <v>6</v>
      </c>
      <c r="F35" s="8" t="str">
        <f aca="false">IFERROR(INDEX(Section_Master!$D$2:$D$477,MATCH($E35,Section_Master!$A$2:$A$477,0))&amp;"","")</f>
        <v>Not applicable - no offence or penalty defined here (definition, exception or general provision)</v>
      </c>
      <c r="G35" s="10" t="str">
        <f aca="false">IFERROR(INDEX(Section_Master!$E$2:$E$477,MATCH($E35,Section_Master!$A$2:$A$477,0))&amp;"","")</f>
        <v>N/A</v>
      </c>
      <c r="H35" s="10" t="str">
        <f aca="false">IFERROR(INDEX(Section_Master!$F$2:$F$477,MATCH($E35,Section_Master!$A$2:$A$477,0))&amp;"","")</f>
        <v>N/A</v>
      </c>
      <c r="I35" s="10" t="str">
        <f aca="false">IFERROR(INDEX(Section_Master!$G$2:$G$477,MATCH($E35,Section_Master!$A$2:$A$477,0))&amp;"","")</f>
        <v>N/A</v>
      </c>
      <c r="J35" s="10" t="s">
        <v>58</v>
      </c>
      <c r="K35" s="8" t="s">
        <v>124</v>
      </c>
    </row>
    <row r="36" customFormat="false" ht="34.5" hidden="false" customHeight="true" outlineLevel="0" collapsed="false">
      <c r="A36" s="10" t="s">
        <v>131</v>
      </c>
      <c r="B36" s="10" t="s">
        <v>45</v>
      </c>
      <c r="C36" s="8" t="s">
        <v>122</v>
      </c>
      <c r="D36" s="8" t="s">
        <v>132</v>
      </c>
      <c r="E36" s="11" t="n">
        <v>6</v>
      </c>
      <c r="F36" s="8" t="str">
        <f aca="false">IFERROR(INDEX(Section_Master!$D$2:$D$477,MATCH($E36,Section_Master!$A$2:$A$477,0))&amp;"","")</f>
        <v>Not applicable - no offence or penalty defined here (definition, exception or general provision)</v>
      </c>
      <c r="G36" s="10" t="str">
        <f aca="false">IFERROR(INDEX(Section_Master!$E$2:$E$477,MATCH($E36,Section_Master!$A$2:$A$477,0))&amp;"","")</f>
        <v>N/A</v>
      </c>
      <c r="H36" s="10" t="str">
        <f aca="false">IFERROR(INDEX(Section_Master!$F$2:$F$477,MATCH($E36,Section_Master!$A$2:$A$477,0))&amp;"","")</f>
        <v>N/A</v>
      </c>
      <c r="I36" s="10" t="str">
        <f aca="false">IFERROR(INDEX(Section_Master!$G$2:$G$477,MATCH($E36,Section_Master!$A$2:$A$477,0))&amp;"","")</f>
        <v>N/A</v>
      </c>
      <c r="J36" s="10" t="s">
        <v>61</v>
      </c>
      <c r="K36" s="8" t="s">
        <v>124</v>
      </c>
    </row>
    <row r="37" customFormat="false" ht="34.5" hidden="false" customHeight="true" outlineLevel="0" collapsed="false">
      <c r="A37" s="10" t="s">
        <v>133</v>
      </c>
      <c r="B37" s="10" t="s">
        <v>45</v>
      </c>
      <c r="C37" s="8" t="s">
        <v>122</v>
      </c>
      <c r="D37" s="8" t="s">
        <v>134</v>
      </c>
      <c r="E37" s="11" t="n">
        <v>6</v>
      </c>
      <c r="F37" s="8" t="str">
        <f aca="false">IFERROR(INDEX(Section_Master!$D$2:$D$477,MATCH($E37,Section_Master!$A$2:$A$477,0))&amp;"","")</f>
        <v>Not applicable - no offence or penalty defined here (definition, exception or general provision)</v>
      </c>
      <c r="G37" s="10" t="str">
        <f aca="false">IFERROR(INDEX(Section_Master!$E$2:$E$477,MATCH($E37,Section_Master!$A$2:$A$477,0))&amp;"","")</f>
        <v>N/A</v>
      </c>
      <c r="H37" s="10" t="str">
        <f aca="false">IFERROR(INDEX(Section_Master!$F$2:$F$477,MATCH($E37,Section_Master!$A$2:$A$477,0))&amp;"","")</f>
        <v>N/A</v>
      </c>
      <c r="I37" s="10" t="str">
        <f aca="false">IFERROR(INDEX(Section_Master!$G$2:$G$477,MATCH($E37,Section_Master!$A$2:$A$477,0))&amp;"","")</f>
        <v>N/A</v>
      </c>
      <c r="J37" s="10" t="s">
        <v>64</v>
      </c>
      <c r="K37" s="8" t="s">
        <v>124</v>
      </c>
    </row>
    <row r="38" customFormat="false" ht="34.5" hidden="false" customHeight="true" outlineLevel="0" collapsed="false">
      <c r="A38" s="10" t="s">
        <v>135</v>
      </c>
      <c r="B38" s="10" t="s">
        <v>45</v>
      </c>
      <c r="C38" s="8" t="s">
        <v>136</v>
      </c>
      <c r="D38" s="8" t="s">
        <v>137</v>
      </c>
      <c r="E38" s="11" t="n">
        <v>7</v>
      </c>
      <c r="F38" s="8" t="str">
        <f aca="false">IFERROR(INDEX(Section_Master!$D$2:$D$477,MATCH($E38,Section_Master!$A$2:$A$477,0))&amp;"","")</f>
        <v>Not applicable - no offence or penalty defined here (definition, exception or general provision)</v>
      </c>
      <c r="G38" s="10" t="str">
        <f aca="false">IFERROR(INDEX(Section_Master!$E$2:$E$477,MATCH($E38,Section_Master!$A$2:$A$477,0))&amp;"","")</f>
        <v>N/A</v>
      </c>
      <c r="H38" s="10" t="str">
        <f aca="false">IFERROR(INDEX(Section_Master!$F$2:$F$477,MATCH($E38,Section_Master!$A$2:$A$477,0))&amp;"","")</f>
        <v>N/A</v>
      </c>
      <c r="I38" s="10" t="str">
        <f aca="false">IFERROR(INDEX(Section_Master!$G$2:$G$477,MATCH($E38,Section_Master!$A$2:$A$477,0))&amp;"","")</f>
        <v>N/A</v>
      </c>
      <c r="J38" s="10" t="s">
        <v>48</v>
      </c>
      <c r="K38" s="8" t="s">
        <v>138</v>
      </c>
    </row>
    <row r="39" customFormat="false" ht="34.5" hidden="false" customHeight="true" outlineLevel="0" collapsed="false">
      <c r="A39" s="10" t="s">
        <v>139</v>
      </c>
      <c r="B39" s="10" t="s">
        <v>45</v>
      </c>
      <c r="C39" s="8" t="s">
        <v>136</v>
      </c>
      <c r="D39" s="8" t="s">
        <v>140</v>
      </c>
      <c r="E39" s="11" t="n">
        <v>7</v>
      </c>
      <c r="F39" s="8" t="str">
        <f aca="false">IFERROR(INDEX(Section_Master!$D$2:$D$477,MATCH($E39,Section_Master!$A$2:$A$477,0))&amp;"","")</f>
        <v>Not applicable - no offence or penalty defined here (definition, exception or general provision)</v>
      </c>
      <c r="G39" s="10" t="str">
        <f aca="false">IFERROR(INDEX(Section_Master!$E$2:$E$477,MATCH($E39,Section_Master!$A$2:$A$477,0))&amp;"","")</f>
        <v>N/A</v>
      </c>
      <c r="H39" s="10" t="str">
        <f aca="false">IFERROR(INDEX(Section_Master!$F$2:$F$477,MATCH($E39,Section_Master!$A$2:$A$477,0))&amp;"","")</f>
        <v>N/A</v>
      </c>
      <c r="I39" s="10" t="str">
        <f aca="false">IFERROR(INDEX(Section_Master!$G$2:$G$477,MATCH($E39,Section_Master!$A$2:$A$477,0))&amp;"","")</f>
        <v>N/A</v>
      </c>
      <c r="J39" s="10" t="s">
        <v>52</v>
      </c>
      <c r="K39" s="8" t="s">
        <v>138</v>
      </c>
    </row>
    <row r="40" customFormat="false" ht="34.5" hidden="false" customHeight="true" outlineLevel="0" collapsed="false">
      <c r="A40" s="10" t="s">
        <v>141</v>
      </c>
      <c r="B40" s="10" t="s">
        <v>45</v>
      </c>
      <c r="C40" s="8" t="s">
        <v>136</v>
      </c>
      <c r="D40" s="8" t="s">
        <v>142</v>
      </c>
      <c r="E40" s="11" t="n">
        <v>7</v>
      </c>
      <c r="F40" s="8" t="str">
        <f aca="false">IFERROR(INDEX(Section_Master!$D$2:$D$477,MATCH($E40,Section_Master!$A$2:$A$477,0))&amp;"","")</f>
        <v>Not applicable - no offence or penalty defined here (definition, exception or general provision)</v>
      </c>
      <c r="G40" s="10" t="str">
        <f aca="false">IFERROR(INDEX(Section_Master!$E$2:$E$477,MATCH($E40,Section_Master!$A$2:$A$477,0))&amp;"","")</f>
        <v>N/A</v>
      </c>
      <c r="H40" s="10" t="str">
        <f aca="false">IFERROR(INDEX(Section_Master!$F$2:$F$477,MATCH($E40,Section_Master!$A$2:$A$477,0))&amp;"","")</f>
        <v>N/A</v>
      </c>
      <c r="I40" s="10" t="str">
        <f aca="false">IFERROR(INDEX(Section_Master!$G$2:$G$477,MATCH($E40,Section_Master!$A$2:$A$477,0))&amp;"","")</f>
        <v>N/A</v>
      </c>
      <c r="J40" s="10" t="s">
        <v>55</v>
      </c>
      <c r="K40" s="8" t="s">
        <v>138</v>
      </c>
    </row>
    <row r="41" customFormat="false" ht="34.5" hidden="false" customHeight="true" outlineLevel="0" collapsed="false">
      <c r="A41" s="10" t="s">
        <v>143</v>
      </c>
      <c r="B41" s="10" t="s">
        <v>45</v>
      </c>
      <c r="C41" s="8" t="s">
        <v>136</v>
      </c>
      <c r="D41" s="8" t="s">
        <v>144</v>
      </c>
      <c r="E41" s="11" t="n">
        <v>7</v>
      </c>
      <c r="F41" s="8" t="str">
        <f aca="false">IFERROR(INDEX(Section_Master!$D$2:$D$477,MATCH($E41,Section_Master!$A$2:$A$477,0))&amp;"","")</f>
        <v>Not applicable - no offence or penalty defined here (definition, exception or general provision)</v>
      </c>
      <c r="G41" s="10" t="str">
        <f aca="false">IFERROR(INDEX(Section_Master!$E$2:$E$477,MATCH($E41,Section_Master!$A$2:$A$477,0))&amp;"","")</f>
        <v>N/A</v>
      </c>
      <c r="H41" s="10" t="str">
        <f aca="false">IFERROR(INDEX(Section_Master!$F$2:$F$477,MATCH($E41,Section_Master!$A$2:$A$477,0))&amp;"","")</f>
        <v>N/A</v>
      </c>
      <c r="I41" s="10" t="str">
        <f aca="false">IFERROR(INDEX(Section_Master!$G$2:$G$477,MATCH($E41,Section_Master!$A$2:$A$477,0))&amp;"","")</f>
        <v>N/A</v>
      </c>
      <c r="J41" s="10" t="s">
        <v>58</v>
      </c>
      <c r="K41" s="8" t="s">
        <v>138</v>
      </c>
    </row>
    <row r="42" customFormat="false" ht="34.5" hidden="false" customHeight="true" outlineLevel="0" collapsed="false">
      <c r="A42" s="10" t="s">
        <v>145</v>
      </c>
      <c r="B42" s="10" t="s">
        <v>45</v>
      </c>
      <c r="C42" s="8" t="s">
        <v>136</v>
      </c>
      <c r="D42" s="8" t="s">
        <v>146</v>
      </c>
      <c r="E42" s="11" t="n">
        <v>7</v>
      </c>
      <c r="F42" s="8" t="str">
        <f aca="false">IFERROR(INDEX(Section_Master!$D$2:$D$477,MATCH($E42,Section_Master!$A$2:$A$477,0))&amp;"","")</f>
        <v>Not applicable - no offence or penalty defined here (definition, exception or general provision)</v>
      </c>
      <c r="G42" s="10" t="str">
        <f aca="false">IFERROR(INDEX(Section_Master!$E$2:$E$477,MATCH($E42,Section_Master!$A$2:$A$477,0))&amp;"","")</f>
        <v>N/A</v>
      </c>
      <c r="H42" s="10" t="str">
        <f aca="false">IFERROR(INDEX(Section_Master!$F$2:$F$477,MATCH($E42,Section_Master!$A$2:$A$477,0))&amp;"","")</f>
        <v>N/A</v>
      </c>
      <c r="I42" s="10" t="str">
        <f aca="false">IFERROR(INDEX(Section_Master!$G$2:$G$477,MATCH($E42,Section_Master!$A$2:$A$477,0))&amp;"","")</f>
        <v>N/A</v>
      </c>
      <c r="J42" s="10" t="s">
        <v>61</v>
      </c>
      <c r="K42" s="8" t="s">
        <v>138</v>
      </c>
    </row>
    <row r="43" customFormat="false" ht="34.5" hidden="false" customHeight="true" outlineLevel="0" collapsed="false">
      <c r="A43" s="10" t="s">
        <v>147</v>
      </c>
      <c r="B43" s="10" t="s">
        <v>45</v>
      </c>
      <c r="C43" s="8" t="s">
        <v>136</v>
      </c>
      <c r="D43" s="8" t="s">
        <v>148</v>
      </c>
      <c r="E43" s="11" t="n">
        <v>7</v>
      </c>
      <c r="F43" s="8" t="str">
        <f aca="false">IFERROR(INDEX(Section_Master!$D$2:$D$477,MATCH($E43,Section_Master!$A$2:$A$477,0))&amp;"","")</f>
        <v>Not applicable - no offence or penalty defined here (definition, exception or general provision)</v>
      </c>
      <c r="G43" s="10" t="str">
        <f aca="false">IFERROR(INDEX(Section_Master!$E$2:$E$477,MATCH($E43,Section_Master!$A$2:$A$477,0))&amp;"","")</f>
        <v>N/A</v>
      </c>
      <c r="H43" s="10" t="str">
        <f aca="false">IFERROR(INDEX(Section_Master!$F$2:$F$477,MATCH($E43,Section_Master!$A$2:$A$477,0))&amp;"","")</f>
        <v>N/A</v>
      </c>
      <c r="I43" s="10" t="str">
        <f aca="false">IFERROR(INDEX(Section_Master!$G$2:$G$477,MATCH($E43,Section_Master!$A$2:$A$477,0))&amp;"","")</f>
        <v>N/A</v>
      </c>
      <c r="J43" s="10" t="s">
        <v>64</v>
      </c>
      <c r="K43" s="8" t="s">
        <v>138</v>
      </c>
    </row>
    <row r="44" customFormat="false" ht="34.5" hidden="false" customHeight="true" outlineLevel="0" collapsed="false">
      <c r="A44" s="10" t="s">
        <v>149</v>
      </c>
      <c r="B44" s="10" t="s">
        <v>45</v>
      </c>
      <c r="C44" s="8" t="s">
        <v>150</v>
      </c>
      <c r="D44" s="8" t="s">
        <v>151</v>
      </c>
      <c r="E44" s="11" t="n">
        <v>8</v>
      </c>
      <c r="F44" s="8" t="str">
        <f aca="false">IFERROR(INDEX(Section_Master!$D$2:$D$477,MATCH($E44,Section_Master!$A$2:$A$477,0))&amp;"","")</f>
        <v>Not applicable - no offence or penalty defined here (definition, exception or general provision)</v>
      </c>
      <c r="G44" s="10" t="str">
        <f aca="false">IFERROR(INDEX(Section_Master!$E$2:$E$477,MATCH($E44,Section_Master!$A$2:$A$477,0))&amp;"","")</f>
        <v>N/A</v>
      </c>
      <c r="H44" s="10" t="str">
        <f aca="false">IFERROR(INDEX(Section_Master!$F$2:$F$477,MATCH($E44,Section_Master!$A$2:$A$477,0))&amp;"","")</f>
        <v>N/A</v>
      </c>
      <c r="I44" s="10" t="str">
        <f aca="false">IFERROR(INDEX(Section_Master!$G$2:$G$477,MATCH($E44,Section_Master!$A$2:$A$477,0))&amp;"","")</f>
        <v>N/A</v>
      </c>
      <c r="J44" s="10" t="s">
        <v>48</v>
      </c>
      <c r="K44" s="8" t="s">
        <v>152</v>
      </c>
    </row>
    <row r="45" customFormat="false" ht="45.75" hidden="false" customHeight="true" outlineLevel="0" collapsed="false">
      <c r="A45" s="10" t="s">
        <v>153</v>
      </c>
      <c r="B45" s="10" t="s">
        <v>45</v>
      </c>
      <c r="C45" s="8" t="s">
        <v>150</v>
      </c>
      <c r="D45" s="8" t="s">
        <v>154</v>
      </c>
      <c r="E45" s="11" t="n">
        <v>8</v>
      </c>
      <c r="F45" s="8" t="str">
        <f aca="false">IFERROR(INDEX(Section_Master!$D$2:$D$477,MATCH($E45,Section_Master!$A$2:$A$477,0))&amp;"","")</f>
        <v>Not applicable - no offence or penalty defined here (definition, exception or general provision)</v>
      </c>
      <c r="G45" s="10" t="str">
        <f aca="false">IFERROR(INDEX(Section_Master!$E$2:$E$477,MATCH($E45,Section_Master!$A$2:$A$477,0))&amp;"","")</f>
        <v>N/A</v>
      </c>
      <c r="H45" s="10" t="str">
        <f aca="false">IFERROR(INDEX(Section_Master!$F$2:$F$477,MATCH($E45,Section_Master!$A$2:$A$477,0))&amp;"","")</f>
        <v>N/A</v>
      </c>
      <c r="I45" s="10" t="str">
        <f aca="false">IFERROR(INDEX(Section_Master!$G$2:$G$477,MATCH($E45,Section_Master!$A$2:$A$477,0))&amp;"","")</f>
        <v>N/A</v>
      </c>
      <c r="J45" s="10" t="s">
        <v>52</v>
      </c>
      <c r="K45" s="8" t="s">
        <v>152</v>
      </c>
    </row>
    <row r="46" customFormat="false" ht="34.5" hidden="false" customHeight="true" outlineLevel="0" collapsed="false">
      <c r="A46" s="10" t="s">
        <v>155</v>
      </c>
      <c r="B46" s="10" t="s">
        <v>45</v>
      </c>
      <c r="C46" s="8" t="s">
        <v>150</v>
      </c>
      <c r="D46" s="8" t="s">
        <v>156</v>
      </c>
      <c r="E46" s="11" t="n">
        <v>8</v>
      </c>
      <c r="F46" s="8" t="str">
        <f aca="false">IFERROR(INDEX(Section_Master!$D$2:$D$477,MATCH($E46,Section_Master!$A$2:$A$477,0))&amp;"","")</f>
        <v>Not applicable - no offence or penalty defined here (definition, exception or general provision)</v>
      </c>
      <c r="G46" s="10" t="str">
        <f aca="false">IFERROR(INDEX(Section_Master!$E$2:$E$477,MATCH($E46,Section_Master!$A$2:$A$477,0))&amp;"","")</f>
        <v>N/A</v>
      </c>
      <c r="H46" s="10" t="str">
        <f aca="false">IFERROR(INDEX(Section_Master!$F$2:$F$477,MATCH($E46,Section_Master!$A$2:$A$477,0))&amp;"","")</f>
        <v>N/A</v>
      </c>
      <c r="I46" s="10" t="str">
        <f aca="false">IFERROR(INDEX(Section_Master!$G$2:$G$477,MATCH($E46,Section_Master!$A$2:$A$477,0))&amp;"","")</f>
        <v>N/A</v>
      </c>
      <c r="J46" s="10" t="s">
        <v>55</v>
      </c>
      <c r="K46" s="8" t="s">
        <v>152</v>
      </c>
    </row>
    <row r="47" customFormat="false" ht="23.25" hidden="false" customHeight="true" outlineLevel="0" collapsed="false">
      <c r="A47" s="10" t="s">
        <v>157</v>
      </c>
      <c r="B47" s="10" t="s">
        <v>45</v>
      </c>
      <c r="C47" s="8" t="s">
        <v>150</v>
      </c>
      <c r="D47" s="8" t="s">
        <v>158</v>
      </c>
      <c r="E47" s="11" t="n">
        <v>8</v>
      </c>
      <c r="F47" s="8" t="str">
        <f aca="false">IFERROR(INDEX(Section_Master!$D$2:$D$477,MATCH($E47,Section_Master!$A$2:$A$477,0))&amp;"","")</f>
        <v>Not applicable - no offence or penalty defined here (definition, exception or general provision)</v>
      </c>
      <c r="G47" s="10" t="str">
        <f aca="false">IFERROR(INDEX(Section_Master!$E$2:$E$477,MATCH($E47,Section_Master!$A$2:$A$477,0))&amp;"","")</f>
        <v>N/A</v>
      </c>
      <c r="H47" s="10" t="str">
        <f aca="false">IFERROR(INDEX(Section_Master!$F$2:$F$477,MATCH($E47,Section_Master!$A$2:$A$477,0))&amp;"","")</f>
        <v>N/A</v>
      </c>
      <c r="I47" s="10" t="str">
        <f aca="false">IFERROR(INDEX(Section_Master!$G$2:$G$477,MATCH($E47,Section_Master!$A$2:$A$477,0))&amp;"","")</f>
        <v>N/A</v>
      </c>
      <c r="J47" s="10" t="s">
        <v>58</v>
      </c>
      <c r="K47" s="8" t="s">
        <v>152</v>
      </c>
    </row>
    <row r="48" customFormat="false" ht="34.5" hidden="false" customHeight="true" outlineLevel="0" collapsed="false">
      <c r="A48" s="10" t="s">
        <v>159</v>
      </c>
      <c r="B48" s="10" t="s">
        <v>45</v>
      </c>
      <c r="C48" s="8" t="s">
        <v>150</v>
      </c>
      <c r="D48" s="8" t="s">
        <v>160</v>
      </c>
      <c r="E48" s="11" t="n">
        <v>8</v>
      </c>
      <c r="F48" s="8" t="str">
        <f aca="false">IFERROR(INDEX(Section_Master!$D$2:$D$477,MATCH($E48,Section_Master!$A$2:$A$477,0))&amp;"","")</f>
        <v>Not applicable - no offence or penalty defined here (definition, exception or general provision)</v>
      </c>
      <c r="G48" s="10" t="str">
        <f aca="false">IFERROR(INDEX(Section_Master!$E$2:$E$477,MATCH($E48,Section_Master!$A$2:$A$477,0))&amp;"","")</f>
        <v>N/A</v>
      </c>
      <c r="H48" s="10" t="str">
        <f aca="false">IFERROR(INDEX(Section_Master!$F$2:$F$477,MATCH($E48,Section_Master!$A$2:$A$477,0))&amp;"","")</f>
        <v>N/A</v>
      </c>
      <c r="I48" s="10" t="str">
        <f aca="false">IFERROR(INDEX(Section_Master!$G$2:$G$477,MATCH($E48,Section_Master!$A$2:$A$477,0))&amp;"","")</f>
        <v>N/A</v>
      </c>
      <c r="J48" s="10" t="s">
        <v>61</v>
      </c>
      <c r="K48" s="8" t="s">
        <v>152</v>
      </c>
    </row>
    <row r="49" customFormat="false" ht="23.25" hidden="false" customHeight="true" outlineLevel="0" collapsed="false">
      <c r="A49" s="10" t="s">
        <v>161</v>
      </c>
      <c r="B49" s="10" t="s">
        <v>45</v>
      </c>
      <c r="C49" s="8" t="s">
        <v>150</v>
      </c>
      <c r="D49" s="8" t="s">
        <v>162</v>
      </c>
      <c r="E49" s="11" t="n">
        <v>8</v>
      </c>
      <c r="F49" s="8" t="str">
        <f aca="false">IFERROR(INDEX(Section_Master!$D$2:$D$477,MATCH($E49,Section_Master!$A$2:$A$477,0))&amp;"","")</f>
        <v>Not applicable - no offence or penalty defined here (definition, exception or general provision)</v>
      </c>
      <c r="G49" s="10" t="str">
        <f aca="false">IFERROR(INDEX(Section_Master!$E$2:$E$477,MATCH($E49,Section_Master!$A$2:$A$477,0))&amp;"","")</f>
        <v>N/A</v>
      </c>
      <c r="H49" s="10" t="str">
        <f aca="false">IFERROR(INDEX(Section_Master!$F$2:$F$477,MATCH($E49,Section_Master!$A$2:$A$477,0))&amp;"","")</f>
        <v>N/A</v>
      </c>
      <c r="I49" s="10" t="str">
        <f aca="false">IFERROR(INDEX(Section_Master!$G$2:$G$477,MATCH($E49,Section_Master!$A$2:$A$477,0))&amp;"","")</f>
        <v>N/A</v>
      </c>
      <c r="J49" s="10" t="s">
        <v>64</v>
      </c>
      <c r="K49" s="8" t="s">
        <v>152</v>
      </c>
    </row>
    <row r="50" customFormat="false" ht="34.5" hidden="false" customHeight="true" outlineLevel="0" collapsed="false">
      <c r="A50" s="10" t="s">
        <v>163</v>
      </c>
      <c r="B50" s="10" t="s">
        <v>45</v>
      </c>
      <c r="C50" s="8" t="s">
        <v>164</v>
      </c>
      <c r="D50" s="8" t="s">
        <v>165</v>
      </c>
      <c r="E50" s="11" t="n">
        <v>9</v>
      </c>
      <c r="F50" s="8" t="str">
        <f aca="false">IFERROR(INDEX(Section_Master!$D$2:$D$477,MATCH($E50,Section_Master!$A$2:$A$477,0))&amp;"","")</f>
        <v>Not applicable - no offence or penalty defined here (definition, exception or general provision)</v>
      </c>
      <c r="G50" s="10" t="str">
        <f aca="false">IFERROR(INDEX(Section_Master!$E$2:$E$477,MATCH($E50,Section_Master!$A$2:$A$477,0))&amp;"","")</f>
        <v>N/A</v>
      </c>
      <c r="H50" s="10" t="str">
        <f aca="false">IFERROR(INDEX(Section_Master!$F$2:$F$477,MATCH($E50,Section_Master!$A$2:$A$477,0))&amp;"","")</f>
        <v>N/A</v>
      </c>
      <c r="I50" s="10" t="str">
        <f aca="false">IFERROR(INDEX(Section_Master!$G$2:$G$477,MATCH($E50,Section_Master!$A$2:$A$477,0))&amp;"","")</f>
        <v>N/A</v>
      </c>
      <c r="J50" s="10" t="s">
        <v>48</v>
      </c>
      <c r="K50" s="8" t="s">
        <v>166</v>
      </c>
    </row>
    <row r="51" customFormat="false" ht="45.75" hidden="false" customHeight="true" outlineLevel="0" collapsed="false">
      <c r="A51" s="10" t="s">
        <v>167</v>
      </c>
      <c r="B51" s="10" t="s">
        <v>45</v>
      </c>
      <c r="C51" s="8" t="s">
        <v>164</v>
      </c>
      <c r="D51" s="8" t="s">
        <v>168</v>
      </c>
      <c r="E51" s="11" t="n">
        <v>9</v>
      </c>
      <c r="F51" s="8" t="str">
        <f aca="false">IFERROR(INDEX(Section_Master!$D$2:$D$477,MATCH($E51,Section_Master!$A$2:$A$477,0))&amp;"","")</f>
        <v>Not applicable - no offence or penalty defined here (definition, exception or general provision)</v>
      </c>
      <c r="G51" s="10" t="str">
        <f aca="false">IFERROR(INDEX(Section_Master!$E$2:$E$477,MATCH($E51,Section_Master!$A$2:$A$477,0))&amp;"","")</f>
        <v>N/A</v>
      </c>
      <c r="H51" s="10" t="str">
        <f aca="false">IFERROR(INDEX(Section_Master!$F$2:$F$477,MATCH($E51,Section_Master!$A$2:$A$477,0))&amp;"","")</f>
        <v>N/A</v>
      </c>
      <c r="I51" s="10" t="str">
        <f aca="false">IFERROR(INDEX(Section_Master!$G$2:$G$477,MATCH($E51,Section_Master!$A$2:$A$477,0))&amp;"","")</f>
        <v>N/A</v>
      </c>
      <c r="J51" s="10" t="s">
        <v>52</v>
      </c>
      <c r="K51" s="8" t="s">
        <v>166</v>
      </c>
    </row>
    <row r="52" customFormat="false" ht="23.25" hidden="false" customHeight="true" outlineLevel="0" collapsed="false">
      <c r="A52" s="10" t="s">
        <v>169</v>
      </c>
      <c r="B52" s="10" t="s">
        <v>45</v>
      </c>
      <c r="C52" s="8" t="s">
        <v>164</v>
      </c>
      <c r="D52" s="8" t="s">
        <v>170</v>
      </c>
      <c r="E52" s="11" t="n">
        <v>9</v>
      </c>
      <c r="F52" s="8" t="str">
        <f aca="false">IFERROR(INDEX(Section_Master!$D$2:$D$477,MATCH($E52,Section_Master!$A$2:$A$477,0))&amp;"","")</f>
        <v>Not applicable - no offence or penalty defined here (definition, exception or general provision)</v>
      </c>
      <c r="G52" s="10" t="str">
        <f aca="false">IFERROR(INDEX(Section_Master!$E$2:$E$477,MATCH($E52,Section_Master!$A$2:$A$477,0))&amp;"","")</f>
        <v>N/A</v>
      </c>
      <c r="H52" s="10" t="str">
        <f aca="false">IFERROR(INDEX(Section_Master!$F$2:$F$477,MATCH($E52,Section_Master!$A$2:$A$477,0))&amp;"","")</f>
        <v>N/A</v>
      </c>
      <c r="I52" s="10" t="str">
        <f aca="false">IFERROR(INDEX(Section_Master!$G$2:$G$477,MATCH($E52,Section_Master!$A$2:$A$477,0))&amp;"","")</f>
        <v>N/A</v>
      </c>
      <c r="J52" s="10" t="s">
        <v>55</v>
      </c>
      <c r="K52" s="8" t="s">
        <v>166</v>
      </c>
    </row>
    <row r="53" customFormat="false" ht="34.5" hidden="false" customHeight="true" outlineLevel="0" collapsed="false">
      <c r="A53" s="10" t="s">
        <v>171</v>
      </c>
      <c r="B53" s="10" t="s">
        <v>45</v>
      </c>
      <c r="C53" s="8" t="s">
        <v>164</v>
      </c>
      <c r="D53" s="8" t="s">
        <v>172</v>
      </c>
      <c r="E53" s="11" t="n">
        <v>9</v>
      </c>
      <c r="F53" s="8" t="str">
        <f aca="false">IFERROR(INDEX(Section_Master!$D$2:$D$477,MATCH($E53,Section_Master!$A$2:$A$477,0))&amp;"","")</f>
        <v>Not applicable - no offence or penalty defined here (definition, exception or general provision)</v>
      </c>
      <c r="G53" s="10" t="str">
        <f aca="false">IFERROR(INDEX(Section_Master!$E$2:$E$477,MATCH($E53,Section_Master!$A$2:$A$477,0))&amp;"","")</f>
        <v>N/A</v>
      </c>
      <c r="H53" s="10" t="str">
        <f aca="false">IFERROR(INDEX(Section_Master!$F$2:$F$477,MATCH($E53,Section_Master!$A$2:$A$477,0))&amp;"","")</f>
        <v>N/A</v>
      </c>
      <c r="I53" s="10" t="str">
        <f aca="false">IFERROR(INDEX(Section_Master!$G$2:$G$477,MATCH($E53,Section_Master!$A$2:$A$477,0))&amp;"","")</f>
        <v>N/A</v>
      </c>
      <c r="J53" s="10" t="s">
        <v>58</v>
      </c>
      <c r="K53" s="8" t="s">
        <v>166</v>
      </c>
    </row>
    <row r="54" customFormat="false" ht="34.5" hidden="false" customHeight="true" outlineLevel="0" collapsed="false">
      <c r="A54" s="10" t="s">
        <v>173</v>
      </c>
      <c r="B54" s="10" t="s">
        <v>45</v>
      </c>
      <c r="C54" s="8" t="s">
        <v>164</v>
      </c>
      <c r="D54" s="8" t="s">
        <v>174</v>
      </c>
      <c r="E54" s="11" t="n">
        <v>9</v>
      </c>
      <c r="F54" s="8" t="str">
        <f aca="false">IFERROR(INDEX(Section_Master!$D$2:$D$477,MATCH($E54,Section_Master!$A$2:$A$477,0))&amp;"","")</f>
        <v>Not applicable - no offence or penalty defined here (definition, exception or general provision)</v>
      </c>
      <c r="G54" s="10" t="str">
        <f aca="false">IFERROR(INDEX(Section_Master!$E$2:$E$477,MATCH($E54,Section_Master!$A$2:$A$477,0))&amp;"","")</f>
        <v>N/A</v>
      </c>
      <c r="H54" s="10" t="str">
        <f aca="false">IFERROR(INDEX(Section_Master!$F$2:$F$477,MATCH($E54,Section_Master!$A$2:$A$477,0))&amp;"","")</f>
        <v>N/A</v>
      </c>
      <c r="I54" s="10" t="str">
        <f aca="false">IFERROR(INDEX(Section_Master!$G$2:$G$477,MATCH($E54,Section_Master!$A$2:$A$477,0))&amp;"","")</f>
        <v>N/A</v>
      </c>
      <c r="J54" s="10" t="s">
        <v>61</v>
      </c>
      <c r="K54" s="8" t="s">
        <v>166</v>
      </c>
    </row>
    <row r="55" customFormat="false" ht="34.5" hidden="false" customHeight="true" outlineLevel="0" collapsed="false">
      <c r="A55" s="10" t="s">
        <v>175</v>
      </c>
      <c r="B55" s="10" t="s">
        <v>45</v>
      </c>
      <c r="C55" s="8" t="s">
        <v>164</v>
      </c>
      <c r="D55" s="8" t="s">
        <v>176</v>
      </c>
      <c r="E55" s="11" t="n">
        <v>9</v>
      </c>
      <c r="F55" s="8" t="str">
        <f aca="false">IFERROR(INDEX(Section_Master!$D$2:$D$477,MATCH($E55,Section_Master!$A$2:$A$477,0))&amp;"","")</f>
        <v>Not applicable - no offence or penalty defined here (definition, exception or general provision)</v>
      </c>
      <c r="G55" s="10" t="str">
        <f aca="false">IFERROR(INDEX(Section_Master!$E$2:$E$477,MATCH($E55,Section_Master!$A$2:$A$477,0))&amp;"","")</f>
        <v>N/A</v>
      </c>
      <c r="H55" s="10" t="str">
        <f aca="false">IFERROR(INDEX(Section_Master!$F$2:$F$477,MATCH($E55,Section_Master!$A$2:$A$477,0))&amp;"","")</f>
        <v>N/A</v>
      </c>
      <c r="I55" s="10" t="str">
        <f aca="false">IFERROR(INDEX(Section_Master!$G$2:$G$477,MATCH($E55,Section_Master!$A$2:$A$477,0))&amp;"","")</f>
        <v>N/A</v>
      </c>
      <c r="J55" s="10" t="s">
        <v>64</v>
      </c>
      <c r="K55" s="8" t="s">
        <v>166</v>
      </c>
    </row>
    <row r="56" customFormat="false" ht="34.5" hidden="false" customHeight="true" outlineLevel="0" collapsed="false">
      <c r="A56" s="10" t="s">
        <v>177</v>
      </c>
      <c r="B56" s="10" t="s">
        <v>45</v>
      </c>
      <c r="C56" s="8" t="s">
        <v>178</v>
      </c>
      <c r="D56" s="8" t="s">
        <v>179</v>
      </c>
      <c r="E56" s="11" t="n">
        <v>10</v>
      </c>
      <c r="F56" s="8" t="str">
        <f aca="false">IFERROR(INDEX(Section_Master!$D$2:$D$477,MATCH($E56,Section_Master!$A$2:$A$477,0))&amp;"","")</f>
        <v>Not applicable - no offence or penalty defined here (definition, exception or general provision)</v>
      </c>
      <c r="G56" s="10" t="str">
        <f aca="false">IFERROR(INDEX(Section_Master!$E$2:$E$477,MATCH($E56,Section_Master!$A$2:$A$477,0))&amp;"","")</f>
        <v>N/A</v>
      </c>
      <c r="H56" s="10" t="str">
        <f aca="false">IFERROR(INDEX(Section_Master!$F$2:$F$477,MATCH($E56,Section_Master!$A$2:$A$477,0))&amp;"","")</f>
        <v>N/A</v>
      </c>
      <c r="I56" s="10" t="str">
        <f aca="false">IFERROR(INDEX(Section_Master!$G$2:$G$477,MATCH($E56,Section_Master!$A$2:$A$477,0))&amp;"","")</f>
        <v>N/A</v>
      </c>
      <c r="J56" s="10" t="s">
        <v>48</v>
      </c>
      <c r="K56" s="8" t="s">
        <v>180</v>
      </c>
    </row>
    <row r="57" customFormat="false" ht="45.75" hidden="false" customHeight="true" outlineLevel="0" collapsed="false">
      <c r="A57" s="10" t="s">
        <v>181</v>
      </c>
      <c r="B57" s="10" t="s">
        <v>45</v>
      </c>
      <c r="C57" s="8" t="s">
        <v>178</v>
      </c>
      <c r="D57" s="8" t="s">
        <v>182</v>
      </c>
      <c r="E57" s="11" t="n">
        <v>10</v>
      </c>
      <c r="F57" s="8" t="str">
        <f aca="false">IFERROR(INDEX(Section_Master!$D$2:$D$477,MATCH($E57,Section_Master!$A$2:$A$477,0))&amp;"","")</f>
        <v>Not applicable - no offence or penalty defined here (definition, exception or general provision)</v>
      </c>
      <c r="G57" s="10" t="str">
        <f aca="false">IFERROR(INDEX(Section_Master!$E$2:$E$477,MATCH($E57,Section_Master!$A$2:$A$477,0))&amp;"","")</f>
        <v>N/A</v>
      </c>
      <c r="H57" s="10" t="str">
        <f aca="false">IFERROR(INDEX(Section_Master!$F$2:$F$477,MATCH($E57,Section_Master!$A$2:$A$477,0))&amp;"","")</f>
        <v>N/A</v>
      </c>
      <c r="I57" s="10" t="str">
        <f aca="false">IFERROR(INDEX(Section_Master!$G$2:$G$477,MATCH($E57,Section_Master!$A$2:$A$477,0))&amp;"","")</f>
        <v>N/A</v>
      </c>
      <c r="J57" s="10" t="s">
        <v>52</v>
      </c>
      <c r="K57" s="8" t="s">
        <v>180</v>
      </c>
    </row>
    <row r="58" customFormat="false" ht="34.5" hidden="false" customHeight="true" outlineLevel="0" collapsed="false">
      <c r="A58" s="10" t="s">
        <v>183</v>
      </c>
      <c r="B58" s="10" t="s">
        <v>45</v>
      </c>
      <c r="C58" s="8" t="s">
        <v>178</v>
      </c>
      <c r="D58" s="8" t="s">
        <v>184</v>
      </c>
      <c r="E58" s="11" t="n">
        <v>10</v>
      </c>
      <c r="F58" s="8" t="str">
        <f aca="false">IFERROR(INDEX(Section_Master!$D$2:$D$477,MATCH($E58,Section_Master!$A$2:$A$477,0))&amp;"","")</f>
        <v>Not applicable - no offence or penalty defined here (definition, exception or general provision)</v>
      </c>
      <c r="G58" s="10" t="str">
        <f aca="false">IFERROR(INDEX(Section_Master!$E$2:$E$477,MATCH($E58,Section_Master!$A$2:$A$477,0))&amp;"","")</f>
        <v>N/A</v>
      </c>
      <c r="H58" s="10" t="str">
        <f aca="false">IFERROR(INDEX(Section_Master!$F$2:$F$477,MATCH($E58,Section_Master!$A$2:$A$477,0))&amp;"","")</f>
        <v>N/A</v>
      </c>
      <c r="I58" s="10" t="str">
        <f aca="false">IFERROR(INDEX(Section_Master!$G$2:$G$477,MATCH($E58,Section_Master!$A$2:$A$477,0))&amp;"","")</f>
        <v>N/A</v>
      </c>
      <c r="J58" s="10" t="s">
        <v>55</v>
      </c>
      <c r="K58" s="8" t="s">
        <v>180</v>
      </c>
    </row>
    <row r="59" customFormat="false" ht="34.5" hidden="false" customHeight="true" outlineLevel="0" collapsed="false">
      <c r="A59" s="10" t="s">
        <v>185</v>
      </c>
      <c r="B59" s="10" t="s">
        <v>45</v>
      </c>
      <c r="C59" s="8" t="s">
        <v>178</v>
      </c>
      <c r="D59" s="8" t="s">
        <v>186</v>
      </c>
      <c r="E59" s="11" t="n">
        <v>10</v>
      </c>
      <c r="F59" s="8" t="str">
        <f aca="false">IFERROR(INDEX(Section_Master!$D$2:$D$477,MATCH($E59,Section_Master!$A$2:$A$477,0))&amp;"","")</f>
        <v>Not applicable - no offence or penalty defined here (definition, exception or general provision)</v>
      </c>
      <c r="G59" s="10" t="str">
        <f aca="false">IFERROR(INDEX(Section_Master!$E$2:$E$477,MATCH($E59,Section_Master!$A$2:$A$477,0))&amp;"","")</f>
        <v>N/A</v>
      </c>
      <c r="H59" s="10" t="str">
        <f aca="false">IFERROR(INDEX(Section_Master!$F$2:$F$477,MATCH($E59,Section_Master!$A$2:$A$477,0))&amp;"","")</f>
        <v>N/A</v>
      </c>
      <c r="I59" s="10" t="str">
        <f aca="false">IFERROR(INDEX(Section_Master!$G$2:$G$477,MATCH($E59,Section_Master!$A$2:$A$477,0))&amp;"","")</f>
        <v>N/A</v>
      </c>
      <c r="J59" s="10" t="s">
        <v>58</v>
      </c>
      <c r="K59" s="8" t="s">
        <v>180</v>
      </c>
    </row>
    <row r="60" customFormat="false" ht="34.5" hidden="false" customHeight="true" outlineLevel="0" collapsed="false">
      <c r="A60" s="10" t="s">
        <v>187</v>
      </c>
      <c r="B60" s="10" t="s">
        <v>45</v>
      </c>
      <c r="C60" s="8" t="s">
        <v>178</v>
      </c>
      <c r="D60" s="8" t="s">
        <v>188</v>
      </c>
      <c r="E60" s="11" t="n">
        <v>10</v>
      </c>
      <c r="F60" s="8" t="str">
        <f aca="false">IFERROR(INDEX(Section_Master!$D$2:$D$477,MATCH($E60,Section_Master!$A$2:$A$477,0))&amp;"","")</f>
        <v>Not applicable - no offence or penalty defined here (definition, exception or general provision)</v>
      </c>
      <c r="G60" s="10" t="str">
        <f aca="false">IFERROR(INDEX(Section_Master!$E$2:$E$477,MATCH($E60,Section_Master!$A$2:$A$477,0))&amp;"","")</f>
        <v>N/A</v>
      </c>
      <c r="H60" s="10" t="str">
        <f aca="false">IFERROR(INDEX(Section_Master!$F$2:$F$477,MATCH($E60,Section_Master!$A$2:$A$477,0))&amp;"","")</f>
        <v>N/A</v>
      </c>
      <c r="I60" s="10" t="str">
        <f aca="false">IFERROR(INDEX(Section_Master!$G$2:$G$477,MATCH($E60,Section_Master!$A$2:$A$477,0))&amp;"","")</f>
        <v>N/A</v>
      </c>
      <c r="J60" s="10" t="s">
        <v>61</v>
      </c>
      <c r="K60" s="8" t="s">
        <v>180</v>
      </c>
    </row>
    <row r="61" customFormat="false" ht="34.5" hidden="false" customHeight="true" outlineLevel="0" collapsed="false">
      <c r="A61" s="10" t="s">
        <v>189</v>
      </c>
      <c r="B61" s="10" t="s">
        <v>45</v>
      </c>
      <c r="C61" s="8" t="s">
        <v>178</v>
      </c>
      <c r="D61" s="8" t="s">
        <v>190</v>
      </c>
      <c r="E61" s="11" t="n">
        <v>10</v>
      </c>
      <c r="F61" s="8" t="str">
        <f aca="false">IFERROR(INDEX(Section_Master!$D$2:$D$477,MATCH($E61,Section_Master!$A$2:$A$477,0))&amp;"","")</f>
        <v>Not applicable - no offence or penalty defined here (definition, exception or general provision)</v>
      </c>
      <c r="G61" s="10" t="str">
        <f aca="false">IFERROR(INDEX(Section_Master!$E$2:$E$477,MATCH($E61,Section_Master!$A$2:$A$477,0))&amp;"","")</f>
        <v>N/A</v>
      </c>
      <c r="H61" s="10" t="str">
        <f aca="false">IFERROR(INDEX(Section_Master!$F$2:$F$477,MATCH($E61,Section_Master!$A$2:$A$477,0))&amp;"","")</f>
        <v>N/A</v>
      </c>
      <c r="I61" s="10" t="str">
        <f aca="false">IFERROR(INDEX(Section_Master!$G$2:$G$477,MATCH($E61,Section_Master!$A$2:$A$477,0))&amp;"","")</f>
        <v>N/A</v>
      </c>
      <c r="J61" s="10" t="s">
        <v>64</v>
      </c>
      <c r="K61" s="8" t="s">
        <v>180</v>
      </c>
    </row>
    <row r="62" customFormat="false" ht="23.25" hidden="false" customHeight="true" outlineLevel="0" collapsed="false">
      <c r="A62" s="10" t="s">
        <v>191</v>
      </c>
      <c r="B62" s="10" t="s">
        <v>45</v>
      </c>
      <c r="C62" s="8" t="s">
        <v>192</v>
      </c>
      <c r="D62" s="8" t="s">
        <v>193</v>
      </c>
      <c r="E62" s="11" t="n">
        <v>11</v>
      </c>
      <c r="F62" s="8" t="str">
        <f aca="false">IFERROR(INDEX(Section_Master!$D$2:$D$477,MATCH($E62,Section_Master!$A$2:$A$477,0))&amp;"","")</f>
        <v>Not applicable - no offence or penalty defined here (definition, exception or general provision)</v>
      </c>
      <c r="G62" s="10" t="str">
        <f aca="false">IFERROR(INDEX(Section_Master!$E$2:$E$477,MATCH($E62,Section_Master!$A$2:$A$477,0))&amp;"","")</f>
        <v>N/A</v>
      </c>
      <c r="H62" s="10" t="str">
        <f aca="false">IFERROR(INDEX(Section_Master!$F$2:$F$477,MATCH($E62,Section_Master!$A$2:$A$477,0))&amp;"","")</f>
        <v>N/A</v>
      </c>
      <c r="I62" s="10" t="str">
        <f aca="false">IFERROR(INDEX(Section_Master!$G$2:$G$477,MATCH($E62,Section_Master!$A$2:$A$477,0))&amp;"","")</f>
        <v>N/A</v>
      </c>
      <c r="J62" s="10" t="s">
        <v>48</v>
      </c>
      <c r="K62" s="8" t="s">
        <v>194</v>
      </c>
    </row>
    <row r="63" customFormat="false" ht="45.75" hidden="false" customHeight="true" outlineLevel="0" collapsed="false">
      <c r="A63" s="10" t="s">
        <v>195</v>
      </c>
      <c r="B63" s="10" t="s">
        <v>45</v>
      </c>
      <c r="C63" s="8" t="s">
        <v>192</v>
      </c>
      <c r="D63" s="8" t="s">
        <v>196</v>
      </c>
      <c r="E63" s="11" t="n">
        <v>11</v>
      </c>
      <c r="F63" s="8" t="str">
        <f aca="false">IFERROR(INDEX(Section_Master!$D$2:$D$477,MATCH($E63,Section_Master!$A$2:$A$477,0))&amp;"","")</f>
        <v>Not applicable - no offence or penalty defined here (definition, exception or general provision)</v>
      </c>
      <c r="G63" s="10" t="str">
        <f aca="false">IFERROR(INDEX(Section_Master!$E$2:$E$477,MATCH($E63,Section_Master!$A$2:$A$477,0))&amp;"","")</f>
        <v>N/A</v>
      </c>
      <c r="H63" s="10" t="str">
        <f aca="false">IFERROR(INDEX(Section_Master!$F$2:$F$477,MATCH($E63,Section_Master!$A$2:$A$477,0))&amp;"","")</f>
        <v>N/A</v>
      </c>
      <c r="I63" s="10" t="str">
        <f aca="false">IFERROR(INDEX(Section_Master!$G$2:$G$477,MATCH($E63,Section_Master!$A$2:$A$477,0))&amp;"","")</f>
        <v>N/A</v>
      </c>
      <c r="J63" s="10" t="s">
        <v>52</v>
      </c>
      <c r="K63" s="8" t="s">
        <v>194</v>
      </c>
    </row>
    <row r="64" customFormat="false" ht="34.5" hidden="false" customHeight="true" outlineLevel="0" collapsed="false">
      <c r="A64" s="10" t="s">
        <v>197</v>
      </c>
      <c r="B64" s="10" t="s">
        <v>45</v>
      </c>
      <c r="C64" s="8" t="s">
        <v>192</v>
      </c>
      <c r="D64" s="8" t="s">
        <v>198</v>
      </c>
      <c r="E64" s="11" t="n">
        <v>11</v>
      </c>
      <c r="F64" s="8" t="str">
        <f aca="false">IFERROR(INDEX(Section_Master!$D$2:$D$477,MATCH($E64,Section_Master!$A$2:$A$477,0))&amp;"","")</f>
        <v>Not applicable - no offence or penalty defined here (definition, exception or general provision)</v>
      </c>
      <c r="G64" s="10" t="str">
        <f aca="false">IFERROR(INDEX(Section_Master!$E$2:$E$477,MATCH($E64,Section_Master!$A$2:$A$477,0))&amp;"","")</f>
        <v>N/A</v>
      </c>
      <c r="H64" s="10" t="str">
        <f aca="false">IFERROR(INDEX(Section_Master!$F$2:$F$477,MATCH($E64,Section_Master!$A$2:$A$477,0))&amp;"","")</f>
        <v>N/A</v>
      </c>
      <c r="I64" s="10" t="str">
        <f aca="false">IFERROR(INDEX(Section_Master!$G$2:$G$477,MATCH($E64,Section_Master!$A$2:$A$477,0))&amp;"","")</f>
        <v>N/A</v>
      </c>
      <c r="J64" s="10" t="s">
        <v>55</v>
      </c>
      <c r="K64" s="8" t="s">
        <v>194</v>
      </c>
    </row>
    <row r="65" customFormat="false" ht="34.5" hidden="false" customHeight="true" outlineLevel="0" collapsed="false">
      <c r="A65" s="10" t="s">
        <v>199</v>
      </c>
      <c r="B65" s="10" t="s">
        <v>45</v>
      </c>
      <c r="C65" s="8" t="s">
        <v>192</v>
      </c>
      <c r="D65" s="8" t="s">
        <v>200</v>
      </c>
      <c r="E65" s="11" t="n">
        <v>11</v>
      </c>
      <c r="F65" s="8" t="str">
        <f aca="false">IFERROR(INDEX(Section_Master!$D$2:$D$477,MATCH($E65,Section_Master!$A$2:$A$477,0))&amp;"","")</f>
        <v>Not applicable - no offence or penalty defined here (definition, exception or general provision)</v>
      </c>
      <c r="G65" s="10" t="str">
        <f aca="false">IFERROR(INDEX(Section_Master!$E$2:$E$477,MATCH($E65,Section_Master!$A$2:$A$477,0))&amp;"","")</f>
        <v>N/A</v>
      </c>
      <c r="H65" s="10" t="str">
        <f aca="false">IFERROR(INDEX(Section_Master!$F$2:$F$477,MATCH($E65,Section_Master!$A$2:$A$477,0))&amp;"","")</f>
        <v>N/A</v>
      </c>
      <c r="I65" s="10" t="str">
        <f aca="false">IFERROR(INDEX(Section_Master!$G$2:$G$477,MATCH($E65,Section_Master!$A$2:$A$477,0))&amp;"","")</f>
        <v>N/A</v>
      </c>
      <c r="J65" s="10" t="s">
        <v>58</v>
      </c>
      <c r="K65" s="8" t="s">
        <v>194</v>
      </c>
    </row>
    <row r="66" customFormat="false" ht="23.25" hidden="false" customHeight="true" outlineLevel="0" collapsed="false">
      <c r="A66" s="10" t="s">
        <v>201</v>
      </c>
      <c r="B66" s="10" t="s">
        <v>45</v>
      </c>
      <c r="C66" s="8" t="s">
        <v>192</v>
      </c>
      <c r="D66" s="8" t="s">
        <v>202</v>
      </c>
      <c r="E66" s="11" t="n">
        <v>11</v>
      </c>
      <c r="F66" s="8" t="str">
        <f aca="false">IFERROR(INDEX(Section_Master!$D$2:$D$477,MATCH($E66,Section_Master!$A$2:$A$477,0))&amp;"","")</f>
        <v>Not applicable - no offence or penalty defined here (definition, exception or general provision)</v>
      </c>
      <c r="G66" s="10" t="str">
        <f aca="false">IFERROR(INDEX(Section_Master!$E$2:$E$477,MATCH($E66,Section_Master!$A$2:$A$477,0))&amp;"","")</f>
        <v>N/A</v>
      </c>
      <c r="H66" s="10" t="str">
        <f aca="false">IFERROR(INDEX(Section_Master!$F$2:$F$477,MATCH($E66,Section_Master!$A$2:$A$477,0))&amp;"","")</f>
        <v>N/A</v>
      </c>
      <c r="I66" s="10" t="str">
        <f aca="false">IFERROR(INDEX(Section_Master!$G$2:$G$477,MATCH($E66,Section_Master!$A$2:$A$477,0))&amp;"","")</f>
        <v>N/A</v>
      </c>
      <c r="J66" s="10" t="s">
        <v>61</v>
      </c>
      <c r="K66" s="8" t="s">
        <v>194</v>
      </c>
    </row>
    <row r="67" customFormat="false" ht="34.5" hidden="false" customHeight="true" outlineLevel="0" collapsed="false">
      <c r="A67" s="10" t="s">
        <v>203</v>
      </c>
      <c r="B67" s="10" t="s">
        <v>45</v>
      </c>
      <c r="C67" s="8" t="s">
        <v>192</v>
      </c>
      <c r="D67" s="8" t="s">
        <v>204</v>
      </c>
      <c r="E67" s="11" t="n">
        <v>11</v>
      </c>
      <c r="F67" s="8" t="str">
        <f aca="false">IFERROR(INDEX(Section_Master!$D$2:$D$477,MATCH($E67,Section_Master!$A$2:$A$477,0))&amp;"","")</f>
        <v>Not applicable - no offence or penalty defined here (definition, exception or general provision)</v>
      </c>
      <c r="G67" s="10" t="str">
        <f aca="false">IFERROR(INDEX(Section_Master!$E$2:$E$477,MATCH($E67,Section_Master!$A$2:$A$477,0))&amp;"","")</f>
        <v>N/A</v>
      </c>
      <c r="H67" s="10" t="str">
        <f aca="false">IFERROR(INDEX(Section_Master!$F$2:$F$477,MATCH($E67,Section_Master!$A$2:$A$477,0))&amp;"","")</f>
        <v>N/A</v>
      </c>
      <c r="I67" s="10" t="str">
        <f aca="false">IFERROR(INDEX(Section_Master!$G$2:$G$477,MATCH($E67,Section_Master!$A$2:$A$477,0))&amp;"","")</f>
        <v>N/A</v>
      </c>
      <c r="J67" s="10" t="s">
        <v>64</v>
      </c>
      <c r="K67" s="8" t="s">
        <v>194</v>
      </c>
    </row>
    <row r="68" customFormat="false" ht="34.5" hidden="false" customHeight="true" outlineLevel="0" collapsed="false">
      <c r="A68" s="10" t="s">
        <v>205</v>
      </c>
      <c r="B68" s="10" t="s">
        <v>45</v>
      </c>
      <c r="C68" s="8" t="s">
        <v>206</v>
      </c>
      <c r="D68" s="8" t="s">
        <v>207</v>
      </c>
      <c r="E68" s="11" t="n">
        <v>12</v>
      </c>
      <c r="F68" s="8" t="str">
        <f aca="false">IFERROR(INDEX(Section_Master!$D$2:$D$477,MATCH($E68,Section_Master!$A$2:$A$477,0))&amp;"","")</f>
        <v>Not applicable - no offence or penalty defined here (definition, exception or general provision)</v>
      </c>
      <c r="G68" s="10" t="str">
        <f aca="false">IFERROR(INDEX(Section_Master!$E$2:$E$477,MATCH($E68,Section_Master!$A$2:$A$477,0))&amp;"","")</f>
        <v>N/A</v>
      </c>
      <c r="H68" s="10" t="str">
        <f aca="false">IFERROR(INDEX(Section_Master!$F$2:$F$477,MATCH($E68,Section_Master!$A$2:$A$477,0))&amp;"","")</f>
        <v>N/A</v>
      </c>
      <c r="I68" s="10" t="str">
        <f aca="false">IFERROR(INDEX(Section_Master!$G$2:$G$477,MATCH($E68,Section_Master!$A$2:$A$477,0))&amp;"","")</f>
        <v>N/A</v>
      </c>
      <c r="J68" s="10" t="s">
        <v>48</v>
      </c>
      <c r="K68" s="8" t="s">
        <v>208</v>
      </c>
    </row>
    <row r="69" customFormat="false" ht="45.75" hidden="false" customHeight="true" outlineLevel="0" collapsed="false">
      <c r="A69" s="10" t="s">
        <v>209</v>
      </c>
      <c r="B69" s="10" t="s">
        <v>45</v>
      </c>
      <c r="C69" s="8" t="s">
        <v>206</v>
      </c>
      <c r="D69" s="8" t="s">
        <v>210</v>
      </c>
      <c r="E69" s="11" t="n">
        <v>12</v>
      </c>
      <c r="F69" s="8" t="str">
        <f aca="false">IFERROR(INDEX(Section_Master!$D$2:$D$477,MATCH($E69,Section_Master!$A$2:$A$477,0))&amp;"","")</f>
        <v>Not applicable - no offence or penalty defined here (definition, exception or general provision)</v>
      </c>
      <c r="G69" s="10" t="str">
        <f aca="false">IFERROR(INDEX(Section_Master!$E$2:$E$477,MATCH($E69,Section_Master!$A$2:$A$477,0))&amp;"","")</f>
        <v>N/A</v>
      </c>
      <c r="H69" s="10" t="str">
        <f aca="false">IFERROR(INDEX(Section_Master!$F$2:$F$477,MATCH($E69,Section_Master!$A$2:$A$477,0))&amp;"","")</f>
        <v>N/A</v>
      </c>
      <c r="I69" s="10" t="str">
        <f aca="false">IFERROR(INDEX(Section_Master!$G$2:$G$477,MATCH($E69,Section_Master!$A$2:$A$477,0))&amp;"","")</f>
        <v>N/A</v>
      </c>
      <c r="J69" s="10" t="s">
        <v>52</v>
      </c>
      <c r="K69" s="8" t="s">
        <v>208</v>
      </c>
    </row>
    <row r="70" customFormat="false" ht="34.5" hidden="false" customHeight="true" outlineLevel="0" collapsed="false">
      <c r="A70" s="10" t="s">
        <v>211</v>
      </c>
      <c r="B70" s="10" t="s">
        <v>45</v>
      </c>
      <c r="C70" s="8" t="s">
        <v>206</v>
      </c>
      <c r="D70" s="8" t="s">
        <v>212</v>
      </c>
      <c r="E70" s="11" t="n">
        <v>12</v>
      </c>
      <c r="F70" s="8" t="str">
        <f aca="false">IFERROR(INDEX(Section_Master!$D$2:$D$477,MATCH($E70,Section_Master!$A$2:$A$477,0))&amp;"","")</f>
        <v>Not applicable - no offence or penalty defined here (definition, exception or general provision)</v>
      </c>
      <c r="G70" s="10" t="str">
        <f aca="false">IFERROR(INDEX(Section_Master!$E$2:$E$477,MATCH($E70,Section_Master!$A$2:$A$477,0))&amp;"","")</f>
        <v>N/A</v>
      </c>
      <c r="H70" s="10" t="str">
        <f aca="false">IFERROR(INDEX(Section_Master!$F$2:$F$477,MATCH($E70,Section_Master!$A$2:$A$477,0))&amp;"","")</f>
        <v>N/A</v>
      </c>
      <c r="I70" s="10" t="str">
        <f aca="false">IFERROR(INDEX(Section_Master!$G$2:$G$477,MATCH($E70,Section_Master!$A$2:$A$477,0))&amp;"","")</f>
        <v>N/A</v>
      </c>
      <c r="J70" s="10" t="s">
        <v>55</v>
      </c>
      <c r="K70" s="8" t="s">
        <v>208</v>
      </c>
    </row>
    <row r="71" customFormat="false" ht="23.25" hidden="false" customHeight="true" outlineLevel="0" collapsed="false">
      <c r="A71" s="10" t="s">
        <v>213</v>
      </c>
      <c r="B71" s="10" t="s">
        <v>45</v>
      </c>
      <c r="C71" s="8" t="s">
        <v>206</v>
      </c>
      <c r="D71" s="8" t="s">
        <v>214</v>
      </c>
      <c r="E71" s="11" t="n">
        <v>12</v>
      </c>
      <c r="F71" s="8" t="str">
        <f aca="false">IFERROR(INDEX(Section_Master!$D$2:$D$477,MATCH($E71,Section_Master!$A$2:$A$477,0))&amp;"","")</f>
        <v>Not applicable - no offence or penalty defined here (definition, exception or general provision)</v>
      </c>
      <c r="G71" s="10" t="str">
        <f aca="false">IFERROR(INDEX(Section_Master!$E$2:$E$477,MATCH($E71,Section_Master!$A$2:$A$477,0))&amp;"","")</f>
        <v>N/A</v>
      </c>
      <c r="H71" s="10" t="str">
        <f aca="false">IFERROR(INDEX(Section_Master!$F$2:$F$477,MATCH($E71,Section_Master!$A$2:$A$477,0))&amp;"","")</f>
        <v>N/A</v>
      </c>
      <c r="I71" s="10" t="str">
        <f aca="false">IFERROR(INDEX(Section_Master!$G$2:$G$477,MATCH($E71,Section_Master!$A$2:$A$477,0))&amp;"","")</f>
        <v>N/A</v>
      </c>
      <c r="J71" s="10" t="s">
        <v>58</v>
      </c>
      <c r="K71" s="8" t="s">
        <v>208</v>
      </c>
    </row>
    <row r="72" customFormat="false" ht="34.5" hidden="false" customHeight="true" outlineLevel="0" collapsed="false">
      <c r="A72" s="10" t="s">
        <v>215</v>
      </c>
      <c r="B72" s="10" t="s">
        <v>45</v>
      </c>
      <c r="C72" s="8" t="s">
        <v>206</v>
      </c>
      <c r="D72" s="8" t="s">
        <v>216</v>
      </c>
      <c r="E72" s="11" t="n">
        <v>12</v>
      </c>
      <c r="F72" s="8" t="str">
        <f aca="false">IFERROR(INDEX(Section_Master!$D$2:$D$477,MATCH($E72,Section_Master!$A$2:$A$477,0))&amp;"","")</f>
        <v>Not applicable - no offence or penalty defined here (definition, exception or general provision)</v>
      </c>
      <c r="G72" s="10" t="str">
        <f aca="false">IFERROR(INDEX(Section_Master!$E$2:$E$477,MATCH($E72,Section_Master!$A$2:$A$477,0))&amp;"","")</f>
        <v>N/A</v>
      </c>
      <c r="H72" s="10" t="str">
        <f aca="false">IFERROR(INDEX(Section_Master!$F$2:$F$477,MATCH($E72,Section_Master!$A$2:$A$477,0))&amp;"","")</f>
        <v>N/A</v>
      </c>
      <c r="I72" s="10" t="str">
        <f aca="false">IFERROR(INDEX(Section_Master!$G$2:$G$477,MATCH($E72,Section_Master!$A$2:$A$477,0))&amp;"","")</f>
        <v>N/A</v>
      </c>
      <c r="J72" s="10" t="s">
        <v>61</v>
      </c>
      <c r="K72" s="8" t="s">
        <v>208</v>
      </c>
    </row>
    <row r="73" customFormat="false" ht="34.5" hidden="false" customHeight="true" outlineLevel="0" collapsed="false">
      <c r="A73" s="10" t="s">
        <v>217</v>
      </c>
      <c r="B73" s="10" t="s">
        <v>45</v>
      </c>
      <c r="C73" s="8" t="s">
        <v>206</v>
      </c>
      <c r="D73" s="8" t="s">
        <v>218</v>
      </c>
      <c r="E73" s="11" t="n">
        <v>12</v>
      </c>
      <c r="F73" s="8" t="str">
        <f aca="false">IFERROR(INDEX(Section_Master!$D$2:$D$477,MATCH($E73,Section_Master!$A$2:$A$477,0))&amp;"","")</f>
        <v>Not applicable - no offence or penalty defined here (definition, exception or general provision)</v>
      </c>
      <c r="G73" s="10" t="str">
        <f aca="false">IFERROR(INDEX(Section_Master!$E$2:$E$477,MATCH($E73,Section_Master!$A$2:$A$477,0))&amp;"","")</f>
        <v>N/A</v>
      </c>
      <c r="H73" s="10" t="str">
        <f aca="false">IFERROR(INDEX(Section_Master!$F$2:$F$477,MATCH($E73,Section_Master!$A$2:$A$477,0))&amp;"","")</f>
        <v>N/A</v>
      </c>
      <c r="I73" s="10" t="str">
        <f aca="false">IFERROR(INDEX(Section_Master!$G$2:$G$477,MATCH($E73,Section_Master!$A$2:$A$477,0))&amp;"","")</f>
        <v>N/A</v>
      </c>
      <c r="J73" s="10" t="s">
        <v>64</v>
      </c>
      <c r="K73" s="8" t="s">
        <v>208</v>
      </c>
    </row>
    <row r="74" customFormat="false" ht="34.5" hidden="false" customHeight="true" outlineLevel="0" collapsed="false">
      <c r="A74" s="10" t="s">
        <v>219</v>
      </c>
      <c r="B74" s="10" t="s">
        <v>45</v>
      </c>
      <c r="C74" s="8" t="s">
        <v>220</v>
      </c>
      <c r="D74" s="8" t="s">
        <v>221</v>
      </c>
      <c r="E74" s="11" t="n">
        <v>13</v>
      </c>
      <c r="F74" s="8" t="str">
        <f aca="false">IFERROR(INDEX(Section_Master!$D$2:$D$477,MATCH($E74,Section_Master!$A$2:$A$477,0))&amp;"","")</f>
        <v>Not applicable - no offence or penalty defined here (definition, exception or general provision)</v>
      </c>
      <c r="G74" s="10" t="str">
        <f aca="false">IFERROR(INDEX(Section_Master!$E$2:$E$477,MATCH($E74,Section_Master!$A$2:$A$477,0))&amp;"","")</f>
        <v>N/A</v>
      </c>
      <c r="H74" s="10" t="str">
        <f aca="false">IFERROR(INDEX(Section_Master!$F$2:$F$477,MATCH($E74,Section_Master!$A$2:$A$477,0))&amp;"","")</f>
        <v>N/A</v>
      </c>
      <c r="I74" s="10" t="str">
        <f aca="false">IFERROR(INDEX(Section_Master!$G$2:$G$477,MATCH($E74,Section_Master!$A$2:$A$477,0))&amp;"","")</f>
        <v>N/A</v>
      </c>
      <c r="J74" s="10" t="s">
        <v>48</v>
      </c>
      <c r="K74" s="8" t="s">
        <v>222</v>
      </c>
    </row>
    <row r="75" customFormat="false" ht="45.75" hidden="false" customHeight="true" outlineLevel="0" collapsed="false">
      <c r="A75" s="10" t="s">
        <v>223</v>
      </c>
      <c r="B75" s="10" t="s">
        <v>45</v>
      </c>
      <c r="C75" s="8" t="s">
        <v>220</v>
      </c>
      <c r="D75" s="8" t="s">
        <v>224</v>
      </c>
      <c r="E75" s="11" t="n">
        <v>13</v>
      </c>
      <c r="F75" s="8" t="str">
        <f aca="false">IFERROR(INDEX(Section_Master!$D$2:$D$477,MATCH($E75,Section_Master!$A$2:$A$477,0))&amp;"","")</f>
        <v>Not applicable - no offence or penalty defined here (definition, exception or general provision)</v>
      </c>
      <c r="G75" s="10" t="str">
        <f aca="false">IFERROR(INDEX(Section_Master!$E$2:$E$477,MATCH($E75,Section_Master!$A$2:$A$477,0))&amp;"","")</f>
        <v>N/A</v>
      </c>
      <c r="H75" s="10" t="str">
        <f aca="false">IFERROR(INDEX(Section_Master!$F$2:$F$477,MATCH($E75,Section_Master!$A$2:$A$477,0))&amp;"","")</f>
        <v>N/A</v>
      </c>
      <c r="I75" s="10" t="str">
        <f aca="false">IFERROR(INDEX(Section_Master!$G$2:$G$477,MATCH($E75,Section_Master!$A$2:$A$477,0))&amp;"","")</f>
        <v>N/A</v>
      </c>
      <c r="J75" s="10" t="s">
        <v>52</v>
      </c>
      <c r="K75" s="8" t="s">
        <v>222</v>
      </c>
    </row>
    <row r="76" customFormat="false" ht="34.5" hidden="false" customHeight="true" outlineLevel="0" collapsed="false">
      <c r="A76" s="10" t="s">
        <v>225</v>
      </c>
      <c r="B76" s="10" t="s">
        <v>45</v>
      </c>
      <c r="C76" s="8" t="s">
        <v>220</v>
      </c>
      <c r="D76" s="8" t="s">
        <v>226</v>
      </c>
      <c r="E76" s="11" t="n">
        <v>13</v>
      </c>
      <c r="F76" s="8" t="str">
        <f aca="false">IFERROR(INDEX(Section_Master!$D$2:$D$477,MATCH($E76,Section_Master!$A$2:$A$477,0))&amp;"","")</f>
        <v>Not applicable - no offence or penalty defined here (definition, exception or general provision)</v>
      </c>
      <c r="G76" s="10" t="str">
        <f aca="false">IFERROR(INDEX(Section_Master!$E$2:$E$477,MATCH($E76,Section_Master!$A$2:$A$477,0))&amp;"","")</f>
        <v>N/A</v>
      </c>
      <c r="H76" s="10" t="str">
        <f aca="false">IFERROR(INDEX(Section_Master!$F$2:$F$477,MATCH($E76,Section_Master!$A$2:$A$477,0))&amp;"","")</f>
        <v>N/A</v>
      </c>
      <c r="I76" s="10" t="str">
        <f aca="false">IFERROR(INDEX(Section_Master!$G$2:$G$477,MATCH($E76,Section_Master!$A$2:$A$477,0))&amp;"","")</f>
        <v>N/A</v>
      </c>
      <c r="J76" s="10" t="s">
        <v>55</v>
      </c>
      <c r="K76" s="8" t="s">
        <v>222</v>
      </c>
    </row>
    <row r="77" customFormat="false" ht="34.5" hidden="false" customHeight="true" outlineLevel="0" collapsed="false">
      <c r="A77" s="10" t="s">
        <v>227</v>
      </c>
      <c r="B77" s="10" t="s">
        <v>45</v>
      </c>
      <c r="C77" s="8" t="s">
        <v>220</v>
      </c>
      <c r="D77" s="8" t="s">
        <v>228</v>
      </c>
      <c r="E77" s="11" t="n">
        <v>13</v>
      </c>
      <c r="F77" s="8" t="str">
        <f aca="false">IFERROR(INDEX(Section_Master!$D$2:$D$477,MATCH($E77,Section_Master!$A$2:$A$477,0))&amp;"","")</f>
        <v>Not applicable - no offence or penalty defined here (definition, exception or general provision)</v>
      </c>
      <c r="G77" s="10" t="str">
        <f aca="false">IFERROR(INDEX(Section_Master!$E$2:$E$477,MATCH($E77,Section_Master!$A$2:$A$477,0))&amp;"","")</f>
        <v>N/A</v>
      </c>
      <c r="H77" s="10" t="str">
        <f aca="false">IFERROR(INDEX(Section_Master!$F$2:$F$477,MATCH($E77,Section_Master!$A$2:$A$477,0))&amp;"","")</f>
        <v>N/A</v>
      </c>
      <c r="I77" s="10" t="str">
        <f aca="false">IFERROR(INDEX(Section_Master!$G$2:$G$477,MATCH($E77,Section_Master!$A$2:$A$477,0))&amp;"","")</f>
        <v>N/A</v>
      </c>
      <c r="J77" s="10" t="s">
        <v>58</v>
      </c>
      <c r="K77" s="8" t="s">
        <v>222</v>
      </c>
    </row>
    <row r="78" customFormat="false" ht="23.25" hidden="false" customHeight="true" outlineLevel="0" collapsed="false">
      <c r="A78" s="10" t="s">
        <v>229</v>
      </c>
      <c r="B78" s="10" t="s">
        <v>45</v>
      </c>
      <c r="C78" s="8" t="s">
        <v>220</v>
      </c>
      <c r="D78" s="8" t="s">
        <v>230</v>
      </c>
      <c r="E78" s="11" t="n">
        <v>13</v>
      </c>
      <c r="F78" s="8" t="str">
        <f aca="false">IFERROR(INDEX(Section_Master!$D$2:$D$477,MATCH($E78,Section_Master!$A$2:$A$477,0))&amp;"","")</f>
        <v>Not applicable - no offence or penalty defined here (definition, exception or general provision)</v>
      </c>
      <c r="G78" s="10" t="str">
        <f aca="false">IFERROR(INDEX(Section_Master!$E$2:$E$477,MATCH($E78,Section_Master!$A$2:$A$477,0))&amp;"","")</f>
        <v>N/A</v>
      </c>
      <c r="H78" s="10" t="str">
        <f aca="false">IFERROR(INDEX(Section_Master!$F$2:$F$477,MATCH($E78,Section_Master!$A$2:$A$477,0))&amp;"","")</f>
        <v>N/A</v>
      </c>
      <c r="I78" s="10" t="str">
        <f aca="false">IFERROR(INDEX(Section_Master!$G$2:$G$477,MATCH($E78,Section_Master!$A$2:$A$477,0))&amp;"","")</f>
        <v>N/A</v>
      </c>
      <c r="J78" s="10" t="s">
        <v>61</v>
      </c>
      <c r="K78" s="8" t="s">
        <v>222</v>
      </c>
    </row>
    <row r="79" customFormat="false" ht="34.5" hidden="false" customHeight="true" outlineLevel="0" collapsed="false">
      <c r="A79" s="10" t="s">
        <v>231</v>
      </c>
      <c r="B79" s="10" t="s">
        <v>45</v>
      </c>
      <c r="C79" s="8" t="s">
        <v>220</v>
      </c>
      <c r="D79" s="8" t="s">
        <v>232</v>
      </c>
      <c r="E79" s="11" t="n">
        <v>13</v>
      </c>
      <c r="F79" s="8" t="str">
        <f aca="false">IFERROR(INDEX(Section_Master!$D$2:$D$477,MATCH($E79,Section_Master!$A$2:$A$477,0))&amp;"","")</f>
        <v>Not applicable - no offence or penalty defined here (definition, exception or general provision)</v>
      </c>
      <c r="G79" s="10" t="str">
        <f aca="false">IFERROR(INDEX(Section_Master!$E$2:$E$477,MATCH($E79,Section_Master!$A$2:$A$477,0))&amp;"","")</f>
        <v>N/A</v>
      </c>
      <c r="H79" s="10" t="str">
        <f aca="false">IFERROR(INDEX(Section_Master!$F$2:$F$477,MATCH($E79,Section_Master!$A$2:$A$477,0))&amp;"","")</f>
        <v>N/A</v>
      </c>
      <c r="I79" s="10" t="str">
        <f aca="false">IFERROR(INDEX(Section_Master!$G$2:$G$477,MATCH($E79,Section_Master!$A$2:$A$477,0))&amp;"","")</f>
        <v>N/A</v>
      </c>
      <c r="J79" s="10" t="s">
        <v>64</v>
      </c>
      <c r="K79" s="8" t="s">
        <v>222</v>
      </c>
    </row>
    <row r="80" customFormat="false" ht="34.5" hidden="false" customHeight="true" outlineLevel="0" collapsed="false">
      <c r="A80" s="10" t="s">
        <v>233</v>
      </c>
      <c r="B80" s="10" t="s">
        <v>45</v>
      </c>
      <c r="C80" s="8" t="s">
        <v>234</v>
      </c>
      <c r="D80" s="8" t="s">
        <v>235</v>
      </c>
      <c r="E80" s="11" t="n">
        <v>14</v>
      </c>
      <c r="F80" s="8" t="str">
        <f aca="false">IFERROR(INDEX(Section_Master!$D$2:$D$477,MATCH($E80,Section_Master!$A$2:$A$477,0))&amp;"","")</f>
        <v>Not applicable - no offence or penalty defined here (definition, exception or general provision)</v>
      </c>
      <c r="G80" s="10" t="str">
        <f aca="false">IFERROR(INDEX(Section_Master!$E$2:$E$477,MATCH($E80,Section_Master!$A$2:$A$477,0))&amp;"","")</f>
        <v>N/A</v>
      </c>
      <c r="H80" s="10" t="str">
        <f aca="false">IFERROR(INDEX(Section_Master!$F$2:$F$477,MATCH($E80,Section_Master!$A$2:$A$477,0))&amp;"","")</f>
        <v>N/A</v>
      </c>
      <c r="I80" s="10" t="str">
        <f aca="false">IFERROR(INDEX(Section_Master!$G$2:$G$477,MATCH($E80,Section_Master!$A$2:$A$477,0))&amp;"","")</f>
        <v>N/A</v>
      </c>
      <c r="J80" s="10" t="s">
        <v>48</v>
      </c>
      <c r="K80" s="8" t="s">
        <v>236</v>
      </c>
    </row>
    <row r="81" customFormat="false" ht="45.75" hidden="false" customHeight="true" outlineLevel="0" collapsed="false">
      <c r="A81" s="10" t="s">
        <v>237</v>
      </c>
      <c r="B81" s="10" t="s">
        <v>45</v>
      </c>
      <c r="C81" s="8" t="s">
        <v>234</v>
      </c>
      <c r="D81" s="8" t="s">
        <v>238</v>
      </c>
      <c r="E81" s="11" t="n">
        <v>14</v>
      </c>
      <c r="F81" s="8" t="str">
        <f aca="false">IFERROR(INDEX(Section_Master!$D$2:$D$477,MATCH($E81,Section_Master!$A$2:$A$477,0))&amp;"","")</f>
        <v>Not applicable - no offence or penalty defined here (definition, exception or general provision)</v>
      </c>
      <c r="G81" s="10" t="str">
        <f aca="false">IFERROR(INDEX(Section_Master!$E$2:$E$477,MATCH($E81,Section_Master!$A$2:$A$477,0))&amp;"","")</f>
        <v>N/A</v>
      </c>
      <c r="H81" s="10" t="str">
        <f aca="false">IFERROR(INDEX(Section_Master!$F$2:$F$477,MATCH($E81,Section_Master!$A$2:$A$477,0))&amp;"","")</f>
        <v>N/A</v>
      </c>
      <c r="I81" s="10" t="str">
        <f aca="false">IFERROR(INDEX(Section_Master!$G$2:$G$477,MATCH($E81,Section_Master!$A$2:$A$477,0))&amp;"","")</f>
        <v>N/A</v>
      </c>
      <c r="J81" s="10" t="s">
        <v>52</v>
      </c>
      <c r="K81" s="8" t="s">
        <v>236</v>
      </c>
    </row>
    <row r="82" customFormat="false" ht="34.5" hidden="false" customHeight="true" outlineLevel="0" collapsed="false">
      <c r="A82" s="10" t="s">
        <v>239</v>
      </c>
      <c r="B82" s="10" t="s">
        <v>45</v>
      </c>
      <c r="C82" s="8" t="s">
        <v>234</v>
      </c>
      <c r="D82" s="8" t="s">
        <v>240</v>
      </c>
      <c r="E82" s="11" t="n">
        <v>14</v>
      </c>
      <c r="F82" s="8" t="str">
        <f aca="false">IFERROR(INDEX(Section_Master!$D$2:$D$477,MATCH($E82,Section_Master!$A$2:$A$477,0))&amp;"","")</f>
        <v>Not applicable - no offence or penalty defined here (definition, exception or general provision)</v>
      </c>
      <c r="G82" s="10" t="str">
        <f aca="false">IFERROR(INDEX(Section_Master!$E$2:$E$477,MATCH($E82,Section_Master!$A$2:$A$477,0))&amp;"","")</f>
        <v>N/A</v>
      </c>
      <c r="H82" s="10" t="str">
        <f aca="false">IFERROR(INDEX(Section_Master!$F$2:$F$477,MATCH($E82,Section_Master!$A$2:$A$477,0))&amp;"","")</f>
        <v>N/A</v>
      </c>
      <c r="I82" s="10" t="str">
        <f aca="false">IFERROR(INDEX(Section_Master!$G$2:$G$477,MATCH($E82,Section_Master!$A$2:$A$477,0))&amp;"","")</f>
        <v>N/A</v>
      </c>
      <c r="J82" s="10" t="s">
        <v>55</v>
      </c>
      <c r="K82" s="8" t="s">
        <v>236</v>
      </c>
    </row>
    <row r="83" customFormat="false" ht="34.5" hidden="false" customHeight="true" outlineLevel="0" collapsed="false">
      <c r="A83" s="10" t="s">
        <v>241</v>
      </c>
      <c r="B83" s="10" t="s">
        <v>45</v>
      </c>
      <c r="C83" s="8" t="s">
        <v>234</v>
      </c>
      <c r="D83" s="8" t="s">
        <v>242</v>
      </c>
      <c r="E83" s="11" t="n">
        <v>14</v>
      </c>
      <c r="F83" s="8" t="str">
        <f aca="false">IFERROR(INDEX(Section_Master!$D$2:$D$477,MATCH($E83,Section_Master!$A$2:$A$477,0))&amp;"","")</f>
        <v>Not applicable - no offence or penalty defined here (definition, exception or general provision)</v>
      </c>
      <c r="G83" s="10" t="str">
        <f aca="false">IFERROR(INDEX(Section_Master!$E$2:$E$477,MATCH($E83,Section_Master!$A$2:$A$477,0))&amp;"","")</f>
        <v>N/A</v>
      </c>
      <c r="H83" s="10" t="str">
        <f aca="false">IFERROR(INDEX(Section_Master!$F$2:$F$477,MATCH($E83,Section_Master!$A$2:$A$477,0))&amp;"","")</f>
        <v>N/A</v>
      </c>
      <c r="I83" s="10" t="str">
        <f aca="false">IFERROR(INDEX(Section_Master!$G$2:$G$477,MATCH($E83,Section_Master!$A$2:$A$477,0))&amp;"","")</f>
        <v>N/A</v>
      </c>
      <c r="J83" s="10" t="s">
        <v>58</v>
      </c>
      <c r="K83" s="8" t="s">
        <v>236</v>
      </c>
    </row>
    <row r="84" customFormat="false" ht="34.5" hidden="false" customHeight="true" outlineLevel="0" collapsed="false">
      <c r="A84" s="10" t="s">
        <v>243</v>
      </c>
      <c r="B84" s="10" t="s">
        <v>45</v>
      </c>
      <c r="C84" s="8" t="s">
        <v>234</v>
      </c>
      <c r="D84" s="8" t="s">
        <v>244</v>
      </c>
      <c r="E84" s="11" t="n">
        <v>14</v>
      </c>
      <c r="F84" s="8" t="str">
        <f aca="false">IFERROR(INDEX(Section_Master!$D$2:$D$477,MATCH($E84,Section_Master!$A$2:$A$477,0))&amp;"","")</f>
        <v>Not applicable - no offence or penalty defined here (definition, exception or general provision)</v>
      </c>
      <c r="G84" s="10" t="str">
        <f aca="false">IFERROR(INDEX(Section_Master!$E$2:$E$477,MATCH($E84,Section_Master!$A$2:$A$477,0))&amp;"","")</f>
        <v>N/A</v>
      </c>
      <c r="H84" s="10" t="str">
        <f aca="false">IFERROR(INDEX(Section_Master!$F$2:$F$477,MATCH($E84,Section_Master!$A$2:$A$477,0))&amp;"","")</f>
        <v>N/A</v>
      </c>
      <c r="I84" s="10" t="str">
        <f aca="false">IFERROR(INDEX(Section_Master!$G$2:$G$477,MATCH($E84,Section_Master!$A$2:$A$477,0))&amp;"","")</f>
        <v>N/A</v>
      </c>
      <c r="J84" s="10" t="s">
        <v>61</v>
      </c>
      <c r="K84" s="8" t="s">
        <v>236</v>
      </c>
    </row>
    <row r="85" customFormat="false" ht="34.5" hidden="false" customHeight="true" outlineLevel="0" collapsed="false">
      <c r="A85" s="10" t="s">
        <v>245</v>
      </c>
      <c r="B85" s="10" t="s">
        <v>45</v>
      </c>
      <c r="C85" s="8" t="s">
        <v>234</v>
      </c>
      <c r="D85" s="8" t="s">
        <v>246</v>
      </c>
      <c r="E85" s="11" t="n">
        <v>14</v>
      </c>
      <c r="F85" s="8" t="str">
        <f aca="false">IFERROR(INDEX(Section_Master!$D$2:$D$477,MATCH($E85,Section_Master!$A$2:$A$477,0))&amp;"","")</f>
        <v>Not applicable - no offence or penalty defined here (definition, exception or general provision)</v>
      </c>
      <c r="G85" s="10" t="str">
        <f aca="false">IFERROR(INDEX(Section_Master!$E$2:$E$477,MATCH($E85,Section_Master!$A$2:$A$477,0))&amp;"","")</f>
        <v>N/A</v>
      </c>
      <c r="H85" s="10" t="str">
        <f aca="false">IFERROR(INDEX(Section_Master!$F$2:$F$477,MATCH($E85,Section_Master!$A$2:$A$477,0))&amp;"","")</f>
        <v>N/A</v>
      </c>
      <c r="I85" s="10" t="str">
        <f aca="false">IFERROR(INDEX(Section_Master!$G$2:$G$477,MATCH($E85,Section_Master!$A$2:$A$477,0))&amp;"","")</f>
        <v>N/A</v>
      </c>
      <c r="J85" s="10" t="s">
        <v>64</v>
      </c>
      <c r="K85" s="8" t="s">
        <v>236</v>
      </c>
    </row>
    <row r="86" customFormat="false" ht="23.25" hidden="false" customHeight="true" outlineLevel="0" collapsed="false">
      <c r="A86" s="10" t="s">
        <v>247</v>
      </c>
      <c r="B86" s="10" t="s">
        <v>45</v>
      </c>
      <c r="C86" s="8" t="s">
        <v>248</v>
      </c>
      <c r="D86" s="8" t="s">
        <v>249</v>
      </c>
      <c r="E86" s="11" t="n">
        <v>15</v>
      </c>
      <c r="F86" s="8" t="str">
        <f aca="false">IFERROR(INDEX(Section_Master!$D$2:$D$477,MATCH($E86,Section_Master!$A$2:$A$477,0))&amp;"","")</f>
        <v>Not applicable - no offence or penalty defined here (definition, exception or general provision)</v>
      </c>
      <c r="G86" s="10" t="str">
        <f aca="false">IFERROR(INDEX(Section_Master!$E$2:$E$477,MATCH($E86,Section_Master!$A$2:$A$477,0))&amp;"","")</f>
        <v>N/A</v>
      </c>
      <c r="H86" s="10" t="str">
        <f aca="false">IFERROR(INDEX(Section_Master!$F$2:$F$477,MATCH($E86,Section_Master!$A$2:$A$477,0))&amp;"","")</f>
        <v>N/A</v>
      </c>
      <c r="I86" s="10" t="str">
        <f aca="false">IFERROR(INDEX(Section_Master!$G$2:$G$477,MATCH($E86,Section_Master!$A$2:$A$477,0))&amp;"","")</f>
        <v>N/A</v>
      </c>
      <c r="J86" s="10" t="s">
        <v>48</v>
      </c>
      <c r="K86" s="8" t="s">
        <v>250</v>
      </c>
    </row>
    <row r="87" customFormat="false" ht="45.75" hidden="false" customHeight="true" outlineLevel="0" collapsed="false">
      <c r="A87" s="10" t="s">
        <v>251</v>
      </c>
      <c r="B87" s="10" t="s">
        <v>45</v>
      </c>
      <c r="C87" s="8" t="s">
        <v>248</v>
      </c>
      <c r="D87" s="8" t="s">
        <v>252</v>
      </c>
      <c r="E87" s="11" t="n">
        <v>15</v>
      </c>
      <c r="F87" s="8" t="str">
        <f aca="false">IFERROR(INDEX(Section_Master!$D$2:$D$477,MATCH($E87,Section_Master!$A$2:$A$477,0))&amp;"","")</f>
        <v>Not applicable - no offence or penalty defined here (definition, exception or general provision)</v>
      </c>
      <c r="G87" s="10" t="str">
        <f aca="false">IFERROR(INDEX(Section_Master!$E$2:$E$477,MATCH($E87,Section_Master!$A$2:$A$477,0))&amp;"","")</f>
        <v>N/A</v>
      </c>
      <c r="H87" s="10" t="str">
        <f aca="false">IFERROR(INDEX(Section_Master!$F$2:$F$477,MATCH($E87,Section_Master!$A$2:$A$477,0))&amp;"","")</f>
        <v>N/A</v>
      </c>
      <c r="I87" s="10" t="str">
        <f aca="false">IFERROR(INDEX(Section_Master!$G$2:$G$477,MATCH($E87,Section_Master!$A$2:$A$477,0))&amp;"","")</f>
        <v>N/A</v>
      </c>
      <c r="J87" s="10" t="s">
        <v>52</v>
      </c>
      <c r="K87" s="8" t="s">
        <v>250</v>
      </c>
    </row>
    <row r="88" customFormat="false" ht="23.25" hidden="false" customHeight="true" outlineLevel="0" collapsed="false">
      <c r="A88" s="10" t="s">
        <v>253</v>
      </c>
      <c r="B88" s="10" t="s">
        <v>45</v>
      </c>
      <c r="C88" s="8" t="s">
        <v>248</v>
      </c>
      <c r="D88" s="8" t="s">
        <v>254</v>
      </c>
      <c r="E88" s="11" t="n">
        <v>15</v>
      </c>
      <c r="F88" s="8" t="str">
        <f aca="false">IFERROR(INDEX(Section_Master!$D$2:$D$477,MATCH($E88,Section_Master!$A$2:$A$477,0))&amp;"","")</f>
        <v>Not applicable - no offence or penalty defined here (definition, exception or general provision)</v>
      </c>
      <c r="G88" s="10" t="str">
        <f aca="false">IFERROR(INDEX(Section_Master!$E$2:$E$477,MATCH($E88,Section_Master!$A$2:$A$477,0))&amp;"","")</f>
        <v>N/A</v>
      </c>
      <c r="H88" s="10" t="str">
        <f aca="false">IFERROR(INDEX(Section_Master!$F$2:$F$477,MATCH($E88,Section_Master!$A$2:$A$477,0))&amp;"","")</f>
        <v>N/A</v>
      </c>
      <c r="I88" s="10" t="str">
        <f aca="false">IFERROR(INDEX(Section_Master!$G$2:$G$477,MATCH($E88,Section_Master!$A$2:$A$477,0))&amp;"","")</f>
        <v>N/A</v>
      </c>
      <c r="J88" s="10" t="s">
        <v>55</v>
      </c>
      <c r="K88" s="8" t="s">
        <v>250</v>
      </c>
    </row>
    <row r="89" customFormat="false" ht="23.25" hidden="false" customHeight="true" outlineLevel="0" collapsed="false">
      <c r="A89" s="10" t="s">
        <v>255</v>
      </c>
      <c r="B89" s="10" t="s">
        <v>45</v>
      </c>
      <c r="C89" s="8" t="s">
        <v>248</v>
      </c>
      <c r="D89" s="8" t="s">
        <v>256</v>
      </c>
      <c r="E89" s="11" t="n">
        <v>15</v>
      </c>
      <c r="F89" s="8" t="str">
        <f aca="false">IFERROR(INDEX(Section_Master!$D$2:$D$477,MATCH($E89,Section_Master!$A$2:$A$477,0))&amp;"","")</f>
        <v>Not applicable - no offence or penalty defined here (definition, exception or general provision)</v>
      </c>
      <c r="G89" s="10" t="str">
        <f aca="false">IFERROR(INDEX(Section_Master!$E$2:$E$477,MATCH($E89,Section_Master!$A$2:$A$477,0))&amp;"","")</f>
        <v>N/A</v>
      </c>
      <c r="H89" s="10" t="str">
        <f aca="false">IFERROR(INDEX(Section_Master!$F$2:$F$477,MATCH($E89,Section_Master!$A$2:$A$477,0))&amp;"","")</f>
        <v>N/A</v>
      </c>
      <c r="I89" s="10" t="str">
        <f aca="false">IFERROR(INDEX(Section_Master!$G$2:$G$477,MATCH($E89,Section_Master!$A$2:$A$477,0))&amp;"","")</f>
        <v>N/A</v>
      </c>
      <c r="J89" s="10" t="s">
        <v>58</v>
      </c>
      <c r="K89" s="8" t="s">
        <v>250</v>
      </c>
    </row>
    <row r="90" customFormat="false" ht="23.25" hidden="false" customHeight="true" outlineLevel="0" collapsed="false">
      <c r="A90" s="10" t="s">
        <v>257</v>
      </c>
      <c r="B90" s="10" t="s">
        <v>45</v>
      </c>
      <c r="C90" s="8" t="s">
        <v>248</v>
      </c>
      <c r="D90" s="8" t="s">
        <v>258</v>
      </c>
      <c r="E90" s="11" t="n">
        <v>15</v>
      </c>
      <c r="F90" s="8" t="str">
        <f aca="false">IFERROR(INDEX(Section_Master!$D$2:$D$477,MATCH($E90,Section_Master!$A$2:$A$477,0))&amp;"","")</f>
        <v>Not applicable - no offence or penalty defined here (definition, exception or general provision)</v>
      </c>
      <c r="G90" s="10" t="str">
        <f aca="false">IFERROR(INDEX(Section_Master!$E$2:$E$477,MATCH($E90,Section_Master!$A$2:$A$477,0))&amp;"","")</f>
        <v>N/A</v>
      </c>
      <c r="H90" s="10" t="str">
        <f aca="false">IFERROR(INDEX(Section_Master!$F$2:$F$477,MATCH($E90,Section_Master!$A$2:$A$477,0))&amp;"","")</f>
        <v>N/A</v>
      </c>
      <c r="I90" s="10" t="str">
        <f aca="false">IFERROR(INDEX(Section_Master!$G$2:$G$477,MATCH($E90,Section_Master!$A$2:$A$477,0))&amp;"","")</f>
        <v>N/A</v>
      </c>
      <c r="J90" s="10" t="s">
        <v>61</v>
      </c>
      <c r="K90" s="8" t="s">
        <v>250</v>
      </c>
    </row>
    <row r="91" customFormat="false" ht="34.5" hidden="false" customHeight="true" outlineLevel="0" collapsed="false">
      <c r="A91" s="10" t="s">
        <v>259</v>
      </c>
      <c r="B91" s="10" t="s">
        <v>45</v>
      </c>
      <c r="C91" s="8" t="s">
        <v>248</v>
      </c>
      <c r="D91" s="8" t="s">
        <v>260</v>
      </c>
      <c r="E91" s="11" t="n">
        <v>15</v>
      </c>
      <c r="F91" s="8" t="str">
        <f aca="false">IFERROR(INDEX(Section_Master!$D$2:$D$477,MATCH($E91,Section_Master!$A$2:$A$477,0))&amp;"","")</f>
        <v>Not applicable - no offence or penalty defined here (definition, exception or general provision)</v>
      </c>
      <c r="G91" s="10" t="str">
        <f aca="false">IFERROR(INDEX(Section_Master!$E$2:$E$477,MATCH($E91,Section_Master!$A$2:$A$477,0))&amp;"","")</f>
        <v>N/A</v>
      </c>
      <c r="H91" s="10" t="str">
        <f aca="false">IFERROR(INDEX(Section_Master!$F$2:$F$477,MATCH($E91,Section_Master!$A$2:$A$477,0))&amp;"","")</f>
        <v>N/A</v>
      </c>
      <c r="I91" s="10" t="str">
        <f aca="false">IFERROR(INDEX(Section_Master!$G$2:$G$477,MATCH($E91,Section_Master!$A$2:$A$477,0))&amp;"","")</f>
        <v>N/A</v>
      </c>
      <c r="J91" s="10" t="s">
        <v>64</v>
      </c>
      <c r="K91" s="8" t="s">
        <v>250</v>
      </c>
    </row>
    <row r="92" customFormat="false" ht="34.5" hidden="false" customHeight="true" outlineLevel="0" collapsed="false">
      <c r="A92" s="10" t="s">
        <v>261</v>
      </c>
      <c r="B92" s="10" t="s">
        <v>45</v>
      </c>
      <c r="C92" s="8" t="s">
        <v>262</v>
      </c>
      <c r="D92" s="8" t="s">
        <v>263</v>
      </c>
      <c r="E92" s="11" t="n">
        <v>16</v>
      </c>
      <c r="F92" s="8" t="str">
        <f aca="false">IFERROR(INDEX(Section_Master!$D$2:$D$477,MATCH($E92,Section_Master!$A$2:$A$477,0))&amp;"","")</f>
        <v>Not applicable - no offence or penalty defined here (definition, exception or general provision)</v>
      </c>
      <c r="G92" s="10" t="str">
        <f aca="false">IFERROR(INDEX(Section_Master!$E$2:$E$477,MATCH($E92,Section_Master!$A$2:$A$477,0))&amp;"","")</f>
        <v>N/A</v>
      </c>
      <c r="H92" s="10" t="str">
        <f aca="false">IFERROR(INDEX(Section_Master!$F$2:$F$477,MATCH($E92,Section_Master!$A$2:$A$477,0))&amp;"","")</f>
        <v>N/A</v>
      </c>
      <c r="I92" s="10" t="str">
        <f aca="false">IFERROR(INDEX(Section_Master!$G$2:$G$477,MATCH($E92,Section_Master!$A$2:$A$477,0))&amp;"","")</f>
        <v>N/A</v>
      </c>
      <c r="J92" s="10" t="s">
        <v>48</v>
      </c>
      <c r="K92" s="8" t="s">
        <v>264</v>
      </c>
    </row>
    <row r="93" customFormat="false" ht="45.75" hidden="false" customHeight="true" outlineLevel="0" collapsed="false">
      <c r="A93" s="10" t="s">
        <v>265</v>
      </c>
      <c r="B93" s="10" t="s">
        <v>45</v>
      </c>
      <c r="C93" s="8" t="s">
        <v>262</v>
      </c>
      <c r="D93" s="8" t="s">
        <v>266</v>
      </c>
      <c r="E93" s="11" t="n">
        <v>16</v>
      </c>
      <c r="F93" s="8" t="str">
        <f aca="false">IFERROR(INDEX(Section_Master!$D$2:$D$477,MATCH($E93,Section_Master!$A$2:$A$477,0))&amp;"","")</f>
        <v>Not applicable - no offence or penalty defined here (definition, exception or general provision)</v>
      </c>
      <c r="G93" s="10" t="str">
        <f aca="false">IFERROR(INDEX(Section_Master!$E$2:$E$477,MATCH($E93,Section_Master!$A$2:$A$477,0))&amp;"","")</f>
        <v>N/A</v>
      </c>
      <c r="H93" s="10" t="str">
        <f aca="false">IFERROR(INDEX(Section_Master!$F$2:$F$477,MATCH($E93,Section_Master!$A$2:$A$477,0))&amp;"","")</f>
        <v>N/A</v>
      </c>
      <c r="I93" s="10" t="str">
        <f aca="false">IFERROR(INDEX(Section_Master!$G$2:$G$477,MATCH($E93,Section_Master!$A$2:$A$477,0))&amp;"","")</f>
        <v>N/A</v>
      </c>
      <c r="J93" s="10" t="s">
        <v>52</v>
      </c>
      <c r="K93" s="8" t="s">
        <v>264</v>
      </c>
    </row>
    <row r="94" customFormat="false" ht="23.25" hidden="false" customHeight="true" outlineLevel="0" collapsed="false">
      <c r="A94" s="10" t="s">
        <v>267</v>
      </c>
      <c r="B94" s="10" t="s">
        <v>45</v>
      </c>
      <c r="C94" s="8" t="s">
        <v>262</v>
      </c>
      <c r="D94" s="8" t="s">
        <v>268</v>
      </c>
      <c r="E94" s="11" t="n">
        <v>16</v>
      </c>
      <c r="F94" s="8" t="str">
        <f aca="false">IFERROR(INDEX(Section_Master!$D$2:$D$477,MATCH($E94,Section_Master!$A$2:$A$477,0))&amp;"","")</f>
        <v>Not applicable - no offence or penalty defined here (definition, exception or general provision)</v>
      </c>
      <c r="G94" s="10" t="str">
        <f aca="false">IFERROR(INDEX(Section_Master!$E$2:$E$477,MATCH($E94,Section_Master!$A$2:$A$477,0))&amp;"","")</f>
        <v>N/A</v>
      </c>
      <c r="H94" s="10" t="str">
        <f aca="false">IFERROR(INDEX(Section_Master!$F$2:$F$477,MATCH($E94,Section_Master!$A$2:$A$477,0))&amp;"","")</f>
        <v>N/A</v>
      </c>
      <c r="I94" s="10" t="str">
        <f aca="false">IFERROR(INDEX(Section_Master!$G$2:$G$477,MATCH($E94,Section_Master!$A$2:$A$477,0))&amp;"","")</f>
        <v>N/A</v>
      </c>
      <c r="J94" s="10" t="s">
        <v>55</v>
      </c>
      <c r="K94" s="8" t="s">
        <v>264</v>
      </c>
    </row>
    <row r="95" customFormat="false" ht="23.25" hidden="false" customHeight="true" outlineLevel="0" collapsed="false">
      <c r="A95" s="10" t="s">
        <v>269</v>
      </c>
      <c r="B95" s="10" t="s">
        <v>45</v>
      </c>
      <c r="C95" s="8" t="s">
        <v>262</v>
      </c>
      <c r="D95" s="8" t="s">
        <v>270</v>
      </c>
      <c r="E95" s="11" t="n">
        <v>16</v>
      </c>
      <c r="F95" s="8" t="str">
        <f aca="false">IFERROR(INDEX(Section_Master!$D$2:$D$477,MATCH($E95,Section_Master!$A$2:$A$477,0))&amp;"","")</f>
        <v>Not applicable - no offence or penalty defined here (definition, exception or general provision)</v>
      </c>
      <c r="G95" s="10" t="str">
        <f aca="false">IFERROR(INDEX(Section_Master!$E$2:$E$477,MATCH($E95,Section_Master!$A$2:$A$477,0))&amp;"","")</f>
        <v>N/A</v>
      </c>
      <c r="H95" s="10" t="str">
        <f aca="false">IFERROR(INDEX(Section_Master!$F$2:$F$477,MATCH($E95,Section_Master!$A$2:$A$477,0))&amp;"","")</f>
        <v>N/A</v>
      </c>
      <c r="I95" s="10" t="str">
        <f aca="false">IFERROR(INDEX(Section_Master!$G$2:$G$477,MATCH($E95,Section_Master!$A$2:$A$477,0))&amp;"","")</f>
        <v>N/A</v>
      </c>
      <c r="J95" s="10" t="s">
        <v>58</v>
      </c>
      <c r="K95" s="8" t="s">
        <v>264</v>
      </c>
    </row>
    <row r="96" customFormat="false" ht="34.5" hidden="false" customHeight="true" outlineLevel="0" collapsed="false">
      <c r="A96" s="10" t="s">
        <v>271</v>
      </c>
      <c r="B96" s="10" t="s">
        <v>45</v>
      </c>
      <c r="C96" s="8" t="s">
        <v>262</v>
      </c>
      <c r="D96" s="8" t="s">
        <v>272</v>
      </c>
      <c r="E96" s="11" t="n">
        <v>16</v>
      </c>
      <c r="F96" s="8" t="str">
        <f aca="false">IFERROR(INDEX(Section_Master!$D$2:$D$477,MATCH($E96,Section_Master!$A$2:$A$477,0))&amp;"","")</f>
        <v>Not applicable - no offence or penalty defined here (definition, exception or general provision)</v>
      </c>
      <c r="G96" s="10" t="str">
        <f aca="false">IFERROR(INDEX(Section_Master!$E$2:$E$477,MATCH($E96,Section_Master!$A$2:$A$477,0))&amp;"","")</f>
        <v>N/A</v>
      </c>
      <c r="H96" s="10" t="str">
        <f aca="false">IFERROR(INDEX(Section_Master!$F$2:$F$477,MATCH($E96,Section_Master!$A$2:$A$477,0))&amp;"","")</f>
        <v>N/A</v>
      </c>
      <c r="I96" s="10" t="str">
        <f aca="false">IFERROR(INDEX(Section_Master!$G$2:$G$477,MATCH($E96,Section_Master!$A$2:$A$477,0))&amp;"","")</f>
        <v>N/A</v>
      </c>
      <c r="J96" s="10" t="s">
        <v>61</v>
      </c>
      <c r="K96" s="8" t="s">
        <v>264</v>
      </c>
    </row>
    <row r="97" customFormat="false" ht="34.5" hidden="false" customHeight="true" outlineLevel="0" collapsed="false">
      <c r="A97" s="10" t="s">
        <v>273</v>
      </c>
      <c r="B97" s="10" t="s">
        <v>45</v>
      </c>
      <c r="C97" s="8" t="s">
        <v>262</v>
      </c>
      <c r="D97" s="8" t="s">
        <v>274</v>
      </c>
      <c r="E97" s="11" t="n">
        <v>16</v>
      </c>
      <c r="F97" s="8" t="str">
        <f aca="false">IFERROR(INDEX(Section_Master!$D$2:$D$477,MATCH($E97,Section_Master!$A$2:$A$477,0))&amp;"","")</f>
        <v>Not applicable - no offence or penalty defined here (definition, exception or general provision)</v>
      </c>
      <c r="G97" s="10" t="str">
        <f aca="false">IFERROR(INDEX(Section_Master!$E$2:$E$477,MATCH($E97,Section_Master!$A$2:$A$477,0))&amp;"","")</f>
        <v>N/A</v>
      </c>
      <c r="H97" s="10" t="str">
        <f aca="false">IFERROR(INDEX(Section_Master!$F$2:$F$477,MATCH($E97,Section_Master!$A$2:$A$477,0))&amp;"","")</f>
        <v>N/A</v>
      </c>
      <c r="I97" s="10" t="str">
        <f aca="false">IFERROR(INDEX(Section_Master!$G$2:$G$477,MATCH($E97,Section_Master!$A$2:$A$477,0))&amp;"","")</f>
        <v>N/A</v>
      </c>
      <c r="J97" s="10" t="s">
        <v>64</v>
      </c>
      <c r="K97" s="8" t="s">
        <v>264</v>
      </c>
    </row>
    <row r="98" customFormat="false" ht="34.5" hidden="false" customHeight="true" outlineLevel="0" collapsed="false">
      <c r="A98" s="10" t="s">
        <v>275</v>
      </c>
      <c r="B98" s="10" t="s">
        <v>45</v>
      </c>
      <c r="C98" s="8" t="s">
        <v>276</v>
      </c>
      <c r="D98" s="8" t="s">
        <v>277</v>
      </c>
      <c r="E98" s="11" t="n">
        <v>17</v>
      </c>
      <c r="F98" s="8" t="str">
        <f aca="false">IFERROR(INDEX(Section_Master!$D$2:$D$477,MATCH($E98,Section_Master!$A$2:$A$477,0))&amp;"","")</f>
        <v>Not applicable - no offence or penalty defined here (definition, exception or general provision)</v>
      </c>
      <c r="G98" s="10" t="str">
        <f aca="false">IFERROR(INDEX(Section_Master!$E$2:$E$477,MATCH($E98,Section_Master!$A$2:$A$477,0))&amp;"","")</f>
        <v>N/A</v>
      </c>
      <c r="H98" s="10" t="str">
        <f aca="false">IFERROR(INDEX(Section_Master!$F$2:$F$477,MATCH($E98,Section_Master!$A$2:$A$477,0))&amp;"","")</f>
        <v>N/A</v>
      </c>
      <c r="I98" s="10" t="str">
        <f aca="false">IFERROR(INDEX(Section_Master!$G$2:$G$477,MATCH($E98,Section_Master!$A$2:$A$477,0))&amp;"","")</f>
        <v>N/A</v>
      </c>
      <c r="J98" s="10" t="s">
        <v>48</v>
      </c>
      <c r="K98" s="8" t="s">
        <v>278</v>
      </c>
    </row>
    <row r="99" customFormat="false" ht="45.75" hidden="false" customHeight="true" outlineLevel="0" collapsed="false">
      <c r="A99" s="10" t="s">
        <v>279</v>
      </c>
      <c r="B99" s="10" t="s">
        <v>45</v>
      </c>
      <c r="C99" s="8" t="s">
        <v>276</v>
      </c>
      <c r="D99" s="8" t="s">
        <v>280</v>
      </c>
      <c r="E99" s="11" t="n">
        <v>17</v>
      </c>
      <c r="F99" s="8" t="str">
        <f aca="false">IFERROR(INDEX(Section_Master!$D$2:$D$477,MATCH($E99,Section_Master!$A$2:$A$477,0))&amp;"","")</f>
        <v>Not applicable - no offence or penalty defined here (definition, exception or general provision)</v>
      </c>
      <c r="G99" s="10" t="str">
        <f aca="false">IFERROR(INDEX(Section_Master!$E$2:$E$477,MATCH($E99,Section_Master!$A$2:$A$477,0))&amp;"","")</f>
        <v>N/A</v>
      </c>
      <c r="H99" s="10" t="str">
        <f aca="false">IFERROR(INDEX(Section_Master!$F$2:$F$477,MATCH($E99,Section_Master!$A$2:$A$477,0))&amp;"","")</f>
        <v>N/A</v>
      </c>
      <c r="I99" s="10" t="str">
        <f aca="false">IFERROR(INDEX(Section_Master!$G$2:$G$477,MATCH($E99,Section_Master!$A$2:$A$477,0))&amp;"","")</f>
        <v>N/A</v>
      </c>
      <c r="J99" s="10" t="s">
        <v>52</v>
      </c>
      <c r="K99" s="8" t="s">
        <v>278</v>
      </c>
    </row>
    <row r="100" customFormat="false" ht="34.5" hidden="false" customHeight="true" outlineLevel="0" collapsed="false">
      <c r="A100" s="10" t="s">
        <v>281</v>
      </c>
      <c r="B100" s="10" t="s">
        <v>45</v>
      </c>
      <c r="C100" s="8" t="s">
        <v>276</v>
      </c>
      <c r="D100" s="8" t="s">
        <v>282</v>
      </c>
      <c r="E100" s="11" t="n">
        <v>17</v>
      </c>
      <c r="F100" s="8" t="str">
        <f aca="false">IFERROR(INDEX(Section_Master!$D$2:$D$477,MATCH($E100,Section_Master!$A$2:$A$477,0))&amp;"","")</f>
        <v>Not applicable - no offence or penalty defined here (definition, exception or general provision)</v>
      </c>
      <c r="G100" s="10" t="str">
        <f aca="false">IFERROR(INDEX(Section_Master!$E$2:$E$477,MATCH($E100,Section_Master!$A$2:$A$477,0))&amp;"","")</f>
        <v>N/A</v>
      </c>
      <c r="H100" s="10" t="str">
        <f aca="false">IFERROR(INDEX(Section_Master!$F$2:$F$477,MATCH($E100,Section_Master!$A$2:$A$477,0))&amp;"","")</f>
        <v>N/A</v>
      </c>
      <c r="I100" s="10" t="str">
        <f aca="false">IFERROR(INDEX(Section_Master!$G$2:$G$477,MATCH($E100,Section_Master!$A$2:$A$477,0))&amp;"","")</f>
        <v>N/A</v>
      </c>
      <c r="J100" s="10" t="s">
        <v>55</v>
      </c>
      <c r="K100" s="8" t="s">
        <v>278</v>
      </c>
    </row>
    <row r="101" customFormat="false" ht="34.5" hidden="false" customHeight="true" outlineLevel="0" collapsed="false">
      <c r="A101" s="10" t="s">
        <v>283</v>
      </c>
      <c r="B101" s="10" t="s">
        <v>45</v>
      </c>
      <c r="C101" s="8" t="s">
        <v>276</v>
      </c>
      <c r="D101" s="8" t="s">
        <v>284</v>
      </c>
      <c r="E101" s="11" t="n">
        <v>17</v>
      </c>
      <c r="F101" s="8" t="str">
        <f aca="false">IFERROR(INDEX(Section_Master!$D$2:$D$477,MATCH($E101,Section_Master!$A$2:$A$477,0))&amp;"","")</f>
        <v>Not applicable - no offence or penalty defined here (definition, exception or general provision)</v>
      </c>
      <c r="G101" s="10" t="str">
        <f aca="false">IFERROR(INDEX(Section_Master!$E$2:$E$477,MATCH($E101,Section_Master!$A$2:$A$477,0))&amp;"","")</f>
        <v>N/A</v>
      </c>
      <c r="H101" s="10" t="str">
        <f aca="false">IFERROR(INDEX(Section_Master!$F$2:$F$477,MATCH($E101,Section_Master!$A$2:$A$477,0))&amp;"","")</f>
        <v>N/A</v>
      </c>
      <c r="I101" s="10" t="str">
        <f aca="false">IFERROR(INDEX(Section_Master!$G$2:$G$477,MATCH($E101,Section_Master!$A$2:$A$477,0))&amp;"","")</f>
        <v>N/A</v>
      </c>
      <c r="J101" s="10" t="s">
        <v>58</v>
      </c>
      <c r="K101" s="8" t="s">
        <v>278</v>
      </c>
    </row>
    <row r="102" customFormat="false" ht="34.5" hidden="false" customHeight="true" outlineLevel="0" collapsed="false">
      <c r="A102" s="10" t="s">
        <v>285</v>
      </c>
      <c r="B102" s="10" t="s">
        <v>45</v>
      </c>
      <c r="C102" s="8" t="s">
        <v>276</v>
      </c>
      <c r="D102" s="8" t="s">
        <v>286</v>
      </c>
      <c r="E102" s="11" t="n">
        <v>17</v>
      </c>
      <c r="F102" s="8" t="str">
        <f aca="false">IFERROR(INDEX(Section_Master!$D$2:$D$477,MATCH($E102,Section_Master!$A$2:$A$477,0))&amp;"","")</f>
        <v>Not applicable - no offence or penalty defined here (definition, exception or general provision)</v>
      </c>
      <c r="G102" s="10" t="str">
        <f aca="false">IFERROR(INDEX(Section_Master!$E$2:$E$477,MATCH($E102,Section_Master!$A$2:$A$477,0))&amp;"","")</f>
        <v>N/A</v>
      </c>
      <c r="H102" s="10" t="str">
        <f aca="false">IFERROR(INDEX(Section_Master!$F$2:$F$477,MATCH($E102,Section_Master!$A$2:$A$477,0))&amp;"","")</f>
        <v>N/A</v>
      </c>
      <c r="I102" s="10" t="str">
        <f aca="false">IFERROR(INDEX(Section_Master!$G$2:$G$477,MATCH($E102,Section_Master!$A$2:$A$477,0))&amp;"","")</f>
        <v>N/A</v>
      </c>
      <c r="J102" s="10" t="s">
        <v>61</v>
      </c>
      <c r="K102" s="8" t="s">
        <v>278</v>
      </c>
    </row>
    <row r="103" customFormat="false" ht="34.5" hidden="false" customHeight="true" outlineLevel="0" collapsed="false">
      <c r="A103" s="10" t="s">
        <v>287</v>
      </c>
      <c r="B103" s="10" t="s">
        <v>45</v>
      </c>
      <c r="C103" s="8" t="s">
        <v>276</v>
      </c>
      <c r="D103" s="8" t="s">
        <v>288</v>
      </c>
      <c r="E103" s="11" t="n">
        <v>17</v>
      </c>
      <c r="F103" s="8" t="str">
        <f aca="false">IFERROR(INDEX(Section_Master!$D$2:$D$477,MATCH($E103,Section_Master!$A$2:$A$477,0))&amp;"","")</f>
        <v>Not applicable - no offence or penalty defined here (definition, exception or general provision)</v>
      </c>
      <c r="G103" s="10" t="str">
        <f aca="false">IFERROR(INDEX(Section_Master!$E$2:$E$477,MATCH($E103,Section_Master!$A$2:$A$477,0))&amp;"","")</f>
        <v>N/A</v>
      </c>
      <c r="H103" s="10" t="str">
        <f aca="false">IFERROR(INDEX(Section_Master!$F$2:$F$477,MATCH($E103,Section_Master!$A$2:$A$477,0))&amp;"","")</f>
        <v>N/A</v>
      </c>
      <c r="I103" s="10" t="str">
        <f aca="false">IFERROR(INDEX(Section_Master!$G$2:$G$477,MATCH($E103,Section_Master!$A$2:$A$477,0))&amp;"","")</f>
        <v>N/A</v>
      </c>
      <c r="J103" s="10" t="s">
        <v>64</v>
      </c>
      <c r="K103" s="8" t="s">
        <v>278</v>
      </c>
    </row>
    <row r="104" customFormat="false" ht="34.5" hidden="false" customHeight="true" outlineLevel="0" collapsed="false">
      <c r="A104" s="10" t="s">
        <v>289</v>
      </c>
      <c r="B104" s="10" t="s">
        <v>45</v>
      </c>
      <c r="C104" s="8" t="s">
        <v>290</v>
      </c>
      <c r="D104" s="8" t="s">
        <v>291</v>
      </c>
      <c r="E104" s="11" t="n">
        <v>18</v>
      </c>
      <c r="F104" s="8" t="str">
        <f aca="false">IFERROR(INDEX(Section_Master!$D$2:$D$477,MATCH($E104,Section_Master!$A$2:$A$477,0))&amp;"","")</f>
        <v>Not applicable - no offence or penalty defined here (definition, exception or general provision)</v>
      </c>
      <c r="G104" s="10" t="str">
        <f aca="false">IFERROR(INDEX(Section_Master!$E$2:$E$477,MATCH($E104,Section_Master!$A$2:$A$477,0))&amp;"","")</f>
        <v>N/A</v>
      </c>
      <c r="H104" s="10" t="str">
        <f aca="false">IFERROR(INDEX(Section_Master!$F$2:$F$477,MATCH($E104,Section_Master!$A$2:$A$477,0))&amp;"","")</f>
        <v>N/A</v>
      </c>
      <c r="I104" s="10" t="str">
        <f aca="false">IFERROR(INDEX(Section_Master!$G$2:$G$477,MATCH($E104,Section_Master!$A$2:$A$477,0))&amp;"","")</f>
        <v>N/A</v>
      </c>
      <c r="J104" s="10" t="s">
        <v>48</v>
      </c>
      <c r="K104" s="8" t="s">
        <v>292</v>
      </c>
    </row>
    <row r="105" customFormat="false" ht="34.5" hidden="false" customHeight="true" outlineLevel="0" collapsed="false">
      <c r="A105" s="10" t="s">
        <v>293</v>
      </c>
      <c r="B105" s="10" t="s">
        <v>45</v>
      </c>
      <c r="C105" s="8" t="s">
        <v>290</v>
      </c>
      <c r="D105" s="8" t="s">
        <v>294</v>
      </c>
      <c r="E105" s="11" t="n">
        <v>18</v>
      </c>
      <c r="F105" s="8" t="str">
        <f aca="false">IFERROR(INDEX(Section_Master!$D$2:$D$477,MATCH($E105,Section_Master!$A$2:$A$477,0))&amp;"","")</f>
        <v>Not applicable - no offence or penalty defined here (definition, exception or general provision)</v>
      </c>
      <c r="G105" s="10" t="str">
        <f aca="false">IFERROR(INDEX(Section_Master!$E$2:$E$477,MATCH($E105,Section_Master!$A$2:$A$477,0))&amp;"","")</f>
        <v>N/A</v>
      </c>
      <c r="H105" s="10" t="str">
        <f aca="false">IFERROR(INDEX(Section_Master!$F$2:$F$477,MATCH($E105,Section_Master!$A$2:$A$477,0))&amp;"","")</f>
        <v>N/A</v>
      </c>
      <c r="I105" s="10" t="str">
        <f aca="false">IFERROR(INDEX(Section_Master!$G$2:$G$477,MATCH($E105,Section_Master!$A$2:$A$477,0))&amp;"","")</f>
        <v>N/A</v>
      </c>
      <c r="J105" s="10" t="s">
        <v>52</v>
      </c>
      <c r="K105" s="8" t="s">
        <v>292</v>
      </c>
    </row>
    <row r="106" customFormat="false" ht="23.25" hidden="false" customHeight="true" outlineLevel="0" collapsed="false">
      <c r="A106" s="10" t="s">
        <v>295</v>
      </c>
      <c r="B106" s="10" t="s">
        <v>45</v>
      </c>
      <c r="C106" s="8" t="s">
        <v>290</v>
      </c>
      <c r="D106" s="8" t="s">
        <v>296</v>
      </c>
      <c r="E106" s="11" t="n">
        <v>18</v>
      </c>
      <c r="F106" s="8" t="str">
        <f aca="false">IFERROR(INDEX(Section_Master!$D$2:$D$477,MATCH($E106,Section_Master!$A$2:$A$477,0))&amp;"","")</f>
        <v>Not applicable - no offence or penalty defined here (definition, exception or general provision)</v>
      </c>
      <c r="G106" s="10" t="str">
        <f aca="false">IFERROR(INDEX(Section_Master!$E$2:$E$477,MATCH($E106,Section_Master!$A$2:$A$477,0))&amp;"","")</f>
        <v>N/A</v>
      </c>
      <c r="H106" s="10" t="str">
        <f aca="false">IFERROR(INDEX(Section_Master!$F$2:$F$477,MATCH($E106,Section_Master!$A$2:$A$477,0))&amp;"","")</f>
        <v>N/A</v>
      </c>
      <c r="I106" s="10" t="str">
        <f aca="false">IFERROR(INDEX(Section_Master!$G$2:$G$477,MATCH($E106,Section_Master!$A$2:$A$477,0))&amp;"","")</f>
        <v>N/A</v>
      </c>
      <c r="J106" s="10" t="s">
        <v>55</v>
      </c>
      <c r="K106" s="8" t="s">
        <v>292</v>
      </c>
    </row>
    <row r="107" customFormat="false" ht="23.25" hidden="false" customHeight="true" outlineLevel="0" collapsed="false">
      <c r="A107" s="10" t="s">
        <v>297</v>
      </c>
      <c r="B107" s="10" t="s">
        <v>45</v>
      </c>
      <c r="C107" s="8" t="s">
        <v>290</v>
      </c>
      <c r="D107" s="8" t="s">
        <v>298</v>
      </c>
      <c r="E107" s="11" t="n">
        <v>18</v>
      </c>
      <c r="F107" s="8" t="str">
        <f aca="false">IFERROR(INDEX(Section_Master!$D$2:$D$477,MATCH($E107,Section_Master!$A$2:$A$477,0))&amp;"","")</f>
        <v>Not applicable - no offence or penalty defined here (definition, exception or general provision)</v>
      </c>
      <c r="G107" s="10" t="str">
        <f aca="false">IFERROR(INDEX(Section_Master!$E$2:$E$477,MATCH($E107,Section_Master!$A$2:$A$477,0))&amp;"","")</f>
        <v>N/A</v>
      </c>
      <c r="H107" s="10" t="str">
        <f aca="false">IFERROR(INDEX(Section_Master!$F$2:$F$477,MATCH($E107,Section_Master!$A$2:$A$477,0))&amp;"","")</f>
        <v>N/A</v>
      </c>
      <c r="I107" s="10" t="str">
        <f aca="false">IFERROR(INDEX(Section_Master!$G$2:$G$477,MATCH($E107,Section_Master!$A$2:$A$477,0))&amp;"","")</f>
        <v>N/A</v>
      </c>
      <c r="J107" s="10" t="s">
        <v>58</v>
      </c>
      <c r="K107" s="8" t="s">
        <v>292</v>
      </c>
    </row>
    <row r="108" customFormat="false" ht="23.25" hidden="false" customHeight="true" outlineLevel="0" collapsed="false">
      <c r="A108" s="10" t="s">
        <v>299</v>
      </c>
      <c r="B108" s="10" t="s">
        <v>45</v>
      </c>
      <c r="C108" s="8" t="s">
        <v>290</v>
      </c>
      <c r="D108" s="8" t="s">
        <v>300</v>
      </c>
      <c r="E108" s="11" t="n">
        <v>18</v>
      </c>
      <c r="F108" s="8" t="str">
        <f aca="false">IFERROR(INDEX(Section_Master!$D$2:$D$477,MATCH($E108,Section_Master!$A$2:$A$477,0))&amp;"","")</f>
        <v>Not applicable - no offence or penalty defined here (definition, exception or general provision)</v>
      </c>
      <c r="G108" s="10" t="str">
        <f aca="false">IFERROR(INDEX(Section_Master!$E$2:$E$477,MATCH($E108,Section_Master!$A$2:$A$477,0))&amp;"","")</f>
        <v>N/A</v>
      </c>
      <c r="H108" s="10" t="str">
        <f aca="false">IFERROR(INDEX(Section_Master!$F$2:$F$477,MATCH($E108,Section_Master!$A$2:$A$477,0))&amp;"","")</f>
        <v>N/A</v>
      </c>
      <c r="I108" s="10" t="str">
        <f aca="false">IFERROR(INDEX(Section_Master!$G$2:$G$477,MATCH($E108,Section_Master!$A$2:$A$477,0))&amp;"","")</f>
        <v>N/A</v>
      </c>
      <c r="J108" s="10" t="s">
        <v>61</v>
      </c>
      <c r="K108" s="8" t="s">
        <v>292</v>
      </c>
    </row>
    <row r="109" customFormat="false" ht="23.25" hidden="false" customHeight="true" outlineLevel="0" collapsed="false">
      <c r="A109" s="10" t="s">
        <v>301</v>
      </c>
      <c r="B109" s="10" t="s">
        <v>45</v>
      </c>
      <c r="C109" s="8" t="s">
        <v>290</v>
      </c>
      <c r="D109" s="8" t="s">
        <v>302</v>
      </c>
      <c r="E109" s="11" t="n">
        <v>18</v>
      </c>
      <c r="F109" s="8" t="str">
        <f aca="false">IFERROR(INDEX(Section_Master!$D$2:$D$477,MATCH($E109,Section_Master!$A$2:$A$477,0))&amp;"","")</f>
        <v>Not applicable - no offence or penalty defined here (definition, exception or general provision)</v>
      </c>
      <c r="G109" s="10" t="str">
        <f aca="false">IFERROR(INDEX(Section_Master!$E$2:$E$477,MATCH($E109,Section_Master!$A$2:$A$477,0))&amp;"","")</f>
        <v>N/A</v>
      </c>
      <c r="H109" s="10" t="str">
        <f aca="false">IFERROR(INDEX(Section_Master!$F$2:$F$477,MATCH($E109,Section_Master!$A$2:$A$477,0))&amp;"","")</f>
        <v>N/A</v>
      </c>
      <c r="I109" s="10" t="str">
        <f aca="false">IFERROR(INDEX(Section_Master!$G$2:$G$477,MATCH($E109,Section_Master!$A$2:$A$477,0))&amp;"","")</f>
        <v>N/A</v>
      </c>
      <c r="J109" s="10" t="s">
        <v>64</v>
      </c>
      <c r="K109" s="8" t="s">
        <v>292</v>
      </c>
    </row>
    <row r="110" customFormat="false" ht="34.5" hidden="false" customHeight="true" outlineLevel="0" collapsed="false">
      <c r="A110" s="10" t="s">
        <v>303</v>
      </c>
      <c r="B110" s="10" t="s">
        <v>45</v>
      </c>
      <c r="C110" s="8" t="s">
        <v>304</v>
      </c>
      <c r="D110" s="8" t="s">
        <v>305</v>
      </c>
      <c r="E110" s="11" t="n">
        <v>19</v>
      </c>
      <c r="F110" s="8" t="str">
        <f aca="false">IFERROR(INDEX(Section_Master!$D$2:$D$477,MATCH($E110,Section_Master!$A$2:$A$477,0))&amp;"","")</f>
        <v>Not applicable - no offence or penalty defined here (definition, exception or general provision)</v>
      </c>
      <c r="G110" s="10" t="str">
        <f aca="false">IFERROR(INDEX(Section_Master!$E$2:$E$477,MATCH($E110,Section_Master!$A$2:$A$477,0))&amp;"","")</f>
        <v>N/A</v>
      </c>
      <c r="H110" s="10" t="str">
        <f aca="false">IFERROR(INDEX(Section_Master!$F$2:$F$477,MATCH($E110,Section_Master!$A$2:$A$477,0))&amp;"","")</f>
        <v>N/A</v>
      </c>
      <c r="I110" s="10" t="str">
        <f aca="false">IFERROR(INDEX(Section_Master!$G$2:$G$477,MATCH($E110,Section_Master!$A$2:$A$477,0))&amp;"","")</f>
        <v>N/A</v>
      </c>
      <c r="J110" s="10" t="s">
        <v>48</v>
      </c>
      <c r="K110" s="8" t="s">
        <v>306</v>
      </c>
    </row>
    <row r="111" customFormat="false" ht="34.5" hidden="false" customHeight="true" outlineLevel="0" collapsed="false">
      <c r="A111" s="10" t="s">
        <v>307</v>
      </c>
      <c r="B111" s="10" t="s">
        <v>45</v>
      </c>
      <c r="C111" s="8" t="s">
        <v>304</v>
      </c>
      <c r="D111" s="8" t="s">
        <v>308</v>
      </c>
      <c r="E111" s="11" t="n">
        <v>19</v>
      </c>
      <c r="F111" s="8" t="str">
        <f aca="false">IFERROR(INDEX(Section_Master!$D$2:$D$477,MATCH($E111,Section_Master!$A$2:$A$477,0))&amp;"","")</f>
        <v>Not applicable - no offence or penalty defined here (definition, exception or general provision)</v>
      </c>
      <c r="G111" s="10" t="str">
        <f aca="false">IFERROR(INDEX(Section_Master!$E$2:$E$477,MATCH($E111,Section_Master!$A$2:$A$477,0))&amp;"","")</f>
        <v>N/A</v>
      </c>
      <c r="H111" s="10" t="str">
        <f aca="false">IFERROR(INDEX(Section_Master!$F$2:$F$477,MATCH($E111,Section_Master!$A$2:$A$477,0))&amp;"","")</f>
        <v>N/A</v>
      </c>
      <c r="I111" s="10" t="str">
        <f aca="false">IFERROR(INDEX(Section_Master!$G$2:$G$477,MATCH($E111,Section_Master!$A$2:$A$477,0))&amp;"","")</f>
        <v>N/A</v>
      </c>
      <c r="J111" s="10" t="s">
        <v>52</v>
      </c>
      <c r="K111" s="8" t="s">
        <v>306</v>
      </c>
    </row>
    <row r="112" customFormat="false" ht="34.5" hidden="false" customHeight="true" outlineLevel="0" collapsed="false">
      <c r="A112" s="10" t="s">
        <v>309</v>
      </c>
      <c r="B112" s="10" t="s">
        <v>45</v>
      </c>
      <c r="C112" s="8" t="s">
        <v>304</v>
      </c>
      <c r="D112" s="8" t="s">
        <v>310</v>
      </c>
      <c r="E112" s="11" t="n">
        <v>19</v>
      </c>
      <c r="F112" s="8" t="str">
        <f aca="false">IFERROR(INDEX(Section_Master!$D$2:$D$477,MATCH($E112,Section_Master!$A$2:$A$477,0))&amp;"","")</f>
        <v>Not applicable - no offence or penalty defined here (definition, exception or general provision)</v>
      </c>
      <c r="G112" s="10" t="str">
        <f aca="false">IFERROR(INDEX(Section_Master!$E$2:$E$477,MATCH($E112,Section_Master!$A$2:$A$477,0))&amp;"","")</f>
        <v>N/A</v>
      </c>
      <c r="H112" s="10" t="str">
        <f aca="false">IFERROR(INDEX(Section_Master!$F$2:$F$477,MATCH($E112,Section_Master!$A$2:$A$477,0))&amp;"","")</f>
        <v>N/A</v>
      </c>
      <c r="I112" s="10" t="str">
        <f aca="false">IFERROR(INDEX(Section_Master!$G$2:$G$477,MATCH($E112,Section_Master!$A$2:$A$477,0))&amp;"","")</f>
        <v>N/A</v>
      </c>
      <c r="J112" s="10" t="s">
        <v>55</v>
      </c>
      <c r="K112" s="8" t="s">
        <v>306</v>
      </c>
    </row>
    <row r="113" customFormat="false" ht="34.5" hidden="false" customHeight="true" outlineLevel="0" collapsed="false">
      <c r="A113" s="10" t="s">
        <v>311</v>
      </c>
      <c r="B113" s="10" t="s">
        <v>45</v>
      </c>
      <c r="C113" s="8" t="s">
        <v>304</v>
      </c>
      <c r="D113" s="8" t="s">
        <v>312</v>
      </c>
      <c r="E113" s="11" t="n">
        <v>19</v>
      </c>
      <c r="F113" s="8" t="str">
        <f aca="false">IFERROR(INDEX(Section_Master!$D$2:$D$477,MATCH($E113,Section_Master!$A$2:$A$477,0))&amp;"","")</f>
        <v>Not applicable - no offence or penalty defined here (definition, exception or general provision)</v>
      </c>
      <c r="G113" s="10" t="str">
        <f aca="false">IFERROR(INDEX(Section_Master!$E$2:$E$477,MATCH($E113,Section_Master!$A$2:$A$477,0))&amp;"","")</f>
        <v>N/A</v>
      </c>
      <c r="H113" s="10" t="str">
        <f aca="false">IFERROR(INDEX(Section_Master!$F$2:$F$477,MATCH($E113,Section_Master!$A$2:$A$477,0))&amp;"","")</f>
        <v>N/A</v>
      </c>
      <c r="I113" s="10" t="str">
        <f aca="false">IFERROR(INDEX(Section_Master!$G$2:$G$477,MATCH($E113,Section_Master!$A$2:$A$477,0))&amp;"","")</f>
        <v>N/A</v>
      </c>
      <c r="J113" s="10" t="s">
        <v>58</v>
      </c>
      <c r="K113" s="8" t="s">
        <v>306</v>
      </c>
    </row>
    <row r="114" customFormat="false" ht="34.5" hidden="false" customHeight="true" outlineLevel="0" collapsed="false">
      <c r="A114" s="10" t="s">
        <v>313</v>
      </c>
      <c r="B114" s="10" t="s">
        <v>45</v>
      </c>
      <c r="C114" s="8" t="s">
        <v>304</v>
      </c>
      <c r="D114" s="8" t="s">
        <v>314</v>
      </c>
      <c r="E114" s="11" t="n">
        <v>19</v>
      </c>
      <c r="F114" s="8" t="str">
        <f aca="false">IFERROR(INDEX(Section_Master!$D$2:$D$477,MATCH($E114,Section_Master!$A$2:$A$477,0))&amp;"","")</f>
        <v>Not applicable - no offence or penalty defined here (definition, exception or general provision)</v>
      </c>
      <c r="G114" s="10" t="str">
        <f aca="false">IFERROR(INDEX(Section_Master!$E$2:$E$477,MATCH($E114,Section_Master!$A$2:$A$477,0))&amp;"","")</f>
        <v>N/A</v>
      </c>
      <c r="H114" s="10" t="str">
        <f aca="false">IFERROR(INDEX(Section_Master!$F$2:$F$477,MATCH($E114,Section_Master!$A$2:$A$477,0))&amp;"","")</f>
        <v>N/A</v>
      </c>
      <c r="I114" s="10" t="str">
        <f aca="false">IFERROR(INDEX(Section_Master!$G$2:$G$477,MATCH($E114,Section_Master!$A$2:$A$477,0))&amp;"","")</f>
        <v>N/A</v>
      </c>
      <c r="J114" s="10" t="s">
        <v>61</v>
      </c>
      <c r="K114" s="8" t="s">
        <v>306</v>
      </c>
    </row>
    <row r="115" customFormat="false" ht="34.5" hidden="false" customHeight="true" outlineLevel="0" collapsed="false">
      <c r="A115" s="10" t="s">
        <v>315</v>
      </c>
      <c r="B115" s="10" t="s">
        <v>45</v>
      </c>
      <c r="C115" s="8" t="s">
        <v>304</v>
      </c>
      <c r="D115" s="8" t="s">
        <v>316</v>
      </c>
      <c r="E115" s="11" t="n">
        <v>19</v>
      </c>
      <c r="F115" s="8" t="str">
        <f aca="false">IFERROR(INDEX(Section_Master!$D$2:$D$477,MATCH($E115,Section_Master!$A$2:$A$477,0))&amp;"","")</f>
        <v>Not applicable - no offence or penalty defined here (definition, exception or general provision)</v>
      </c>
      <c r="G115" s="10" t="str">
        <f aca="false">IFERROR(INDEX(Section_Master!$E$2:$E$477,MATCH($E115,Section_Master!$A$2:$A$477,0))&amp;"","")</f>
        <v>N/A</v>
      </c>
      <c r="H115" s="10" t="str">
        <f aca="false">IFERROR(INDEX(Section_Master!$F$2:$F$477,MATCH($E115,Section_Master!$A$2:$A$477,0))&amp;"","")</f>
        <v>N/A</v>
      </c>
      <c r="I115" s="10" t="str">
        <f aca="false">IFERROR(INDEX(Section_Master!$G$2:$G$477,MATCH($E115,Section_Master!$A$2:$A$477,0))&amp;"","")</f>
        <v>N/A</v>
      </c>
      <c r="J115" s="10" t="s">
        <v>64</v>
      </c>
      <c r="K115" s="8" t="s">
        <v>306</v>
      </c>
    </row>
    <row r="116" customFormat="false" ht="23.25" hidden="false" customHeight="true" outlineLevel="0" collapsed="false">
      <c r="A116" s="10" t="s">
        <v>317</v>
      </c>
      <c r="B116" s="10" t="s">
        <v>45</v>
      </c>
      <c r="C116" s="8" t="s">
        <v>318</v>
      </c>
      <c r="D116" s="8" t="s">
        <v>319</v>
      </c>
      <c r="E116" s="11" t="n">
        <v>20</v>
      </c>
      <c r="F116" s="8" t="str">
        <f aca="false">IFERROR(INDEX(Section_Master!$D$2:$D$477,MATCH($E116,Section_Master!$A$2:$A$477,0))&amp;"","")</f>
        <v>Not applicable - no offence or penalty defined here (definition, exception or general provision)</v>
      </c>
      <c r="G116" s="10" t="str">
        <f aca="false">IFERROR(INDEX(Section_Master!$E$2:$E$477,MATCH($E116,Section_Master!$A$2:$A$477,0))&amp;"","")</f>
        <v>N/A</v>
      </c>
      <c r="H116" s="10" t="str">
        <f aca="false">IFERROR(INDEX(Section_Master!$F$2:$F$477,MATCH($E116,Section_Master!$A$2:$A$477,0))&amp;"","")</f>
        <v>N/A</v>
      </c>
      <c r="I116" s="10" t="str">
        <f aca="false">IFERROR(INDEX(Section_Master!$G$2:$G$477,MATCH($E116,Section_Master!$A$2:$A$477,0))&amp;"","")</f>
        <v>N/A</v>
      </c>
      <c r="J116" s="10" t="s">
        <v>48</v>
      </c>
      <c r="K116" s="8" t="s">
        <v>320</v>
      </c>
    </row>
    <row r="117" customFormat="false" ht="34.5" hidden="false" customHeight="true" outlineLevel="0" collapsed="false">
      <c r="A117" s="10" t="s">
        <v>321</v>
      </c>
      <c r="B117" s="10" t="s">
        <v>45</v>
      </c>
      <c r="C117" s="8" t="s">
        <v>318</v>
      </c>
      <c r="D117" s="8" t="s">
        <v>322</v>
      </c>
      <c r="E117" s="11" t="n">
        <v>20</v>
      </c>
      <c r="F117" s="8" t="str">
        <f aca="false">IFERROR(INDEX(Section_Master!$D$2:$D$477,MATCH($E117,Section_Master!$A$2:$A$477,0))&amp;"","")</f>
        <v>Not applicable - no offence or penalty defined here (definition, exception or general provision)</v>
      </c>
      <c r="G117" s="10" t="str">
        <f aca="false">IFERROR(INDEX(Section_Master!$E$2:$E$477,MATCH($E117,Section_Master!$A$2:$A$477,0))&amp;"","")</f>
        <v>N/A</v>
      </c>
      <c r="H117" s="10" t="str">
        <f aca="false">IFERROR(INDEX(Section_Master!$F$2:$F$477,MATCH($E117,Section_Master!$A$2:$A$477,0))&amp;"","")</f>
        <v>N/A</v>
      </c>
      <c r="I117" s="10" t="str">
        <f aca="false">IFERROR(INDEX(Section_Master!$G$2:$G$477,MATCH($E117,Section_Master!$A$2:$A$477,0))&amp;"","")</f>
        <v>N/A</v>
      </c>
      <c r="J117" s="10" t="s">
        <v>52</v>
      </c>
      <c r="K117" s="8" t="s">
        <v>320</v>
      </c>
    </row>
    <row r="118" customFormat="false" ht="23.25" hidden="false" customHeight="true" outlineLevel="0" collapsed="false">
      <c r="A118" s="10" t="s">
        <v>323</v>
      </c>
      <c r="B118" s="10" t="s">
        <v>45</v>
      </c>
      <c r="C118" s="8" t="s">
        <v>318</v>
      </c>
      <c r="D118" s="8" t="s">
        <v>324</v>
      </c>
      <c r="E118" s="11" t="n">
        <v>20</v>
      </c>
      <c r="F118" s="8" t="str">
        <f aca="false">IFERROR(INDEX(Section_Master!$D$2:$D$477,MATCH($E118,Section_Master!$A$2:$A$477,0))&amp;"","")</f>
        <v>Not applicable - no offence or penalty defined here (definition, exception or general provision)</v>
      </c>
      <c r="G118" s="10" t="str">
        <f aca="false">IFERROR(INDEX(Section_Master!$E$2:$E$477,MATCH($E118,Section_Master!$A$2:$A$477,0))&amp;"","")</f>
        <v>N/A</v>
      </c>
      <c r="H118" s="10" t="str">
        <f aca="false">IFERROR(INDEX(Section_Master!$F$2:$F$477,MATCH($E118,Section_Master!$A$2:$A$477,0))&amp;"","")</f>
        <v>N/A</v>
      </c>
      <c r="I118" s="10" t="str">
        <f aca="false">IFERROR(INDEX(Section_Master!$G$2:$G$477,MATCH($E118,Section_Master!$A$2:$A$477,0))&amp;"","")</f>
        <v>N/A</v>
      </c>
      <c r="J118" s="10" t="s">
        <v>55</v>
      </c>
      <c r="K118" s="8" t="s">
        <v>320</v>
      </c>
    </row>
    <row r="119" customFormat="false" ht="23.25" hidden="false" customHeight="true" outlineLevel="0" collapsed="false">
      <c r="A119" s="10" t="s">
        <v>325</v>
      </c>
      <c r="B119" s="10" t="s">
        <v>45</v>
      </c>
      <c r="C119" s="8" t="s">
        <v>318</v>
      </c>
      <c r="D119" s="8" t="s">
        <v>326</v>
      </c>
      <c r="E119" s="11" t="n">
        <v>20</v>
      </c>
      <c r="F119" s="8" t="str">
        <f aca="false">IFERROR(INDEX(Section_Master!$D$2:$D$477,MATCH($E119,Section_Master!$A$2:$A$477,0))&amp;"","")</f>
        <v>Not applicable - no offence or penalty defined here (definition, exception or general provision)</v>
      </c>
      <c r="G119" s="10" t="str">
        <f aca="false">IFERROR(INDEX(Section_Master!$E$2:$E$477,MATCH($E119,Section_Master!$A$2:$A$477,0))&amp;"","")</f>
        <v>N/A</v>
      </c>
      <c r="H119" s="10" t="str">
        <f aca="false">IFERROR(INDEX(Section_Master!$F$2:$F$477,MATCH($E119,Section_Master!$A$2:$A$477,0))&amp;"","")</f>
        <v>N/A</v>
      </c>
      <c r="I119" s="10" t="str">
        <f aca="false">IFERROR(INDEX(Section_Master!$G$2:$G$477,MATCH($E119,Section_Master!$A$2:$A$477,0))&amp;"","")</f>
        <v>N/A</v>
      </c>
      <c r="J119" s="10" t="s">
        <v>58</v>
      </c>
      <c r="K119" s="8" t="s">
        <v>320</v>
      </c>
    </row>
    <row r="120" customFormat="false" ht="23.25" hidden="false" customHeight="true" outlineLevel="0" collapsed="false">
      <c r="A120" s="10" t="s">
        <v>327</v>
      </c>
      <c r="B120" s="10" t="s">
        <v>45</v>
      </c>
      <c r="C120" s="8" t="s">
        <v>318</v>
      </c>
      <c r="D120" s="8" t="s">
        <v>328</v>
      </c>
      <c r="E120" s="11" t="n">
        <v>20</v>
      </c>
      <c r="F120" s="8" t="str">
        <f aca="false">IFERROR(INDEX(Section_Master!$D$2:$D$477,MATCH($E120,Section_Master!$A$2:$A$477,0))&amp;"","")</f>
        <v>Not applicable - no offence or penalty defined here (definition, exception or general provision)</v>
      </c>
      <c r="G120" s="10" t="str">
        <f aca="false">IFERROR(INDEX(Section_Master!$E$2:$E$477,MATCH($E120,Section_Master!$A$2:$A$477,0))&amp;"","")</f>
        <v>N/A</v>
      </c>
      <c r="H120" s="10" t="str">
        <f aca="false">IFERROR(INDEX(Section_Master!$F$2:$F$477,MATCH($E120,Section_Master!$A$2:$A$477,0))&amp;"","")</f>
        <v>N/A</v>
      </c>
      <c r="I120" s="10" t="str">
        <f aca="false">IFERROR(INDEX(Section_Master!$G$2:$G$477,MATCH($E120,Section_Master!$A$2:$A$477,0))&amp;"","")</f>
        <v>N/A</v>
      </c>
      <c r="J120" s="10" t="s">
        <v>61</v>
      </c>
      <c r="K120" s="8" t="s">
        <v>320</v>
      </c>
    </row>
    <row r="121" customFormat="false" ht="23.25" hidden="false" customHeight="true" outlineLevel="0" collapsed="false">
      <c r="A121" s="10" t="s">
        <v>329</v>
      </c>
      <c r="B121" s="10" t="s">
        <v>45</v>
      </c>
      <c r="C121" s="8" t="s">
        <v>318</v>
      </c>
      <c r="D121" s="8" t="s">
        <v>330</v>
      </c>
      <c r="E121" s="11" t="n">
        <v>20</v>
      </c>
      <c r="F121" s="8" t="str">
        <f aca="false">IFERROR(INDEX(Section_Master!$D$2:$D$477,MATCH($E121,Section_Master!$A$2:$A$477,0))&amp;"","")</f>
        <v>Not applicable - no offence or penalty defined here (definition, exception or general provision)</v>
      </c>
      <c r="G121" s="10" t="str">
        <f aca="false">IFERROR(INDEX(Section_Master!$E$2:$E$477,MATCH($E121,Section_Master!$A$2:$A$477,0))&amp;"","")</f>
        <v>N/A</v>
      </c>
      <c r="H121" s="10" t="str">
        <f aca="false">IFERROR(INDEX(Section_Master!$F$2:$F$477,MATCH($E121,Section_Master!$A$2:$A$477,0))&amp;"","")</f>
        <v>N/A</v>
      </c>
      <c r="I121" s="10" t="str">
        <f aca="false">IFERROR(INDEX(Section_Master!$G$2:$G$477,MATCH($E121,Section_Master!$A$2:$A$477,0))&amp;"","")</f>
        <v>N/A</v>
      </c>
      <c r="J121" s="10" t="s">
        <v>64</v>
      </c>
      <c r="K121" s="8" t="s">
        <v>320</v>
      </c>
    </row>
    <row r="122" customFormat="false" ht="34.5" hidden="false" customHeight="true" outlineLevel="0" collapsed="false">
      <c r="A122" s="10" t="s">
        <v>331</v>
      </c>
      <c r="B122" s="10" t="s">
        <v>45</v>
      </c>
      <c r="C122" s="8" t="s">
        <v>332</v>
      </c>
      <c r="D122" s="8" t="s">
        <v>333</v>
      </c>
      <c r="E122" s="11" t="n">
        <v>21</v>
      </c>
      <c r="F122" s="8" t="str">
        <f aca="false">IFERROR(INDEX(Section_Master!$D$2:$D$477,MATCH($E122,Section_Master!$A$2:$A$477,0))&amp;"","")</f>
        <v>Not applicable - no offence or penalty defined here (definition, exception or general provision)</v>
      </c>
      <c r="G122" s="10" t="str">
        <f aca="false">IFERROR(INDEX(Section_Master!$E$2:$E$477,MATCH($E122,Section_Master!$A$2:$A$477,0))&amp;"","")</f>
        <v>N/A</v>
      </c>
      <c r="H122" s="10" t="str">
        <f aca="false">IFERROR(INDEX(Section_Master!$F$2:$F$477,MATCH($E122,Section_Master!$A$2:$A$477,0))&amp;"","")</f>
        <v>N/A</v>
      </c>
      <c r="I122" s="10" t="str">
        <f aca="false">IFERROR(INDEX(Section_Master!$G$2:$G$477,MATCH($E122,Section_Master!$A$2:$A$477,0))&amp;"","")</f>
        <v>N/A</v>
      </c>
      <c r="J122" s="10" t="s">
        <v>48</v>
      </c>
      <c r="K122" s="8" t="s">
        <v>334</v>
      </c>
    </row>
    <row r="123" customFormat="false" ht="45.75" hidden="false" customHeight="true" outlineLevel="0" collapsed="false">
      <c r="A123" s="10" t="s">
        <v>335</v>
      </c>
      <c r="B123" s="10" t="s">
        <v>45</v>
      </c>
      <c r="C123" s="8" t="s">
        <v>332</v>
      </c>
      <c r="D123" s="8" t="s">
        <v>336</v>
      </c>
      <c r="E123" s="11" t="n">
        <v>21</v>
      </c>
      <c r="F123" s="8" t="str">
        <f aca="false">IFERROR(INDEX(Section_Master!$D$2:$D$477,MATCH($E123,Section_Master!$A$2:$A$477,0))&amp;"","")</f>
        <v>Not applicable - no offence or penalty defined here (definition, exception or general provision)</v>
      </c>
      <c r="G123" s="10" t="str">
        <f aca="false">IFERROR(INDEX(Section_Master!$E$2:$E$477,MATCH($E123,Section_Master!$A$2:$A$477,0))&amp;"","")</f>
        <v>N/A</v>
      </c>
      <c r="H123" s="10" t="str">
        <f aca="false">IFERROR(INDEX(Section_Master!$F$2:$F$477,MATCH($E123,Section_Master!$A$2:$A$477,0))&amp;"","")</f>
        <v>N/A</v>
      </c>
      <c r="I123" s="10" t="str">
        <f aca="false">IFERROR(INDEX(Section_Master!$G$2:$G$477,MATCH($E123,Section_Master!$A$2:$A$477,0))&amp;"","")</f>
        <v>N/A</v>
      </c>
      <c r="J123" s="10" t="s">
        <v>52</v>
      </c>
      <c r="K123" s="8" t="s">
        <v>334</v>
      </c>
    </row>
    <row r="124" customFormat="false" ht="34.5" hidden="false" customHeight="true" outlineLevel="0" collapsed="false">
      <c r="A124" s="10" t="s">
        <v>337</v>
      </c>
      <c r="B124" s="10" t="s">
        <v>45</v>
      </c>
      <c r="C124" s="8" t="s">
        <v>332</v>
      </c>
      <c r="D124" s="8" t="s">
        <v>338</v>
      </c>
      <c r="E124" s="11" t="n">
        <v>21</v>
      </c>
      <c r="F124" s="8" t="str">
        <f aca="false">IFERROR(INDEX(Section_Master!$D$2:$D$477,MATCH($E124,Section_Master!$A$2:$A$477,0))&amp;"","")</f>
        <v>Not applicable - no offence or penalty defined here (definition, exception or general provision)</v>
      </c>
      <c r="G124" s="10" t="str">
        <f aca="false">IFERROR(INDEX(Section_Master!$E$2:$E$477,MATCH($E124,Section_Master!$A$2:$A$477,0))&amp;"","")</f>
        <v>N/A</v>
      </c>
      <c r="H124" s="10" t="str">
        <f aca="false">IFERROR(INDEX(Section_Master!$F$2:$F$477,MATCH($E124,Section_Master!$A$2:$A$477,0))&amp;"","")</f>
        <v>N/A</v>
      </c>
      <c r="I124" s="10" t="str">
        <f aca="false">IFERROR(INDEX(Section_Master!$G$2:$G$477,MATCH($E124,Section_Master!$A$2:$A$477,0))&amp;"","")</f>
        <v>N/A</v>
      </c>
      <c r="J124" s="10" t="s">
        <v>55</v>
      </c>
      <c r="K124" s="8" t="s">
        <v>334</v>
      </c>
    </row>
    <row r="125" customFormat="false" ht="34.5" hidden="false" customHeight="true" outlineLevel="0" collapsed="false">
      <c r="A125" s="10" t="s">
        <v>339</v>
      </c>
      <c r="B125" s="10" t="s">
        <v>45</v>
      </c>
      <c r="C125" s="8" t="s">
        <v>332</v>
      </c>
      <c r="D125" s="8" t="s">
        <v>340</v>
      </c>
      <c r="E125" s="11" t="n">
        <v>21</v>
      </c>
      <c r="F125" s="8" t="str">
        <f aca="false">IFERROR(INDEX(Section_Master!$D$2:$D$477,MATCH($E125,Section_Master!$A$2:$A$477,0))&amp;"","")</f>
        <v>Not applicable - no offence or penalty defined here (definition, exception or general provision)</v>
      </c>
      <c r="G125" s="10" t="str">
        <f aca="false">IFERROR(INDEX(Section_Master!$E$2:$E$477,MATCH($E125,Section_Master!$A$2:$A$477,0))&amp;"","")</f>
        <v>N/A</v>
      </c>
      <c r="H125" s="10" t="str">
        <f aca="false">IFERROR(INDEX(Section_Master!$F$2:$F$477,MATCH($E125,Section_Master!$A$2:$A$477,0))&amp;"","")</f>
        <v>N/A</v>
      </c>
      <c r="I125" s="10" t="str">
        <f aca="false">IFERROR(INDEX(Section_Master!$G$2:$G$477,MATCH($E125,Section_Master!$A$2:$A$477,0))&amp;"","")</f>
        <v>N/A</v>
      </c>
      <c r="J125" s="10" t="s">
        <v>58</v>
      </c>
      <c r="K125" s="8" t="s">
        <v>334</v>
      </c>
    </row>
    <row r="126" customFormat="false" ht="34.5" hidden="false" customHeight="true" outlineLevel="0" collapsed="false">
      <c r="A126" s="10" t="s">
        <v>341</v>
      </c>
      <c r="B126" s="10" t="s">
        <v>45</v>
      </c>
      <c r="C126" s="8" t="s">
        <v>332</v>
      </c>
      <c r="D126" s="8" t="s">
        <v>342</v>
      </c>
      <c r="E126" s="11" t="n">
        <v>21</v>
      </c>
      <c r="F126" s="8" t="str">
        <f aca="false">IFERROR(INDEX(Section_Master!$D$2:$D$477,MATCH($E126,Section_Master!$A$2:$A$477,0))&amp;"","")</f>
        <v>Not applicable - no offence or penalty defined here (definition, exception or general provision)</v>
      </c>
      <c r="G126" s="10" t="str">
        <f aca="false">IFERROR(INDEX(Section_Master!$E$2:$E$477,MATCH($E126,Section_Master!$A$2:$A$477,0))&amp;"","")</f>
        <v>N/A</v>
      </c>
      <c r="H126" s="10" t="str">
        <f aca="false">IFERROR(INDEX(Section_Master!$F$2:$F$477,MATCH($E126,Section_Master!$A$2:$A$477,0))&amp;"","")</f>
        <v>N/A</v>
      </c>
      <c r="I126" s="10" t="str">
        <f aca="false">IFERROR(INDEX(Section_Master!$G$2:$G$477,MATCH($E126,Section_Master!$A$2:$A$477,0))&amp;"","")</f>
        <v>N/A</v>
      </c>
      <c r="J126" s="10" t="s">
        <v>61</v>
      </c>
      <c r="K126" s="8" t="s">
        <v>334</v>
      </c>
    </row>
    <row r="127" customFormat="false" ht="34.5" hidden="false" customHeight="true" outlineLevel="0" collapsed="false">
      <c r="A127" s="10" t="s">
        <v>343</v>
      </c>
      <c r="B127" s="10" t="s">
        <v>45</v>
      </c>
      <c r="C127" s="8" t="s">
        <v>332</v>
      </c>
      <c r="D127" s="8" t="s">
        <v>344</v>
      </c>
      <c r="E127" s="11" t="n">
        <v>21</v>
      </c>
      <c r="F127" s="8" t="str">
        <f aca="false">IFERROR(INDEX(Section_Master!$D$2:$D$477,MATCH($E127,Section_Master!$A$2:$A$477,0))&amp;"","")</f>
        <v>Not applicable - no offence or penalty defined here (definition, exception or general provision)</v>
      </c>
      <c r="G127" s="10" t="str">
        <f aca="false">IFERROR(INDEX(Section_Master!$E$2:$E$477,MATCH($E127,Section_Master!$A$2:$A$477,0))&amp;"","")</f>
        <v>N/A</v>
      </c>
      <c r="H127" s="10" t="str">
        <f aca="false">IFERROR(INDEX(Section_Master!$F$2:$F$477,MATCH($E127,Section_Master!$A$2:$A$477,0))&amp;"","")</f>
        <v>N/A</v>
      </c>
      <c r="I127" s="10" t="str">
        <f aca="false">IFERROR(INDEX(Section_Master!$G$2:$G$477,MATCH($E127,Section_Master!$A$2:$A$477,0))&amp;"","")</f>
        <v>N/A</v>
      </c>
      <c r="J127" s="10" t="s">
        <v>64</v>
      </c>
      <c r="K127" s="8" t="s">
        <v>334</v>
      </c>
    </row>
    <row r="128" customFormat="false" ht="34.5" hidden="false" customHeight="true" outlineLevel="0" collapsed="false">
      <c r="A128" s="10" t="s">
        <v>345</v>
      </c>
      <c r="B128" s="10" t="s">
        <v>45</v>
      </c>
      <c r="C128" s="8" t="s">
        <v>346</v>
      </c>
      <c r="D128" s="8" t="s">
        <v>347</v>
      </c>
      <c r="E128" s="11" t="n">
        <v>22</v>
      </c>
      <c r="F128" s="8" t="str">
        <f aca="false">IFERROR(INDEX(Section_Master!$D$2:$D$477,MATCH($E128,Section_Master!$A$2:$A$477,0))&amp;"","")</f>
        <v>Not applicable - no offence or penalty defined here (definition, exception or general provision)</v>
      </c>
      <c r="G128" s="10" t="str">
        <f aca="false">IFERROR(INDEX(Section_Master!$E$2:$E$477,MATCH($E128,Section_Master!$A$2:$A$477,0))&amp;"","")</f>
        <v>N/A</v>
      </c>
      <c r="H128" s="10" t="str">
        <f aca="false">IFERROR(INDEX(Section_Master!$F$2:$F$477,MATCH($E128,Section_Master!$A$2:$A$477,0))&amp;"","")</f>
        <v>N/A</v>
      </c>
      <c r="I128" s="10" t="str">
        <f aca="false">IFERROR(INDEX(Section_Master!$G$2:$G$477,MATCH($E128,Section_Master!$A$2:$A$477,0))&amp;"","")</f>
        <v>N/A</v>
      </c>
      <c r="J128" s="10" t="s">
        <v>48</v>
      </c>
      <c r="K128" s="8" t="s">
        <v>348</v>
      </c>
    </row>
    <row r="129" customFormat="false" ht="45.75" hidden="false" customHeight="true" outlineLevel="0" collapsed="false">
      <c r="A129" s="10" t="s">
        <v>349</v>
      </c>
      <c r="B129" s="10" t="s">
        <v>45</v>
      </c>
      <c r="C129" s="8" t="s">
        <v>346</v>
      </c>
      <c r="D129" s="8" t="s">
        <v>350</v>
      </c>
      <c r="E129" s="11" t="n">
        <v>22</v>
      </c>
      <c r="F129" s="8" t="str">
        <f aca="false">IFERROR(INDEX(Section_Master!$D$2:$D$477,MATCH($E129,Section_Master!$A$2:$A$477,0))&amp;"","")</f>
        <v>Not applicable - no offence or penalty defined here (definition, exception or general provision)</v>
      </c>
      <c r="G129" s="10" t="str">
        <f aca="false">IFERROR(INDEX(Section_Master!$E$2:$E$477,MATCH($E129,Section_Master!$A$2:$A$477,0))&amp;"","")</f>
        <v>N/A</v>
      </c>
      <c r="H129" s="10" t="str">
        <f aca="false">IFERROR(INDEX(Section_Master!$F$2:$F$477,MATCH($E129,Section_Master!$A$2:$A$477,0))&amp;"","")</f>
        <v>N/A</v>
      </c>
      <c r="I129" s="10" t="str">
        <f aca="false">IFERROR(INDEX(Section_Master!$G$2:$G$477,MATCH($E129,Section_Master!$A$2:$A$477,0))&amp;"","")</f>
        <v>N/A</v>
      </c>
      <c r="J129" s="10" t="s">
        <v>52</v>
      </c>
      <c r="K129" s="8" t="s">
        <v>348</v>
      </c>
    </row>
    <row r="130" customFormat="false" ht="34.5" hidden="false" customHeight="true" outlineLevel="0" collapsed="false">
      <c r="A130" s="10" t="s">
        <v>351</v>
      </c>
      <c r="B130" s="10" t="s">
        <v>45</v>
      </c>
      <c r="C130" s="8" t="s">
        <v>346</v>
      </c>
      <c r="D130" s="8" t="s">
        <v>352</v>
      </c>
      <c r="E130" s="11" t="n">
        <v>22</v>
      </c>
      <c r="F130" s="8" t="str">
        <f aca="false">IFERROR(INDEX(Section_Master!$D$2:$D$477,MATCH($E130,Section_Master!$A$2:$A$477,0))&amp;"","")</f>
        <v>Not applicable - no offence or penalty defined here (definition, exception or general provision)</v>
      </c>
      <c r="G130" s="10" t="str">
        <f aca="false">IFERROR(INDEX(Section_Master!$E$2:$E$477,MATCH($E130,Section_Master!$A$2:$A$477,0))&amp;"","")</f>
        <v>N/A</v>
      </c>
      <c r="H130" s="10" t="str">
        <f aca="false">IFERROR(INDEX(Section_Master!$F$2:$F$477,MATCH($E130,Section_Master!$A$2:$A$477,0))&amp;"","")</f>
        <v>N/A</v>
      </c>
      <c r="I130" s="10" t="str">
        <f aca="false">IFERROR(INDEX(Section_Master!$G$2:$G$477,MATCH($E130,Section_Master!$A$2:$A$477,0))&amp;"","")</f>
        <v>N/A</v>
      </c>
      <c r="J130" s="10" t="s">
        <v>55</v>
      </c>
      <c r="K130" s="8" t="s">
        <v>348</v>
      </c>
    </row>
    <row r="131" customFormat="false" ht="34.5" hidden="false" customHeight="true" outlineLevel="0" collapsed="false">
      <c r="A131" s="10" t="s">
        <v>353</v>
      </c>
      <c r="B131" s="10" t="s">
        <v>45</v>
      </c>
      <c r="C131" s="8" t="s">
        <v>346</v>
      </c>
      <c r="D131" s="8" t="s">
        <v>354</v>
      </c>
      <c r="E131" s="11" t="n">
        <v>22</v>
      </c>
      <c r="F131" s="8" t="str">
        <f aca="false">IFERROR(INDEX(Section_Master!$D$2:$D$477,MATCH($E131,Section_Master!$A$2:$A$477,0))&amp;"","")</f>
        <v>Not applicable - no offence or penalty defined here (definition, exception or general provision)</v>
      </c>
      <c r="G131" s="10" t="str">
        <f aca="false">IFERROR(INDEX(Section_Master!$E$2:$E$477,MATCH($E131,Section_Master!$A$2:$A$477,0))&amp;"","")</f>
        <v>N/A</v>
      </c>
      <c r="H131" s="10" t="str">
        <f aca="false">IFERROR(INDEX(Section_Master!$F$2:$F$477,MATCH($E131,Section_Master!$A$2:$A$477,0))&amp;"","")</f>
        <v>N/A</v>
      </c>
      <c r="I131" s="10" t="str">
        <f aca="false">IFERROR(INDEX(Section_Master!$G$2:$G$477,MATCH($E131,Section_Master!$A$2:$A$477,0))&amp;"","")</f>
        <v>N/A</v>
      </c>
      <c r="J131" s="10" t="s">
        <v>58</v>
      </c>
      <c r="K131" s="8" t="s">
        <v>348</v>
      </c>
    </row>
    <row r="132" customFormat="false" ht="34.5" hidden="false" customHeight="true" outlineLevel="0" collapsed="false">
      <c r="A132" s="10" t="s">
        <v>355</v>
      </c>
      <c r="B132" s="10" t="s">
        <v>45</v>
      </c>
      <c r="C132" s="8" t="s">
        <v>346</v>
      </c>
      <c r="D132" s="8" t="s">
        <v>356</v>
      </c>
      <c r="E132" s="11" t="n">
        <v>22</v>
      </c>
      <c r="F132" s="8" t="str">
        <f aca="false">IFERROR(INDEX(Section_Master!$D$2:$D$477,MATCH($E132,Section_Master!$A$2:$A$477,0))&amp;"","")</f>
        <v>Not applicable - no offence or penalty defined here (definition, exception or general provision)</v>
      </c>
      <c r="G132" s="10" t="str">
        <f aca="false">IFERROR(INDEX(Section_Master!$E$2:$E$477,MATCH($E132,Section_Master!$A$2:$A$477,0))&amp;"","")</f>
        <v>N/A</v>
      </c>
      <c r="H132" s="10" t="str">
        <f aca="false">IFERROR(INDEX(Section_Master!$F$2:$F$477,MATCH($E132,Section_Master!$A$2:$A$477,0))&amp;"","")</f>
        <v>N/A</v>
      </c>
      <c r="I132" s="10" t="str">
        <f aca="false">IFERROR(INDEX(Section_Master!$G$2:$G$477,MATCH($E132,Section_Master!$A$2:$A$477,0))&amp;"","")</f>
        <v>N/A</v>
      </c>
      <c r="J132" s="10" t="s">
        <v>61</v>
      </c>
      <c r="K132" s="8" t="s">
        <v>348</v>
      </c>
    </row>
    <row r="133" customFormat="false" ht="34.5" hidden="false" customHeight="true" outlineLevel="0" collapsed="false">
      <c r="A133" s="10" t="s">
        <v>357</v>
      </c>
      <c r="B133" s="10" t="s">
        <v>45</v>
      </c>
      <c r="C133" s="8" t="s">
        <v>346</v>
      </c>
      <c r="D133" s="8" t="s">
        <v>358</v>
      </c>
      <c r="E133" s="11" t="n">
        <v>22</v>
      </c>
      <c r="F133" s="8" t="str">
        <f aca="false">IFERROR(INDEX(Section_Master!$D$2:$D$477,MATCH($E133,Section_Master!$A$2:$A$477,0))&amp;"","")</f>
        <v>Not applicable - no offence or penalty defined here (definition, exception or general provision)</v>
      </c>
      <c r="G133" s="10" t="str">
        <f aca="false">IFERROR(INDEX(Section_Master!$E$2:$E$477,MATCH($E133,Section_Master!$A$2:$A$477,0))&amp;"","")</f>
        <v>N/A</v>
      </c>
      <c r="H133" s="10" t="str">
        <f aca="false">IFERROR(INDEX(Section_Master!$F$2:$F$477,MATCH($E133,Section_Master!$A$2:$A$477,0))&amp;"","")</f>
        <v>N/A</v>
      </c>
      <c r="I133" s="10" t="str">
        <f aca="false">IFERROR(INDEX(Section_Master!$G$2:$G$477,MATCH($E133,Section_Master!$A$2:$A$477,0))&amp;"","")</f>
        <v>N/A</v>
      </c>
      <c r="J133" s="10" t="s">
        <v>64</v>
      </c>
      <c r="K133" s="8" t="s">
        <v>348</v>
      </c>
    </row>
    <row r="134" customFormat="false" ht="34.5" hidden="false" customHeight="true" outlineLevel="0" collapsed="false">
      <c r="A134" s="10" t="s">
        <v>359</v>
      </c>
      <c r="B134" s="10" t="s">
        <v>45</v>
      </c>
      <c r="C134" s="8" t="s">
        <v>360</v>
      </c>
      <c r="D134" s="8" t="s">
        <v>361</v>
      </c>
      <c r="E134" s="11" t="n">
        <v>23</v>
      </c>
      <c r="F134" s="8" t="str">
        <f aca="false">IFERROR(INDEX(Section_Master!$D$2:$D$477,MATCH($E134,Section_Master!$A$2:$A$477,0))&amp;"","")</f>
        <v>Not applicable - no offence or penalty defined here (definition, exception or general provision)</v>
      </c>
      <c r="G134" s="10" t="str">
        <f aca="false">IFERROR(INDEX(Section_Master!$E$2:$E$477,MATCH($E134,Section_Master!$A$2:$A$477,0))&amp;"","")</f>
        <v>N/A</v>
      </c>
      <c r="H134" s="10" t="str">
        <f aca="false">IFERROR(INDEX(Section_Master!$F$2:$F$477,MATCH($E134,Section_Master!$A$2:$A$477,0))&amp;"","")</f>
        <v>N/A</v>
      </c>
      <c r="I134" s="10" t="str">
        <f aca="false">IFERROR(INDEX(Section_Master!$G$2:$G$477,MATCH($E134,Section_Master!$A$2:$A$477,0))&amp;"","")</f>
        <v>N/A</v>
      </c>
      <c r="J134" s="10" t="s">
        <v>48</v>
      </c>
      <c r="K134" s="8" t="s">
        <v>362</v>
      </c>
    </row>
    <row r="135" customFormat="false" ht="34.5" hidden="false" customHeight="true" outlineLevel="0" collapsed="false">
      <c r="A135" s="10" t="s">
        <v>363</v>
      </c>
      <c r="B135" s="10" t="s">
        <v>45</v>
      </c>
      <c r="C135" s="8" t="s">
        <v>360</v>
      </c>
      <c r="D135" s="8" t="s">
        <v>364</v>
      </c>
      <c r="E135" s="11" t="n">
        <v>23</v>
      </c>
      <c r="F135" s="8" t="str">
        <f aca="false">IFERROR(INDEX(Section_Master!$D$2:$D$477,MATCH($E135,Section_Master!$A$2:$A$477,0))&amp;"","")</f>
        <v>Not applicable - no offence or penalty defined here (definition, exception or general provision)</v>
      </c>
      <c r="G135" s="10" t="str">
        <f aca="false">IFERROR(INDEX(Section_Master!$E$2:$E$477,MATCH($E135,Section_Master!$A$2:$A$477,0))&amp;"","")</f>
        <v>N/A</v>
      </c>
      <c r="H135" s="10" t="str">
        <f aca="false">IFERROR(INDEX(Section_Master!$F$2:$F$477,MATCH($E135,Section_Master!$A$2:$A$477,0))&amp;"","")</f>
        <v>N/A</v>
      </c>
      <c r="I135" s="10" t="str">
        <f aca="false">IFERROR(INDEX(Section_Master!$G$2:$G$477,MATCH($E135,Section_Master!$A$2:$A$477,0))&amp;"","")</f>
        <v>N/A</v>
      </c>
      <c r="J135" s="10" t="s">
        <v>52</v>
      </c>
      <c r="K135" s="8" t="s">
        <v>362</v>
      </c>
    </row>
    <row r="136" customFormat="false" ht="34.5" hidden="false" customHeight="true" outlineLevel="0" collapsed="false">
      <c r="A136" s="10" t="s">
        <v>365</v>
      </c>
      <c r="B136" s="10" t="s">
        <v>45</v>
      </c>
      <c r="C136" s="8" t="s">
        <v>360</v>
      </c>
      <c r="D136" s="8" t="s">
        <v>366</v>
      </c>
      <c r="E136" s="11" t="n">
        <v>23</v>
      </c>
      <c r="F136" s="8" t="str">
        <f aca="false">IFERROR(INDEX(Section_Master!$D$2:$D$477,MATCH($E136,Section_Master!$A$2:$A$477,0))&amp;"","")</f>
        <v>Not applicable - no offence or penalty defined here (definition, exception or general provision)</v>
      </c>
      <c r="G136" s="10" t="str">
        <f aca="false">IFERROR(INDEX(Section_Master!$E$2:$E$477,MATCH($E136,Section_Master!$A$2:$A$477,0))&amp;"","")</f>
        <v>N/A</v>
      </c>
      <c r="H136" s="10" t="str">
        <f aca="false">IFERROR(INDEX(Section_Master!$F$2:$F$477,MATCH($E136,Section_Master!$A$2:$A$477,0))&amp;"","")</f>
        <v>N/A</v>
      </c>
      <c r="I136" s="10" t="str">
        <f aca="false">IFERROR(INDEX(Section_Master!$G$2:$G$477,MATCH($E136,Section_Master!$A$2:$A$477,0))&amp;"","")</f>
        <v>N/A</v>
      </c>
      <c r="J136" s="10" t="s">
        <v>55</v>
      </c>
      <c r="K136" s="8" t="s">
        <v>362</v>
      </c>
    </row>
    <row r="137" customFormat="false" ht="34.5" hidden="false" customHeight="true" outlineLevel="0" collapsed="false">
      <c r="A137" s="10" t="s">
        <v>367</v>
      </c>
      <c r="B137" s="10" t="s">
        <v>45</v>
      </c>
      <c r="C137" s="8" t="s">
        <v>360</v>
      </c>
      <c r="D137" s="8" t="s">
        <v>368</v>
      </c>
      <c r="E137" s="11" t="n">
        <v>23</v>
      </c>
      <c r="F137" s="8" t="str">
        <f aca="false">IFERROR(INDEX(Section_Master!$D$2:$D$477,MATCH($E137,Section_Master!$A$2:$A$477,0))&amp;"","")</f>
        <v>Not applicable - no offence or penalty defined here (definition, exception or general provision)</v>
      </c>
      <c r="G137" s="10" t="str">
        <f aca="false">IFERROR(INDEX(Section_Master!$E$2:$E$477,MATCH($E137,Section_Master!$A$2:$A$477,0))&amp;"","")</f>
        <v>N/A</v>
      </c>
      <c r="H137" s="10" t="str">
        <f aca="false">IFERROR(INDEX(Section_Master!$F$2:$F$477,MATCH($E137,Section_Master!$A$2:$A$477,0))&amp;"","")</f>
        <v>N/A</v>
      </c>
      <c r="I137" s="10" t="str">
        <f aca="false">IFERROR(INDEX(Section_Master!$G$2:$G$477,MATCH($E137,Section_Master!$A$2:$A$477,0))&amp;"","")</f>
        <v>N/A</v>
      </c>
      <c r="J137" s="10" t="s">
        <v>58</v>
      </c>
      <c r="K137" s="8" t="s">
        <v>362</v>
      </c>
    </row>
    <row r="138" customFormat="false" ht="34.5" hidden="false" customHeight="true" outlineLevel="0" collapsed="false">
      <c r="A138" s="10" t="s">
        <v>369</v>
      </c>
      <c r="B138" s="10" t="s">
        <v>45</v>
      </c>
      <c r="C138" s="8" t="s">
        <v>360</v>
      </c>
      <c r="D138" s="8" t="s">
        <v>370</v>
      </c>
      <c r="E138" s="11" t="n">
        <v>23</v>
      </c>
      <c r="F138" s="8" t="str">
        <f aca="false">IFERROR(INDEX(Section_Master!$D$2:$D$477,MATCH($E138,Section_Master!$A$2:$A$477,0))&amp;"","")</f>
        <v>Not applicable - no offence or penalty defined here (definition, exception or general provision)</v>
      </c>
      <c r="G138" s="10" t="str">
        <f aca="false">IFERROR(INDEX(Section_Master!$E$2:$E$477,MATCH($E138,Section_Master!$A$2:$A$477,0))&amp;"","")</f>
        <v>N/A</v>
      </c>
      <c r="H138" s="10" t="str">
        <f aca="false">IFERROR(INDEX(Section_Master!$F$2:$F$477,MATCH($E138,Section_Master!$A$2:$A$477,0))&amp;"","")</f>
        <v>N/A</v>
      </c>
      <c r="I138" s="10" t="str">
        <f aca="false">IFERROR(INDEX(Section_Master!$G$2:$G$477,MATCH($E138,Section_Master!$A$2:$A$477,0))&amp;"","")</f>
        <v>N/A</v>
      </c>
      <c r="J138" s="10" t="s">
        <v>61</v>
      </c>
      <c r="K138" s="8" t="s">
        <v>362</v>
      </c>
    </row>
    <row r="139" customFormat="false" ht="34.5" hidden="false" customHeight="true" outlineLevel="0" collapsed="false">
      <c r="A139" s="10" t="s">
        <v>371</v>
      </c>
      <c r="B139" s="10" t="s">
        <v>45</v>
      </c>
      <c r="C139" s="8" t="s">
        <v>360</v>
      </c>
      <c r="D139" s="8" t="s">
        <v>372</v>
      </c>
      <c r="E139" s="11" t="n">
        <v>23</v>
      </c>
      <c r="F139" s="8" t="str">
        <f aca="false">IFERROR(INDEX(Section_Master!$D$2:$D$477,MATCH($E139,Section_Master!$A$2:$A$477,0))&amp;"","")</f>
        <v>Not applicable - no offence or penalty defined here (definition, exception or general provision)</v>
      </c>
      <c r="G139" s="10" t="str">
        <f aca="false">IFERROR(INDEX(Section_Master!$E$2:$E$477,MATCH($E139,Section_Master!$A$2:$A$477,0))&amp;"","")</f>
        <v>N/A</v>
      </c>
      <c r="H139" s="10" t="str">
        <f aca="false">IFERROR(INDEX(Section_Master!$F$2:$F$477,MATCH($E139,Section_Master!$A$2:$A$477,0))&amp;"","")</f>
        <v>N/A</v>
      </c>
      <c r="I139" s="10" t="str">
        <f aca="false">IFERROR(INDEX(Section_Master!$G$2:$G$477,MATCH($E139,Section_Master!$A$2:$A$477,0))&amp;"","")</f>
        <v>N/A</v>
      </c>
      <c r="J139" s="10" t="s">
        <v>64</v>
      </c>
      <c r="K139" s="8" t="s">
        <v>362</v>
      </c>
    </row>
    <row r="140" customFormat="false" ht="34.5" hidden="false" customHeight="true" outlineLevel="0" collapsed="false">
      <c r="A140" s="10" t="s">
        <v>373</v>
      </c>
      <c r="B140" s="10" t="s">
        <v>45</v>
      </c>
      <c r="C140" s="8" t="s">
        <v>374</v>
      </c>
      <c r="D140" s="8" t="s">
        <v>375</v>
      </c>
      <c r="E140" s="11" t="n">
        <v>24</v>
      </c>
      <c r="F140" s="8" t="str">
        <f aca="false">IFERROR(INDEX(Section_Master!$D$2:$D$477,MATCH($E140,Section_Master!$A$2:$A$477,0))&amp;"","")</f>
        <v>Not applicable - no offence or penalty defined here (definition, exception or general provision)</v>
      </c>
      <c r="G140" s="10" t="str">
        <f aca="false">IFERROR(INDEX(Section_Master!$E$2:$E$477,MATCH($E140,Section_Master!$A$2:$A$477,0))&amp;"","")</f>
        <v>N/A</v>
      </c>
      <c r="H140" s="10" t="str">
        <f aca="false">IFERROR(INDEX(Section_Master!$F$2:$F$477,MATCH($E140,Section_Master!$A$2:$A$477,0))&amp;"","")</f>
        <v>N/A</v>
      </c>
      <c r="I140" s="10" t="str">
        <f aca="false">IFERROR(INDEX(Section_Master!$G$2:$G$477,MATCH($E140,Section_Master!$A$2:$A$477,0))&amp;"","")</f>
        <v>N/A</v>
      </c>
      <c r="J140" s="10" t="s">
        <v>48</v>
      </c>
      <c r="K140" s="8" t="s">
        <v>376</v>
      </c>
    </row>
    <row r="141" customFormat="false" ht="45.75" hidden="false" customHeight="true" outlineLevel="0" collapsed="false">
      <c r="A141" s="10" t="s">
        <v>377</v>
      </c>
      <c r="B141" s="10" t="s">
        <v>45</v>
      </c>
      <c r="C141" s="8" t="s">
        <v>374</v>
      </c>
      <c r="D141" s="8" t="s">
        <v>378</v>
      </c>
      <c r="E141" s="11" t="n">
        <v>24</v>
      </c>
      <c r="F141" s="8" t="str">
        <f aca="false">IFERROR(INDEX(Section_Master!$D$2:$D$477,MATCH($E141,Section_Master!$A$2:$A$477,0))&amp;"","")</f>
        <v>Not applicable - no offence or penalty defined here (definition, exception or general provision)</v>
      </c>
      <c r="G141" s="10" t="str">
        <f aca="false">IFERROR(INDEX(Section_Master!$E$2:$E$477,MATCH($E141,Section_Master!$A$2:$A$477,0))&amp;"","")</f>
        <v>N/A</v>
      </c>
      <c r="H141" s="10" t="str">
        <f aca="false">IFERROR(INDEX(Section_Master!$F$2:$F$477,MATCH($E141,Section_Master!$A$2:$A$477,0))&amp;"","")</f>
        <v>N/A</v>
      </c>
      <c r="I141" s="10" t="str">
        <f aca="false">IFERROR(INDEX(Section_Master!$G$2:$G$477,MATCH($E141,Section_Master!$A$2:$A$477,0))&amp;"","")</f>
        <v>N/A</v>
      </c>
      <c r="J141" s="10" t="s">
        <v>52</v>
      </c>
      <c r="K141" s="8" t="s">
        <v>376</v>
      </c>
    </row>
    <row r="142" customFormat="false" ht="34.5" hidden="false" customHeight="true" outlineLevel="0" collapsed="false">
      <c r="A142" s="10" t="s">
        <v>379</v>
      </c>
      <c r="B142" s="10" t="s">
        <v>45</v>
      </c>
      <c r="C142" s="8" t="s">
        <v>374</v>
      </c>
      <c r="D142" s="8" t="s">
        <v>380</v>
      </c>
      <c r="E142" s="11" t="n">
        <v>24</v>
      </c>
      <c r="F142" s="8" t="str">
        <f aca="false">IFERROR(INDEX(Section_Master!$D$2:$D$477,MATCH($E142,Section_Master!$A$2:$A$477,0))&amp;"","")</f>
        <v>Not applicable - no offence or penalty defined here (definition, exception or general provision)</v>
      </c>
      <c r="G142" s="10" t="str">
        <f aca="false">IFERROR(INDEX(Section_Master!$E$2:$E$477,MATCH($E142,Section_Master!$A$2:$A$477,0))&amp;"","")</f>
        <v>N/A</v>
      </c>
      <c r="H142" s="10" t="str">
        <f aca="false">IFERROR(INDEX(Section_Master!$F$2:$F$477,MATCH($E142,Section_Master!$A$2:$A$477,0))&amp;"","")</f>
        <v>N/A</v>
      </c>
      <c r="I142" s="10" t="str">
        <f aca="false">IFERROR(INDEX(Section_Master!$G$2:$G$477,MATCH($E142,Section_Master!$A$2:$A$477,0))&amp;"","")</f>
        <v>N/A</v>
      </c>
      <c r="J142" s="10" t="s">
        <v>55</v>
      </c>
      <c r="K142" s="8" t="s">
        <v>376</v>
      </c>
    </row>
    <row r="143" customFormat="false" ht="34.5" hidden="false" customHeight="true" outlineLevel="0" collapsed="false">
      <c r="A143" s="10" t="s">
        <v>381</v>
      </c>
      <c r="B143" s="10" t="s">
        <v>45</v>
      </c>
      <c r="C143" s="8" t="s">
        <v>374</v>
      </c>
      <c r="D143" s="8" t="s">
        <v>382</v>
      </c>
      <c r="E143" s="11" t="n">
        <v>24</v>
      </c>
      <c r="F143" s="8" t="str">
        <f aca="false">IFERROR(INDEX(Section_Master!$D$2:$D$477,MATCH($E143,Section_Master!$A$2:$A$477,0))&amp;"","")</f>
        <v>Not applicable - no offence or penalty defined here (definition, exception or general provision)</v>
      </c>
      <c r="G143" s="10" t="str">
        <f aca="false">IFERROR(INDEX(Section_Master!$E$2:$E$477,MATCH($E143,Section_Master!$A$2:$A$477,0))&amp;"","")</f>
        <v>N/A</v>
      </c>
      <c r="H143" s="10" t="str">
        <f aca="false">IFERROR(INDEX(Section_Master!$F$2:$F$477,MATCH($E143,Section_Master!$A$2:$A$477,0))&amp;"","")</f>
        <v>N/A</v>
      </c>
      <c r="I143" s="10" t="str">
        <f aca="false">IFERROR(INDEX(Section_Master!$G$2:$G$477,MATCH($E143,Section_Master!$A$2:$A$477,0))&amp;"","")</f>
        <v>N/A</v>
      </c>
      <c r="J143" s="10" t="s">
        <v>58</v>
      </c>
      <c r="K143" s="8" t="s">
        <v>376</v>
      </c>
    </row>
    <row r="144" customFormat="false" ht="45.75" hidden="false" customHeight="true" outlineLevel="0" collapsed="false">
      <c r="A144" s="10" t="s">
        <v>383</v>
      </c>
      <c r="B144" s="10" t="s">
        <v>45</v>
      </c>
      <c r="C144" s="8" t="s">
        <v>374</v>
      </c>
      <c r="D144" s="8" t="s">
        <v>384</v>
      </c>
      <c r="E144" s="11" t="n">
        <v>24</v>
      </c>
      <c r="F144" s="8" t="str">
        <f aca="false">IFERROR(INDEX(Section_Master!$D$2:$D$477,MATCH($E144,Section_Master!$A$2:$A$477,0))&amp;"","")</f>
        <v>Not applicable - no offence or penalty defined here (definition, exception or general provision)</v>
      </c>
      <c r="G144" s="10" t="str">
        <f aca="false">IFERROR(INDEX(Section_Master!$E$2:$E$477,MATCH($E144,Section_Master!$A$2:$A$477,0))&amp;"","")</f>
        <v>N/A</v>
      </c>
      <c r="H144" s="10" t="str">
        <f aca="false">IFERROR(INDEX(Section_Master!$F$2:$F$477,MATCH($E144,Section_Master!$A$2:$A$477,0))&amp;"","")</f>
        <v>N/A</v>
      </c>
      <c r="I144" s="10" t="str">
        <f aca="false">IFERROR(INDEX(Section_Master!$G$2:$G$477,MATCH($E144,Section_Master!$A$2:$A$477,0))&amp;"","")</f>
        <v>N/A</v>
      </c>
      <c r="J144" s="10" t="s">
        <v>61</v>
      </c>
      <c r="K144" s="8" t="s">
        <v>376</v>
      </c>
    </row>
    <row r="145" customFormat="false" ht="34.5" hidden="false" customHeight="true" outlineLevel="0" collapsed="false">
      <c r="A145" s="10" t="s">
        <v>385</v>
      </c>
      <c r="B145" s="10" t="s">
        <v>45</v>
      </c>
      <c r="C145" s="8" t="s">
        <v>374</v>
      </c>
      <c r="D145" s="8" t="s">
        <v>386</v>
      </c>
      <c r="E145" s="11" t="n">
        <v>24</v>
      </c>
      <c r="F145" s="8" t="str">
        <f aca="false">IFERROR(INDEX(Section_Master!$D$2:$D$477,MATCH($E145,Section_Master!$A$2:$A$477,0))&amp;"","")</f>
        <v>Not applicable - no offence or penalty defined here (definition, exception or general provision)</v>
      </c>
      <c r="G145" s="10" t="str">
        <f aca="false">IFERROR(INDEX(Section_Master!$E$2:$E$477,MATCH($E145,Section_Master!$A$2:$A$477,0))&amp;"","")</f>
        <v>N/A</v>
      </c>
      <c r="H145" s="10" t="str">
        <f aca="false">IFERROR(INDEX(Section_Master!$F$2:$F$477,MATCH($E145,Section_Master!$A$2:$A$477,0))&amp;"","")</f>
        <v>N/A</v>
      </c>
      <c r="I145" s="10" t="str">
        <f aca="false">IFERROR(INDEX(Section_Master!$G$2:$G$477,MATCH($E145,Section_Master!$A$2:$A$477,0))&amp;"","")</f>
        <v>N/A</v>
      </c>
      <c r="J145" s="10" t="s">
        <v>64</v>
      </c>
      <c r="K145" s="8" t="s">
        <v>376</v>
      </c>
    </row>
    <row r="146" customFormat="false" ht="34.5" hidden="false" customHeight="true" outlineLevel="0" collapsed="false">
      <c r="A146" s="10" t="s">
        <v>387</v>
      </c>
      <c r="B146" s="10" t="s">
        <v>45</v>
      </c>
      <c r="C146" s="8" t="s">
        <v>388</v>
      </c>
      <c r="D146" s="8" t="s">
        <v>389</v>
      </c>
      <c r="E146" s="11" t="n">
        <v>25</v>
      </c>
      <c r="F146" s="8" t="str">
        <f aca="false">IFERROR(INDEX(Section_Master!$D$2:$D$477,MATCH($E146,Section_Master!$A$2:$A$477,0))&amp;"","")</f>
        <v>Not applicable - no offence or penalty defined here (definition, exception or general provision)</v>
      </c>
      <c r="G146" s="10" t="str">
        <f aca="false">IFERROR(INDEX(Section_Master!$E$2:$E$477,MATCH($E146,Section_Master!$A$2:$A$477,0))&amp;"","")</f>
        <v>N/A</v>
      </c>
      <c r="H146" s="10" t="str">
        <f aca="false">IFERROR(INDEX(Section_Master!$F$2:$F$477,MATCH($E146,Section_Master!$A$2:$A$477,0))&amp;"","")</f>
        <v>N/A</v>
      </c>
      <c r="I146" s="10" t="str">
        <f aca="false">IFERROR(INDEX(Section_Master!$G$2:$G$477,MATCH($E146,Section_Master!$A$2:$A$477,0))&amp;"","")</f>
        <v>N/A</v>
      </c>
      <c r="J146" s="10" t="s">
        <v>48</v>
      </c>
      <c r="K146" s="8" t="s">
        <v>390</v>
      </c>
    </row>
    <row r="147" customFormat="false" ht="45.75" hidden="false" customHeight="true" outlineLevel="0" collapsed="false">
      <c r="A147" s="10" t="s">
        <v>391</v>
      </c>
      <c r="B147" s="10" t="s">
        <v>45</v>
      </c>
      <c r="C147" s="8" t="s">
        <v>388</v>
      </c>
      <c r="D147" s="8" t="s">
        <v>392</v>
      </c>
      <c r="E147" s="11" t="n">
        <v>25</v>
      </c>
      <c r="F147" s="8" t="str">
        <f aca="false">IFERROR(INDEX(Section_Master!$D$2:$D$477,MATCH($E147,Section_Master!$A$2:$A$477,0))&amp;"","")</f>
        <v>Not applicable - no offence or penalty defined here (definition, exception or general provision)</v>
      </c>
      <c r="G147" s="10" t="str">
        <f aca="false">IFERROR(INDEX(Section_Master!$E$2:$E$477,MATCH($E147,Section_Master!$A$2:$A$477,0))&amp;"","")</f>
        <v>N/A</v>
      </c>
      <c r="H147" s="10" t="str">
        <f aca="false">IFERROR(INDEX(Section_Master!$F$2:$F$477,MATCH($E147,Section_Master!$A$2:$A$477,0))&amp;"","")</f>
        <v>N/A</v>
      </c>
      <c r="I147" s="10" t="str">
        <f aca="false">IFERROR(INDEX(Section_Master!$G$2:$G$477,MATCH($E147,Section_Master!$A$2:$A$477,0))&amp;"","")</f>
        <v>N/A</v>
      </c>
      <c r="J147" s="10" t="s">
        <v>52</v>
      </c>
      <c r="K147" s="8" t="s">
        <v>390</v>
      </c>
    </row>
    <row r="148" customFormat="false" ht="34.5" hidden="false" customHeight="true" outlineLevel="0" collapsed="false">
      <c r="A148" s="10" t="s">
        <v>393</v>
      </c>
      <c r="B148" s="10" t="s">
        <v>45</v>
      </c>
      <c r="C148" s="8" t="s">
        <v>388</v>
      </c>
      <c r="D148" s="8" t="s">
        <v>394</v>
      </c>
      <c r="E148" s="11" t="n">
        <v>25</v>
      </c>
      <c r="F148" s="8" t="str">
        <f aca="false">IFERROR(INDEX(Section_Master!$D$2:$D$477,MATCH($E148,Section_Master!$A$2:$A$477,0))&amp;"","")</f>
        <v>Not applicable - no offence or penalty defined here (definition, exception or general provision)</v>
      </c>
      <c r="G148" s="10" t="str">
        <f aca="false">IFERROR(INDEX(Section_Master!$E$2:$E$477,MATCH($E148,Section_Master!$A$2:$A$477,0))&amp;"","")</f>
        <v>N/A</v>
      </c>
      <c r="H148" s="10" t="str">
        <f aca="false">IFERROR(INDEX(Section_Master!$F$2:$F$477,MATCH($E148,Section_Master!$A$2:$A$477,0))&amp;"","")</f>
        <v>N/A</v>
      </c>
      <c r="I148" s="10" t="str">
        <f aca="false">IFERROR(INDEX(Section_Master!$G$2:$G$477,MATCH($E148,Section_Master!$A$2:$A$477,0))&amp;"","")</f>
        <v>N/A</v>
      </c>
      <c r="J148" s="10" t="s">
        <v>55</v>
      </c>
      <c r="K148" s="8" t="s">
        <v>390</v>
      </c>
    </row>
    <row r="149" customFormat="false" ht="34.5" hidden="false" customHeight="true" outlineLevel="0" collapsed="false">
      <c r="A149" s="10" t="s">
        <v>395</v>
      </c>
      <c r="B149" s="10" t="s">
        <v>45</v>
      </c>
      <c r="C149" s="8" t="s">
        <v>388</v>
      </c>
      <c r="D149" s="8" t="s">
        <v>396</v>
      </c>
      <c r="E149" s="11" t="n">
        <v>25</v>
      </c>
      <c r="F149" s="8" t="str">
        <f aca="false">IFERROR(INDEX(Section_Master!$D$2:$D$477,MATCH($E149,Section_Master!$A$2:$A$477,0))&amp;"","")</f>
        <v>Not applicable - no offence or penalty defined here (definition, exception or general provision)</v>
      </c>
      <c r="G149" s="10" t="str">
        <f aca="false">IFERROR(INDEX(Section_Master!$E$2:$E$477,MATCH($E149,Section_Master!$A$2:$A$477,0))&amp;"","")</f>
        <v>N/A</v>
      </c>
      <c r="H149" s="10" t="str">
        <f aca="false">IFERROR(INDEX(Section_Master!$F$2:$F$477,MATCH($E149,Section_Master!$A$2:$A$477,0))&amp;"","")</f>
        <v>N/A</v>
      </c>
      <c r="I149" s="10" t="str">
        <f aca="false">IFERROR(INDEX(Section_Master!$G$2:$G$477,MATCH($E149,Section_Master!$A$2:$A$477,0))&amp;"","")</f>
        <v>N/A</v>
      </c>
      <c r="J149" s="10" t="s">
        <v>58</v>
      </c>
      <c r="K149" s="8" t="s">
        <v>390</v>
      </c>
    </row>
    <row r="150" customFormat="false" ht="34.5" hidden="false" customHeight="true" outlineLevel="0" collapsed="false">
      <c r="A150" s="10" t="s">
        <v>397</v>
      </c>
      <c r="B150" s="10" t="s">
        <v>45</v>
      </c>
      <c r="C150" s="8" t="s">
        <v>388</v>
      </c>
      <c r="D150" s="8" t="s">
        <v>398</v>
      </c>
      <c r="E150" s="11" t="n">
        <v>25</v>
      </c>
      <c r="F150" s="8" t="str">
        <f aca="false">IFERROR(INDEX(Section_Master!$D$2:$D$477,MATCH($E150,Section_Master!$A$2:$A$477,0))&amp;"","")</f>
        <v>Not applicable - no offence or penalty defined here (definition, exception or general provision)</v>
      </c>
      <c r="G150" s="10" t="str">
        <f aca="false">IFERROR(INDEX(Section_Master!$E$2:$E$477,MATCH($E150,Section_Master!$A$2:$A$477,0))&amp;"","")</f>
        <v>N/A</v>
      </c>
      <c r="H150" s="10" t="str">
        <f aca="false">IFERROR(INDEX(Section_Master!$F$2:$F$477,MATCH($E150,Section_Master!$A$2:$A$477,0))&amp;"","")</f>
        <v>N/A</v>
      </c>
      <c r="I150" s="10" t="str">
        <f aca="false">IFERROR(INDEX(Section_Master!$G$2:$G$477,MATCH($E150,Section_Master!$A$2:$A$477,0))&amp;"","")</f>
        <v>N/A</v>
      </c>
      <c r="J150" s="10" t="s">
        <v>61</v>
      </c>
      <c r="K150" s="8" t="s">
        <v>390</v>
      </c>
    </row>
    <row r="151" customFormat="false" ht="34.5" hidden="false" customHeight="true" outlineLevel="0" collapsed="false">
      <c r="A151" s="10" t="s">
        <v>399</v>
      </c>
      <c r="B151" s="10" t="s">
        <v>45</v>
      </c>
      <c r="C151" s="8" t="s">
        <v>388</v>
      </c>
      <c r="D151" s="8" t="s">
        <v>400</v>
      </c>
      <c r="E151" s="11" t="n">
        <v>25</v>
      </c>
      <c r="F151" s="8" t="str">
        <f aca="false">IFERROR(INDEX(Section_Master!$D$2:$D$477,MATCH($E151,Section_Master!$A$2:$A$477,0))&amp;"","")</f>
        <v>Not applicable - no offence or penalty defined here (definition, exception or general provision)</v>
      </c>
      <c r="G151" s="10" t="str">
        <f aca="false">IFERROR(INDEX(Section_Master!$E$2:$E$477,MATCH($E151,Section_Master!$A$2:$A$477,0))&amp;"","")</f>
        <v>N/A</v>
      </c>
      <c r="H151" s="10" t="str">
        <f aca="false">IFERROR(INDEX(Section_Master!$F$2:$F$477,MATCH($E151,Section_Master!$A$2:$A$477,0))&amp;"","")</f>
        <v>N/A</v>
      </c>
      <c r="I151" s="10" t="str">
        <f aca="false">IFERROR(INDEX(Section_Master!$G$2:$G$477,MATCH($E151,Section_Master!$A$2:$A$477,0))&amp;"","")</f>
        <v>N/A</v>
      </c>
      <c r="J151" s="10" t="s">
        <v>64</v>
      </c>
      <c r="K151" s="8" t="s">
        <v>390</v>
      </c>
    </row>
    <row r="152" customFormat="false" ht="34.5" hidden="false" customHeight="true" outlineLevel="0" collapsed="false">
      <c r="A152" s="10" t="s">
        <v>401</v>
      </c>
      <c r="B152" s="10" t="s">
        <v>45</v>
      </c>
      <c r="C152" s="8" t="s">
        <v>402</v>
      </c>
      <c r="D152" s="8" t="s">
        <v>403</v>
      </c>
      <c r="E152" s="11" t="n">
        <v>26</v>
      </c>
      <c r="F152" s="8" t="str">
        <f aca="false">IFERROR(INDEX(Section_Master!$D$2:$D$477,MATCH($E152,Section_Master!$A$2:$A$477,0))&amp;"","")</f>
        <v>Not applicable - no offence or penalty defined here (definition, exception or general provision)</v>
      </c>
      <c r="G152" s="10" t="str">
        <f aca="false">IFERROR(INDEX(Section_Master!$E$2:$E$477,MATCH($E152,Section_Master!$A$2:$A$477,0))&amp;"","")</f>
        <v>N/A</v>
      </c>
      <c r="H152" s="10" t="str">
        <f aca="false">IFERROR(INDEX(Section_Master!$F$2:$F$477,MATCH($E152,Section_Master!$A$2:$A$477,0))&amp;"","")</f>
        <v>N/A</v>
      </c>
      <c r="I152" s="10" t="str">
        <f aca="false">IFERROR(INDEX(Section_Master!$G$2:$G$477,MATCH($E152,Section_Master!$A$2:$A$477,0))&amp;"","")</f>
        <v>N/A</v>
      </c>
      <c r="J152" s="10" t="s">
        <v>48</v>
      </c>
      <c r="K152" s="8" t="s">
        <v>404</v>
      </c>
    </row>
    <row r="153" customFormat="false" ht="34.5" hidden="false" customHeight="true" outlineLevel="0" collapsed="false">
      <c r="A153" s="10" t="s">
        <v>405</v>
      </c>
      <c r="B153" s="10" t="s">
        <v>45</v>
      </c>
      <c r="C153" s="8" t="s">
        <v>402</v>
      </c>
      <c r="D153" s="8" t="s">
        <v>406</v>
      </c>
      <c r="E153" s="11" t="n">
        <v>26</v>
      </c>
      <c r="F153" s="8" t="str">
        <f aca="false">IFERROR(INDEX(Section_Master!$D$2:$D$477,MATCH($E153,Section_Master!$A$2:$A$477,0))&amp;"","")</f>
        <v>Not applicable - no offence or penalty defined here (definition, exception or general provision)</v>
      </c>
      <c r="G153" s="10" t="str">
        <f aca="false">IFERROR(INDEX(Section_Master!$E$2:$E$477,MATCH($E153,Section_Master!$A$2:$A$477,0))&amp;"","")</f>
        <v>N/A</v>
      </c>
      <c r="H153" s="10" t="str">
        <f aca="false">IFERROR(INDEX(Section_Master!$F$2:$F$477,MATCH($E153,Section_Master!$A$2:$A$477,0))&amp;"","")</f>
        <v>N/A</v>
      </c>
      <c r="I153" s="10" t="str">
        <f aca="false">IFERROR(INDEX(Section_Master!$G$2:$G$477,MATCH($E153,Section_Master!$A$2:$A$477,0))&amp;"","")</f>
        <v>N/A</v>
      </c>
      <c r="J153" s="10" t="s">
        <v>52</v>
      </c>
      <c r="K153" s="8" t="s">
        <v>404</v>
      </c>
    </row>
    <row r="154" customFormat="false" ht="34.5" hidden="false" customHeight="true" outlineLevel="0" collapsed="false">
      <c r="A154" s="10" t="s">
        <v>407</v>
      </c>
      <c r="B154" s="10" t="s">
        <v>45</v>
      </c>
      <c r="C154" s="8" t="s">
        <v>402</v>
      </c>
      <c r="D154" s="8" t="s">
        <v>408</v>
      </c>
      <c r="E154" s="11" t="n">
        <v>26</v>
      </c>
      <c r="F154" s="8" t="str">
        <f aca="false">IFERROR(INDEX(Section_Master!$D$2:$D$477,MATCH($E154,Section_Master!$A$2:$A$477,0))&amp;"","")</f>
        <v>Not applicable - no offence or penalty defined here (definition, exception or general provision)</v>
      </c>
      <c r="G154" s="10" t="str">
        <f aca="false">IFERROR(INDEX(Section_Master!$E$2:$E$477,MATCH($E154,Section_Master!$A$2:$A$477,0))&amp;"","")</f>
        <v>N/A</v>
      </c>
      <c r="H154" s="10" t="str">
        <f aca="false">IFERROR(INDEX(Section_Master!$F$2:$F$477,MATCH($E154,Section_Master!$A$2:$A$477,0))&amp;"","")</f>
        <v>N/A</v>
      </c>
      <c r="I154" s="10" t="str">
        <f aca="false">IFERROR(INDEX(Section_Master!$G$2:$G$477,MATCH($E154,Section_Master!$A$2:$A$477,0))&amp;"","")</f>
        <v>N/A</v>
      </c>
      <c r="J154" s="10" t="s">
        <v>55</v>
      </c>
      <c r="K154" s="8" t="s">
        <v>404</v>
      </c>
    </row>
    <row r="155" customFormat="false" ht="34.5" hidden="false" customHeight="true" outlineLevel="0" collapsed="false">
      <c r="A155" s="10" t="s">
        <v>409</v>
      </c>
      <c r="B155" s="10" t="s">
        <v>45</v>
      </c>
      <c r="C155" s="8" t="s">
        <v>402</v>
      </c>
      <c r="D155" s="8" t="s">
        <v>410</v>
      </c>
      <c r="E155" s="11" t="n">
        <v>26</v>
      </c>
      <c r="F155" s="8" t="str">
        <f aca="false">IFERROR(INDEX(Section_Master!$D$2:$D$477,MATCH($E155,Section_Master!$A$2:$A$477,0))&amp;"","")</f>
        <v>Not applicable - no offence or penalty defined here (definition, exception or general provision)</v>
      </c>
      <c r="G155" s="10" t="str">
        <f aca="false">IFERROR(INDEX(Section_Master!$E$2:$E$477,MATCH($E155,Section_Master!$A$2:$A$477,0))&amp;"","")</f>
        <v>N/A</v>
      </c>
      <c r="H155" s="10" t="str">
        <f aca="false">IFERROR(INDEX(Section_Master!$F$2:$F$477,MATCH($E155,Section_Master!$A$2:$A$477,0))&amp;"","")</f>
        <v>N/A</v>
      </c>
      <c r="I155" s="10" t="str">
        <f aca="false">IFERROR(INDEX(Section_Master!$G$2:$G$477,MATCH($E155,Section_Master!$A$2:$A$477,0))&amp;"","")</f>
        <v>N/A</v>
      </c>
      <c r="J155" s="10" t="s">
        <v>58</v>
      </c>
      <c r="K155" s="8" t="s">
        <v>404</v>
      </c>
    </row>
    <row r="156" customFormat="false" ht="34.5" hidden="false" customHeight="true" outlineLevel="0" collapsed="false">
      <c r="A156" s="10" t="s">
        <v>411</v>
      </c>
      <c r="B156" s="10" t="s">
        <v>45</v>
      </c>
      <c r="C156" s="8" t="s">
        <v>402</v>
      </c>
      <c r="D156" s="8" t="s">
        <v>412</v>
      </c>
      <c r="E156" s="11" t="n">
        <v>26</v>
      </c>
      <c r="F156" s="8" t="str">
        <f aca="false">IFERROR(INDEX(Section_Master!$D$2:$D$477,MATCH($E156,Section_Master!$A$2:$A$477,0))&amp;"","")</f>
        <v>Not applicable - no offence or penalty defined here (definition, exception or general provision)</v>
      </c>
      <c r="G156" s="10" t="str">
        <f aca="false">IFERROR(INDEX(Section_Master!$E$2:$E$477,MATCH($E156,Section_Master!$A$2:$A$477,0))&amp;"","")</f>
        <v>N/A</v>
      </c>
      <c r="H156" s="10" t="str">
        <f aca="false">IFERROR(INDEX(Section_Master!$F$2:$F$477,MATCH($E156,Section_Master!$A$2:$A$477,0))&amp;"","")</f>
        <v>N/A</v>
      </c>
      <c r="I156" s="10" t="str">
        <f aca="false">IFERROR(INDEX(Section_Master!$G$2:$G$477,MATCH($E156,Section_Master!$A$2:$A$477,0))&amp;"","")</f>
        <v>N/A</v>
      </c>
      <c r="J156" s="10" t="s">
        <v>61</v>
      </c>
      <c r="K156" s="8" t="s">
        <v>404</v>
      </c>
    </row>
    <row r="157" customFormat="false" ht="34.5" hidden="false" customHeight="true" outlineLevel="0" collapsed="false">
      <c r="A157" s="10" t="s">
        <v>413</v>
      </c>
      <c r="B157" s="10" t="s">
        <v>45</v>
      </c>
      <c r="C157" s="8" t="s">
        <v>402</v>
      </c>
      <c r="D157" s="8" t="s">
        <v>414</v>
      </c>
      <c r="E157" s="11" t="n">
        <v>26</v>
      </c>
      <c r="F157" s="8" t="str">
        <f aca="false">IFERROR(INDEX(Section_Master!$D$2:$D$477,MATCH($E157,Section_Master!$A$2:$A$477,0))&amp;"","")</f>
        <v>Not applicable - no offence or penalty defined here (definition, exception or general provision)</v>
      </c>
      <c r="G157" s="10" t="str">
        <f aca="false">IFERROR(INDEX(Section_Master!$E$2:$E$477,MATCH($E157,Section_Master!$A$2:$A$477,0))&amp;"","")</f>
        <v>N/A</v>
      </c>
      <c r="H157" s="10" t="str">
        <f aca="false">IFERROR(INDEX(Section_Master!$F$2:$F$477,MATCH($E157,Section_Master!$A$2:$A$477,0))&amp;"","")</f>
        <v>N/A</v>
      </c>
      <c r="I157" s="10" t="str">
        <f aca="false">IFERROR(INDEX(Section_Master!$G$2:$G$477,MATCH($E157,Section_Master!$A$2:$A$477,0))&amp;"","")</f>
        <v>N/A</v>
      </c>
      <c r="J157" s="10" t="s">
        <v>64</v>
      </c>
      <c r="K157" s="8" t="s">
        <v>404</v>
      </c>
    </row>
    <row r="158" customFormat="false" ht="34.5" hidden="false" customHeight="true" outlineLevel="0" collapsed="false">
      <c r="A158" s="10" t="s">
        <v>415</v>
      </c>
      <c r="B158" s="10" t="s">
        <v>45</v>
      </c>
      <c r="C158" s="8" t="s">
        <v>416</v>
      </c>
      <c r="D158" s="8" t="s">
        <v>417</v>
      </c>
      <c r="E158" s="11" t="n">
        <v>27</v>
      </c>
      <c r="F158" s="8" t="str">
        <f aca="false">IFERROR(INDEX(Section_Master!$D$2:$D$477,MATCH($E158,Section_Master!$A$2:$A$477,0))&amp;"","")</f>
        <v>Not applicable - no offence or penalty defined here (definition, exception or general provision)</v>
      </c>
      <c r="G158" s="10" t="str">
        <f aca="false">IFERROR(INDEX(Section_Master!$E$2:$E$477,MATCH($E158,Section_Master!$A$2:$A$477,0))&amp;"","")</f>
        <v>N/A</v>
      </c>
      <c r="H158" s="10" t="str">
        <f aca="false">IFERROR(INDEX(Section_Master!$F$2:$F$477,MATCH($E158,Section_Master!$A$2:$A$477,0))&amp;"","")</f>
        <v>N/A</v>
      </c>
      <c r="I158" s="10" t="str">
        <f aca="false">IFERROR(INDEX(Section_Master!$G$2:$G$477,MATCH($E158,Section_Master!$A$2:$A$477,0))&amp;"","")</f>
        <v>N/A</v>
      </c>
      <c r="J158" s="10" t="s">
        <v>48</v>
      </c>
      <c r="K158" s="8" t="s">
        <v>418</v>
      </c>
    </row>
    <row r="159" customFormat="false" ht="45.75" hidden="false" customHeight="true" outlineLevel="0" collapsed="false">
      <c r="A159" s="10" t="s">
        <v>419</v>
      </c>
      <c r="B159" s="10" t="s">
        <v>45</v>
      </c>
      <c r="C159" s="8" t="s">
        <v>416</v>
      </c>
      <c r="D159" s="8" t="s">
        <v>420</v>
      </c>
      <c r="E159" s="11" t="n">
        <v>27</v>
      </c>
      <c r="F159" s="8" t="str">
        <f aca="false">IFERROR(INDEX(Section_Master!$D$2:$D$477,MATCH($E159,Section_Master!$A$2:$A$477,0))&amp;"","")</f>
        <v>Not applicable - no offence or penalty defined here (definition, exception or general provision)</v>
      </c>
      <c r="G159" s="10" t="str">
        <f aca="false">IFERROR(INDEX(Section_Master!$E$2:$E$477,MATCH($E159,Section_Master!$A$2:$A$477,0))&amp;"","")</f>
        <v>N/A</v>
      </c>
      <c r="H159" s="10" t="str">
        <f aca="false">IFERROR(INDEX(Section_Master!$F$2:$F$477,MATCH($E159,Section_Master!$A$2:$A$477,0))&amp;"","")</f>
        <v>N/A</v>
      </c>
      <c r="I159" s="10" t="str">
        <f aca="false">IFERROR(INDEX(Section_Master!$G$2:$G$477,MATCH($E159,Section_Master!$A$2:$A$477,0))&amp;"","")</f>
        <v>N/A</v>
      </c>
      <c r="J159" s="10" t="s">
        <v>52</v>
      </c>
      <c r="K159" s="8" t="s">
        <v>418</v>
      </c>
    </row>
    <row r="160" customFormat="false" ht="34.5" hidden="false" customHeight="true" outlineLevel="0" collapsed="false">
      <c r="A160" s="10" t="s">
        <v>421</v>
      </c>
      <c r="B160" s="10" t="s">
        <v>45</v>
      </c>
      <c r="C160" s="8" t="s">
        <v>416</v>
      </c>
      <c r="D160" s="8" t="s">
        <v>422</v>
      </c>
      <c r="E160" s="11" t="n">
        <v>27</v>
      </c>
      <c r="F160" s="8" t="str">
        <f aca="false">IFERROR(INDEX(Section_Master!$D$2:$D$477,MATCH($E160,Section_Master!$A$2:$A$477,0))&amp;"","")</f>
        <v>Not applicable - no offence or penalty defined here (definition, exception or general provision)</v>
      </c>
      <c r="G160" s="10" t="str">
        <f aca="false">IFERROR(INDEX(Section_Master!$E$2:$E$477,MATCH($E160,Section_Master!$A$2:$A$477,0))&amp;"","")</f>
        <v>N/A</v>
      </c>
      <c r="H160" s="10" t="str">
        <f aca="false">IFERROR(INDEX(Section_Master!$F$2:$F$477,MATCH($E160,Section_Master!$A$2:$A$477,0))&amp;"","")</f>
        <v>N/A</v>
      </c>
      <c r="I160" s="10" t="str">
        <f aca="false">IFERROR(INDEX(Section_Master!$G$2:$G$477,MATCH($E160,Section_Master!$A$2:$A$477,0))&amp;"","")</f>
        <v>N/A</v>
      </c>
      <c r="J160" s="10" t="s">
        <v>55</v>
      </c>
      <c r="K160" s="8" t="s">
        <v>418</v>
      </c>
    </row>
    <row r="161" customFormat="false" ht="34.5" hidden="false" customHeight="true" outlineLevel="0" collapsed="false">
      <c r="A161" s="10" t="s">
        <v>423</v>
      </c>
      <c r="B161" s="10" t="s">
        <v>45</v>
      </c>
      <c r="C161" s="8" t="s">
        <v>416</v>
      </c>
      <c r="D161" s="8" t="s">
        <v>424</v>
      </c>
      <c r="E161" s="11" t="n">
        <v>27</v>
      </c>
      <c r="F161" s="8" t="str">
        <f aca="false">IFERROR(INDEX(Section_Master!$D$2:$D$477,MATCH($E161,Section_Master!$A$2:$A$477,0))&amp;"","")</f>
        <v>Not applicable - no offence or penalty defined here (definition, exception or general provision)</v>
      </c>
      <c r="G161" s="10" t="str">
        <f aca="false">IFERROR(INDEX(Section_Master!$E$2:$E$477,MATCH($E161,Section_Master!$A$2:$A$477,0))&amp;"","")</f>
        <v>N/A</v>
      </c>
      <c r="H161" s="10" t="str">
        <f aca="false">IFERROR(INDEX(Section_Master!$F$2:$F$477,MATCH($E161,Section_Master!$A$2:$A$477,0))&amp;"","")</f>
        <v>N/A</v>
      </c>
      <c r="I161" s="10" t="str">
        <f aca="false">IFERROR(INDEX(Section_Master!$G$2:$G$477,MATCH($E161,Section_Master!$A$2:$A$477,0))&amp;"","")</f>
        <v>N/A</v>
      </c>
      <c r="J161" s="10" t="s">
        <v>58</v>
      </c>
      <c r="K161" s="8" t="s">
        <v>418</v>
      </c>
    </row>
    <row r="162" customFormat="false" ht="34.5" hidden="false" customHeight="true" outlineLevel="0" collapsed="false">
      <c r="A162" s="10" t="s">
        <v>425</v>
      </c>
      <c r="B162" s="10" t="s">
        <v>45</v>
      </c>
      <c r="C162" s="8" t="s">
        <v>416</v>
      </c>
      <c r="D162" s="8" t="s">
        <v>426</v>
      </c>
      <c r="E162" s="11" t="n">
        <v>27</v>
      </c>
      <c r="F162" s="8" t="str">
        <f aca="false">IFERROR(INDEX(Section_Master!$D$2:$D$477,MATCH($E162,Section_Master!$A$2:$A$477,0))&amp;"","")</f>
        <v>Not applicable - no offence or penalty defined here (definition, exception or general provision)</v>
      </c>
      <c r="G162" s="10" t="str">
        <f aca="false">IFERROR(INDEX(Section_Master!$E$2:$E$477,MATCH($E162,Section_Master!$A$2:$A$477,0))&amp;"","")</f>
        <v>N/A</v>
      </c>
      <c r="H162" s="10" t="str">
        <f aca="false">IFERROR(INDEX(Section_Master!$F$2:$F$477,MATCH($E162,Section_Master!$A$2:$A$477,0))&amp;"","")</f>
        <v>N/A</v>
      </c>
      <c r="I162" s="10" t="str">
        <f aca="false">IFERROR(INDEX(Section_Master!$G$2:$G$477,MATCH($E162,Section_Master!$A$2:$A$477,0))&amp;"","")</f>
        <v>N/A</v>
      </c>
      <c r="J162" s="10" t="s">
        <v>61</v>
      </c>
      <c r="K162" s="8" t="s">
        <v>418</v>
      </c>
    </row>
    <row r="163" customFormat="false" ht="34.5" hidden="false" customHeight="true" outlineLevel="0" collapsed="false">
      <c r="A163" s="10" t="s">
        <v>427</v>
      </c>
      <c r="B163" s="10" t="s">
        <v>45</v>
      </c>
      <c r="C163" s="8" t="s">
        <v>416</v>
      </c>
      <c r="D163" s="8" t="s">
        <v>428</v>
      </c>
      <c r="E163" s="11" t="n">
        <v>27</v>
      </c>
      <c r="F163" s="8" t="str">
        <f aca="false">IFERROR(INDEX(Section_Master!$D$2:$D$477,MATCH($E163,Section_Master!$A$2:$A$477,0))&amp;"","")</f>
        <v>Not applicable - no offence or penalty defined here (definition, exception or general provision)</v>
      </c>
      <c r="G163" s="10" t="str">
        <f aca="false">IFERROR(INDEX(Section_Master!$E$2:$E$477,MATCH($E163,Section_Master!$A$2:$A$477,0))&amp;"","")</f>
        <v>N/A</v>
      </c>
      <c r="H163" s="10" t="str">
        <f aca="false">IFERROR(INDEX(Section_Master!$F$2:$F$477,MATCH($E163,Section_Master!$A$2:$A$477,0))&amp;"","")</f>
        <v>N/A</v>
      </c>
      <c r="I163" s="10" t="str">
        <f aca="false">IFERROR(INDEX(Section_Master!$G$2:$G$477,MATCH($E163,Section_Master!$A$2:$A$477,0))&amp;"","")</f>
        <v>N/A</v>
      </c>
      <c r="J163" s="10" t="s">
        <v>64</v>
      </c>
      <c r="K163" s="8" t="s">
        <v>418</v>
      </c>
    </row>
    <row r="164" customFormat="false" ht="34.5" hidden="false" customHeight="true" outlineLevel="0" collapsed="false">
      <c r="A164" s="10" t="s">
        <v>429</v>
      </c>
      <c r="B164" s="10" t="s">
        <v>45</v>
      </c>
      <c r="C164" s="8" t="s">
        <v>430</v>
      </c>
      <c r="D164" s="8" t="s">
        <v>431</v>
      </c>
      <c r="E164" s="11" t="n">
        <v>28</v>
      </c>
      <c r="F164" s="8" t="str">
        <f aca="false">IFERROR(INDEX(Section_Master!$D$2:$D$477,MATCH($E164,Section_Master!$A$2:$A$477,0))&amp;"","")</f>
        <v>Not applicable - no offence or penalty defined here (definition, exception or general provision)</v>
      </c>
      <c r="G164" s="10" t="str">
        <f aca="false">IFERROR(INDEX(Section_Master!$E$2:$E$477,MATCH($E164,Section_Master!$A$2:$A$477,0))&amp;"","")</f>
        <v>N/A</v>
      </c>
      <c r="H164" s="10" t="str">
        <f aca="false">IFERROR(INDEX(Section_Master!$F$2:$F$477,MATCH($E164,Section_Master!$A$2:$A$477,0))&amp;"","")</f>
        <v>N/A</v>
      </c>
      <c r="I164" s="10" t="str">
        <f aca="false">IFERROR(INDEX(Section_Master!$G$2:$G$477,MATCH($E164,Section_Master!$A$2:$A$477,0))&amp;"","")</f>
        <v>N/A</v>
      </c>
      <c r="J164" s="10" t="s">
        <v>48</v>
      </c>
      <c r="K164" s="8" t="s">
        <v>432</v>
      </c>
    </row>
    <row r="165" customFormat="false" ht="45.75" hidden="false" customHeight="true" outlineLevel="0" collapsed="false">
      <c r="A165" s="10" t="s">
        <v>433</v>
      </c>
      <c r="B165" s="10" t="s">
        <v>45</v>
      </c>
      <c r="C165" s="8" t="s">
        <v>430</v>
      </c>
      <c r="D165" s="8" t="s">
        <v>434</v>
      </c>
      <c r="E165" s="11" t="n">
        <v>28</v>
      </c>
      <c r="F165" s="8" t="str">
        <f aca="false">IFERROR(INDEX(Section_Master!$D$2:$D$477,MATCH($E165,Section_Master!$A$2:$A$477,0))&amp;"","")</f>
        <v>Not applicable - no offence or penalty defined here (definition, exception or general provision)</v>
      </c>
      <c r="G165" s="10" t="str">
        <f aca="false">IFERROR(INDEX(Section_Master!$E$2:$E$477,MATCH($E165,Section_Master!$A$2:$A$477,0))&amp;"","")</f>
        <v>N/A</v>
      </c>
      <c r="H165" s="10" t="str">
        <f aca="false">IFERROR(INDEX(Section_Master!$F$2:$F$477,MATCH($E165,Section_Master!$A$2:$A$477,0))&amp;"","")</f>
        <v>N/A</v>
      </c>
      <c r="I165" s="10" t="str">
        <f aca="false">IFERROR(INDEX(Section_Master!$G$2:$G$477,MATCH($E165,Section_Master!$A$2:$A$477,0))&amp;"","")</f>
        <v>N/A</v>
      </c>
      <c r="J165" s="10" t="s">
        <v>52</v>
      </c>
      <c r="K165" s="8" t="s">
        <v>432</v>
      </c>
    </row>
    <row r="166" customFormat="false" ht="34.5" hidden="false" customHeight="true" outlineLevel="0" collapsed="false">
      <c r="A166" s="10" t="s">
        <v>435</v>
      </c>
      <c r="B166" s="10" t="s">
        <v>45</v>
      </c>
      <c r="C166" s="8" t="s">
        <v>430</v>
      </c>
      <c r="D166" s="8" t="s">
        <v>436</v>
      </c>
      <c r="E166" s="11" t="n">
        <v>28</v>
      </c>
      <c r="F166" s="8" t="str">
        <f aca="false">IFERROR(INDEX(Section_Master!$D$2:$D$477,MATCH($E166,Section_Master!$A$2:$A$477,0))&amp;"","")</f>
        <v>Not applicable - no offence or penalty defined here (definition, exception or general provision)</v>
      </c>
      <c r="G166" s="10" t="str">
        <f aca="false">IFERROR(INDEX(Section_Master!$E$2:$E$477,MATCH($E166,Section_Master!$A$2:$A$477,0))&amp;"","")</f>
        <v>N/A</v>
      </c>
      <c r="H166" s="10" t="str">
        <f aca="false">IFERROR(INDEX(Section_Master!$F$2:$F$477,MATCH($E166,Section_Master!$A$2:$A$477,0))&amp;"","")</f>
        <v>N/A</v>
      </c>
      <c r="I166" s="10" t="str">
        <f aca="false">IFERROR(INDEX(Section_Master!$G$2:$G$477,MATCH($E166,Section_Master!$A$2:$A$477,0))&amp;"","")</f>
        <v>N/A</v>
      </c>
      <c r="J166" s="10" t="s">
        <v>55</v>
      </c>
      <c r="K166" s="8" t="s">
        <v>432</v>
      </c>
    </row>
    <row r="167" customFormat="false" ht="34.5" hidden="false" customHeight="true" outlineLevel="0" collapsed="false">
      <c r="A167" s="10" t="s">
        <v>437</v>
      </c>
      <c r="B167" s="10" t="s">
        <v>45</v>
      </c>
      <c r="C167" s="8" t="s">
        <v>430</v>
      </c>
      <c r="D167" s="8" t="s">
        <v>438</v>
      </c>
      <c r="E167" s="11" t="n">
        <v>28</v>
      </c>
      <c r="F167" s="8" t="str">
        <f aca="false">IFERROR(INDEX(Section_Master!$D$2:$D$477,MATCH($E167,Section_Master!$A$2:$A$477,0))&amp;"","")</f>
        <v>Not applicable - no offence or penalty defined here (definition, exception or general provision)</v>
      </c>
      <c r="G167" s="10" t="str">
        <f aca="false">IFERROR(INDEX(Section_Master!$E$2:$E$477,MATCH($E167,Section_Master!$A$2:$A$477,0))&amp;"","")</f>
        <v>N/A</v>
      </c>
      <c r="H167" s="10" t="str">
        <f aca="false">IFERROR(INDEX(Section_Master!$F$2:$F$477,MATCH($E167,Section_Master!$A$2:$A$477,0))&amp;"","")</f>
        <v>N/A</v>
      </c>
      <c r="I167" s="10" t="str">
        <f aca="false">IFERROR(INDEX(Section_Master!$G$2:$G$477,MATCH($E167,Section_Master!$A$2:$A$477,0))&amp;"","")</f>
        <v>N/A</v>
      </c>
      <c r="J167" s="10" t="s">
        <v>58</v>
      </c>
      <c r="K167" s="8" t="s">
        <v>432</v>
      </c>
    </row>
    <row r="168" customFormat="false" ht="23.25" hidden="false" customHeight="true" outlineLevel="0" collapsed="false">
      <c r="A168" s="10" t="s">
        <v>439</v>
      </c>
      <c r="B168" s="10" t="s">
        <v>45</v>
      </c>
      <c r="C168" s="8" t="s">
        <v>430</v>
      </c>
      <c r="D168" s="8" t="s">
        <v>440</v>
      </c>
      <c r="E168" s="11" t="n">
        <v>28</v>
      </c>
      <c r="F168" s="8" t="str">
        <f aca="false">IFERROR(INDEX(Section_Master!$D$2:$D$477,MATCH($E168,Section_Master!$A$2:$A$477,0))&amp;"","")</f>
        <v>Not applicable - no offence or penalty defined here (definition, exception or general provision)</v>
      </c>
      <c r="G168" s="10" t="str">
        <f aca="false">IFERROR(INDEX(Section_Master!$E$2:$E$477,MATCH($E168,Section_Master!$A$2:$A$477,0))&amp;"","")</f>
        <v>N/A</v>
      </c>
      <c r="H168" s="10" t="str">
        <f aca="false">IFERROR(INDEX(Section_Master!$F$2:$F$477,MATCH($E168,Section_Master!$A$2:$A$477,0))&amp;"","")</f>
        <v>N/A</v>
      </c>
      <c r="I168" s="10" t="str">
        <f aca="false">IFERROR(INDEX(Section_Master!$G$2:$G$477,MATCH($E168,Section_Master!$A$2:$A$477,0))&amp;"","")</f>
        <v>N/A</v>
      </c>
      <c r="J168" s="10" t="s">
        <v>61</v>
      </c>
      <c r="K168" s="8" t="s">
        <v>432</v>
      </c>
    </row>
    <row r="169" customFormat="false" ht="34.5" hidden="false" customHeight="true" outlineLevel="0" collapsed="false">
      <c r="A169" s="10" t="s">
        <v>441</v>
      </c>
      <c r="B169" s="10" t="s">
        <v>45</v>
      </c>
      <c r="C169" s="8" t="s">
        <v>430</v>
      </c>
      <c r="D169" s="8" t="s">
        <v>442</v>
      </c>
      <c r="E169" s="11" t="n">
        <v>28</v>
      </c>
      <c r="F169" s="8" t="str">
        <f aca="false">IFERROR(INDEX(Section_Master!$D$2:$D$477,MATCH($E169,Section_Master!$A$2:$A$477,0))&amp;"","")</f>
        <v>Not applicable - no offence or penalty defined here (definition, exception or general provision)</v>
      </c>
      <c r="G169" s="10" t="str">
        <f aca="false">IFERROR(INDEX(Section_Master!$E$2:$E$477,MATCH($E169,Section_Master!$A$2:$A$477,0))&amp;"","")</f>
        <v>N/A</v>
      </c>
      <c r="H169" s="10" t="str">
        <f aca="false">IFERROR(INDEX(Section_Master!$F$2:$F$477,MATCH($E169,Section_Master!$A$2:$A$477,0))&amp;"","")</f>
        <v>N/A</v>
      </c>
      <c r="I169" s="10" t="str">
        <f aca="false">IFERROR(INDEX(Section_Master!$G$2:$G$477,MATCH($E169,Section_Master!$A$2:$A$477,0))&amp;"","")</f>
        <v>N/A</v>
      </c>
      <c r="J169" s="10" t="s">
        <v>64</v>
      </c>
      <c r="K169" s="8" t="s">
        <v>432</v>
      </c>
    </row>
    <row r="170" customFormat="false" ht="34.5" hidden="false" customHeight="true" outlineLevel="0" collapsed="false">
      <c r="A170" s="10" t="s">
        <v>443</v>
      </c>
      <c r="B170" s="10" t="s">
        <v>45</v>
      </c>
      <c r="C170" s="8" t="s">
        <v>444</v>
      </c>
      <c r="D170" s="8" t="s">
        <v>445</v>
      </c>
      <c r="E170" s="11" t="n">
        <v>29</v>
      </c>
      <c r="F170" s="8" t="str">
        <f aca="false">IFERROR(INDEX(Section_Master!$D$2:$D$477,MATCH($E170,Section_Master!$A$2:$A$477,0))&amp;"","")</f>
        <v>Not applicable - no offence or penalty defined here (definition, exception or general provision)</v>
      </c>
      <c r="G170" s="10" t="str">
        <f aca="false">IFERROR(INDEX(Section_Master!$E$2:$E$477,MATCH($E170,Section_Master!$A$2:$A$477,0))&amp;"","")</f>
        <v>N/A</v>
      </c>
      <c r="H170" s="10" t="str">
        <f aca="false">IFERROR(INDEX(Section_Master!$F$2:$F$477,MATCH($E170,Section_Master!$A$2:$A$477,0))&amp;"","")</f>
        <v>N/A</v>
      </c>
      <c r="I170" s="10" t="str">
        <f aca="false">IFERROR(INDEX(Section_Master!$G$2:$G$477,MATCH($E170,Section_Master!$A$2:$A$477,0))&amp;"","")</f>
        <v>N/A</v>
      </c>
      <c r="J170" s="10" t="s">
        <v>48</v>
      </c>
      <c r="K170" s="8" t="s">
        <v>446</v>
      </c>
    </row>
    <row r="171" customFormat="false" ht="34.5" hidden="false" customHeight="true" outlineLevel="0" collapsed="false">
      <c r="A171" s="10" t="s">
        <v>447</v>
      </c>
      <c r="B171" s="10" t="s">
        <v>45</v>
      </c>
      <c r="C171" s="8" t="s">
        <v>444</v>
      </c>
      <c r="D171" s="8" t="s">
        <v>448</v>
      </c>
      <c r="E171" s="11" t="n">
        <v>29</v>
      </c>
      <c r="F171" s="8" t="str">
        <f aca="false">IFERROR(INDEX(Section_Master!$D$2:$D$477,MATCH($E171,Section_Master!$A$2:$A$477,0))&amp;"","")</f>
        <v>Not applicable - no offence or penalty defined here (definition, exception or general provision)</v>
      </c>
      <c r="G171" s="10" t="str">
        <f aca="false">IFERROR(INDEX(Section_Master!$E$2:$E$477,MATCH($E171,Section_Master!$A$2:$A$477,0))&amp;"","")</f>
        <v>N/A</v>
      </c>
      <c r="H171" s="10" t="str">
        <f aca="false">IFERROR(INDEX(Section_Master!$F$2:$F$477,MATCH($E171,Section_Master!$A$2:$A$477,0))&amp;"","")</f>
        <v>N/A</v>
      </c>
      <c r="I171" s="10" t="str">
        <f aca="false">IFERROR(INDEX(Section_Master!$G$2:$G$477,MATCH($E171,Section_Master!$A$2:$A$477,0))&amp;"","")</f>
        <v>N/A</v>
      </c>
      <c r="J171" s="10" t="s">
        <v>52</v>
      </c>
      <c r="K171" s="8" t="s">
        <v>446</v>
      </c>
    </row>
    <row r="172" customFormat="false" ht="23.25" hidden="false" customHeight="true" outlineLevel="0" collapsed="false">
      <c r="A172" s="10" t="s">
        <v>449</v>
      </c>
      <c r="B172" s="10" t="s">
        <v>45</v>
      </c>
      <c r="C172" s="8" t="s">
        <v>444</v>
      </c>
      <c r="D172" s="8" t="s">
        <v>450</v>
      </c>
      <c r="E172" s="11" t="n">
        <v>29</v>
      </c>
      <c r="F172" s="8" t="str">
        <f aca="false">IFERROR(INDEX(Section_Master!$D$2:$D$477,MATCH($E172,Section_Master!$A$2:$A$477,0))&amp;"","")</f>
        <v>Not applicable - no offence or penalty defined here (definition, exception or general provision)</v>
      </c>
      <c r="G172" s="10" t="str">
        <f aca="false">IFERROR(INDEX(Section_Master!$E$2:$E$477,MATCH($E172,Section_Master!$A$2:$A$477,0))&amp;"","")</f>
        <v>N/A</v>
      </c>
      <c r="H172" s="10" t="str">
        <f aca="false">IFERROR(INDEX(Section_Master!$F$2:$F$477,MATCH($E172,Section_Master!$A$2:$A$477,0))&amp;"","")</f>
        <v>N/A</v>
      </c>
      <c r="I172" s="10" t="str">
        <f aca="false">IFERROR(INDEX(Section_Master!$G$2:$G$477,MATCH($E172,Section_Master!$A$2:$A$477,0))&amp;"","")</f>
        <v>N/A</v>
      </c>
      <c r="J172" s="10" t="s">
        <v>55</v>
      </c>
      <c r="K172" s="8" t="s">
        <v>446</v>
      </c>
    </row>
    <row r="173" customFormat="false" ht="23.25" hidden="false" customHeight="true" outlineLevel="0" collapsed="false">
      <c r="A173" s="10" t="s">
        <v>451</v>
      </c>
      <c r="B173" s="10" t="s">
        <v>45</v>
      </c>
      <c r="C173" s="8" t="s">
        <v>444</v>
      </c>
      <c r="D173" s="8" t="s">
        <v>452</v>
      </c>
      <c r="E173" s="11" t="n">
        <v>29</v>
      </c>
      <c r="F173" s="8" t="str">
        <f aca="false">IFERROR(INDEX(Section_Master!$D$2:$D$477,MATCH($E173,Section_Master!$A$2:$A$477,0))&amp;"","")</f>
        <v>Not applicable - no offence or penalty defined here (definition, exception or general provision)</v>
      </c>
      <c r="G173" s="10" t="str">
        <f aca="false">IFERROR(INDEX(Section_Master!$E$2:$E$477,MATCH($E173,Section_Master!$A$2:$A$477,0))&amp;"","")</f>
        <v>N/A</v>
      </c>
      <c r="H173" s="10" t="str">
        <f aca="false">IFERROR(INDEX(Section_Master!$F$2:$F$477,MATCH($E173,Section_Master!$A$2:$A$477,0))&amp;"","")</f>
        <v>N/A</v>
      </c>
      <c r="I173" s="10" t="str">
        <f aca="false">IFERROR(INDEX(Section_Master!$G$2:$G$477,MATCH($E173,Section_Master!$A$2:$A$477,0))&amp;"","")</f>
        <v>N/A</v>
      </c>
      <c r="J173" s="10" t="s">
        <v>58</v>
      </c>
      <c r="K173" s="8" t="s">
        <v>446</v>
      </c>
    </row>
    <row r="174" customFormat="false" ht="34.5" hidden="false" customHeight="true" outlineLevel="0" collapsed="false">
      <c r="A174" s="10" t="s">
        <v>453</v>
      </c>
      <c r="B174" s="10" t="s">
        <v>45</v>
      </c>
      <c r="C174" s="8" t="s">
        <v>444</v>
      </c>
      <c r="D174" s="8" t="s">
        <v>454</v>
      </c>
      <c r="E174" s="11" t="n">
        <v>29</v>
      </c>
      <c r="F174" s="8" t="str">
        <f aca="false">IFERROR(INDEX(Section_Master!$D$2:$D$477,MATCH($E174,Section_Master!$A$2:$A$477,0))&amp;"","")</f>
        <v>Not applicable - no offence or penalty defined here (definition, exception or general provision)</v>
      </c>
      <c r="G174" s="10" t="str">
        <f aca="false">IFERROR(INDEX(Section_Master!$E$2:$E$477,MATCH($E174,Section_Master!$A$2:$A$477,0))&amp;"","")</f>
        <v>N/A</v>
      </c>
      <c r="H174" s="10" t="str">
        <f aca="false">IFERROR(INDEX(Section_Master!$F$2:$F$477,MATCH($E174,Section_Master!$A$2:$A$477,0))&amp;"","")</f>
        <v>N/A</v>
      </c>
      <c r="I174" s="10" t="str">
        <f aca="false">IFERROR(INDEX(Section_Master!$G$2:$G$477,MATCH($E174,Section_Master!$A$2:$A$477,0))&amp;"","")</f>
        <v>N/A</v>
      </c>
      <c r="J174" s="10" t="s">
        <v>61</v>
      </c>
      <c r="K174" s="8" t="s">
        <v>446</v>
      </c>
    </row>
    <row r="175" customFormat="false" ht="34.5" hidden="false" customHeight="true" outlineLevel="0" collapsed="false">
      <c r="A175" s="10" t="s">
        <v>455</v>
      </c>
      <c r="B175" s="10" t="s">
        <v>45</v>
      </c>
      <c r="C175" s="8" t="s">
        <v>444</v>
      </c>
      <c r="D175" s="8" t="s">
        <v>456</v>
      </c>
      <c r="E175" s="11" t="n">
        <v>29</v>
      </c>
      <c r="F175" s="8" t="str">
        <f aca="false">IFERROR(INDEX(Section_Master!$D$2:$D$477,MATCH($E175,Section_Master!$A$2:$A$477,0))&amp;"","")</f>
        <v>Not applicable - no offence or penalty defined here (definition, exception or general provision)</v>
      </c>
      <c r="G175" s="10" t="str">
        <f aca="false">IFERROR(INDEX(Section_Master!$E$2:$E$477,MATCH($E175,Section_Master!$A$2:$A$477,0))&amp;"","")</f>
        <v>N/A</v>
      </c>
      <c r="H175" s="10" t="str">
        <f aca="false">IFERROR(INDEX(Section_Master!$F$2:$F$477,MATCH($E175,Section_Master!$A$2:$A$477,0))&amp;"","")</f>
        <v>N/A</v>
      </c>
      <c r="I175" s="10" t="str">
        <f aca="false">IFERROR(INDEX(Section_Master!$G$2:$G$477,MATCH($E175,Section_Master!$A$2:$A$477,0))&amp;"","")</f>
        <v>N/A</v>
      </c>
      <c r="J175" s="10" t="s">
        <v>64</v>
      </c>
      <c r="K175" s="8" t="s">
        <v>446</v>
      </c>
    </row>
    <row r="176" customFormat="false" ht="34.5" hidden="false" customHeight="true" outlineLevel="0" collapsed="false">
      <c r="A176" s="10" t="s">
        <v>457</v>
      </c>
      <c r="B176" s="10" t="s">
        <v>45</v>
      </c>
      <c r="C176" s="8" t="s">
        <v>458</v>
      </c>
      <c r="D176" s="8" t="s">
        <v>459</v>
      </c>
      <c r="E176" s="11" t="n">
        <v>30</v>
      </c>
      <c r="F176" s="8" t="str">
        <f aca="false">IFERROR(INDEX(Section_Master!$D$2:$D$477,MATCH($E176,Section_Master!$A$2:$A$477,0))&amp;"","")</f>
        <v>Not applicable - no offence or penalty defined here (definition, exception or general provision)</v>
      </c>
      <c r="G176" s="10" t="str">
        <f aca="false">IFERROR(INDEX(Section_Master!$E$2:$E$477,MATCH($E176,Section_Master!$A$2:$A$477,0))&amp;"","")</f>
        <v>N/A</v>
      </c>
      <c r="H176" s="10" t="str">
        <f aca="false">IFERROR(INDEX(Section_Master!$F$2:$F$477,MATCH($E176,Section_Master!$A$2:$A$477,0))&amp;"","")</f>
        <v>N/A</v>
      </c>
      <c r="I176" s="10" t="str">
        <f aca="false">IFERROR(INDEX(Section_Master!$G$2:$G$477,MATCH($E176,Section_Master!$A$2:$A$477,0))&amp;"","")</f>
        <v>N/A</v>
      </c>
      <c r="J176" s="10" t="s">
        <v>48</v>
      </c>
      <c r="K176" s="8" t="s">
        <v>460</v>
      </c>
    </row>
    <row r="177" customFormat="false" ht="34.5" hidden="false" customHeight="true" outlineLevel="0" collapsed="false">
      <c r="A177" s="10" t="s">
        <v>461</v>
      </c>
      <c r="B177" s="10" t="s">
        <v>45</v>
      </c>
      <c r="C177" s="8" t="s">
        <v>458</v>
      </c>
      <c r="D177" s="8" t="s">
        <v>462</v>
      </c>
      <c r="E177" s="11" t="n">
        <v>30</v>
      </c>
      <c r="F177" s="8" t="str">
        <f aca="false">IFERROR(INDEX(Section_Master!$D$2:$D$477,MATCH($E177,Section_Master!$A$2:$A$477,0))&amp;"","")</f>
        <v>Not applicable - no offence or penalty defined here (definition, exception or general provision)</v>
      </c>
      <c r="G177" s="10" t="str">
        <f aca="false">IFERROR(INDEX(Section_Master!$E$2:$E$477,MATCH($E177,Section_Master!$A$2:$A$477,0))&amp;"","")</f>
        <v>N/A</v>
      </c>
      <c r="H177" s="10" t="str">
        <f aca="false">IFERROR(INDEX(Section_Master!$F$2:$F$477,MATCH($E177,Section_Master!$A$2:$A$477,0))&amp;"","")</f>
        <v>N/A</v>
      </c>
      <c r="I177" s="10" t="str">
        <f aca="false">IFERROR(INDEX(Section_Master!$G$2:$G$477,MATCH($E177,Section_Master!$A$2:$A$477,0))&amp;"","")</f>
        <v>N/A</v>
      </c>
      <c r="J177" s="10" t="s">
        <v>52</v>
      </c>
      <c r="K177" s="8" t="s">
        <v>460</v>
      </c>
    </row>
    <row r="178" customFormat="false" ht="34.5" hidden="false" customHeight="true" outlineLevel="0" collapsed="false">
      <c r="A178" s="10" t="s">
        <v>463</v>
      </c>
      <c r="B178" s="10" t="s">
        <v>45</v>
      </c>
      <c r="C178" s="8" t="s">
        <v>458</v>
      </c>
      <c r="D178" s="8" t="s">
        <v>464</v>
      </c>
      <c r="E178" s="11" t="n">
        <v>30</v>
      </c>
      <c r="F178" s="8" t="str">
        <f aca="false">IFERROR(INDEX(Section_Master!$D$2:$D$477,MATCH($E178,Section_Master!$A$2:$A$477,0))&amp;"","")</f>
        <v>Not applicable - no offence or penalty defined here (definition, exception or general provision)</v>
      </c>
      <c r="G178" s="10" t="str">
        <f aca="false">IFERROR(INDEX(Section_Master!$E$2:$E$477,MATCH($E178,Section_Master!$A$2:$A$477,0))&amp;"","")</f>
        <v>N/A</v>
      </c>
      <c r="H178" s="10" t="str">
        <f aca="false">IFERROR(INDEX(Section_Master!$F$2:$F$477,MATCH($E178,Section_Master!$A$2:$A$477,0))&amp;"","")</f>
        <v>N/A</v>
      </c>
      <c r="I178" s="10" t="str">
        <f aca="false">IFERROR(INDEX(Section_Master!$G$2:$G$477,MATCH($E178,Section_Master!$A$2:$A$477,0))&amp;"","")</f>
        <v>N/A</v>
      </c>
      <c r="J178" s="10" t="s">
        <v>55</v>
      </c>
      <c r="K178" s="8" t="s">
        <v>460</v>
      </c>
    </row>
    <row r="179" customFormat="false" ht="34.5" hidden="false" customHeight="true" outlineLevel="0" collapsed="false">
      <c r="A179" s="10" t="s">
        <v>465</v>
      </c>
      <c r="B179" s="10" t="s">
        <v>45</v>
      </c>
      <c r="C179" s="8" t="s">
        <v>458</v>
      </c>
      <c r="D179" s="8" t="s">
        <v>466</v>
      </c>
      <c r="E179" s="11" t="n">
        <v>30</v>
      </c>
      <c r="F179" s="8" t="str">
        <f aca="false">IFERROR(INDEX(Section_Master!$D$2:$D$477,MATCH($E179,Section_Master!$A$2:$A$477,0))&amp;"","")</f>
        <v>Not applicable - no offence or penalty defined here (definition, exception or general provision)</v>
      </c>
      <c r="G179" s="10" t="str">
        <f aca="false">IFERROR(INDEX(Section_Master!$E$2:$E$477,MATCH($E179,Section_Master!$A$2:$A$477,0))&amp;"","")</f>
        <v>N/A</v>
      </c>
      <c r="H179" s="10" t="str">
        <f aca="false">IFERROR(INDEX(Section_Master!$F$2:$F$477,MATCH($E179,Section_Master!$A$2:$A$477,0))&amp;"","")</f>
        <v>N/A</v>
      </c>
      <c r="I179" s="10" t="str">
        <f aca="false">IFERROR(INDEX(Section_Master!$G$2:$G$477,MATCH($E179,Section_Master!$A$2:$A$477,0))&amp;"","")</f>
        <v>N/A</v>
      </c>
      <c r="J179" s="10" t="s">
        <v>58</v>
      </c>
      <c r="K179" s="8" t="s">
        <v>460</v>
      </c>
    </row>
    <row r="180" customFormat="false" ht="34.5" hidden="false" customHeight="true" outlineLevel="0" collapsed="false">
      <c r="A180" s="10" t="s">
        <v>467</v>
      </c>
      <c r="B180" s="10" t="s">
        <v>45</v>
      </c>
      <c r="C180" s="8" t="s">
        <v>458</v>
      </c>
      <c r="D180" s="8" t="s">
        <v>468</v>
      </c>
      <c r="E180" s="11" t="n">
        <v>30</v>
      </c>
      <c r="F180" s="8" t="str">
        <f aca="false">IFERROR(INDEX(Section_Master!$D$2:$D$477,MATCH($E180,Section_Master!$A$2:$A$477,0))&amp;"","")</f>
        <v>Not applicable - no offence or penalty defined here (definition, exception or general provision)</v>
      </c>
      <c r="G180" s="10" t="str">
        <f aca="false">IFERROR(INDEX(Section_Master!$E$2:$E$477,MATCH($E180,Section_Master!$A$2:$A$477,0))&amp;"","")</f>
        <v>N/A</v>
      </c>
      <c r="H180" s="10" t="str">
        <f aca="false">IFERROR(INDEX(Section_Master!$F$2:$F$477,MATCH($E180,Section_Master!$A$2:$A$477,0))&amp;"","")</f>
        <v>N/A</v>
      </c>
      <c r="I180" s="10" t="str">
        <f aca="false">IFERROR(INDEX(Section_Master!$G$2:$G$477,MATCH($E180,Section_Master!$A$2:$A$477,0))&amp;"","")</f>
        <v>N/A</v>
      </c>
      <c r="J180" s="10" t="s">
        <v>61</v>
      </c>
      <c r="K180" s="8" t="s">
        <v>460</v>
      </c>
    </row>
    <row r="181" customFormat="false" ht="34.5" hidden="false" customHeight="true" outlineLevel="0" collapsed="false">
      <c r="A181" s="10" t="s">
        <v>469</v>
      </c>
      <c r="B181" s="10" t="s">
        <v>45</v>
      </c>
      <c r="C181" s="8" t="s">
        <v>458</v>
      </c>
      <c r="D181" s="8" t="s">
        <v>470</v>
      </c>
      <c r="E181" s="11" t="n">
        <v>30</v>
      </c>
      <c r="F181" s="8" t="str">
        <f aca="false">IFERROR(INDEX(Section_Master!$D$2:$D$477,MATCH($E181,Section_Master!$A$2:$A$477,0))&amp;"","")</f>
        <v>Not applicable - no offence or penalty defined here (definition, exception or general provision)</v>
      </c>
      <c r="G181" s="10" t="str">
        <f aca="false">IFERROR(INDEX(Section_Master!$E$2:$E$477,MATCH($E181,Section_Master!$A$2:$A$477,0))&amp;"","")</f>
        <v>N/A</v>
      </c>
      <c r="H181" s="10" t="str">
        <f aca="false">IFERROR(INDEX(Section_Master!$F$2:$F$477,MATCH($E181,Section_Master!$A$2:$A$477,0))&amp;"","")</f>
        <v>N/A</v>
      </c>
      <c r="I181" s="10" t="str">
        <f aca="false">IFERROR(INDEX(Section_Master!$G$2:$G$477,MATCH($E181,Section_Master!$A$2:$A$477,0))&amp;"","")</f>
        <v>N/A</v>
      </c>
      <c r="J181" s="10" t="s">
        <v>64</v>
      </c>
      <c r="K181" s="8" t="s">
        <v>460</v>
      </c>
    </row>
    <row r="182" customFormat="false" ht="23.25" hidden="false" customHeight="true" outlineLevel="0" collapsed="false">
      <c r="A182" s="10" t="s">
        <v>471</v>
      </c>
      <c r="B182" s="10" t="s">
        <v>45</v>
      </c>
      <c r="C182" s="8" t="s">
        <v>472</v>
      </c>
      <c r="D182" s="8" t="s">
        <v>473</v>
      </c>
      <c r="E182" s="11" t="n">
        <v>31</v>
      </c>
      <c r="F182" s="8" t="str">
        <f aca="false">IFERROR(INDEX(Section_Master!$D$2:$D$477,MATCH($E182,Section_Master!$A$2:$A$477,0))&amp;"","")</f>
        <v>Not applicable - no offence or penalty defined here (definition, exception or general provision)</v>
      </c>
      <c r="G182" s="10" t="str">
        <f aca="false">IFERROR(INDEX(Section_Master!$E$2:$E$477,MATCH($E182,Section_Master!$A$2:$A$477,0))&amp;"","")</f>
        <v>N/A</v>
      </c>
      <c r="H182" s="10" t="str">
        <f aca="false">IFERROR(INDEX(Section_Master!$F$2:$F$477,MATCH($E182,Section_Master!$A$2:$A$477,0))&amp;"","")</f>
        <v>N/A</v>
      </c>
      <c r="I182" s="10" t="str">
        <f aca="false">IFERROR(INDEX(Section_Master!$G$2:$G$477,MATCH($E182,Section_Master!$A$2:$A$477,0))&amp;"","")</f>
        <v>N/A</v>
      </c>
      <c r="J182" s="10" t="s">
        <v>48</v>
      </c>
      <c r="K182" s="8" t="s">
        <v>474</v>
      </c>
    </row>
    <row r="183" customFormat="false" ht="34.5" hidden="false" customHeight="true" outlineLevel="0" collapsed="false">
      <c r="A183" s="10" t="s">
        <v>475</v>
      </c>
      <c r="B183" s="10" t="s">
        <v>45</v>
      </c>
      <c r="C183" s="8" t="s">
        <v>472</v>
      </c>
      <c r="D183" s="8" t="s">
        <v>476</v>
      </c>
      <c r="E183" s="11" t="n">
        <v>31</v>
      </c>
      <c r="F183" s="8" t="str">
        <f aca="false">IFERROR(INDEX(Section_Master!$D$2:$D$477,MATCH($E183,Section_Master!$A$2:$A$477,0))&amp;"","")</f>
        <v>Not applicable - no offence or penalty defined here (definition, exception or general provision)</v>
      </c>
      <c r="G183" s="10" t="str">
        <f aca="false">IFERROR(INDEX(Section_Master!$E$2:$E$477,MATCH($E183,Section_Master!$A$2:$A$477,0))&amp;"","")</f>
        <v>N/A</v>
      </c>
      <c r="H183" s="10" t="str">
        <f aca="false">IFERROR(INDEX(Section_Master!$F$2:$F$477,MATCH($E183,Section_Master!$A$2:$A$477,0))&amp;"","")</f>
        <v>N/A</v>
      </c>
      <c r="I183" s="10" t="str">
        <f aca="false">IFERROR(INDEX(Section_Master!$G$2:$G$477,MATCH($E183,Section_Master!$A$2:$A$477,0))&amp;"","")</f>
        <v>N/A</v>
      </c>
      <c r="J183" s="10" t="s">
        <v>52</v>
      </c>
      <c r="K183" s="8" t="s">
        <v>474</v>
      </c>
    </row>
    <row r="184" customFormat="false" ht="34.5" hidden="false" customHeight="true" outlineLevel="0" collapsed="false">
      <c r="A184" s="10" t="s">
        <v>477</v>
      </c>
      <c r="B184" s="10" t="s">
        <v>45</v>
      </c>
      <c r="C184" s="8" t="s">
        <v>472</v>
      </c>
      <c r="D184" s="8" t="s">
        <v>478</v>
      </c>
      <c r="E184" s="11" t="n">
        <v>31</v>
      </c>
      <c r="F184" s="8" t="str">
        <f aca="false">IFERROR(INDEX(Section_Master!$D$2:$D$477,MATCH($E184,Section_Master!$A$2:$A$477,0))&amp;"","")</f>
        <v>Not applicable - no offence or penalty defined here (definition, exception or general provision)</v>
      </c>
      <c r="G184" s="10" t="str">
        <f aca="false">IFERROR(INDEX(Section_Master!$E$2:$E$477,MATCH($E184,Section_Master!$A$2:$A$477,0))&amp;"","")</f>
        <v>N/A</v>
      </c>
      <c r="H184" s="10" t="str">
        <f aca="false">IFERROR(INDEX(Section_Master!$F$2:$F$477,MATCH($E184,Section_Master!$A$2:$A$477,0))&amp;"","")</f>
        <v>N/A</v>
      </c>
      <c r="I184" s="10" t="str">
        <f aca="false">IFERROR(INDEX(Section_Master!$G$2:$G$477,MATCH($E184,Section_Master!$A$2:$A$477,0))&amp;"","")</f>
        <v>N/A</v>
      </c>
      <c r="J184" s="10" t="s">
        <v>55</v>
      </c>
      <c r="K184" s="8" t="s">
        <v>474</v>
      </c>
    </row>
    <row r="185" customFormat="false" ht="23.25" hidden="false" customHeight="true" outlineLevel="0" collapsed="false">
      <c r="A185" s="10" t="s">
        <v>479</v>
      </c>
      <c r="B185" s="10" t="s">
        <v>45</v>
      </c>
      <c r="C185" s="8" t="s">
        <v>472</v>
      </c>
      <c r="D185" s="8" t="s">
        <v>480</v>
      </c>
      <c r="E185" s="11" t="n">
        <v>31</v>
      </c>
      <c r="F185" s="8" t="str">
        <f aca="false">IFERROR(INDEX(Section_Master!$D$2:$D$477,MATCH($E185,Section_Master!$A$2:$A$477,0))&amp;"","")</f>
        <v>Not applicable - no offence or penalty defined here (definition, exception or general provision)</v>
      </c>
      <c r="G185" s="10" t="str">
        <f aca="false">IFERROR(INDEX(Section_Master!$E$2:$E$477,MATCH($E185,Section_Master!$A$2:$A$477,0))&amp;"","")</f>
        <v>N/A</v>
      </c>
      <c r="H185" s="10" t="str">
        <f aca="false">IFERROR(INDEX(Section_Master!$F$2:$F$477,MATCH($E185,Section_Master!$A$2:$A$477,0))&amp;"","")</f>
        <v>N/A</v>
      </c>
      <c r="I185" s="10" t="str">
        <f aca="false">IFERROR(INDEX(Section_Master!$G$2:$G$477,MATCH($E185,Section_Master!$A$2:$A$477,0))&amp;"","")</f>
        <v>N/A</v>
      </c>
      <c r="J185" s="10" t="s">
        <v>58</v>
      </c>
      <c r="K185" s="8" t="s">
        <v>474</v>
      </c>
    </row>
    <row r="186" customFormat="false" ht="34.5" hidden="false" customHeight="true" outlineLevel="0" collapsed="false">
      <c r="A186" s="10" t="s">
        <v>481</v>
      </c>
      <c r="B186" s="10" t="s">
        <v>45</v>
      </c>
      <c r="C186" s="8" t="s">
        <v>472</v>
      </c>
      <c r="D186" s="8" t="s">
        <v>482</v>
      </c>
      <c r="E186" s="11" t="n">
        <v>31</v>
      </c>
      <c r="F186" s="8" t="str">
        <f aca="false">IFERROR(INDEX(Section_Master!$D$2:$D$477,MATCH($E186,Section_Master!$A$2:$A$477,0))&amp;"","")</f>
        <v>Not applicable - no offence or penalty defined here (definition, exception or general provision)</v>
      </c>
      <c r="G186" s="10" t="str">
        <f aca="false">IFERROR(INDEX(Section_Master!$E$2:$E$477,MATCH($E186,Section_Master!$A$2:$A$477,0))&amp;"","")</f>
        <v>N/A</v>
      </c>
      <c r="H186" s="10" t="str">
        <f aca="false">IFERROR(INDEX(Section_Master!$F$2:$F$477,MATCH($E186,Section_Master!$A$2:$A$477,0))&amp;"","")</f>
        <v>N/A</v>
      </c>
      <c r="I186" s="10" t="str">
        <f aca="false">IFERROR(INDEX(Section_Master!$G$2:$G$477,MATCH($E186,Section_Master!$A$2:$A$477,0))&amp;"","")</f>
        <v>N/A</v>
      </c>
      <c r="J186" s="10" t="s">
        <v>61</v>
      </c>
      <c r="K186" s="8" t="s">
        <v>474</v>
      </c>
    </row>
    <row r="187" customFormat="false" ht="34.5" hidden="false" customHeight="true" outlineLevel="0" collapsed="false">
      <c r="A187" s="10" t="s">
        <v>483</v>
      </c>
      <c r="B187" s="10" t="s">
        <v>45</v>
      </c>
      <c r="C187" s="8" t="s">
        <v>472</v>
      </c>
      <c r="D187" s="8" t="s">
        <v>484</v>
      </c>
      <c r="E187" s="11" t="n">
        <v>31</v>
      </c>
      <c r="F187" s="8" t="str">
        <f aca="false">IFERROR(INDEX(Section_Master!$D$2:$D$477,MATCH($E187,Section_Master!$A$2:$A$477,0))&amp;"","")</f>
        <v>Not applicable - no offence or penalty defined here (definition, exception or general provision)</v>
      </c>
      <c r="G187" s="10" t="str">
        <f aca="false">IFERROR(INDEX(Section_Master!$E$2:$E$477,MATCH($E187,Section_Master!$A$2:$A$477,0))&amp;"","")</f>
        <v>N/A</v>
      </c>
      <c r="H187" s="10" t="str">
        <f aca="false">IFERROR(INDEX(Section_Master!$F$2:$F$477,MATCH($E187,Section_Master!$A$2:$A$477,0))&amp;"","")</f>
        <v>N/A</v>
      </c>
      <c r="I187" s="10" t="str">
        <f aca="false">IFERROR(INDEX(Section_Master!$G$2:$G$477,MATCH($E187,Section_Master!$A$2:$A$477,0))&amp;"","")</f>
        <v>N/A</v>
      </c>
      <c r="J187" s="10" t="s">
        <v>64</v>
      </c>
      <c r="K187" s="8" t="s">
        <v>474</v>
      </c>
    </row>
    <row r="188" customFormat="false" ht="34.5" hidden="false" customHeight="true" outlineLevel="0" collapsed="false">
      <c r="A188" s="10" t="s">
        <v>485</v>
      </c>
      <c r="B188" s="10" t="s">
        <v>45</v>
      </c>
      <c r="C188" s="8" t="s">
        <v>486</v>
      </c>
      <c r="D188" s="8" t="s">
        <v>487</v>
      </c>
      <c r="E188" s="11" t="n">
        <v>32</v>
      </c>
      <c r="F188" s="8" t="str">
        <f aca="false">IFERROR(INDEX(Section_Master!$D$2:$D$477,MATCH($E188,Section_Master!$A$2:$A$477,0))&amp;"","")</f>
        <v>Not applicable - no offence or penalty defined here (definition, exception or general provision)</v>
      </c>
      <c r="G188" s="10" t="str">
        <f aca="false">IFERROR(INDEX(Section_Master!$E$2:$E$477,MATCH($E188,Section_Master!$A$2:$A$477,0))&amp;"","")</f>
        <v>N/A</v>
      </c>
      <c r="H188" s="10" t="str">
        <f aca="false">IFERROR(INDEX(Section_Master!$F$2:$F$477,MATCH($E188,Section_Master!$A$2:$A$477,0))&amp;"","")</f>
        <v>N/A</v>
      </c>
      <c r="I188" s="10" t="str">
        <f aca="false">IFERROR(INDEX(Section_Master!$G$2:$G$477,MATCH($E188,Section_Master!$A$2:$A$477,0))&amp;"","")</f>
        <v>N/A</v>
      </c>
      <c r="J188" s="10" t="s">
        <v>48</v>
      </c>
      <c r="K188" s="8" t="s">
        <v>488</v>
      </c>
    </row>
    <row r="189" customFormat="false" ht="45.75" hidden="false" customHeight="true" outlineLevel="0" collapsed="false">
      <c r="A189" s="10" t="s">
        <v>489</v>
      </c>
      <c r="B189" s="10" t="s">
        <v>45</v>
      </c>
      <c r="C189" s="8" t="s">
        <v>486</v>
      </c>
      <c r="D189" s="8" t="s">
        <v>490</v>
      </c>
      <c r="E189" s="11" t="n">
        <v>32</v>
      </c>
      <c r="F189" s="8" t="str">
        <f aca="false">IFERROR(INDEX(Section_Master!$D$2:$D$477,MATCH($E189,Section_Master!$A$2:$A$477,0))&amp;"","")</f>
        <v>Not applicable - no offence or penalty defined here (definition, exception or general provision)</v>
      </c>
      <c r="G189" s="10" t="str">
        <f aca="false">IFERROR(INDEX(Section_Master!$E$2:$E$477,MATCH($E189,Section_Master!$A$2:$A$477,0))&amp;"","")</f>
        <v>N/A</v>
      </c>
      <c r="H189" s="10" t="str">
        <f aca="false">IFERROR(INDEX(Section_Master!$F$2:$F$477,MATCH($E189,Section_Master!$A$2:$A$477,0))&amp;"","")</f>
        <v>N/A</v>
      </c>
      <c r="I189" s="10" t="str">
        <f aca="false">IFERROR(INDEX(Section_Master!$G$2:$G$477,MATCH($E189,Section_Master!$A$2:$A$477,0))&amp;"","")</f>
        <v>N/A</v>
      </c>
      <c r="J189" s="10" t="s">
        <v>52</v>
      </c>
      <c r="K189" s="8" t="s">
        <v>488</v>
      </c>
    </row>
    <row r="190" customFormat="false" ht="34.5" hidden="false" customHeight="true" outlineLevel="0" collapsed="false">
      <c r="A190" s="10" t="s">
        <v>491</v>
      </c>
      <c r="B190" s="10" t="s">
        <v>45</v>
      </c>
      <c r="C190" s="8" t="s">
        <v>486</v>
      </c>
      <c r="D190" s="8" t="s">
        <v>492</v>
      </c>
      <c r="E190" s="11" t="n">
        <v>32</v>
      </c>
      <c r="F190" s="8" t="str">
        <f aca="false">IFERROR(INDEX(Section_Master!$D$2:$D$477,MATCH($E190,Section_Master!$A$2:$A$477,0))&amp;"","")</f>
        <v>Not applicable - no offence or penalty defined here (definition, exception or general provision)</v>
      </c>
      <c r="G190" s="10" t="str">
        <f aca="false">IFERROR(INDEX(Section_Master!$E$2:$E$477,MATCH($E190,Section_Master!$A$2:$A$477,0))&amp;"","")</f>
        <v>N/A</v>
      </c>
      <c r="H190" s="10" t="str">
        <f aca="false">IFERROR(INDEX(Section_Master!$F$2:$F$477,MATCH($E190,Section_Master!$A$2:$A$477,0))&amp;"","")</f>
        <v>N/A</v>
      </c>
      <c r="I190" s="10" t="str">
        <f aca="false">IFERROR(INDEX(Section_Master!$G$2:$G$477,MATCH($E190,Section_Master!$A$2:$A$477,0))&amp;"","")</f>
        <v>N/A</v>
      </c>
      <c r="J190" s="10" t="s">
        <v>55</v>
      </c>
      <c r="K190" s="8" t="s">
        <v>488</v>
      </c>
    </row>
    <row r="191" customFormat="false" ht="23.25" hidden="false" customHeight="true" outlineLevel="0" collapsed="false">
      <c r="A191" s="10" t="s">
        <v>493</v>
      </c>
      <c r="B191" s="10" t="s">
        <v>45</v>
      </c>
      <c r="C191" s="8" t="s">
        <v>486</v>
      </c>
      <c r="D191" s="8" t="s">
        <v>494</v>
      </c>
      <c r="E191" s="11" t="n">
        <v>32</v>
      </c>
      <c r="F191" s="8" t="str">
        <f aca="false">IFERROR(INDEX(Section_Master!$D$2:$D$477,MATCH($E191,Section_Master!$A$2:$A$477,0))&amp;"","")</f>
        <v>Not applicable - no offence or penalty defined here (definition, exception or general provision)</v>
      </c>
      <c r="G191" s="10" t="str">
        <f aca="false">IFERROR(INDEX(Section_Master!$E$2:$E$477,MATCH($E191,Section_Master!$A$2:$A$477,0))&amp;"","")</f>
        <v>N/A</v>
      </c>
      <c r="H191" s="10" t="str">
        <f aca="false">IFERROR(INDEX(Section_Master!$F$2:$F$477,MATCH($E191,Section_Master!$A$2:$A$477,0))&amp;"","")</f>
        <v>N/A</v>
      </c>
      <c r="I191" s="10" t="str">
        <f aca="false">IFERROR(INDEX(Section_Master!$G$2:$G$477,MATCH($E191,Section_Master!$A$2:$A$477,0))&amp;"","")</f>
        <v>N/A</v>
      </c>
      <c r="J191" s="10" t="s">
        <v>58</v>
      </c>
      <c r="K191" s="8" t="s">
        <v>488</v>
      </c>
    </row>
    <row r="192" customFormat="false" ht="34.5" hidden="false" customHeight="true" outlineLevel="0" collapsed="false">
      <c r="A192" s="10" t="s">
        <v>495</v>
      </c>
      <c r="B192" s="10" t="s">
        <v>45</v>
      </c>
      <c r="C192" s="8" t="s">
        <v>486</v>
      </c>
      <c r="D192" s="8" t="s">
        <v>496</v>
      </c>
      <c r="E192" s="11" t="n">
        <v>32</v>
      </c>
      <c r="F192" s="8" t="str">
        <f aca="false">IFERROR(INDEX(Section_Master!$D$2:$D$477,MATCH($E192,Section_Master!$A$2:$A$477,0))&amp;"","")</f>
        <v>Not applicable - no offence or penalty defined here (definition, exception or general provision)</v>
      </c>
      <c r="G192" s="10" t="str">
        <f aca="false">IFERROR(INDEX(Section_Master!$E$2:$E$477,MATCH($E192,Section_Master!$A$2:$A$477,0))&amp;"","")</f>
        <v>N/A</v>
      </c>
      <c r="H192" s="10" t="str">
        <f aca="false">IFERROR(INDEX(Section_Master!$F$2:$F$477,MATCH($E192,Section_Master!$A$2:$A$477,0))&amp;"","")</f>
        <v>N/A</v>
      </c>
      <c r="I192" s="10" t="str">
        <f aca="false">IFERROR(INDEX(Section_Master!$G$2:$G$477,MATCH($E192,Section_Master!$A$2:$A$477,0))&amp;"","")</f>
        <v>N/A</v>
      </c>
      <c r="J192" s="10" t="s">
        <v>61</v>
      </c>
      <c r="K192" s="8" t="s">
        <v>488</v>
      </c>
    </row>
    <row r="193" customFormat="false" ht="34.5" hidden="false" customHeight="true" outlineLevel="0" collapsed="false">
      <c r="A193" s="10" t="s">
        <v>497</v>
      </c>
      <c r="B193" s="10" t="s">
        <v>45</v>
      </c>
      <c r="C193" s="8" t="s">
        <v>486</v>
      </c>
      <c r="D193" s="8" t="s">
        <v>498</v>
      </c>
      <c r="E193" s="11" t="n">
        <v>32</v>
      </c>
      <c r="F193" s="8" t="str">
        <f aca="false">IFERROR(INDEX(Section_Master!$D$2:$D$477,MATCH($E193,Section_Master!$A$2:$A$477,0))&amp;"","")</f>
        <v>Not applicable - no offence or penalty defined here (definition, exception or general provision)</v>
      </c>
      <c r="G193" s="10" t="str">
        <f aca="false">IFERROR(INDEX(Section_Master!$E$2:$E$477,MATCH($E193,Section_Master!$A$2:$A$477,0))&amp;"","")</f>
        <v>N/A</v>
      </c>
      <c r="H193" s="10" t="str">
        <f aca="false">IFERROR(INDEX(Section_Master!$F$2:$F$477,MATCH($E193,Section_Master!$A$2:$A$477,0))&amp;"","")</f>
        <v>N/A</v>
      </c>
      <c r="I193" s="10" t="str">
        <f aca="false">IFERROR(INDEX(Section_Master!$G$2:$G$477,MATCH($E193,Section_Master!$A$2:$A$477,0))&amp;"","")</f>
        <v>N/A</v>
      </c>
      <c r="J193" s="10" t="s">
        <v>64</v>
      </c>
      <c r="K193" s="8" t="s">
        <v>488</v>
      </c>
    </row>
    <row r="194" customFormat="false" ht="23.25" hidden="false" customHeight="true" outlineLevel="0" collapsed="false">
      <c r="A194" s="10" t="s">
        <v>499</v>
      </c>
      <c r="B194" s="10" t="s">
        <v>45</v>
      </c>
      <c r="C194" s="8" t="s">
        <v>500</v>
      </c>
      <c r="D194" s="8" t="s">
        <v>501</v>
      </c>
      <c r="E194" s="11" t="n">
        <v>33</v>
      </c>
      <c r="F194" s="8" t="str">
        <f aca="false">IFERROR(INDEX(Section_Master!$D$2:$D$477,MATCH($E194,Section_Master!$A$2:$A$477,0))&amp;"","")</f>
        <v>Not applicable - no offence or penalty defined here (definition, exception or general provision)</v>
      </c>
      <c r="G194" s="10" t="str">
        <f aca="false">IFERROR(INDEX(Section_Master!$E$2:$E$477,MATCH($E194,Section_Master!$A$2:$A$477,0))&amp;"","")</f>
        <v>N/A</v>
      </c>
      <c r="H194" s="10" t="str">
        <f aca="false">IFERROR(INDEX(Section_Master!$F$2:$F$477,MATCH($E194,Section_Master!$A$2:$A$477,0))&amp;"","")</f>
        <v>N/A</v>
      </c>
      <c r="I194" s="10" t="str">
        <f aca="false">IFERROR(INDEX(Section_Master!$G$2:$G$477,MATCH($E194,Section_Master!$A$2:$A$477,0))&amp;"","")</f>
        <v>N/A</v>
      </c>
      <c r="J194" s="10" t="s">
        <v>48</v>
      </c>
      <c r="K194" s="8" t="s">
        <v>502</v>
      </c>
    </row>
    <row r="195" customFormat="false" ht="34.5" hidden="false" customHeight="true" outlineLevel="0" collapsed="false">
      <c r="A195" s="10" t="s">
        <v>503</v>
      </c>
      <c r="B195" s="10" t="s">
        <v>45</v>
      </c>
      <c r="C195" s="8" t="s">
        <v>500</v>
      </c>
      <c r="D195" s="8" t="s">
        <v>504</v>
      </c>
      <c r="E195" s="11" t="n">
        <v>33</v>
      </c>
      <c r="F195" s="8" t="str">
        <f aca="false">IFERROR(INDEX(Section_Master!$D$2:$D$477,MATCH($E195,Section_Master!$A$2:$A$477,0))&amp;"","")</f>
        <v>Not applicable - no offence or penalty defined here (definition, exception or general provision)</v>
      </c>
      <c r="G195" s="10" t="str">
        <f aca="false">IFERROR(INDEX(Section_Master!$E$2:$E$477,MATCH($E195,Section_Master!$A$2:$A$477,0))&amp;"","")</f>
        <v>N/A</v>
      </c>
      <c r="H195" s="10" t="str">
        <f aca="false">IFERROR(INDEX(Section_Master!$F$2:$F$477,MATCH($E195,Section_Master!$A$2:$A$477,0))&amp;"","")</f>
        <v>N/A</v>
      </c>
      <c r="I195" s="10" t="str">
        <f aca="false">IFERROR(INDEX(Section_Master!$G$2:$G$477,MATCH($E195,Section_Master!$A$2:$A$477,0))&amp;"","")</f>
        <v>N/A</v>
      </c>
      <c r="J195" s="10" t="s">
        <v>52</v>
      </c>
      <c r="K195" s="8" t="s">
        <v>502</v>
      </c>
    </row>
    <row r="196" customFormat="false" ht="34.5" hidden="false" customHeight="true" outlineLevel="0" collapsed="false">
      <c r="A196" s="10" t="s">
        <v>505</v>
      </c>
      <c r="B196" s="10" t="s">
        <v>45</v>
      </c>
      <c r="C196" s="8" t="s">
        <v>500</v>
      </c>
      <c r="D196" s="8" t="s">
        <v>506</v>
      </c>
      <c r="E196" s="11" t="n">
        <v>33</v>
      </c>
      <c r="F196" s="8" t="str">
        <f aca="false">IFERROR(INDEX(Section_Master!$D$2:$D$477,MATCH($E196,Section_Master!$A$2:$A$477,0))&amp;"","")</f>
        <v>Not applicable - no offence or penalty defined here (definition, exception or general provision)</v>
      </c>
      <c r="G196" s="10" t="str">
        <f aca="false">IFERROR(INDEX(Section_Master!$E$2:$E$477,MATCH($E196,Section_Master!$A$2:$A$477,0))&amp;"","")</f>
        <v>N/A</v>
      </c>
      <c r="H196" s="10" t="str">
        <f aca="false">IFERROR(INDEX(Section_Master!$F$2:$F$477,MATCH($E196,Section_Master!$A$2:$A$477,0))&amp;"","")</f>
        <v>N/A</v>
      </c>
      <c r="I196" s="10" t="str">
        <f aca="false">IFERROR(INDEX(Section_Master!$G$2:$G$477,MATCH($E196,Section_Master!$A$2:$A$477,0))&amp;"","")</f>
        <v>N/A</v>
      </c>
      <c r="J196" s="10" t="s">
        <v>55</v>
      </c>
      <c r="K196" s="8" t="s">
        <v>502</v>
      </c>
    </row>
    <row r="197" customFormat="false" ht="23.25" hidden="false" customHeight="true" outlineLevel="0" collapsed="false">
      <c r="A197" s="10" t="s">
        <v>507</v>
      </c>
      <c r="B197" s="10" t="s">
        <v>45</v>
      </c>
      <c r="C197" s="8" t="s">
        <v>500</v>
      </c>
      <c r="D197" s="8" t="s">
        <v>508</v>
      </c>
      <c r="E197" s="11" t="n">
        <v>33</v>
      </c>
      <c r="F197" s="8" t="str">
        <f aca="false">IFERROR(INDEX(Section_Master!$D$2:$D$477,MATCH($E197,Section_Master!$A$2:$A$477,0))&amp;"","")</f>
        <v>Not applicable - no offence or penalty defined here (definition, exception or general provision)</v>
      </c>
      <c r="G197" s="10" t="str">
        <f aca="false">IFERROR(INDEX(Section_Master!$E$2:$E$477,MATCH($E197,Section_Master!$A$2:$A$477,0))&amp;"","")</f>
        <v>N/A</v>
      </c>
      <c r="H197" s="10" t="str">
        <f aca="false">IFERROR(INDEX(Section_Master!$F$2:$F$477,MATCH($E197,Section_Master!$A$2:$A$477,0))&amp;"","")</f>
        <v>N/A</v>
      </c>
      <c r="I197" s="10" t="str">
        <f aca="false">IFERROR(INDEX(Section_Master!$G$2:$G$477,MATCH($E197,Section_Master!$A$2:$A$477,0))&amp;"","")</f>
        <v>N/A</v>
      </c>
      <c r="J197" s="10" t="s">
        <v>58</v>
      </c>
      <c r="K197" s="8" t="s">
        <v>502</v>
      </c>
    </row>
    <row r="198" customFormat="false" ht="34.5" hidden="false" customHeight="true" outlineLevel="0" collapsed="false">
      <c r="A198" s="10" t="s">
        <v>509</v>
      </c>
      <c r="B198" s="10" t="s">
        <v>45</v>
      </c>
      <c r="C198" s="8" t="s">
        <v>500</v>
      </c>
      <c r="D198" s="8" t="s">
        <v>510</v>
      </c>
      <c r="E198" s="11" t="n">
        <v>33</v>
      </c>
      <c r="F198" s="8" t="str">
        <f aca="false">IFERROR(INDEX(Section_Master!$D$2:$D$477,MATCH($E198,Section_Master!$A$2:$A$477,0))&amp;"","")</f>
        <v>Not applicable - no offence or penalty defined here (definition, exception or general provision)</v>
      </c>
      <c r="G198" s="10" t="str">
        <f aca="false">IFERROR(INDEX(Section_Master!$E$2:$E$477,MATCH($E198,Section_Master!$A$2:$A$477,0))&amp;"","")</f>
        <v>N/A</v>
      </c>
      <c r="H198" s="10" t="str">
        <f aca="false">IFERROR(INDEX(Section_Master!$F$2:$F$477,MATCH($E198,Section_Master!$A$2:$A$477,0))&amp;"","")</f>
        <v>N/A</v>
      </c>
      <c r="I198" s="10" t="str">
        <f aca="false">IFERROR(INDEX(Section_Master!$G$2:$G$477,MATCH($E198,Section_Master!$A$2:$A$477,0))&amp;"","")</f>
        <v>N/A</v>
      </c>
      <c r="J198" s="10" t="s">
        <v>61</v>
      </c>
      <c r="K198" s="8" t="s">
        <v>502</v>
      </c>
    </row>
    <row r="199" customFormat="false" ht="34.5" hidden="false" customHeight="true" outlineLevel="0" collapsed="false">
      <c r="A199" s="10" t="s">
        <v>511</v>
      </c>
      <c r="B199" s="10" t="s">
        <v>45</v>
      </c>
      <c r="C199" s="8" t="s">
        <v>500</v>
      </c>
      <c r="D199" s="8" t="s">
        <v>512</v>
      </c>
      <c r="E199" s="11" t="n">
        <v>33</v>
      </c>
      <c r="F199" s="8" t="str">
        <f aca="false">IFERROR(INDEX(Section_Master!$D$2:$D$477,MATCH($E199,Section_Master!$A$2:$A$477,0))&amp;"","")</f>
        <v>Not applicable - no offence or penalty defined here (definition, exception or general provision)</v>
      </c>
      <c r="G199" s="10" t="str">
        <f aca="false">IFERROR(INDEX(Section_Master!$E$2:$E$477,MATCH($E199,Section_Master!$A$2:$A$477,0))&amp;"","")</f>
        <v>N/A</v>
      </c>
      <c r="H199" s="10" t="str">
        <f aca="false">IFERROR(INDEX(Section_Master!$F$2:$F$477,MATCH($E199,Section_Master!$A$2:$A$477,0))&amp;"","")</f>
        <v>N/A</v>
      </c>
      <c r="I199" s="10" t="str">
        <f aca="false">IFERROR(INDEX(Section_Master!$G$2:$G$477,MATCH($E199,Section_Master!$A$2:$A$477,0))&amp;"","")</f>
        <v>N/A</v>
      </c>
      <c r="J199" s="10" t="s">
        <v>64</v>
      </c>
      <c r="K199" s="8" t="s">
        <v>502</v>
      </c>
    </row>
    <row r="200" customFormat="false" ht="23.25" hidden="false" customHeight="true" outlineLevel="0" collapsed="false">
      <c r="A200" s="10" t="s">
        <v>513</v>
      </c>
      <c r="B200" s="10" t="s">
        <v>45</v>
      </c>
      <c r="C200" s="8" t="s">
        <v>514</v>
      </c>
      <c r="D200" s="8" t="s">
        <v>515</v>
      </c>
      <c r="E200" s="11" t="n">
        <v>34</v>
      </c>
      <c r="F200" s="8" t="str">
        <f aca="false">IFERROR(INDEX(Section_Master!$D$2:$D$477,MATCH($E200,Section_Master!$A$2:$A$477,0))&amp;"","")</f>
        <v>Not applicable - no offence or penalty defined here (definition, exception or general provision)</v>
      </c>
      <c r="G200" s="10" t="str">
        <f aca="false">IFERROR(INDEX(Section_Master!$E$2:$E$477,MATCH($E200,Section_Master!$A$2:$A$477,0))&amp;"","")</f>
        <v>N/A</v>
      </c>
      <c r="H200" s="10" t="str">
        <f aca="false">IFERROR(INDEX(Section_Master!$F$2:$F$477,MATCH($E200,Section_Master!$A$2:$A$477,0))&amp;"","")</f>
        <v>N/A</v>
      </c>
      <c r="I200" s="10" t="str">
        <f aca="false">IFERROR(INDEX(Section_Master!$G$2:$G$477,MATCH($E200,Section_Master!$A$2:$A$477,0))&amp;"","")</f>
        <v>N/A</v>
      </c>
      <c r="J200" s="10" t="s">
        <v>48</v>
      </c>
      <c r="K200" s="8" t="s">
        <v>516</v>
      </c>
    </row>
    <row r="201" customFormat="false" ht="34.5" hidden="false" customHeight="true" outlineLevel="0" collapsed="false">
      <c r="A201" s="10" t="s">
        <v>517</v>
      </c>
      <c r="B201" s="10" t="s">
        <v>45</v>
      </c>
      <c r="C201" s="8" t="s">
        <v>514</v>
      </c>
      <c r="D201" s="8" t="s">
        <v>518</v>
      </c>
      <c r="E201" s="11" t="n">
        <v>34</v>
      </c>
      <c r="F201" s="8" t="str">
        <f aca="false">IFERROR(INDEX(Section_Master!$D$2:$D$477,MATCH($E201,Section_Master!$A$2:$A$477,0))&amp;"","")</f>
        <v>Not applicable - no offence or penalty defined here (definition, exception or general provision)</v>
      </c>
      <c r="G201" s="10" t="str">
        <f aca="false">IFERROR(INDEX(Section_Master!$E$2:$E$477,MATCH($E201,Section_Master!$A$2:$A$477,0))&amp;"","")</f>
        <v>N/A</v>
      </c>
      <c r="H201" s="10" t="str">
        <f aca="false">IFERROR(INDEX(Section_Master!$F$2:$F$477,MATCH($E201,Section_Master!$A$2:$A$477,0))&amp;"","")</f>
        <v>N/A</v>
      </c>
      <c r="I201" s="10" t="str">
        <f aca="false">IFERROR(INDEX(Section_Master!$G$2:$G$477,MATCH($E201,Section_Master!$A$2:$A$477,0))&amp;"","")</f>
        <v>N/A</v>
      </c>
      <c r="J201" s="10" t="s">
        <v>52</v>
      </c>
      <c r="K201" s="8" t="s">
        <v>516</v>
      </c>
    </row>
    <row r="202" customFormat="false" ht="23.25" hidden="false" customHeight="true" outlineLevel="0" collapsed="false">
      <c r="A202" s="10" t="s">
        <v>519</v>
      </c>
      <c r="B202" s="10" t="s">
        <v>45</v>
      </c>
      <c r="C202" s="8" t="s">
        <v>514</v>
      </c>
      <c r="D202" s="8" t="s">
        <v>520</v>
      </c>
      <c r="E202" s="11" t="n">
        <v>34</v>
      </c>
      <c r="F202" s="8" t="str">
        <f aca="false">IFERROR(INDEX(Section_Master!$D$2:$D$477,MATCH($E202,Section_Master!$A$2:$A$477,0))&amp;"","")</f>
        <v>Not applicable - no offence or penalty defined here (definition, exception or general provision)</v>
      </c>
      <c r="G202" s="10" t="str">
        <f aca="false">IFERROR(INDEX(Section_Master!$E$2:$E$477,MATCH($E202,Section_Master!$A$2:$A$477,0))&amp;"","")</f>
        <v>N/A</v>
      </c>
      <c r="H202" s="10" t="str">
        <f aca="false">IFERROR(INDEX(Section_Master!$F$2:$F$477,MATCH($E202,Section_Master!$A$2:$A$477,0))&amp;"","")</f>
        <v>N/A</v>
      </c>
      <c r="I202" s="10" t="str">
        <f aca="false">IFERROR(INDEX(Section_Master!$G$2:$G$477,MATCH($E202,Section_Master!$A$2:$A$477,0))&amp;"","")</f>
        <v>N/A</v>
      </c>
      <c r="J202" s="10" t="s">
        <v>55</v>
      </c>
      <c r="K202" s="8" t="s">
        <v>516</v>
      </c>
    </row>
    <row r="203" customFormat="false" ht="23.25" hidden="false" customHeight="true" outlineLevel="0" collapsed="false">
      <c r="A203" s="10" t="s">
        <v>521</v>
      </c>
      <c r="B203" s="10" t="s">
        <v>45</v>
      </c>
      <c r="C203" s="8" t="s">
        <v>514</v>
      </c>
      <c r="D203" s="8" t="s">
        <v>522</v>
      </c>
      <c r="E203" s="11" t="n">
        <v>34</v>
      </c>
      <c r="F203" s="8" t="str">
        <f aca="false">IFERROR(INDEX(Section_Master!$D$2:$D$477,MATCH($E203,Section_Master!$A$2:$A$477,0))&amp;"","")</f>
        <v>Not applicable - no offence or penalty defined here (definition, exception or general provision)</v>
      </c>
      <c r="G203" s="10" t="str">
        <f aca="false">IFERROR(INDEX(Section_Master!$E$2:$E$477,MATCH($E203,Section_Master!$A$2:$A$477,0))&amp;"","")</f>
        <v>N/A</v>
      </c>
      <c r="H203" s="10" t="str">
        <f aca="false">IFERROR(INDEX(Section_Master!$F$2:$F$477,MATCH($E203,Section_Master!$A$2:$A$477,0))&amp;"","")</f>
        <v>N/A</v>
      </c>
      <c r="I203" s="10" t="str">
        <f aca="false">IFERROR(INDEX(Section_Master!$G$2:$G$477,MATCH($E203,Section_Master!$A$2:$A$477,0))&amp;"","")</f>
        <v>N/A</v>
      </c>
      <c r="J203" s="10" t="s">
        <v>58</v>
      </c>
      <c r="K203" s="8" t="s">
        <v>516</v>
      </c>
    </row>
    <row r="204" customFormat="false" ht="34.5" hidden="false" customHeight="true" outlineLevel="0" collapsed="false">
      <c r="A204" s="10" t="s">
        <v>523</v>
      </c>
      <c r="B204" s="10" t="s">
        <v>45</v>
      </c>
      <c r="C204" s="8" t="s">
        <v>514</v>
      </c>
      <c r="D204" s="8" t="s">
        <v>524</v>
      </c>
      <c r="E204" s="11" t="n">
        <v>34</v>
      </c>
      <c r="F204" s="8" t="str">
        <f aca="false">IFERROR(INDEX(Section_Master!$D$2:$D$477,MATCH($E204,Section_Master!$A$2:$A$477,0))&amp;"","")</f>
        <v>Not applicable - no offence or penalty defined here (definition, exception or general provision)</v>
      </c>
      <c r="G204" s="10" t="str">
        <f aca="false">IFERROR(INDEX(Section_Master!$E$2:$E$477,MATCH($E204,Section_Master!$A$2:$A$477,0))&amp;"","")</f>
        <v>N/A</v>
      </c>
      <c r="H204" s="10" t="str">
        <f aca="false">IFERROR(INDEX(Section_Master!$F$2:$F$477,MATCH($E204,Section_Master!$A$2:$A$477,0))&amp;"","")</f>
        <v>N/A</v>
      </c>
      <c r="I204" s="10" t="str">
        <f aca="false">IFERROR(INDEX(Section_Master!$G$2:$G$477,MATCH($E204,Section_Master!$A$2:$A$477,0))&amp;"","")</f>
        <v>N/A</v>
      </c>
      <c r="J204" s="10" t="s">
        <v>61</v>
      </c>
      <c r="K204" s="8" t="s">
        <v>516</v>
      </c>
    </row>
    <row r="205" customFormat="false" ht="34.5" hidden="false" customHeight="true" outlineLevel="0" collapsed="false">
      <c r="A205" s="10" t="s">
        <v>525</v>
      </c>
      <c r="B205" s="10" t="s">
        <v>45</v>
      </c>
      <c r="C205" s="8" t="s">
        <v>514</v>
      </c>
      <c r="D205" s="8" t="s">
        <v>526</v>
      </c>
      <c r="E205" s="11" t="n">
        <v>34</v>
      </c>
      <c r="F205" s="8" t="str">
        <f aca="false">IFERROR(INDEX(Section_Master!$D$2:$D$477,MATCH($E205,Section_Master!$A$2:$A$477,0))&amp;"","")</f>
        <v>Not applicable - no offence or penalty defined here (definition, exception or general provision)</v>
      </c>
      <c r="G205" s="10" t="str">
        <f aca="false">IFERROR(INDEX(Section_Master!$E$2:$E$477,MATCH($E205,Section_Master!$A$2:$A$477,0))&amp;"","")</f>
        <v>N/A</v>
      </c>
      <c r="H205" s="10" t="str">
        <f aca="false">IFERROR(INDEX(Section_Master!$F$2:$F$477,MATCH($E205,Section_Master!$A$2:$A$477,0))&amp;"","")</f>
        <v>N/A</v>
      </c>
      <c r="I205" s="10" t="str">
        <f aca="false">IFERROR(INDEX(Section_Master!$G$2:$G$477,MATCH($E205,Section_Master!$A$2:$A$477,0))&amp;"","")</f>
        <v>N/A</v>
      </c>
      <c r="J205" s="10" t="s">
        <v>64</v>
      </c>
      <c r="K205" s="8" t="s">
        <v>516</v>
      </c>
    </row>
    <row r="206" customFormat="false" ht="23.25" hidden="false" customHeight="true" outlineLevel="0" collapsed="false">
      <c r="A206" s="10" t="s">
        <v>527</v>
      </c>
      <c r="B206" s="10" t="s">
        <v>45</v>
      </c>
      <c r="C206" s="8" t="s">
        <v>528</v>
      </c>
      <c r="D206" s="8" t="s">
        <v>529</v>
      </c>
      <c r="E206" s="11" t="n">
        <v>35</v>
      </c>
      <c r="F206" s="8" t="str">
        <f aca="false">IFERROR(INDEX(Section_Master!$D$2:$D$477,MATCH($E206,Section_Master!$A$2:$A$477,0))&amp;"","")</f>
        <v>Not applicable - no offence or penalty defined here (definition, exception or general provision)</v>
      </c>
      <c r="G206" s="10" t="str">
        <f aca="false">IFERROR(INDEX(Section_Master!$E$2:$E$477,MATCH($E206,Section_Master!$A$2:$A$477,0))&amp;"","")</f>
        <v>N/A</v>
      </c>
      <c r="H206" s="10" t="str">
        <f aca="false">IFERROR(INDEX(Section_Master!$F$2:$F$477,MATCH($E206,Section_Master!$A$2:$A$477,0))&amp;"","")</f>
        <v>N/A</v>
      </c>
      <c r="I206" s="10" t="str">
        <f aca="false">IFERROR(INDEX(Section_Master!$G$2:$G$477,MATCH($E206,Section_Master!$A$2:$A$477,0))&amp;"","")</f>
        <v>N/A</v>
      </c>
      <c r="J206" s="10" t="s">
        <v>48</v>
      </c>
      <c r="K206" s="8" t="s">
        <v>530</v>
      </c>
    </row>
    <row r="207" customFormat="false" ht="45.75" hidden="false" customHeight="true" outlineLevel="0" collapsed="false">
      <c r="A207" s="10" t="s">
        <v>531</v>
      </c>
      <c r="B207" s="10" t="s">
        <v>45</v>
      </c>
      <c r="C207" s="8" t="s">
        <v>528</v>
      </c>
      <c r="D207" s="8" t="s">
        <v>532</v>
      </c>
      <c r="E207" s="11" t="n">
        <v>35</v>
      </c>
      <c r="F207" s="8" t="str">
        <f aca="false">IFERROR(INDEX(Section_Master!$D$2:$D$477,MATCH($E207,Section_Master!$A$2:$A$477,0))&amp;"","")</f>
        <v>Not applicable - no offence or penalty defined here (definition, exception or general provision)</v>
      </c>
      <c r="G207" s="10" t="str">
        <f aca="false">IFERROR(INDEX(Section_Master!$E$2:$E$477,MATCH($E207,Section_Master!$A$2:$A$477,0))&amp;"","")</f>
        <v>N/A</v>
      </c>
      <c r="H207" s="10" t="str">
        <f aca="false">IFERROR(INDEX(Section_Master!$F$2:$F$477,MATCH($E207,Section_Master!$A$2:$A$477,0))&amp;"","")</f>
        <v>N/A</v>
      </c>
      <c r="I207" s="10" t="str">
        <f aca="false">IFERROR(INDEX(Section_Master!$G$2:$G$477,MATCH($E207,Section_Master!$A$2:$A$477,0))&amp;"","")</f>
        <v>N/A</v>
      </c>
      <c r="J207" s="10" t="s">
        <v>52</v>
      </c>
      <c r="K207" s="8" t="s">
        <v>530</v>
      </c>
    </row>
    <row r="208" customFormat="false" ht="34.5" hidden="false" customHeight="true" outlineLevel="0" collapsed="false">
      <c r="A208" s="10" t="s">
        <v>533</v>
      </c>
      <c r="B208" s="10" t="s">
        <v>45</v>
      </c>
      <c r="C208" s="8" t="s">
        <v>528</v>
      </c>
      <c r="D208" s="8" t="s">
        <v>534</v>
      </c>
      <c r="E208" s="11" t="n">
        <v>35</v>
      </c>
      <c r="F208" s="8" t="str">
        <f aca="false">IFERROR(INDEX(Section_Master!$D$2:$D$477,MATCH($E208,Section_Master!$A$2:$A$477,0))&amp;"","")</f>
        <v>Not applicable - no offence or penalty defined here (definition, exception or general provision)</v>
      </c>
      <c r="G208" s="10" t="str">
        <f aca="false">IFERROR(INDEX(Section_Master!$E$2:$E$477,MATCH($E208,Section_Master!$A$2:$A$477,0))&amp;"","")</f>
        <v>N/A</v>
      </c>
      <c r="H208" s="10" t="str">
        <f aca="false">IFERROR(INDEX(Section_Master!$F$2:$F$477,MATCH($E208,Section_Master!$A$2:$A$477,0))&amp;"","")</f>
        <v>N/A</v>
      </c>
      <c r="I208" s="10" t="str">
        <f aca="false">IFERROR(INDEX(Section_Master!$G$2:$G$477,MATCH($E208,Section_Master!$A$2:$A$477,0))&amp;"","")</f>
        <v>N/A</v>
      </c>
      <c r="J208" s="10" t="s">
        <v>55</v>
      </c>
      <c r="K208" s="8" t="s">
        <v>530</v>
      </c>
    </row>
    <row r="209" customFormat="false" ht="23.25" hidden="false" customHeight="true" outlineLevel="0" collapsed="false">
      <c r="A209" s="10" t="s">
        <v>535</v>
      </c>
      <c r="B209" s="10" t="s">
        <v>45</v>
      </c>
      <c r="C209" s="8" t="s">
        <v>528</v>
      </c>
      <c r="D209" s="8" t="s">
        <v>536</v>
      </c>
      <c r="E209" s="11" t="n">
        <v>35</v>
      </c>
      <c r="F209" s="8" t="str">
        <f aca="false">IFERROR(INDEX(Section_Master!$D$2:$D$477,MATCH($E209,Section_Master!$A$2:$A$477,0))&amp;"","")</f>
        <v>Not applicable - no offence or penalty defined here (definition, exception or general provision)</v>
      </c>
      <c r="G209" s="10" t="str">
        <f aca="false">IFERROR(INDEX(Section_Master!$E$2:$E$477,MATCH($E209,Section_Master!$A$2:$A$477,0))&amp;"","")</f>
        <v>N/A</v>
      </c>
      <c r="H209" s="10" t="str">
        <f aca="false">IFERROR(INDEX(Section_Master!$F$2:$F$477,MATCH($E209,Section_Master!$A$2:$A$477,0))&amp;"","")</f>
        <v>N/A</v>
      </c>
      <c r="I209" s="10" t="str">
        <f aca="false">IFERROR(INDEX(Section_Master!$G$2:$G$477,MATCH($E209,Section_Master!$A$2:$A$477,0))&amp;"","")</f>
        <v>N/A</v>
      </c>
      <c r="J209" s="10" t="s">
        <v>58</v>
      </c>
      <c r="K209" s="8" t="s">
        <v>530</v>
      </c>
    </row>
    <row r="210" customFormat="false" ht="23.25" hidden="false" customHeight="true" outlineLevel="0" collapsed="false">
      <c r="A210" s="10" t="s">
        <v>537</v>
      </c>
      <c r="B210" s="10" t="s">
        <v>45</v>
      </c>
      <c r="C210" s="8" t="s">
        <v>528</v>
      </c>
      <c r="D210" s="8" t="s">
        <v>538</v>
      </c>
      <c r="E210" s="11" t="n">
        <v>35</v>
      </c>
      <c r="F210" s="8" t="str">
        <f aca="false">IFERROR(INDEX(Section_Master!$D$2:$D$477,MATCH($E210,Section_Master!$A$2:$A$477,0))&amp;"","")</f>
        <v>Not applicable - no offence or penalty defined here (definition, exception or general provision)</v>
      </c>
      <c r="G210" s="10" t="str">
        <f aca="false">IFERROR(INDEX(Section_Master!$E$2:$E$477,MATCH($E210,Section_Master!$A$2:$A$477,0))&amp;"","")</f>
        <v>N/A</v>
      </c>
      <c r="H210" s="10" t="str">
        <f aca="false">IFERROR(INDEX(Section_Master!$F$2:$F$477,MATCH($E210,Section_Master!$A$2:$A$477,0))&amp;"","")</f>
        <v>N/A</v>
      </c>
      <c r="I210" s="10" t="str">
        <f aca="false">IFERROR(INDEX(Section_Master!$G$2:$G$477,MATCH($E210,Section_Master!$A$2:$A$477,0))&amp;"","")</f>
        <v>N/A</v>
      </c>
      <c r="J210" s="10" t="s">
        <v>61</v>
      </c>
      <c r="K210" s="8" t="s">
        <v>530</v>
      </c>
    </row>
    <row r="211" customFormat="false" ht="34.5" hidden="false" customHeight="true" outlineLevel="0" collapsed="false">
      <c r="A211" s="10" t="s">
        <v>539</v>
      </c>
      <c r="B211" s="10" t="s">
        <v>45</v>
      </c>
      <c r="C211" s="8" t="s">
        <v>528</v>
      </c>
      <c r="D211" s="8" t="s">
        <v>540</v>
      </c>
      <c r="E211" s="11" t="n">
        <v>35</v>
      </c>
      <c r="F211" s="8" t="str">
        <f aca="false">IFERROR(INDEX(Section_Master!$D$2:$D$477,MATCH($E211,Section_Master!$A$2:$A$477,0))&amp;"","")</f>
        <v>Not applicable - no offence or penalty defined here (definition, exception or general provision)</v>
      </c>
      <c r="G211" s="10" t="str">
        <f aca="false">IFERROR(INDEX(Section_Master!$E$2:$E$477,MATCH($E211,Section_Master!$A$2:$A$477,0))&amp;"","")</f>
        <v>N/A</v>
      </c>
      <c r="H211" s="10" t="str">
        <f aca="false">IFERROR(INDEX(Section_Master!$F$2:$F$477,MATCH($E211,Section_Master!$A$2:$A$477,0))&amp;"","")</f>
        <v>N/A</v>
      </c>
      <c r="I211" s="10" t="str">
        <f aca="false">IFERROR(INDEX(Section_Master!$G$2:$G$477,MATCH($E211,Section_Master!$A$2:$A$477,0))&amp;"","")</f>
        <v>N/A</v>
      </c>
      <c r="J211" s="10" t="s">
        <v>64</v>
      </c>
      <c r="K211" s="8" t="s">
        <v>530</v>
      </c>
    </row>
    <row r="212" customFormat="false" ht="34.5" hidden="false" customHeight="true" outlineLevel="0" collapsed="false">
      <c r="A212" s="10" t="s">
        <v>541</v>
      </c>
      <c r="B212" s="10" t="s">
        <v>45</v>
      </c>
      <c r="C212" s="8" t="s">
        <v>542</v>
      </c>
      <c r="D212" s="8" t="s">
        <v>543</v>
      </c>
      <c r="E212" s="11" t="n">
        <v>36</v>
      </c>
      <c r="F212" s="8" t="str">
        <f aca="false">IFERROR(INDEX(Section_Master!$D$2:$D$477,MATCH($E212,Section_Master!$A$2:$A$477,0))&amp;"","")</f>
        <v>Not applicable - no offence or penalty defined here (definition, exception or general provision)</v>
      </c>
      <c r="G212" s="10" t="str">
        <f aca="false">IFERROR(INDEX(Section_Master!$E$2:$E$477,MATCH($E212,Section_Master!$A$2:$A$477,0))&amp;"","")</f>
        <v>N/A</v>
      </c>
      <c r="H212" s="10" t="str">
        <f aca="false">IFERROR(INDEX(Section_Master!$F$2:$F$477,MATCH($E212,Section_Master!$A$2:$A$477,0))&amp;"","")</f>
        <v>N/A</v>
      </c>
      <c r="I212" s="10" t="str">
        <f aca="false">IFERROR(INDEX(Section_Master!$G$2:$G$477,MATCH($E212,Section_Master!$A$2:$A$477,0))&amp;"","")</f>
        <v>N/A</v>
      </c>
      <c r="J212" s="10" t="s">
        <v>48</v>
      </c>
      <c r="K212" s="8" t="s">
        <v>544</v>
      </c>
    </row>
    <row r="213" customFormat="false" ht="34.5" hidden="false" customHeight="true" outlineLevel="0" collapsed="false">
      <c r="A213" s="10" t="s">
        <v>545</v>
      </c>
      <c r="B213" s="10" t="s">
        <v>45</v>
      </c>
      <c r="C213" s="8" t="s">
        <v>542</v>
      </c>
      <c r="D213" s="8" t="s">
        <v>546</v>
      </c>
      <c r="E213" s="11" t="n">
        <v>36</v>
      </c>
      <c r="F213" s="8" t="str">
        <f aca="false">IFERROR(INDEX(Section_Master!$D$2:$D$477,MATCH($E213,Section_Master!$A$2:$A$477,0))&amp;"","")</f>
        <v>Not applicable - no offence or penalty defined here (definition, exception or general provision)</v>
      </c>
      <c r="G213" s="10" t="str">
        <f aca="false">IFERROR(INDEX(Section_Master!$E$2:$E$477,MATCH($E213,Section_Master!$A$2:$A$477,0))&amp;"","")</f>
        <v>N/A</v>
      </c>
      <c r="H213" s="10" t="str">
        <f aca="false">IFERROR(INDEX(Section_Master!$F$2:$F$477,MATCH($E213,Section_Master!$A$2:$A$477,0))&amp;"","")</f>
        <v>N/A</v>
      </c>
      <c r="I213" s="10" t="str">
        <f aca="false">IFERROR(INDEX(Section_Master!$G$2:$G$477,MATCH($E213,Section_Master!$A$2:$A$477,0))&amp;"","")</f>
        <v>N/A</v>
      </c>
      <c r="J213" s="10" t="s">
        <v>52</v>
      </c>
      <c r="K213" s="8" t="s">
        <v>544</v>
      </c>
    </row>
    <row r="214" customFormat="false" ht="34.5" hidden="false" customHeight="true" outlineLevel="0" collapsed="false">
      <c r="A214" s="10" t="s">
        <v>547</v>
      </c>
      <c r="B214" s="10" t="s">
        <v>45</v>
      </c>
      <c r="C214" s="8" t="s">
        <v>542</v>
      </c>
      <c r="D214" s="8" t="s">
        <v>548</v>
      </c>
      <c r="E214" s="11" t="n">
        <v>36</v>
      </c>
      <c r="F214" s="8" t="str">
        <f aca="false">IFERROR(INDEX(Section_Master!$D$2:$D$477,MATCH($E214,Section_Master!$A$2:$A$477,0))&amp;"","")</f>
        <v>Not applicable - no offence or penalty defined here (definition, exception or general provision)</v>
      </c>
      <c r="G214" s="10" t="str">
        <f aca="false">IFERROR(INDEX(Section_Master!$E$2:$E$477,MATCH($E214,Section_Master!$A$2:$A$477,0))&amp;"","")</f>
        <v>N/A</v>
      </c>
      <c r="H214" s="10" t="str">
        <f aca="false">IFERROR(INDEX(Section_Master!$F$2:$F$477,MATCH($E214,Section_Master!$A$2:$A$477,0))&amp;"","")</f>
        <v>N/A</v>
      </c>
      <c r="I214" s="10" t="str">
        <f aca="false">IFERROR(INDEX(Section_Master!$G$2:$G$477,MATCH($E214,Section_Master!$A$2:$A$477,0))&amp;"","")</f>
        <v>N/A</v>
      </c>
      <c r="J214" s="10" t="s">
        <v>55</v>
      </c>
      <c r="K214" s="8" t="s">
        <v>544</v>
      </c>
    </row>
    <row r="215" customFormat="false" ht="23.25" hidden="false" customHeight="true" outlineLevel="0" collapsed="false">
      <c r="A215" s="10" t="s">
        <v>549</v>
      </c>
      <c r="B215" s="10" t="s">
        <v>45</v>
      </c>
      <c r="C215" s="8" t="s">
        <v>542</v>
      </c>
      <c r="D215" s="8" t="s">
        <v>550</v>
      </c>
      <c r="E215" s="11" t="n">
        <v>36</v>
      </c>
      <c r="F215" s="8" t="str">
        <f aca="false">IFERROR(INDEX(Section_Master!$D$2:$D$477,MATCH($E215,Section_Master!$A$2:$A$477,0))&amp;"","")</f>
        <v>Not applicable - no offence or penalty defined here (definition, exception or general provision)</v>
      </c>
      <c r="G215" s="10" t="str">
        <f aca="false">IFERROR(INDEX(Section_Master!$E$2:$E$477,MATCH($E215,Section_Master!$A$2:$A$477,0))&amp;"","")</f>
        <v>N/A</v>
      </c>
      <c r="H215" s="10" t="str">
        <f aca="false">IFERROR(INDEX(Section_Master!$F$2:$F$477,MATCH($E215,Section_Master!$A$2:$A$477,0))&amp;"","")</f>
        <v>N/A</v>
      </c>
      <c r="I215" s="10" t="str">
        <f aca="false">IFERROR(INDEX(Section_Master!$G$2:$G$477,MATCH($E215,Section_Master!$A$2:$A$477,0))&amp;"","")</f>
        <v>N/A</v>
      </c>
      <c r="J215" s="10" t="s">
        <v>58</v>
      </c>
      <c r="K215" s="8" t="s">
        <v>544</v>
      </c>
    </row>
    <row r="216" customFormat="false" ht="34.5" hidden="false" customHeight="true" outlineLevel="0" collapsed="false">
      <c r="A216" s="10" t="s">
        <v>551</v>
      </c>
      <c r="B216" s="10" t="s">
        <v>45</v>
      </c>
      <c r="C216" s="8" t="s">
        <v>542</v>
      </c>
      <c r="D216" s="8" t="s">
        <v>552</v>
      </c>
      <c r="E216" s="11" t="n">
        <v>36</v>
      </c>
      <c r="F216" s="8" t="str">
        <f aca="false">IFERROR(INDEX(Section_Master!$D$2:$D$477,MATCH($E216,Section_Master!$A$2:$A$477,0))&amp;"","")</f>
        <v>Not applicable - no offence or penalty defined here (definition, exception or general provision)</v>
      </c>
      <c r="G216" s="10" t="str">
        <f aca="false">IFERROR(INDEX(Section_Master!$E$2:$E$477,MATCH($E216,Section_Master!$A$2:$A$477,0))&amp;"","")</f>
        <v>N/A</v>
      </c>
      <c r="H216" s="10" t="str">
        <f aca="false">IFERROR(INDEX(Section_Master!$F$2:$F$477,MATCH($E216,Section_Master!$A$2:$A$477,0))&amp;"","")</f>
        <v>N/A</v>
      </c>
      <c r="I216" s="10" t="str">
        <f aca="false">IFERROR(INDEX(Section_Master!$G$2:$G$477,MATCH($E216,Section_Master!$A$2:$A$477,0))&amp;"","")</f>
        <v>N/A</v>
      </c>
      <c r="J216" s="10" t="s">
        <v>61</v>
      </c>
      <c r="K216" s="8" t="s">
        <v>544</v>
      </c>
    </row>
    <row r="217" customFormat="false" ht="34.5" hidden="false" customHeight="true" outlineLevel="0" collapsed="false">
      <c r="A217" s="10" t="s">
        <v>553</v>
      </c>
      <c r="B217" s="10" t="s">
        <v>45</v>
      </c>
      <c r="C217" s="8" t="s">
        <v>542</v>
      </c>
      <c r="D217" s="8" t="s">
        <v>554</v>
      </c>
      <c r="E217" s="11" t="n">
        <v>36</v>
      </c>
      <c r="F217" s="8" t="str">
        <f aca="false">IFERROR(INDEX(Section_Master!$D$2:$D$477,MATCH($E217,Section_Master!$A$2:$A$477,0))&amp;"","")</f>
        <v>Not applicable - no offence or penalty defined here (definition, exception or general provision)</v>
      </c>
      <c r="G217" s="10" t="str">
        <f aca="false">IFERROR(INDEX(Section_Master!$E$2:$E$477,MATCH($E217,Section_Master!$A$2:$A$477,0))&amp;"","")</f>
        <v>N/A</v>
      </c>
      <c r="H217" s="10" t="str">
        <f aca="false">IFERROR(INDEX(Section_Master!$F$2:$F$477,MATCH($E217,Section_Master!$A$2:$A$477,0))&amp;"","")</f>
        <v>N/A</v>
      </c>
      <c r="I217" s="10" t="str">
        <f aca="false">IFERROR(INDEX(Section_Master!$G$2:$G$477,MATCH($E217,Section_Master!$A$2:$A$477,0))&amp;"","")</f>
        <v>N/A</v>
      </c>
      <c r="J217" s="10" t="s">
        <v>64</v>
      </c>
      <c r="K217" s="8" t="s">
        <v>544</v>
      </c>
    </row>
    <row r="218" customFormat="false" ht="34.5" hidden="false" customHeight="true" outlineLevel="0" collapsed="false">
      <c r="A218" s="10" t="s">
        <v>555</v>
      </c>
      <c r="B218" s="10" t="s">
        <v>45</v>
      </c>
      <c r="C218" s="8" t="s">
        <v>556</v>
      </c>
      <c r="D218" s="8" t="s">
        <v>557</v>
      </c>
      <c r="E218" s="11" t="n">
        <v>37</v>
      </c>
      <c r="F218" s="8" t="str">
        <f aca="false">IFERROR(INDEX(Section_Master!$D$2:$D$477,MATCH($E218,Section_Master!$A$2:$A$477,0))&amp;"","")</f>
        <v>Not applicable - no offence or penalty defined here (definition, exception or general provision)</v>
      </c>
      <c r="G218" s="10" t="str">
        <f aca="false">IFERROR(INDEX(Section_Master!$E$2:$E$477,MATCH($E218,Section_Master!$A$2:$A$477,0))&amp;"","")</f>
        <v>N/A</v>
      </c>
      <c r="H218" s="10" t="str">
        <f aca="false">IFERROR(INDEX(Section_Master!$F$2:$F$477,MATCH($E218,Section_Master!$A$2:$A$477,0))&amp;"","")</f>
        <v>N/A</v>
      </c>
      <c r="I218" s="10" t="str">
        <f aca="false">IFERROR(INDEX(Section_Master!$G$2:$G$477,MATCH($E218,Section_Master!$A$2:$A$477,0))&amp;"","")</f>
        <v>N/A</v>
      </c>
      <c r="J218" s="10" t="s">
        <v>48</v>
      </c>
      <c r="K218" s="8" t="s">
        <v>558</v>
      </c>
    </row>
    <row r="219" customFormat="false" ht="45.75" hidden="false" customHeight="true" outlineLevel="0" collapsed="false">
      <c r="A219" s="10" t="s">
        <v>559</v>
      </c>
      <c r="B219" s="10" t="s">
        <v>45</v>
      </c>
      <c r="C219" s="8" t="s">
        <v>556</v>
      </c>
      <c r="D219" s="8" t="s">
        <v>560</v>
      </c>
      <c r="E219" s="11" t="n">
        <v>37</v>
      </c>
      <c r="F219" s="8" t="str">
        <f aca="false">IFERROR(INDEX(Section_Master!$D$2:$D$477,MATCH($E219,Section_Master!$A$2:$A$477,0))&amp;"","")</f>
        <v>Not applicable - no offence or penalty defined here (definition, exception or general provision)</v>
      </c>
      <c r="G219" s="10" t="str">
        <f aca="false">IFERROR(INDEX(Section_Master!$E$2:$E$477,MATCH($E219,Section_Master!$A$2:$A$477,0))&amp;"","")</f>
        <v>N/A</v>
      </c>
      <c r="H219" s="10" t="str">
        <f aca="false">IFERROR(INDEX(Section_Master!$F$2:$F$477,MATCH($E219,Section_Master!$A$2:$A$477,0))&amp;"","")</f>
        <v>N/A</v>
      </c>
      <c r="I219" s="10" t="str">
        <f aca="false">IFERROR(INDEX(Section_Master!$G$2:$G$477,MATCH($E219,Section_Master!$A$2:$A$477,0))&amp;"","")</f>
        <v>N/A</v>
      </c>
      <c r="J219" s="10" t="s">
        <v>52</v>
      </c>
      <c r="K219" s="8" t="s">
        <v>558</v>
      </c>
    </row>
    <row r="220" customFormat="false" ht="34.5" hidden="false" customHeight="true" outlineLevel="0" collapsed="false">
      <c r="A220" s="10" t="s">
        <v>561</v>
      </c>
      <c r="B220" s="10" t="s">
        <v>45</v>
      </c>
      <c r="C220" s="8" t="s">
        <v>556</v>
      </c>
      <c r="D220" s="8" t="s">
        <v>562</v>
      </c>
      <c r="E220" s="11" t="n">
        <v>37</v>
      </c>
      <c r="F220" s="8" t="str">
        <f aca="false">IFERROR(INDEX(Section_Master!$D$2:$D$477,MATCH($E220,Section_Master!$A$2:$A$477,0))&amp;"","")</f>
        <v>Not applicable - no offence or penalty defined here (definition, exception or general provision)</v>
      </c>
      <c r="G220" s="10" t="str">
        <f aca="false">IFERROR(INDEX(Section_Master!$E$2:$E$477,MATCH($E220,Section_Master!$A$2:$A$477,0))&amp;"","")</f>
        <v>N/A</v>
      </c>
      <c r="H220" s="10" t="str">
        <f aca="false">IFERROR(INDEX(Section_Master!$F$2:$F$477,MATCH($E220,Section_Master!$A$2:$A$477,0))&amp;"","")</f>
        <v>N/A</v>
      </c>
      <c r="I220" s="10" t="str">
        <f aca="false">IFERROR(INDEX(Section_Master!$G$2:$G$477,MATCH($E220,Section_Master!$A$2:$A$477,0))&amp;"","")</f>
        <v>N/A</v>
      </c>
      <c r="J220" s="10" t="s">
        <v>55</v>
      </c>
      <c r="K220" s="8" t="s">
        <v>558</v>
      </c>
    </row>
    <row r="221" customFormat="false" ht="23.25" hidden="false" customHeight="true" outlineLevel="0" collapsed="false">
      <c r="A221" s="10" t="s">
        <v>563</v>
      </c>
      <c r="B221" s="10" t="s">
        <v>45</v>
      </c>
      <c r="C221" s="8" t="s">
        <v>556</v>
      </c>
      <c r="D221" s="8" t="s">
        <v>564</v>
      </c>
      <c r="E221" s="11" t="n">
        <v>37</v>
      </c>
      <c r="F221" s="8" t="str">
        <f aca="false">IFERROR(INDEX(Section_Master!$D$2:$D$477,MATCH($E221,Section_Master!$A$2:$A$477,0))&amp;"","")</f>
        <v>Not applicable - no offence or penalty defined here (definition, exception or general provision)</v>
      </c>
      <c r="G221" s="10" t="str">
        <f aca="false">IFERROR(INDEX(Section_Master!$E$2:$E$477,MATCH($E221,Section_Master!$A$2:$A$477,0))&amp;"","")</f>
        <v>N/A</v>
      </c>
      <c r="H221" s="10" t="str">
        <f aca="false">IFERROR(INDEX(Section_Master!$F$2:$F$477,MATCH($E221,Section_Master!$A$2:$A$477,0))&amp;"","")</f>
        <v>N/A</v>
      </c>
      <c r="I221" s="10" t="str">
        <f aca="false">IFERROR(INDEX(Section_Master!$G$2:$G$477,MATCH($E221,Section_Master!$A$2:$A$477,0))&amp;"","")</f>
        <v>N/A</v>
      </c>
      <c r="J221" s="10" t="s">
        <v>58</v>
      </c>
      <c r="K221" s="8" t="s">
        <v>558</v>
      </c>
    </row>
    <row r="222" customFormat="false" ht="34.5" hidden="false" customHeight="true" outlineLevel="0" collapsed="false">
      <c r="A222" s="10" t="s">
        <v>565</v>
      </c>
      <c r="B222" s="10" t="s">
        <v>45</v>
      </c>
      <c r="C222" s="8" t="s">
        <v>556</v>
      </c>
      <c r="D222" s="8" t="s">
        <v>566</v>
      </c>
      <c r="E222" s="11" t="n">
        <v>37</v>
      </c>
      <c r="F222" s="8" t="str">
        <f aca="false">IFERROR(INDEX(Section_Master!$D$2:$D$477,MATCH($E222,Section_Master!$A$2:$A$477,0))&amp;"","")</f>
        <v>Not applicable - no offence or penalty defined here (definition, exception or general provision)</v>
      </c>
      <c r="G222" s="10" t="str">
        <f aca="false">IFERROR(INDEX(Section_Master!$E$2:$E$477,MATCH($E222,Section_Master!$A$2:$A$477,0))&amp;"","")</f>
        <v>N/A</v>
      </c>
      <c r="H222" s="10" t="str">
        <f aca="false">IFERROR(INDEX(Section_Master!$F$2:$F$477,MATCH($E222,Section_Master!$A$2:$A$477,0))&amp;"","")</f>
        <v>N/A</v>
      </c>
      <c r="I222" s="10" t="str">
        <f aca="false">IFERROR(INDEX(Section_Master!$G$2:$G$477,MATCH($E222,Section_Master!$A$2:$A$477,0))&amp;"","")</f>
        <v>N/A</v>
      </c>
      <c r="J222" s="10" t="s">
        <v>61</v>
      </c>
      <c r="K222" s="8" t="s">
        <v>558</v>
      </c>
    </row>
    <row r="223" customFormat="false" ht="34.5" hidden="false" customHeight="true" outlineLevel="0" collapsed="false">
      <c r="A223" s="10" t="s">
        <v>567</v>
      </c>
      <c r="B223" s="10" t="s">
        <v>45</v>
      </c>
      <c r="C223" s="8" t="s">
        <v>556</v>
      </c>
      <c r="D223" s="8" t="s">
        <v>568</v>
      </c>
      <c r="E223" s="11" t="n">
        <v>37</v>
      </c>
      <c r="F223" s="8" t="str">
        <f aca="false">IFERROR(INDEX(Section_Master!$D$2:$D$477,MATCH($E223,Section_Master!$A$2:$A$477,0))&amp;"","")</f>
        <v>Not applicable - no offence or penalty defined here (definition, exception or general provision)</v>
      </c>
      <c r="G223" s="10" t="str">
        <f aca="false">IFERROR(INDEX(Section_Master!$E$2:$E$477,MATCH($E223,Section_Master!$A$2:$A$477,0))&amp;"","")</f>
        <v>N/A</v>
      </c>
      <c r="H223" s="10" t="str">
        <f aca="false">IFERROR(INDEX(Section_Master!$F$2:$F$477,MATCH($E223,Section_Master!$A$2:$A$477,0))&amp;"","")</f>
        <v>N/A</v>
      </c>
      <c r="I223" s="10" t="str">
        <f aca="false">IFERROR(INDEX(Section_Master!$G$2:$G$477,MATCH($E223,Section_Master!$A$2:$A$477,0))&amp;"","")</f>
        <v>N/A</v>
      </c>
      <c r="J223" s="10" t="s">
        <v>64</v>
      </c>
      <c r="K223" s="8" t="s">
        <v>558</v>
      </c>
    </row>
    <row r="224" customFormat="false" ht="34.5" hidden="false" customHeight="true" outlineLevel="0" collapsed="false">
      <c r="A224" s="10" t="s">
        <v>569</v>
      </c>
      <c r="B224" s="10" t="s">
        <v>45</v>
      </c>
      <c r="C224" s="8" t="s">
        <v>570</v>
      </c>
      <c r="D224" s="8" t="s">
        <v>571</v>
      </c>
      <c r="E224" s="11" t="n">
        <v>38</v>
      </c>
      <c r="F224" s="8" t="str">
        <f aca="false">IFERROR(INDEX(Section_Master!$D$2:$D$477,MATCH($E224,Section_Master!$A$2:$A$477,0))&amp;"","")</f>
        <v>Not applicable - no offence or penalty defined here (definition, exception or general provision)</v>
      </c>
      <c r="G224" s="10" t="str">
        <f aca="false">IFERROR(INDEX(Section_Master!$E$2:$E$477,MATCH($E224,Section_Master!$A$2:$A$477,0))&amp;"","")</f>
        <v>N/A</v>
      </c>
      <c r="H224" s="10" t="str">
        <f aca="false">IFERROR(INDEX(Section_Master!$F$2:$F$477,MATCH($E224,Section_Master!$A$2:$A$477,0))&amp;"","")</f>
        <v>N/A</v>
      </c>
      <c r="I224" s="10" t="str">
        <f aca="false">IFERROR(INDEX(Section_Master!$G$2:$G$477,MATCH($E224,Section_Master!$A$2:$A$477,0))&amp;"","")</f>
        <v>N/A</v>
      </c>
      <c r="J224" s="10" t="s">
        <v>48</v>
      </c>
      <c r="K224" s="8" t="s">
        <v>572</v>
      </c>
    </row>
    <row r="225" customFormat="false" ht="34.5" hidden="false" customHeight="true" outlineLevel="0" collapsed="false">
      <c r="A225" s="10" t="s">
        <v>573</v>
      </c>
      <c r="B225" s="10" t="s">
        <v>45</v>
      </c>
      <c r="C225" s="8" t="s">
        <v>570</v>
      </c>
      <c r="D225" s="8" t="s">
        <v>574</v>
      </c>
      <c r="E225" s="11" t="n">
        <v>38</v>
      </c>
      <c r="F225" s="8" t="str">
        <f aca="false">IFERROR(INDEX(Section_Master!$D$2:$D$477,MATCH($E225,Section_Master!$A$2:$A$477,0))&amp;"","")</f>
        <v>Not applicable - no offence or penalty defined here (definition, exception or general provision)</v>
      </c>
      <c r="G225" s="10" t="str">
        <f aca="false">IFERROR(INDEX(Section_Master!$E$2:$E$477,MATCH($E225,Section_Master!$A$2:$A$477,0))&amp;"","")</f>
        <v>N/A</v>
      </c>
      <c r="H225" s="10" t="str">
        <f aca="false">IFERROR(INDEX(Section_Master!$F$2:$F$477,MATCH($E225,Section_Master!$A$2:$A$477,0))&amp;"","")</f>
        <v>N/A</v>
      </c>
      <c r="I225" s="10" t="str">
        <f aca="false">IFERROR(INDEX(Section_Master!$G$2:$G$477,MATCH($E225,Section_Master!$A$2:$A$477,0))&amp;"","")</f>
        <v>N/A</v>
      </c>
      <c r="J225" s="10" t="s">
        <v>52</v>
      </c>
      <c r="K225" s="8" t="s">
        <v>572</v>
      </c>
    </row>
    <row r="226" customFormat="false" ht="34.5" hidden="false" customHeight="true" outlineLevel="0" collapsed="false">
      <c r="A226" s="10" t="s">
        <v>575</v>
      </c>
      <c r="B226" s="10" t="s">
        <v>45</v>
      </c>
      <c r="C226" s="8" t="s">
        <v>570</v>
      </c>
      <c r="D226" s="8" t="s">
        <v>576</v>
      </c>
      <c r="E226" s="11" t="n">
        <v>38</v>
      </c>
      <c r="F226" s="8" t="str">
        <f aca="false">IFERROR(INDEX(Section_Master!$D$2:$D$477,MATCH($E226,Section_Master!$A$2:$A$477,0))&amp;"","")</f>
        <v>Not applicable - no offence or penalty defined here (definition, exception or general provision)</v>
      </c>
      <c r="G226" s="10" t="str">
        <f aca="false">IFERROR(INDEX(Section_Master!$E$2:$E$477,MATCH($E226,Section_Master!$A$2:$A$477,0))&amp;"","")</f>
        <v>N/A</v>
      </c>
      <c r="H226" s="10" t="str">
        <f aca="false">IFERROR(INDEX(Section_Master!$F$2:$F$477,MATCH($E226,Section_Master!$A$2:$A$477,0))&amp;"","")</f>
        <v>N/A</v>
      </c>
      <c r="I226" s="10" t="str">
        <f aca="false">IFERROR(INDEX(Section_Master!$G$2:$G$477,MATCH($E226,Section_Master!$A$2:$A$477,0))&amp;"","")</f>
        <v>N/A</v>
      </c>
      <c r="J226" s="10" t="s">
        <v>55</v>
      </c>
      <c r="K226" s="8" t="s">
        <v>572</v>
      </c>
    </row>
    <row r="227" customFormat="false" ht="23.25" hidden="false" customHeight="true" outlineLevel="0" collapsed="false">
      <c r="A227" s="10" t="s">
        <v>577</v>
      </c>
      <c r="B227" s="10" t="s">
        <v>45</v>
      </c>
      <c r="C227" s="8" t="s">
        <v>570</v>
      </c>
      <c r="D227" s="8" t="s">
        <v>578</v>
      </c>
      <c r="E227" s="11" t="n">
        <v>38</v>
      </c>
      <c r="F227" s="8" t="str">
        <f aca="false">IFERROR(INDEX(Section_Master!$D$2:$D$477,MATCH($E227,Section_Master!$A$2:$A$477,0))&amp;"","")</f>
        <v>Not applicable - no offence or penalty defined here (definition, exception or general provision)</v>
      </c>
      <c r="G227" s="10" t="str">
        <f aca="false">IFERROR(INDEX(Section_Master!$E$2:$E$477,MATCH($E227,Section_Master!$A$2:$A$477,0))&amp;"","")</f>
        <v>N/A</v>
      </c>
      <c r="H227" s="10" t="str">
        <f aca="false">IFERROR(INDEX(Section_Master!$F$2:$F$477,MATCH($E227,Section_Master!$A$2:$A$477,0))&amp;"","")</f>
        <v>N/A</v>
      </c>
      <c r="I227" s="10" t="str">
        <f aca="false">IFERROR(INDEX(Section_Master!$G$2:$G$477,MATCH($E227,Section_Master!$A$2:$A$477,0))&amp;"","")</f>
        <v>N/A</v>
      </c>
      <c r="J227" s="10" t="s">
        <v>58</v>
      </c>
      <c r="K227" s="8" t="s">
        <v>572</v>
      </c>
    </row>
    <row r="228" customFormat="false" ht="34.5" hidden="false" customHeight="true" outlineLevel="0" collapsed="false">
      <c r="A228" s="10" t="s">
        <v>579</v>
      </c>
      <c r="B228" s="10" t="s">
        <v>45</v>
      </c>
      <c r="C228" s="8" t="s">
        <v>570</v>
      </c>
      <c r="D228" s="8" t="s">
        <v>580</v>
      </c>
      <c r="E228" s="11" t="n">
        <v>38</v>
      </c>
      <c r="F228" s="8" t="str">
        <f aca="false">IFERROR(INDEX(Section_Master!$D$2:$D$477,MATCH($E228,Section_Master!$A$2:$A$477,0))&amp;"","")</f>
        <v>Not applicable - no offence or penalty defined here (definition, exception or general provision)</v>
      </c>
      <c r="G228" s="10" t="str">
        <f aca="false">IFERROR(INDEX(Section_Master!$E$2:$E$477,MATCH($E228,Section_Master!$A$2:$A$477,0))&amp;"","")</f>
        <v>N/A</v>
      </c>
      <c r="H228" s="10" t="str">
        <f aca="false">IFERROR(INDEX(Section_Master!$F$2:$F$477,MATCH($E228,Section_Master!$A$2:$A$477,0))&amp;"","")</f>
        <v>N/A</v>
      </c>
      <c r="I228" s="10" t="str">
        <f aca="false">IFERROR(INDEX(Section_Master!$G$2:$G$477,MATCH($E228,Section_Master!$A$2:$A$477,0))&amp;"","")</f>
        <v>N/A</v>
      </c>
      <c r="J228" s="10" t="s">
        <v>61</v>
      </c>
      <c r="K228" s="8" t="s">
        <v>572</v>
      </c>
    </row>
    <row r="229" customFormat="false" ht="34.5" hidden="false" customHeight="true" outlineLevel="0" collapsed="false">
      <c r="A229" s="10" t="s">
        <v>581</v>
      </c>
      <c r="B229" s="10" t="s">
        <v>45</v>
      </c>
      <c r="C229" s="8" t="s">
        <v>570</v>
      </c>
      <c r="D229" s="8" t="s">
        <v>582</v>
      </c>
      <c r="E229" s="11" t="n">
        <v>38</v>
      </c>
      <c r="F229" s="8" t="str">
        <f aca="false">IFERROR(INDEX(Section_Master!$D$2:$D$477,MATCH($E229,Section_Master!$A$2:$A$477,0))&amp;"","")</f>
        <v>Not applicable - no offence or penalty defined here (definition, exception or general provision)</v>
      </c>
      <c r="G229" s="10" t="str">
        <f aca="false">IFERROR(INDEX(Section_Master!$E$2:$E$477,MATCH($E229,Section_Master!$A$2:$A$477,0))&amp;"","")</f>
        <v>N/A</v>
      </c>
      <c r="H229" s="10" t="str">
        <f aca="false">IFERROR(INDEX(Section_Master!$F$2:$F$477,MATCH($E229,Section_Master!$A$2:$A$477,0))&amp;"","")</f>
        <v>N/A</v>
      </c>
      <c r="I229" s="10" t="str">
        <f aca="false">IFERROR(INDEX(Section_Master!$G$2:$G$477,MATCH($E229,Section_Master!$A$2:$A$477,0))&amp;"","")</f>
        <v>N/A</v>
      </c>
      <c r="J229" s="10" t="s">
        <v>64</v>
      </c>
      <c r="K229" s="8" t="s">
        <v>572</v>
      </c>
    </row>
    <row r="230" customFormat="false" ht="34.5" hidden="false" customHeight="true" outlineLevel="0" collapsed="false">
      <c r="A230" s="10" t="s">
        <v>583</v>
      </c>
      <c r="B230" s="10" t="s">
        <v>45</v>
      </c>
      <c r="C230" s="8" t="s">
        <v>584</v>
      </c>
      <c r="D230" s="8" t="s">
        <v>585</v>
      </c>
      <c r="E230" s="11" t="n">
        <v>39</v>
      </c>
      <c r="F230" s="8" t="str">
        <f aca="false">IFERROR(INDEX(Section_Master!$D$2:$D$477,MATCH($E230,Section_Master!$A$2:$A$477,0))&amp;"","")</f>
        <v>Not applicable - no offence or penalty defined here (definition, exception or general provision)</v>
      </c>
      <c r="G230" s="10" t="str">
        <f aca="false">IFERROR(INDEX(Section_Master!$E$2:$E$477,MATCH($E230,Section_Master!$A$2:$A$477,0))&amp;"","")</f>
        <v>N/A</v>
      </c>
      <c r="H230" s="10" t="str">
        <f aca="false">IFERROR(INDEX(Section_Master!$F$2:$F$477,MATCH($E230,Section_Master!$A$2:$A$477,0))&amp;"","")</f>
        <v>N/A</v>
      </c>
      <c r="I230" s="10" t="str">
        <f aca="false">IFERROR(INDEX(Section_Master!$G$2:$G$477,MATCH($E230,Section_Master!$A$2:$A$477,0))&amp;"","")</f>
        <v>N/A</v>
      </c>
      <c r="J230" s="10" t="s">
        <v>48</v>
      </c>
      <c r="K230" s="8" t="s">
        <v>586</v>
      </c>
    </row>
    <row r="231" customFormat="false" ht="34.5" hidden="false" customHeight="true" outlineLevel="0" collapsed="false">
      <c r="A231" s="10" t="s">
        <v>587</v>
      </c>
      <c r="B231" s="10" t="s">
        <v>45</v>
      </c>
      <c r="C231" s="8" t="s">
        <v>584</v>
      </c>
      <c r="D231" s="8" t="s">
        <v>588</v>
      </c>
      <c r="E231" s="11" t="n">
        <v>39</v>
      </c>
      <c r="F231" s="8" t="str">
        <f aca="false">IFERROR(INDEX(Section_Master!$D$2:$D$477,MATCH($E231,Section_Master!$A$2:$A$477,0))&amp;"","")</f>
        <v>Not applicable - no offence or penalty defined here (definition, exception or general provision)</v>
      </c>
      <c r="G231" s="10" t="str">
        <f aca="false">IFERROR(INDEX(Section_Master!$E$2:$E$477,MATCH($E231,Section_Master!$A$2:$A$477,0))&amp;"","")</f>
        <v>N/A</v>
      </c>
      <c r="H231" s="10" t="str">
        <f aca="false">IFERROR(INDEX(Section_Master!$F$2:$F$477,MATCH($E231,Section_Master!$A$2:$A$477,0))&amp;"","")</f>
        <v>N/A</v>
      </c>
      <c r="I231" s="10" t="str">
        <f aca="false">IFERROR(INDEX(Section_Master!$G$2:$G$477,MATCH($E231,Section_Master!$A$2:$A$477,0))&amp;"","")</f>
        <v>N/A</v>
      </c>
      <c r="J231" s="10" t="s">
        <v>52</v>
      </c>
      <c r="K231" s="8" t="s">
        <v>586</v>
      </c>
    </row>
    <row r="232" customFormat="false" ht="34.5" hidden="false" customHeight="true" outlineLevel="0" collapsed="false">
      <c r="A232" s="10" t="s">
        <v>589</v>
      </c>
      <c r="B232" s="10" t="s">
        <v>45</v>
      </c>
      <c r="C232" s="8" t="s">
        <v>584</v>
      </c>
      <c r="D232" s="8" t="s">
        <v>590</v>
      </c>
      <c r="E232" s="11" t="n">
        <v>39</v>
      </c>
      <c r="F232" s="8" t="str">
        <f aca="false">IFERROR(INDEX(Section_Master!$D$2:$D$477,MATCH($E232,Section_Master!$A$2:$A$477,0))&amp;"","")</f>
        <v>Not applicable - no offence or penalty defined here (definition, exception or general provision)</v>
      </c>
      <c r="G232" s="10" t="str">
        <f aca="false">IFERROR(INDEX(Section_Master!$E$2:$E$477,MATCH($E232,Section_Master!$A$2:$A$477,0))&amp;"","")</f>
        <v>N/A</v>
      </c>
      <c r="H232" s="10" t="str">
        <f aca="false">IFERROR(INDEX(Section_Master!$F$2:$F$477,MATCH($E232,Section_Master!$A$2:$A$477,0))&amp;"","")</f>
        <v>N/A</v>
      </c>
      <c r="I232" s="10" t="str">
        <f aca="false">IFERROR(INDEX(Section_Master!$G$2:$G$477,MATCH($E232,Section_Master!$A$2:$A$477,0))&amp;"","")</f>
        <v>N/A</v>
      </c>
      <c r="J232" s="10" t="s">
        <v>55</v>
      </c>
      <c r="K232" s="8" t="s">
        <v>586</v>
      </c>
    </row>
    <row r="233" customFormat="false" ht="34.5" hidden="false" customHeight="true" outlineLevel="0" collapsed="false">
      <c r="A233" s="10" t="s">
        <v>591</v>
      </c>
      <c r="B233" s="10" t="s">
        <v>45</v>
      </c>
      <c r="C233" s="8" t="s">
        <v>584</v>
      </c>
      <c r="D233" s="8" t="s">
        <v>592</v>
      </c>
      <c r="E233" s="11" t="n">
        <v>39</v>
      </c>
      <c r="F233" s="8" t="str">
        <f aca="false">IFERROR(INDEX(Section_Master!$D$2:$D$477,MATCH($E233,Section_Master!$A$2:$A$477,0))&amp;"","")</f>
        <v>Not applicable - no offence or penalty defined here (definition, exception or general provision)</v>
      </c>
      <c r="G233" s="10" t="str">
        <f aca="false">IFERROR(INDEX(Section_Master!$E$2:$E$477,MATCH($E233,Section_Master!$A$2:$A$477,0))&amp;"","")</f>
        <v>N/A</v>
      </c>
      <c r="H233" s="10" t="str">
        <f aca="false">IFERROR(INDEX(Section_Master!$F$2:$F$477,MATCH($E233,Section_Master!$A$2:$A$477,0))&amp;"","")</f>
        <v>N/A</v>
      </c>
      <c r="I233" s="10" t="str">
        <f aca="false">IFERROR(INDEX(Section_Master!$G$2:$G$477,MATCH($E233,Section_Master!$A$2:$A$477,0))&amp;"","")</f>
        <v>N/A</v>
      </c>
      <c r="J233" s="10" t="s">
        <v>58</v>
      </c>
      <c r="K233" s="8" t="s">
        <v>586</v>
      </c>
    </row>
    <row r="234" customFormat="false" ht="34.5" hidden="false" customHeight="true" outlineLevel="0" collapsed="false">
      <c r="A234" s="10" t="s">
        <v>593</v>
      </c>
      <c r="B234" s="10" t="s">
        <v>45</v>
      </c>
      <c r="C234" s="8" t="s">
        <v>584</v>
      </c>
      <c r="D234" s="8" t="s">
        <v>594</v>
      </c>
      <c r="E234" s="11" t="n">
        <v>39</v>
      </c>
      <c r="F234" s="8" t="str">
        <f aca="false">IFERROR(INDEX(Section_Master!$D$2:$D$477,MATCH($E234,Section_Master!$A$2:$A$477,0))&amp;"","")</f>
        <v>Not applicable - no offence or penalty defined here (definition, exception or general provision)</v>
      </c>
      <c r="G234" s="10" t="str">
        <f aca="false">IFERROR(INDEX(Section_Master!$E$2:$E$477,MATCH($E234,Section_Master!$A$2:$A$477,0))&amp;"","")</f>
        <v>N/A</v>
      </c>
      <c r="H234" s="10" t="str">
        <f aca="false">IFERROR(INDEX(Section_Master!$F$2:$F$477,MATCH($E234,Section_Master!$A$2:$A$477,0))&amp;"","")</f>
        <v>N/A</v>
      </c>
      <c r="I234" s="10" t="str">
        <f aca="false">IFERROR(INDEX(Section_Master!$G$2:$G$477,MATCH($E234,Section_Master!$A$2:$A$477,0))&amp;"","")</f>
        <v>N/A</v>
      </c>
      <c r="J234" s="10" t="s">
        <v>61</v>
      </c>
      <c r="K234" s="8" t="s">
        <v>586</v>
      </c>
    </row>
    <row r="235" customFormat="false" ht="34.5" hidden="false" customHeight="true" outlineLevel="0" collapsed="false">
      <c r="A235" s="10" t="s">
        <v>595</v>
      </c>
      <c r="B235" s="10" t="s">
        <v>45</v>
      </c>
      <c r="C235" s="8" t="s">
        <v>584</v>
      </c>
      <c r="D235" s="8" t="s">
        <v>596</v>
      </c>
      <c r="E235" s="11" t="n">
        <v>39</v>
      </c>
      <c r="F235" s="8" t="str">
        <f aca="false">IFERROR(INDEX(Section_Master!$D$2:$D$477,MATCH($E235,Section_Master!$A$2:$A$477,0))&amp;"","")</f>
        <v>Not applicable - no offence or penalty defined here (definition, exception or general provision)</v>
      </c>
      <c r="G235" s="10" t="str">
        <f aca="false">IFERROR(INDEX(Section_Master!$E$2:$E$477,MATCH($E235,Section_Master!$A$2:$A$477,0))&amp;"","")</f>
        <v>N/A</v>
      </c>
      <c r="H235" s="10" t="str">
        <f aca="false">IFERROR(INDEX(Section_Master!$F$2:$F$477,MATCH($E235,Section_Master!$A$2:$A$477,0))&amp;"","")</f>
        <v>N/A</v>
      </c>
      <c r="I235" s="10" t="str">
        <f aca="false">IFERROR(INDEX(Section_Master!$G$2:$G$477,MATCH($E235,Section_Master!$A$2:$A$477,0))&amp;"","")</f>
        <v>N/A</v>
      </c>
      <c r="J235" s="10" t="s">
        <v>64</v>
      </c>
      <c r="K235" s="8" t="s">
        <v>586</v>
      </c>
    </row>
    <row r="236" customFormat="false" ht="34.5" hidden="false" customHeight="true" outlineLevel="0" collapsed="false">
      <c r="A236" s="10" t="s">
        <v>597</v>
      </c>
      <c r="B236" s="10" t="s">
        <v>45</v>
      </c>
      <c r="C236" s="8" t="s">
        <v>598</v>
      </c>
      <c r="D236" s="8" t="s">
        <v>599</v>
      </c>
      <c r="E236" s="11" t="n">
        <v>40</v>
      </c>
      <c r="F236" s="8" t="str">
        <f aca="false">IFERROR(INDEX(Section_Master!$D$2:$D$477,MATCH($E236,Section_Master!$A$2:$A$477,0))&amp;"","")</f>
        <v>Not applicable - no offence or penalty defined here (definition, exception or general provision)</v>
      </c>
      <c r="G236" s="10" t="str">
        <f aca="false">IFERROR(INDEX(Section_Master!$E$2:$E$477,MATCH($E236,Section_Master!$A$2:$A$477,0))&amp;"","")</f>
        <v>N/A</v>
      </c>
      <c r="H236" s="10" t="str">
        <f aca="false">IFERROR(INDEX(Section_Master!$F$2:$F$477,MATCH($E236,Section_Master!$A$2:$A$477,0))&amp;"","")</f>
        <v>N/A</v>
      </c>
      <c r="I236" s="10" t="str">
        <f aca="false">IFERROR(INDEX(Section_Master!$G$2:$G$477,MATCH($E236,Section_Master!$A$2:$A$477,0))&amp;"","")</f>
        <v>N/A</v>
      </c>
      <c r="J236" s="10" t="s">
        <v>48</v>
      </c>
      <c r="K236" s="8" t="s">
        <v>600</v>
      </c>
    </row>
    <row r="237" customFormat="false" ht="34.5" hidden="false" customHeight="true" outlineLevel="0" collapsed="false">
      <c r="A237" s="10" t="s">
        <v>601</v>
      </c>
      <c r="B237" s="10" t="s">
        <v>45</v>
      </c>
      <c r="C237" s="8" t="s">
        <v>598</v>
      </c>
      <c r="D237" s="8" t="s">
        <v>602</v>
      </c>
      <c r="E237" s="11" t="n">
        <v>40</v>
      </c>
      <c r="F237" s="8" t="str">
        <f aca="false">IFERROR(INDEX(Section_Master!$D$2:$D$477,MATCH($E237,Section_Master!$A$2:$A$477,0))&amp;"","")</f>
        <v>Not applicable - no offence or penalty defined here (definition, exception or general provision)</v>
      </c>
      <c r="G237" s="10" t="str">
        <f aca="false">IFERROR(INDEX(Section_Master!$E$2:$E$477,MATCH($E237,Section_Master!$A$2:$A$477,0))&amp;"","")</f>
        <v>N/A</v>
      </c>
      <c r="H237" s="10" t="str">
        <f aca="false">IFERROR(INDEX(Section_Master!$F$2:$F$477,MATCH($E237,Section_Master!$A$2:$A$477,0))&amp;"","")</f>
        <v>N/A</v>
      </c>
      <c r="I237" s="10" t="str">
        <f aca="false">IFERROR(INDEX(Section_Master!$G$2:$G$477,MATCH($E237,Section_Master!$A$2:$A$477,0))&amp;"","")</f>
        <v>N/A</v>
      </c>
      <c r="J237" s="10" t="s">
        <v>52</v>
      </c>
      <c r="K237" s="8" t="s">
        <v>600</v>
      </c>
    </row>
    <row r="238" customFormat="false" ht="34.5" hidden="false" customHeight="true" outlineLevel="0" collapsed="false">
      <c r="A238" s="10" t="s">
        <v>603</v>
      </c>
      <c r="B238" s="10" t="s">
        <v>45</v>
      </c>
      <c r="C238" s="8" t="s">
        <v>598</v>
      </c>
      <c r="D238" s="8" t="s">
        <v>604</v>
      </c>
      <c r="E238" s="11" t="n">
        <v>40</v>
      </c>
      <c r="F238" s="8" t="str">
        <f aca="false">IFERROR(INDEX(Section_Master!$D$2:$D$477,MATCH($E238,Section_Master!$A$2:$A$477,0))&amp;"","")</f>
        <v>Not applicable - no offence or penalty defined here (definition, exception or general provision)</v>
      </c>
      <c r="G238" s="10" t="str">
        <f aca="false">IFERROR(INDEX(Section_Master!$E$2:$E$477,MATCH($E238,Section_Master!$A$2:$A$477,0))&amp;"","")</f>
        <v>N/A</v>
      </c>
      <c r="H238" s="10" t="str">
        <f aca="false">IFERROR(INDEX(Section_Master!$F$2:$F$477,MATCH($E238,Section_Master!$A$2:$A$477,0))&amp;"","")</f>
        <v>N/A</v>
      </c>
      <c r="I238" s="10" t="str">
        <f aca="false">IFERROR(INDEX(Section_Master!$G$2:$G$477,MATCH($E238,Section_Master!$A$2:$A$477,0))&amp;"","")</f>
        <v>N/A</v>
      </c>
      <c r="J238" s="10" t="s">
        <v>55</v>
      </c>
      <c r="K238" s="8" t="s">
        <v>600</v>
      </c>
    </row>
    <row r="239" customFormat="false" ht="23.25" hidden="false" customHeight="true" outlineLevel="0" collapsed="false">
      <c r="A239" s="10" t="s">
        <v>605</v>
      </c>
      <c r="B239" s="10" t="s">
        <v>45</v>
      </c>
      <c r="C239" s="8" t="s">
        <v>598</v>
      </c>
      <c r="D239" s="8" t="s">
        <v>606</v>
      </c>
      <c r="E239" s="11" t="n">
        <v>40</v>
      </c>
      <c r="F239" s="8" t="str">
        <f aca="false">IFERROR(INDEX(Section_Master!$D$2:$D$477,MATCH($E239,Section_Master!$A$2:$A$477,0))&amp;"","")</f>
        <v>Not applicable - no offence or penalty defined here (definition, exception or general provision)</v>
      </c>
      <c r="G239" s="10" t="str">
        <f aca="false">IFERROR(INDEX(Section_Master!$E$2:$E$477,MATCH($E239,Section_Master!$A$2:$A$477,0))&amp;"","")</f>
        <v>N/A</v>
      </c>
      <c r="H239" s="10" t="str">
        <f aca="false">IFERROR(INDEX(Section_Master!$F$2:$F$477,MATCH($E239,Section_Master!$A$2:$A$477,0))&amp;"","")</f>
        <v>N/A</v>
      </c>
      <c r="I239" s="10" t="str">
        <f aca="false">IFERROR(INDEX(Section_Master!$G$2:$G$477,MATCH($E239,Section_Master!$A$2:$A$477,0))&amp;"","")</f>
        <v>N/A</v>
      </c>
      <c r="J239" s="10" t="s">
        <v>58</v>
      </c>
      <c r="K239" s="8" t="s">
        <v>600</v>
      </c>
    </row>
    <row r="240" customFormat="false" ht="34.5" hidden="false" customHeight="true" outlineLevel="0" collapsed="false">
      <c r="A240" s="10" t="s">
        <v>607</v>
      </c>
      <c r="B240" s="10" t="s">
        <v>45</v>
      </c>
      <c r="C240" s="8" t="s">
        <v>598</v>
      </c>
      <c r="D240" s="8" t="s">
        <v>608</v>
      </c>
      <c r="E240" s="11" t="n">
        <v>40</v>
      </c>
      <c r="F240" s="8" t="str">
        <f aca="false">IFERROR(INDEX(Section_Master!$D$2:$D$477,MATCH($E240,Section_Master!$A$2:$A$477,0))&amp;"","")</f>
        <v>Not applicable - no offence or penalty defined here (definition, exception or general provision)</v>
      </c>
      <c r="G240" s="10" t="str">
        <f aca="false">IFERROR(INDEX(Section_Master!$E$2:$E$477,MATCH($E240,Section_Master!$A$2:$A$477,0))&amp;"","")</f>
        <v>N/A</v>
      </c>
      <c r="H240" s="10" t="str">
        <f aca="false">IFERROR(INDEX(Section_Master!$F$2:$F$477,MATCH($E240,Section_Master!$A$2:$A$477,0))&amp;"","")</f>
        <v>N/A</v>
      </c>
      <c r="I240" s="10" t="str">
        <f aca="false">IFERROR(INDEX(Section_Master!$G$2:$G$477,MATCH($E240,Section_Master!$A$2:$A$477,0))&amp;"","")</f>
        <v>N/A</v>
      </c>
      <c r="J240" s="10" t="s">
        <v>61</v>
      </c>
      <c r="K240" s="8" t="s">
        <v>600</v>
      </c>
    </row>
    <row r="241" customFormat="false" ht="34.5" hidden="false" customHeight="true" outlineLevel="0" collapsed="false">
      <c r="A241" s="10" t="s">
        <v>609</v>
      </c>
      <c r="B241" s="10" t="s">
        <v>45</v>
      </c>
      <c r="C241" s="8" t="s">
        <v>598</v>
      </c>
      <c r="D241" s="8" t="s">
        <v>610</v>
      </c>
      <c r="E241" s="11" t="n">
        <v>40</v>
      </c>
      <c r="F241" s="8" t="str">
        <f aca="false">IFERROR(INDEX(Section_Master!$D$2:$D$477,MATCH($E241,Section_Master!$A$2:$A$477,0))&amp;"","")</f>
        <v>Not applicable - no offence or penalty defined here (definition, exception or general provision)</v>
      </c>
      <c r="G241" s="10" t="str">
        <f aca="false">IFERROR(INDEX(Section_Master!$E$2:$E$477,MATCH($E241,Section_Master!$A$2:$A$477,0))&amp;"","")</f>
        <v>N/A</v>
      </c>
      <c r="H241" s="10" t="str">
        <f aca="false">IFERROR(INDEX(Section_Master!$F$2:$F$477,MATCH($E241,Section_Master!$A$2:$A$477,0))&amp;"","")</f>
        <v>N/A</v>
      </c>
      <c r="I241" s="10" t="str">
        <f aca="false">IFERROR(INDEX(Section_Master!$G$2:$G$477,MATCH($E241,Section_Master!$A$2:$A$477,0))&amp;"","")</f>
        <v>N/A</v>
      </c>
      <c r="J241" s="10" t="s">
        <v>64</v>
      </c>
      <c r="K241" s="8" t="s">
        <v>600</v>
      </c>
    </row>
    <row r="242" customFormat="false" ht="34.5" hidden="false" customHeight="true" outlineLevel="0" collapsed="false">
      <c r="A242" s="10" t="s">
        <v>611</v>
      </c>
      <c r="B242" s="10" t="s">
        <v>45</v>
      </c>
      <c r="C242" s="8" t="s">
        <v>612</v>
      </c>
      <c r="D242" s="8" t="s">
        <v>613</v>
      </c>
      <c r="E242" s="11" t="n">
        <v>41</v>
      </c>
      <c r="F242" s="8" t="str">
        <f aca="false">IFERROR(INDEX(Section_Master!$D$2:$D$477,MATCH($E242,Section_Master!$A$2:$A$477,0))&amp;"","")</f>
        <v>Not applicable - no offence or penalty defined here (definition, exception or general provision)</v>
      </c>
      <c r="G242" s="10" t="str">
        <f aca="false">IFERROR(INDEX(Section_Master!$E$2:$E$477,MATCH($E242,Section_Master!$A$2:$A$477,0))&amp;"","")</f>
        <v>N/A</v>
      </c>
      <c r="H242" s="10" t="str">
        <f aca="false">IFERROR(INDEX(Section_Master!$F$2:$F$477,MATCH($E242,Section_Master!$A$2:$A$477,0))&amp;"","")</f>
        <v>N/A</v>
      </c>
      <c r="I242" s="10" t="str">
        <f aca="false">IFERROR(INDEX(Section_Master!$G$2:$G$477,MATCH($E242,Section_Master!$A$2:$A$477,0))&amp;"","")</f>
        <v>N/A</v>
      </c>
      <c r="J242" s="10" t="s">
        <v>48</v>
      </c>
      <c r="K242" s="8" t="s">
        <v>614</v>
      </c>
    </row>
    <row r="243" customFormat="false" ht="34.5" hidden="false" customHeight="true" outlineLevel="0" collapsed="false">
      <c r="A243" s="10" t="s">
        <v>615</v>
      </c>
      <c r="B243" s="10" t="s">
        <v>45</v>
      </c>
      <c r="C243" s="8" t="s">
        <v>612</v>
      </c>
      <c r="D243" s="8" t="s">
        <v>616</v>
      </c>
      <c r="E243" s="11" t="n">
        <v>41</v>
      </c>
      <c r="F243" s="8" t="str">
        <f aca="false">IFERROR(INDEX(Section_Master!$D$2:$D$477,MATCH($E243,Section_Master!$A$2:$A$477,0))&amp;"","")</f>
        <v>Not applicable - no offence or penalty defined here (definition, exception or general provision)</v>
      </c>
      <c r="G243" s="10" t="str">
        <f aca="false">IFERROR(INDEX(Section_Master!$E$2:$E$477,MATCH($E243,Section_Master!$A$2:$A$477,0))&amp;"","")</f>
        <v>N/A</v>
      </c>
      <c r="H243" s="10" t="str">
        <f aca="false">IFERROR(INDEX(Section_Master!$F$2:$F$477,MATCH($E243,Section_Master!$A$2:$A$477,0))&amp;"","")</f>
        <v>N/A</v>
      </c>
      <c r="I243" s="10" t="str">
        <f aca="false">IFERROR(INDEX(Section_Master!$G$2:$G$477,MATCH($E243,Section_Master!$A$2:$A$477,0))&amp;"","")</f>
        <v>N/A</v>
      </c>
      <c r="J243" s="10" t="s">
        <v>52</v>
      </c>
      <c r="K243" s="8" t="s">
        <v>614</v>
      </c>
    </row>
    <row r="244" customFormat="false" ht="23.25" hidden="false" customHeight="true" outlineLevel="0" collapsed="false">
      <c r="A244" s="10" t="s">
        <v>617</v>
      </c>
      <c r="B244" s="10" t="s">
        <v>45</v>
      </c>
      <c r="C244" s="8" t="s">
        <v>612</v>
      </c>
      <c r="D244" s="8" t="s">
        <v>618</v>
      </c>
      <c r="E244" s="11" t="n">
        <v>41</v>
      </c>
      <c r="F244" s="8" t="str">
        <f aca="false">IFERROR(INDEX(Section_Master!$D$2:$D$477,MATCH($E244,Section_Master!$A$2:$A$477,0))&amp;"","")</f>
        <v>Not applicable - no offence or penalty defined here (definition, exception or general provision)</v>
      </c>
      <c r="G244" s="10" t="str">
        <f aca="false">IFERROR(INDEX(Section_Master!$E$2:$E$477,MATCH($E244,Section_Master!$A$2:$A$477,0))&amp;"","")</f>
        <v>N/A</v>
      </c>
      <c r="H244" s="10" t="str">
        <f aca="false">IFERROR(INDEX(Section_Master!$F$2:$F$477,MATCH($E244,Section_Master!$A$2:$A$477,0))&amp;"","")</f>
        <v>N/A</v>
      </c>
      <c r="I244" s="10" t="str">
        <f aca="false">IFERROR(INDEX(Section_Master!$G$2:$G$477,MATCH($E244,Section_Master!$A$2:$A$477,0))&amp;"","")</f>
        <v>N/A</v>
      </c>
      <c r="J244" s="10" t="s">
        <v>55</v>
      </c>
      <c r="K244" s="8" t="s">
        <v>614</v>
      </c>
    </row>
    <row r="245" customFormat="false" ht="23.25" hidden="false" customHeight="true" outlineLevel="0" collapsed="false">
      <c r="A245" s="10" t="s">
        <v>619</v>
      </c>
      <c r="B245" s="10" t="s">
        <v>45</v>
      </c>
      <c r="C245" s="8" t="s">
        <v>612</v>
      </c>
      <c r="D245" s="8" t="s">
        <v>620</v>
      </c>
      <c r="E245" s="11" t="n">
        <v>41</v>
      </c>
      <c r="F245" s="8" t="str">
        <f aca="false">IFERROR(INDEX(Section_Master!$D$2:$D$477,MATCH($E245,Section_Master!$A$2:$A$477,0))&amp;"","")</f>
        <v>Not applicable - no offence or penalty defined here (definition, exception or general provision)</v>
      </c>
      <c r="G245" s="10" t="str">
        <f aca="false">IFERROR(INDEX(Section_Master!$E$2:$E$477,MATCH($E245,Section_Master!$A$2:$A$477,0))&amp;"","")</f>
        <v>N/A</v>
      </c>
      <c r="H245" s="10" t="str">
        <f aca="false">IFERROR(INDEX(Section_Master!$F$2:$F$477,MATCH($E245,Section_Master!$A$2:$A$477,0))&amp;"","")</f>
        <v>N/A</v>
      </c>
      <c r="I245" s="10" t="str">
        <f aca="false">IFERROR(INDEX(Section_Master!$G$2:$G$477,MATCH($E245,Section_Master!$A$2:$A$477,0))&amp;"","")</f>
        <v>N/A</v>
      </c>
      <c r="J245" s="10" t="s">
        <v>58</v>
      </c>
      <c r="K245" s="8" t="s">
        <v>614</v>
      </c>
    </row>
    <row r="246" customFormat="false" ht="34.5" hidden="false" customHeight="true" outlineLevel="0" collapsed="false">
      <c r="A246" s="10" t="s">
        <v>621</v>
      </c>
      <c r="B246" s="10" t="s">
        <v>45</v>
      </c>
      <c r="C246" s="8" t="s">
        <v>612</v>
      </c>
      <c r="D246" s="8" t="s">
        <v>622</v>
      </c>
      <c r="E246" s="11" t="n">
        <v>41</v>
      </c>
      <c r="F246" s="8" t="str">
        <f aca="false">IFERROR(INDEX(Section_Master!$D$2:$D$477,MATCH($E246,Section_Master!$A$2:$A$477,0))&amp;"","")</f>
        <v>Not applicable - no offence or penalty defined here (definition, exception or general provision)</v>
      </c>
      <c r="G246" s="10" t="str">
        <f aca="false">IFERROR(INDEX(Section_Master!$E$2:$E$477,MATCH($E246,Section_Master!$A$2:$A$477,0))&amp;"","")</f>
        <v>N/A</v>
      </c>
      <c r="H246" s="10" t="str">
        <f aca="false">IFERROR(INDEX(Section_Master!$F$2:$F$477,MATCH($E246,Section_Master!$A$2:$A$477,0))&amp;"","")</f>
        <v>N/A</v>
      </c>
      <c r="I246" s="10" t="str">
        <f aca="false">IFERROR(INDEX(Section_Master!$G$2:$G$477,MATCH($E246,Section_Master!$A$2:$A$477,0))&amp;"","")</f>
        <v>N/A</v>
      </c>
      <c r="J246" s="10" t="s">
        <v>61</v>
      </c>
      <c r="K246" s="8" t="s">
        <v>614</v>
      </c>
    </row>
    <row r="247" customFormat="false" ht="34.5" hidden="false" customHeight="true" outlineLevel="0" collapsed="false">
      <c r="A247" s="10" t="s">
        <v>623</v>
      </c>
      <c r="B247" s="10" t="s">
        <v>45</v>
      </c>
      <c r="C247" s="8" t="s">
        <v>612</v>
      </c>
      <c r="D247" s="8" t="s">
        <v>624</v>
      </c>
      <c r="E247" s="11" t="n">
        <v>41</v>
      </c>
      <c r="F247" s="8" t="str">
        <f aca="false">IFERROR(INDEX(Section_Master!$D$2:$D$477,MATCH($E247,Section_Master!$A$2:$A$477,0))&amp;"","")</f>
        <v>Not applicable - no offence or penalty defined here (definition, exception or general provision)</v>
      </c>
      <c r="G247" s="10" t="str">
        <f aca="false">IFERROR(INDEX(Section_Master!$E$2:$E$477,MATCH($E247,Section_Master!$A$2:$A$477,0))&amp;"","")</f>
        <v>N/A</v>
      </c>
      <c r="H247" s="10" t="str">
        <f aca="false">IFERROR(INDEX(Section_Master!$F$2:$F$477,MATCH($E247,Section_Master!$A$2:$A$477,0))&amp;"","")</f>
        <v>N/A</v>
      </c>
      <c r="I247" s="10" t="str">
        <f aca="false">IFERROR(INDEX(Section_Master!$G$2:$G$477,MATCH($E247,Section_Master!$A$2:$A$477,0))&amp;"","")</f>
        <v>N/A</v>
      </c>
      <c r="J247" s="10" t="s">
        <v>64</v>
      </c>
      <c r="K247" s="8" t="s">
        <v>614</v>
      </c>
    </row>
    <row r="248" customFormat="false" ht="34.5" hidden="false" customHeight="true" outlineLevel="0" collapsed="false">
      <c r="A248" s="10" t="s">
        <v>625</v>
      </c>
      <c r="B248" s="10" t="s">
        <v>45</v>
      </c>
      <c r="C248" s="8" t="s">
        <v>584</v>
      </c>
      <c r="D248" s="8" t="s">
        <v>626</v>
      </c>
      <c r="E248" s="11" t="n">
        <v>42</v>
      </c>
      <c r="F248" s="8" t="str">
        <f aca="false">IFERROR(INDEX(Section_Master!$D$2:$D$477,MATCH($E248,Section_Master!$A$2:$A$477,0))&amp;"","")</f>
        <v>Not applicable - no offence or penalty defined here (definition, exception or general provision)</v>
      </c>
      <c r="G248" s="10" t="str">
        <f aca="false">IFERROR(INDEX(Section_Master!$E$2:$E$477,MATCH($E248,Section_Master!$A$2:$A$477,0))&amp;"","")</f>
        <v>N/A</v>
      </c>
      <c r="H248" s="10" t="str">
        <f aca="false">IFERROR(INDEX(Section_Master!$F$2:$F$477,MATCH($E248,Section_Master!$A$2:$A$477,0))&amp;"","")</f>
        <v>N/A</v>
      </c>
      <c r="I248" s="10" t="str">
        <f aca="false">IFERROR(INDEX(Section_Master!$G$2:$G$477,MATCH($E248,Section_Master!$A$2:$A$477,0))&amp;"","")</f>
        <v>N/A</v>
      </c>
      <c r="J248" s="10" t="s">
        <v>48</v>
      </c>
      <c r="K248" s="8" t="s">
        <v>627</v>
      </c>
    </row>
    <row r="249" customFormat="false" ht="34.5" hidden="false" customHeight="true" outlineLevel="0" collapsed="false">
      <c r="A249" s="10" t="s">
        <v>628</v>
      </c>
      <c r="B249" s="10" t="s">
        <v>45</v>
      </c>
      <c r="C249" s="8" t="s">
        <v>584</v>
      </c>
      <c r="D249" s="8" t="s">
        <v>629</v>
      </c>
      <c r="E249" s="11" t="n">
        <v>42</v>
      </c>
      <c r="F249" s="8" t="str">
        <f aca="false">IFERROR(INDEX(Section_Master!$D$2:$D$477,MATCH($E249,Section_Master!$A$2:$A$477,0))&amp;"","")</f>
        <v>Not applicable - no offence or penalty defined here (definition, exception or general provision)</v>
      </c>
      <c r="G249" s="10" t="str">
        <f aca="false">IFERROR(INDEX(Section_Master!$E$2:$E$477,MATCH($E249,Section_Master!$A$2:$A$477,0))&amp;"","")</f>
        <v>N/A</v>
      </c>
      <c r="H249" s="10" t="str">
        <f aca="false">IFERROR(INDEX(Section_Master!$F$2:$F$477,MATCH($E249,Section_Master!$A$2:$A$477,0))&amp;"","")</f>
        <v>N/A</v>
      </c>
      <c r="I249" s="10" t="str">
        <f aca="false">IFERROR(INDEX(Section_Master!$G$2:$G$477,MATCH($E249,Section_Master!$A$2:$A$477,0))&amp;"","")</f>
        <v>N/A</v>
      </c>
      <c r="J249" s="10" t="s">
        <v>52</v>
      </c>
      <c r="K249" s="8" t="s">
        <v>627</v>
      </c>
    </row>
    <row r="250" customFormat="false" ht="34.5" hidden="false" customHeight="true" outlineLevel="0" collapsed="false">
      <c r="A250" s="10" t="s">
        <v>630</v>
      </c>
      <c r="B250" s="10" t="s">
        <v>45</v>
      </c>
      <c r="C250" s="8" t="s">
        <v>584</v>
      </c>
      <c r="D250" s="8" t="s">
        <v>631</v>
      </c>
      <c r="E250" s="11" t="n">
        <v>42</v>
      </c>
      <c r="F250" s="8" t="str">
        <f aca="false">IFERROR(INDEX(Section_Master!$D$2:$D$477,MATCH($E250,Section_Master!$A$2:$A$477,0))&amp;"","")</f>
        <v>Not applicable - no offence or penalty defined here (definition, exception or general provision)</v>
      </c>
      <c r="G250" s="10" t="str">
        <f aca="false">IFERROR(INDEX(Section_Master!$E$2:$E$477,MATCH($E250,Section_Master!$A$2:$A$477,0))&amp;"","")</f>
        <v>N/A</v>
      </c>
      <c r="H250" s="10" t="str">
        <f aca="false">IFERROR(INDEX(Section_Master!$F$2:$F$477,MATCH($E250,Section_Master!$A$2:$A$477,0))&amp;"","")</f>
        <v>N/A</v>
      </c>
      <c r="I250" s="10" t="str">
        <f aca="false">IFERROR(INDEX(Section_Master!$G$2:$G$477,MATCH($E250,Section_Master!$A$2:$A$477,0))&amp;"","")</f>
        <v>N/A</v>
      </c>
      <c r="J250" s="10" t="s">
        <v>55</v>
      </c>
      <c r="K250" s="8" t="s">
        <v>627</v>
      </c>
    </row>
    <row r="251" customFormat="false" ht="23.25" hidden="false" customHeight="true" outlineLevel="0" collapsed="false">
      <c r="A251" s="10" t="s">
        <v>632</v>
      </c>
      <c r="B251" s="10" t="s">
        <v>45</v>
      </c>
      <c r="C251" s="8" t="s">
        <v>584</v>
      </c>
      <c r="D251" s="8" t="s">
        <v>633</v>
      </c>
      <c r="E251" s="11" t="n">
        <v>42</v>
      </c>
      <c r="F251" s="8" t="str">
        <f aca="false">IFERROR(INDEX(Section_Master!$D$2:$D$477,MATCH($E251,Section_Master!$A$2:$A$477,0))&amp;"","")</f>
        <v>Not applicable - no offence or penalty defined here (definition, exception or general provision)</v>
      </c>
      <c r="G251" s="10" t="str">
        <f aca="false">IFERROR(INDEX(Section_Master!$E$2:$E$477,MATCH($E251,Section_Master!$A$2:$A$477,0))&amp;"","")</f>
        <v>N/A</v>
      </c>
      <c r="H251" s="10" t="str">
        <f aca="false">IFERROR(INDEX(Section_Master!$F$2:$F$477,MATCH($E251,Section_Master!$A$2:$A$477,0))&amp;"","")</f>
        <v>N/A</v>
      </c>
      <c r="I251" s="10" t="str">
        <f aca="false">IFERROR(INDEX(Section_Master!$G$2:$G$477,MATCH($E251,Section_Master!$A$2:$A$477,0))&amp;"","")</f>
        <v>N/A</v>
      </c>
      <c r="J251" s="10" t="s">
        <v>58</v>
      </c>
      <c r="K251" s="8" t="s">
        <v>627</v>
      </c>
    </row>
    <row r="252" customFormat="false" ht="34.5" hidden="false" customHeight="true" outlineLevel="0" collapsed="false">
      <c r="A252" s="10" t="s">
        <v>634</v>
      </c>
      <c r="B252" s="10" t="s">
        <v>45</v>
      </c>
      <c r="C252" s="8" t="s">
        <v>584</v>
      </c>
      <c r="D252" s="8" t="s">
        <v>635</v>
      </c>
      <c r="E252" s="11" t="n">
        <v>42</v>
      </c>
      <c r="F252" s="8" t="str">
        <f aca="false">IFERROR(INDEX(Section_Master!$D$2:$D$477,MATCH($E252,Section_Master!$A$2:$A$477,0))&amp;"","")</f>
        <v>Not applicable - no offence or penalty defined here (definition, exception or general provision)</v>
      </c>
      <c r="G252" s="10" t="str">
        <f aca="false">IFERROR(INDEX(Section_Master!$E$2:$E$477,MATCH($E252,Section_Master!$A$2:$A$477,0))&amp;"","")</f>
        <v>N/A</v>
      </c>
      <c r="H252" s="10" t="str">
        <f aca="false">IFERROR(INDEX(Section_Master!$F$2:$F$477,MATCH($E252,Section_Master!$A$2:$A$477,0))&amp;"","")</f>
        <v>N/A</v>
      </c>
      <c r="I252" s="10" t="str">
        <f aca="false">IFERROR(INDEX(Section_Master!$G$2:$G$477,MATCH($E252,Section_Master!$A$2:$A$477,0))&amp;"","")</f>
        <v>N/A</v>
      </c>
      <c r="J252" s="10" t="s">
        <v>61</v>
      </c>
      <c r="K252" s="8" t="s">
        <v>627</v>
      </c>
    </row>
    <row r="253" customFormat="false" ht="34.5" hidden="false" customHeight="true" outlineLevel="0" collapsed="false">
      <c r="A253" s="10" t="s">
        <v>636</v>
      </c>
      <c r="B253" s="10" t="s">
        <v>45</v>
      </c>
      <c r="C253" s="8" t="s">
        <v>584</v>
      </c>
      <c r="D253" s="8" t="s">
        <v>637</v>
      </c>
      <c r="E253" s="11" t="n">
        <v>42</v>
      </c>
      <c r="F253" s="8" t="str">
        <f aca="false">IFERROR(INDEX(Section_Master!$D$2:$D$477,MATCH($E253,Section_Master!$A$2:$A$477,0))&amp;"","")</f>
        <v>Not applicable - no offence or penalty defined here (definition, exception or general provision)</v>
      </c>
      <c r="G253" s="10" t="str">
        <f aca="false">IFERROR(INDEX(Section_Master!$E$2:$E$477,MATCH($E253,Section_Master!$A$2:$A$477,0))&amp;"","")</f>
        <v>N/A</v>
      </c>
      <c r="H253" s="10" t="str">
        <f aca="false">IFERROR(INDEX(Section_Master!$F$2:$F$477,MATCH($E253,Section_Master!$A$2:$A$477,0))&amp;"","")</f>
        <v>N/A</v>
      </c>
      <c r="I253" s="10" t="str">
        <f aca="false">IFERROR(INDEX(Section_Master!$G$2:$G$477,MATCH($E253,Section_Master!$A$2:$A$477,0))&amp;"","")</f>
        <v>N/A</v>
      </c>
      <c r="J253" s="10" t="s">
        <v>64</v>
      </c>
      <c r="K253" s="8" t="s">
        <v>627</v>
      </c>
    </row>
    <row r="254" customFormat="false" ht="34.5" hidden="false" customHeight="true" outlineLevel="0" collapsed="false">
      <c r="A254" s="10" t="s">
        <v>638</v>
      </c>
      <c r="B254" s="10" t="s">
        <v>45</v>
      </c>
      <c r="C254" s="8" t="s">
        <v>639</v>
      </c>
      <c r="D254" s="8" t="s">
        <v>640</v>
      </c>
      <c r="E254" s="11" t="n">
        <v>43</v>
      </c>
      <c r="F254" s="8" t="str">
        <f aca="false">IFERROR(INDEX(Section_Master!$D$2:$D$477,MATCH($E254,Section_Master!$A$2:$A$477,0))&amp;"","")</f>
        <v>Not applicable - no offence or penalty defined here (definition, exception or general provision)</v>
      </c>
      <c r="G254" s="10" t="str">
        <f aca="false">IFERROR(INDEX(Section_Master!$E$2:$E$477,MATCH($E254,Section_Master!$A$2:$A$477,0))&amp;"","")</f>
        <v>N/A</v>
      </c>
      <c r="H254" s="10" t="str">
        <f aca="false">IFERROR(INDEX(Section_Master!$F$2:$F$477,MATCH($E254,Section_Master!$A$2:$A$477,0))&amp;"","")</f>
        <v>N/A</v>
      </c>
      <c r="I254" s="10" t="str">
        <f aca="false">IFERROR(INDEX(Section_Master!$G$2:$G$477,MATCH($E254,Section_Master!$A$2:$A$477,0))&amp;"","")</f>
        <v>N/A</v>
      </c>
      <c r="J254" s="10" t="s">
        <v>48</v>
      </c>
      <c r="K254" s="8" t="s">
        <v>641</v>
      </c>
    </row>
    <row r="255" customFormat="false" ht="45.75" hidden="false" customHeight="true" outlineLevel="0" collapsed="false">
      <c r="A255" s="10" t="s">
        <v>642</v>
      </c>
      <c r="B255" s="10" t="s">
        <v>45</v>
      </c>
      <c r="C255" s="8" t="s">
        <v>639</v>
      </c>
      <c r="D255" s="8" t="s">
        <v>643</v>
      </c>
      <c r="E255" s="11" t="n">
        <v>43</v>
      </c>
      <c r="F255" s="8" t="str">
        <f aca="false">IFERROR(INDEX(Section_Master!$D$2:$D$477,MATCH($E255,Section_Master!$A$2:$A$477,0))&amp;"","")</f>
        <v>Not applicable - no offence or penalty defined here (definition, exception or general provision)</v>
      </c>
      <c r="G255" s="10" t="str">
        <f aca="false">IFERROR(INDEX(Section_Master!$E$2:$E$477,MATCH($E255,Section_Master!$A$2:$A$477,0))&amp;"","")</f>
        <v>N/A</v>
      </c>
      <c r="H255" s="10" t="str">
        <f aca="false">IFERROR(INDEX(Section_Master!$F$2:$F$477,MATCH($E255,Section_Master!$A$2:$A$477,0))&amp;"","")</f>
        <v>N/A</v>
      </c>
      <c r="I255" s="10" t="str">
        <f aca="false">IFERROR(INDEX(Section_Master!$G$2:$G$477,MATCH($E255,Section_Master!$A$2:$A$477,0))&amp;"","")</f>
        <v>N/A</v>
      </c>
      <c r="J255" s="10" t="s">
        <v>52</v>
      </c>
      <c r="K255" s="8" t="s">
        <v>641</v>
      </c>
    </row>
    <row r="256" customFormat="false" ht="34.5" hidden="false" customHeight="true" outlineLevel="0" collapsed="false">
      <c r="A256" s="10" t="s">
        <v>644</v>
      </c>
      <c r="B256" s="10" t="s">
        <v>45</v>
      </c>
      <c r="C256" s="8" t="s">
        <v>639</v>
      </c>
      <c r="D256" s="8" t="s">
        <v>645</v>
      </c>
      <c r="E256" s="11" t="n">
        <v>43</v>
      </c>
      <c r="F256" s="8" t="str">
        <f aca="false">IFERROR(INDEX(Section_Master!$D$2:$D$477,MATCH($E256,Section_Master!$A$2:$A$477,0))&amp;"","")</f>
        <v>Not applicable - no offence or penalty defined here (definition, exception or general provision)</v>
      </c>
      <c r="G256" s="10" t="str">
        <f aca="false">IFERROR(INDEX(Section_Master!$E$2:$E$477,MATCH($E256,Section_Master!$A$2:$A$477,0))&amp;"","")</f>
        <v>N/A</v>
      </c>
      <c r="H256" s="10" t="str">
        <f aca="false">IFERROR(INDEX(Section_Master!$F$2:$F$477,MATCH($E256,Section_Master!$A$2:$A$477,0))&amp;"","")</f>
        <v>N/A</v>
      </c>
      <c r="I256" s="10" t="str">
        <f aca="false">IFERROR(INDEX(Section_Master!$G$2:$G$477,MATCH($E256,Section_Master!$A$2:$A$477,0))&amp;"","")</f>
        <v>N/A</v>
      </c>
      <c r="J256" s="10" t="s">
        <v>55</v>
      </c>
      <c r="K256" s="8" t="s">
        <v>641</v>
      </c>
    </row>
    <row r="257" customFormat="false" ht="23.25" hidden="false" customHeight="true" outlineLevel="0" collapsed="false">
      <c r="A257" s="10" t="s">
        <v>646</v>
      </c>
      <c r="B257" s="10" t="s">
        <v>45</v>
      </c>
      <c r="C257" s="8" t="s">
        <v>639</v>
      </c>
      <c r="D257" s="8" t="s">
        <v>647</v>
      </c>
      <c r="E257" s="11" t="n">
        <v>43</v>
      </c>
      <c r="F257" s="8" t="str">
        <f aca="false">IFERROR(INDEX(Section_Master!$D$2:$D$477,MATCH($E257,Section_Master!$A$2:$A$477,0))&amp;"","")</f>
        <v>Not applicable - no offence or penalty defined here (definition, exception or general provision)</v>
      </c>
      <c r="G257" s="10" t="str">
        <f aca="false">IFERROR(INDEX(Section_Master!$E$2:$E$477,MATCH($E257,Section_Master!$A$2:$A$477,0))&amp;"","")</f>
        <v>N/A</v>
      </c>
      <c r="H257" s="10" t="str">
        <f aca="false">IFERROR(INDEX(Section_Master!$F$2:$F$477,MATCH($E257,Section_Master!$A$2:$A$477,0))&amp;"","")</f>
        <v>N/A</v>
      </c>
      <c r="I257" s="10" t="str">
        <f aca="false">IFERROR(INDEX(Section_Master!$G$2:$G$477,MATCH($E257,Section_Master!$A$2:$A$477,0))&amp;"","")</f>
        <v>N/A</v>
      </c>
      <c r="J257" s="10" t="s">
        <v>58</v>
      </c>
      <c r="K257" s="8" t="s">
        <v>641</v>
      </c>
    </row>
    <row r="258" customFormat="false" ht="34.5" hidden="false" customHeight="true" outlineLevel="0" collapsed="false">
      <c r="A258" s="10" t="s">
        <v>648</v>
      </c>
      <c r="B258" s="10" t="s">
        <v>45</v>
      </c>
      <c r="C258" s="8" t="s">
        <v>639</v>
      </c>
      <c r="D258" s="8" t="s">
        <v>649</v>
      </c>
      <c r="E258" s="11" t="n">
        <v>43</v>
      </c>
      <c r="F258" s="8" t="str">
        <f aca="false">IFERROR(INDEX(Section_Master!$D$2:$D$477,MATCH($E258,Section_Master!$A$2:$A$477,0))&amp;"","")</f>
        <v>Not applicable - no offence or penalty defined here (definition, exception or general provision)</v>
      </c>
      <c r="G258" s="10" t="str">
        <f aca="false">IFERROR(INDEX(Section_Master!$E$2:$E$477,MATCH($E258,Section_Master!$A$2:$A$477,0))&amp;"","")</f>
        <v>N/A</v>
      </c>
      <c r="H258" s="10" t="str">
        <f aca="false">IFERROR(INDEX(Section_Master!$F$2:$F$477,MATCH($E258,Section_Master!$A$2:$A$477,0))&amp;"","")</f>
        <v>N/A</v>
      </c>
      <c r="I258" s="10" t="str">
        <f aca="false">IFERROR(INDEX(Section_Master!$G$2:$G$477,MATCH($E258,Section_Master!$A$2:$A$477,0))&amp;"","")</f>
        <v>N/A</v>
      </c>
      <c r="J258" s="10" t="s">
        <v>61</v>
      </c>
      <c r="K258" s="8" t="s">
        <v>641</v>
      </c>
    </row>
    <row r="259" customFormat="false" ht="34.5" hidden="false" customHeight="true" outlineLevel="0" collapsed="false">
      <c r="A259" s="10" t="s">
        <v>650</v>
      </c>
      <c r="B259" s="10" t="s">
        <v>45</v>
      </c>
      <c r="C259" s="8" t="s">
        <v>639</v>
      </c>
      <c r="D259" s="8" t="s">
        <v>651</v>
      </c>
      <c r="E259" s="11" t="n">
        <v>43</v>
      </c>
      <c r="F259" s="8" t="str">
        <f aca="false">IFERROR(INDEX(Section_Master!$D$2:$D$477,MATCH($E259,Section_Master!$A$2:$A$477,0))&amp;"","")</f>
        <v>Not applicable - no offence or penalty defined here (definition, exception or general provision)</v>
      </c>
      <c r="G259" s="10" t="str">
        <f aca="false">IFERROR(INDEX(Section_Master!$E$2:$E$477,MATCH($E259,Section_Master!$A$2:$A$477,0))&amp;"","")</f>
        <v>N/A</v>
      </c>
      <c r="H259" s="10" t="str">
        <f aca="false">IFERROR(INDEX(Section_Master!$F$2:$F$477,MATCH($E259,Section_Master!$A$2:$A$477,0))&amp;"","")</f>
        <v>N/A</v>
      </c>
      <c r="I259" s="10" t="str">
        <f aca="false">IFERROR(INDEX(Section_Master!$G$2:$G$477,MATCH($E259,Section_Master!$A$2:$A$477,0))&amp;"","")</f>
        <v>N/A</v>
      </c>
      <c r="J259" s="10" t="s">
        <v>64</v>
      </c>
      <c r="K259" s="8" t="s">
        <v>641</v>
      </c>
    </row>
    <row r="260" customFormat="false" ht="34.5" hidden="false" customHeight="true" outlineLevel="0" collapsed="false">
      <c r="A260" s="10" t="s">
        <v>652</v>
      </c>
      <c r="B260" s="10" t="s">
        <v>45</v>
      </c>
      <c r="C260" s="8" t="s">
        <v>653</v>
      </c>
      <c r="D260" s="8" t="s">
        <v>654</v>
      </c>
      <c r="E260" s="11" t="n">
        <v>44</v>
      </c>
      <c r="F260" s="8" t="str">
        <f aca="false">IFERROR(INDEX(Section_Master!$D$2:$D$477,MATCH($E260,Section_Master!$A$2:$A$477,0))&amp;"","")</f>
        <v>Not applicable - no offence or penalty defined here (definition, exception or general provision)</v>
      </c>
      <c r="G260" s="10" t="str">
        <f aca="false">IFERROR(INDEX(Section_Master!$E$2:$E$477,MATCH($E260,Section_Master!$A$2:$A$477,0))&amp;"","")</f>
        <v>N/A</v>
      </c>
      <c r="H260" s="10" t="str">
        <f aca="false">IFERROR(INDEX(Section_Master!$F$2:$F$477,MATCH($E260,Section_Master!$A$2:$A$477,0))&amp;"","")</f>
        <v>N/A</v>
      </c>
      <c r="I260" s="10" t="str">
        <f aca="false">IFERROR(INDEX(Section_Master!$G$2:$G$477,MATCH($E260,Section_Master!$A$2:$A$477,0))&amp;"","")</f>
        <v>N/A</v>
      </c>
      <c r="J260" s="10" t="s">
        <v>48</v>
      </c>
      <c r="K260" s="8" t="s">
        <v>655</v>
      </c>
    </row>
    <row r="261" customFormat="false" ht="34.5" hidden="false" customHeight="true" outlineLevel="0" collapsed="false">
      <c r="A261" s="10" t="s">
        <v>656</v>
      </c>
      <c r="B261" s="10" t="s">
        <v>45</v>
      </c>
      <c r="C261" s="8" t="s">
        <v>653</v>
      </c>
      <c r="D261" s="8" t="s">
        <v>657</v>
      </c>
      <c r="E261" s="11" t="n">
        <v>44</v>
      </c>
      <c r="F261" s="8" t="str">
        <f aca="false">IFERROR(INDEX(Section_Master!$D$2:$D$477,MATCH($E261,Section_Master!$A$2:$A$477,0))&amp;"","")</f>
        <v>Not applicable - no offence or penalty defined here (definition, exception or general provision)</v>
      </c>
      <c r="G261" s="10" t="str">
        <f aca="false">IFERROR(INDEX(Section_Master!$E$2:$E$477,MATCH($E261,Section_Master!$A$2:$A$477,0))&amp;"","")</f>
        <v>N/A</v>
      </c>
      <c r="H261" s="10" t="str">
        <f aca="false">IFERROR(INDEX(Section_Master!$F$2:$F$477,MATCH($E261,Section_Master!$A$2:$A$477,0))&amp;"","")</f>
        <v>N/A</v>
      </c>
      <c r="I261" s="10" t="str">
        <f aca="false">IFERROR(INDEX(Section_Master!$G$2:$G$477,MATCH($E261,Section_Master!$A$2:$A$477,0))&amp;"","")</f>
        <v>N/A</v>
      </c>
      <c r="J261" s="10" t="s">
        <v>52</v>
      </c>
      <c r="K261" s="8" t="s">
        <v>655</v>
      </c>
    </row>
    <row r="262" customFormat="false" ht="34.5" hidden="false" customHeight="true" outlineLevel="0" collapsed="false">
      <c r="A262" s="10" t="s">
        <v>658</v>
      </c>
      <c r="B262" s="10" t="s">
        <v>45</v>
      </c>
      <c r="C262" s="8" t="s">
        <v>653</v>
      </c>
      <c r="D262" s="8" t="s">
        <v>659</v>
      </c>
      <c r="E262" s="11" t="n">
        <v>44</v>
      </c>
      <c r="F262" s="8" t="str">
        <f aca="false">IFERROR(INDEX(Section_Master!$D$2:$D$477,MATCH($E262,Section_Master!$A$2:$A$477,0))&amp;"","")</f>
        <v>Not applicable - no offence or penalty defined here (definition, exception or general provision)</v>
      </c>
      <c r="G262" s="10" t="str">
        <f aca="false">IFERROR(INDEX(Section_Master!$E$2:$E$477,MATCH($E262,Section_Master!$A$2:$A$477,0))&amp;"","")</f>
        <v>N/A</v>
      </c>
      <c r="H262" s="10" t="str">
        <f aca="false">IFERROR(INDEX(Section_Master!$F$2:$F$477,MATCH($E262,Section_Master!$A$2:$A$477,0))&amp;"","")</f>
        <v>N/A</v>
      </c>
      <c r="I262" s="10" t="str">
        <f aca="false">IFERROR(INDEX(Section_Master!$G$2:$G$477,MATCH($E262,Section_Master!$A$2:$A$477,0))&amp;"","")</f>
        <v>N/A</v>
      </c>
      <c r="J262" s="10" t="s">
        <v>55</v>
      </c>
      <c r="K262" s="8" t="s">
        <v>655</v>
      </c>
    </row>
    <row r="263" customFormat="false" ht="34.5" hidden="false" customHeight="true" outlineLevel="0" collapsed="false">
      <c r="A263" s="10" t="s">
        <v>660</v>
      </c>
      <c r="B263" s="10" t="s">
        <v>45</v>
      </c>
      <c r="C263" s="8" t="s">
        <v>653</v>
      </c>
      <c r="D263" s="8" t="s">
        <v>661</v>
      </c>
      <c r="E263" s="11" t="n">
        <v>44</v>
      </c>
      <c r="F263" s="8" t="str">
        <f aca="false">IFERROR(INDEX(Section_Master!$D$2:$D$477,MATCH($E263,Section_Master!$A$2:$A$477,0))&amp;"","")</f>
        <v>Not applicable - no offence or penalty defined here (definition, exception or general provision)</v>
      </c>
      <c r="G263" s="10" t="str">
        <f aca="false">IFERROR(INDEX(Section_Master!$E$2:$E$477,MATCH($E263,Section_Master!$A$2:$A$477,0))&amp;"","")</f>
        <v>N/A</v>
      </c>
      <c r="H263" s="10" t="str">
        <f aca="false">IFERROR(INDEX(Section_Master!$F$2:$F$477,MATCH($E263,Section_Master!$A$2:$A$477,0))&amp;"","")</f>
        <v>N/A</v>
      </c>
      <c r="I263" s="10" t="str">
        <f aca="false">IFERROR(INDEX(Section_Master!$G$2:$G$477,MATCH($E263,Section_Master!$A$2:$A$477,0))&amp;"","")</f>
        <v>N/A</v>
      </c>
      <c r="J263" s="10" t="s">
        <v>58</v>
      </c>
      <c r="K263" s="8" t="s">
        <v>655</v>
      </c>
    </row>
    <row r="264" customFormat="false" ht="34.5" hidden="false" customHeight="true" outlineLevel="0" collapsed="false">
      <c r="A264" s="10" t="s">
        <v>662</v>
      </c>
      <c r="B264" s="10" t="s">
        <v>45</v>
      </c>
      <c r="C264" s="8" t="s">
        <v>653</v>
      </c>
      <c r="D264" s="8" t="s">
        <v>663</v>
      </c>
      <c r="E264" s="11" t="n">
        <v>44</v>
      </c>
      <c r="F264" s="8" t="str">
        <f aca="false">IFERROR(INDEX(Section_Master!$D$2:$D$477,MATCH($E264,Section_Master!$A$2:$A$477,0))&amp;"","")</f>
        <v>Not applicable - no offence or penalty defined here (definition, exception or general provision)</v>
      </c>
      <c r="G264" s="10" t="str">
        <f aca="false">IFERROR(INDEX(Section_Master!$E$2:$E$477,MATCH($E264,Section_Master!$A$2:$A$477,0))&amp;"","")</f>
        <v>N/A</v>
      </c>
      <c r="H264" s="10" t="str">
        <f aca="false">IFERROR(INDEX(Section_Master!$F$2:$F$477,MATCH($E264,Section_Master!$A$2:$A$477,0))&amp;"","")</f>
        <v>N/A</v>
      </c>
      <c r="I264" s="10" t="str">
        <f aca="false">IFERROR(INDEX(Section_Master!$G$2:$G$477,MATCH($E264,Section_Master!$A$2:$A$477,0))&amp;"","")</f>
        <v>N/A</v>
      </c>
      <c r="J264" s="10" t="s">
        <v>61</v>
      </c>
      <c r="K264" s="8" t="s">
        <v>655</v>
      </c>
    </row>
    <row r="265" customFormat="false" ht="34.5" hidden="false" customHeight="true" outlineLevel="0" collapsed="false">
      <c r="A265" s="10" t="s">
        <v>664</v>
      </c>
      <c r="B265" s="10" t="s">
        <v>45</v>
      </c>
      <c r="C265" s="8" t="s">
        <v>653</v>
      </c>
      <c r="D265" s="8" t="s">
        <v>665</v>
      </c>
      <c r="E265" s="11" t="n">
        <v>44</v>
      </c>
      <c r="F265" s="8" t="str">
        <f aca="false">IFERROR(INDEX(Section_Master!$D$2:$D$477,MATCH($E265,Section_Master!$A$2:$A$477,0))&amp;"","")</f>
        <v>Not applicable - no offence or penalty defined here (definition, exception or general provision)</v>
      </c>
      <c r="G265" s="10" t="str">
        <f aca="false">IFERROR(INDEX(Section_Master!$E$2:$E$477,MATCH($E265,Section_Master!$A$2:$A$477,0))&amp;"","")</f>
        <v>N/A</v>
      </c>
      <c r="H265" s="10" t="str">
        <f aca="false">IFERROR(INDEX(Section_Master!$F$2:$F$477,MATCH($E265,Section_Master!$A$2:$A$477,0))&amp;"","")</f>
        <v>N/A</v>
      </c>
      <c r="I265" s="10" t="str">
        <f aca="false">IFERROR(INDEX(Section_Master!$G$2:$G$477,MATCH($E265,Section_Master!$A$2:$A$477,0))&amp;"","")</f>
        <v>N/A</v>
      </c>
      <c r="J265" s="10" t="s">
        <v>64</v>
      </c>
      <c r="K265" s="8" t="s">
        <v>655</v>
      </c>
    </row>
    <row r="266" customFormat="false" ht="23.25" hidden="false" customHeight="true" outlineLevel="0" collapsed="false">
      <c r="A266" s="10" t="s">
        <v>666</v>
      </c>
      <c r="B266" s="10" t="s">
        <v>45</v>
      </c>
      <c r="C266" s="8" t="s">
        <v>667</v>
      </c>
      <c r="D266" s="8" t="s">
        <v>668</v>
      </c>
      <c r="E266" s="11" t="n">
        <v>45</v>
      </c>
      <c r="F266" s="8" t="str">
        <f aca="false">IFERROR(INDEX(Section_Master!$D$2:$D$477,MATCH($E266,Section_Master!$A$2:$A$477,0))&amp;"","")</f>
        <v>Not applicable - no offence or penalty defined here (definition, exception or general provision)</v>
      </c>
      <c r="G266" s="10" t="str">
        <f aca="false">IFERROR(INDEX(Section_Master!$E$2:$E$477,MATCH($E266,Section_Master!$A$2:$A$477,0))&amp;"","")</f>
        <v>N/A</v>
      </c>
      <c r="H266" s="10" t="str">
        <f aca="false">IFERROR(INDEX(Section_Master!$F$2:$F$477,MATCH($E266,Section_Master!$A$2:$A$477,0))&amp;"","")</f>
        <v>N/A</v>
      </c>
      <c r="I266" s="10" t="str">
        <f aca="false">IFERROR(INDEX(Section_Master!$G$2:$G$477,MATCH($E266,Section_Master!$A$2:$A$477,0))&amp;"","")</f>
        <v>N/A</v>
      </c>
      <c r="J266" s="10" t="s">
        <v>48</v>
      </c>
      <c r="K266" s="8" t="s">
        <v>669</v>
      </c>
    </row>
    <row r="267" customFormat="false" ht="34.5" hidden="false" customHeight="true" outlineLevel="0" collapsed="false">
      <c r="A267" s="10" t="s">
        <v>670</v>
      </c>
      <c r="B267" s="10" t="s">
        <v>45</v>
      </c>
      <c r="C267" s="8" t="s">
        <v>667</v>
      </c>
      <c r="D267" s="8" t="s">
        <v>671</v>
      </c>
      <c r="E267" s="11" t="n">
        <v>45</v>
      </c>
      <c r="F267" s="8" t="str">
        <f aca="false">IFERROR(INDEX(Section_Master!$D$2:$D$477,MATCH($E267,Section_Master!$A$2:$A$477,0))&amp;"","")</f>
        <v>Not applicable - no offence or penalty defined here (definition, exception or general provision)</v>
      </c>
      <c r="G267" s="10" t="str">
        <f aca="false">IFERROR(INDEX(Section_Master!$E$2:$E$477,MATCH($E267,Section_Master!$A$2:$A$477,0))&amp;"","")</f>
        <v>N/A</v>
      </c>
      <c r="H267" s="10" t="str">
        <f aca="false">IFERROR(INDEX(Section_Master!$F$2:$F$477,MATCH($E267,Section_Master!$A$2:$A$477,0))&amp;"","")</f>
        <v>N/A</v>
      </c>
      <c r="I267" s="10" t="str">
        <f aca="false">IFERROR(INDEX(Section_Master!$G$2:$G$477,MATCH($E267,Section_Master!$A$2:$A$477,0))&amp;"","")</f>
        <v>N/A</v>
      </c>
      <c r="J267" s="10" t="s">
        <v>52</v>
      </c>
      <c r="K267" s="8" t="s">
        <v>669</v>
      </c>
    </row>
    <row r="268" customFormat="false" ht="23.25" hidden="false" customHeight="true" outlineLevel="0" collapsed="false">
      <c r="A268" s="10" t="s">
        <v>672</v>
      </c>
      <c r="B268" s="10" t="s">
        <v>45</v>
      </c>
      <c r="C268" s="8" t="s">
        <v>667</v>
      </c>
      <c r="D268" s="8" t="s">
        <v>673</v>
      </c>
      <c r="E268" s="11" t="n">
        <v>45</v>
      </c>
      <c r="F268" s="8" t="str">
        <f aca="false">IFERROR(INDEX(Section_Master!$D$2:$D$477,MATCH($E268,Section_Master!$A$2:$A$477,0))&amp;"","")</f>
        <v>Not applicable - no offence or penalty defined here (definition, exception or general provision)</v>
      </c>
      <c r="G268" s="10" t="str">
        <f aca="false">IFERROR(INDEX(Section_Master!$E$2:$E$477,MATCH($E268,Section_Master!$A$2:$A$477,0))&amp;"","")</f>
        <v>N/A</v>
      </c>
      <c r="H268" s="10" t="str">
        <f aca="false">IFERROR(INDEX(Section_Master!$F$2:$F$477,MATCH($E268,Section_Master!$A$2:$A$477,0))&amp;"","")</f>
        <v>N/A</v>
      </c>
      <c r="I268" s="10" t="str">
        <f aca="false">IFERROR(INDEX(Section_Master!$G$2:$G$477,MATCH($E268,Section_Master!$A$2:$A$477,0))&amp;"","")</f>
        <v>N/A</v>
      </c>
      <c r="J268" s="10" t="s">
        <v>55</v>
      </c>
      <c r="K268" s="8" t="s">
        <v>669</v>
      </c>
    </row>
    <row r="269" customFormat="false" ht="23.25" hidden="false" customHeight="true" outlineLevel="0" collapsed="false">
      <c r="A269" s="10" t="s">
        <v>674</v>
      </c>
      <c r="B269" s="10" t="s">
        <v>45</v>
      </c>
      <c r="C269" s="8" t="s">
        <v>667</v>
      </c>
      <c r="D269" s="8" t="s">
        <v>675</v>
      </c>
      <c r="E269" s="11" t="n">
        <v>45</v>
      </c>
      <c r="F269" s="8" t="str">
        <f aca="false">IFERROR(INDEX(Section_Master!$D$2:$D$477,MATCH($E269,Section_Master!$A$2:$A$477,0))&amp;"","")</f>
        <v>Not applicable - no offence or penalty defined here (definition, exception or general provision)</v>
      </c>
      <c r="G269" s="10" t="str">
        <f aca="false">IFERROR(INDEX(Section_Master!$E$2:$E$477,MATCH($E269,Section_Master!$A$2:$A$477,0))&amp;"","")</f>
        <v>N/A</v>
      </c>
      <c r="H269" s="10" t="str">
        <f aca="false">IFERROR(INDEX(Section_Master!$F$2:$F$477,MATCH($E269,Section_Master!$A$2:$A$477,0))&amp;"","")</f>
        <v>N/A</v>
      </c>
      <c r="I269" s="10" t="str">
        <f aca="false">IFERROR(INDEX(Section_Master!$G$2:$G$477,MATCH($E269,Section_Master!$A$2:$A$477,0))&amp;"","")</f>
        <v>N/A</v>
      </c>
      <c r="J269" s="10" t="s">
        <v>58</v>
      </c>
      <c r="K269" s="8" t="s">
        <v>669</v>
      </c>
    </row>
    <row r="270" customFormat="false" ht="34.5" hidden="false" customHeight="true" outlineLevel="0" collapsed="false">
      <c r="A270" s="10" t="s">
        <v>676</v>
      </c>
      <c r="B270" s="10" t="s">
        <v>45</v>
      </c>
      <c r="C270" s="8" t="s">
        <v>667</v>
      </c>
      <c r="D270" s="8" t="s">
        <v>677</v>
      </c>
      <c r="E270" s="11" t="n">
        <v>45</v>
      </c>
      <c r="F270" s="8" t="str">
        <f aca="false">IFERROR(INDEX(Section_Master!$D$2:$D$477,MATCH($E270,Section_Master!$A$2:$A$477,0))&amp;"","")</f>
        <v>Not applicable - no offence or penalty defined here (definition, exception or general provision)</v>
      </c>
      <c r="G270" s="10" t="str">
        <f aca="false">IFERROR(INDEX(Section_Master!$E$2:$E$477,MATCH($E270,Section_Master!$A$2:$A$477,0))&amp;"","")</f>
        <v>N/A</v>
      </c>
      <c r="H270" s="10" t="str">
        <f aca="false">IFERROR(INDEX(Section_Master!$F$2:$F$477,MATCH($E270,Section_Master!$A$2:$A$477,0))&amp;"","")</f>
        <v>N/A</v>
      </c>
      <c r="I270" s="10" t="str">
        <f aca="false">IFERROR(INDEX(Section_Master!$G$2:$G$477,MATCH($E270,Section_Master!$A$2:$A$477,0))&amp;"","")</f>
        <v>N/A</v>
      </c>
      <c r="J270" s="10" t="s">
        <v>61</v>
      </c>
      <c r="K270" s="8" t="s">
        <v>669</v>
      </c>
    </row>
    <row r="271" customFormat="false" ht="34.5" hidden="false" customHeight="true" outlineLevel="0" collapsed="false">
      <c r="A271" s="10" t="s">
        <v>678</v>
      </c>
      <c r="B271" s="10" t="s">
        <v>45</v>
      </c>
      <c r="C271" s="8" t="s">
        <v>667</v>
      </c>
      <c r="D271" s="8" t="s">
        <v>679</v>
      </c>
      <c r="E271" s="11" t="n">
        <v>45</v>
      </c>
      <c r="F271" s="8" t="str">
        <f aca="false">IFERROR(INDEX(Section_Master!$D$2:$D$477,MATCH($E271,Section_Master!$A$2:$A$477,0))&amp;"","")</f>
        <v>Not applicable - no offence or penalty defined here (definition, exception or general provision)</v>
      </c>
      <c r="G271" s="10" t="str">
        <f aca="false">IFERROR(INDEX(Section_Master!$E$2:$E$477,MATCH($E271,Section_Master!$A$2:$A$477,0))&amp;"","")</f>
        <v>N/A</v>
      </c>
      <c r="H271" s="10" t="str">
        <f aca="false">IFERROR(INDEX(Section_Master!$F$2:$F$477,MATCH($E271,Section_Master!$A$2:$A$477,0))&amp;"","")</f>
        <v>N/A</v>
      </c>
      <c r="I271" s="10" t="str">
        <f aca="false">IFERROR(INDEX(Section_Master!$G$2:$G$477,MATCH($E271,Section_Master!$A$2:$A$477,0))&amp;"","")</f>
        <v>N/A</v>
      </c>
      <c r="J271" s="10" t="s">
        <v>64</v>
      </c>
      <c r="K271" s="8" t="s">
        <v>669</v>
      </c>
    </row>
    <row r="272" customFormat="false" ht="23.25" hidden="false" customHeight="true" outlineLevel="0" collapsed="false">
      <c r="A272" s="10" t="s">
        <v>680</v>
      </c>
      <c r="B272" s="10" t="s">
        <v>45</v>
      </c>
      <c r="C272" s="8" t="s">
        <v>681</v>
      </c>
      <c r="D272" s="8" t="s">
        <v>682</v>
      </c>
      <c r="E272" s="11" t="n">
        <v>46</v>
      </c>
      <c r="F272" s="8" t="str">
        <f aca="false">IFERROR(INDEX(Section_Master!$D$2:$D$477,MATCH($E272,Section_Master!$A$2:$A$477,0))&amp;"","")</f>
        <v>Not applicable - no offence or penalty defined here (definition, exception or general provision)</v>
      </c>
      <c r="G272" s="10" t="str">
        <f aca="false">IFERROR(INDEX(Section_Master!$E$2:$E$477,MATCH($E272,Section_Master!$A$2:$A$477,0))&amp;"","")</f>
        <v>N/A</v>
      </c>
      <c r="H272" s="10" t="str">
        <f aca="false">IFERROR(INDEX(Section_Master!$F$2:$F$477,MATCH($E272,Section_Master!$A$2:$A$477,0))&amp;"","")</f>
        <v>N/A</v>
      </c>
      <c r="I272" s="10" t="str">
        <f aca="false">IFERROR(INDEX(Section_Master!$G$2:$G$477,MATCH($E272,Section_Master!$A$2:$A$477,0))&amp;"","")</f>
        <v>N/A</v>
      </c>
      <c r="J272" s="10" t="s">
        <v>48</v>
      </c>
      <c r="K272" s="8" t="s">
        <v>683</v>
      </c>
    </row>
    <row r="273" customFormat="false" ht="34.5" hidden="false" customHeight="true" outlineLevel="0" collapsed="false">
      <c r="A273" s="10" t="s">
        <v>684</v>
      </c>
      <c r="B273" s="10" t="s">
        <v>45</v>
      </c>
      <c r="C273" s="8" t="s">
        <v>681</v>
      </c>
      <c r="D273" s="8" t="s">
        <v>685</v>
      </c>
      <c r="E273" s="11" t="n">
        <v>46</v>
      </c>
      <c r="F273" s="8" t="str">
        <f aca="false">IFERROR(INDEX(Section_Master!$D$2:$D$477,MATCH($E273,Section_Master!$A$2:$A$477,0))&amp;"","")</f>
        <v>Not applicable - no offence or penalty defined here (definition, exception or general provision)</v>
      </c>
      <c r="G273" s="10" t="str">
        <f aca="false">IFERROR(INDEX(Section_Master!$E$2:$E$477,MATCH($E273,Section_Master!$A$2:$A$477,0))&amp;"","")</f>
        <v>N/A</v>
      </c>
      <c r="H273" s="10" t="str">
        <f aca="false">IFERROR(INDEX(Section_Master!$F$2:$F$477,MATCH($E273,Section_Master!$A$2:$A$477,0))&amp;"","")</f>
        <v>N/A</v>
      </c>
      <c r="I273" s="10" t="str">
        <f aca="false">IFERROR(INDEX(Section_Master!$G$2:$G$477,MATCH($E273,Section_Master!$A$2:$A$477,0))&amp;"","")</f>
        <v>N/A</v>
      </c>
      <c r="J273" s="10" t="s">
        <v>52</v>
      </c>
      <c r="K273" s="8" t="s">
        <v>683</v>
      </c>
    </row>
    <row r="274" customFormat="false" ht="34.5" hidden="false" customHeight="true" outlineLevel="0" collapsed="false">
      <c r="A274" s="10" t="s">
        <v>686</v>
      </c>
      <c r="B274" s="10" t="s">
        <v>45</v>
      </c>
      <c r="C274" s="8" t="s">
        <v>681</v>
      </c>
      <c r="D274" s="8" t="s">
        <v>687</v>
      </c>
      <c r="E274" s="11" t="n">
        <v>46</v>
      </c>
      <c r="F274" s="8" t="str">
        <f aca="false">IFERROR(INDEX(Section_Master!$D$2:$D$477,MATCH($E274,Section_Master!$A$2:$A$477,0))&amp;"","")</f>
        <v>Not applicable - no offence or penalty defined here (definition, exception or general provision)</v>
      </c>
      <c r="G274" s="10" t="str">
        <f aca="false">IFERROR(INDEX(Section_Master!$E$2:$E$477,MATCH($E274,Section_Master!$A$2:$A$477,0))&amp;"","")</f>
        <v>N/A</v>
      </c>
      <c r="H274" s="10" t="str">
        <f aca="false">IFERROR(INDEX(Section_Master!$F$2:$F$477,MATCH($E274,Section_Master!$A$2:$A$477,0))&amp;"","")</f>
        <v>N/A</v>
      </c>
      <c r="I274" s="10" t="str">
        <f aca="false">IFERROR(INDEX(Section_Master!$G$2:$G$477,MATCH($E274,Section_Master!$A$2:$A$477,0))&amp;"","")</f>
        <v>N/A</v>
      </c>
      <c r="J274" s="10" t="s">
        <v>55</v>
      </c>
      <c r="K274" s="8" t="s">
        <v>683</v>
      </c>
    </row>
    <row r="275" customFormat="false" ht="34.5" hidden="false" customHeight="true" outlineLevel="0" collapsed="false">
      <c r="A275" s="10" t="s">
        <v>688</v>
      </c>
      <c r="B275" s="10" t="s">
        <v>45</v>
      </c>
      <c r="C275" s="8" t="s">
        <v>681</v>
      </c>
      <c r="D275" s="8" t="s">
        <v>689</v>
      </c>
      <c r="E275" s="11" t="n">
        <v>46</v>
      </c>
      <c r="F275" s="8" t="str">
        <f aca="false">IFERROR(INDEX(Section_Master!$D$2:$D$477,MATCH($E275,Section_Master!$A$2:$A$477,0))&amp;"","")</f>
        <v>Not applicable - no offence or penalty defined here (definition, exception or general provision)</v>
      </c>
      <c r="G275" s="10" t="str">
        <f aca="false">IFERROR(INDEX(Section_Master!$E$2:$E$477,MATCH($E275,Section_Master!$A$2:$A$477,0))&amp;"","")</f>
        <v>N/A</v>
      </c>
      <c r="H275" s="10" t="str">
        <f aca="false">IFERROR(INDEX(Section_Master!$F$2:$F$477,MATCH($E275,Section_Master!$A$2:$A$477,0))&amp;"","")</f>
        <v>N/A</v>
      </c>
      <c r="I275" s="10" t="str">
        <f aca="false">IFERROR(INDEX(Section_Master!$G$2:$G$477,MATCH($E275,Section_Master!$A$2:$A$477,0))&amp;"","")</f>
        <v>N/A</v>
      </c>
      <c r="J275" s="10" t="s">
        <v>58</v>
      </c>
      <c r="K275" s="8" t="s">
        <v>683</v>
      </c>
    </row>
    <row r="276" customFormat="false" ht="34.5" hidden="false" customHeight="true" outlineLevel="0" collapsed="false">
      <c r="A276" s="10" t="s">
        <v>690</v>
      </c>
      <c r="B276" s="10" t="s">
        <v>45</v>
      </c>
      <c r="C276" s="8" t="s">
        <v>681</v>
      </c>
      <c r="D276" s="8" t="s">
        <v>691</v>
      </c>
      <c r="E276" s="11" t="n">
        <v>46</v>
      </c>
      <c r="F276" s="8" t="str">
        <f aca="false">IFERROR(INDEX(Section_Master!$D$2:$D$477,MATCH($E276,Section_Master!$A$2:$A$477,0))&amp;"","")</f>
        <v>Not applicable - no offence or penalty defined here (definition, exception or general provision)</v>
      </c>
      <c r="G276" s="10" t="str">
        <f aca="false">IFERROR(INDEX(Section_Master!$E$2:$E$477,MATCH($E276,Section_Master!$A$2:$A$477,0))&amp;"","")</f>
        <v>N/A</v>
      </c>
      <c r="H276" s="10" t="str">
        <f aca="false">IFERROR(INDEX(Section_Master!$F$2:$F$477,MATCH($E276,Section_Master!$A$2:$A$477,0))&amp;"","")</f>
        <v>N/A</v>
      </c>
      <c r="I276" s="10" t="str">
        <f aca="false">IFERROR(INDEX(Section_Master!$G$2:$G$477,MATCH($E276,Section_Master!$A$2:$A$477,0))&amp;"","")</f>
        <v>N/A</v>
      </c>
      <c r="J276" s="10" t="s">
        <v>61</v>
      </c>
      <c r="K276" s="8" t="s">
        <v>683</v>
      </c>
    </row>
    <row r="277" customFormat="false" ht="34.5" hidden="false" customHeight="true" outlineLevel="0" collapsed="false">
      <c r="A277" s="10" t="s">
        <v>692</v>
      </c>
      <c r="B277" s="10" t="s">
        <v>45</v>
      </c>
      <c r="C277" s="8" t="s">
        <v>681</v>
      </c>
      <c r="D277" s="8" t="s">
        <v>693</v>
      </c>
      <c r="E277" s="11" t="n">
        <v>46</v>
      </c>
      <c r="F277" s="8" t="str">
        <f aca="false">IFERROR(INDEX(Section_Master!$D$2:$D$477,MATCH($E277,Section_Master!$A$2:$A$477,0))&amp;"","")</f>
        <v>Not applicable - no offence or penalty defined here (definition, exception or general provision)</v>
      </c>
      <c r="G277" s="10" t="str">
        <f aca="false">IFERROR(INDEX(Section_Master!$E$2:$E$477,MATCH($E277,Section_Master!$A$2:$A$477,0))&amp;"","")</f>
        <v>N/A</v>
      </c>
      <c r="H277" s="10" t="str">
        <f aca="false">IFERROR(INDEX(Section_Master!$F$2:$F$477,MATCH($E277,Section_Master!$A$2:$A$477,0))&amp;"","")</f>
        <v>N/A</v>
      </c>
      <c r="I277" s="10" t="str">
        <f aca="false">IFERROR(INDEX(Section_Master!$G$2:$G$477,MATCH($E277,Section_Master!$A$2:$A$477,0))&amp;"","")</f>
        <v>N/A</v>
      </c>
      <c r="J277" s="10" t="s">
        <v>64</v>
      </c>
      <c r="K277" s="8" t="s">
        <v>683</v>
      </c>
    </row>
    <row r="278" customFormat="false" ht="34.5" hidden="false" customHeight="true" outlineLevel="0" collapsed="false">
      <c r="A278" s="10" t="s">
        <v>694</v>
      </c>
      <c r="B278" s="10" t="s">
        <v>45</v>
      </c>
      <c r="C278" s="8" t="s">
        <v>695</v>
      </c>
      <c r="D278" s="8" t="s">
        <v>696</v>
      </c>
      <c r="E278" s="11" t="n">
        <v>47</v>
      </c>
      <c r="F278" s="8" t="str">
        <f aca="false">IFERROR(INDEX(Section_Master!$D$2:$D$477,MATCH($E278,Section_Master!$A$2:$A$477,0))&amp;"","")</f>
        <v>Punished as for abetting that offence if it were committed in India</v>
      </c>
      <c r="G278" s="10" t="str">
        <f aca="false">IFERROR(INDEX(Section_Master!$E$2:$E$477,MATCH($E278,Section_Master!$A$2:$A$477,0))&amp;"","")</f>
        <v>Same as underlying offence</v>
      </c>
      <c r="H278" s="10" t="str">
        <f aca="false">IFERROR(INDEX(Section_Master!$F$2:$F$477,MATCH($E278,Section_Master!$A$2:$A$477,0))&amp;"","")</f>
        <v>Same as underlying offence</v>
      </c>
      <c r="I278" s="10" t="str">
        <f aca="false">IFERROR(INDEX(Section_Master!$G$2:$G$477,MATCH($E278,Section_Master!$A$2:$A$477,0))&amp;"","")</f>
        <v>Same as underlying offence</v>
      </c>
      <c r="J278" s="10" t="s">
        <v>48</v>
      </c>
      <c r="K278" s="8" t="s">
        <v>697</v>
      </c>
    </row>
    <row r="279" customFormat="false" ht="34.5" hidden="false" customHeight="true" outlineLevel="0" collapsed="false">
      <c r="A279" s="10" t="s">
        <v>698</v>
      </c>
      <c r="B279" s="10" t="s">
        <v>45</v>
      </c>
      <c r="C279" s="8" t="s">
        <v>695</v>
      </c>
      <c r="D279" s="8" t="s">
        <v>699</v>
      </c>
      <c r="E279" s="11" t="n">
        <v>47</v>
      </c>
      <c r="F279" s="8" t="str">
        <f aca="false">IFERROR(INDEX(Section_Master!$D$2:$D$477,MATCH($E279,Section_Master!$A$2:$A$477,0))&amp;"","")</f>
        <v>Punished as for abetting that offence if it were committed in India</v>
      </c>
      <c r="G279" s="10" t="str">
        <f aca="false">IFERROR(INDEX(Section_Master!$E$2:$E$477,MATCH($E279,Section_Master!$A$2:$A$477,0))&amp;"","")</f>
        <v>Same as underlying offence</v>
      </c>
      <c r="H279" s="10" t="str">
        <f aca="false">IFERROR(INDEX(Section_Master!$F$2:$F$477,MATCH($E279,Section_Master!$A$2:$A$477,0))&amp;"","")</f>
        <v>Same as underlying offence</v>
      </c>
      <c r="I279" s="10" t="str">
        <f aca="false">IFERROR(INDEX(Section_Master!$G$2:$G$477,MATCH($E279,Section_Master!$A$2:$A$477,0))&amp;"","")</f>
        <v>Same as underlying offence</v>
      </c>
      <c r="J279" s="10" t="s">
        <v>52</v>
      </c>
      <c r="K279" s="8" t="s">
        <v>697</v>
      </c>
    </row>
    <row r="280" customFormat="false" ht="34.5" hidden="false" customHeight="true" outlineLevel="0" collapsed="false">
      <c r="A280" s="10" t="s">
        <v>700</v>
      </c>
      <c r="B280" s="10" t="s">
        <v>45</v>
      </c>
      <c r="C280" s="8" t="s">
        <v>695</v>
      </c>
      <c r="D280" s="8" t="s">
        <v>701</v>
      </c>
      <c r="E280" s="11" t="n">
        <v>47</v>
      </c>
      <c r="F280" s="8" t="str">
        <f aca="false">IFERROR(INDEX(Section_Master!$D$2:$D$477,MATCH($E280,Section_Master!$A$2:$A$477,0))&amp;"","")</f>
        <v>Punished as for abetting that offence if it were committed in India</v>
      </c>
      <c r="G280" s="10" t="str">
        <f aca="false">IFERROR(INDEX(Section_Master!$E$2:$E$477,MATCH($E280,Section_Master!$A$2:$A$477,0))&amp;"","")</f>
        <v>Same as underlying offence</v>
      </c>
      <c r="H280" s="10" t="str">
        <f aca="false">IFERROR(INDEX(Section_Master!$F$2:$F$477,MATCH($E280,Section_Master!$A$2:$A$477,0))&amp;"","")</f>
        <v>Same as underlying offence</v>
      </c>
      <c r="I280" s="10" t="str">
        <f aca="false">IFERROR(INDEX(Section_Master!$G$2:$G$477,MATCH($E280,Section_Master!$A$2:$A$477,0))&amp;"","")</f>
        <v>Same as underlying offence</v>
      </c>
      <c r="J280" s="10" t="s">
        <v>55</v>
      </c>
      <c r="K280" s="8" t="s">
        <v>697</v>
      </c>
    </row>
    <row r="281" customFormat="false" ht="23.25" hidden="false" customHeight="true" outlineLevel="0" collapsed="false">
      <c r="A281" s="10" t="s">
        <v>702</v>
      </c>
      <c r="B281" s="10" t="s">
        <v>45</v>
      </c>
      <c r="C281" s="8" t="s">
        <v>695</v>
      </c>
      <c r="D281" s="8" t="s">
        <v>703</v>
      </c>
      <c r="E281" s="11" t="n">
        <v>47</v>
      </c>
      <c r="F281" s="8" t="str">
        <f aca="false">IFERROR(INDEX(Section_Master!$D$2:$D$477,MATCH($E281,Section_Master!$A$2:$A$477,0))&amp;"","")</f>
        <v>Punished as for abetting that offence if it were committed in India</v>
      </c>
      <c r="G281" s="10" t="str">
        <f aca="false">IFERROR(INDEX(Section_Master!$E$2:$E$477,MATCH($E281,Section_Master!$A$2:$A$477,0))&amp;"","")</f>
        <v>Same as underlying offence</v>
      </c>
      <c r="H281" s="10" t="str">
        <f aca="false">IFERROR(INDEX(Section_Master!$F$2:$F$477,MATCH($E281,Section_Master!$A$2:$A$477,0))&amp;"","")</f>
        <v>Same as underlying offence</v>
      </c>
      <c r="I281" s="10" t="str">
        <f aca="false">IFERROR(INDEX(Section_Master!$G$2:$G$477,MATCH($E281,Section_Master!$A$2:$A$477,0))&amp;"","")</f>
        <v>Same as underlying offence</v>
      </c>
      <c r="J281" s="10" t="s">
        <v>58</v>
      </c>
      <c r="K281" s="8" t="s">
        <v>697</v>
      </c>
    </row>
    <row r="282" customFormat="false" ht="34.5" hidden="false" customHeight="true" outlineLevel="0" collapsed="false">
      <c r="A282" s="10" t="s">
        <v>704</v>
      </c>
      <c r="B282" s="10" t="s">
        <v>45</v>
      </c>
      <c r="C282" s="8" t="s">
        <v>695</v>
      </c>
      <c r="D282" s="8" t="s">
        <v>705</v>
      </c>
      <c r="E282" s="11" t="n">
        <v>47</v>
      </c>
      <c r="F282" s="8" t="str">
        <f aca="false">IFERROR(INDEX(Section_Master!$D$2:$D$477,MATCH($E282,Section_Master!$A$2:$A$477,0))&amp;"","")</f>
        <v>Punished as for abetting that offence if it were committed in India</v>
      </c>
      <c r="G282" s="10" t="str">
        <f aca="false">IFERROR(INDEX(Section_Master!$E$2:$E$477,MATCH($E282,Section_Master!$A$2:$A$477,0))&amp;"","")</f>
        <v>Same as underlying offence</v>
      </c>
      <c r="H282" s="10" t="str">
        <f aca="false">IFERROR(INDEX(Section_Master!$F$2:$F$477,MATCH($E282,Section_Master!$A$2:$A$477,0))&amp;"","")</f>
        <v>Same as underlying offence</v>
      </c>
      <c r="I282" s="10" t="str">
        <f aca="false">IFERROR(INDEX(Section_Master!$G$2:$G$477,MATCH($E282,Section_Master!$A$2:$A$477,0))&amp;"","")</f>
        <v>Same as underlying offence</v>
      </c>
      <c r="J282" s="10" t="s">
        <v>61</v>
      </c>
      <c r="K282" s="8" t="s">
        <v>697</v>
      </c>
    </row>
    <row r="283" customFormat="false" ht="34.5" hidden="false" customHeight="true" outlineLevel="0" collapsed="false">
      <c r="A283" s="10" t="s">
        <v>706</v>
      </c>
      <c r="B283" s="10" t="s">
        <v>45</v>
      </c>
      <c r="C283" s="8" t="s">
        <v>695</v>
      </c>
      <c r="D283" s="8" t="s">
        <v>707</v>
      </c>
      <c r="E283" s="11" t="n">
        <v>47</v>
      </c>
      <c r="F283" s="8" t="str">
        <f aca="false">IFERROR(INDEX(Section_Master!$D$2:$D$477,MATCH($E283,Section_Master!$A$2:$A$477,0))&amp;"","")</f>
        <v>Punished as for abetting that offence if it were committed in India</v>
      </c>
      <c r="G283" s="10" t="str">
        <f aca="false">IFERROR(INDEX(Section_Master!$E$2:$E$477,MATCH($E283,Section_Master!$A$2:$A$477,0))&amp;"","")</f>
        <v>Same as underlying offence</v>
      </c>
      <c r="H283" s="10" t="str">
        <f aca="false">IFERROR(INDEX(Section_Master!$F$2:$F$477,MATCH($E283,Section_Master!$A$2:$A$477,0))&amp;"","")</f>
        <v>Same as underlying offence</v>
      </c>
      <c r="I283" s="10" t="str">
        <f aca="false">IFERROR(INDEX(Section_Master!$G$2:$G$477,MATCH($E283,Section_Master!$A$2:$A$477,0))&amp;"","")</f>
        <v>Same as underlying offence</v>
      </c>
      <c r="J283" s="10" t="s">
        <v>64</v>
      </c>
      <c r="K283" s="8" t="s">
        <v>697</v>
      </c>
    </row>
    <row r="284" customFormat="false" ht="23.25" hidden="false" customHeight="true" outlineLevel="0" collapsed="false">
      <c r="A284" s="10" t="s">
        <v>708</v>
      </c>
      <c r="B284" s="10" t="s">
        <v>45</v>
      </c>
      <c r="C284" s="8" t="s">
        <v>709</v>
      </c>
      <c r="D284" s="8" t="s">
        <v>710</v>
      </c>
      <c r="E284" s="11" t="n">
        <v>48</v>
      </c>
      <c r="F284" s="8" t="str">
        <f aca="false">IFERROR(INDEX(Section_Master!$D$2:$D$477,MATCH($E284,Section_Master!$A$2:$A$477,0))&amp;"","")</f>
        <v>Punished as for abetting the offence committed in India</v>
      </c>
      <c r="G284" s="10" t="str">
        <f aca="false">IFERROR(INDEX(Section_Master!$E$2:$E$477,MATCH($E284,Section_Master!$A$2:$A$477,0))&amp;"","")</f>
        <v>Same as underlying offence</v>
      </c>
      <c r="H284" s="10" t="str">
        <f aca="false">IFERROR(INDEX(Section_Master!$F$2:$F$477,MATCH($E284,Section_Master!$A$2:$A$477,0))&amp;"","")</f>
        <v>Same as underlying offence</v>
      </c>
      <c r="I284" s="10" t="str">
        <f aca="false">IFERROR(INDEX(Section_Master!$G$2:$G$477,MATCH($E284,Section_Master!$A$2:$A$477,0))&amp;"","")</f>
        <v>Same as underlying offence</v>
      </c>
      <c r="J284" s="10" t="s">
        <v>48</v>
      </c>
      <c r="K284" s="8" t="s">
        <v>711</v>
      </c>
    </row>
    <row r="285" customFormat="false" ht="34.5" hidden="false" customHeight="true" outlineLevel="0" collapsed="false">
      <c r="A285" s="10" t="s">
        <v>712</v>
      </c>
      <c r="B285" s="10" t="s">
        <v>45</v>
      </c>
      <c r="C285" s="8" t="s">
        <v>709</v>
      </c>
      <c r="D285" s="8" t="s">
        <v>713</v>
      </c>
      <c r="E285" s="11" t="n">
        <v>48</v>
      </c>
      <c r="F285" s="8" t="str">
        <f aca="false">IFERROR(INDEX(Section_Master!$D$2:$D$477,MATCH($E285,Section_Master!$A$2:$A$477,0))&amp;"","")</f>
        <v>Punished as for abetting the offence committed in India</v>
      </c>
      <c r="G285" s="10" t="str">
        <f aca="false">IFERROR(INDEX(Section_Master!$E$2:$E$477,MATCH($E285,Section_Master!$A$2:$A$477,0))&amp;"","")</f>
        <v>Same as underlying offence</v>
      </c>
      <c r="H285" s="10" t="str">
        <f aca="false">IFERROR(INDEX(Section_Master!$F$2:$F$477,MATCH($E285,Section_Master!$A$2:$A$477,0))&amp;"","")</f>
        <v>Same as underlying offence</v>
      </c>
      <c r="I285" s="10" t="str">
        <f aca="false">IFERROR(INDEX(Section_Master!$G$2:$G$477,MATCH($E285,Section_Master!$A$2:$A$477,0))&amp;"","")</f>
        <v>Same as underlying offence</v>
      </c>
      <c r="J285" s="10" t="s">
        <v>52</v>
      </c>
      <c r="K285" s="8" t="s">
        <v>711</v>
      </c>
    </row>
    <row r="286" customFormat="false" ht="23.25" hidden="false" customHeight="true" outlineLevel="0" collapsed="false">
      <c r="A286" s="10" t="s">
        <v>714</v>
      </c>
      <c r="B286" s="10" t="s">
        <v>45</v>
      </c>
      <c r="C286" s="8" t="s">
        <v>709</v>
      </c>
      <c r="D286" s="8" t="s">
        <v>715</v>
      </c>
      <c r="E286" s="11" t="n">
        <v>48</v>
      </c>
      <c r="F286" s="8" t="str">
        <f aca="false">IFERROR(INDEX(Section_Master!$D$2:$D$477,MATCH($E286,Section_Master!$A$2:$A$477,0))&amp;"","")</f>
        <v>Punished as for abetting the offence committed in India</v>
      </c>
      <c r="G286" s="10" t="str">
        <f aca="false">IFERROR(INDEX(Section_Master!$E$2:$E$477,MATCH($E286,Section_Master!$A$2:$A$477,0))&amp;"","")</f>
        <v>Same as underlying offence</v>
      </c>
      <c r="H286" s="10" t="str">
        <f aca="false">IFERROR(INDEX(Section_Master!$F$2:$F$477,MATCH($E286,Section_Master!$A$2:$A$477,0))&amp;"","")</f>
        <v>Same as underlying offence</v>
      </c>
      <c r="I286" s="10" t="str">
        <f aca="false">IFERROR(INDEX(Section_Master!$G$2:$G$477,MATCH($E286,Section_Master!$A$2:$A$477,0))&amp;"","")</f>
        <v>Same as underlying offence</v>
      </c>
      <c r="J286" s="10" t="s">
        <v>55</v>
      </c>
      <c r="K286" s="8" t="s">
        <v>711</v>
      </c>
    </row>
    <row r="287" customFormat="false" ht="23.25" hidden="false" customHeight="true" outlineLevel="0" collapsed="false">
      <c r="A287" s="10" t="s">
        <v>716</v>
      </c>
      <c r="B287" s="10" t="s">
        <v>45</v>
      </c>
      <c r="C287" s="8" t="s">
        <v>709</v>
      </c>
      <c r="D287" s="8" t="s">
        <v>717</v>
      </c>
      <c r="E287" s="11" t="n">
        <v>48</v>
      </c>
      <c r="F287" s="8" t="str">
        <f aca="false">IFERROR(INDEX(Section_Master!$D$2:$D$477,MATCH($E287,Section_Master!$A$2:$A$477,0))&amp;"","")</f>
        <v>Punished as for abetting the offence committed in India</v>
      </c>
      <c r="G287" s="10" t="str">
        <f aca="false">IFERROR(INDEX(Section_Master!$E$2:$E$477,MATCH($E287,Section_Master!$A$2:$A$477,0))&amp;"","")</f>
        <v>Same as underlying offence</v>
      </c>
      <c r="H287" s="10" t="str">
        <f aca="false">IFERROR(INDEX(Section_Master!$F$2:$F$477,MATCH($E287,Section_Master!$A$2:$A$477,0))&amp;"","")</f>
        <v>Same as underlying offence</v>
      </c>
      <c r="I287" s="10" t="str">
        <f aca="false">IFERROR(INDEX(Section_Master!$G$2:$G$477,MATCH($E287,Section_Master!$A$2:$A$477,0))&amp;"","")</f>
        <v>Same as underlying offence</v>
      </c>
      <c r="J287" s="10" t="s">
        <v>58</v>
      </c>
      <c r="K287" s="8" t="s">
        <v>711</v>
      </c>
    </row>
    <row r="288" customFormat="false" ht="34.5" hidden="false" customHeight="true" outlineLevel="0" collapsed="false">
      <c r="A288" s="10" t="s">
        <v>718</v>
      </c>
      <c r="B288" s="10" t="s">
        <v>45</v>
      </c>
      <c r="C288" s="8" t="s">
        <v>709</v>
      </c>
      <c r="D288" s="8" t="s">
        <v>719</v>
      </c>
      <c r="E288" s="11" t="n">
        <v>48</v>
      </c>
      <c r="F288" s="8" t="str">
        <f aca="false">IFERROR(INDEX(Section_Master!$D$2:$D$477,MATCH($E288,Section_Master!$A$2:$A$477,0))&amp;"","")</f>
        <v>Punished as for abetting the offence committed in India</v>
      </c>
      <c r="G288" s="10" t="str">
        <f aca="false">IFERROR(INDEX(Section_Master!$E$2:$E$477,MATCH($E288,Section_Master!$A$2:$A$477,0))&amp;"","")</f>
        <v>Same as underlying offence</v>
      </c>
      <c r="H288" s="10" t="str">
        <f aca="false">IFERROR(INDEX(Section_Master!$F$2:$F$477,MATCH($E288,Section_Master!$A$2:$A$477,0))&amp;"","")</f>
        <v>Same as underlying offence</v>
      </c>
      <c r="I288" s="10" t="str">
        <f aca="false">IFERROR(INDEX(Section_Master!$G$2:$G$477,MATCH($E288,Section_Master!$A$2:$A$477,0))&amp;"","")</f>
        <v>Same as underlying offence</v>
      </c>
      <c r="J288" s="10" t="s">
        <v>61</v>
      </c>
      <c r="K288" s="8" t="s">
        <v>711</v>
      </c>
    </row>
    <row r="289" customFormat="false" ht="34.5" hidden="false" customHeight="true" outlineLevel="0" collapsed="false">
      <c r="A289" s="10" t="s">
        <v>720</v>
      </c>
      <c r="B289" s="10" t="s">
        <v>45</v>
      </c>
      <c r="C289" s="8" t="s">
        <v>709</v>
      </c>
      <c r="D289" s="8" t="s">
        <v>721</v>
      </c>
      <c r="E289" s="11" t="n">
        <v>48</v>
      </c>
      <c r="F289" s="8" t="str">
        <f aca="false">IFERROR(INDEX(Section_Master!$D$2:$D$477,MATCH($E289,Section_Master!$A$2:$A$477,0))&amp;"","")</f>
        <v>Punished as for abetting the offence committed in India</v>
      </c>
      <c r="G289" s="10" t="str">
        <f aca="false">IFERROR(INDEX(Section_Master!$E$2:$E$477,MATCH($E289,Section_Master!$A$2:$A$477,0))&amp;"","")</f>
        <v>Same as underlying offence</v>
      </c>
      <c r="H289" s="10" t="str">
        <f aca="false">IFERROR(INDEX(Section_Master!$F$2:$F$477,MATCH($E289,Section_Master!$A$2:$A$477,0))&amp;"","")</f>
        <v>Same as underlying offence</v>
      </c>
      <c r="I289" s="10" t="str">
        <f aca="false">IFERROR(INDEX(Section_Master!$G$2:$G$477,MATCH($E289,Section_Master!$A$2:$A$477,0))&amp;"","")</f>
        <v>Same as underlying offence</v>
      </c>
      <c r="J289" s="10" t="s">
        <v>64</v>
      </c>
      <c r="K289" s="8" t="s">
        <v>711</v>
      </c>
    </row>
    <row r="290" customFormat="false" ht="45.75" hidden="false" customHeight="true" outlineLevel="0" collapsed="false">
      <c r="A290" s="10" t="s">
        <v>722</v>
      </c>
      <c r="B290" s="10" t="s">
        <v>45</v>
      </c>
      <c r="C290" s="8" t="s">
        <v>723</v>
      </c>
      <c r="D290" s="8" t="s">
        <v>724</v>
      </c>
      <c r="E290" s="11" t="n">
        <v>49</v>
      </c>
      <c r="F290" s="8" t="str">
        <f aca="false">IFERROR(INDEX(Section_Master!$D$2:$D$477,MATCH($E290,Section_Master!$A$2:$A$477,0))&amp;"","")</f>
        <v>Punishment provided for the offence abetted [s.49]</v>
      </c>
      <c r="G290" s="10" t="str">
        <f aca="false">IFERROR(INDEX(Section_Master!$E$2:$E$477,MATCH($E290,Section_Master!$A$2:$A$477,0))&amp;"","")</f>
        <v>Same as underlying offence</v>
      </c>
      <c r="H290" s="10" t="str">
        <f aca="false">IFERROR(INDEX(Section_Master!$F$2:$F$477,MATCH($E290,Section_Master!$A$2:$A$477,0))&amp;"","")</f>
        <v>Same as underlying offence</v>
      </c>
      <c r="I290" s="10" t="str">
        <f aca="false">IFERROR(INDEX(Section_Master!$G$2:$G$477,MATCH($E290,Section_Master!$A$2:$A$477,0))&amp;"","")</f>
        <v>Same as underlying offence</v>
      </c>
      <c r="J290" s="10" t="s">
        <v>48</v>
      </c>
      <c r="K290" s="8" t="s">
        <v>725</v>
      </c>
    </row>
    <row r="291" customFormat="false" ht="45.75" hidden="false" customHeight="true" outlineLevel="0" collapsed="false">
      <c r="A291" s="10" t="s">
        <v>726</v>
      </c>
      <c r="B291" s="10" t="s">
        <v>45</v>
      </c>
      <c r="C291" s="8" t="s">
        <v>723</v>
      </c>
      <c r="D291" s="8" t="s">
        <v>727</v>
      </c>
      <c r="E291" s="11" t="n">
        <v>49</v>
      </c>
      <c r="F291" s="8" t="str">
        <f aca="false">IFERROR(INDEX(Section_Master!$D$2:$D$477,MATCH($E291,Section_Master!$A$2:$A$477,0))&amp;"","")</f>
        <v>Punishment provided for the offence abetted [s.49]</v>
      </c>
      <c r="G291" s="10" t="str">
        <f aca="false">IFERROR(INDEX(Section_Master!$E$2:$E$477,MATCH($E291,Section_Master!$A$2:$A$477,0))&amp;"","")</f>
        <v>Same as underlying offence</v>
      </c>
      <c r="H291" s="10" t="str">
        <f aca="false">IFERROR(INDEX(Section_Master!$F$2:$F$477,MATCH($E291,Section_Master!$A$2:$A$477,0))&amp;"","")</f>
        <v>Same as underlying offence</v>
      </c>
      <c r="I291" s="10" t="str">
        <f aca="false">IFERROR(INDEX(Section_Master!$G$2:$G$477,MATCH($E291,Section_Master!$A$2:$A$477,0))&amp;"","")</f>
        <v>Same as underlying offence</v>
      </c>
      <c r="J291" s="10" t="s">
        <v>52</v>
      </c>
      <c r="K291" s="8" t="s">
        <v>725</v>
      </c>
    </row>
    <row r="292" customFormat="false" ht="45.75" hidden="false" customHeight="true" outlineLevel="0" collapsed="false">
      <c r="A292" s="10" t="s">
        <v>728</v>
      </c>
      <c r="B292" s="10" t="s">
        <v>45</v>
      </c>
      <c r="C292" s="8" t="s">
        <v>723</v>
      </c>
      <c r="D292" s="8" t="s">
        <v>729</v>
      </c>
      <c r="E292" s="11" t="n">
        <v>49</v>
      </c>
      <c r="F292" s="8" t="str">
        <f aca="false">IFERROR(INDEX(Section_Master!$D$2:$D$477,MATCH($E292,Section_Master!$A$2:$A$477,0))&amp;"","")</f>
        <v>Punishment provided for the offence abetted [s.49]</v>
      </c>
      <c r="G292" s="10" t="str">
        <f aca="false">IFERROR(INDEX(Section_Master!$E$2:$E$477,MATCH($E292,Section_Master!$A$2:$A$477,0))&amp;"","")</f>
        <v>Same as underlying offence</v>
      </c>
      <c r="H292" s="10" t="str">
        <f aca="false">IFERROR(INDEX(Section_Master!$F$2:$F$477,MATCH($E292,Section_Master!$A$2:$A$477,0))&amp;"","")</f>
        <v>Same as underlying offence</v>
      </c>
      <c r="I292" s="10" t="str">
        <f aca="false">IFERROR(INDEX(Section_Master!$G$2:$G$477,MATCH($E292,Section_Master!$A$2:$A$477,0))&amp;"","")</f>
        <v>Same as underlying offence</v>
      </c>
      <c r="J292" s="10" t="s">
        <v>55</v>
      </c>
      <c r="K292" s="8" t="s">
        <v>725</v>
      </c>
    </row>
    <row r="293" customFormat="false" ht="45.75" hidden="false" customHeight="true" outlineLevel="0" collapsed="false">
      <c r="A293" s="10" t="s">
        <v>730</v>
      </c>
      <c r="B293" s="10" t="s">
        <v>45</v>
      </c>
      <c r="C293" s="8" t="s">
        <v>723</v>
      </c>
      <c r="D293" s="8" t="s">
        <v>731</v>
      </c>
      <c r="E293" s="11" t="n">
        <v>49</v>
      </c>
      <c r="F293" s="8" t="str">
        <f aca="false">IFERROR(INDEX(Section_Master!$D$2:$D$477,MATCH($E293,Section_Master!$A$2:$A$477,0))&amp;"","")</f>
        <v>Punishment provided for the offence abetted [s.49]</v>
      </c>
      <c r="G293" s="10" t="str">
        <f aca="false">IFERROR(INDEX(Section_Master!$E$2:$E$477,MATCH($E293,Section_Master!$A$2:$A$477,0))&amp;"","")</f>
        <v>Same as underlying offence</v>
      </c>
      <c r="H293" s="10" t="str">
        <f aca="false">IFERROR(INDEX(Section_Master!$F$2:$F$477,MATCH($E293,Section_Master!$A$2:$A$477,0))&amp;"","")</f>
        <v>Same as underlying offence</v>
      </c>
      <c r="I293" s="10" t="str">
        <f aca="false">IFERROR(INDEX(Section_Master!$G$2:$G$477,MATCH($E293,Section_Master!$A$2:$A$477,0))&amp;"","")</f>
        <v>Same as underlying offence</v>
      </c>
      <c r="J293" s="10" t="s">
        <v>58</v>
      </c>
      <c r="K293" s="8" t="s">
        <v>725</v>
      </c>
    </row>
    <row r="294" customFormat="false" ht="45.75" hidden="false" customHeight="true" outlineLevel="0" collapsed="false">
      <c r="A294" s="10" t="s">
        <v>732</v>
      </c>
      <c r="B294" s="10" t="s">
        <v>45</v>
      </c>
      <c r="C294" s="8" t="s">
        <v>723</v>
      </c>
      <c r="D294" s="8" t="s">
        <v>733</v>
      </c>
      <c r="E294" s="11" t="n">
        <v>49</v>
      </c>
      <c r="F294" s="8" t="str">
        <f aca="false">IFERROR(INDEX(Section_Master!$D$2:$D$477,MATCH($E294,Section_Master!$A$2:$A$477,0))&amp;"","")</f>
        <v>Punishment provided for the offence abetted [s.49]</v>
      </c>
      <c r="G294" s="10" t="str">
        <f aca="false">IFERROR(INDEX(Section_Master!$E$2:$E$477,MATCH($E294,Section_Master!$A$2:$A$477,0))&amp;"","")</f>
        <v>Same as underlying offence</v>
      </c>
      <c r="H294" s="10" t="str">
        <f aca="false">IFERROR(INDEX(Section_Master!$F$2:$F$477,MATCH($E294,Section_Master!$A$2:$A$477,0))&amp;"","")</f>
        <v>Same as underlying offence</v>
      </c>
      <c r="I294" s="10" t="str">
        <f aca="false">IFERROR(INDEX(Section_Master!$G$2:$G$477,MATCH($E294,Section_Master!$A$2:$A$477,0))&amp;"","")</f>
        <v>Same as underlying offence</v>
      </c>
      <c r="J294" s="10" t="s">
        <v>61</v>
      </c>
      <c r="K294" s="8" t="s">
        <v>725</v>
      </c>
    </row>
    <row r="295" customFormat="false" ht="45.75" hidden="false" customHeight="true" outlineLevel="0" collapsed="false">
      <c r="A295" s="10" t="s">
        <v>734</v>
      </c>
      <c r="B295" s="10" t="s">
        <v>45</v>
      </c>
      <c r="C295" s="8" t="s">
        <v>723</v>
      </c>
      <c r="D295" s="8" t="s">
        <v>735</v>
      </c>
      <c r="E295" s="11" t="n">
        <v>49</v>
      </c>
      <c r="F295" s="8" t="str">
        <f aca="false">IFERROR(INDEX(Section_Master!$D$2:$D$477,MATCH($E295,Section_Master!$A$2:$A$477,0))&amp;"","")</f>
        <v>Punishment provided for the offence abetted [s.49]</v>
      </c>
      <c r="G295" s="10" t="str">
        <f aca="false">IFERROR(INDEX(Section_Master!$E$2:$E$477,MATCH($E295,Section_Master!$A$2:$A$477,0))&amp;"","")</f>
        <v>Same as underlying offence</v>
      </c>
      <c r="H295" s="10" t="str">
        <f aca="false">IFERROR(INDEX(Section_Master!$F$2:$F$477,MATCH($E295,Section_Master!$A$2:$A$477,0))&amp;"","")</f>
        <v>Same as underlying offence</v>
      </c>
      <c r="I295" s="10" t="str">
        <f aca="false">IFERROR(INDEX(Section_Master!$G$2:$G$477,MATCH($E295,Section_Master!$A$2:$A$477,0))&amp;"","")</f>
        <v>Same as underlying offence</v>
      </c>
      <c r="J295" s="10" t="s">
        <v>64</v>
      </c>
      <c r="K295" s="8" t="s">
        <v>725</v>
      </c>
    </row>
    <row r="296" customFormat="false" ht="34.5" hidden="false" customHeight="true" outlineLevel="0" collapsed="false">
      <c r="A296" s="10" t="s">
        <v>736</v>
      </c>
      <c r="B296" s="10" t="s">
        <v>45</v>
      </c>
      <c r="C296" s="8" t="s">
        <v>737</v>
      </c>
      <c r="D296" s="8" t="s">
        <v>738</v>
      </c>
      <c r="E296" s="11" t="n">
        <v>50</v>
      </c>
      <c r="F296" s="8" t="str">
        <f aca="false">IFERROR(INDEX(Section_Master!$D$2:$D$477,MATCH($E296,Section_Master!$A$2:$A$477,0))&amp;"","")</f>
        <v>Punishment provided for the offence abetted, where the abetted person acts with a different intention [s.50]</v>
      </c>
      <c r="G296" s="10" t="str">
        <f aca="false">IFERROR(INDEX(Section_Master!$E$2:$E$477,MATCH($E296,Section_Master!$A$2:$A$477,0))&amp;"","")</f>
        <v>Same as underlying offence</v>
      </c>
      <c r="H296" s="10" t="str">
        <f aca="false">IFERROR(INDEX(Section_Master!$F$2:$F$477,MATCH($E296,Section_Master!$A$2:$A$477,0))&amp;"","")</f>
        <v>Same as underlying offence</v>
      </c>
      <c r="I296" s="10" t="str">
        <f aca="false">IFERROR(INDEX(Section_Master!$G$2:$G$477,MATCH($E296,Section_Master!$A$2:$A$477,0))&amp;"","")</f>
        <v>Same as underlying offence</v>
      </c>
      <c r="J296" s="10" t="s">
        <v>48</v>
      </c>
      <c r="K296" s="8" t="s">
        <v>739</v>
      </c>
    </row>
    <row r="297" customFormat="false" ht="45.75" hidden="false" customHeight="true" outlineLevel="0" collapsed="false">
      <c r="A297" s="10" t="s">
        <v>740</v>
      </c>
      <c r="B297" s="10" t="s">
        <v>45</v>
      </c>
      <c r="C297" s="8" t="s">
        <v>737</v>
      </c>
      <c r="D297" s="8" t="s">
        <v>741</v>
      </c>
      <c r="E297" s="11" t="n">
        <v>50</v>
      </c>
      <c r="F297" s="8" t="str">
        <f aca="false">IFERROR(INDEX(Section_Master!$D$2:$D$477,MATCH($E297,Section_Master!$A$2:$A$477,0))&amp;"","")</f>
        <v>Punishment provided for the offence abetted, where the abetted person acts with a different intention [s.50]</v>
      </c>
      <c r="G297" s="10" t="str">
        <f aca="false">IFERROR(INDEX(Section_Master!$E$2:$E$477,MATCH($E297,Section_Master!$A$2:$A$477,0))&amp;"","")</f>
        <v>Same as underlying offence</v>
      </c>
      <c r="H297" s="10" t="str">
        <f aca="false">IFERROR(INDEX(Section_Master!$F$2:$F$477,MATCH($E297,Section_Master!$A$2:$A$477,0))&amp;"","")</f>
        <v>Same as underlying offence</v>
      </c>
      <c r="I297" s="10" t="str">
        <f aca="false">IFERROR(INDEX(Section_Master!$G$2:$G$477,MATCH($E297,Section_Master!$A$2:$A$477,0))&amp;"","")</f>
        <v>Same as underlying offence</v>
      </c>
      <c r="J297" s="10" t="s">
        <v>52</v>
      </c>
      <c r="K297" s="8" t="s">
        <v>739</v>
      </c>
    </row>
    <row r="298" customFormat="false" ht="45.75" hidden="false" customHeight="true" outlineLevel="0" collapsed="false">
      <c r="A298" s="10" t="s">
        <v>742</v>
      </c>
      <c r="B298" s="10" t="s">
        <v>45</v>
      </c>
      <c r="C298" s="8" t="s">
        <v>737</v>
      </c>
      <c r="D298" s="8" t="s">
        <v>743</v>
      </c>
      <c r="E298" s="11" t="n">
        <v>50</v>
      </c>
      <c r="F298" s="8" t="str">
        <f aca="false">IFERROR(INDEX(Section_Master!$D$2:$D$477,MATCH($E298,Section_Master!$A$2:$A$477,0))&amp;"","")</f>
        <v>Punishment provided for the offence abetted, where the abetted person acts with a different intention [s.50]</v>
      </c>
      <c r="G298" s="10" t="str">
        <f aca="false">IFERROR(INDEX(Section_Master!$E$2:$E$477,MATCH($E298,Section_Master!$A$2:$A$477,0))&amp;"","")</f>
        <v>Same as underlying offence</v>
      </c>
      <c r="H298" s="10" t="str">
        <f aca="false">IFERROR(INDEX(Section_Master!$F$2:$F$477,MATCH($E298,Section_Master!$A$2:$A$477,0))&amp;"","")</f>
        <v>Same as underlying offence</v>
      </c>
      <c r="I298" s="10" t="str">
        <f aca="false">IFERROR(INDEX(Section_Master!$G$2:$G$477,MATCH($E298,Section_Master!$A$2:$A$477,0))&amp;"","")</f>
        <v>Same as underlying offence</v>
      </c>
      <c r="J298" s="10" t="s">
        <v>55</v>
      </c>
      <c r="K298" s="8" t="s">
        <v>739</v>
      </c>
    </row>
    <row r="299" customFormat="false" ht="34.5" hidden="false" customHeight="true" outlineLevel="0" collapsed="false">
      <c r="A299" s="10" t="s">
        <v>744</v>
      </c>
      <c r="B299" s="10" t="s">
        <v>45</v>
      </c>
      <c r="C299" s="8" t="s">
        <v>737</v>
      </c>
      <c r="D299" s="8" t="s">
        <v>745</v>
      </c>
      <c r="E299" s="11" t="n">
        <v>50</v>
      </c>
      <c r="F299" s="8" t="str">
        <f aca="false">IFERROR(INDEX(Section_Master!$D$2:$D$477,MATCH($E299,Section_Master!$A$2:$A$477,0))&amp;"","")</f>
        <v>Punishment provided for the offence abetted, where the abetted person acts with a different intention [s.50]</v>
      </c>
      <c r="G299" s="10" t="str">
        <f aca="false">IFERROR(INDEX(Section_Master!$E$2:$E$477,MATCH($E299,Section_Master!$A$2:$A$477,0))&amp;"","")</f>
        <v>Same as underlying offence</v>
      </c>
      <c r="H299" s="10" t="str">
        <f aca="false">IFERROR(INDEX(Section_Master!$F$2:$F$477,MATCH($E299,Section_Master!$A$2:$A$477,0))&amp;"","")</f>
        <v>Same as underlying offence</v>
      </c>
      <c r="I299" s="10" t="str">
        <f aca="false">IFERROR(INDEX(Section_Master!$G$2:$G$477,MATCH($E299,Section_Master!$A$2:$A$477,0))&amp;"","")</f>
        <v>Same as underlying offence</v>
      </c>
      <c r="J299" s="10" t="s">
        <v>58</v>
      </c>
      <c r="K299" s="8" t="s">
        <v>739</v>
      </c>
    </row>
    <row r="300" customFormat="false" ht="34.5" hidden="false" customHeight="true" outlineLevel="0" collapsed="false">
      <c r="A300" s="10" t="s">
        <v>746</v>
      </c>
      <c r="B300" s="10" t="s">
        <v>45</v>
      </c>
      <c r="C300" s="8" t="s">
        <v>737</v>
      </c>
      <c r="D300" s="8" t="s">
        <v>747</v>
      </c>
      <c r="E300" s="11" t="n">
        <v>50</v>
      </c>
      <c r="F300" s="8" t="str">
        <f aca="false">IFERROR(INDEX(Section_Master!$D$2:$D$477,MATCH($E300,Section_Master!$A$2:$A$477,0))&amp;"","")</f>
        <v>Punishment provided for the offence abetted, where the abetted person acts with a different intention [s.50]</v>
      </c>
      <c r="G300" s="10" t="str">
        <f aca="false">IFERROR(INDEX(Section_Master!$E$2:$E$477,MATCH($E300,Section_Master!$A$2:$A$477,0))&amp;"","")</f>
        <v>Same as underlying offence</v>
      </c>
      <c r="H300" s="10" t="str">
        <f aca="false">IFERROR(INDEX(Section_Master!$F$2:$F$477,MATCH($E300,Section_Master!$A$2:$A$477,0))&amp;"","")</f>
        <v>Same as underlying offence</v>
      </c>
      <c r="I300" s="10" t="str">
        <f aca="false">IFERROR(INDEX(Section_Master!$G$2:$G$477,MATCH($E300,Section_Master!$A$2:$A$477,0))&amp;"","")</f>
        <v>Same as underlying offence</v>
      </c>
      <c r="J300" s="10" t="s">
        <v>61</v>
      </c>
      <c r="K300" s="8" t="s">
        <v>739</v>
      </c>
    </row>
    <row r="301" customFormat="false" ht="45.75" hidden="false" customHeight="true" outlineLevel="0" collapsed="false">
      <c r="A301" s="10" t="s">
        <v>748</v>
      </c>
      <c r="B301" s="10" t="s">
        <v>45</v>
      </c>
      <c r="C301" s="8" t="s">
        <v>737</v>
      </c>
      <c r="D301" s="8" t="s">
        <v>749</v>
      </c>
      <c r="E301" s="11" t="n">
        <v>50</v>
      </c>
      <c r="F301" s="8" t="str">
        <f aca="false">IFERROR(INDEX(Section_Master!$D$2:$D$477,MATCH($E301,Section_Master!$A$2:$A$477,0))&amp;"","")</f>
        <v>Punishment provided for the offence abetted, where the abetted person acts with a different intention [s.50]</v>
      </c>
      <c r="G301" s="10" t="str">
        <f aca="false">IFERROR(INDEX(Section_Master!$E$2:$E$477,MATCH($E301,Section_Master!$A$2:$A$477,0))&amp;"","")</f>
        <v>Same as underlying offence</v>
      </c>
      <c r="H301" s="10" t="str">
        <f aca="false">IFERROR(INDEX(Section_Master!$F$2:$F$477,MATCH($E301,Section_Master!$A$2:$A$477,0))&amp;"","")</f>
        <v>Same as underlying offence</v>
      </c>
      <c r="I301" s="10" t="str">
        <f aca="false">IFERROR(INDEX(Section_Master!$G$2:$G$477,MATCH($E301,Section_Master!$A$2:$A$477,0))&amp;"","")</f>
        <v>Same as underlying offence</v>
      </c>
      <c r="J301" s="10" t="s">
        <v>64</v>
      </c>
      <c r="K301" s="8" t="s">
        <v>739</v>
      </c>
    </row>
    <row r="302" customFormat="false" ht="34.5" hidden="false" customHeight="true" outlineLevel="0" collapsed="false">
      <c r="A302" s="10" t="s">
        <v>750</v>
      </c>
      <c r="B302" s="10" t="s">
        <v>45</v>
      </c>
      <c r="C302" s="8" t="s">
        <v>751</v>
      </c>
      <c r="D302" s="8" t="s">
        <v>752</v>
      </c>
      <c r="E302" s="11" t="n">
        <v>51</v>
      </c>
      <c r="F302" s="8" t="str">
        <f aca="false">IFERROR(INDEX(Section_Master!$D$2:$D$477,MATCH($E302,Section_Master!$A$2:$A$477,0))&amp;"","")</f>
        <v>Abettor liable as if he had abetted the act actually done (liability provision) [s.51]</v>
      </c>
      <c r="G302" s="10" t="str">
        <f aca="false">IFERROR(INDEX(Section_Master!$E$2:$E$477,MATCH($E302,Section_Master!$A$2:$A$477,0))&amp;"","")</f>
        <v>Same as underlying offence</v>
      </c>
      <c r="H302" s="10" t="str">
        <f aca="false">IFERROR(INDEX(Section_Master!$F$2:$F$477,MATCH($E302,Section_Master!$A$2:$A$477,0))&amp;"","")</f>
        <v>Same as underlying offence</v>
      </c>
      <c r="I302" s="10" t="str">
        <f aca="false">IFERROR(INDEX(Section_Master!$G$2:$G$477,MATCH($E302,Section_Master!$A$2:$A$477,0))&amp;"","")</f>
        <v>Same as underlying offence</v>
      </c>
      <c r="J302" s="10" t="s">
        <v>48</v>
      </c>
      <c r="K302" s="8" t="s">
        <v>753</v>
      </c>
    </row>
    <row r="303" customFormat="false" ht="34.5" hidden="false" customHeight="true" outlineLevel="0" collapsed="false">
      <c r="A303" s="10" t="s">
        <v>754</v>
      </c>
      <c r="B303" s="10" t="s">
        <v>45</v>
      </c>
      <c r="C303" s="8" t="s">
        <v>751</v>
      </c>
      <c r="D303" s="8" t="s">
        <v>755</v>
      </c>
      <c r="E303" s="11" t="n">
        <v>51</v>
      </c>
      <c r="F303" s="8" t="str">
        <f aca="false">IFERROR(INDEX(Section_Master!$D$2:$D$477,MATCH($E303,Section_Master!$A$2:$A$477,0))&amp;"","")</f>
        <v>Abettor liable as if he had abetted the act actually done (liability provision) [s.51]</v>
      </c>
      <c r="G303" s="10" t="str">
        <f aca="false">IFERROR(INDEX(Section_Master!$E$2:$E$477,MATCH($E303,Section_Master!$A$2:$A$477,0))&amp;"","")</f>
        <v>Same as underlying offence</v>
      </c>
      <c r="H303" s="10" t="str">
        <f aca="false">IFERROR(INDEX(Section_Master!$F$2:$F$477,MATCH($E303,Section_Master!$A$2:$A$477,0))&amp;"","")</f>
        <v>Same as underlying offence</v>
      </c>
      <c r="I303" s="10" t="str">
        <f aca="false">IFERROR(INDEX(Section_Master!$G$2:$G$477,MATCH($E303,Section_Master!$A$2:$A$477,0))&amp;"","")</f>
        <v>Same as underlying offence</v>
      </c>
      <c r="J303" s="10" t="s">
        <v>52</v>
      </c>
      <c r="K303" s="8" t="s">
        <v>753</v>
      </c>
    </row>
    <row r="304" customFormat="false" ht="23.25" hidden="false" customHeight="true" outlineLevel="0" collapsed="false">
      <c r="A304" s="10" t="s">
        <v>756</v>
      </c>
      <c r="B304" s="10" t="s">
        <v>45</v>
      </c>
      <c r="C304" s="8" t="s">
        <v>751</v>
      </c>
      <c r="D304" s="8" t="s">
        <v>757</v>
      </c>
      <c r="E304" s="11" t="n">
        <v>51</v>
      </c>
      <c r="F304" s="8" t="str">
        <f aca="false">IFERROR(INDEX(Section_Master!$D$2:$D$477,MATCH($E304,Section_Master!$A$2:$A$477,0))&amp;"","")</f>
        <v>Abettor liable as if he had abetted the act actually done (liability provision) [s.51]</v>
      </c>
      <c r="G304" s="10" t="str">
        <f aca="false">IFERROR(INDEX(Section_Master!$E$2:$E$477,MATCH($E304,Section_Master!$A$2:$A$477,0))&amp;"","")</f>
        <v>Same as underlying offence</v>
      </c>
      <c r="H304" s="10" t="str">
        <f aca="false">IFERROR(INDEX(Section_Master!$F$2:$F$477,MATCH($E304,Section_Master!$A$2:$A$477,0))&amp;"","")</f>
        <v>Same as underlying offence</v>
      </c>
      <c r="I304" s="10" t="str">
        <f aca="false">IFERROR(INDEX(Section_Master!$G$2:$G$477,MATCH($E304,Section_Master!$A$2:$A$477,0))&amp;"","")</f>
        <v>Same as underlying offence</v>
      </c>
      <c r="J304" s="10" t="s">
        <v>55</v>
      </c>
      <c r="K304" s="8" t="s">
        <v>753</v>
      </c>
    </row>
    <row r="305" customFormat="false" ht="34.5" hidden="false" customHeight="true" outlineLevel="0" collapsed="false">
      <c r="A305" s="10" t="s">
        <v>758</v>
      </c>
      <c r="B305" s="10" t="s">
        <v>45</v>
      </c>
      <c r="C305" s="8" t="s">
        <v>751</v>
      </c>
      <c r="D305" s="8" t="s">
        <v>759</v>
      </c>
      <c r="E305" s="11" t="n">
        <v>51</v>
      </c>
      <c r="F305" s="8" t="str">
        <f aca="false">IFERROR(INDEX(Section_Master!$D$2:$D$477,MATCH($E305,Section_Master!$A$2:$A$477,0))&amp;"","")</f>
        <v>Abettor liable as if he had abetted the act actually done (liability provision) [s.51]</v>
      </c>
      <c r="G305" s="10" t="str">
        <f aca="false">IFERROR(INDEX(Section_Master!$E$2:$E$477,MATCH($E305,Section_Master!$A$2:$A$477,0))&amp;"","")</f>
        <v>Same as underlying offence</v>
      </c>
      <c r="H305" s="10" t="str">
        <f aca="false">IFERROR(INDEX(Section_Master!$F$2:$F$477,MATCH($E305,Section_Master!$A$2:$A$477,0))&amp;"","")</f>
        <v>Same as underlying offence</v>
      </c>
      <c r="I305" s="10" t="str">
        <f aca="false">IFERROR(INDEX(Section_Master!$G$2:$G$477,MATCH($E305,Section_Master!$A$2:$A$477,0))&amp;"","")</f>
        <v>Same as underlying offence</v>
      </c>
      <c r="J305" s="10" t="s">
        <v>58</v>
      </c>
      <c r="K305" s="8" t="s">
        <v>753</v>
      </c>
    </row>
    <row r="306" customFormat="false" ht="34.5" hidden="false" customHeight="true" outlineLevel="0" collapsed="false">
      <c r="A306" s="10" t="s">
        <v>760</v>
      </c>
      <c r="B306" s="10" t="s">
        <v>45</v>
      </c>
      <c r="C306" s="8" t="s">
        <v>751</v>
      </c>
      <c r="D306" s="8" t="s">
        <v>761</v>
      </c>
      <c r="E306" s="11" t="n">
        <v>51</v>
      </c>
      <c r="F306" s="8" t="str">
        <f aca="false">IFERROR(INDEX(Section_Master!$D$2:$D$477,MATCH($E306,Section_Master!$A$2:$A$477,0))&amp;"","")</f>
        <v>Abettor liable as if he had abetted the act actually done (liability provision) [s.51]</v>
      </c>
      <c r="G306" s="10" t="str">
        <f aca="false">IFERROR(INDEX(Section_Master!$E$2:$E$477,MATCH($E306,Section_Master!$A$2:$A$477,0))&amp;"","")</f>
        <v>Same as underlying offence</v>
      </c>
      <c r="H306" s="10" t="str">
        <f aca="false">IFERROR(INDEX(Section_Master!$F$2:$F$477,MATCH($E306,Section_Master!$A$2:$A$477,0))&amp;"","")</f>
        <v>Same as underlying offence</v>
      </c>
      <c r="I306" s="10" t="str">
        <f aca="false">IFERROR(INDEX(Section_Master!$G$2:$G$477,MATCH($E306,Section_Master!$A$2:$A$477,0))&amp;"","")</f>
        <v>Same as underlying offence</v>
      </c>
      <c r="J306" s="10" t="s">
        <v>61</v>
      </c>
      <c r="K306" s="8" t="s">
        <v>753</v>
      </c>
    </row>
    <row r="307" customFormat="false" ht="34.5" hidden="false" customHeight="true" outlineLevel="0" collapsed="false">
      <c r="A307" s="10" t="s">
        <v>762</v>
      </c>
      <c r="B307" s="10" t="s">
        <v>45</v>
      </c>
      <c r="C307" s="8" t="s">
        <v>751</v>
      </c>
      <c r="D307" s="8" t="s">
        <v>763</v>
      </c>
      <c r="E307" s="11" t="n">
        <v>51</v>
      </c>
      <c r="F307" s="8" t="str">
        <f aca="false">IFERROR(INDEX(Section_Master!$D$2:$D$477,MATCH($E307,Section_Master!$A$2:$A$477,0))&amp;"","")</f>
        <v>Abettor liable as if he had abetted the act actually done (liability provision) [s.51]</v>
      </c>
      <c r="G307" s="10" t="str">
        <f aca="false">IFERROR(INDEX(Section_Master!$E$2:$E$477,MATCH($E307,Section_Master!$A$2:$A$477,0))&amp;"","")</f>
        <v>Same as underlying offence</v>
      </c>
      <c r="H307" s="10" t="str">
        <f aca="false">IFERROR(INDEX(Section_Master!$F$2:$F$477,MATCH($E307,Section_Master!$A$2:$A$477,0))&amp;"","")</f>
        <v>Same as underlying offence</v>
      </c>
      <c r="I307" s="10" t="str">
        <f aca="false">IFERROR(INDEX(Section_Master!$G$2:$G$477,MATCH($E307,Section_Master!$A$2:$A$477,0))&amp;"","")</f>
        <v>Same as underlying offence</v>
      </c>
      <c r="J307" s="10" t="s">
        <v>64</v>
      </c>
      <c r="K307" s="8" t="s">
        <v>753</v>
      </c>
    </row>
    <row r="308" customFormat="false" ht="34.5" hidden="false" customHeight="true" outlineLevel="0" collapsed="false">
      <c r="A308" s="10" t="s">
        <v>764</v>
      </c>
      <c r="B308" s="10" t="s">
        <v>45</v>
      </c>
      <c r="C308" s="8" t="s">
        <v>765</v>
      </c>
      <c r="D308" s="8" t="s">
        <v>766</v>
      </c>
      <c r="E308" s="11" t="n">
        <v>52</v>
      </c>
      <c r="F308" s="8" t="str">
        <f aca="false">IFERROR(INDEX(Section_Master!$D$2:$D$477,MATCH($E308,Section_Master!$A$2:$A$477,0))&amp;"","")</f>
        <v>Abettor liable to cumulative punishment for the act abetted and the act done [s.52]</v>
      </c>
      <c r="G308" s="10" t="str">
        <f aca="false">IFERROR(INDEX(Section_Master!$E$2:$E$477,MATCH($E308,Section_Master!$A$2:$A$477,0))&amp;"","")</f>
        <v>Same as underlying offence</v>
      </c>
      <c r="H308" s="10" t="str">
        <f aca="false">IFERROR(INDEX(Section_Master!$F$2:$F$477,MATCH($E308,Section_Master!$A$2:$A$477,0))&amp;"","")</f>
        <v>Same as underlying offence</v>
      </c>
      <c r="I308" s="10" t="str">
        <f aca="false">IFERROR(INDEX(Section_Master!$G$2:$G$477,MATCH($E308,Section_Master!$A$2:$A$477,0))&amp;"","")</f>
        <v>Same as underlying offence</v>
      </c>
      <c r="J308" s="10" t="s">
        <v>48</v>
      </c>
      <c r="K308" s="8" t="s">
        <v>767</v>
      </c>
    </row>
    <row r="309" customFormat="false" ht="34.5" hidden="false" customHeight="true" outlineLevel="0" collapsed="false">
      <c r="A309" s="10" t="s">
        <v>768</v>
      </c>
      <c r="B309" s="10" t="s">
        <v>45</v>
      </c>
      <c r="C309" s="8" t="s">
        <v>765</v>
      </c>
      <c r="D309" s="8" t="s">
        <v>769</v>
      </c>
      <c r="E309" s="11" t="n">
        <v>52</v>
      </c>
      <c r="F309" s="8" t="str">
        <f aca="false">IFERROR(INDEX(Section_Master!$D$2:$D$477,MATCH($E309,Section_Master!$A$2:$A$477,0))&amp;"","")</f>
        <v>Abettor liable to cumulative punishment for the act abetted and the act done [s.52]</v>
      </c>
      <c r="G309" s="10" t="str">
        <f aca="false">IFERROR(INDEX(Section_Master!$E$2:$E$477,MATCH($E309,Section_Master!$A$2:$A$477,0))&amp;"","")</f>
        <v>Same as underlying offence</v>
      </c>
      <c r="H309" s="10" t="str">
        <f aca="false">IFERROR(INDEX(Section_Master!$F$2:$F$477,MATCH($E309,Section_Master!$A$2:$A$477,0))&amp;"","")</f>
        <v>Same as underlying offence</v>
      </c>
      <c r="I309" s="10" t="str">
        <f aca="false">IFERROR(INDEX(Section_Master!$G$2:$G$477,MATCH($E309,Section_Master!$A$2:$A$477,0))&amp;"","")</f>
        <v>Same as underlying offence</v>
      </c>
      <c r="J309" s="10" t="s">
        <v>52</v>
      </c>
      <c r="K309" s="8" t="s">
        <v>767</v>
      </c>
    </row>
    <row r="310" customFormat="false" ht="34.5" hidden="false" customHeight="true" outlineLevel="0" collapsed="false">
      <c r="A310" s="10" t="s">
        <v>770</v>
      </c>
      <c r="B310" s="10" t="s">
        <v>45</v>
      </c>
      <c r="C310" s="8" t="s">
        <v>765</v>
      </c>
      <c r="D310" s="8" t="s">
        <v>771</v>
      </c>
      <c r="E310" s="11" t="n">
        <v>52</v>
      </c>
      <c r="F310" s="8" t="str">
        <f aca="false">IFERROR(INDEX(Section_Master!$D$2:$D$477,MATCH($E310,Section_Master!$A$2:$A$477,0))&amp;"","")</f>
        <v>Abettor liable to cumulative punishment for the act abetted and the act done [s.52]</v>
      </c>
      <c r="G310" s="10" t="str">
        <f aca="false">IFERROR(INDEX(Section_Master!$E$2:$E$477,MATCH($E310,Section_Master!$A$2:$A$477,0))&amp;"","")</f>
        <v>Same as underlying offence</v>
      </c>
      <c r="H310" s="10" t="str">
        <f aca="false">IFERROR(INDEX(Section_Master!$F$2:$F$477,MATCH($E310,Section_Master!$A$2:$A$477,0))&amp;"","")</f>
        <v>Same as underlying offence</v>
      </c>
      <c r="I310" s="10" t="str">
        <f aca="false">IFERROR(INDEX(Section_Master!$G$2:$G$477,MATCH($E310,Section_Master!$A$2:$A$477,0))&amp;"","")</f>
        <v>Same as underlying offence</v>
      </c>
      <c r="J310" s="10" t="s">
        <v>55</v>
      </c>
      <c r="K310" s="8" t="s">
        <v>767</v>
      </c>
    </row>
    <row r="311" customFormat="false" ht="34.5" hidden="false" customHeight="true" outlineLevel="0" collapsed="false">
      <c r="A311" s="10" t="s">
        <v>772</v>
      </c>
      <c r="B311" s="10" t="s">
        <v>45</v>
      </c>
      <c r="C311" s="8" t="s">
        <v>765</v>
      </c>
      <c r="D311" s="8" t="s">
        <v>773</v>
      </c>
      <c r="E311" s="11" t="n">
        <v>52</v>
      </c>
      <c r="F311" s="8" t="str">
        <f aca="false">IFERROR(INDEX(Section_Master!$D$2:$D$477,MATCH($E311,Section_Master!$A$2:$A$477,0))&amp;"","")</f>
        <v>Abettor liable to cumulative punishment for the act abetted and the act done [s.52]</v>
      </c>
      <c r="G311" s="10" t="str">
        <f aca="false">IFERROR(INDEX(Section_Master!$E$2:$E$477,MATCH($E311,Section_Master!$A$2:$A$477,0))&amp;"","")</f>
        <v>Same as underlying offence</v>
      </c>
      <c r="H311" s="10" t="str">
        <f aca="false">IFERROR(INDEX(Section_Master!$F$2:$F$477,MATCH($E311,Section_Master!$A$2:$A$477,0))&amp;"","")</f>
        <v>Same as underlying offence</v>
      </c>
      <c r="I311" s="10" t="str">
        <f aca="false">IFERROR(INDEX(Section_Master!$G$2:$G$477,MATCH($E311,Section_Master!$A$2:$A$477,0))&amp;"","")</f>
        <v>Same as underlying offence</v>
      </c>
      <c r="J311" s="10" t="s">
        <v>58</v>
      </c>
      <c r="K311" s="8" t="s">
        <v>767</v>
      </c>
    </row>
    <row r="312" customFormat="false" ht="34.5" hidden="false" customHeight="true" outlineLevel="0" collapsed="false">
      <c r="A312" s="10" t="s">
        <v>774</v>
      </c>
      <c r="B312" s="10" t="s">
        <v>45</v>
      </c>
      <c r="C312" s="8" t="s">
        <v>765</v>
      </c>
      <c r="D312" s="8" t="s">
        <v>775</v>
      </c>
      <c r="E312" s="11" t="n">
        <v>52</v>
      </c>
      <c r="F312" s="8" t="str">
        <f aca="false">IFERROR(INDEX(Section_Master!$D$2:$D$477,MATCH($E312,Section_Master!$A$2:$A$477,0))&amp;"","")</f>
        <v>Abettor liable to cumulative punishment for the act abetted and the act done [s.52]</v>
      </c>
      <c r="G312" s="10" t="str">
        <f aca="false">IFERROR(INDEX(Section_Master!$E$2:$E$477,MATCH($E312,Section_Master!$A$2:$A$477,0))&amp;"","")</f>
        <v>Same as underlying offence</v>
      </c>
      <c r="H312" s="10" t="str">
        <f aca="false">IFERROR(INDEX(Section_Master!$F$2:$F$477,MATCH($E312,Section_Master!$A$2:$A$477,0))&amp;"","")</f>
        <v>Same as underlying offence</v>
      </c>
      <c r="I312" s="10" t="str">
        <f aca="false">IFERROR(INDEX(Section_Master!$G$2:$G$477,MATCH($E312,Section_Master!$A$2:$A$477,0))&amp;"","")</f>
        <v>Same as underlying offence</v>
      </c>
      <c r="J312" s="10" t="s">
        <v>61</v>
      </c>
      <c r="K312" s="8" t="s">
        <v>767</v>
      </c>
    </row>
    <row r="313" customFormat="false" ht="34.5" hidden="false" customHeight="true" outlineLevel="0" collapsed="false">
      <c r="A313" s="10" t="s">
        <v>776</v>
      </c>
      <c r="B313" s="10" t="s">
        <v>45</v>
      </c>
      <c r="C313" s="8" t="s">
        <v>765</v>
      </c>
      <c r="D313" s="8" t="s">
        <v>777</v>
      </c>
      <c r="E313" s="11" t="n">
        <v>52</v>
      </c>
      <c r="F313" s="8" t="str">
        <f aca="false">IFERROR(INDEX(Section_Master!$D$2:$D$477,MATCH($E313,Section_Master!$A$2:$A$477,0))&amp;"","")</f>
        <v>Abettor liable to cumulative punishment for the act abetted and the act done [s.52]</v>
      </c>
      <c r="G313" s="10" t="str">
        <f aca="false">IFERROR(INDEX(Section_Master!$E$2:$E$477,MATCH($E313,Section_Master!$A$2:$A$477,0))&amp;"","")</f>
        <v>Same as underlying offence</v>
      </c>
      <c r="H313" s="10" t="str">
        <f aca="false">IFERROR(INDEX(Section_Master!$F$2:$F$477,MATCH($E313,Section_Master!$A$2:$A$477,0))&amp;"","")</f>
        <v>Same as underlying offence</v>
      </c>
      <c r="I313" s="10" t="str">
        <f aca="false">IFERROR(INDEX(Section_Master!$G$2:$G$477,MATCH($E313,Section_Master!$A$2:$A$477,0))&amp;"","")</f>
        <v>Same as underlying offence</v>
      </c>
      <c r="J313" s="10" t="s">
        <v>64</v>
      </c>
      <c r="K313" s="8" t="s">
        <v>767</v>
      </c>
    </row>
    <row r="314" customFormat="false" ht="34.5" hidden="false" customHeight="true" outlineLevel="0" collapsed="false">
      <c r="A314" s="10" t="s">
        <v>778</v>
      </c>
      <c r="B314" s="10" t="s">
        <v>45</v>
      </c>
      <c r="C314" s="8" t="s">
        <v>779</v>
      </c>
      <c r="D314" s="8" t="s">
        <v>780</v>
      </c>
      <c r="E314" s="11" t="n">
        <v>53</v>
      </c>
      <c r="F314" s="8" t="str">
        <f aca="false">IFERROR(INDEX(Section_Master!$D$2:$D$477,MATCH($E314,Section_Master!$A$2:$A$477,0))&amp;"","")</f>
        <v>Abettor liable for the effect caused, as if he had directly abetted it [s.53]</v>
      </c>
      <c r="G314" s="10" t="str">
        <f aca="false">IFERROR(INDEX(Section_Master!$E$2:$E$477,MATCH($E314,Section_Master!$A$2:$A$477,0))&amp;"","")</f>
        <v>Same as underlying offence</v>
      </c>
      <c r="H314" s="10" t="str">
        <f aca="false">IFERROR(INDEX(Section_Master!$F$2:$F$477,MATCH($E314,Section_Master!$A$2:$A$477,0))&amp;"","")</f>
        <v>Same as underlying offence</v>
      </c>
      <c r="I314" s="10" t="str">
        <f aca="false">IFERROR(INDEX(Section_Master!$G$2:$G$477,MATCH($E314,Section_Master!$A$2:$A$477,0))&amp;"","")</f>
        <v>Same as underlying offence</v>
      </c>
      <c r="J314" s="10" t="s">
        <v>48</v>
      </c>
      <c r="K314" s="8" t="s">
        <v>781</v>
      </c>
    </row>
    <row r="315" customFormat="false" ht="34.5" hidden="false" customHeight="true" outlineLevel="0" collapsed="false">
      <c r="A315" s="10" t="s">
        <v>782</v>
      </c>
      <c r="B315" s="10" t="s">
        <v>45</v>
      </c>
      <c r="C315" s="8" t="s">
        <v>779</v>
      </c>
      <c r="D315" s="8" t="s">
        <v>783</v>
      </c>
      <c r="E315" s="11" t="n">
        <v>53</v>
      </c>
      <c r="F315" s="8" t="str">
        <f aca="false">IFERROR(INDEX(Section_Master!$D$2:$D$477,MATCH($E315,Section_Master!$A$2:$A$477,0))&amp;"","")</f>
        <v>Abettor liable for the effect caused, as if he had directly abetted it [s.53]</v>
      </c>
      <c r="G315" s="10" t="str">
        <f aca="false">IFERROR(INDEX(Section_Master!$E$2:$E$477,MATCH($E315,Section_Master!$A$2:$A$477,0))&amp;"","")</f>
        <v>Same as underlying offence</v>
      </c>
      <c r="H315" s="10" t="str">
        <f aca="false">IFERROR(INDEX(Section_Master!$F$2:$F$477,MATCH($E315,Section_Master!$A$2:$A$477,0))&amp;"","")</f>
        <v>Same as underlying offence</v>
      </c>
      <c r="I315" s="10" t="str">
        <f aca="false">IFERROR(INDEX(Section_Master!$G$2:$G$477,MATCH($E315,Section_Master!$A$2:$A$477,0))&amp;"","")</f>
        <v>Same as underlying offence</v>
      </c>
      <c r="J315" s="10" t="s">
        <v>52</v>
      </c>
      <c r="K315" s="8" t="s">
        <v>781</v>
      </c>
    </row>
    <row r="316" customFormat="false" ht="34.5" hidden="false" customHeight="true" outlineLevel="0" collapsed="false">
      <c r="A316" s="10" t="s">
        <v>784</v>
      </c>
      <c r="B316" s="10" t="s">
        <v>45</v>
      </c>
      <c r="C316" s="8" t="s">
        <v>779</v>
      </c>
      <c r="D316" s="8" t="s">
        <v>785</v>
      </c>
      <c r="E316" s="11" t="n">
        <v>53</v>
      </c>
      <c r="F316" s="8" t="str">
        <f aca="false">IFERROR(INDEX(Section_Master!$D$2:$D$477,MATCH($E316,Section_Master!$A$2:$A$477,0))&amp;"","")</f>
        <v>Abettor liable for the effect caused, as if he had directly abetted it [s.53]</v>
      </c>
      <c r="G316" s="10" t="str">
        <f aca="false">IFERROR(INDEX(Section_Master!$E$2:$E$477,MATCH($E316,Section_Master!$A$2:$A$477,0))&amp;"","")</f>
        <v>Same as underlying offence</v>
      </c>
      <c r="H316" s="10" t="str">
        <f aca="false">IFERROR(INDEX(Section_Master!$F$2:$F$477,MATCH($E316,Section_Master!$A$2:$A$477,0))&amp;"","")</f>
        <v>Same as underlying offence</v>
      </c>
      <c r="I316" s="10" t="str">
        <f aca="false">IFERROR(INDEX(Section_Master!$G$2:$G$477,MATCH($E316,Section_Master!$A$2:$A$477,0))&amp;"","")</f>
        <v>Same as underlying offence</v>
      </c>
      <c r="J316" s="10" t="s">
        <v>55</v>
      </c>
      <c r="K316" s="8" t="s">
        <v>781</v>
      </c>
    </row>
    <row r="317" customFormat="false" ht="34.5" hidden="false" customHeight="true" outlineLevel="0" collapsed="false">
      <c r="A317" s="10" t="s">
        <v>786</v>
      </c>
      <c r="B317" s="10" t="s">
        <v>45</v>
      </c>
      <c r="C317" s="8" t="s">
        <v>779</v>
      </c>
      <c r="D317" s="8" t="s">
        <v>787</v>
      </c>
      <c r="E317" s="11" t="n">
        <v>53</v>
      </c>
      <c r="F317" s="8" t="str">
        <f aca="false">IFERROR(INDEX(Section_Master!$D$2:$D$477,MATCH($E317,Section_Master!$A$2:$A$477,0))&amp;"","")</f>
        <v>Abettor liable for the effect caused, as if he had directly abetted it [s.53]</v>
      </c>
      <c r="G317" s="10" t="str">
        <f aca="false">IFERROR(INDEX(Section_Master!$E$2:$E$477,MATCH($E317,Section_Master!$A$2:$A$477,0))&amp;"","")</f>
        <v>Same as underlying offence</v>
      </c>
      <c r="H317" s="10" t="str">
        <f aca="false">IFERROR(INDEX(Section_Master!$F$2:$F$477,MATCH($E317,Section_Master!$A$2:$A$477,0))&amp;"","")</f>
        <v>Same as underlying offence</v>
      </c>
      <c r="I317" s="10" t="str">
        <f aca="false">IFERROR(INDEX(Section_Master!$G$2:$G$477,MATCH($E317,Section_Master!$A$2:$A$477,0))&amp;"","")</f>
        <v>Same as underlying offence</v>
      </c>
      <c r="J317" s="10" t="s">
        <v>58</v>
      </c>
      <c r="K317" s="8" t="s">
        <v>781</v>
      </c>
    </row>
    <row r="318" customFormat="false" ht="34.5" hidden="false" customHeight="true" outlineLevel="0" collapsed="false">
      <c r="A318" s="10" t="s">
        <v>788</v>
      </c>
      <c r="B318" s="10" t="s">
        <v>45</v>
      </c>
      <c r="C318" s="8" t="s">
        <v>779</v>
      </c>
      <c r="D318" s="8" t="s">
        <v>789</v>
      </c>
      <c r="E318" s="11" t="n">
        <v>53</v>
      </c>
      <c r="F318" s="8" t="str">
        <f aca="false">IFERROR(INDEX(Section_Master!$D$2:$D$477,MATCH($E318,Section_Master!$A$2:$A$477,0))&amp;"","")</f>
        <v>Abettor liable for the effect caused, as if he had directly abetted it [s.53]</v>
      </c>
      <c r="G318" s="10" t="str">
        <f aca="false">IFERROR(INDEX(Section_Master!$E$2:$E$477,MATCH($E318,Section_Master!$A$2:$A$477,0))&amp;"","")</f>
        <v>Same as underlying offence</v>
      </c>
      <c r="H318" s="10" t="str">
        <f aca="false">IFERROR(INDEX(Section_Master!$F$2:$F$477,MATCH($E318,Section_Master!$A$2:$A$477,0))&amp;"","")</f>
        <v>Same as underlying offence</v>
      </c>
      <c r="I318" s="10" t="str">
        <f aca="false">IFERROR(INDEX(Section_Master!$G$2:$G$477,MATCH($E318,Section_Master!$A$2:$A$477,0))&amp;"","")</f>
        <v>Same as underlying offence</v>
      </c>
      <c r="J318" s="10" t="s">
        <v>61</v>
      </c>
      <c r="K318" s="8" t="s">
        <v>781</v>
      </c>
    </row>
    <row r="319" customFormat="false" ht="34.5" hidden="false" customHeight="true" outlineLevel="0" collapsed="false">
      <c r="A319" s="10" t="s">
        <v>790</v>
      </c>
      <c r="B319" s="10" t="s">
        <v>45</v>
      </c>
      <c r="C319" s="8" t="s">
        <v>779</v>
      </c>
      <c r="D319" s="8" t="s">
        <v>791</v>
      </c>
      <c r="E319" s="11" t="n">
        <v>53</v>
      </c>
      <c r="F319" s="8" t="str">
        <f aca="false">IFERROR(INDEX(Section_Master!$D$2:$D$477,MATCH($E319,Section_Master!$A$2:$A$477,0))&amp;"","")</f>
        <v>Abettor liable for the effect caused, as if he had directly abetted it [s.53]</v>
      </c>
      <c r="G319" s="10" t="str">
        <f aca="false">IFERROR(INDEX(Section_Master!$E$2:$E$477,MATCH($E319,Section_Master!$A$2:$A$477,0))&amp;"","")</f>
        <v>Same as underlying offence</v>
      </c>
      <c r="H319" s="10" t="str">
        <f aca="false">IFERROR(INDEX(Section_Master!$F$2:$F$477,MATCH($E319,Section_Master!$A$2:$A$477,0))&amp;"","")</f>
        <v>Same as underlying offence</v>
      </c>
      <c r="I319" s="10" t="str">
        <f aca="false">IFERROR(INDEX(Section_Master!$G$2:$G$477,MATCH($E319,Section_Master!$A$2:$A$477,0))&amp;"","")</f>
        <v>Same as underlying offence</v>
      </c>
      <c r="J319" s="10" t="s">
        <v>64</v>
      </c>
      <c r="K319" s="8" t="s">
        <v>781</v>
      </c>
    </row>
    <row r="320" customFormat="false" ht="34.5" hidden="false" customHeight="true" outlineLevel="0" collapsed="false">
      <c r="A320" s="10" t="s">
        <v>792</v>
      </c>
      <c r="B320" s="10" t="s">
        <v>45</v>
      </c>
      <c r="C320" s="8" t="s">
        <v>793</v>
      </c>
      <c r="D320" s="8" t="s">
        <v>794</v>
      </c>
      <c r="E320" s="11" t="n">
        <v>54</v>
      </c>
      <c r="F320" s="8" t="str">
        <f aca="false">IFERROR(INDEX(Section_Master!$D$2:$D$477,MATCH($E320,Section_Master!$A$2:$A$477,0))&amp;"","")</f>
        <v>Abettor present at the offence is deemed to have committed it, and is punished as for that offence [s.54]</v>
      </c>
      <c r="G320" s="10" t="str">
        <f aca="false">IFERROR(INDEX(Section_Master!$E$2:$E$477,MATCH($E320,Section_Master!$A$2:$A$477,0))&amp;"","")</f>
        <v>Same as underlying offence</v>
      </c>
      <c r="H320" s="10" t="str">
        <f aca="false">IFERROR(INDEX(Section_Master!$F$2:$F$477,MATCH($E320,Section_Master!$A$2:$A$477,0))&amp;"","")</f>
        <v>Same as underlying offence</v>
      </c>
      <c r="I320" s="10" t="str">
        <f aca="false">IFERROR(INDEX(Section_Master!$G$2:$G$477,MATCH($E320,Section_Master!$A$2:$A$477,0))&amp;"","")</f>
        <v>Same as underlying offence</v>
      </c>
      <c r="J320" s="10" t="s">
        <v>48</v>
      </c>
      <c r="K320" s="8" t="s">
        <v>795</v>
      </c>
    </row>
    <row r="321" customFormat="false" ht="34.5" hidden="false" customHeight="true" outlineLevel="0" collapsed="false">
      <c r="A321" s="10" t="s">
        <v>796</v>
      </c>
      <c r="B321" s="10" t="s">
        <v>45</v>
      </c>
      <c r="C321" s="8" t="s">
        <v>793</v>
      </c>
      <c r="D321" s="8" t="s">
        <v>797</v>
      </c>
      <c r="E321" s="11" t="n">
        <v>54</v>
      </c>
      <c r="F321" s="8" t="str">
        <f aca="false">IFERROR(INDEX(Section_Master!$D$2:$D$477,MATCH($E321,Section_Master!$A$2:$A$477,0))&amp;"","")</f>
        <v>Abettor present at the offence is deemed to have committed it, and is punished as for that offence [s.54]</v>
      </c>
      <c r="G321" s="10" t="str">
        <f aca="false">IFERROR(INDEX(Section_Master!$E$2:$E$477,MATCH($E321,Section_Master!$A$2:$A$477,0))&amp;"","")</f>
        <v>Same as underlying offence</v>
      </c>
      <c r="H321" s="10" t="str">
        <f aca="false">IFERROR(INDEX(Section_Master!$F$2:$F$477,MATCH($E321,Section_Master!$A$2:$A$477,0))&amp;"","")</f>
        <v>Same as underlying offence</v>
      </c>
      <c r="I321" s="10" t="str">
        <f aca="false">IFERROR(INDEX(Section_Master!$G$2:$G$477,MATCH($E321,Section_Master!$A$2:$A$477,0))&amp;"","")</f>
        <v>Same as underlying offence</v>
      </c>
      <c r="J321" s="10" t="s">
        <v>52</v>
      </c>
      <c r="K321" s="8" t="s">
        <v>795</v>
      </c>
    </row>
    <row r="322" customFormat="false" ht="34.5" hidden="false" customHeight="true" outlineLevel="0" collapsed="false">
      <c r="A322" s="10" t="s">
        <v>798</v>
      </c>
      <c r="B322" s="10" t="s">
        <v>45</v>
      </c>
      <c r="C322" s="8" t="s">
        <v>793</v>
      </c>
      <c r="D322" s="8" t="s">
        <v>799</v>
      </c>
      <c r="E322" s="11" t="n">
        <v>54</v>
      </c>
      <c r="F322" s="8" t="str">
        <f aca="false">IFERROR(INDEX(Section_Master!$D$2:$D$477,MATCH($E322,Section_Master!$A$2:$A$477,0))&amp;"","")</f>
        <v>Abettor present at the offence is deemed to have committed it, and is punished as for that offence [s.54]</v>
      </c>
      <c r="G322" s="10" t="str">
        <f aca="false">IFERROR(INDEX(Section_Master!$E$2:$E$477,MATCH($E322,Section_Master!$A$2:$A$477,0))&amp;"","")</f>
        <v>Same as underlying offence</v>
      </c>
      <c r="H322" s="10" t="str">
        <f aca="false">IFERROR(INDEX(Section_Master!$F$2:$F$477,MATCH($E322,Section_Master!$A$2:$A$477,0))&amp;"","")</f>
        <v>Same as underlying offence</v>
      </c>
      <c r="I322" s="10" t="str">
        <f aca="false">IFERROR(INDEX(Section_Master!$G$2:$G$477,MATCH($E322,Section_Master!$A$2:$A$477,0))&amp;"","")</f>
        <v>Same as underlying offence</v>
      </c>
      <c r="J322" s="10" t="s">
        <v>55</v>
      </c>
      <c r="K322" s="8" t="s">
        <v>795</v>
      </c>
    </row>
    <row r="323" customFormat="false" ht="34.5" hidden="false" customHeight="true" outlineLevel="0" collapsed="false">
      <c r="A323" s="10" t="s">
        <v>800</v>
      </c>
      <c r="B323" s="10" t="s">
        <v>45</v>
      </c>
      <c r="C323" s="8" t="s">
        <v>793</v>
      </c>
      <c r="D323" s="8" t="s">
        <v>801</v>
      </c>
      <c r="E323" s="11" t="n">
        <v>54</v>
      </c>
      <c r="F323" s="8" t="str">
        <f aca="false">IFERROR(INDEX(Section_Master!$D$2:$D$477,MATCH($E323,Section_Master!$A$2:$A$477,0))&amp;"","")</f>
        <v>Abettor present at the offence is deemed to have committed it, and is punished as for that offence [s.54]</v>
      </c>
      <c r="G323" s="10" t="str">
        <f aca="false">IFERROR(INDEX(Section_Master!$E$2:$E$477,MATCH($E323,Section_Master!$A$2:$A$477,0))&amp;"","")</f>
        <v>Same as underlying offence</v>
      </c>
      <c r="H323" s="10" t="str">
        <f aca="false">IFERROR(INDEX(Section_Master!$F$2:$F$477,MATCH($E323,Section_Master!$A$2:$A$477,0))&amp;"","")</f>
        <v>Same as underlying offence</v>
      </c>
      <c r="I323" s="10" t="str">
        <f aca="false">IFERROR(INDEX(Section_Master!$G$2:$G$477,MATCH($E323,Section_Master!$A$2:$A$477,0))&amp;"","")</f>
        <v>Same as underlying offence</v>
      </c>
      <c r="J323" s="10" t="s">
        <v>58</v>
      </c>
      <c r="K323" s="8" t="s">
        <v>795</v>
      </c>
    </row>
    <row r="324" customFormat="false" ht="34.5" hidden="false" customHeight="true" outlineLevel="0" collapsed="false">
      <c r="A324" s="10" t="s">
        <v>802</v>
      </c>
      <c r="B324" s="10" t="s">
        <v>45</v>
      </c>
      <c r="C324" s="8" t="s">
        <v>793</v>
      </c>
      <c r="D324" s="8" t="s">
        <v>803</v>
      </c>
      <c r="E324" s="11" t="n">
        <v>54</v>
      </c>
      <c r="F324" s="8" t="str">
        <f aca="false">IFERROR(INDEX(Section_Master!$D$2:$D$477,MATCH($E324,Section_Master!$A$2:$A$477,0))&amp;"","")</f>
        <v>Abettor present at the offence is deemed to have committed it, and is punished as for that offence [s.54]</v>
      </c>
      <c r="G324" s="10" t="str">
        <f aca="false">IFERROR(INDEX(Section_Master!$E$2:$E$477,MATCH($E324,Section_Master!$A$2:$A$477,0))&amp;"","")</f>
        <v>Same as underlying offence</v>
      </c>
      <c r="H324" s="10" t="str">
        <f aca="false">IFERROR(INDEX(Section_Master!$F$2:$F$477,MATCH($E324,Section_Master!$A$2:$A$477,0))&amp;"","")</f>
        <v>Same as underlying offence</v>
      </c>
      <c r="I324" s="10" t="str">
        <f aca="false">IFERROR(INDEX(Section_Master!$G$2:$G$477,MATCH($E324,Section_Master!$A$2:$A$477,0))&amp;"","")</f>
        <v>Same as underlying offence</v>
      </c>
      <c r="J324" s="10" t="s">
        <v>61</v>
      </c>
      <c r="K324" s="8" t="s">
        <v>795</v>
      </c>
    </row>
    <row r="325" customFormat="false" ht="34.5" hidden="false" customHeight="true" outlineLevel="0" collapsed="false">
      <c r="A325" s="10" t="s">
        <v>804</v>
      </c>
      <c r="B325" s="10" t="s">
        <v>45</v>
      </c>
      <c r="C325" s="8" t="s">
        <v>793</v>
      </c>
      <c r="D325" s="8" t="s">
        <v>805</v>
      </c>
      <c r="E325" s="11" t="n">
        <v>54</v>
      </c>
      <c r="F325" s="8" t="str">
        <f aca="false">IFERROR(INDEX(Section_Master!$D$2:$D$477,MATCH($E325,Section_Master!$A$2:$A$477,0))&amp;"","")</f>
        <v>Abettor present at the offence is deemed to have committed it, and is punished as for that offence [s.54]</v>
      </c>
      <c r="G325" s="10" t="str">
        <f aca="false">IFERROR(INDEX(Section_Master!$E$2:$E$477,MATCH($E325,Section_Master!$A$2:$A$477,0))&amp;"","")</f>
        <v>Same as underlying offence</v>
      </c>
      <c r="H325" s="10" t="str">
        <f aca="false">IFERROR(INDEX(Section_Master!$F$2:$F$477,MATCH($E325,Section_Master!$A$2:$A$477,0))&amp;"","")</f>
        <v>Same as underlying offence</v>
      </c>
      <c r="I325" s="10" t="str">
        <f aca="false">IFERROR(INDEX(Section_Master!$G$2:$G$477,MATCH($E325,Section_Master!$A$2:$A$477,0))&amp;"","")</f>
        <v>Same as underlying offence</v>
      </c>
      <c r="J325" s="10" t="s">
        <v>64</v>
      </c>
      <c r="K325" s="8" t="s">
        <v>795</v>
      </c>
    </row>
    <row r="326" customFormat="false" ht="23.25" hidden="false" customHeight="true" outlineLevel="0" collapsed="false">
      <c r="A326" s="10" t="s">
        <v>806</v>
      </c>
      <c r="B326" s="10" t="s">
        <v>45</v>
      </c>
      <c r="C326" s="8" t="s">
        <v>807</v>
      </c>
      <c r="D326" s="8" t="s">
        <v>808</v>
      </c>
      <c r="E326" s="11" t="n">
        <v>55</v>
      </c>
      <c r="F326" s="8" t="str">
        <f aca="false">IFERROR(INDEX(Section_Master!$D$2:$D$477,MATCH($E326,Section_Master!$A$2:$A$477,0))&amp;"","")</f>
        <v>Imprisonment up to 7 years and fine; up to 14 years and fine if the act abetted causes harm [s.55]</v>
      </c>
      <c r="G326" s="10" t="str">
        <f aca="false">IFERROR(INDEX(Section_Master!$E$2:$E$477,MATCH($E326,Section_Master!$A$2:$A$477,0))&amp;"","")</f>
        <v>Same as underlying offence</v>
      </c>
      <c r="H326" s="10" t="str">
        <f aca="false">IFERROR(INDEX(Section_Master!$F$2:$F$477,MATCH($E326,Section_Master!$A$2:$A$477,0))&amp;"","")</f>
        <v>Same as underlying offence</v>
      </c>
      <c r="I326" s="10" t="str">
        <f aca="false">IFERROR(INDEX(Section_Master!$G$2:$G$477,MATCH($E326,Section_Master!$A$2:$A$477,0))&amp;"","")</f>
        <v>Same as underlying offence</v>
      </c>
      <c r="J326" s="10" t="s">
        <v>48</v>
      </c>
      <c r="K326" s="8" t="s">
        <v>809</v>
      </c>
    </row>
    <row r="327" customFormat="false" ht="45.75" hidden="false" customHeight="true" outlineLevel="0" collapsed="false">
      <c r="A327" s="10" t="s">
        <v>810</v>
      </c>
      <c r="B327" s="10" t="s">
        <v>45</v>
      </c>
      <c r="C327" s="8" t="s">
        <v>807</v>
      </c>
      <c r="D327" s="8" t="s">
        <v>811</v>
      </c>
      <c r="E327" s="11" t="n">
        <v>55</v>
      </c>
      <c r="F327" s="8" t="str">
        <f aca="false">IFERROR(INDEX(Section_Master!$D$2:$D$477,MATCH($E327,Section_Master!$A$2:$A$477,0))&amp;"","")</f>
        <v>Imprisonment up to 7 years and fine; up to 14 years and fine if the act abetted causes harm [s.55]</v>
      </c>
      <c r="G327" s="10" t="str">
        <f aca="false">IFERROR(INDEX(Section_Master!$E$2:$E$477,MATCH($E327,Section_Master!$A$2:$A$477,0))&amp;"","")</f>
        <v>Same as underlying offence</v>
      </c>
      <c r="H327" s="10" t="str">
        <f aca="false">IFERROR(INDEX(Section_Master!$F$2:$F$477,MATCH($E327,Section_Master!$A$2:$A$477,0))&amp;"","")</f>
        <v>Same as underlying offence</v>
      </c>
      <c r="I327" s="10" t="str">
        <f aca="false">IFERROR(INDEX(Section_Master!$G$2:$G$477,MATCH($E327,Section_Master!$A$2:$A$477,0))&amp;"","")</f>
        <v>Same as underlying offence</v>
      </c>
      <c r="J327" s="10" t="s">
        <v>52</v>
      </c>
      <c r="K327" s="8" t="s">
        <v>809</v>
      </c>
    </row>
    <row r="328" customFormat="false" ht="34.5" hidden="false" customHeight="true" outlineLevel="0" collapsed="false">
      <c r="A328" s="10" t="s">
        <v>812</v>
      </c>
      <c r="B328" s="10" t="s">
        <v>45</v>
      </c>
      <c r="C328" s="8" t="s">
        <v>807</v>
      </c>
      <c r="D328" s="8" t="s">
        <v>813</v>
      </c>
      <c r="E328" s="11" t="n">
        <v>55</v>
      </c>
      <c r="F328" s="8" t="str">
        <f aca="false">IFERROR(INDEX(Section_Master!$D$2:$D$477,MATCH($E328,Section_Master!$A$2:$A$477,0))&amp;"","")</f>
        <v>Imprisonment up to 7 years and fine; up to 14 years and fine if the act abetted causes harm [s.55]</v>
      </c>
      <c r="G328" s="10" t="str">
        <f aca="false">IFERROR(INDEX(Section_Master!$E$2:$E$477,MATCH($E328,Section_Master!$A$2:$A$477,0))&amp;"","")</f>
        <v>Same as underlying offence</v>
      </c>
      <c r="H328" s="10" t="str">
        <f aca="false">IFERROR(INDEX(Section_Master!$F$2:$F$477,MATCH($E328,Section_Master!$A$2:$A$477,0))&amp;"","")</f>
        <v>Same as underlying offence</v>
      </c>
      <c r="I328" s="10" t="str">
        <f aca="false">IFERROR(INDEX(Section_Master!$G$2:$G$477,MATCH($E328,Section_Master!$A$2:$A$477,0))&amp;"","")</f>
        <v>Same as underlying offence</v>
      </c>
      <c r="J328" s="10" t="s">
        <v>55</v>
      </c>
      <c r="K328" s="8" t="s">
        <v>809</v>
      </c>
    </row>
    <row r="329" customFormat="false" ht="23.25" hidden="false" customHeight="true" outlineLevel="0" collapsed="false">
      <c r="A329" s="10" t="s">
        <v>814</v>
      </c>
      <c r="B329" s="10" t="s">
        <v>45</v>
      </c>
      <c r="C329" s="8" t="s">
        <v>807</v>
      </c>
      <c r="D329" s="8" t="s">
        <v>815</v>
      </c>
      <c r="E329" s="11" t="n">
        <v>55</v>
      </c>
      <c r="F329" s="8" t="str">
        <f aca="false">IFERROR(INDEX(Section_Master!$D$2:$D$477,MATCH($E329,Section_Master!$A$2:$A$477,0))&amp;"","")</f>
        <v>Imprisonment up to 7 years and fine; up to 14 years and fine if the act abetted causes harm [s.55]</v>
      </c>
      <c r="G329" s="10" t="str">
        <f aca="false">IFERROR(INDEX(Section_Master!$E$2:$E$477,MATCH($E329,Section_Master!$A$2:$A$477,0))&amp;"","")</f>
        <v>Same as underlying offence</v>
      </c>
      <c r="H329" s="10" t="str">
        <f aca="false">IFERROR(INDEX(Section_Master!$F$2:$F$477,MATCH($E329,Section_Master!$A$2:$A$477,0))&amp;"","")</f>
        <v>Same as underlying offence</v>
      </c>
      <c r="I329" s="10" t="str">
        <f aca="false">IFERROR(INDEX(Section_Master!$G$2:$G$477,MATCH($E329,Section_Master!$A$2:$A$477,0))&amp;"","")</f>
        <v>Same as underlying offence</v>
      </c>
      <c r="J329" s="10" t="s">
        <v>58</v>
      </c>
      <c r="K329" s="8" t="s">
        <v>809</v>
      </c>
    </row>
    <row r="330" customFormat="false" ht="34.5" hidden="false" customHeight="true" outlineLevel="0" collapsed="false">
      <c r="A330" s="10" t="s">
        <v>816</v>
      </c>
      <c r="B330" s="10" t="s">
        <v>45</v>
      </c>
      <c r="C330" s="8" t="s">
        <v>807</v>
      </c>
      <c r="D330" s="8" t="s">
        <v>817</v>
      </c>
      <c r="E330" s="11" t="n">
        <v>55</v>
      </c>
      <c r="F330" s="8" t="str">
        <f aca="false">IFERROR(INDEX(Section_Master!$D$2:$D$477,MATCH($E330,Section_Master!$A$2:$A$477,0))&amp;"","")</f>
        <v>Imprisonment up to 7 years and fine; up to 14 years and fine if the act abetted causes harm [s.55]</v>
      </c>
      <c r="G330" s="10" t="str">
        <f aca="false">IFERROR(INDEX(Section_Master!$E$2:$E$477,MATCH($E330,Section_Master!$A$2:$A$477,0))&amp;"","")</f>
        <v>Same as underlying offence</v>
      </c>
      <c r="H330" s="10" t="str">
        <f aca="false">IFERROR(INDEX(Section_Master!$F$2:$F$477,MATCH($E330,Section_Master!$A$2:$A$477,0))&amp;"","")</f>
        <v>Same as underlying offence</v>
      </c>
      <c r="I330" s="10" t="str">
        <f aca="false">IFERROR(INDEX(Section_Master!$G$2:$G$477,MATCH($E330,Section_Master!$A$2:$A$477,0))&amp;"","")</f>
        <v>Same as underlying offence</v>
      </c>
      <c r="J330" s="10" t="s">
        <v>61</v>
      </c>
      <c r="K330" s="8" t="s">
        <v>809</v>
      </c>
    </row>
    <row r="331" customFormat="false" ht="34.5" hidden="false" customHeight="true" outlineLevel="0" collapsed="false">
      <c r="A331" s="10" t="s">
        <v>818</v>
      </c>
      <c r="B331" s="10" t="s">
        <v>45</v>
      </c>
      <c r="C331" s="8" t="s">
        <v>807</v>
      </c>
      <c r="D331" s="8" t="s">
        <v>819</v>
      </c>
      <c r="E331" s="11" t="n">
        <v>55</v>
      </c>
      <c r="F331" s="8" t="str">
        <f aca="false">IFERROR(INDEX(Section_Master!$D$2:$D$477,MATCH($E331,Section_Master!$A$2:$A$477,0))&amp;"","")</f>
        <v>Imprisonment up to 7 years and fine; up to 14 years and fine if the act abetted causes harm [s.55]</v>
      </c>
      <c r="G331" s="10" t="str">
        <f aca="false">IFERROR(INDEX(Section_Master!$E$2:$E$477,MATCH($E331,Section_Master!$A$2:$A$477,0))&amp;"","")</f>
        <v>Same as underlying offence</v>
      </c>
      <c r="H331" s="10" t="str">
        <f aca="false">IFERROR(INDEX(Section_Master!$F$2:$F$477,MATCH($E331,Section_Master!$A$2:$A$477,0))&amp;"","")</f>
        <v>Same as underlying offence</v>
      </c>
      <c r="I331" s="10" t="str">
        <f aca="false">IFERROR(INDEX(Section_Master!$G$2:$G$477,MATCH($E331,Section_Master!$A$2:$A$477,0))&amp;"","")</f>
        <v>Same as underlying offence</v>
      </c>
      <c r="J331" s="10" t="s">
        <v>64</v>
      </c>
      <c r="K331" s="8" t="s">
        <v>809</v>
      </c>
    </row>
    <row r="332" customFormat="false" ht="34.5" hidden="false" customHeight="true" outlineLevel="0" collapsed="false">
      <c r="A332" s="10" t="s">
        <v>820</v>
      </c>
      <c r="B332" s="10" t="s">
        <v>45</v>
      </c>
      <c r="C332" s="8" t="s">
        <v>821</v>
      </c>
      <c r="D332" s="8" t="s">
        <v>822</v>
      </c>
      <c r="E332" s="11" t="n">
        <v>56</v>
      </c>
      <c r="F332" s="8" t="str">
        <f aca="false">IFERROR(INDEX(Section_Master!$D$2:$D$477,MATCH($E332,Section_Master!$A$2:$A$477,0))&amp;"","")</f>
        <v>Imprisonment up to one-fourth of the longest term for the offence, or fine, or both; up to half of it if the act abetted causes harm [s.56]</v>
      </c>
      <c r="G332" s="10" t="str">
        <f aca="false">IFERROR(INDEX(Section_Master!$E$2:$E$477,MATCH($E332,Section_Master!$A$2:$A$477,0))&amp;"","")</f>
        <v>Same as underlying offence</v>
      </c>
      <c r="H332" s="10" t="str">
        <f aca="false">IFERROR(INDEX(Section_Master!$F$2:$F$477,MATCH($E332,Section_Master!$A$2:$A$477,0))&amp;"","")</f>
        <v>Same as underlying offence</v>
      </c>
      <c r="I332" s="10" t="str">
        <f aca="false">IFERROR(INDEX(Section_Master!$G$2:$G$477,MATCH($E332,Section_Master!$A$2:$A$477,0))&amp;"","")</f>
        <v>Same as underlying offence</v>
      </c>
      <c r="J332" s="10" t="s">
        <v>48</v>
      </c>
      <c r="K332" s="8" t="s">
        <v>823</v>
      </c>
    </row>
    <row r="333" customFormat="false" ht="45.75" hidden="false" customHeight="true" outlineLevel="0" collapsed="false">
      <c r="A333" s="10" t="s">
        <v>824</v>
      </c>
      <c r="B333" s="10" t="s">
        <v>45</v>
      </c>
      <c r="C333" s="8" t="s">
        <v>821</v>
      </c>
      <c r="D333" s="8" t="s">
        <v>825</v>
      </c>
      <c r="E333" s="11" t="n">
        <v>56</v>
      </c>
      <c r="F333" s="8" t="str">
        <f aca="false">IFERROR(INDEX(Section_Master!$D$2:$D$477,MATCH($E333,Section_Master!$A$2:$A$477,0))&amp;"","")</f>
        <v>Imprisonment up to one-fourth of the longest term for the offence, or fine, or both; up to half of it if the act abetted causes harm [s.56]</v>
      </c>
      <c r="G333" s="10" t="str">
        <f aca="false">IFERROR(INDEX(Section_Master!$E$2:$E$477,MATCH($E333,Section_Master!$A$2:$A$477,0))&amp;"","")</f>
        <v>Same as underlying offence</v>
      </c>
      <c r="H333" s="10" t="str">
        <f aca="false">IFERROR(INDEX(Section_Master!$F$2:$F$477,MATCH($E333,Section_Master!$A$2:$A$477,0))&amp;"","")</f>
        <v>Same as underlying offence</v>
      </c>
      <c r="I333" s="10" t="str">
        <f aca="false">IFERROR(INDEX(Section_Master!$G$2:$G$477,MATCH($E333,Section_Master!$A$2:$A$477,0))&amp;"","")</f>
        <v>Same as underlying offence</v>
      </c>
      <c r="J333" s="10" t="s">
        <v>52</v>
      </c>
      <c r="K333" s="8" t="s">
        <v>823</v>
      </c>
    </row>
    <row r="334" customFormat="false" ht="34.5" hidden="false" customHeight="true" outlineLevel="0" collapsed="false">
      <c r="A334" s="10" t="s">
        <v>826</v>
      </c>
      <c r="B334" s="10" t="s">
        <v>45</v>
      </c>
      <c r="C334" s="8" t="s">
        <v>821</v>
      </c>
      <c r="D334" s="8" t="s">
        <v>827</v>
      </c>
      <c r="E334" s="11" t="n">
        <v>56</v>
      </c>
      <c r="F334" s="8" t="str">
        <f aca="false">IFERROR(INDEX(Section_Master!$D$2:$D$477,MATCH($E334,Section_Master!$A$2:$A$477,0))&amp;"","")</f>
        <v>Imprisonment up to one-fourth of the longest term for the offence, or fine, or both; up to half of it if the act abetted causes harm [s.56]</v>
      </c>
      <c r="G334" s="10" t="str">
        <f aca="false">IFERROR(INDEX(Section_Master!$E$2:$E$477,MATCH($E334,Section_Master!$A$2:$A$477,0))&amp;"","")</f>
        <v>Same as underlying offence</v>
      </c>
      <c r="H334" s="10" t="str">
        <f aca="false">IFERROR(INDEX(Section_Master!$F$2:$F$477,MATCH($E334,Section_Master!$A$2:$A$477,0))&amp;"","")</f>
        <v>Same as underlying offence</v>
      </c>
      <c r="I334" s="10" t="str">
        <f aca="false">IFERROR(INDEX(Section_Master!$G$2:$G$477,MATCH($E334,Section_Master!$A$2:$A$477,0))&amp;"","")</f>
        <v>Same as underlying offence</v>
      </c>
      <c r="J334" s="10" t="s">
        <v>55</v>
      </c>
      <c r="K334" s="8" t="s">
        <v>823</v>
      </c>
    </row>
    <row r="335" customFormat="false" ht="34.5" hidden="false" customHeight="true" outlineLevel="0" collapsed="false">
      <c r="A335" s="10" t="s">
        <v>828</v>
      </c>
      <c r="B335" s="10" t="s">
        <v>45</v>
      </c>
      <c r="C335" s="8" t="s">
        <v>821</v>
      </c>
      <c r="D335" s="8" t="s">
        <v>829</v>
      </c>
      <c r="E335" s="11" t="n">
        <v>56</v>
      </c>
      <c r="F335" s="8" t="str">
        <f aca="false">IFERROR(INDEX(Section_Master!$D$2:$D$477,MATCH($E335,Section_Master!$A$2:$A$477,0))&amp;"","")</f>
        <v>Imprisonment up to one-fourth of the longest term for the offence, or fine, or both; up to half of it if the act abetted causes harm [s.56]</v>
      </c>
      <c r="G335" s="10" t="str">
        <f aca="false">IFERROR(INDEX(Section_Master!$E$2:$E$477,MATCH($E335,Section_Master!$A$2:$A$477,0))&amp;"","")</f>
        <v>Same as underlying offence</v>
      </c>
      <c r="H335" s="10" t="str">
        <f aca="false">IFERROR(INDEX(Section_Master!$F$2:$F$477,MATCH($E335,Section_Master!$A$2:$A$477,0))&amp;"","")</f>
        <v>Same as underlying offence</v>
      </c>
      <c r="I335" s="10" t="str">
        <f aca="false">IFERROR(INDEX(Section_Master!$G$2:$G$477,MATCH($E335,Section_Master!$A$2:$A$477,0))&amp;"","")</f>
        <v>Same as underlying offence</v>
      </c>
      <c r="J335" s="10" t="s">
        <v>58</v>
      </c>
      <c r="K335" s="8" t="s">
        <v>823</v>
      </c>
    </row>
    <row r="336" customFormat="false" ht="34.5" hidden="false" customHeight="true" outlineLevel="0" collapsed="false">
      <c r="A336" s="10" t="s">
        <v>830</v>
      </c>
      <c r="B336" s="10" t="s">
        <v>45</v>
      </c>
      <c r="C336" s="8" t="s">
        <v>821</v>
      </c>
      <c r="D336" s="8" t="s">
        <v>831</v>
      </c>
      <c r="E336" s="11" t="n">
        <v>56</v>
      </c>
      <c r="F336" s="8" t="str">
        <f aca="false">IFERROR(INDEX(Section_Master!$D$2:$D$477,MATCH($E336,Section_Master!$A$2:$A$477,0))&amp;"","")</f>
        <v>Imprisonment up to one-fourth of the longest term for the offence, or fine, or both; up to half of it if the act abetted causes harm [s.56]</v>
      </c>
      <c r="G336" s="10" t="str">
        <f aca="false">IFERROR(INDEX(Section_Master!$E$2:$E$477,MATCH($E336,Section_Master!$A$2:$A$477,0))&amp;"","")</f>
        <v>Same as underlying offence</v>
      </c>
      <c r="H336" s="10" t="str">
        <f aca="false">IFERROR(INDEX(Section_Master!$F$2:$F$477,MATCH($E336,Section_Master!$A$2:$A$477,0))&amp;"","")</f>
        <v>Same as underlying offence</v>
      </c>
      <c r="I336" s="10" t="str">
        <f aca="false">IFERROR(INDEX(Section_Master!$G$2:$G$477,MATCH($E336,Section_Master!$A$2:$A$477,0))&amp;"","")</f>
        <v>Same as underlying offence</v>
      </c>
      <c r="J336" s="10" t="s">
        <v>61</v>
      </c>
      <c r="K336" s="8" t="s">
        <v>823</v>
      </c>
    </row>
    <row r="337" customFormat="false" ht="34.5" hidden="false" customHeight="true" outlineLevel="0" collapsed="false">
      <c r="A337" s="10" t="s">
        <v>832</v>
      </c>
      <c r="B337" s="10" t="s">
        <v>45</v>
      </c>
      <c r="C337" s="8" t="s">
        <v>821</v>
      </c>
      <c r="D337" s="8" t="s">
        <v>833</v>
      </c>
      <c r="E337" s="11" t="n">
        <v>56</v>
      </c>
      <c r="F337" s="8" t="str">
        <f aca="false">IFERROR(INDEX(Section_Master!$D$2:$D$477,MATCH($E337,Section_Master!$A$2:$A$477,0))&amp;"","")</f>
        <v>Imprisonment up to one-fourth of the longest term for the offence, or fine, or both; up to half of it if the act abetted causes harm [s.56]</v>
      </c>
      <c r="G337" s="10" t="str">
        <f aca="false">IFERROR(INDEX(Section_Master!$E$2:$E$477,MATCH($E337,Section_Master!$A$2:$A$477,0))&amp;"","")</f>
        <v>Same as underlying offence</v>
      </c>
      <c r="H337" s="10" t="str">
        <f aca="false">IFERROR(INDEX(Section_Master!$F$2:$F$477,MATCH($E337,Section_Master!$A$2:$A$477,0))&amp;"","")</f>
        <v>Same as underlying offence</v>
      </c>
      <c r="I337" s="10" t="str">
        <f aca="false">IFERROR(INDEX(Section_Master!$G$2:$G$477,MATCH($E337,Section_Master!$A$2:$A$477,0))&amp;"","")</f>
        <v>Same as underlying offence</v>
      </c>
      <c r="J337" s="10" t="s">
        <v>64</v>
      </c>
      <c r="K337" s="8" t="s">
        <v>823</v>
      </c>
    </row>
    <row r="338" customFormat="false" ht="34.5" hidden="false" customHeight="true" outlineLevel="0" collapsed="false">
      <c r="A338" s="10" t="s">
        <v>834</v>
      </c>
      <c r="B338" s="10" t="s">
        <v>45</v>
      </c>
      <c r="C338" s="8" t="s">
        <v>835</v>
      </c>
      <c r="D338" s="8" t="s">
        <v>836</v>
      </c>
      <c r="E338" s="11" t="n">
        <v>57</v>
      </c>
      <c r="F338" s="8" t="str">
        <f aca="false">IFERROR(INDEX(Section_Master!$D$2:$D$477,MATCH($E338,Section_Master!$A$2:$A$477,0))&amp;"","")</f>
        <v>Imprisonment up to 3 years, or fine, or both [s.57]</v>
      </c>
      <c r="G338" s="10" t="str">
        <f aca="false">IFERROR(INDEX(Section_Master!$E$2:$E$477,MATCH($E338,Section_Master!$A$2:$A$477,0))&amp;"","")</f>
        <v>Same as underlying offence</v>
      </c>
      <c r="H338" s="10" t="str">
        <f aca="false">IFERROR(INDEX(Section_Master!$F$2:$F$477,MATCH($E338,Section_Master!$A$2:$A$477,0))&amp;"","")</f>
        <v>Same as underlying offence</v>
      </c>
      <c r="I338" s="10" t="str">
        <f aca="false">IFERROR(INDEX(Section_Master!$G$2:$G$477,MATCH($E338,Section_Master!$A$2:$A$477,0))&amp;"","")</f>
        <v>Same as underlying offence</v>
      </c>
      <c r="J338" s="10" t="s">
        <v>48</v>
      </c>
      <c r="K338" s="8" t="s">
        <v>837</v>
      </c>
    </row>
    <row r="339" customFormat="false" ht="34.5" hidden="false" customHeight="true" outlineLevel="0" collapsed="false">
      <c r="A339" s="10" t="s">
        <v>838</v>
      </c>
      <c r="B339" s="10" t="s">
        <v>45</v>
      </c>
      <c r="C339" s="8" t="s">
        <v>835</v>
      </c>
      <c r="D339" s="8" t="s">
        <v>839</v>
      </c>
      <c r="E339" s="11" t="n">
        <v>57</v>
      </c>
      <c r="F339" s="8" t="str">
        <f aca="false">IFERROR(INDEX(Section_Master!$D$2:$D$477,MATCH($E339,Section_Master!$A$2:$A$477,0))&amp;"","")</f>
        <v>Imprisonment up to 3 years, or fine, or both [s.57]</v>
      </c>
      <c r="G339" s="10" t="str">
        <f aca="false">IFERROR(INDEX(Section_Master!$E$2:$E$477,MATCH($E339,Section_Master!$A$2:$A$477,0))&amp;"","")</f>
        <v>Same as underlying offence</v>
      </c>
      <c r="H339" s="10" t="str">
        <f aca="false">IFERROR(INDEX(Section_Master!$F$2:$F$477,MATCH($E339,Section_Master!$A$2:$A$477,0))&amp;"","")</f>
        <v>Same as underlying offence</v>
      </c>
      <c r="I339" s="10" t="str">
        <f aca="false">IFERROR(INDEX(Section_Master!$G$2:$G$477,MATCH($E339,Section_Master!$A$2:$A$477,0))&amp;"","")</f>
        <v>Same as underlying offence</v>
      </c>
      <c r="J339" s="10" t="s">
        <v>52</v>
      </c>
      <c r="K339" s="8" t="s">
        <v>837</v>
      </c>
    </row>
    <row r="340" customFormat="false" ht="34.5" hidden="false" customHeight="true" outlineLevel="0" collapsed="false">
      <c r="A340" s="10" t="s">
        <v>840</v>
      </c>
      <c r="B340" s="10" t="s">
        <v>45</v>
      </c>
      <c r="C340" s="8" t="s">
        <v>835</v>
      </c>
      <c r="D340" s="8" t="s">
        <v>841</v>
      </c>
      <c r="E340" s="11" t="n">
        <v>57</v>
      </c>
      <c r="F340" s="8" t="str">
        <f aca="false">IFERROR(INDEX(Section_Master!$D$2:$D$477,MATCH($E340,Section_Master!$A$2:$A$477,0))&amp;"","")</f>
        <v>Imprisonment up to 3 years, or fine, or both [s.57]</v>
      </c>
      <c r="G340" s="10" t="str">
        <f aca="false">IFERROR(INDEX(Section_Master!$E$2:$E$477,MATCH($E340,Section_Master!$A$2:$A$477,0))&amp;"","")</f>
        <v>Same as underlying offence</v>
      </c>
      <c r="H340" s="10" t="str">
        <f aca="false">IFERROR(INDEX(Section_Master!$F$2:$F$477,MATCH($E340,Section_Master!$A$2:$A$477,0))&amp;"","")</f>
        <v>Same as underlying offence</v>
      </c>
      <c r="I340" s="10" t="str">
        <f aca="false">IFERROR(INDEX(Section_Master!$G$2:$G$477,MATCH($E340,Section_Master!$A$2:$A$477,0))&amp;"","")</f>
        <v>Same as underlying offence</v>
      </c>
      <c r="J340" s="10" t="s">
        <v>55</v>
      </c>
      <c r="K340" s="8" t="s">
        <v>837</v>
      </c>
    </row>
    <row r="341" customFormat="false" ht="23.25" hidden="false" customHeight="true" outlineLevel="0" collapsed="false">
      <c r="A341" s="10" t="s">
        <v>842</v>
      </c>
      <c r="B341" s="10" t="s">
        <v>45</v>
      </c>
      <c r="C341" s="8" t="s">
        <v>835</v>
      </c>
      <c r="D341" s="8" t="s">
        <v>843</v>
      </c>
      <c r="E341" s="11" t="n">
        <v>57</v>
      </c>
      <c r="F341" s="8" t="str">
        <f aca="false">IFERROR(INDEX(Section_Master!$D$2:$D$477,MATCH($E341,Section_Master!$A$2:$A$477,0))&amp;"","")</f>
        <v>Imprisonment up to 3 years, or fine, or both [s.57]</v>
      </c>
      <c r="G341" s="10" t="str">
        <f aca="false">IFERROR(INDEX(Section_Master!$E$2:$E$477,MATCH($E341,Section_Master!$A$2:$A$477,0))&amp;"","")</f>
        <v>Same as underlying offence</v>
      </c>
      <c r="H341" s="10" t="str">
        <f aca="false">IFERROR(INDEX(Section_Master!$F$2:$F$477,MATCH($E341,Section_Master!$A$2:$A$477,0))&amp;"","")</f>
        <v>Same as underlying offence</v>
      </c>
      <c r="I341" s="10" t="str">
        <f aca="false">IFERROR(INDEX(Section_Master!$G$2:$G$477,MATCH($E341,Section_Master!$A$2:$A$477,0))&amp;"","")</f>
        <v>Same as underlying offence</v>
      </c>
      <c r="J341" s="10" t="s">
        <v>58</v>
      </c>
      <c r="K341" s="8" t="s">
        <v>837</v>
      </c>
    </row>
    <row r="342" customFormat="false" ht="34.5" hidden="false" customHeight="true" outlineLevel="0" collapsed="false">
      <c r="A342" s="10" t="s">
        <v>844</v>
      </c>
      <c r="B342" s="10" t="s">
        <v>45</v>
      </c>
      <c r="C342" s="8" t="s">
        <v>835</v>
      </c>
      <c r="D342" s="8" t="s">
        <v>845</v>
      </c>
      <c r="E342" s="11" t="n">
        <v>57</v>
      </c>
      <c r="F342" s="8" t="str">
        <f aca="false">IFERROR(INDEX(Section_Master!$D$2:$D$477,MATCH($E342,Section_Master!$A$2:$A$477,0))&amp;"","")</f>
        <v>Imprisonment up to 3 years, or fine, or both [s.57]</v>
      </c>
      <c r="G342" s="10" t="str">
        <f aca="false">IFERROR(INDEX(Section_Master!$E$2:$E$477,MATCH($E342,Section_Master!$A$2:$A$477,0))&amp;"","")</f>
        <v>Same as underlying offence</v>
      </c>
      <c r="H342" s="10" t="str">
        <f aca="false">IFERROR(INDEX(Section_Master!$F$2:$F$477,MATCH($E342,Section_Master!$A$2:$A$477,0))&amp;"","")</f>
        <v>Same as underlying offence</v>
      </c>
      <c r="I342" s="10" t="str">
        <f aca="false">IFERROR(INDEX(Section_Master!$G$2:$G$477,MATCH($E342,Section_Master!$A$2:$A$477,0))&amp;"","")</f>
        <v>Same as underlying offence</v>
      </c>
      <c r="J342" s="10" t="s">
        <v>61</v>
      </c>
      <c r="K342" s="8" t="s">
        <v>837</v>
      </c>
    </row>
    <row r="343" customFormat="false" ht="34.5" hidden="false" customHeight="true" outlineLevel="0" collapsed="false">
      <c r="A343" s="10" t="s">
        <v>846</v>
      </c>
      <c r="B343" s="10" t="s">
        <v>45</v>
      </c>
      <c r="C343" s="8" t="s">
        <v>835</v>
      </c>
      <c r="D343" s="8" t="s">
        <v>847</v>
      </c>
      <c r="E343" s="11" t="n">
        <v>57</v>
      </c>
      <c r="F343" s="8" t="str">
        <f aca="false">IFERROR(INDEX(Section_Master!$D$2:$D$477,MATCH($E343,Section_Master!$A$2:$A$477,0))&amp;"","")</f>
        <v>Imprisonment up to 3 years, or fine, or both [s.57]</v>
      </c>
      <c r="G343" s="10" t="str">
        <f aca="false">IFERROR(INDEX(Section_Master!$E$2:$E$477,MATCH($E343,Section_Master!$A$2:$A$477,0))&amp;"","")</f>
        <v>Same as underlying offence</v>
      </c>
      <c r="H343" s="10" t="str">
        <f aca="false">IFERROR(INDEX(Section_Master!$F$2:$F$477,MATCH($E343,Section_Master!$A$2:$A$477,0))&amp;"","")</f>
        <v>Same as underlying offence</v>
      </c>
      <c r="I343" s="10" t="str">
        <f aca="false">IFERROR(INDEX(Section_Master!$G$2:$G$477,MATCH($E343,Section_Master!$A$2:$A$477,0))&amp;"","")</f>
        <v>Same as underlying offence</v>
      </c>
      <c r="J343" s="10" t="s">
        <v>64</v>
      </c>
      <c r="K343" s="8" t="s">
        <v>837</v>
      </c>
    </row>
    <row r="344" customFormat="false" ht="34.5" hidden="false" customHeight="true" outlineLevel="0" collapsed="false">
      <c r="A344" s="10" t="s">
        <v>848</v>
      </c>
      <c r="B344" s="10" t="s">
        <v>45</v>
      </c>
      <c r="C344" s="8" t="s">
        <v>849</v>
      </c>
      <c r="D344" s="8" t="s">
        <v>850</v>
      </c>
      <c r="E344" s="11" t="n">
        <v>58</v>
      </c>
      <c r="F344" s="8" t="str">
        <f aca="false">IFERROR(INDEX(Section_Master!$D$2:$D$477,MATCH($E344,Section_Master!$A$2:$A$477,0))&amp;"","")</f>
        <v>Imprisonment up to 7 years and fine if the offence is committed; up to 3 years and fine if not [s.58]</v>
      </c>
      <c r="G344" s="10" t="str">
        <f aca="false">IFERROR(INDEX(Section_Master!$E$2:$E$477,MATCH($E344,Section_Master!$A$2:$A$477,0))&amp;"","")</f>
        <v>Same as underlying offence</v>
      </c>
      <c r="H344" s="10" t="str">
        <f aca="false">IFERROR(INDEX(Section_Master!$F$2:$F$477,MATCH($E344,Section_Master!$A$2:$A$477,0))&amp;"","")</f>
        <v>Same as underlying offence</v>
      </c>
      <c r="I344" s="10" t="str">
        <f aca="false">IFERROR(INDEX(Section_Master!$G$2:$G$477,MATCH($E344,Section_Master!$A$2:$A$477,0))&amp;"","")</f>
        <v>Same as underlying offence</v>
      </c>
      <c r="J344" s="10" t="s">
        <v>48</v>
      </c>
      <c r="K344" s="8" t="s">
        <v>851</v>
      </c>
    </row>
    <row r="345" customFormat="false" ht="34.5" hidden="false" customHeight="true" outlineLevel="0" collapsed="false">
      <c r="A345" s="10" t="s">
        <v>852</v>
      </c>
      <c r="B345" s="10" t="s">
        <v>45</v>
      </c>
      <c r="C345" s="8" t="s">
        <v>849</v>
      </c>
      <c r="D345" s="8" t="s">
        <v>853</v>
      </c>
      <c r="E345" s="11" t="n">
        <v>58</v>
      </c>
      <c r="F345" s="8" t="str">
        <f aca="false">IFERROR(INDEX(Section_Master!$D$2:$D$477,MATCH($E345,Section_Master!$A$2:$A$477,0))&amp;"","")</f>
        <v>Imprisonment up to 7 years and fine if the offence is committed; up to 3 years and fine if not [s.58]</v>
      </c>
      <c r="G345" s="10" t="str">
        <f aca="false">IFERROR(INDEX(Section_Master!$E$2:$E$477,MATCH($E345,Section_Master!$A$2:$A$477,0))&amp;"","")</f>
        <v>Same as underlying offence</v>
      </c>
      <c r="H345" s="10" t="str">
        <f aca="false">IFERROR(INDEX(Section_Master!$F$2:$F$477,MATCH($E345,Section_Master!$A$2:$A$477,0))&amp;"","")</f>
        <v>Same as underlying offence</v>
      </c>
      <c r="I345" s="10" t="str">
        <f aca="false">IFERROR(INDEX(Section_Master!$G$2:$G$477,MATCH($E345,Section_Master!$A$2:$A$477,0))&amp;"","")</f>
        <v>Same as underlying offence</v>
      </c>
      <c r="J345" s="10" t="s">
        <v>52</v>
      </c>
      <c r="K345" s="8" t="s">
        <v>851</v>
      </c>
    </row>
    <row r="346" customFormat="false" ht="34.5" hidden="false" customHeight="true" outlineLevel="0" collapsed="false">
      <c r="A346" s="10" t="s">
        <v>854</v>
      </c>
      <c r="B346" s="10" t="s">
        <v>45</v>
      </c>
      <c r="C346" s="8" t="s">
        <v>849</v>
      </c>
      <c r="D346" s="8" t="s">
        <v>855</v>
      </c>
      <c r="E346" s="11" t="n">
        <v>58</v>
      </c>
      <c r="F346" s="8" t="str">
        <f aca="false">IFERROR(INDEX(Section_Master!$D$2:$D$477,MATCH($E346,Section_Master!$A$2:$A$477,0))&amp;"","")</f>
        <v>Imprisonment up to 7 years and fine if the offence is committed; up to 3 years and fine if not [s.58]</v>
      </c>
      <c r="G346" s="10" t="str">
        <f aca="false">IFERROR(INDEX(Section_Master!$E$2:$E$477,MATCH($E346,Section_Master!$A$2:$A$477,0))&amp;"","")</f>
        <v>Same as underlying offence</v>
      </c>
      <c r="H346" s="10" t="str">
        <f aca="false">IFERROR(INDEX(Section_Master!$F$2:$F$477,MATCH($E346,Section_Master!$A$2:$A$477,0))&amp;"","")</f>
        <v>Same as underlying offence</v>
      </c>
      <c r="I346" s="10" t="str">
        <f aca="false">IFERROR(INDEX(Section_Master!$G$2:$G$477,MATCH($E346,Section_Master!$A$2:$A$477,0))&amp;"","")</f>
        <v>Same as underlying offence</v>
      </c>
      <c r="J346" s="10" t="s">
        <v>55</v>
      </c>
      <c r="K346" s="8" t="s">
        <v>851</v>
      </c>
    </row>
    <row r="347" customFormat="false" ht="34.5" hidden="false" customHeight="true" outlineLevel="0" collapsed="false">
      <c r="A347" s="10" t="s">
        <v>856</v>
      </c>
      <c r="B347" s="10" t="s">
        <v>45</v>
      </c>
      <c r="C347" s="8" t="s">
        <v>849</v>
      </c>
      <c r="D347" s="8" t="s">
        <v>857</v>
      </c>
      <c r="E347" s="11" t="n">
        <v>58</v>
      </c>
      <c r="F347" s="8" t="str">
        <f aca="false">IFERROR(INDEX(Section_Master!$D$2:$D$477,MATCH($E347,Section_Master!$A$2:$A$477,0))&amp;"","")</f>
        <v>Imprisonment up to 7 years and fine if the offence is committed; up to 3 years and fine if not [s.58]</v>
      </c>
      <c r="G347" s="10" t="str">
        <f aca="false">IFERROR(INDEX(Section_Master!$E$2:$E$477,MATCH($E347,Section_Master!$A$2:$A$477,0))&amp;"","")</f>
        <v>Same as underlying offence</v>
      </c>
      <c r="H347" s="10" t="str">
        <f aca="false">IFERROR(INDEX(Section_Master!$F$2:$F$477,MATCH($E347,Section_Master!$A$2:$A$477,0))&amp;"","")</f>
        <v>Same as underlying offence</v>
      </c>
      <c r="I347" s="10" t="str">
        <f aca="false">IFERROR(INDEX(Section_Master!$G$2:$G$477,MATCH($E347,Section_Master!$A$2:$A$477,0))&amp;"","")</f>
        <v>Same as underlying offence</v>
      </c>
      <c r="J347" s="10" t="s">
        <v>58</v>
      </c>
      <c r="K347" s="8" t="s">
        <v>851</v>
      </c>
    </row>
    <row r="348" customFormat="false" ht="34.5" hidden="false" customHeight="true" outlineLevel="0" collapsed="false">
      <c r="A348" s="10" t="s">
        <v>858</v>
      </c>
      <c r="B348" s="10" t="s">
        <v>45</v>
      </c>
      <c r="C348" s="8" t="s">
        <v>849</v>
      </c>
      <c r="D348" s="8" t="s">
        <v>859</v>
      </c>
      <c r="E348" s="11" t="n">
        <v>58</v>
      </c>
      <c r="F348" s="8" t="str">
        <f aca="false">IFERROR(INDEX(Section_Master!$D$2:$D$477,MATCH($E348,Section_Master!$A$2:$A$477,0))&amp;"","")</f>
        <v>Imprisonment up to 7 years and fine if the offence is committed; up to 3 years and fine if not [s.58]</v>
      </c>
      <c r="G348" s="10" t="str">
        <f aca="false">IFERROR(INDEX(Section_Master!$E$2:$E$477,MATCH($E348,Section_Master!$A$2:$A$477,0))&amp;"","")</f>
        <v>Same as underlying offence</v>
      </c>
      <c r="H348" s="10" t="str">
        <f aca="false">IFERROR(INDEX(Section_Master!$F$2:$F$477,MATCH($E348,Section_Master!$A$2:$A$477,0))&amp;"","")</f>
        <v>Same as underlying offence</v>
      </c>
      <c r="I348" s="10" t="str">
        <f aca="false">IFERROR(INDEX(Section_Master!$G$2:$G$477,MATCH($E348,Section_Master!$A$2:$A$477,0))&amp;"","")</f>
        <v>Same as underlying offence</v>
      </c>
      <c r="J348" s="10" t="s">
        <v>61</v>
      </c>
      <c r="K348" s="8" t="s">
        <v>851</v>
      </c>
    </row>
    <row r="349" customFormat="false" ht="34.5" hidden="false" customHeight="true" outlineLevel="0" collapsed="false">
      <c r="A349" s="10" t="s">
        <v>860</v>
      </c>
      <c r="B349" s="10" t="s">
        <v>45</v>
      </c>
      <c r="C349" s="8" t="s">
        <v>849</v>
      </c>
      <c r="D349" s="8" t="s">
        <v>861</v>
      </c>
      <c r="E349" s="11" t="n">
        <v>58</v>
      </c>
      <c r="F349" s="8" t="str">
        <f aca="false">IFERROR(INDEX(Section_Master!$D$2:$D$477,MATCH($E349,Section_Master!$A$2:$A$477,0))&amp;"","")</f>
        <v>Imprisonment up to 7 years and fine if the offence is committed; up to 3 years and fine if not [s.58]</v>
      </c>
      <c r="G349" s="10" t="str">
        <f aca="false">IFERROR(INDEX(Section_Master!$E$2:$E$477,MATCH($E349,Section_Master!$A$2:$A$477,0))&amp;"","")</f>
        <v>Same as underlying offence</v>
      </c>
      <c r="H349" s="10" t="str">
        <f aca="false">IFERROR(INDEX(Section_Master!$F$2:$F$477,MATCH($E349,Section_Master!$A$2:$A$477,0))&amp;"","")</f>
        <v>Same as underlying offence</v>
      </c>
      <c r="I349" s="10" t="str">
        <f aca="false">IFERROR(INDEX(Section_Master!$G$2:$G$477,MATCH($E349,Section_Master!$A$2:$A$477,0))&amp;"","")</f>
        <v>Same as underlying offence</v>
      </c>
      <c r="J349" s="10" t="s">
        <v>64</v>
      </c>
      <c r="K349" s="8" t="s">
        <v>851</v>
      </c>
    </row>
    <row r="350" customFormat="false" ht="34.5" hidden="false" customHeight="true" outlineLevel="0" collapsed="false">
      <c r="A350" s="10" t="s">
        <v>862</v>
      </c>
      <c r="B350" s="10" t="s">
        <v>45</v>
      </c>
      <c r="C350" s="8" t="s">
        <v>863</v>
      </c>
      <c r="D350" s="8" t="s">
        <v>864</v>
      </c>
      <c r="E350" s="11" t="n">
        <v>59</v>
      </c>
      <c r="F350" s="8" t="str">
        <f aca="false">IFERROR(INDEX(Section_Master!$D$2:$D$477,MATCH($E350,Section_Master!$A$2:$A$477,0))&amp;"","")</f>
        <v>Up to half of the longest term for the offence, or fine, or both (up to 10 years if death/life offence); up to one-fourth if not committed [s.59]</v>
      </c>
      <c r="G350" s="10" t="str">
        <f aca="false">IFERROR(INDEX(Section_Master!$E$2:$E$477,MATCH($E350,Section_Master!$A$2:$A$477,0))&amp;"","")</f>
        <v>Same as underlying offence</v>
      </c>
      <c r="H350" s="10" t="str">
        <f aca="false">IFERROR(INDEX(Section_Master!$F$2:$F$477,MATCH($E350,Section_Master!$A$2:$A$477,0))&amp;"","")</f>
        <v>Same as underlying offence</v>
      </c>
      <c r="I350" s="10" t="str">
        <f aca="false">IFERROR(INDEX(Section_Master!$G$2:$G$477,MATCH($E350,Section_Master!$A$2:$A$477,0))&amp;"","")</f>
        <v>Same as underlying offence</v>
      </c>
      <c r="J350" s="10" t="s">
        <v>48</v>
      </c>
      <c r="K350" s="8" t="s">
        <v>865</v>
      </c>
    </row>
    <row r="351" customFormat="false" ht="45.75" hidden="false" customHeight="true" outlineLevel="0" collapsed="false">
      <c r="A351" s="10" t="s">
        <v>866</v>
      </c>
      <c r="B351" s="10" t="s">
        <v>45</v>
      </c>
      <c r="C351" s="8" t="s">
        <v>863</v>
      </c>
      <c r="D351" s="8" t="s">
        <v>867</v>
      </c>
      <c r="E351" s="11" t="n">
        <v>59</v>
      </c>
      <c r="F351" s="8" t="str">
        <f aca="false">IFERROR(INDEX(Section_Master!$D$2:$D$477,MATCH($E351,Section_Master!$A$2:$A$477,0))&amp;"","")</f>
        <v>Up to half of the longest term for the offence, or fine, or both (up to 10 years if death/life offence); up to one-fourth if not committed [s.59]</v>
      </c>
      <c r="G351" s="10" t="str">
        <f aca="false">IFERROR(INDEX(Section_Master!$E$2:$E$477,MATCH($E351,Section_Master!$A$2:$A$477,0))&amp;"","")</f>
        <v>Same as underlying offence</v>
      </c>
      <c r="H351" s="10" t="str">
        <f aca="false">IFERROR(INDEX(Section_Master!$F$2:$F$477,MATCH($E351,Section_Master!$A$2:$A$477,0))&amp;"","")</f>
        <v>Same as underlying offence</v>
      </c>
      <c r="I351" s="10" t="str">
        <f aca="false">IFERROR(INDEX(Section_Master!$G$2:$G$477,MATCH($E351,Section_Master!$A$2:$A$477,0))&amp;"","")</f>
        <v>Same as underlying offence</v>
      </c>
      <c r="J351" s="10" t="s">
        <v>52</v>
      </c>
      <c r="K351" s="8" t="s">
        <v>865</v>
      </c>
    </row>
    <row r="352" customFormat="false" ht="34.5" hidden="false" customHeight="true" outlineLevel="0" collapsed="false">
      <c r="A352" s="10" t="s">
        <v>868</v>
      </c>
      <c r="B352" s="10" t="s">
        <v>45</v>
      </c>
      <c r="C352" s="8" t="s">
        <v>863</v>
      </c>
      <c r="D352" s="8" t="s">
        <v>869</v>
      </c>
      <c r="E352" s="11" t="n">
        <v>59</v>
      </c>
      <c r="F352" s="8" t="str">
        <f aca="false">IFERROR(INDEX(Section_Master!$D$2:$D$477,MATCH($E352,Section_Master!$A$2:$A$477,0))&amp;"","")</f>
        <v>Up to half of the longest term for the offence, or fine, or both (up to 10 years if death/life offence); up to one-fourth if not committed [s.59]</v>
      </c>
      <c r="G352" s="10" t="str">
        <f aca="false">IFERROR(INDEX(Section_Master!$E$2:$E$477,MATCH($E352,Section_Master!$A$2:$A$477,0))&amp;"","")</f>
        <v>Same as underlying offence</v>
      </c>
      <c r="H352" s="10" t="str">
        <f aca="false">IFERROR(INDEX(Section_Master!$F$2:$F$477,MATCH($E352,Section_Master!$A$2:$A$477,0))&amp;"","")</f>
        <v>Same as underlying offence</v>
      </c>
      <c r="I352" s="10" t="str">
        <f aca="false">IFERROR(INDEX(Section_Master!$G$2:$G$477,MATCH($E352,Section_Master!$A$2:$A$477,0))&amp;"","")</f>
        <v>Same as underlying offence</v>
      </c>
      <c r="J352" s="10" t="s">
        <v>55</v>
      </c>
      <c r="K352" s="8" t="s">
        <v>865</v>
      </c>
    </row>
    <row r="353" customFormat="false" ht="34.5" hidden="false" customHeight="true" outlineLevel="0" collapsed="false">
      <c r="A353" s="10" t="s">
        <v>870</v>
      </c>
      <c r="B353" s="10" t="s">
        <v>45</v>
      </c>
      <c r="C353" s="8" t="s">
        <v>863</v>
      </c>
      <c r="D353" s="8" t="s">
        <v>871</v>
      </c>
      <c r="E353" s="11" t="n">
        <v>59</v>
      </c>
      <c r="F353" s="8" t="str">
        <f aca="false">IFERROR(INDEX(Section_Master!$D$2:$D$477,MATCH($E353,Section_Master!$A$2:$A$477,0))&amp;"","")</f>
        <v>Up to half of the longest term for the offence, or fine, or both (up to 10 years if death/life offence); up to one-fourth if not committed [s.59]</v>
      </c>
      <c r="G353" s="10" t="str">
        <f aca="false">IFERROR(INDEX(Section_Master!$E$2:$E$477,MATCH($E353,Section_Master!$A$2:$A$477,0))&amp;"","")</f>
        <v>Same as underlying offence</v>
      </c>
      <c r="H353" s="10" t="str">
        <f aca="false">IFERROR(INDEX(Section_Master!$F$2:$F$477,MATCH($E353,Section_Master!$A$2:$A$477,0))&amp;"","")</f>
        <v>Same as underlying offence</v>
      </c>
      <c r="I353" s="10" t="str">
        <f aca="false">IFERROR(INDEX(Section_Master!$G$2:$G$477,MATCH($E353,Section_Master!$A$2:$A$477,0))&amp;"","")</f>
        <v>Same as underlying offence</v>
      </c>
      <c r="J353" s="10" t="s">
        <v>58</v>
      </c>
      <c r="K353" s="8" t="s">
        <v>865</v>
      </c>
    </row>
    <row r="354" customFormat="false" ht="34.5" hidden="false" customHeight="true" outlineLevel="0" collapsed="false">
      <c r="A354" s="10" t="s">
        <v>872</v>
      </c>
      <c r="B354" s="10" t="s">
        <v>45</v>
      </c>
      <c r="C354" s="8" t="s">
        <v>863</v>
      </c>
      <c r="D354" s="8" t="s">
        <v>873</v>
      </c>
      <c r="E354" s="11" t="n">
        <v>59</v>
      </c>
      <c r="F354" s="8" t="str">
        <f aca="false">IFERROR(INDEX(Section_Master!$D$2:$D$477,MATCH($E354,Section_Master!$A$2:$A$477,0))&amp;"","")</f>
        <v>Up to half of the longest term for the offence, or fine, or both (up to 10 years if death/life offence); up to one-fourth if not committed [s.59]</v>
      </c>
      <c r="G354" s="10" t="str">
        <f aca="false">IFERROR(INDEX(Section_Master!$E$2:$E$477,MATCH($E354,Section_Master!$A$2:$A$477,0))&amp;"","")</f>
        <v>Same as underlying offence</v>
      </c>
      <c r="H354" s="10" t="str">
        <f aca="false">IFERROR(INDEX(Section_Master!$F$2:$F$477,MATCH($E354,Section_Master!$A$2:$A$477,0))&amp;"","")</f>
        <v>Same as underlying offence</v>
      </c>
      <c r="I354" s="10" t="str">
        <f aca="false">IFERROR(INDEX(Section_Master!$G$2:$G$477,MATCH($E354,Section_Master!$A$2:$A$477,0))&amp;"","")</f>
        <v>Same as underlying offence</v>
      </c>
      <c r="J354" s="10" t="s">
        <v>61</v>
      </c>
      <c r="K354" s="8" t="s">
        <v>865</v>
      </c>
    </row>
    <row r="355" customFormat="false" ht="34.5" hidden="false" customHeight="true" outlineLevel="0" collapsed="false">
      <c r="A355" s="10" t="s">
        <v>874</v>
      </c>
      <c r="B355" s="10" t="s">
        <v>45</v>
      </c>
      <c r="C355" s="8" t="s">
        <v>863</v>
      </c>
      <c r="D355" s="8" t="s">
        <v>875</v>
      </c>
      <c r="E355" s="11" t="n">
        <v>59</v>
      </c>
      <c r="F355" s="8" t="str">
        <f aca="false">IFERROR(INDEX(Section_Master!$D$2:$D$477,MATCH($E355,Section_Master!$A$2:$A$477,0))&amp;"","")</f>
        <v>Up to half of the longest term for the offence, or fine, or both (up to 10 years if death/life offence); up to one-fourth if not committed [s.59]</v>
      </c>
      <c r="G355" s="10" t="str">
        <f aca="false">IFERROR(INDEX(Section_Master!$E$2:$E$477,MATCH($E355,Section_Master!$A$2:$A$477,0))&amp;"","")</f>
        <v>Same as underlying offence</v>
      </c>
      <c r="H355" s="10" t="str">
        <f aca="false">IFERROR(INDEX(Section_Master!$F$2:$F$477,MATCH($E355,Section_Master!$A$2:$A$477,0))&amp;"","")</f>
        <v>Same as underlying offence</v>
      </c>
      <c r="I355" s="10" t="str">
        <f aca="false">IFERROR(INDEX(Section_Master!$G$2:$G$477,MATCH($E355,Section_Master!$A$2:$A$477,0))&amp;"","")</f>
        <v>Same as underlying offence</v>
      </c>
      <c r="J355" s="10" t="s">
        <v>64</v>
      </c>
      <c r="K355" s="8" t="s">
        <v>865</v>
      </c>
    </row>
    <row r="356" customFormat="false" ht="34.5" hidden="false" customHeight="true" outlineLevel="0" collapsed="false">
      <c r="A356" s="10" t="s">
        <v>876</v>
      </c>
      <c r="B356" s="10" t="s">
        <v>45</v>
      </c>
      <c r="C356" s="8" t="s">
        <v>877</v>
      </c>
      <c r="D356" s="8" t="s">
        <v>878</v>
      </c>
      <c r="E356" s="11" t="n">
        <v>60</v>
      </c>
      <c r="F356" s="8" t="str">
        <f aca="false">IFERROR(INDEX(Section_Master!$D$2:$D$477,MATCH($E356,Section_Master!$A$2:$A$477,0))&amp;"","")</f>
        <v>Imprisonment up to one-fourth of the longest term for the offence, or fine, or both; up to one-eighth if not committed [s.60]</v>
      </c>
      <c r="G356" s="10" t="str">
        <f aca="false">IFERROR(INDEX(Section_Master!$E$2:$E$477,MATCH($E356,Section_Master!$A$2:$A$477,0))&amp;"","")</f>
        <v>Same as underlying offence</v>
      </c>
      <c r="H356" s="10" t="str">
        <f aca="false">IFERROR(INDEX(Section_Master!$F$2:$F$477,MATCH($E356,Section_Master!$A$2:$A$477,0))&amp;"","")</f>
        <v>Same as underlying offence</v>
      </c>
      <c r="I356" s="10" t="str">
        <f aca="false">IFERROR(INDEX(Section_Master!$G$2:$G$477,MATCH($E356,Section_Master!$A$2:$A$477,0))&amp;"","")</f>
        <v>Same as underlying offence</v>
      </c>
      <c r="J356" s="10" t="s">
        <v>48</v>
      </c>
      <c r="K356" s="8" t="s">
        <v>879</v>
      </c>
    </row>
    <row r="357" customFormat="false" ht="45.75" hidden="false" customHeight="true" outlineLevel="0" collapsed="false">
      <c r="A357" s="10" t="s">
        <v>880</v>
      </c>
      <c r="B357" s="10" t="s">
        <v>45</v>
      </c>
      <c r="C357" s="8" t="s">
        <v>877</v>
      </c>
      <c r="D357" s="8" t="s">
        <v>881</v>
      </c>
      <c r="E357" s="11" t="n">
        <v>60</v>
      </c>
      <c r="F357" s="8" t="str">
        <f aca="false">IFERROR(INDEX(Section_Master!$D$2:$D$477,MATCH($E357,Section_Master!$A$2:$A$477,0))&amp;"","")</f>
        <v>Imprisonment up to one-fourth of the longest term for the offence, or fine, or both; up to one-eighth if not committed [s.60]</v>
      </c>
      <c r="G357" s="10" t="str">
        <f aca="false">IFERROR(INDEX(Section_Master!$E$2:$E$477,MATCH($E357,Section_Master!$A$2:$A$477,0))&amp;"","")</f>
        <v>Same as underlying offence</v>
      </c>
      <c r="H357" s="10" t="str">
        <f aca="false">IFERROR(INDEX(Section_Master!$F$2:$F$477,MATCH($E357,Section_Master!$A$2:$A$477,0))&amp;"","")</f>
        <v>Same as underlying offence</v>
      </c>
      <c r="I357" s="10" t="str">
        <f aca="false">IFERROR(INDEX(Section_Master!$G$2:$G$477,MATCH($E357,Section_Master!$A$2:$A$477,0))&amp;"","")</f>
        <v>Same as underlying offence</v>
      </c>
      <c r="J357" s="10" t="s">
        <v>52</v>
      </c>
      <c r="K357" s="8" t="s">
        <v>879</v>
      </c>
    </row>
    <row r="358" customFormat="false" ht="34.5" hidden="false" customHeight="true" outlineLevel="0" collapsed="false">
      <c r="A358" s="10" t="s">
        <v>882</v>
      </c>
      <c r="B358" s="10" t="s">
        <v>45</v>
      </c>
      <c r="C358" s="8" t="s">
        <v>877</v>
      </c>
      <c r="D358" s="8" t="s">
        <v>883</v>
      </c>
      <c r="E358" s="11" t="n">
        <v>60</v>
      </c>
      <c r="F358" s="8" t="str">
        <f aca="false">IFERROR(INDEX(Section_Master!$D$2:$D$477,MATCH($E358,Section_Master!$A$2:$A$477,0))&amp;"","")</f>
        <v>Imprisonment up to one-fourth of the longest term for the offence, or fine, or both; up to one-eighth if not committed [s.60]</v>
      </c>
      <c r="G358" s="10" t="str">
        <f aca="false">IFERROR(INDEX(Section_Master!$E$2:$E$477,MATCH($E358,Section_Master!$A$2:$A$477,0))&amp;"","")</f>
        <v>Same as underlying offence</v>
      </c>
      <c r="H358" s="10" t="str">
        <f aca="false">IFERROR(INDEX(Section_Master!$F$2:$F$477,MATCH($E358,Section_Master!$A$2:$A$477,0))&amp;"","")</f>
        <v>Same as underlying offence</v>
      </c>
      <c r="I358" s="10" t="str">
        <f aca="false">IFERROR(INDEX(Section_Master!$G$2:$G$477,MATCH($E358,Section_Master!$A$2:$A$477,0))&amp;"","")</f>
        <v>Same as underlying offence</v>
      </c>
      <c r="J358" s="10" t="s">
        <v>55</v>
      </c>
      <c r="K358" s="8" t="s">
        <v>879</v>
      </c>
    </row>
    <row r="359" customFormat="false" ht="34.5" hidden="false" customHeight="true" outlineLevel="0" collapsed="false">
      <c r="A359" s="10" t="s">
        <v>884</v>
      </c>
      <c r="B359" s="10" t="s">
        <v>45</v>
      </c>
      <c r="C359" s="8" t="s">
        <v>877</v>
      </c>
      <c r="D359" s="8" t="s">
        <v>885</v>
      </c>
      <c r="E359" s="11" t="n">
        <v>60</v>
      </c>
      <c r="F359" s="8" t="str">
        <f aca="false">IFERROR(INDEX(Section_Master!$D$2:$D$477,MATCH($E359,Section_Master!$A$2:$A$477,0))&amp;"","")</f>
        <v>Imprisonment up to one-fourth of the longest term for the offence, or fine, or both; up to one-eighth if not committed [s.60]</v>
      </c>
      <c r="G359" s="10" t="str">
        <f aca="false">IFERROR(INDEX(Section_Master!$E$2:$E$477,MATCH($E359,Section_Master!$A$2:$A$477,0))&amp;"","")</f>
        <v>Same as underlying offence</v>
      </c>
      <c r="H359" s="10" t="str">
        <f aca="false">IFERROR(INDEX(Section_Master!$F$2:$F$477,MATCH($E359,Section_Master!$A$2:$A$477,0))&amp;"","")</f>
        <v>Same as underlying offence</v>
      </c>
      <c r="I359" s="10" t="str">
        <f aca="false">IFERROR(INDEX(Section_Master!$G$2:$G$477,MATCH($E359,Section_Master!$A$2:$A$477,0))&amp;"","")</f>
        <v>Same as underlying offence</v>
      </c>
      <c r="J359" s="10" t="s">
        <v>58</v>
      </c>
      <c r="K359" s="8" t="s">
        <v>879</v>
      </c>
    </row>
    <row r="360" customFormat="false" ht="34.5" hidden="false" customHeight="true" outlineLevel="0" collapsed="false">
      <c r="A360" s="10" t="s">
        <v>886</v>
      </c>
      <c r="B360" s="10" t="s">
        <v>45</v>
      </c>
      <c r="C360" s="8" t="s">
        <v>877</v>
      </c>
      <c r="D360" s="8" t="s">
        <v>887</v>
      </c>
      <c r="E360" s="11" t="n">
        <v>60</v>
      </c>
      <c r="F360" s="8" t="str">
        <f aca="false">IFERROR(INDEX(Section_Master!$D$2:$D$477,MATCH($E360,Section_Master!$A$2:$A$477,0))&amp;"","")</f>
        <v>Imprisonment up to one-fourth of the longest term for the offence, or fine, or both; up to one-eighth if not committed [s.60]</v>
      </c>
      <c r="G360" s="10" t="str">
        <f aca="false">IFERROR(INDEX(Section_Master!$E$2:$E$477,MATCH($E360,Section_Master!$A$2:$A$477,0))&amp;"","")</f>
        <v>Same as underlying offence</v>
      </c>
      <c r="H360" s="10" t="str">
        <f aca="false">IFERROR(INDEX(Section_Master!$F$2:$F$477,MATCH($E360,Section_Master!$A$2:$A$477,0))&amp;"","")</f>
        <v>Same as underlying offence</v>
      </c>
      <c r="I360" s="10" t="str">
        <f aca="false">IFERROR(INDEX(Section_Master!$G$2:$G$477,MATCH($E360,Section_Master!$A$2:$A$477,0))&amp;"","")</f>
        <v>Same as underlying offence</v>
      </c>
      <c r="J360" s="10" t="s">
        <v>61</v>
      </c>
      <c r="K360" s="8" t="s">
        <v>879</v>
      </c>
    </row>
    <row r="361" customFormat="false" ht="34.5" hidden="false" customHeight="true" outlineLevel="0" collapsed="false">
      <c r="A361" s="10" t="s">
        <v>888</v>
      </c>
      <c r="B361" s="10" t="s">
        <v>45</v>
      </c>
      <c r="C361" s="8" t="s">
        <v>877</v>
      </c>
      <c r="D361" s="8" t="s">
        <v>889</v>
      </c>
      <c r="E361" s="11" t="n">
        <v>60</v>
      </c>
      <c r="F361" s="8" t="str">
        <f aca="false">IFERROR(INDEX(Section_Master!$D$2:$D$477,MATCH($E361,Section_Master!$A$2:$A$477,0))&amp;"","")</f>
        <v>Imprisonment up to one-fourth of the longest term for the offence, or fine, or both; up to one-eighth if not committed [s.60]</v>
      </c>
      <c r="G361" s="10" t="str">
        <f aca="false">IFERROR(INDEX(Section_Master!$E$2:$E$477,MATCH($E361,Section_Master!$A$2:$A$477,0))&amp;"","")</f>
        <v>Same as underlying offence</v>
      </c>
      <c r="H361" s="10" t="str">
        <f aca="false">IFERROR(INDEX(Section_Master!$F$2:$F$477,MATCH($E361,Section_Master!$A$2:$A$477,0))&amp;"","")</f>
        <v>Same as underlying offence</v>
      </c>
      <c r="I361" s="10" t="str">
        <f aca="false">IFERROR(INDEX(Section_Master!$G$2:$G$477,MATCH($E361,Section_Master!$A$2:$A$477,0))&amp;"","")</f>
        <v>Same as underlying offence</v>
      </c>
      <c r="J361" s="10" t="s">
        <v>64</v>
      </c>
      <c r="K361" s="8" t="s">
        <v>879</v>
      </c>
    </row>
    <row r="362" customFormat="false" ht="23.25" hidden="false" customHeight="true" outlineLevel="0" collapsed="false">
      <c r="A362" s="10" t="s">
        <v>890</v>
      </c>
      <c r="B362" s="10" t="s">
        <v>45</v>
      </c>
      <c r="C362" s="8" t="s">
        <v>891</v>
      </c>
      <c r="D362" s="8" t="s">
        <v>892</v>
      </c>
      <c r="E362" s="11" t="n">
        <v>61</v>
      </c>
      <c r="F362" s="8" t="str">
        <f aca="false">IFERROR(INDEX(Section_Master!$D$2:$D$477,MATCH($E362,Section_Master!$A$2:$A$477,0))&amp;"","")</f>
        <v>Same as abetment for offences punishable with death, life or rigorous imprisonment of 2 years or more; otherwise up to 6 months, or fine, or both [s.61]</v>
      </c>
      <c r="G362" s="10" t="str">
        <f aca="false">IFERROR(INDEX(Section_Master!$E$2:$E$477,MATCH($E362,Section_Master!$A$2:$A$477,0))&amp;"","")</f>
        <v>Same as underlying offence</v>
      </c>
      <c r="H362" s="10" t="str">
        <f aca="false">IFERROR(INDEX(Section_Master!$F$2:$F$477,MATCH($E362,Section_Master!$A$2:$A$477,0))&amp;"","")</f>
        <v>Same as underlying offence</v>
      </c>
      <c r="I362" s="10" t="str">
        <f aca="false">IFERROR(INDEX(Section_Master!$G$2:$G$477,MATCH($E362,Section_Master!$A$2:$A$477,0))&amp;"","")</f>
        <v>Same as underlying offence</v>
      </c>
      <c r="J362" s="10" t="s">
        <v>48</v>
      </c>
      <c r="K362" s="8" t="s">
        <v>893</v>
      </c>
    </row>
    <row r="363" customFormat="false" ht="45.75" hidden="false" customHeight="true" outlineLevel="0" collapsed="false">
      <c r="A363" s="10" t="s">
        <v>894</v>
      </c>
      <c r="B363" s="10" t="s">
        <v>45</v>
      </c>
      <c r="C363" s="8" t="s">
        <v>891</v>
      </c>
      <c r="D363" s="8" t="s">
        <v>895</v>
      </c>
      <c r="E363" s="11" t="n">
        <v>61</v>
      </c>
      <c r="F363" s="8" t="str">
        <f aca="false">IFERROR(INDEX(Section_Master!$D$2:$D$477,MATCH($E363,Section_Master!$A$2:$A$477,0))&amp;"","")</f>
        <v>Same as abetment for offences punishable with death, life or rigorous imprisonment of 2 years or more; otherwise up to 6 months, or fine, or both [s.61]</v>
      </c>
      <c r="G363" s="10" t="str">
        <f aca="false">IFERROR(INDEX(Section_Master!$E$2:$E$477,MATCH($E363,Section_Master!$A$2:$A$477,0))&amp;"","")</f>
        <v>Same as underlying offence</v>
      </c>
      <c r="H363" s="10" t="str">
        <f aca="false">IFERROR(INDEX(Section_Master!$F$2:$F$477,MATCH($E363,Section_Master!$A$2:$A$477,0))&amp;"","")</f>
        <v>Same as underlying offence</v>
      </c>
      <c r="I363" s="10" t="str">
        <f aca="false">IFERROR(INDEX(Section_Master!$G$2:$G$477,MATCH($E363,Section_Master!$A$2:$A$477,0))&amp;"","")</f>
        <v>Same as underlying offence</v>
      </c>
      <c r="J363" s="10" t="s">
        <v>52</v>
      </c>
      <c r="K363" s="8" t="s">
        <v>893</v>
      </c>
    </row>
    <row r="364" customFormat="false" ht="23.25" hidden="false" customHeight="true" outlineLevel="0" collapsed="false">
      <c r="A364" s="10" t="s">
        <v>896</v>
      </c>
      <c r="B364" s="10" t="s">
        <v>45</v>
      </c>
      <c r="C364" s="8" t="s">
        <v>891</v>
      </c>
      <c r="D364" s="8" t="s">
        <v>897</v>
      </c>
      <c r="E364" s="11" t="n">
        <v>61</v>
      </c>
      <c r="F364" s="8" t="str">
        <f aca="false">IFERROR(INDEX(Section_Master!$D$2:$D$477,MATCH($E364,Section_Master!$A$2:$A$477,0))&amp;"","")</f>
        <v>Same as abetment for offences punishable with death, life or rigorous imprisonment of 2 years or more; otherwise up to 6 months, or fine, or both [s.61]</v>
      </c>
      <c r="G364" s="10" t="str">
        <f aca="false">IFERROR(INDEX(Section_Master!$E$2:$E$477,MATCH($E364,Section_Master!$A$2:$A$477,0))&amp;"","")</f>
        <v>Same as underlying offence</v>
      </c>
      <c r="H364" s="10" t="str">
        <f aca="false">IFERROR(INDEX(Section_Master!$F$2:$F$477,MATCH($E364,Section_Master!$A$2:$A$477,0))&amp;"","")</f>
        <v>Same as underlying offence</v>
      </c>
      <c r="I364" s="10" t="str">
        <f aca="false">IFERROR(INDEX(Section_Master!$G$2:$G$477,MATCH($E364,Section_Master!$A$2:$A$477,0))&amp;"","")</f>
        <v>Same as underlying offence</v>
      </c>
      <c r="J364" s="10" t="s">
        <v>55</v>
      </c>
      <c r="K364" s="8" t="s">
        <v>893</v>
      </c>
    </row>
    <row r="365" customFormat="false" ht="34.5" hidden="false" customHeight="true" outlineLevel="0" collapsed="false">
      <c r="A365" s="10" t="s">
        <v>898</v>
      </c>
      <c r="B365" s="10" t="s">
        <v>45</v>
      </c>
      <c r="C365" s="8" t="s">
        <v>891</v>
      </c>
      <c r="D365" s="8" t="s">
        <v>899</v>
      </c>
      <c r="E365" s="11" t="n">
        <v>61</v>
      </c>
      <c r="F365" s="8" t="str">
        <f aca="false">IFERROR(INDEX(Section_Master!$D$2:$D$477,MATCH($E365,Section_Master!$A$2:$A$477,0))&amp;"","")</f>
        <v>Same as abetment for offences punishable with death, life or rigorous imprisonment of 2 years or more; otherwise up to 6 months, or fine, or both [s.61]</v>
      </c>
      <c r="G365" s="10" t="str">
        <f aca="false">IFERROR(INDEX(Section_Master!$E$2:$E$477,MATCH($E365,Section_Master!$A$2:$A$477,0))&amp;"","")</f>
        <v>Same as underlying offence</v>
      </c>
      <c r="H365" s="10" t="str">
        <f aca="false">IFERROR(INDEX(Section_Master!$F$2:$F$477,MATCH($E365,Section_Master!$A$2:$A$477,0))&amp;"","")</f>
        <v>Same as underlying offence</v>
      </c>
      <c r="I365" s="10" t="str">
        <f aca="false">IFERROR(INDEX(Section_Master!$G$2:$G$477,MATCH($E365,Section_Master!$A$2:$A$477,0))&amp;"","")</f>
        <v>Same as underlying offence</v>
      </c>
      <c r="J365" s="10" t="s">
        <v>58</v>
      </c>
      <c r="K365" s="8" t="s">
        <v>893</v>
      </c>
    </row>
    <row r="366" customFormat="false" ht="34.5" hidden="false" customHeight="true" outlineLevel="0" collapsed="false">
      <c r="A366" s="10" t="s">
        <v>900</v>
      </c>
      <c r="B366" s="10" t="s">
        <v>45</v>
      </c>
      <c r="C366" s="8" t="s">
        <v>891</v>
      </c>
      <c r="D366" s="8" t="s">
        <v>901</v>
      </c>
      <c r="E366" s="11" t="n">
        <v>61</v>
      </c>
      <c r="F366" s="8" t="str">
        <f aca="false">IFERROR(INDEX(Section_Master!$D$2:$D$477,MATCH($E366,Section_Master!$A$2:$A$477,0))&amp;"","")</f>
        <v>Same as abetment for offences punishable with death, life or rigorous imprisonment of 2 years or more; otherwise up to 6 months, or fine, or both [s.61]</v>
      </c>
      <c r="G366" s="10" t="str">
        <f aca="false">IFERROR(INDEX(Section_Master!$E$2:$E$477,MATCH($E366,Section_Master!$A$2:$A$477,0))&amp;"","")</f>
        <v>Same as underlying offence</v>
      </c>
      <c r="H366" s="10" t="str">
        <f aca="false">IFERROR(INDEX(Section_Master!$F$2:$F$477,MATCH($E366,Section_Master!$A$2:$A$477,0))&amp;"","")</f>
        <v>Same as underlying offence</v>
      </c>
      <c r="I366" s="10" t="str">
        <f aca="false">IFERROR(INDEX(Section_Master!$G$2:$G$477,MATCH($E366,Section_Master!$A$2:$A$477,0))&amp;"","")</f>
        <v>Same as underlying offence</v>
      </c>
      <c r="J366" s="10" t="s">
        <v>61</v>
      </c>
      <c r="K366" s="8" t="s">
        <v>893</v>
      </c>
    </row>
    <row r="367" customFormat="false" ht="34.5" hidden="false" customHeight="true" outlineLevel="0" collapsed="false">
      <c r="A367" s="10" t="s">
        <v>902</v>
      </c>
      <c r="B367" s="10" t="s">
        <v>45</v>
      </c>
      <c r="C367" s="8" t="s">
        <v>891</v>
      </c>
      <c r="D367" s="8" t="s">
        <v>903</v>
      </c>
      <c r="E367" s="11" t="n">
        <v>61</v>
      </c>
      <c r="F367" s="8" t="str">
        <f aca="false">IFERROR(INDEX(Section_Master!$D$2:$D$477,MATCH($E367,Section_Master!$A$2:$A$477,0))&amp;"","")</f>
        <v>Same as abetment for offences punishable with death, life or rigorous imprisonment of 2 years or more; otherwise up to 6 months, or fine, or both [s.61]</v>
      </c>
      <c r="G367" s="10" t="str">
        <f aca="false">IFERROR(INDEX(Section_Master!$E$2:$E$477,MATCH($E367,Section_Master!$A$2:$A$477,0))&amp;"","")</f>
        <v>Same as underlying offence</v>
      </c>
      <c r="H367" s="10" t="str">
        <f aca="false">IFERROR(INDEX(Section_Master!$F$2:$F$477,MATCH($E367,Section_Master!$A$2:$A$477,0))&amp;"","")</f>
        <v>Same as underlying offence</v>
      </c>
      <c r="I367" s="10" t="str">
        <f aca="false">IFERROR(INDEX(Section_Master!$G$2:$G$477,MATCH($E367,Section_Master!$A$2:$A$477,0))&amp;"","")</f>
        <v>Same as underlying offence</v>
      </c>
      <c r="J367" s="10" t="s">
        <v>64</v>
      </c>
      <c r="K367" s="8" t="s">
        <v>893</v>
      </c>
    </row>
    <row r="368" customFormat="false" ht="34.5" hidden="false" customHeight="true" outlineLevel="0" collapsed="false">
      <c r="A368" s="10" t="s">
        <v>904</v>
      </c>
      <c r="B368" s="10" t="s">
        <v>45</v>
      </c>
      <c r="C368" s="8" t="s">
        <v>905</v>
      </c>
      <c r="D368" s="8" t="s">
        <v>906</v>
      </c>
      <c r="E368" s="11" t="n">
        <v>62</v>
      </c>
      <c r="F368" s="8" t="str">
        <f aca="false">IFERROR(INDEX(Section_Master!$D$2:$D$477,MATCH($E368,Section_Master!$A$2:$A$477,0))&amp;"","")</f>
        <v>Imprisonment up to half of the longest term for the offence attempted, or fine, or both [s.62]</v>
      </c>
      <c r="G368" s="10" t="str">
        <f aca="false">IFERROR(INDEX(Section_Master!$E$2:$E$477,MATCH($E368,Section_Master!$A$2:$A$477,0))&amp;"","")</f>
        <v>Same as underlying offence</v>
      </c>
      <c r="H368" s="10" t="str">
        <f aca="false">IFERROR(INDEX(Section_Master!$F$2:$F$477,MATCH($E368,Section_Master!$A$2:$A$477,0))&amp;"","")</f>
        <v>Same as underlying offence</v>
      </c>
      <c r="I368" s="10" t="str">
        <f aca="false">IFERROR(INDEX(Section_Master!$G$2:$G$477,MATCH($E368,Section_Master!$A$2:$A$477,0))&amp;"","")</f>
        <v>Same as underlying offence</v>
      </c>
      <c r="J368" s="10" t="s">
        <v>48</v>
      </c>
      <c r="K368" s="8" t="s">
        <v>907</v>
      </c>
    </row>
    <row r="369" customFormat="false" ht="45.75" hidden="false" customHeight="true" outlineLevel="0" collapsed="false">
      <c r="A369" s="10" t="s">
        <v>908</v>
      </c>
      <c r="B369" s="10" t="s">
        <v>45</v>
      </c>
      <c r="C369" s="8" t="s">
        <v>905</v>
      </c>
      <c r="D369" s="8" t="s">
        <v>909</v>
      </c>
      <c r="E369" s="11" t="n">
        <v>62</v>
      </c>
      <c r="F369" s="8" t="str">
        <f aca="false">IFERROR(INDEX(Section_Master!$D$2:$D$477,MATCH($E369,Section_Master!$A$2:$A$477,0))&amp;"","")</f>
        <v>Imprisonment up to half of the longest term for the offence attempted, or fine, or both [s.62]</v>
      </c>
      <c r="G369" s="10" t="str">
        <f aca="false">IFERROR(INDEX(Section_Master!$E$2:$E$477,MATCH($E369,Section_Master!$A$2:$A$477,0))&amp;"","")</f>
        <v>Same as underlying offence</v>
      </c>
      <c r="H369" s="10" t="str">
        <f aca="false">IFERROR(INDEX(Section_Master!$F$2:$F$477,MATCH($E369,Section_Master!$A$2:$A$477,0))&amp;"","")</f>
        <v>Same as underlying offence</v>
      </c>
      <c r="I369" s="10" t="str">
        <f aca="false">IFERROR(INDEX(Section_Master!$G$2:$G$477,MATCH($E369,Section_Master!$A$2:$A$477,0))&amp;"","")</f>
        <v>Same as underlying offence</v>
      </c>
      <c r="J369" s="10" t="s">
        <v>52</v>
      </c>
      <c r="K369" s="8" t="s">
        <v>907</v>
      </c>
    </row>
    <row r="370" customFormat="false" ht="34.5" hidden="false" customHeight="true" outlineLevel="0" collapsed="false">
      <c r="A370" s="10" t="s">
        <v>910</v>
      </c>
      <c r="B370" s="10" t="s">
        <v>45</v>
      </c>
      <c r="C370" s="8" t="s">
        <v>905</v>
      </c>
      <c r="D370" s="8" t="s">
        <v>911</v>
      </c>
      <c r="E370" s="11" t="n">
        <v>62</v>
      </c>
      <c r="F370" s="8" t="str">
        <f aca="false">IFERROR(INDEX(Section_Master!$D$2:$D$477,MATCH($E370,Section_Master!$A$2:$A$477,0))&amp;"","")</f>
        <v>Imprisonment up to half of the longest term for the offence attempted, or fine, or both [s.62]</v>
      </c>
      <c r="G370" s="10" t="str">
        <f aca="false">IFERROR(INDEX(Section_Master!$E$2:$E$477,MATCH($E370,Section_Master!$A$2:$A$477,0))&amp;"","")</f>
        <v>Same as underlying offence</v>
      </c>
      <c r="H370" s="10" t="str">
        <f aca="false">IFERROR(INDEX(Section_Master!$F$2:$F$477,MATCH($E370,Section_Master!$A$2:$A$477,0))&amp;"","")</f>
        <v>Same as underlying offence</v>
      </c>
      <c r="I370" s="10" t="str">
        <f aca="false">IFERROR(INDEX(Section_Master!$G$2:$G$477,MATCH($E370,Section_Master!$A$2:$A$477,0))&amp;"","")</f>
        <v>Same as underlying offence</v>
      </c>
      <c r="J370" s="10" t="s">
        <v>55</v>
      </c>
      <c r="K370" s="8" t="s">
        <v>907</v>
      </c>
    </row>
    <row r="371" customFormat="false" ht="34.5" hidden="false" customHeight="true" outlineLevel="0" collapsed="false">
      <c r="A371" s="10" t="s">
        <v>912</v>
      </c>
      <c r="B371" s="10" t="s">
        <v>45</v>
      </c>
      <c r="C371" s="8" t="s">
        <v>905</v>
      </c>
      <c r="D371" s="8" t="s">
        <v>913</v>
      </c>
      <c r="E371" s="11" t="n">
        <v>62</v>
      </c>
      <c r="F371" s="8" t="str">
        <f aca="false">IFERROR(INDEX(Section_Master!$D$2:$D$477,MATCH($E371,Section_Master!$A$2:$A$477,0))&amp;"","")</f>
        <v>Imprisonment up to half of the longest term for the offence attempted, or fine, or both [s.62]</v>
      </c>
      <c r="G371" s="10" t="str">
        <f aca="false">IFERROR(INDEX(Section_Master!$E$2:$E$477,MATCH($E371,Section_Master!$A$2:$A$477,0))&amp;"","")</f>
        <v>Same as underlying offence</v>
      </c>
      <c r="H371" s="10" t="str">
        <f aca="false">IFERROR(INDEX(Section_Master!$F$2:$F$477,MATCH($E371,Section_Master!$A$2:$A$477,0))&amp;"","")</f>
        <v>Same as underlying offence</v>
      </c>
      <c r="I371" s="10" t="str">
        <f aca="false">IFERROR(INDEX(Section_Master!$G$2:$G$477,MATCH($E371,Section_Master!$A$2:$A$477,0))&amp;"","")</f>
        <v>Same as underlying offence</v>
      </c>
      <c r="J371" s="10" t="s">
        <v>58</v>
      </c>
      <c r="K371" s="8" t="s">
        <v>907</v>
      </c>
    </row>
    <row r="372" customFormat="false" ht="34.5" hidden="false" customHeight="true" outlineLevel="0" collapsed="false">
      <c r="A372" s="10" t="s">
        <v>914</v>
      </c>
      <c r="B372" s="10" t="s">
        <v>45</v>
      </c>
      <c r="C372" s="8" t="s">
        <v>905</v>
      </c>
      <c r="D372" s="8" t="s">
        <v>915</v>
      </c>
      <c r="E372" s="11" t="n">
        <v>62</v>
      </c>
      <c r="F372" s="8" t="str">
        <f aca="false">IFERROR(INDEX(Section_Master!$D$2:$D$477,MATCH($E372,Section_Master!$A$2:$A$477,0))&amp;"","")</f>
        <v>Imprisonment up to half of the longest term for the offence attempted, or fine, or both [s.62]</v>
      </c>
      <c r="G372" s="10" t="str">
        <f aca="false">IFERROR(INDEX(Section_Master!$E$2:$E$477,MATCH($E372,Section_Master!$A$2:$A$477,0))&amp;"","")</f>
        <v>Same as underlying offence</v>
      </c>
      <c r="H372" s="10" t="str">
        <f aca="false">IFERROR(INDEX(Section_Master!$F$2:$F$477,MATCH($E372,Section_Master!$A$2:$A$477,0))&amp;"","")</f>
        <v>Same as underlying offence</v>
      </c>
      <c r="I372" s="10" t="str">
        <f aca="false">IFERROR(INDEX(Section_Master!$G$2:$G$477,MATCH($E372,Section_Master!$A$2:$A$477,0))&amp;"","")</f>
        <v>Same as underlying offence</v>
      </c>
      <c r="J372" s="10" t="s">
        <v>61</v>
      </c>
      <c r="K372" s="8" t="s">
        <v>907</v>
      </c>
    </row>
    <row r="373" customFormat="false" ht="34.5" hidden="false" customHeight="true" outlineLevel="0" collapsed="false">
      <c r="A373" s="10" t="s">
        <v>916</v>
      </c>
      <c r="B373" s="10" t="s">
        <v>45</v>
      </c>
      <c r="C373" s="8" t="s">
        <v>905</v>
      </c>
      <c r="D373" s="8" t="s">
        <v>917</v>
      </c>
      <c r="E373" s="11" t="n">
        <v>62</v>
      </c>
      <c r="F373" s="8" t="str">
        <f aca="false">IFERROR(INDEX(Section_Master!$D$2:$D$477,MATCH($E373,Section_Master!$A$2:$A$477,0))&amp;"","")</f>
        <v>Imprisonment up to half of the longest term for the offence attempted, or fine, or both [s.62]</v>
      </c>
      <c r="G373" s="10" t="str">
        <f aca="false">IFERROR(INDEX(Section_Master!$E$2:$E$477,MATCH($E373,Section_Master!$A$2:$A$477,0))&amp;"","")</f>
        <v>Same as underlying offence</v>
      </c>
      <c r="H373" s="10" t="str">
        <f aca="false">IFERROR(INDEX(Section_Master!$F$2:$F$477,MATCH($E373,Section_Master!$A$2:$A$477,0))&amp;"","")</f>
        <v>Same as underlying offence</v>
      </c>
      <c r="I373" s="10" t="str">
        <f aca="false">IFERROR(INDEX(Section_Master!$G$2:$G$477,MATCH($E373,Section_Master!$A$2:$A$477,0))&amp;"","")</f>
        <v>Same as underlying offence</v>
      </c>
      <c r="J373" s="10" t="s">
        <v>64</v>
      </c>
      <c r="K373" s="8" t="s">
        <v>907</v>
      </c>
    </row>
    <row r="374" customFormat="false" ht="57" hidden="false" customHeight="true" outlineLevel="0" collapsed="false">
      <c r="A374" s="10" t="s">
        <v>918</v>
      </c>
      <c r="B374" s="10" t="s">
        <v>45</v>
      </c>
      <c r="C374" s="8" t="s">
        <v>919</v>
      </c>
      <c r="D374" s="8" t="s">
        <v>920</v>
      </c>
      <c r="E374" s="11" t="n">
        <v>63</v>
      </c>
      <c r="F374" s="8" t="str">
        <f aca="false">IFERROR(INDEX(Section_Master!$D$2:$D$477,MATCH($E374,Section_Master!$A$2:$A$477,0))&amp;"","")</f>
        <v>Not applicable - no offence or penalty defined here (definition, exception or general provision)</v>
      </c>
      <c r="G374" s="10" t="str">
        <f aca="false">IFERROR(INDEX(Section_Master!$E$2:$E$477,MATCH($E374,Section_Master!$A$2:$A$477,0))&amp;"","")</f>
        <v>N/A</v>
      </c>
      <c r="H374" s="10" t="str">
        <f aca="false">IFERROR(INDEX(Section_Master!$F$2:$F$477,MATCH($E374,Section_Master!$A$2:$A$477,0))&amp;"","")</f>
        <v>N/A</v>
      </c>
      <c r="I374" s="10" t="str">
        <f aca="false">IFERROR(INDEX(Section_Master!$G$2:$G$477,MATCH($E374,Section_Master!$A$2:$A$477,0))&amp;"","")</f>
        <v>N/A</v>
      </c>
      <c r="J374" s="10" t="s">
        <v>48</v>
      </c>
      <c r="K374" s="8" t="s">
        <v>921</v>
      </c>
    </row>
    <row r="375" customFormat="false" ht="45.75" hidden="false" customHeight="true" outlineLevel="0" collapsed="false">
      <c r="A375" s="10" t="s">
        <v>922</v>
      </c>
      <c r="B375" s="10" t="s">
        <v>45</v>
      </c>
      <c r="C375" s="8" t="s">
        <v>919</v>
      </c>
      <c r="D375" s="8" t="s">
        <v>923</v>
      </c>
      <c r="E375" s="11" t="n">
        <v>63</v>
      </c>
      <c r="F375" s="8" t="str">
        <f aca="false">IFERROR(INDEX(Section_Master!$D$2:$D$477,MATCH($E375,Section_Master!$A$2:$A$477,0))&amp;"","")</f>
        <v>Not applicable - no offence or penalty defined here (definition, exception or general provision)</v>
      </c>
      <c r="G375" s="10" t="str">
        <f aca="false">IFERROR(INDEX(Section_Master!$E$2:$E$477,MATCH($E375,Section_Master!$A$2:$A$477,0))&amp;"","")</f>
        <v>N/A</v>
      </c>
      <c r="H375" s="10" t="str">
        <f aca="false">IFERROR(INDEX(Section_Master!$F$2:$F$477,MATCH($E375,Section_Master!$A$2:$A$477,0))&amp;"","")</f>
        <v>N/A</v>
      </c>
      <c r="I375" s="10" t="str">
        <f aca="false">IFERROR(INDEX(Section_Master!$G$2:$G$477,MATCH($E375,Section_Master!$A$2:$A$477,0))&amp;"","")</f>
        <v>N/A</v>
      </c>
      <c r="J375" s="10" t="s">
        <v>52</v>
      </c>
      <c r="K375" s="8" t="s">
        <v>921</v>
      </c>
    </row>
    <row r="376" customFormat="false" ht="23.25" hidden="false" customHeight="true" outlineLevel="0" collapsed="false">
      <c r="A376" s="10" t="s">
        <v>924</v>
      </c>
      <c r="B376" s="10" t="s">
        <v>45</v>
      </c>
      <c r="C376" s="8" t="s">
        <v>919</v>
      </c>
      <c r="D376" s="8" t="s">
        <v>925</v>
      </c>
      <c r="E376" s="11" t="n">
        <v>63</v>
      </c>
      <c r="F376" s="8" t="str">
        <f aca="false">IFERROR(INDEX(Section_Master!$D$2:$D$477,MATCH($E376,Section_Master!$A$2:$A$477,0))&amp;"","")</f>
        <v>Not applicable - no offence or penalty defined here (definition, exception or general provision)</v>
      </c>
      <c r="G376" s="10" t="str">
        <f aca="false">IFERROR(INDEX(Section_Master!$E$2:$E$477,MATCH($E376,Section_Master!$A$2:$A$477,0))&amp;"","")</f>
        <v>N/A</v>
      </c>
      <c r="H376" s="10" t="str">
        <f aca="false">IFERROR(INDEX(Section_Master!$F$2:$F$477,MATCH($E376,Section_Master!$A$2:$A$477,0))&amp;"","")</f>
        <v>N/A</v>
      </c>
      <c r="I376" s="10" t="str">
        <f aca="false">IFERROR(INDEX(Section_Master!$G$2:$G$477,MATCH($E376,Section_Master!$A$2:$A$477,0))&amp;"","")</f>
        <v>N/A</v>
      </c>
      <c r="J376" s="10" t="s">
        <v>55</v>
      </c>
      <c r="K376" s="8" t="s">
        <v>921</v>
      </c>
    </row>
    <row r="377" customFormat="false" ht="34.5" hidden="false" customHeight="true" outlineLevel="0" collapsed="false">
      <c r="A377" s="10" t="s">
        <v>926</v>
      </c>
      <c r="B377" s="10" t="s">
        <v>45</v>
      </c>
      <c r="C377" s="8" t="s">
        <v>919</v>
      </c>
      <c r="D377" s="8" t="s">
        <v>927</v>
      </c>
      <c r="E377" s="11" t="n">
        <v>63</v>
      </c>
      <c r="F377" s="8" t="str">
        <f aca="false">IFERROR(INDEX(Section_Master!$D$2:$D$477,MATCH($E377,Section_Master!$A$2:$A$477,0))&amp;"","")</f>
        <v>Not applicable - no offence or penalty defined here (definition, exception or general provision)</v>
      </c>
      <c r="G377" s="10" t="str">
        <f aca="false">IFERROR(INDEX(Section_Master!$E$2:$E$477,MATCH($E377,Section_Master!$A$2:$A$477,0))&amp;"","")</f>
        <v>N/A</v>
      </c>
      <c r="H377" s="10" t="str">
        <f aca="false">IFERROR(INDEX(Section_Master!$F$2:$F$477,MATCH($E377,Section_Master!$A$2:$A$477,0))&amp;"","")</f>
        <v>N/A</v>
      </c>
      <c r="I377" s="10" t="str">
        <f aca="false">IFERROR(INDEX(Section_Master!$G$2:$G$477,MATCH($E377,Section_Master!$A$2:$A$477,0))&amp;"","")</f>
        <v>N/A</v>
      </c>
      <c r="J377" s="10" t="s">
        <v>58</v>
      </c>
      <c r="K377" s="8" t="s">
        <v>921</v>
      </c>
    </row>
    <row r="378" customFormat="false" ht="34.5" hidden="false" customHeight="true" outlineLevel="0" collapsed="false">
      <c r="A378" s="10" t="s">
        <v>928</v>
      </c>
      <c r="B378" s="10" t="s">
        <v>45</v>
      </c>
      <c r="C378" s="8" t="s">
        <v>919</v>
      </c>
      <c r="D378" s="8" t="s">
        <v>929</v>
      </c>
      <c r="E378" s="11" t="n">
        <v>63</v>
      </c>
      <c r="F378" s="8" t="str">
        <f aca="false">IFERROR(INDEX(Section_Master!$D$2:$D$477,MATCH($E378,Section_Master!$A$2:$A$477,0))&amp;"","")</f>
        <v>Not applicable - no offence or penalty defined here (definition, exception or general provision)</v>
      </c>
      <c r="G378" s="10" t="str">
        <f aca="false">IFERROR(INDEX(Section_Master!$E$2:$E$477,MATCH($E378,Section_Master!$A$2:$A$477,0))&amp;"","")</f>
        <v>N/A</v>
      </c>
      <c r="H378" s="10" t="str">
        <f aca="false">IFERROR(INDEX(Section_Master!$F$2:$F$477,MATCH($E378,Section_Master!$A$2:$A$477,0))&amp;"","")</f>
        <v>N/A</v>
      </c>
      <c r="I378" s="10" t="str">
        <f aca="false">IFERROR(INDEX(Section_Master!$G$2:$G$477,MATCH($E378,Section_Master!$A$2:$A$477,0))&amp;"","")</f>
        <v>N/A</v>
      </c>
      <c r="J378" s="10" t="s">
        <v>61</v>
      </c>
      <c r="K378" s="8" t="s">
        <v>921</v>
      </c>
    </row>
    <row r="379" customFormat="false" ht="34.5" hidden="false" customHeight="true" outlineLevel="0" collapsed="false">
      <c r="A379" s="10" t="s">
        <v>930</v>
      </c>
      <c r="B379" s="10" t="s">
        <v>45</v>
      </c>
      <c r="C379" s="8" t="s">
        <v>919</v>
      </c>
      <c r="D379" s="8" t="s">
        <v>931</v>
      </c>
      <c r="E379" s="11" t="n">
        <v>63</v>
      </c>
      <c r="F379" s="8" t="str">
        <f aca="false">IFERROR(INDEX(Section_Master!$D$2:$D$477,MATCH($E379,Section_Master!$A$2:$A$477,0))&amp;"","")</f>
        <v>Not applicable - no offence or penalty defined here (definition, exception or general provision)</v>
      </c>
      <c r="G379" s="10" t="str">
        <f aca="false">IFERROR(INDEX(Section_Master!$E$2:$E$477,MATCH($E379,Section_Master!$A$2:$A$477,0))&amp;"","")</f>
        <v>N/A</v>
      </c>
      <c r="H379" s="10" t="str">
        <f aca="false">IFERROR(INDEX(Section_Master!$F$2:$F$477,MATCH($E379,Section_Master!$A$2:$A$477,0))&amp;"","")</f>
        <v>N/A</v>
      </c>
      <c r="I379" s="10" t="str">
        <f aca="false">IFERROR(INDEX(Section_Master!$G$2:$G$477,MATCH($E379,Section_Master!$A$2:$A$477,0))&amp;"","")</f>
        <v>N/A</v>
      </c>
      <c r="J379" s="10" t="s">
        <v>64</v>
      </c>
      <c r="K379" s="8" t="s">
        <v>921</v>
      </c>
    </row>
    <row r="380" customFormat="false" ht="34.5" hidden="false" customHeight="true" outlineLevel="0" collapsed="false">
      <c r="A380" s="10" t="s">
        <v>932</v>
      </c>
      <c r="B380" s="10" t="s">
        <v>45</v>
      </c>
      <c r="C380" s="8" t="s">
        <v>933</v>
      </c>
      <c r="D380" s="8" t="s">
        <v>934</v>
      </c>
      <c r="E380" s="11" t="n">
        <v>64</v>
      </c>
      <c r="F380" s="8" t="str">
        <f aca="false">IFERROR(INDEX(Section_Master!$D$2:$D$477,MATCH($E380,Section_Master!$A$2:$A$477,0))&amp;"","")</f>
        <v>Rigorous imprisonment not less than 10 years, may extend to life, and fine [s.64(1)]</v>
      </c>
      <c r="G380" s="10" t="str">
        <f aca="false">IFERROR(INDEX(Section_Master!$E$2:$E$477,MATCH($E380,Section_Master!$A$2:$A$477,0))&amp;"","")</f>
        <v>Yes</v>
      </c>
      <c r="H380" s="10" t="str">
        <f aca="false">IFERROR(INDEX(Section_Master!$F$2:$F$477,MATCH($E380,Section_Master!$A$2:$A$477,0))&amp;"","")</f>
        <v>No</v>
      </c>
      <c r="I380" s="10" t="str">
        <f aca="false">IFERROR(INDEX(Section_Master!$G$2:$G$477,MATCH($E380,Section_Master!$A$2:$A$477,0))&amp;"","")</f>
        <v>No</v>
      </c>
      <c r="J380" s="10" t="s">
        <v>48</v>
      </c>
      <c r="K380" s="8" t="s">
        <v>935</v>
      </c>
    </row>
    <row r="381" customFormat="false" ht="45.75" hidden="false" customHeight="true" outlineLevel="0" collapsed="false">
      <c r="A381" s="10" t="s">
        <v>936</v>
      </c>
      <c r="B381" s="10" t="s">
        <v>45</v>
      </c>
      <c r="C381" s="8" t="s">
        <v>933</v>
      </c>
      <c r="D381" s="8" t="s">
        <v>937</v>
      </c>
      <c r="E381" s="11" t="n">
        <v>64</v>
      </c>
      <c r="F381" s="8" t="str">
        <f aca="false">IFERROR(INDEX(Section_Master!$D$2:$D$477,MATCH($E381,Section_Master!$A$2:$A$477,0))&amp;"","")</f>
        <v>Rigorous imprisonment not less than 10 years, may extend to life, and fine [s.64(1)]</v>
      </c>
      <c r="G381" s="10" t="str">
        <f aca="false">IFERROR(INDEX(Section_Master!$E$2:$E$477,MATCH($E381,Section_Master!$A$2:$A$477,0))&amp;"","")</f>
        <v>Yes</v>
      </c>
      <c r="H381" s="10" t="str">
        <f aca="false">IFERROR(INDEX(Section_Master!$F$2:$F$477,MATCH($E381,Section_Master!$A$2:$A$477,0))&amp;"","")</f>
        <v>No</v>
      </c>
      <c r="I381" s="10" t="str">
        <f aca="false">IFERROR(INDEX(Section_Master!$G$2:$G$477,MATCH($E381,Section_Master!$A$2:$A$477,0))&amp;"","")</f>
        <v>No</v>
      </c>
      <c r="J381" s="10" t="s">
        <v>52</v>
      </c>
      <c r="K381" s="8" t="s">
        <v>935</v>
      </c>
    </row>
    <row r="382" customFormat="false" ht="45.75" hidden="false" customHeight="true" outlineLevel="0" collapsed="false">
      <c r="A382" s="10" t="s">
        <v>938</v>
      </c>
      <c r="B382" s="10" t="s">
        <v>45</v>
      </c>
      <c r="C382" s="8" t="s">
        <v>933</v>
      </c>
      <c r="D382" s="8" t="s">
        <v>939</v>
      </c>
      <c r="E382" s="11" t="n">
        <v>64</v>
      </c>
      <c r="F382" s="8" t="str">
        <f aca="false">IFERROR(INDEX(Section_Master!$D$2:$D$477,MATCH($E382,Section_Master!$A$2:$A$477,0))&amp;"","")</f>
        <v>Rigorous imprisonment not less than 10 years, may extend to life, and fine [s.64(1)]</v>
      </c>
      <c r="G382" s="10" t="str">
        <f aca="false">IFERROR(INDEX(Section_Master!$E$2:$E$477,MATCH($E382,Section_Master!$A$2:$A$477,0))&amp;"","")</f>
        <v>Yes</v>
      </c>
      <c r="H382" s="10" t="str">
        <f aca="false">IFERROR(INDEX(Section_Master!$F$2:$F$477,MATCH($E382,Section_Master!$A$2:$A$477,0))&amp;"","")</f>
        <v>No</v>
      </c>
      <c r="I382" s="10" t="str">
        <f aca="false">IFERROR(INDEX(Section_Master!$G$2:$G$477,MATCH($E382,Section_Master!$A$2:$A$477,0))&amp;"","")</f>
        <v>No</v>
      </c>
      <c r="J382" s="10" t="s">
        <v>55</v>
      </c>
      <c r="K382" s="8" t="s">
        <v>935</v>
      </c>
    </row>
    <row r="383" customFormat="false" ht="23.25" hidden="false" customHeight="true" outlineLevel="0" collapsed="false">
      <c r="A383" s="10" t="s">
        <v>940</v>
      </c>
      <c r="B383" s="10" t="s">
        <v>45</v>
      </c>
      <c r="C383" s="8" t="s">
        <v>933</v>
      </c>
      <c r="D383" s="8" t="s">
        <v>941</v>
      </c>
      <c r="E383" s="11" t="n">
        <v>64</v>
      </c>
      <c r="F383" s="8" t="str">
        <f aca="false">IFERROR(INDEX(Section_Master!$D$2:$D$477,MATCH($E383,Section_Master!$A$2:$A$477,0))&amp;"","")</f>
        <v>Rigorous imprisonment not less than 10 years, may extend to life, and fine [s.64(1)]</v>
      </c>
      <c r="G383" s="10" t="str">
        <f aca="false">IFERROR(INDEX(Section_Master!$E$2:$E$477,MATCH($E383,Section_Master!$A$2:$A$477,0))&amp;"","")</f>
        <v>Yes</v>
      </c>
      <c r="H383" s="10" t="str">
        <f aca="false">IFERROR(INDEX(Section_Master!$F$2:$F$477,MATCH($E383,Section_Master!$A$2:$A$477,0))&amp;"","")</f>
        <v>No</v>
      </c>
      <c r="I383" s="10" t="str">
        <f aca="false">IFERROR(INDEX(Section_Master!$G$2:$G$477,MATCH($E383,Section_Master!$A$2:$A$477,0))&amp;"","")</f>
        <v>No</v>
      </c>
      <c r="J383" s="10" t="s">
        <v>58</v>
      </c>
      <c r="K383" s="8" t="s">
        <v>935</v>
      </c>
    </row>
    <row r="384" customFormat="false" ht="34.5" hidden="false" customHeight="true" outlineLevel="0" collapsed="false">
      <c r="A384" s="10" t="s">
        <v>942</v>
      </c>
      <c r="B384" s="10" t="s">
        <v>45</v>
      </c>
      <c r="C384" s="8" t="s">
        <v>933</v>
      </c>
      <c r="D384" s="8" t="s">
        <v>943</v>
      </c>
      <c r="E384" s="11" t="n">
        <v>64</v>
      </c>
      <c r="F384" s="8" t="str">
        <f aca="false">IFERROR(INDEX(Section_Master!$D$2:$D$477,MATCH($E384,Section_Master!$A$2:$A$477,0))&amp;"","")</f>
        <v>Rigorous imprisonment not less than 10 years, may extend to life, and fine [s.64(1)]</v>
      </c>
      <c r="G384" s="10" t="str">
        <f aca="false">IFERROR(INDEX(Section_Master!$E$2:$E$477,MATCH($E384,Section_Master!$A$2:$A$477,0))&amp;"","")</f>
        <v>Yes</v>
      </c>
      <c r="H384" s="10" t="str">
        <f aca="false">IFERROR(INDEX(Section_Master!$F$2:$F$477,MATCH($E384,Section_Master!$A$2:$A$477,0))&amp;"","")</f>
        <v>No</v>
      </c>
      <c r="I384" s="10" t="str">
        <f aca="false">IFERROR(INDEX(Section_Master!$G$2:$G$477,MATCH($E384,Section_Master!$A$2:$A$477,0))&amp;"","")</f>
        <v>No</v>
      </c>
      <c r="J384" s="10" t="s">
        <v>61</v>
      </c>
      <c r="K384" s="8" t="s">
        <v>935</v>
      </c>
    </row>
    <row r="385" customFormat="false" ht="34.5" hidden="false" customHeight="true" outlineLevel="0" collapsed="false">
      <c r="A385" s="10" t="s">
        <v>944</v>
      </c>
      <c r="B385" s="10" t="s">
        <v>45</v>
      </c>
      <c r="C385" s="8" t="s">
        <v>933</v>
      </c>
      <c r="D385" s="8" t="s">
        <v>945</v>
      </c>
      <c r="E385" s="11" t="n">
        <v>64</v>
      </c>
      <c r="F385" s="8" t="str">
        <f aca="false">IFERROR(INDEX(Section_Master!$D$2:$D$477,MATCH($E385,Section_Master!$A$2:$A$477,0))&amp;"","")</f>
        <v>Rigorous imprisonment not less than 10 years, may extend to life, and fine [s.64(1)]</v>
      </c>
      <c r="G385" s="10" t="str">
        <f aca="false">IFERROR(INDEX(Section_Master!$E$2:$E$477,MATCH($E385,Section_Master!$A$2:$A$477,0))&amp;"","")</f>
        <v>Yes</v>
      </c>
      <c r="H385" s="10" t="str">
        <f aca="false">IFERROR(INDEX(Section_Master!$F$2:$F$477,MATCH($E385,Section_Master!$A$2:$A$477,0))&amp;"","")</f>
        <v>No</v>
      </c>
      <c r="I385" s="10" t="str">
        <f aca="false">IFERROR(INDEX(Section_Master!$G$2:$G$477,MATCH($E385,Section_Master!$A$2:$A$477,0))&amp;"","")</f>
        <v>No</v>
      </c>
      <c r="J385" s="10" t="s">
        <v>64</v>
      </c>
      <c r="K385" s="8" t="s">
        <v>935</v>
      </c>
    </row>
    <row r="386" customFormat="false" ht="34.5" hidden="false" customHeight="true" outlineLevel="0" collapsed="false">
      <c r="A386" s="10" t="s">
        <v>946</v>
      </c>
      <c r="B386" s="10" t="s">
        <v>45</v>
      </c>
      <c r="C386" s="8" t="s">
        <v>947</v>
      </c>
      <c r="D386" s="8" t="s">
        <v>948</v>
      </c>
      <c r="E386" s="11" t="n">
        <v>65</v>
      </c>
      <c r="F386" s="8" t="str">
        <f aca="false">IFERROR(INDEX(Section_Master!$D$2:$D$477,MATCH($E386,Section_Master!$A$2:$A$477,0))&amp;"","")</f>
        <v>Rigorous imprisonment not less than 20 years, may extend to life (remainder of natural life), and fine; death if victim is under 12 [s.65]</v>
      </c>
      <c r="G386" s="10" t="str">
        <f aca="false">IFERROR(INDEX(Section_Master!$E$2:$E$477,MATCH($E386,Section_Master!$A$2:$A$477,0))&amp;"","")</f>
        <v>Yes</v>
      </c>
      <c r="H386" s="10" t="str">
        <f aca="false">IFERROR(INDEX(Section_Master!$F$2:$F$477,MATCH($E386,Section_Master!$A$2:$A$477,0))&amp;"","")</f>
        <v>No</v>
      </c>
      <c r="I386" s="10" t="str">
        <f aca="false">IFERROR(INDEX(Section_Master!$G$2:$G$477,MATCH($E386,Section_Master!$A$2:$A$477,0))&amp;"","")</f>
        <v>No</v>
      </c>
      <c r="J386" s="10" t="s">
        <v>48</v>
      </c>
      <c r="K386" s="8" t="s">
        <v>949</v>
      </c>
    </row>
    <row r="387" customFormat="false" ht="34.5" hidden="false" customHeight="true" outlineLevel="0" collapsed="false">
      <c r="A387" s="10" t="s">
        <v>950</v>
      </c>
      <c r="B387" s="10" t="s">
        <v>45</v>
      </c>
      <c r="C387" s="8" t="s">
        <v>947</v>
      </c>
      <c r="D387" s="8" t="s">
        <v>951</v>
      </c>
      <c r="E387" s="11" t="n">
        <v>65</v>
      </c>
      <c r="F387" s="8" t="str">
        <f aca="false">IFERROR(INDEX(Section_Master!$D$2:$D$477,MATCH($E387,Section_Master!$A$2:$A$477,0))&amp;"","")</f>
        <v>Rigorous imprisonment not less than 20 years, may extend to life (remainder of natural life), and fine; death if victim is under 12 [s.65]</v>
      </c>
      <c r="G387" s="10" t="str">
        <f aca="false">IFERROR(INDEX(Section_Master!$E$2:$E$477,MATCH($E387,Section_Master!$A$2:$A$477,0))&amp;"","")</f>
        <v>Yes</v>
      </c>
      <c r="H387" s="10" t="str">
        <f aca="false">IFERROR(INDEX(Section_Master!$F$2:$F$477,MATCH($E387,Section_Master!$A$2:$A$477,0))&amp;"","")</f>
        <v>No</v>
      </c>
      <c r="I387" s="10" t="str">
        <f aca="false">IFERROR(INDEX(Section_Master!$G$2:$G$477,MATCH($E387,Section_Master!$A$2:$A$477,0))&amp;"","")</f>
        <v>No</v>
      </c>
      <c r="J387" s="10" t="s">
        <v>52</v>
      </c>
      <c r="K387" s="8" t="s">
        <v>949</v>
      </c>
    </row>
    <row r="388" customFormat="false" ht="23.25" hidden="false" customHeight="true" outlineLevel="0" collapsed="false">
      <c r="A388" s="10" t="s">
        <v>952</v>
      </c>
      <c r="B388" s="10" t="s">
        <v>45</v>
      </c>
      <c r="C388" s="8" t="s">
        <v>947</v>
      </c>
      <c r="D388" s="8" t="s">
        <v>953</v>
      </c>
      <c r="E388" s="11" t="n">
        <v>65</v>
      </c>
      <c r="F388" s="8" t="str">
        <f aca="false">IFERROR(INDEX(Section_Master!$D$2:$D$477,MATCH($E388,Section_Master!$A$2:$A$477,0))&amp;"","")</f>
        <v>Rigorous imprisonment not less than 20 years, may extend to life (remainder of natural life), and fine; death if victim is under 12 [s.65]</v>
      </c>
      <c r="G388" s="10" t="str">
        <f aca="false">IFERROR(INDEX(Section_Master!$E$2:$E$477,MATCH($E388,Section_Master!$A$2:$A$477,0))&amp;"","")</f>
        <v>Yes</v>
      </c>
      <c r="H388" s="10" t="str">
        <f aca="false">IFERROR(INDEX(Section_Master!$F$2:$F$477,MATCH($E388,Section_Master!$A$2:$A$477,0))&amp;"","")</f>
        <v>No</v>
      </c>
      <c r="I388" s="10" t="str">
        <f aca="false">IFERROR(INDEX(Section_Master!$G$2:$G$477,MATCH($E388,Section_Master!$A$2:$A$477,0))&amp;"","")</f>
        <v>No</v>
      </c>
      <c r="J388" s="10" t="s">
        <v>55</v>
      </c>
      <c r="K388" s="8" t="s">
        <v>949</v>
      </c>
    </row>
    <row r="389" customFormat="false" ht="34.5" hidden="false" customHeight="true" outlineLevel="0" collapsed="false">
      <c r="A389" s="10" t="s">
        <v>954</v>
      </c>
      <c r="B389" s="10" t="s">
        <v>45</v>
      </c>
      <c r="C389" s="8" t="s">
        <v>947</v>
      </c>
      <c r="D389" s="8" t="s">
        <v>955</v>
      </c>
      <c r="E389" s="11" t="n">
        <v>65</v>
      </c>
      <c r="F389" s="8" t="str">
        <f aca="false">IFERROR(INDEX(Section_Master!$D$2:$D$477,MATCH($E389,Section_Master!$A$2:$A$477,0))&amp;"","")</f>
        <v>Rigorous imprisonment not less than 20 years, may extend to life (remainder of natural life), and fine; death if victim is under 12 [s.65]</v>
      </c>
      <c r="G389" s="10" t="str">
        <f aca="false">IFERROR(INDEX(Section_Master!$E$2:$E$477,MATCH($E389,Section_Master!$A$2:$A$477,0))&amp;"","")</f>
        <v>Yes</v>
      </c>
      <c r="H389" s="10" t="str">
        <f aca="false">IFERROR(INDEX(Section_Master!$F$2:$F$477,MATCH($E389,Section_Master!$A$2:$A$477,0))&amp;"","")</f>
        <v>No</v>
      </c>
      <c r="I389" s="10" t="str">
        <f aca="false">IFERROR(INDEX(Section_Master!$G$2:$G$477,MATCH($E389,Section_Master!$A$2:$A$477,0))&amp;"","")</f>
        <v>No</v>
      </c>
      <c r="J389" s="10" t="s">
        <v>58</v>
      </c>
      <c r="K389" s="8" t="s">
        <v>949</v>
      </c>
    </row>
    <row r="390" customFormat="false" ht="34.5" hidden="false" customHeight="true" outlineLevel="0" collapsed="false">
      <c r="A390" s="10" t="s">
        <v>956</v>
      </c>
      <c r="B390" s="10" t="s">
        <v>45</v>
      </c>
      <c r="C390" s="8" t="s">
        <v>947</v>
      </c>
      <c r="D390" s="8" t="s">
        <v>957</v>
      </c>
      <c r="E390" s="11" t="n">
        <v>65</v>
      </c>
      <c r="F390" s="8" t="str">
        <f aca="false">IFERROR(INDEX(Section_Master!$D$2:$D$477,MATCH($E390,Section_Master!$A$2:$A$477,0))&amp;"","")</f>
        <v>Rigorous imprisonment not less than 20 years, may extend to life (remainder of natural life), and fine; death if victim is under 12 [s.65]</v>
      </c>
      <c r="G390" s="10" t="str">
        <f aca="false">IFERROR(INDEX(Section_Master!$E$2:$E$477,MATCH($E390,Section_Master!$A$2:$A$477,0))&amp;"","")</f>
        <v>Yes</v>
      </c>
      <c r="H390" s="10" t="str">
        <f aca="false">IFERROR(INDEX(Section_Master!$F$2:$F$477,MATCH($E390,Section_Master!$A$2:$A$477,0))&amp;"","")</f>
        <v>No</v>
      </c>
      <c r="I390" s="10" t="str">
        <f aca="false">IFERROR(INDEX(Section_Master!$G$2:$G$477,MATCH($E390,Section_Master!$A$2:$A$477,0))&amp;"","")</f>
        <v>No</v>
      </c>
      <c r="J390" s="10" t="s">
        <v>61</v>
      </c>
      <c r="K390" s="8" t="s">
        <v>949</v>
      </c>
    </row>
    <row r="391" customFormat="false" ht="34.5" hidden="false" customHeight="true" outlineLevel="0" collapsed="false">
      <c r="A391" s="10" t="s">
        <v>958</v>
      </c>
      <c r="B391" s="10" t="s">
        <v>45</v>
      </c>
      <c r="C391" s="8" t="s">
        <v>947</v>
      </c>
      <c r="D391" s="8" t="s">
        <v>959</v>
      </c>
      <c r="E391" s="11" t="n">
        <v>65</v>
      </c>
      <c r="F391" s="8" t="str">
        <f aca="false">IFERROR(INDEX(Section_Master!$D$2:$D$477,MATCH($E391,Section_Master!$A$2:$A$477,0))&amp;"","")</f>
        <v>Rigorous imprisonment not less than 20 years, may extend to life (remainder of natural life), and fine; death if victim is under 12 [s.65]</v>
      </c>
      <c r="G391" s="10" t="str">
        <f aca="false">IFERROR(INDEX(Section_Master!$E$2:$E$477,MATCH($E391,Section_Master!$A$2:$A$477,0))&amp;"","")</f>
        <v>Yes</v>
      </c>
      <c r="H391" s="10" t="str">
        <f aca="false">IFERROR(INDEX(Section_Master!$F$2:$F$477,MATCH($E391,Section_Master!$A$2:$A$477,0))&amp;"","")</f>
        <v>No</v>
      </c>
      <c r="I391" s="10" t="str">
        <f aca="false">IFERROR(INDEX(Section_Master!$G$2:$G$477,MATCH($E391,Section_Master!$A$2:$A$477,0))&amp;"","")</f>
        <v>No</v>
      </c>
      <c r="J391" s="10" t="s">
        <v>64</v>
      </c>
      <c r="K391" s="8" t="s">
        <v>949</v>
      </c>
    </row>
    <row r="392" customFormat="false" ht="34.5" hidden="false" customHeight="true" outlineLevel="0" collapsed="false">
      <c r="A392" s="10" t="s">
        <v>960</v>
      </c>
      <c r="B392" s="10" t="s">
        <v>45</v>
      </c>
      <c r="C392" s="8" t="s">
        <v>961</v>
      </c>
      <c r="D392" s="8" t="s">
        <v>962</v>
      </c>
      <c r="E392" s="11" t="n">
        <v>66</v>
      </c>
      <c r="F392" s="8" t="str">
        <f aca="false">IFERROR(INDEX(Section_Master!$D$2:$D$477,MATCH($E392,Section_Master!$A$2:$A$477,0))&amp;"","")</f>
        <v>Rigorous imprisonment not less than 20 years, may extend to life (remainder of natural life), or death</v>
      </c>
      <c r="G392" s="10" t="str">
        <f aca="false">IFERROR(INDEX(Section_Master!$E$2:$E$477,MATCH($E392,Section_Master!$A$2:$A$477,0))&amp;"","")</f>
        <v>Yes</v>
      </c>
      <c r="H392" s="10" t="str">
        <f aca="false">IFERROR(INDEX(Section_Master!$F$2:$F$477,MATCH($E392,Section_Master!$A$2:$A$477,0))&amp;"","")</f>
        <v>No</v>
      </c>
      <c r="I392" s="10" t="str">
        <f aca="false">IFERROR(INDEX(Section_Master!$G$2:$G$477,MATCH($E392,Section_Master!$A$2:$A$477,0))&amp;"","")</f>
        <v>No</v>
      </c>
      <c r="J392" s="10" t="s">
        <v>48</v>
      </c>
      <c r="K392" s="8" t="s">
        <v>963</v>
      </c>
    </row>
    <row r="393" customFormat="false" ht="45.75" hidden="false" customHeight="true" outlineLevel="0" collapsed="false">
      <c r="A393" s="10" t="s">
        <v>964</v>
      </c>
      <c r="B393" s="10" t="s">
        <v>45</v>
      </c>
      <c r="C393" s="8" t="s">
        <v>961</v>
      </c>
      <c r="D393" s="8" t="s">
        <v>965</v>
      </c>
      <c r="E393" s="11" t="n">
        <v>66</v>
      </c>
      <c r="F393" s="8" t="str">
        <f aca="false">IFERROR(INDEX(Section_Master!$D$2:$D$477,MATCH($E393,Section_Master!$A$2:$A$477,0))&amp;"","")</f>
        <v>Rigorous imprisonment not less than 20 years, may extend to life (remainder of natural life), or death</v>
      </c>
      <c r="G393" s="10" t="str">
        <f aca="false">IFERROR(INDEX(Section_Master!$E$2:$E$477,MATCH($E393,Section_Master!$A$2:$A$477,0))&amp;"","")</f>
        <v>Yes</v>
      </c>
      <c r="H393" s="10" t="str">
        <f aca="false">IFERROR(INDEX(Section_Master!$F$2:$F$477,MATCH($E393,Section_Master!$A$2:$A$477,0))&amp;"","")</f>
        <v>No</v>
      </c>
      <c r="I393" s="10" t="str">
        <f aca="false">IFERROR(INDEX(Section_Master!$G$2:$G$477,MATCH($E393,Section_Master!$A$2:$A$477,0))&amp;"","")</f>
        <v>No</v>
      </c>
      <c r="J393" s="10" t="s">
        <v>52</v>
      </c>
      <c r="K393" s="8" t="s">
        <v>963</v>
      </c>
    </row>
    <row r="394" customFormat="false" ht="34.5" hidden="false" customHeight="true" outlineLevel="0" collapsed="false">
      <c r="A394" s="10" t="s">
        <v>966</v>
      </c>
      <c r="B394" s="10" t="s">
        <v>45</v>
      </c>
      <c r="C394" s="8" t="s">
        <v>961</v>
      </c>
      <c r="D394" s="8" t="s">
        <v>967</v>
      </c>
      <c r="E394" s="11" t="n">
        <v>66</v>
      </c>
      <c r="F394" s="8" t="str">
        <f aca="false">IFERROR(INDEX(Section_Master!$D$2:$D$477,MATCH($E394,Section_Master!$A$2:$A$477,0))&amp;"","")</f>
        <v>Rigorous imprisonment not less than 20 years, may extend to life (remainder of natural life), or death</v>
      </c>
      <c r="G394" s="10" t="str">
        <f aca="false">IFERROR(INDEX(Section_Master!$E$2:$E$477,MATCH($E394,Section_Master!$A$2:$A$477,0))&amp;"","")</f>
        <v>Yes</v>
      </c>
      <c r="H394" s="10" t="str">
        <f aca="false">IFERROR(INDEX(Section_Master!$F$2:$F$477,MATCH($E394,Section_Master!$A$2:$A$477,0))&amp;"","")</f>
        <v>No</v>
      </c>
      <c r="I394" s="10" t="str">
        <f aca="false">IFERROR(INDEX(Section_Master!$G$2:$G$477,MATCH($E394,Section_Master!$A$2:$A$477,0))&amp;"","")</f>
        <v>No</v>
      </c>
      <c r="J394" s="10" t="s">
        <v>55</v>
      </c>
      <c r="K394" s="8" t="s">
        <v>963</v>
      </c>
    </row>
    <row r="395" customFormat="false" ht="34.5" hidden="false" customHeight="true" outlineLevel="0" collapsed="false">
      <c r="A395" s="10" t="s">
        <v>968</v>
      </c>
      <c r="B395" s="10" t="s">
        <v>45</v>
      </c>
      <c r="C395" s="8" t="s">
        <v>961</v>
      </c>
      <c r="D395" s="8" t="s">
        <v>969</v>
      </c>
      <c r="E395" s="11" t="n">
        <v>66</v>
      </c>
      <c r="F395" s="8" t="str">
        <f aca="false">IFERROR(INDEX(Section_Master!$D$2:$D$477,MATCH($E395,Section_Master!$A$2:$A$477,0))&amp;"","")</f>
        <v>Rigorous imprisonment not less than 20 years, may extend to life (remainder of natural life), or death</v>
      </c>
      <c r="G395" s="10" t="str">
        <f aca="false">IFERROR(INDEX(Section_Master!$E$2:$E$477,MATCH($E395,Section_Master!$A$2:$A$477,0))&amp;"","")</f>
        <v>Yes</v>
      </c>
      <c r="H395" s="10" t="str">
        <f aca="false">IFERROR(INDEX(Section_Master!$F$2:$F$477,MATCH($E395,Section_Master!$A$2:$A$477,0))&amp;"","")</f>
        <v>No</v>
      </c>
      <c r="I395" s="10" t="str">
        <f aca="false">IFERROR(INDEX(Section_Master!$G$2:$G$477,MATCH($E395,Section_Master!$A$2:$A$477,0))&amp;"","")</f>
        <v>No</v>
      </c>
      <c r="J395" s="10" t="s">
        <v>58</v>
      </c>
      <c r="K395" s="8" t="s">
        <v>963</v>
      </c>
    </row>
    <row r="396" customFormat="false" ht="34.5" hidden="false" customHeight="true" outlineLevel="0" collapsed="false">
      <c r="A396" s="10" t="s">
        <v>970</v>
      </c>
      <c r="B396" s="10" t="s">
        <v>45</v>
      </c>
      <c r="C396" s="8" t="s">
        <v>961</v>
      </c>
      <c r="D396" s="8" t="s">
        <v>971</v>
      </c>
      <c r="E396" s="11" t="n">
        <v>66</v>
      </c>
      <c r="F396" s="8" t="str">
        <f aca="false">IFERROR(INDEX(Section_Master!$D$2:$D$477,MATCH($E396,Section_Master!$A$2:$A$477,0))&amp;"","")</f>
        <v>Rigorous imprisonment not less than 20 years, may extend to life (remainder of natural life), or death</v>
      </c>
      <c r="G396" s="10" t="str">
        <f aca="false">IFERROR(INDEX(Section_Master!$E$2:$E$477,MATCH($E396,Section_Master!$A$2:$A$477,0))&amp;"","")</f>
        <v>Yes</v>
      </c>
      <c r="H396" s="10" t="str">
        <f aca="false">IFERROR(INDEX(Section_Master!$F$2:$F$477,MATCH($E396,Section_Master!$A$2:$A$477,0))&amp;"","")</f>
        <v>No</v>
      </c>
      <c r="I396" s="10" t="str">
        <f aca="false">IFERROR(INDEX(Section_Master!$G$2:$G$477,MATCH($E396,Section_Master!$A$2:$A$477,0))&amp;"","")</f>
        <v>No</v>
      </c>
      <c r="J396" s="10" t="s">
        <v>61</v>
      </c>
      <c r="K396" s="8" t="s">
        <v>963</v>
      </c>
    </row>
    <row r="397" customFormat="false" ht="34.5" hidden="false" customHeight="true" outlineLevel="0" collapsed="false">
      <c r="A397" s="10" t="s">
        <v>972</v>
      </c>
      <c r="B397" s="10" t="s">
        <v>45</v>
      </c>
      <c r="C397" s="8" t="s">
        <v>961</v>
      </c>
      <c r="D397" s="8" t="s">
        <v>973</v>
      </c>
      <c r="E397" s="11" t="n">
        <v>66</v>
      </c>
      <c r="F397" s="8" t="str">
        <f aca="false">IFERROR(INDEX(Section_Master!$D$2:$D$477,MATCH($E397,Section_Master!$A$2:$A$477,0))&amp;"","")</f>
        <v>Rigorous imprisonment not less than 20 years, may extend to life (remainder of natural life), or death</v>
      </c>
      <c r="G397" s="10" t="str">
        <f aca="false">IFERROR(INDEX(Section_Master!$E$2:$E$477,MATCH($E397,Section_Master!$A$2:$A$477,0))&amp;"","")</f>
        <v>Yes</v>
      </c>
      <c r="H397" s="10" t="str">
        <f aca="false">IFERROR(INDEX(Section_Master!$F$2:$F$477,MATCH($E397,Section_Master!$A$2:$A$477,0))&amp;"","")</f>
        <v>No</v>
      </c>
      <c r="I397" s="10" t="str">
        <f aca="false">IFERROR(INDEX(Section_Master!$G$2:$G$477,MATCH($E397,Section_Master!$A$2:$A$477,0))&amp;"","")</f>
        <v>No</v>
      </c>
      <c r="J397" s="10" t="s">
        <v>64</v>
      </c>
      <c r="K397" s="8" t="s">
        <v>963</v>
      </c>
    </row>
    <row r="398" customFormat="false" ht="23.25" hidden="false" customHeight="true" outlineLevel="0" collapsed="false">
      <c r="A398" s="10" t="s">
        <v>974</v>
      </c>
      <c r="B398" s="10" t="s">
        <v>45</v>
      </c>
      <c r="C398" s="8" t="s">
        <v>975</v>
      </c>
      <c r="D398" s="8" t="s">
        <v>976</v>
      </c>
      <c r="E398" s="11" t="n">
        <v>67</v>
      </c>
      <c r="F398" s="8" t="str">
        <f aca="false">IFERROR(INDEX(Section_Master!$D$2:$D$477,MATCH($E398,Section_Master!$A$2:$A$477,0))&amp;"","")</f>
        <v>Rigorous imprisonment not less than 2 years, may extend to 7 years, and fine</v>
      </c>
      <c r="G398" s="10" t="str">
        <f aca="false">IFERROR(INDEX(Section_Master!$E$2:$E$477,MATCH($E398,Section_Master!$A$2:$A$477,0))&amp;"","")</f>
        <v>Yes</v>
      </c>
      <c r="H398" s="10" t="str">
        <f aca="false">IFERROR(INDEX(Section_Master!$F$2:$F$477,MATCH($E398,Section_Master!$A$2:$A$477,0))&amp;"","")</f>
        <v>No</v>
      </c>
      <c r="I398" s="10" t="str">
        <f aca="false">IFERROR(INDEX(Section_Master!$G$2:$G$477,MATCH($E398,Section_Master!$A$2:$A$477,0))&amp;"","")</f>
        <v>No</v>
      </c>
      <c r="J398" s="10" t="s">
        <v>48</v>
      </c>
      <c r="K398" s="8" t="s">
        <v>977</v>
      </c>
    </row>
    <row r="399" customFormat="false" ht="34.5" hidden="false" customHeight="true" outlineLevel="0" collapsed="false">
      <c r="A399" s="10" t="s">
        <v>978</v>
      </c>
      <c r="B399" s="10" t="s">
        <v>45</v>
      </c>
      <c r="C399" s="8" t="s">
        <v>975</v>
      </c>
      <c r="D399" s="8" t="s">
        <v>979</v>
      </c>
      <c r="E399" s="11" t="n">
        <v>67</v>
      </c>
      <c r="F399" s="8" t="str">
        <f aca="false">IFERROR(INDEX(Section_Master!$D$2:$D$477,MATCH($E399,Section_Master!$A$2:$A$477,0))&amp;"","")</f>
        <v>Rigorous imprisonment not less than 2 years, may extend to 7 years, and fine</v>
      </c>
      <c r="G399" s="10" t="str">
        <f aca="false">IFERROR(INDEX(Section_Master!$E$2:$E$477,MATCH($E399,Section_Master!$A$2:$A$477,0))&amp;"","")</f>
        <v>Yes</v>
      </c>
      <c r="H399" s="10" t="str">
        <f aca="false">IFERROR(INDEX(Section_Master!$F$2:$F$477,MATCH($E399,Section_Master!$A$2:$A$477,0))&amp;"","")</f>
        <v>No</v>
      </c>
      <c r="I399" s="10" t="str">
        <f aca="false">IFERROR(INDEX(Section_Master!$G$2:$G$477,MATCH($E399,Section_Master!$A$2:$A$477,0))&amp;"","")</f>
        <v>No</v>
      </c>
      <c r="J399" s="10" t="s">
        <v>52</v>
      </c>
      <c r="K399" s="8" t="s">
        <v>977</v>
      </c>
    </row>
    <row r="400" customFormat="false" ht="34.5" hidden="false" customHeight="true" outlineLevel="0" collapsed="false">
      <c r="A400" s="10" t="s">
        <v>980</v>
      </c>
      <c r="B400" s="10" t="s">
        <v>45</v>
      </c>
      <c r="C400" s="8" t="s">
        <v>975</v>
      </c>
      <c r="D400" s="8" t="s">
        <v>981</v>
      </c>
      <c r="E400" s="11" t="n">
        <v>67</v>
      </c>
      <c r="F400" s="8" t="str">
        <f aca="false">IFERROR(INDEX(Section_Master!$D$2:$D$477,MATCH($E400,Section_Master!$A$2:$A$477,0))&amp;"","")</f>
        <v>Rigorous imprisonment not less than 2 years, may extend to 7 years, and fine</v>
      </c>
      <c r="G400" s="10" t="str">
        <f aca="false">IFERROR(INDEX(Section_Master!$E$2:$E$477,MATCH($E400,Section_Master!$A$2:$A$477,0))&amp;"","")</f>
        <v>Yes</v>
      </c>
      <c r="H400" s="10" t="str">
        <f aca="false">IFERROR(INDEX(Section_Master!$F$2:$F$477,MATCH($E400,Section_Master!$A$2:$A$477,0))&amp;"","")</f>
        <v>No</v>
      </c>
      <c r="I400" s="10" t="str">
        <f aca="false">IFERROR(INDEX(Section_Master!$G$2:$G$477,MATCH($E400,Section_Master!$A$2:$A$477,0))&amp;"","")</f>
        <v>No</v>
      </c>
      <c r="J400" s="10" t="s">
        <v>55</v>
      </c>
      <c r="K400" s="8" t="s">
        <v>977</v>
      </c>
    </row>
    <row r="401" customFormat="false" ht="23.25" hidden="false" customHeight="true" outlineLevel="0" collapsed="false">
      <c r="A401" s="10" t="s">
        <v>982</v>
      </c>
      <c r="B401" s="10" t="s">
        <v>45</v>
      </c>
      <c r="C401" s="8" t="s">
        <v>975</v>
      </c>
      <c r="D401" s="8" t="s">
        <v>983</v>
      </c>
      <c r="E401" s="11" t="n">
        <v>67</v>
      </c>
      <c r="F401" s="8" t="str">
        <f aca="false">IFERROR(INDEX(Section_Master!$D$2:$D$477,MATCH($E401,Section_Master!$A$2:$A$477,0))&amp;"","")</f>
        <v>Rigorous imprisonment not less than 2 years, may extend to 7 years, and fine</v>
      </c>
      <c r="G401" s="10" t="str">
        <f aca="false">IFERROR(INDEX(Section_Master!$E$2:$E$477,MATCH($E401,Section_Master!$A$2:$A$477,0))&amp;"","")</f>
        <v>Yes</v>
      </c>
      <c r="H401" s="10" t="str">
        <f aca="false">IFERROR(INDEX(Section_Master!$F$2:$F$477,MATCH($E401,Section_Master!$A$2:$A$477,0))&amp;"","")</f>
        <v>No</v>
      </c>
      <c r="I401" s="10" t="str">
        <f aca="false">IFERROR(INDEX(Section_Master!$G$2:$G$477,MATCH($E401,Section_Master!$A$2:$A$477,0))&amp;"","")</f>
        <v>No</v>
      </c>
      <c r="J401" s="10" t="s">
        <v>58</v>
      </c>
      <c r="K401" s="8" t="s">
        <v>977</v>
      </c>
    </row>
    <row r="402" customFormat="false" ht="34.5" hidden="false" customHeight="true" outlineLevel="0" collapsed="false">
      <c r="A402" s="10" t="s">
        <v>984</v>
      </c>
      <c r="B402" s="10" t="s">
        <v>45</v>
      </c>
      <c r="C402" s="8" t="s">
        <v>975</v>
      </c>
      <c r="D402" s="8" t="s">
        <v>985</v>
      </c>
      <c r="E402" s="11" t="n">
        <v>67</v>
      </c>
      <c r="F402" s="8" t="str">
        <f aca="false">IFERROR(INDEX(Section_Master!$D$2:$D$477,MATCH($E402,Section_Master!$A$2:$A$477,0))&amp;"","")</f>
        <v>Rigorous imprisonment not less than 2 years, may extend to 7 years, and fine</v>
      </c>
      <c r="G402" s="10" t="str">
        <f aca="false">IFERROR(INDEX(Section_Master!$E$2:$E$477,MATCH($E402,Section_Master!$A$2:$A$477,0))&amp;"","")</f>
        <v>Yes</v>
      </c>
      <c r="H402" s="10" t="str">
        <f aca="false">IFERROR(INDEX(Section_Master!$F$2:$F$477,MATCH($E402,Section_Master!$A$2:$A$477,0))&amp;"","")</f>
        <v>No</v>
      </c>
      <c r="I402" s="10" t="str">
        <f aca="false">IFERROR(INDEX(Section_Master!$G$2:$G$477,MATCH($E402,Section_Master!$A$2:$A$477,0))&amp;"","")</f>
        <v>No</v>
      </c>
      <c r="J402" s="10" t="s">
        <v>61</v>
      </c>
      <c r="K402" s="8" t="s">
        <v>977</v>
      </c>
    </row>
    <row r="403" customFormat="false" ht="34.5" hidden="false" customHeight="true" outlineLevel="0" collapsed="false">
      <c r="A403" s="10" t="s">
        <v>986</v>
      </c>
      <c r="B403" s="10" t="s">
        <v>45</v>
      </c>
      <c r="C403" s="8" t="s">
        <v>975</v>
      </c>
      <c r="D403" s="8" t="s">
        <v>987</v>
      </c>
      <c r="E403" s="11" t="n">
        <v>67</v>
      </c>
      <c r="F403" s="8" t="str">
        <f aca="false">IFERROR(INDEX(Section_Master!$D$2:$D$477,MATCH($E403,Section_Master!$A$2:$A$477,0))&amp;"","")</f>
        <v>Rigorous imprisonment not less than 2 years, may extend to 7 years, and fine</v>
      </c>
      <c r="G403" s="10" t="str">
        <f aca="false">IFERROR(INDEX(Section_Master!$E$2:$E$477,MATCH($E403,Section_Master!$A$2:$A$477,0))&amp;"","")</f>
        <v>Yes</v>
      </c>
      <c r="H403" s="10" t="str">
        <f aca="false">IFERROR(INDEX(Section_Master!$F$2:$F$477,MATCH($E403,Section_Master!$A$2:$A$477,0))&amp;"","")</f>
        <v>No</v>
      </c>
      <c r="I403" s="10" t="str">
        <f aca="false">IFERROR(INDEX(Section_Master!$G$2:$G$477,MATCH($E403,Section_Master!$A$2:$A$477,0))&amp;"","")</f>
        <v>No</v>
      </c>
      <c r="J403" s="10" t="s">
        <v>64</v>
      </c>
      <c r="K403" s="8" t="s">
        <v>977</v>
      </c>
    </row>
    <row r="404" customFormat="false" ht="34.5" hidden="false" customHeight="true" outlineLevel="0" collapsed="false">
      <c r="A404" s="10" t="s">
        <v>988</v>
      </c>
      <c r="B404" s="10" t="s">
        <v>45</v>
      </c>
      <c r="C404" s="8" t="s">
        <v>989</v>
      </c>
      <c r="D404" s="8" t="s">
        <v>990</v>
      </c>
      <c r="E404" s="11" t="n">
        <v>68</v>
      </c>
      <c r="F404" s="8" t="str">
        <f aca="false">IFERROR(INDEX(Section_Master!$D$2:$D$477,MATCH($E404,Section_Master!$A$2:$A$477,0))&amp;"","")</f>
        <v>Rigorous imprisonment not less than 5 years, may extend to 10 years, and fine</v>
      </c>
      <c r="G404" s="10" t="str">
        <f aca="false">IFERROR(INDEX(Section_Master!$E$2:$E$477,MATCH($E404,Section_Master!$A$2:$A$477,0))&amp;"","")</f>
        <v>Yes</v>
      </c>
      <c r="H404" s="10" t="str">
        <f aca="false">IFERROR(INDEX(Section_Master!$F$2:$F$477,MATCH($E404,Section_Master!$A$2:$A$477,0))&amp;"","")</f>
        <v>No</v>
      </c>
      <c r="I404" s="10" t="str">
        <f aca="false">IFERROR(INDEX(Section_Master!$G$2:$G$477,MATCH($E404,Section_Master!$A$2:$A$477,0))&amp;"","")</f>
        <v>No</v>
      </c>
      <c r="J404" s="10" t="s">
        <v>48</v>
      </c>
      <c r="K404" s="8" t="s">
        <v>991</v>
      </c>
    </row>
    <row r="405" customFormat="false" ht="45.75" hidden="false" customHeight="true" outlineLevel="0" collapsed="false">
      <c r="A405" s="10" t="s">
        <v>992</v>
      </c>
      <c r="B405" s="10" t="s">
        <v>45</v>
      </c>
      <c r="C405" s="8" t="s">
        <v>989</v>
      </c>
      <c r="D405" s="8" t="s">
        <v>993</v>
      </c>
      <c r="E405" s="11" t="n">
        <v>68</v>
      </c>
      <c r="F405" s="8" t="str">
        <f aca="false">IFERROR(INDEX(Section_Master!$D$2:$D$477,MATCH($E405,Section_Master!$A$2:$A$477,0))&amp;"","")</f>
        <v>Rigorous imprisonment not less than 5 years, may extend to 10 years, and fine</v>
      </c>
      <c r="G405" s="10" t="str">
        <f aca="false">IFERROR(INDEX(Section_Master!$E$2:$E$477,MATCH($E405,Section_Master!$A$2:$A$477,0))&amp;"","")</f>
        <v>Yes</v>
      </c>
      <c r="H405" s="10" t="str">
        <f aca="false">IFERROR(INDEX(Section_Master!$F$2:$F$477,MATCH($E405,Section_Master!$A$2:$A$477,0))&amp;"","")</f>
        <v>No</v>
      </c>
      <c r="I405" s="10" t="str">
        <f aca="false">IFERROR(INDEX(Section_Master!$G$2:$G$477,MATCH($E405,Section_Master!$A$2:$A$477,0))&amp;"","")</f>
        <v>No</v>
      </c>
      <c r="J405" s="10" t="s">
        <v>52</v>
      </c>
      <c r="K405" s="8" t="s">
        <v>991</v>
      </c>
    </row>
    <row r="406" customFormat="false" ht="34.5" hidden="false" customHeight="true" outlineLevel="0" collapsed="false">
      <c r="A406" s="10" t="s">
        <v>994</v>
      </c>
      <c r="B406" s="10" t="s">
        <v>45</v>
      </c>
      <c r="C406" s="8" t="s">
        <v>989</v>
      </c>
      <c r="D406" s="8" t="s">
        <v>995</v>
      </c>
      <c r="E406" s="11" t="n">
        <v>68</v>
      </c>
      <c r="F406" s="8" t="str">
        <f aca="false">IFERROR(INDEX(Section_Master!$D$2:$D$477,MATCH($E406,Section_Master!$A$2:$A$477,0))&amp;"","")</f>
        <v>Rigorous imprisonment not less than 5 years, may extend to 10 years, and fine</v>
      </c>
      <c r="G406" s="10" t="str">
        <f aca="false">IFERROR(INDEX(Section_Master!$E$2:$E$477,MATCH($E406,Section_Master!$A$2:$A$477,0))&amp;"","")</f>
        <v>Yes</v>
      </c>
      <c r="H406" s="10" t="str">
        <f aca="false">IFERROR(INDEX(Section_Master!$F$2:$F$477,MATCH($E406,Section_Master!$A$2:$A$477,0))&amp;"","")</f>
        <v>No</v>
      </c>
      <c r="I406" s="10" t="str">
        <f aca="false">IFERROR(INDEX(Section_Master!$G$2:$G$477,MATCH($E406,Section_Master!$A$2:$A$477,0))&amp;"","")</f>
        <v>No</v>
      </c>
      <c r="J406" s="10" t="s">
        <v>55</v>
      </c>
      <c r="K406" s="8" t="s">
        <v>991</v>
      </c>
    </row>
    <row r="407" customFormat="false" ht="34.5" hidden="false" customHeight="true" outlineLevel="0" collapsed="false">
      <c r="A407" s="10" t="s">
        <v>996</v>
      </c>
      <c r="B407" s="10" t="s">
        <v>45</v>
      </c>
      <c r="C407" s="8" t="s">
        <v>989</v>
      </c>
      <c r="D407" s="8" t="s">
        <v>997</v>
      </c>
      <c r="E407" s="11" t="n">
        <v>68</v>
      </c>
      <c r="F407" s="8" t="str">
        <f aca="false">IFERROR(INDEX(Section_Master!$D$2:$D$477,MATCH($E407,Section_Master!$A$2:$A$477,0))&amp;"","")</f>
        <v>Rigorous imprisonment not less than 5 years, may extend to 10 years, and fine</v>
      </c>
      <c r="G407" s="10" t="str">
        <f aca="false">IFERROR(INDEX(Section_Master!$E$2:$E$477,MATCH($E407,Section_Master!$A$2:$A$477,0))&amp;"","")</f>
        <v>Yes</v>
      </c>
      <c r="H407" s="10" t="str">
        <f aca="false">IFERROR(INDEX(Section_Master!$F$2:$F$477,MATCH($E407,Section_Master!$A$2:$A$477,0))&amp;"","")</f>
        <v>No</v>
      </c>
      <c r="I407" s="10" t="str">
        <f aca="false">IFERROR(INDEX(Section_Master!$G$2:$G$477,MATCH($E407,Section_Master!$A$2:$A$477,0))&amp;"","")</f>
        <v>No</v>
      </c>
      <c r="J407" s="10" t="s">
        <v>58</v>
      </c>
      <c r="K407" s="8" t="s">
        <v>991</v>
      </c>
    </row>
    <row r="408" customFormat="false" ht="45.75" hidden="false" customHeight="true" outlineLevel="0" collapsed="false">
      <c r="A408" s="10" t="s">
        <v>998</v>
      </c>
      <c r="B408" s="10" t="s">
        <v>45</v>
      </c>
      <c r="C408" s="8" t="s">
        <v>989</v>
      </c>
      <c r="D408" s="8" t="s">
        <v>999</v>
      </c>
      <c r="E408" s="11" t="n">
        <v>68</v>
      </c>
      <c r="F408" s="8" t="str">
        <f aca="false">IFERROR(INDEX(Section_Master!$D$2:$D$477,MATCH($E408,Section_Master!$A$2:$A$477,0))&amp;"","")</f>
        <v>Rigorous imprisonment not less than 5 years, may extend to 10 years, and fine</v>
      </c>
      <c r="G408" s="10" t="str">
        <f aca="false">IFERROR(INDEX(Section_Master!$E$2:$E$477,MATCH($E408,Section_Master!$A$2:$A$477,0))&amp;"","")</f>
        <v>Yes</v>
      </c>
      <c r="H408" s="10" t="str">
        <f aca="false">IFERROR(INDEX(Section_Master!$F$2:$F$477,MATCH($E408,Section_Master!$A$2:$A$477,0))&amp;"","")</f>
        <v>No</v>
      </c>
      <c r="I408" s="10" t="str">
        <f aca="false">IFERROR(INDEX(Section_Master!$G$2:$G$477,MATCH($E408,Section_Master!$A$2:$A$477,0))&amp;"","")</f>
        <v>No</v>
      </c>
      <c r="J408" s="10" t="s">
        <v>61</v>
      </c>
      <c r="K408" s="8" t="s">
        <v>991</v>
      </c>
    </row>
    <row r="409" customFormat="false" ht="34.5" hidden="false" customHeight="true" outlineLevel="0" collapsed="false">
      <c r="A409" s="10" t="s">
        <v>1000</v>
      </c>
      <c r="B409" s="10" t="s">
        <v>45</v>
      </c>
      <c r="C409" s="8" t="s">
        <v>989</v>
      </c>
      <c r="D409" s="8" t="s">
        <v>1001</v>
      </c>
      <c r="E409" s="11" t="n">
        <v>68</v>
      </c>
      <c r="F409" s="8" t="str">
        <f aca="false">IFERROR(INDEX(Section_Master!$D$2:$D$477,MATCH($E409,Section_Master!$A$2:$A$477,0))&amp;"","")</f>
        <v>Rigorous imprisonment not less than 5 years, may extend to 10 years, and fine</v>
      </c>
      <c r="G409" s="10" t="str">
        <f aca="false">IFERROR(INDEX(Section_Master!$E$2:$E$477,MATCH($E409,Section_Master!$A$2:$A$477,0))&amp;"","")</f>
        <v>Yes</v>
      </c>
      <c r="H409" s="10" t="str">
        <f aca="false">IFERROR(INDEX(Section_Master!$F$2:$F$477,MATCH($E409,Section_Master!$A$2:$A$477,0))&amp;"","")</f>
        <v>No</v>
      </c>
      <c r="I409" s="10" t="str">
        <f aca="false">IFERROR(INDEX(Section_Master!$G$2:$G$477,MATCH($E409,Section_Master!$A$2:$A$477,0))&amp;"","")</f>
        <v>No</v>
      </c>
      <c r="J409" s="10" t="s">
        <v>64</v>
      </c>
      <c r="K409" s="8" t="s">
        <v>991</v>
      </c>
    </row>
    <row r="410" customFormat="false" ht="34.5" hidden="false" customHeight="true" outlineLevel="0" collapsed="false">
      <c r="A410" s="10" t="s">
        <v>1002</v>
      </c>
      <c r="B410" s="10" t="s">
        <v>45</v>
      </c>
      <c r="C410" s="8" t="s">
        <v>1003</v>
      </c>
      <c r="D410" s="8" t="s">
        <v>1004</v>
      </c>
      <c r="E410" s="11" t="n">
        <v>69</v>
      </c>
      <c r="F410" s="8" t="str">
        <f aca="false">IFERROR(INDEX(Section_Master!$D$2:$D$477,MATCH($E410,Section_Master!$A$2:$A$477,0))&amp;"","")</f>
        <v>Imprisonment up to 10 years and fine</v>
      </c>
      <c r="G410" s="10" t="str">
        <f aca="false">IFERROR(INDEX(Section_Master!$E$2:$E$477,MATCH($E410,Section_Master!$A$2:$A$477,0))&amp;"","")</f>
        <v>Yes</v>
      </c>
      <c r="H410" s="10" t="str">
        <f aca="false">IFERROR(INDEX(Section_Master!$F$2:$F$477,MATCH($E410,Section_Master!$A$2:$A$477,0))&amp;"","")</f>
        <v>No</v>
      </c>
      <c r="I410" s="10" t="str">
        <f aca="false">IFERROR(INDEX(Section_Master!$G$2:$G$477,MATCH($E410,Section_Master!$A$2:$A$477,0))&amp;"","")</f>
        <v>No</v>
      </c>
      <c r="J410" s="10" t="s">
        <v>48</v>
      </c>
      <c r="K410" s="8" t="s">
        <v>1005</v>
      </c>
    </row>
    <row r="411" customFormat="false" ht="45.75" hidden="false" customHeight="true" outlineLevel="0" collapsed="false">
      <c r="A411" s="10" t="s">
        <v>1006</v>
      </c>
      <c r="B411" s="10" t="s">
        <v>45</v>
      </c>
      <c r="C411" s="8" t="s">
        <v>1003</v>
      </c>
      <c r="D411" s="8" t="s">
        <v>1007</v>
      </c>
      <c r="E411" s="11" t="n">
        <v>69</v>
      </c>
      <c r="F411" s="8" t="str">
        <f aca="false">IFERROR(INDEX(Section_Master!$D$2:$D$477,MATCH($E411,Section_Master!$A$2:$A$477,0))&amp;"","")</f>
        <v>Imprisonment up to 10 years and fine</v>
      </c>
      <c r="G411" s="10" t="str">
        <f aca="false">IFERROR(INDEX(Section_Master!$E$2:$E$477,MATCH($E411,Section_Master!$A$2:$A$477,0))&amp;"","")</f>
        <v>Yes</v>
      </c>
      <c r="H411" s="10" t="str">
        <f aca="false">IFERROR(INDEX(Section_Master!$F$2:$F$477,MATCH($E411,Section_Master!$A$2:$A$477,0))&amp;"","")</f>
        <v>No</v>
      </c>
      <c r="I411" s="10" t="str">
        <f aca="false">IFERROR(INDEX(Section_Master!$G$2:$G$477,MATCH($E411,Section_Master!$A$2:$A$477,0))&amp;"","")</f>
        <v>No</v>
      </c>
      <c r="J411" s="10" t="s">
        <v>52</v>
      </c>
      <c r="K411" s="8" t="s">
        <v>1005</v>
      </c>
    </row>
    <row r="412" customFormat="false" ht="34.5" hidden="false" customHeight="true" outlineLevel="0" collapsed="false">
      <c r="A412" s="10" t="s">
        <v>1008</v>
      </c>
      <c r="B412" s="10" t="s">
        <v>45</v>
      </c>
      <c r="C412" s="8" t="s">
        <v>1003</v>
      </c>
      <c r="D412" s="8" t="s">
        <v>1009</v>
      </c>
      <c r="E412" s="11" t="n">
        <v>69</v>
      </c>
      <c r="F412" s="8" t="str">
        <f aca="false">IFERROR(INDEX(Section_Master!$D$2:$D$477,MATCH($E412,Section_Master!$A$2:$A$477,0))&amp;"","")</f>
        <v>Imprisonment up to 10 years and fine</v>
      </c>
      <c r="G412" s="10" t="str">
        <f aca="false">IFERROR(INDEX(Section_Master!$E$2:$E$477,MATCH($E412,Section_Master!$A$2:$A$477,0))&amp;"","")</f>
        <v>Yes</v>
      </c>
      <c r="H412" s="10" t="str">
        <f aca="false">IFERROR(INDEX(Section_Master!$F$2:$F$477,MATCH($E412,Section_Master!$A$2:$A$477,0))&amp;"","")</f>
        <v>No</v>
      </c>
      <c r="I412" s="10" t="str">
        <f aca="false">IFERROR(INDEX(Section_Master!$G$2:$G$477,MATCH($E412,Section_Master!$A$2:$A$477,0))&amp;"","")</f>
        <v>No</v>
      </c>
      <c r="J412" s="10" t="s">
        <v>55</v>
      </c>
      <c r="K412" s="8" t="s">
        <v>1005</v>
      </c>
    </row>
    <row r="413" customFormat="false" ht="34.5" hidden="false" customHeight="true" outlineLevel="0" collapsed="false">
      <c r="A413" s="10" t="s">
        <v>1010</v>
      </c>
      <c r="B413" s="10" t="s">
        <v>45</v>
      </c>
      <c r="C413" s="8" t="s">
        <v>1003</v>
      </c>
      <c r="D413" s="8" t="s">
        <v>1011</v>
      </c>
      <c r="E413" s="11" t="n">
        <v>69</v>
      </c>
      <c r="F413" s="8" t="str">
        <f aca="false">IFERROR(INDEX(Section_Master!$D$2:$D$477,MATCH($E413,Section_Master!$A$2:$A$477,0))&amp;"","")</f>
        <v>Imprisonment up to 10 years and fine</v>
      </c>
      <c r="G413" s="10" t="str">
        <f aca="false">IFERROR(INDEX(Section_Master!$E$2:$E$477,MATCH($E413,Section_Master!$A$2:$A$477,0))&amp;"","")</f>
        <v>Yes</v>
      </c>
      <c r="H413" s="10" t="str">
        <f aca="false">IFERROR(INDEX(Section_Master!$F$2:$F$477,MATCH($E413,Section_Master!$A$2:$A$477,0))&amp;"","")</f>
        <v>No</v>
      </c>
      <c r="I413" s="10" t="str">
        <f aca="false">IFERROR(INDEX(Section_Master!$G$2:$G$477,MATCH($E413,Section_Master!$A$2:$A$477,0))&amp;"","")</f>
        <v>No</v>
      </c>
      <c r="J413" s="10" t="s">
        <v>58</v>
      </c>
      <c r="K413" s="8" t="s">
        <v>1005</v>
      </c>
    </row>
    <row r="414" customFormat="false" ht="34.5" hidden="false" customHeight="true" outlineLevel="0" collapsed="false">
      <c r="A414" s="10" t="s">
        <v>1012</v>
      </c>
      <c r="B414" s="10" t="s">
        <v>45</v>
      </c>
      <c r="C414" s="8" t="s">
        <v>1003</v>
      </c>
      <c r="D414" s="8" t="s">
        <v>1013</v>
      </c>
      <c r="E414" s="11" t="n">
        <v>69</v>
      </c>
      <c r="F414" s="8" t="str">
        <f aca="false">IFERROR(INDEX(Section_Master!$D$2:$D$477,MATCH($E414,Section_Master!$A$2:$A$477,0))&amp;"","")</f>
        <v>Imprisonment up to 10 years and fine</v>
      </c>
      <c r="G414" s="10" t="str">
        <f aca="false">IFERROR(INDEX(Section_Master!$E$2:$E$477,MATCH($E414,Section_Master!$A$2:$A$477,0))&amp;"","")</f>
        <v>Yes</v>
      </c>
      <c r="H414" s="10" t="str">
        <f aca="false">IFERROR(INDEX(Section_Master!$F$2:$F$477,MATCH($E414,Section_Master!$A$2:$A$477,0))&amp;"","")</f>
        <v>No</v>
      </c>
      <c r="I414" s="10" t="str">
        <f aca="false">IFERROR(INDEX(Section_Master!$G$2:$G$477,MATCH($E414,Section_Master!$A$2:$A$477,0))&amp;"","")</f>
        <v>No</v>
      </c>
      <c r="J414" s="10" t="s">
        <v>61</v>
      </c>
      <c r="K414" s="8" t="s">
        <v>1005</v>
      </c>
    </row>
    <row r="415" customFormat="false" ht="45.75" hidden="false" customHeight="true" outlineLevel="0" collapsed="false">
      <c r="A415" s="10" t="s">
        <v>1014</v>
      </c>
      <c r="B415" s="10" t="s">
        <v>45</v>
      </c>
      <c r="C415" s="8" t="s">
        <v>1003</v>
      </c>
      <c r="D415" s="8" t="s">
        <v>1015</v>
      </c>
      <c r="E415" s="11" t="n">
        <v>69</v>
      </c>
      <c r="F415" s="8" t="str">
        <f aca="false">IFERROR(INDEX(Section_Master!$D$2:$D$477,MATCH($E415,Section_Master!$A$2:$A$477,0))&amp;"","")</f>
        <v>Imprisonment up to 10 years and fine</v>
      </c>
      <c r="G415" s="10" t="str">
        <f aca="false">IFERROR(INDEX(Section_Master!$E$2:$E$477,MATCH($E415,Section_Master!$A$2:$A$477,0))&amp;"","")</f>
        <v>Yes</v>
      </c>
      <c r="H415" s="10" t="str">
        <f aca="false">IFERROR(INDEX(Section_Master!$F$2:$F$477,MATCH($E415,Section_Master!$A$2:$A$477,0))&amp;"","")</f>
        <v>No</v>
      </c>
      <c r="I415" s="10" t="str">
        <f aca="false">IFERROR(INDEX(Section_Master!$G$2:$G$477,MATCH($E415,Section_Master!$A$2:$A$477,0))&amp;"","")</f>
        <v>No</v>
      </c>
      <c r="J415" s="10" t="s">
        <v>64</v>
      </c>
      <c r="K415" s="8" t="s">
        <v>1005</v>
      </c>
    </row>
    <row r="416" customFormat="false" ht="34.5" hidden="false" customHeight="true" outlineLevel="0" collapsed="false">
      <c r="A416" s="10" t="s">
        <v>1016</v>
      </c>
      <c r="B416" s="10" t="s">
        <v>45</v>
      </c>
      <c r="C416" s="8" t="s">
        <v>1017</v>
      </c>
      <c r="D416" s="8" t="s">
        <v>1018</v>
      </c>
      <c r="E416" s="11" t="n">
        <v>70</v>
      </c>
      <c r="F416" s="8" t="str">
        <f aca="false">IFERROR(INDEX(Section_Master!$D$2:$D$477,MATCH($E416,Section_Master!$A$2:$A$477,0))&amp;"","")</f>
        <v>Rigorous imprisonment not less than 20 years, may extend to life (remainder of natural life), and fine; life or death if victim is under 18 [s.70]</v>
      </c>
      <c r="G416" s="10" t="str">
        <f aca="false">IFERROR(INDEX(Section_Master!$E$2:$E$477,MATCH($E416,Section_Master!$A$2:$A$477,0))&amp;"","")</f>
        <v>Yes</v>
      </c>
      <c r="H416" s="10" t="str">
        <f aca="false">IFERROR(INDEX(Section_Master!$F$2:$F$477,MATCH($E416,Section_Master!$A$2:$A$477,0))&amp;"","")</f>
        <v>No</v>
      </c>
      <c r="I416" s="10" t="str">
        <f aca="false">IFERROR(INDEX(Section_Master!$G$2:$G$477,MATCH($E416,Section_Master!$A$2:$A$477,0))&amp;"","")</f>
        <v>No</v>
      </c>
      <c r="J416" s="10" t="s">
        <v>48</v>
      </c>
      <c r="K416" s="8" t="s">
        <v>1019</v>
      </c>
    </row>
    <row r="417" customFormat="false" ht="34.5" hidden="false" customHeight="true" outlineLevel="0" collapsed="false">
      <c r="A417" s="10" t="s">
        <v>1020</v>
      </c>
      <c r="B417" s="10" t="s">
        <v>45</v>
      </c>
      <c r="C417" s="8" t="s">
        <v>1017</v>
      </c>
      <c r="D417" s="8" t="s">
        <v>1021</v>
      </c>
      <c r="E417" s="11" t="n">
        <v>70</v>
      </c>
      <c r="F417" s="8" t="str">
        <f aca="false">IFERROR(INDEX(Section_Master!$D$2:$D$477,MATCH($E417,Section_Master!$A$2:$A$477,0))&amp;"","")</f>
        <v>Rigorous imprisonment not less than 20 years, may extend to life (remainder of natural life), and fine; life or death if victim is under 18 [s.70]</v>
      </c>
      <c r="G417" s="10" t="str">
        <f aca="false">IFERROR(INDEX(Section_Master!$E$2:$E$477,MATCH($E417,Section_Master!$A$2:$A$477,0))&amp;"","")</f>
        <v>Yes</v>
      </c>
      <c r="H417" s="10" t="str">
        <f aca="false">IFERROR(INDEX(Section_Master!$F$2:$F$477,MATCH($E417,Section_Master!$A$2:$A$477,0))&amp;"","")</f>
        <v>No</v>
      </c>
      <c r="I417" s="10" t="str">
        <f aca="false">IFERROR(INDEX(Section_Master!$G$2:$G$477,MATCH($E417,Section_Master!$A$2:$A$477,0))&amp;"","")</f>
        <v>No</v>
      </c>
      <c r="J417" s="10" t="s">
        <v>52</v>
      </c>
      <c r="K417" s="8" t="s">
        <v>1019</v>
      </c>
    </row>
    <row r="418" customFormat="false" ht="34.5" hidden="false" customHeight="true" outlineLevel="0" collapsed="false">
      <c r="A418" s="10" t="s">
        <v>1022</v>
      </c>
      <c r="B418" s="10" t="s">
        <v>45</v>
      </c>
      <c r="C418" s="8" t="s">
        <v>1017</v>
      </c>
      <c r="D418" s="8" t="s">
        <v>1023</v>
      </c>
      <c r="E418" s="11" t="n">
        <v>70</v>
      </c>
      <c r="F418" s="8" t="str">
        <f aca="false">IFERROR(INDEX(Section_Master!$D$2:$D$477,MATCH($E418,Section_Master!$A$2:$A$477,0))&amp;"","")</f>
        <v>Rigorous imprisonment not less than 20 years, may extend to life (remainder of natural life), and fine; life or death if victim is under 18 [s.70]</v>
      </c>
      <c r="G418" s="10" t="str">
        <f aca="false">IFERROR(INDEX(Section_Master!$E$2:$E$477,MATCH($E418,Section_Master!$A$2:$A$477,0))&amp;"","")</f>
        <v>Yes</v>
      </c>
      <c r="H418" s="10" t="str">
        <f aca="false">IFERROR(INDEX(Section_Master!$F$2:$F$477,MATCH($E418,Section_Master!$A$2:$A$477,0))&amp;"","")</f>
        <v>No</v>
      </c>
      <c r="I418" s="10" t="str">
        <f aca="false">IFERROR(INDEX(Section_Master!$G$2:$G$477,MATCH($E418,Section_Master!$A$2:$A$477,0))&amp;"","")</f>
        <v>No</v>
      </c>
      <c r="J418" s="10" t="s">
        <v>55</v>
      </c>
      <c r="K418" s="8" t="s">
        <v>1019</v>
      </c>
    </row>
    <row r="419" customFormat="false" ht="34.5" hidden="false" customHeight="true" outlineLevel="0" collapsed="false">
      <c r="A419" s="10" t="s">
        <v>1024</v>
      </c>
      <c r="B419" s="10" t="s">
        <v>45</v>
      </c>
      <c r="C419" s="8" t="s">
        <v>1017</v>
      </c>
      <c r="D419" s="8" t="s">
        <v>1025</v>
      </c>
      <c r="E419" s="11" t="n">
        <v>70</v>
      </c>
      <c r="F419" s="8" t="str">
        <f aca="false">IFERROR(INDEX(Section_Master!$D$2:$D$477,MATCH($E419,Section_Master!$A$2:$A$477,0))&amp;"","")</f>
        <v>Rigorous imprisonment not less than 20 years, may extend to life (remainder of natural life), and fine; life or death if victim is under 18 [s.70]</v>
      </c>
      <c r="G419" s="10" t="str">
        <f aca="false">IFERROR(INDEX(Section_Master!$E$2:$E$477,MATCH($E419,Section_Master!$A$2:$A$477,0))&amp;"","")</f>
        <v>Yes</v>
      </c>
      <c r="H419" s="10" t="str">
        <f aca="false">IFERROR(INDEX(Section_Master!$F$2:$F$477,MATCH($E419,Section_Master!$A$2:$A$477,0))&amp;"","")</f>
        <v>No</v>
      </c>
      <c r="I419" s="10" t="str">
        <f aca="false">IFERROR(INDEX(Section_Master!$G$2:$G$477,MATCH($E419,Section_Master!$A$2:$A$477,0))&amp;"","")</f>
        <v>No</v>
      </c>
      <c r="J419" s="10" t="s">
        <v>58</v>
      </c>
      <c r="K419" s="8" t="s">
        <v>1019</v>
      </c>
    </row>
    <row r="420" customFormat="false" ht="34.5" hidden="false" customHeight="true" outlineLevel="0" collapsed="false">
      <c r="A420" s="10" t="s">
        <v>1026</v>
      </c>
      <c r="B420" s="10" t="s">
        <v>45</v>
      </c>
      <c r="C420" s="8" t="s">
        <v>1017</v>
      </c>
      <c r="D420" s="8" t="s">
        <v>1027</v>
      </c>
      <c r="E420" s="11" t="n">
        <v>70</v>
      </c>
      <c r="F420" s="8" t="str">
        <f aca="false">IFERROR(INDEX(Section_Master!$D$2:$D$477,MATCH($E420,Section_Master!$A$2:$A$477,0))&amp;"","")</f>
        <v>Rigorous imprisonment not less than 20 years, may extend to life (remainder of natural life), and fine; life or death if victim is under 18 [s.70]</v>
      </c>
      <c r="G420" s="10" t="str">
        <f aca="false">IFERROR(INDEX(Section_Master!$E$2:$E$477,MATCH($E420,Section_Master!$A$2:$A$477,0))&amp;"","")</f>
        <v>Yes</v>
      </c>
      <c r="H420" s="10" t="str">
        <f aca="false">IFERROR(INDEX(Section_Master!$F$2:$F$477,MATCH($E420,Section_Master!$A$2:$A$477,0))&amp;"","")</f>
        <v>No</v>
      </c>
      <c r="I420" s="10" t="str">
        <f aca="false">IFERROR(INDEX(Section_Master!$G$2:$G$477,MATCH($E420,Section_Master!$A$2:$A$477,0))&amp;"","")</f>
        <v>No</v>
      </c>
      <c r="J420" s="10" t="s">
        <v>61</v>
      </c>
      <c r="K420" s="8" t="s">
        <v>1019</v>
      </c>
    </row>
    <row r="421" customFormat="false" ht="34.5" hidden="false" customHeight="true" outlineLevel="0" collapsed="false">
      <c r="A421" s="10" t="s">
        <v>1028</v>
      </c>
      <c r="B421" s="10" t="s">
        <v>45</v>
      </c>
      <c r="C421" s="8" t="s">
        <v>1017</v>
      </c>
      <c r="D421" s="8" t="s">
        <v>1029</v>
      </c>
      <c r="E421" s="11" t="n">
        <v>70</v>
      </c>
      <c r="F421" s="8" t="str">
        <f aca="false">IFERROR(INDEX(Section_Master!$D$2:$D$477,MATCH($E421,Section_Master!$A$2:$A$477,0))&amp;"","")</f>
        <v>Rigorous imprisonment not less than 20 years, may extend to life (remainder of natural life), and fine; life or death if victim is under 18 [s.70]</v>
      </c>
      <c r="G421" s="10" t="str">
        <f aca="false">IFERROR(INDEX(Section_Master!$E$2:$E$477,MATCH($E421,Section_Master!$A$2:$A$477,0))&amp;"","")</f>
        <v>Yes</v>
      </c>
      <c r="H421" s="10" t="str">
        <f aca="false">IFERROR(INDEX(Section_Master!$F$2:$F$477,MATCH($E421,Section_Master!$A$2:$A$477,0))&amp;"","")</f>
        <v>No</v>
      </c>
      <c r="I421" s="10" t="str">
        <f aca="false">IFERROR(INDEX(Section_Master!$G$2:$G$477,MATCH($E421,Section_Master!$A$2:$A$477,0))&amp;"","")</f>
        <v>No</v>
      </c>
      <c r="J421" s="10" t="s">
        <v>64</v>
      </c>
      <c r="K421" s="8" t="s">
        <v>1019</v>
      </c>
    </row>
    <row r="422" customFormat="false" ht="34.5" hidden="false" customHeight="true" outlineLevel="0" collapsed="false">
      <c r="A422" s="10" t="s">
        <v>1030</v>
      </c>
      <c r="B422" s="10" t="s">
        <v>45</v>
      </c>
      <c r="C422" s="8" t="s">
        <v>1031</v>
      </c>
      <c r="D422" s="8" t="s">
        <v>1032</v>
      </c>
      <c r="E422" s="11" t="n">
        <v>71</v>
      </c>
      <c r="F422" s="8" t="str">
        <f aca="false">IFERROR(INDEX(Section_Master!$D$2:$D$477,MATCH($E422,Section_Master!$A$2:$A$477,0))&amp;"","")</f>
        <v>Imprisonment for life (remainder of natural life), or death</v>
      </c>
      <c r="G422" s="10" t="str">
        <f aca="false">IFERROR(INDEX(Section_Master!$E$2:$E$477,MATCH($E422,Section_Master!$A$2:$A$477,0))&amp;"","")</f>
        <v>Yes</v>
      </c>
      <c r="H422" s="10" t="str">
        <f aca="false">IFERROR(INDEX(Section_Master!$F$2:$F$477,MATCH($E422,Section_Master!$A$2:$A$477,0))&amp;"","")</f>
        <v>No</v>
      </c>
      <c r="I422" s="10" t="str">
        <f aca="false">IFERROR(INDEX(Section_Master!$G$2:$G$477,MATCH($E422,Section_Master!$A$2:$A$477,0))&amp;"","")</f>
        <v>No</v>
      </c>
      <c r="J422" s="10" t="s">
        <v>48</v>
      </c>
      <c r="K422" s="8" t="s">
        <v>1033</v>
      </c>
    </row>
    <row r="423" customFormat="false" ht="45.75" hidden="false" customHeight="true" outlineLevel="0" collapsed="false">
      <c r="A423" s="10" t="s">
        <v>1034</v>
      </c>
      <c r="B423" s="10" t="s">
        <v>45</v>
      </c>
      <c r="C423" s="8" t="s">
        <v>1031</v>
      </c>
      <c r="D423" s="8" t="s">
        <v>1035</v>
      </c>
      <c r="E423" s="11" t="n">
        <v>71</v>
      </c>
      <c r="F423" s="8" t="str">
        <f aca="false">IFERROR(INDEX(Section_Master!$D$2:$D$477,MATCH($E423,Section_Master!$A$2:$A$477,0))&amp;"","")</f>
        <v>Imprisonment for life (remainder of natural life), or death</v>
      </c>
      <c r="G423" s="10" t="str">
        <f aca="false">IFERROR(INDEX(Section_Master!$E$2:$E$477,MATCH($E423,Section_Master!$A$2:$A$477,0))&amp;"","")</f>
        <v>Yes</v>
      </c>
      <c r="H423" s="10" t="str">
        <f aca="false">IFERROR(INDEX(Section_Master!$F$2:$F$477,MATCH($E423,Section_Master!$A$2:$A$477,0))&amp;"","")</f>
        <v>No</v>
      </c>
      <c r="I423" s="10" t="str">
        <f aca="false">IFERROR(INDEX(Section_Master!$G$2:$G$477,MATCH($E423,Section_Master!$A$2:$A$477,0))&amp;"","")</f>
        <v>No</v>
      </c>
      <c r="J423" s="10" t="s">
        <v>52</v>
      </c>
      <c r="K423" s="8" t="s">
        <v>1033</v>
      </c>
    </row>
    <row r="424" customFormat="false" ht="34.5" hidden="false" customHeight="true" outlineLevel="0" collapsed="false">
      <c r="A424" s="10" t="s">
        <v>1036</v>
      </c>
      <c r="B424" s="10" t="s">
        <v>45</v>
      </c>
      <c r="C424" s="8" t="s">
        <v>1031</v>
      </c>
      <c r="D424" s="8" t="s">
        <v>1037</v>
      </c>
      <c r="E424" s="11" t="n">
        <v>71</v>
      </c>
      <c r="F424" s="8" t="str">
        <f aca="false">IFERROR(INDEX(Section_Master!$D$2:$D$477,MATCH($E424,Section_Master!$A$2:$A$477,0))&amp;"","")</f>
        <v>Imprisonment for life (remainder of natural life), or death</v>
      </c>
      <c r="G424" s="10" t="str">
        <f aca="false">IFERROR(INDEX(Section_Master!$E$2:$E$477,MATCH($E424,Section_Master!$A$2:$A$477,0))&amp;"","")</f>
        <v>Yes</v>
      </c>
      <c r="H424" s="10" t="str">
        <f aca="false">IFERROR(INDEX(Section_Master!$F$2:$F$477,MATCH($E424,Section_Master!$A$2:$A$477,0))&amp;"","")</f>
        <v>No</v>
      </c>
      <c r="I424" s="10" t="str">
        <f aca="false">IFERROR(INDEX(Section_Master!$G$2:$G$477,MATCH($E424,Section_Master!$A$2:$A$477,0))&amp;"","")</f>
        <v>No</v>
      </c>
      <c r="J424" s="10" t="s">
        <v>55</v>
      </c>
      <c r="K424" s="8" t="s">
        <v>1033</v>
      </c>
    </row>
    <row r="425" customFormat="false" ht="34.5" hidden="false" customHeight="true" outlineLevel="0" collapsed="false">
      <c r="A425" s="10" t="s">
        <v>1038</v>
      </c>
      <c r="B425" s="10" t="s">
        <v>45</v>
      </c>
      <c r="C425" s="8" t="s">
        <v>1031</v>
      </c>
      <c r="D425" s="8" t="s">
        <v>1039</v>
      </c>
      <c r="E425" s="11" t="n">
        <v>71</v>
      </c>
      <c r="F425" s="8" t="str">
        <f aca="false">IFERROR(INDEX(Section_Master!$D$2:$D$477,MATCH($E425,Section_Master!$A$2:$A$477,0))&amp;"","")</f>
        <v>Imprisonment for life (remainder of natural life), or death</v>
      </c>
      <c r="G425" s="10" t="str">
        <f aca="false">IFERROR(INDEX(Section_Master!$E$2:$E$477,MATCH($E425,Section_Master!$A$2:$A$477,0))&amp;"","")</f>
        <v>Yes</v>
      </c>
      <c r="H425" s="10" t="str">
        <f aca="false">IFERROR(INDEX(Section_Master!$F$2:$F$477,MATCH($E425,Section_Master!$A$2:$A$477,0))&amp;"","")</f>
        <v>No</v>
      </c>
      <c r="I425" s="10" t="str">
        <f aca="false">IFERROR(INDEX(Section_Master!$G$2:$G$477,MATCH($E425,Section_Master!$A$2:$A$477,0))&amp;"","")</f>
        <v>No</v>
      </c>
      <c r="J425" s="10" t="s">
        <v>58</v>
      </c>
      <c r="K425" s="8" t="s">
        <v>1033</v>
      </c>
    </row>
    <row r="426" customFormat="false" ht="34.5" hidden="false" customHeight="true" outlineLevel="0" collapsed="false">
      <c r="A426" s="10" t="s">
        <v>1040</v>
      </c>
      <c r="B426" s="10" t="s">
        <v>45</v>
      </c>
      <c r="C426" s="8" t="s">
        <v>1031</v>
      </c>
      <c r="D426" s="8" t="s">
        <v>1041</v>
      </c>
      <c r="E426" s="11" t="n">
        <v>71</v>
      </c>
      <c r="F426" s="8" t="str">
        <f aca="false">IFERROR(INDEX(Section_Master!$D$2:$D$477,MATCH($E426,Section_Master!$A$2:$A$477,0))&amp;"","")</f>
        <v>Imprisonment for life (remainder of natural life), or death</v>
      </c>
      <c r="G426" s="10" t="str">
        <f aca="false">IFERROR(INDEX(Section_Master!$E$2:$E$477,MATCH($E426,Section_Master!$A$2:$A$477,0))&amp;"","")</f>
        <v>Yes</v>
      </c>
      <c r="H426" s="10" t="str">
        <f aca="false">IFERROR(INDEX(Section_Master!$F$2:$F$477,MATCH($E426,Section_Master!$A$2:$A$477,0))&amp;"","")</f>
        <v>No</v>
      </c>
      <c r="I426" s="10" t="str">
        <f aca="false">IFERROR(INDEX(Section_Master!$G$2:$G$477,MATCH($E426,Section_Master!$A$2:$A$477,0))&amp;"","")</f>
        <v>No</v>
      </c>
      <c r="J426" s="10" t="s">
        <v>61</v>
      </c>
      <c r="K426" s="8" t="s">
        <v>1033</v>
      </c>
    </row>
    <row r="427" customFormat="false" ht="34.5" hidden="false" customHeight="true" outlineLevel="0" collapsed="false">
      <c r="A427" s="10" t="s">
        <v>1042</v>
      </c>
      <c r="B427" s="10" t="s">
        <v>45</v>
      </c>
      <c r="C427" s="8" t="s">
        <v>1031</v>
      </c>
      <c r="D427" s="8" t="s">
        <v>1043</v>
      </c>
      <c r="E427" s="11" t="n">
        <v>71</v>
      </c>
      <c r="F427" s="8" t="str">
        <f aca="false">IFERROR(INDEX(Section_Master!$D$2:$D$477,MATCH($E427,Section_Master!$A$2:$A$477,0))&amp;"","")</f>
        <v>Imprisonment for life (remainder of natural life), or death</v>
      </c>
      <c r="G427" s="10" t="str">
        <f aca="false">IFERROR(INDEX(Section_Master!$E$2:$E$477,MATCH($E427,Section_Master!$A$2:$A$477,0))&amp;"","")</f>
        <v>Yes</v>
      </c>
      <c r="H427" s="10" t="str">
        <f aca="false">IFERROR(INDEX(Section_Master!$F$2:$F$477,MATCH($E427,Section_Master!$A$2:$A$477,0))&amp;"","")</f>
        <v>No</v>
      </c>
      <c r="I427" s="10" t="str">
        <f aca="false">IFERROR(INDEX(Section_Master!$G$2:$G$477,MATCH($E427,Section_Master!$A$2:$A$477,0))&amp;"","")</f>
        <v>No</v>
      </c>
      <c r="J427" s="10" t="s">
        <v>64</v>
      </c>
      <c r="K427" s="8" t="s">
        <v>1033</v>
      </c>
    </row>
    <row r="428" customFormat="false" ht="34.5" hidden="false" customHeight="true" outlineLevel="0" collapsed="false">
      <c r="A428" s="10" t="s">
        <v>1044</v>
      </c>
      <c r="B428" s="10" t="s">
        <v>45</v>
      </c>
      <c r="C428" s="8" t="s">
        <v>1045</v>
      </c>
      <c r="D428" s="8" t="s">
        <v>1046</v>
      </c>
      <c r="E428" s="11" t="n">
        <v>72</v>
      </c>
      <c r="F428" s="8" t="str">
        <f aca="false">IFERROR(INDEX(Section_Master!$D$2:$D$477,MATCH($E428,Section_Master!$A$2:$A$477,0))&amp;"","")</f>
        <v>Imprisonment up to 2 years and fine</v>
      </c>
      <c r="G428" s="10" t="str">
        <f aca="false">IFERROR(INDEX(Section_Master!$E$2:$E$477,MATCH($E428,Section_Master!$A$2:$A$477,0))&amp;"","")</f>
        <v>Yes</v>
      </c>
      <c r="H428" s="10" t="str">
        <f aca="false">IFERROR(INDEX(Section_Master!$F$2:$F$477,MATCH($E428,Section_Master!$A$2:$A$477,0))&amp;"","")</f>
        <v>Yes</v>
      </c>
      <c r="I428" s="10" t="str">
        <f aca="false">IFERROR(INDEX(Section_Master!$G$2:$G$477,MATCH($E428,Section_Master!$A$2:$A$477,0))&amp;"","")</f>
        <v>No</v>
      </c>
      <c r="J428" s="10" t="s">
        <v>48</v>
      </c>
      <c r="K428" s="8" t="s">
        <v>1047</v>
      </c>
    </row>
    <row r="429" customFormat="false" ht="34.5" hidden="false" customHeight="true" outlineLevel="0" collapsed="false">
      <c r="A429" s="10" t="s">
        <v>1048</v>
      </c>
      <c r="B429" s="10" t="s">
        <v>45</v>
      </c>
      <c r="C429" s="8" t="s">
        <v>1045</v>
      </c>
      <c r="D429" s="8" t="s">
        <v>1049</v>
      </c>
      <c r="E429" s="11" t="n">
        <v>72</v>
      </c>
      <c r="F429" s="8" t="str">
        <f aca="false">IFERROR(INDEX(Section_Master!$D$2:$D$477,MATCH($E429,Section_Master!$A$2:$A$477,0))&amp;"","")</f>
        <v>Imprisonment up to 2 years and fine</v>
      </c>
      <c r="G429" s="10" t="str">
        <f aca="false">IFERROR(INDEX(Section_Master!$E$2:$E$477,MATCH($E429,Section_Master!$A$2:$A$477,0))&amp;"","")</f>
        <v>Yes</v>
      </c>
      <c r="H429" s="10" t="str">
        <f aca="false">IFERROR(INDEX(Section_Master!$F$2:$F$477,MATCH($E429,Section_Master!$A$2:$A$477,0))&amp;"","")</f>
        <v>Yes</v>
      </c>
      <c r="I429" s="10" t="str">
        <f aca="false">IFERROR(INDEX(Section_Master!$G$2:$G$477,MATCH($E429,Section_Master!$A$2:$A$477,0))&amp;"","")</f>
        <v>No</v>
      </c>
      <c r="J429" s="10" t="s">
        <v>52</v>
      </c>
      <c r="K429" s="8" t="s">
        <v>1047</v>
      </c>
    </row>
    <row r="430" customFormat="false" ht="34.5" hidden="false" customHeight="true" outlineLevel="0" collapsed="false">
      <c r="A430" s="10" t="s">
        <v>1050</v>
      </c>
      <c r="B430" s="10" t="s">
        <v>45</v>
      </c>
      <c r="C430" s="8" t="s">
        <v>1045</v>
      </c>
      <c r="D430" s="8" t="s">
        <v>1051</v>
      </c>
      <c r="E430" s="11" t="n">
        <v>72</v>
      </c>
      <c r="F430" s="8" t="str">
        <f aca="false">IFERROR(INDEX(Section_Master!$D$2:$D$477,MATCH($E430,Section_Master!$A$2:$A$477,0))&amp;"","")</f>
        <v>Imprisonment up to 2 years and fine</v>
      </c>
      <c r="G430" s="10" t="str">
        <f aca="false">IFERROR(INDEX(Section_Master!$E$2:$E$477,MATCH($E430,Section_Master!$A$2:$A$477,0))&amp;"","")</f>
        <v>Yes</v>
      </c>
      <c r="H430" s="10" t="str">
        <f aca="false">IFERROR(INDEX(Section_Master!$F$2:$F$477,MATCH($E430,Section_Master!$A$2:$A$477,0))&amp;"","")</f>
        <v>Yes</v>
      </c>
      <c r="I430" s="10" t="str">
        <f aca="false">IFERROR(INDEX(Section_Master!$G$2:$G$477,MATCH($E430,Section_Master!$A$2:$A$477,0))&amp;"","")</f>
        <v>No</v>
      </c>
      <c r="J430" s="10" t="s">
        <v>55</v>
      </c>
      <c r="K430" s="8" t="s">
        <v>1047</v>
      </c>
    </row>
    <row r="431" customFormat="false" ht="34.5" hidden="false" customHeight="true" outlineLevel="0" collapsed="false">
      <c r="A431" s="10" t="s">
        <v>1052</v>
      </c>
      <c r="B431" s="10" t="s">
        <v>45</v>
      </c>
      <c r="C431" s="8" t="s">
        <v>1045</v>
      </c>
      <c r="D431" s="8" t="s">
        <v>1053</v>
      </c>
      <c r="E431" s="11" t="n">
        <v>72</v>
      </c>
      <c r="F431" s="8" t="str">
        <f aca="false">IFERROR(INDEX(Section_Master!$D$2:$D$477,MATCH($E431,Section_Master!$A$2:$A$477,0))&amp;"","")</f>
        <v>Imprisonment up to 2 years and fine</v>
      </c>
      <c r="G431" s="10" t="str">
        <f aca="false">IFERROR(INDEX(Section_Master!$E$2:$E$477,MATCH($E431,Section_Master!$A$2:$A$477,0))&amp;"","")</f>
        <v>Yes</v>
      </c>
      <c r="H431" s="10" t="str">
        <f aca="false">IFERROR(INDEX(Section_Master!$F$2:$F$477,MATCH($E431,Section_Master!$A$2:$A$477,0))&amp;"","")</f>
        <v>Yes</v>
      </c>
      <c r="I431" s="10" t="str">
        <f aca="false">IFERROR(INDEX(Section_Master!$G$2:$G$477,MATCH($E431,Section_Master!$A$2:$A$477,0))&amp;"","")</f>
        <v>No</v>
      </c>
      <c r="J431" s="10" t="s">
        <v>58</v>
      </c>
      <c r="K431" s="8" t="s">
        <v>1047</v>
      </c>
    </row>
    <row r="432" customFormat="false" ht="34.5" hidden="false" customHeight="true" outlineLevel="0" collapsed="false">
      <c r="A432" s="10" t="s">
        <v>1054</v>
      </c>
      <c r="B432" s="10" t="s">
        <v>45</v>
      </c>
      <c r="C432" s="8" t="s">
        <v>1045</v>
      </c>
      <c r="D432" s="8" t="s">
        <v>1055</v>
      </c>
      <c r="E432" s="11" t="n">
        <v>72</v>
      </c>
      <c r="F432" s="8" t="str">
        <f aca="false">IFERROR(INDEX(Section_Master!$D$2:$D$477,MATCH($E432,Section_Master!$A$2:$A$477,0))&amp;"","")</f>
        <v>Imprisonment up to 2 years and fine</v>
      </c>
      <c r="G432" s="10" t="str">
        <f aca="false">IFERROR(INDEX(Section_Master!$E$2:$E$477,MATCH($E432,Section_Master!$A$2:$A$477,0))&amp;"","")</f>
        <v>Yes</v>
      </c>
      <c r="H432" s="10" t="str">
        <f aca="false">IFERROR(INDEX(Section_Master!$F$2:$F$477,MATCH($E432,Section_Master!$A$2:$A$477,0))&amp;"","")</f>
        <v>Yes</v>
      </c>
      <c r="I432" s="10" t="str">
        <f aca="false">IFERROR(INDEX(Section_Master!$G$2:$G$477,MATCH($E432,Section_Master!$A$2:$A$477,0))&amp;"","")</f>
        <v>No</v>
      </c>
      <c r="J432" s="10" t="s">
        <v>61</v>
      </c>
      <c r="K432" s="8" t="s">
        <v>1047</v>
      </c>
    </row>
    <row r="433" customFormat="false" ht="34.5" hidden="false" customHeight="true" outlineLevel="0" collapsed="false">
      <c r="A433" s="10" t="s">
        <v>1056</v>
      </c>
      <c r="B433" s="10" t="s">
        <v>45</v>
      </c>
      <c r="C433" s="8" t="s">
        <v>1045</v>
      </c>
      <c r="D433" s="8" t="s">
        <v>1057</v>
      </c>
      <c r="E433" s="11" t="n">
        <v>72</v>
      </c>
      <c r="F433" s="8" t="str">
        <f aca="false">IFERROR(INDEX(Section_Master!$D$2:$D$477,MATCH($E433,Section_Master!$A$2:$A$477,0))&amp;"","")</f>
        <v>Imprisonment up to 2 years and fine</v>
      </c>
      <c r="G433" s="10" t="str">
        <f aca="false">IFERROR(INDEX(Section_Master!$E$2:$E$477,MATCH($E433,Section_Master!$A$2:$A$477,0))&amp;"","")</f>
        <v>Yes</v>
      </c>
      <c r="H433" s="10" t="str">
        <f aca="false">IFERROR(INDEX(Section_Master!$F$2:$F$477,MATCH($E433,Section_Master!$A$2:$A$477,0))&amp;"","")</f>
        <v>Yes</v>
      </c>
      <c r="I433" s="10" t="str">
        <f aca="false">IFERROR(INDEX(Section_Master!$G$2:$G$477,MATCH($E433,Section_Master!$A$2:$A$477,0))&amp;"","")</f>
        <v>No</v>
      </c>
      <c r="J433" s="10" t="s">
        <v>64</v>
      </c>
      <c r="K433" s="8" t="s">
        <v>1047</v>
      </c>
    </row>
    <row r="434" customFormat="false" ht="34.5" hidden="false" customHeight="true" outlineLevel="0" collapsed="false">
      <c r="A434" s="10" t="s">
        <v>1058</v>
      </c>
      <c r="B434" s="10" t="s">
        <v>45</v>
      </c>
      <c r="C434" s="8" t="s">
        <v>1059</v>
      </c>
      <c r="D434" s="8" t="s">
        <v>1060</v>
      </c>
      <c r="E434" s="11" t="n">
        <v>73</v>
      </c>
      <c r="F434" s="8" t="str">
        <f aca="false">IFERROR(INDEX(Section_Master!$D$2:$D$477,MATCH($E434,Section_Master!$A$2:$A$477,0))&amp;"","")</f>
        <v>Imprisonment up to 2 years and fine</v>
      </c>
      <c r="G434" s="10" t="str">
        <f aca="false">IFERROR(INDEX(Section_Master!$E$2:$E$477,MATCH($E434,Section_Master!$A$2:$A$477,0))&amp;"","")</f>
        <v>Yes</v>
      </c>
      <c r="H434" s="10" t="str">
        <f aca="false">IFERROR(INDEX(Section_Master!$F$2:$F$477,MATCH($E434,Section_Master!$A$2:$A$477,0))&amp;"","")</f>
        <v>Yes</v>
      </c>
      <c r="I434" s="10" t="str">
        <f aca="false">IFERROR(INDEX(Section_Master!$G$2:$G$477,MATCH($E434,Section_Master!$A$2:$A$477,0))&amp;"","")</f>
        <v>No</v>
      </c>
      <c r="J434" s="10" t="s">
        <v>48</v>
      </c>
      <c r="K434" s="8" t="s">
        <v>1061</v>
      </c>
    </row>
    <row r="435" customFormat="false" ht="45.75" hidden="false" customHeight="true" outlineLevel="0" collapsed="false">
      <c r="A435" s="10" t="s">
        <v>1062</v>
      </c>
      <c r="B435" s="10" t="s">
        <v>45</v>
      </c>
      <c r="C435" s="8" t="s">
        <v>1059</v>
      </c>
      <c r="D435" s="8" t="s">
        <v>1063</v>
      </c>
      <c r="E435" s="11" t="n">
        <v>73</v>
      </c>
      <c r="F435" s="8" t="str">
        <f aca="false">IFERROR(INDEX(Section_Master!$D$2:$D$477,MATCH($E435,Section_Master!$A$2:$A$477,0))&amp;"","")</f>
        <v>Imprisonment up to 2 years and fine</v>
      </c>
      <c r="G435" s="10" t="str">
        <f aca="false">IFERROR(INDEX(Section_Master!$E$2:$E$477,MATCH($E435,Section_Master!$A$2:$A$477,0))&amp;"","")</f>
        <v>Yes</v>
      </c>
      <c r="H435" s="10" t="str">
        <f aca="false">IFERROR(INDEX(Section_Master!$F$2:$F$477,MATCH($E435,Section_Master!$A$2:$A$477,0))&amp;"","")</f>
        <v>Yes</v>
      </c>
      <c r="I435" s="10" t="str">
        <f aca="false">IFERROR(INDEX(Section_Master!$G$2:$G$477,MATCH($E435,Section_Master!$A$2:$A$477,0))&amp;"","")</f>
        <v>No</v>
      </c>
      <c r="J435" s="10" t="s">
        <v>52</v>
      </c>
      <c r="K435" s="8" t="s">
        <v>1061</v>
      </c>
    </row>
    <row r="436" customFormat="false" ht="34.5" hidden="false" customHeight="true" outlineLevel="0" collapsed="false">
      <c r="A436" s="10" t="s">
        <v>1064</v>
      </c>
      <c r="B436" s="10" t="s">
        <v>45</v>
      </c>
      <c r="C436" s="8" t="s">
        <v>1059</v>
      </c>
      <c r="D436" s="8" t="s">
        <v>1065</v>
      </c>
      <c r="E436" s="11" t="n">
        <v>73</v>
      </c>
      <c r="F436" s="8" t="str">
        <f aca="false">IFERROR(INDEX(Section_Master!$D$2:$D$477,MATCH($E436,Section_Master!$A$2:$A$477,0))&amp;"","")</f>
        <v>Imprisonment up to 2 years and fine</v>
      </c>
      <c r="G436" s="10" t="str">
        <f aca="false">IFERROR(INDEX(Section_Master!$E$2:$E$477,MATCH($E436,Section_Master!$A$2:$A$477,0))&amp;"","")</f>
        <v>Yes</v>
      </c>
      <c r="H436" s="10" t="str">
        <f aca="false">IFERROR(INDEX(Section_Master!$F$2:$F$477,MATCH($E436,Section_Master!$A$2:$A$477,0))&amp;"","")</f>
        <v>Yes</v>
      </c>
      <c r="I436" s="10" t="str">
        <f aca="false">IFERROR(INDEX(Section_Master!$G$2:$G$477,MATCH($E436,Section_Master!$A$2:$A$477,0))&amp;"","")</f>
        <v>No</v>
      </c>
      <c r="J436" s="10" t="s">
        <v>55</v>
      </c>
      <c r="K436" s="8" t="s">
        <v>1061</v>
      </c>
    </row>
    <row r="437" customFormat="false" ht="34.5" hidden="false" customHeight="true" outlineLevel="0" collapsed="false">
      <c r="A437" s="10" t="s">
        <v>1066</v>
      </c>
      <c r="B437" s="10" t="s">
        <v>45</v>
      </c>
      <c r="C437" s="8" t="s">
        <v>1059</v>
      </c>
      <c r="D437" s="8" t="s">
        <v>1067</v>
      </c>
      <c r="E437" s="11" t="n">
        <v>73</v>
      </c>
      <c r="F437" s="8" t="str">
        <f aca="false">IFERROR(INDEX(Section_Master!$D$2:$D$477,MATCH($E437,Section_Master!$A$2:$A$477,0))&amp;"","")</f>
        <v>Imprisonment up to 2 years and fine</v>
      </c>
      <c r="G437" s="10" t="str">
        <f aca="false">IFERROR(INDEX(Section_Master!$E$2:$E$477,MATCH($E437,Section_Master!$A$2:$A$477,0))&amp;"","")</f>
        <v>Yes</v>
      </c>
      <c r="H437" s="10" t="str">
        <f aca="false">IFERROR(INDEX(Section_Master!$F$2:$F$477,MATCH($E437,Section_Master!$A$2:$A$477,0))&amp;"","")</f>
        <v>Yes</v>
      </c>
      <c r="I437" s="10" t="str">
        <f aca="false">IFERROR(INDEX(Section_Master!$G$2:$G$477,MATCH($E437,Section_Master!$A$2:$A$477,0))&amp;"","")</f>
        <v>No</v>
      </c>
      <c r="J437" s="10" t="s">
        <v>58</v>
      </c>
      <c r="K437" s="8" t="s">
        <v>1061</v>
      </c>
    </row>
    <row r="438" customFormat="false" ht="34.5" hidden="false" customHeight="true" outlineLevel="0" collapsed="false">
      <c r="A438" s="10" t="s">
        <v>1068</v>
      </c>
      <c r="B438" s="10" t="s">
        <v>45</v>
      </c>
      <c r="C438" s="8" t="s">
        <v>1059</v>
      </c>
      <c r="D438" s="8" t="s">
        <v>1069</v>
      </c>
      <c r="E438" s="11" t="n">
        <v>73</v>
      </c>
      <c r="F438" s="8" t="str">
        <f aca="false">IFERROR(INDEX(Section_Master!$D$2:$D$477,MATCH($E438,Section_Master!$A$2:$A$477,0))&amp;"","")</f>
        <v>Imprisonment up to 2 years and fine</v>
      </c>
      <c r="G438" s="10" t="str">
        <f aca="false">IFERROR(INDEX(Section_Master!$E$2:$E$477,MATCH($E438,Section_Master!$A$2:$A$477,0))&amp;"","")</f>
        <v>Yes</v>
      </c>
      <c r="H438" s="10" t="str">
        <f aca="false">IFERROR(INDEX(Section_Master!$F$2:$F$477,MATCH($E438,Section_Master!$A$2:$A$477,0))&amp;"","")</f>
        <v>Yes</v>
      </c>
      <c r="I438" s="10" t="str">
        <f aca="false">IFERROR(INDEX(Section_Master!$G$2:$G$477,MATCH($E438,Section_Master!$A$2:$A$477,0))&amp;"","")</f>
        <v>No</v>
      </c>
      <c r="J438" s="10" t="s">
        <v>61</v>
      </c>
      <c r="K438" s="8" t="s">
        <v>1061</v>
      </c>
    </row>
    <row r="439" customFormat="false" ht="34.5" hidden="false" customHeight="true" outlineLevel="0" collapsed="false">
      <c r="A439" s="10" t="s">
        <v>1070</v>
      </c>
      <c r="B439" s="10" t="s">
        <v>45</v>
      </c>
      <c r="C439" s="8" t="s">
        <v>1059</v>
      </c>
      <c r="D439" s="8" t="s">
        <v>1071</v>
      </c>
      <c r="E439" s="11" t="n">
        <v>73</v>
      </c>
      <c r="F439" s="8" t="str">
        <f aca="false">IFERROR(INDEX(Section_Master!$D$2:$D$477,MATCH($E439,Section_Master!$A$2:$A$477,0))&amp;"","")</f>
        <v>Imprisonment up to 2 years and fine</v>
      </c>
      <c r="G439" s="10" t="str">
        <f aca="false">IFERROR(INDEX(Section_Master!$E$2:$E$477,MATCH($E439,Section_Master!$A$2:$A$477,0))&amp;"","")</f>
        <v>Yes</v>
      </c>
      <c r="H439" s="10" t="str">
        <f aca="false">IFERROR(INDEX(Section_Master!$F$2:$F$477,MATCH($E439,Section_Master!$A$2:$A$477,0))&amp;"","")</f>
        <v>Yes</v>
      </c>
      <c r="I439" s="10" t="str">
        <f aca="false">IFERROR(INDEX(Section_Master!$G$2:$G$477,MATCH($E439,Section_Master!$A$2:$A$477,0))&amp;"","")</f>
        <v>No</v>
      </c>
      <c r="J439" s="10" t="s">
        <v>64</v>
      </c>
      <c r="K439" s="8" t="s">
        <v>1061</v>
      </c>
    </row>
    <row r="440" customFormat="false" ht="34.5" hidden="false" customHeight="true" outlineLevel="0" collapsed="false">
      <c r="A440" s="10" t="s">
        <v>1072</v>
      </c>
      <c r="B440" s="10" t="s">
        <v>45</v>
      </c>
      <c r="C440" s="8" t="s">
        <v>1073</v>
      </c>
      <c r="D440" s="8" t="s">
        <v>1074</v>
      </c>
      <c r="E440" s="11" t="n">
        <v>74</v>
      </c>
      <c r="F440" s="8" t="str">
        <f aca="false">IFERROR(INDEX(Section_Master!$D$2:$D$477,MATCH($E440,Section_Master!$A$2:$A$477,0))&amp;"","")</f>
        <v>Imprisonment not less than 1 year, may extend to 5 years, and fine</v>
      </c>
      <c r="G440" s="10" t="str">
        <f aca="false">IFERROR(INDEX(Section_Master!$E$2:$E$477,MATCH($E440,Section_Master!$A$2:$A$477,0))&amp;"","")</f>
        <v>Yes</v>
      </c>
      <c r="H440" s="10" t="str">
        <f aca="false">IFERROR(INDEX(Section_Master!$F$2:$F$477,MATCH($E440,Section_Master!$A$2:$A$477,0))&amp;"","")</f>
        <v>No</v>
      </c>
      <c r="I440" s="10" t="str">
        <f aca="false">IFERROR(INDEX(Section_Master!$G$2:$G$477,MATCH($E440,Section_Master!$A$2:$A$477,0))&amp;"","")</f>
        <v>No</v>
      </c>
      <c r="J440" s="10" t="s">
        <v>48</v>
      </c>
      <c r="K440" s="8" t="s">
        <v>1075</v>
      </c>
    </row>
    <row r="441" customFormat="false" ht="34.5" hidden="false" customHeight="true" outlineLevel="0" collapsed="false">
      <c r="A441" s="10" t="s">
        <v>1076</v>
      </c>
      <c r="B441" s="10" t="s">
        <v>45</v>
      </c>
      <c r="C441" s="8" t="s">
        <v>1073</v>
      </c>
      <c r="D441" s="8" t="s">
        <v>1077</v>
      </c>
      <c r="E441" s="11" t="n">
        <v>74</v>
      </c>
      <c r="F441" s="8" t="str">
        <f aca="false">IFERROR(INDEX(Section_Master!$D$2:$D$477,MATCH($E441,Section_Master!$A$2:$A$477,0))&amp;"","")</f>
        <v>Imprisonment not less than 1 year, may extend to 5 years, and fine</v>
      </c>
      <c r="G441" s="10" t="str">
        <f aca="false">IFERROR(INDEX(Section_Master!$E$2:$E$477,MATCH($E441,Section_Master!$A$2:$A$477,0))&amp;"","")</f>
        <v>Yes</v>
      </c>
      <c r="H441" s="10" t="str">
        <f aca="false">IFERROR(INDEX(Section_Master!$F$2:$F$477,MATCH($E441,Section_Master!$A$2:$A$477,0))&amp;"","")</f>
        <v>No</v>
      </c>
      <c r="I441" s="10" t="str">
        <f aca="false">IFERROR(INDEX(Section_Master!$G$2:$G$477,MATCH($E441,Section_Master!$A$2:$A$477,0))&amp;"","")</f>
        <v>No</v>
      </c>
      <c r="J441" s="10" t="s">
        <v>52</v>
      </c>
      <c r="K441" s="8" t="s">
        <v>1075</v>
      </c>
    </row>
    <row r="442" customFormat="false" ht="34.5" hidden="false" customHeight="true" outlineLevel="0" collapsed="false">
      <c r="A442" s="10" t="s">
        <v>1078</v>
      </c>
      <c r="B442" s="10" t="s">
        <v>45</v>
      </c>
      <c r="C442" s="8" t="s">
        <v>1073</v>
      </c>
      <c r="D442" s="8" t="s">
        <v>1079</v>
      </c>
      <c r="E442" s="11" t="n">
        <v>74</v>
      </c>
      <c r="F442" s="8" t="str">
        <f aca="false">IFERROR(INDEX(Section_Master!$D$2:$D$477,MATCH($E442,Section_Master!$A$2:$A$477,0))&amp;"","")</f>
        <v>Imprisonment not less than 1 year, may extend to 5 years, and fine</v>
      </c>
      <c r="G442" s="10" t="str">
        <f aca="false">IFERROR(INDEX(Section_Master!$E$2:$E$477,MATCH($E442,Section_Master!$A$2:$A$477,0))&amp;"","")</f>
        <v>Yes</v>
      </c>
      <c r="H442" s="10" t="str">
        <f aca="false">IFERROR(INDEX(Section_Master!$F$2:$F$477,MATCH($E442,Section_Master!$A$2:$A$477,0))&amp;"","")</f>
        <v>No</v>
      </c>
      <c r="I442" s="10" t="str">
        <f aca="false">IFERROR(INDEX(Section_Master!$G$2:$G$477,MATCH($E442,Section_Master!$A$2:$A$477,0))&amp;"","")</f>
        <v>No</v>
      </c>
      <c r="J442" s="10" t="s">
        <v>55</v>
      </c>
      <c r="K442" s="8" t="s">
        <v>1075</v>
      </c>
    </row>
    <row r="443" customFormat="false" ht="34.5" hidden="false" customHeight="true" outlineLevel="0" collapsed="false">
      <c r="A443" s="10" t="s">
        <v>1080</v>
      </c>
      <c r="B443" s="10" t="s">
        <v>45</v>
      </c>
      <c r="C443" s="8" t="s">
        <v>1073</v>
      </c>
      <c r="D443" s="8" t="s">
        <v>1081</v>
      </c>
      <c r="E443" s="11" t="n">
        <v>74</v>
      </c>
      <c r="F443" s="8" t="str">
        <f aca="false">IFERROR(INDEX(Section_Master!$D$2:$D$477,MATCH($E443,Section_Master!$A$2:$A$477,0))&amp;"","")</f>
        <v>Imprisonment not less than 1 year, may extend to 5 years, and fine</v>
      </c>
      <c r="G443" s="10" t="str">
        <f aca="false">IFERROR(INDEX(Section_Master!$E$2:$E$477,MATCH($E443,Section_Master!$A$2:$A$477,0))&amp;"","")</f>
        <v>Yes</v>
      </c>
      <c r="H443" s="10" t="str">
        <f aca="false">IFERROR(INDEX(Section_Master!$F$2:$F$477,MATCH($E443,Section_Master!$A$2:$A$477,0))&amp;"","")</f>
        <v>No</v>
      </c>
      <c r="I443" s="10" t="str">
        <f aca="false">IFERROR(INDEX(Section_Master!$G$2:$G$477,MATCH($E443,Section_Master!$A$2:$A$477,0))&amp;"","")</f>
        <v>No</v>
      </c>
      <c r="J443" s="10" t="s">
        <v>58</v>
      </c>
      <c r="K443" s="8" t="s">
        <v>1075</v>
      </c>
    </row>
    <row r="444" customFormat="false" ht="34.5" hidden="false" customHeight="true" outlineLevel="0" collapsed="false">
      <c r="A444" s="10" t="s">
        <v>1082</v>
      </c>
      <c r="B444" s="10" t="s">
        <v>45</v>
      </c>
      <c r="C444" s="8" t="s">
        <v>1073</v>
      </c>
      <c r="D444" s="8" t="s">
        <v>1083</v>
      </c>
      <c r="E444" s="11" t="n">
        <v>74</v>
      </c>
      <c r="F444" s="8" t="str">
        <f aca="false">IFERROR(INDEX(Section_Master!$D$2:$D$477,MATCH($E444,Section_Master!$A$2:$A$477,0))&amp;"","")</f>
        <v>Imprisonment not less than 1 year, may extend to 5 years, and fine</v>
      </c>
      <c r="G444" s="10" t="str">
        <f aca="false">IFERROR(INDEX(Section_Master!$E$2:$E$477,MATCH($E444,Section_Master!$A$2:$A$477,0))&amp;"","")</f>
        <v>Yes</v>
      </c>
      <c r="H444" s="10" t="str">
        <f aca="false">IFERROR(INDEX(Section_Master!$F$2:$F$477,MATCH($E444,Section_Master!$A$2:$A$477,0))&amp;"","")</f>
        <v>No</v>
      </c>
      <c r="I444" s="10" t="str">
        <f aca="false">IFERROR(INDEX(Section_Master!$G$2:$G$477,MATCH($E444,Section_Master!$A$2:$A$477,0))&amp;"","")</f>
        <v>No</v>
      </c>
      <c r="J444" s="10" t="s">
        <v>61</v>
      </c>
      <c r="K444" s="8" t="s">
        <v>1075</v>
      </c>
    </row>
    <row r="445" customFormat="false" ht="34.5" hidden="false" customHeight="true" outlineLevel="0" collapsed="false">
      <c r="A445" s="10" t="s">
        <v>1084</v>
      </c>
      <c r="B445" s="10" t="s">
        <v>45</v>
      </c>
      <c r="C445" s="8" t="s">
        <v>1073</v>
      </c>
      <c r="D445" s="8" t="s">
        <v>1085</v>
      </c>
      <c r="E445" s="11" t="n">
        <v>74</v>
      </c>
      <c r="F445" s="8" t="str">
        <f aca="false">IFERROR(INDEX(Section_Master!$D$2:$D$477,MATCH($E445,Section_Master!$A$2:$A$477,0))&amp;"","")</f>
        <v>Imprisonment not less than 1 year, may extend to 5 years, and fine</v>
      </c>
      <c r="G445" s="10" t="str">
        <f aca="false">IFERROR(INDEX(Section_Master!$E$2:$E$477,MATCH($E445,Section_Master!$A$2:$A$477,0))&amp;"","")</f>
        <v>Yes</v>
      </c>
      <c r="H445" s="10" t="str">
        <f aca="false">IFERROR(INDEX(Section_Master!$F$2:$F$477,MATCH($E445,Section_Master!$A$2:$A$477,0))&amp;"","")</f>
        <v>No</v>
      </c>
      <c r="I445" s="10" t="str">
        <f aca="false">IFERROR(INDEX(Section_Master!$G$2:$G$477,MATCH($E445,Section_Master!$A$2:$A$477,0))&amp;"","")</f>
        <v>No</v>
      </c>
      <c r="J445" s="10" t="s">
        <v>64</v>
      </c>
      <c r="K445" s="8" t="s">
        <v>1075</v>
      </c>
    </row>
    <row r="446" customFormat="false" ht="45.75" hidden="false" customHeight="true" outlineLevel="0" collapsed="false">
      <c r="A446" s="10" t="s">
        <v>1086</v>
      </c>
      <c r="B446" s="10" t="s">
        <v>45</v>
      </c>
      <c r="C446" s="8" t="s">
        <v>1087</v>
      </c>
      <c r="D446" s="8" t="s">
        <v>1088</v>
      </c>
      <c r="E446" s="11" t="n">
        <v>75</v>
      </c>
      <c r="F446" s="8" t="str">
        <f aca="false">IFERROR(INDEX(Section_Master!$D$2:$D$477,MATCH($E446,Section_Master!$A$2:$A$477,0))&amp;"","")</f>
        <v>Rigorous imprisonment up to 3 years, or fine, or both [s.75(2)]; up to 1 year, or fine, or both for sexually coloured remarks [s.75(3)]</v>
      </c>
      <c r="G446" s="10" t="str">
        <f aca="false">IFERROR(INDEX(Section_Master!$E$2:$E$477,MATCH($E446,Section_Master!$A$2:$A$477,0))&amp;"","")</f>
        <v>Yes</v>
      </c>
      <c r="H446" s="10" t="str">
        <f aca="false">IFERROR(INDEX(Section_Master!$F$2:$F$477,MATCH($E446,Section_Master!$A$2:$A$477,0))&amp;"","")</f>
        <v>Yes</v>
      </c>
      <c r="I446" s="10" t="str">
        <f aca="false">IFERROR(INDEX(Section_Master!$G$2:$G$477,MATCH($E446,Section_Master!$A$2:$A$477,0))&amp;"","")</f>
        <v>No</v>
      </c>
      <c r="J446" s="10" t="s">
        <v>48</v>
      </c>
      <c r="K446" s="8" t="s">
        <v>1089</v>
      </c>
    </row>
    <row r="447" customFormat="false" ht="45.75" hidden="false" customHeight="true" outlineLevel="0" collapsed="false">
      <c r="A447" s="10" t="s">
        <v>1090</v>
      </c>
      <c r="B447" s="10" t="s">
        <v>45</v>
      </c>
      <c r="C447" s="8" t="s">
        <v>1087</v>
      </c>
      <c r="D447" s="8" t="s">
        <v>1091</v>
      </c>
      <c r="E447" s="11" t="n">
        <v>75</v>
      </c>
      <c r="F447" s="8" t="str">
        <f aca="false">IFERROR(INDEX(Section_Master!$D$2:$D$477,MATCH($E447,Section_Master!$A$2:$A$477,0))&amp;"","")</f>
        <v>Rigorous imprisonment up to 3 years, or fine, or both [s.75(2)]; up to 1 year, or fine, or both for sexually coloured remarks [s.75(3)]</v>
      </c>
      <c r="G447" s="10" t="str">
        <f aca="false">IFERROR(INDEX(Section_Master!$E$2:$E$477,MATCH($E447,Section_Master!$A$2:$A$477,0))&amp;"","")</f>
        <v>Yes</v>
      </c>
      <c r="H447" s="10" t="str">
        <f aca="false">IFERROR(INDEX(Section_Master!$F$2:$F$477,MATCH($E447,Section_Master!$A$2:$A$477,0))&amp;"","")</f>
        <v>Yes</v>
      </c>
      <c r="I447" s="10" t="str">
        <f aca="false">IFERROR(INDEX(Section_Master!$G$2:$G$477,MATCH($E447,Section_Master!$A$2:$A$477,0))&amp;"","")</f>
        <v>No</v>
      </c>
      <c r="J447" s="10" t="s">
        <v>52</v>
      </c>
      <c r="K447" s="8" t="s">
        <v>1089</v>
      </c>
    </row>
    <row r="448" customFormat="false" ht="23.25" hidden="false" customHeight="true" outlineLevel="0" collapsed="false">
      <c r="A448" s="10" t="s">
        <v>1092</v>
      </c>
      <c r="B448" s="10" t="s">
        <v>45</v>
      </c>
      <c r="C448" s="8" t="s">
        <v>1087</v>
      </c>
      <c r="D448" s="8" t="s">
        <v>1093</v>
      </c>
      <c r="E448" s="11" t="n">
        <v>75</v>
      </c>
      <c r="F448" s="8" t="str">
        <f aca="false">IFERROR(INDEX(Section_Master!$D$2:$D$477,MATCH($E448,Section_Master!$A$2:$A$477,0))&amp;"","")</f>
        <v>Rigorous imprisonment up to 3 years, or fine, or both [s.75(2)]; up to 1 year, or fine, or both for sexually coloured remarks [s.75(3)]</v>
      </c>
      <c r="G448" s="10" t="str">
        <f aca="false">IFERROR(INDEX(Section_Master!$E$2:$E$477,MATCH($E448,Section_Master!$A$2:$A$477,0))&amp;"","")</f>
        <v>Yes</v>
      </c>
      <c r="H448" s="10" t="str">
        <f aca="false">IFERROR(INDEX(Section_Master!$F$2:$F$477,MATCH($E448,Section_Master!$A$2:$A$477,0))&amp;"","")</f>
        <v>Yes</v>
      </c>
      <c r="I448" s="10" t="str">
        <f aca="false">IFERROR(INDEX(Section_Master!$G$2:$G$477,MATCH($E448,Section_Master!$A$2:$A$477,0))&amp;"","")</f>
        <v>No</v>
      </c>
      <c r="J448" s="10" t="s">
        <v>55</v>
      </c>
      <c r="K448" s="8" t="s">
        <v>1089</v>
      </c>
    </row>
    <row r="449" customFormat="false" ht="34.5" hidden="false" customHeight="true" outlineLevel="0" collapsed="false">
      <c r="A449" s="10" t="s">
        <v>1094</v>
      </c>
      <c r="B449" s="10" t="s">
        <v>45</v>
      </c>
      <c r="C449" s="8" t="s">
        <v>1087</v>
      </c>
      <c r="D449" s="8" t="s">
        <v>1095</v>
      </c>
      <c r="E449" s="11" t="n">
        <v>75</v>
      </c>
      <c r="F449" s="8" t="str">
        <f aca="false">IFERROR(INDEX(Section_Master!$D$2:$D$477,MATCH($E449,Section_Master!$A$2:$A$477,0))&amp;"","")</f>
        <v>Rigorous imprisonment up to 3 years, or fine, or both [s.75(2)]; up to 1 year, or fine, or both for sexually coloured remarks [s.75(3)]</v>
      </c>
      <c r="G449" s="10" t="str">
        <f aca="false">IFERROR(INDEX(Section_Master!$E$2:$E$477,MATCH($E449,Section_Master!$A$2:$A$477,0))&amp;"","")</f>
        <v>Yes</v>
      </c>
      <c r="H449" s="10" t="str">
        <f aca="false">IFERROR(INDEX(Section_Master!$F$2:$F$477,MATCH($E449,Section_Master!$A$2:$A$477,0))&amp;"","")</f>
        <v>Yes</v>
      </c>
      <c r="I449" s="10" t="str">
        <f aca="false">IFERROR(INDEX(Section_Master!$G$2:$G$477,MATCH($E449,Section_Master!$A$2:$A$477,0))&amp;"","")</f>
        <v>No</v>
      </c>
      <c r="J449" s="10" t="s">
        <v>58</v>
      </c>
      <c r="K449" s="8" t="s">
        <v>1089</v>
      </c>
    </row>
    <row r="450" customFormat="false" ht="34.5" hidden="false" customHeight="true" outlineLevel="0" collapsed="false">
      <c r="A450" s="10" t="s">
        <v>1096</v>
      </c>
      <c r="B450" s="10" t="s">
        <v>45</v>
      </c>
      <c r="C450" s="8" t="s">
        <v>1087</v>
      </c>
      <c r="D450" s="8" t="s">
        <v>1097</v>
      </c>
      <c r="E450" s="11" t="n">
        <v>75</v>
      </c>
      <c r="F450" s="8" t="str">
        <f aca="false">IFERROR(INDEX(Section_Master!$D$2:$D$477,MATCH($E450,Section_Master!$A$2:$A$477,0))&amp;"","")</f>
        <v>Rigorous imprisonment up to 3 years, or fine, or both [s.75(2)]; up to 1 year, or fine, or both for sexually coloured remarks [s.75(3)]</v>
      </c>
      <c r="G450" s="10" t="str">
        <f aca="false">IFERROR(INDEX(Section_Master!$E$2:$E$477,MATCH($E450,Section_Master!$A$2:$A$477,0))&amp;"","")</f>
        <v>Yes</v>
      </c>
      <c r="H450" s="10" t="str">
        <f aca="false">IFERROR(INDEX(Section_Master!$F$2:$F$477,MATCH($E450,Section_Master!$A$2:$A$477,0))&amp;"","")</f>
        <v>Yes</v>
      </c>
      <c r="I450" s="10" t="str">
        <f aca="false">IFERROR(INDEX(Section_Master!$G$2:$G$477,MATCH($E450,Section_Master!$A$2:$A$477,0))&amp;"","")</f>
        <v>No</v>
      </c>
      <c r="J450" s="10" t="s">
        <v>61</v>
      </c>
      <c r="K450" s="8" t="s">
        <v>1089</v>
      </c>
    </row>
    <row r="451" customFormat="false" ht="45.75" hidden="false" customHeight="true" outlineLevel="0" collapsed="false">
      <c r="A451" s="10" t="s">
        <v>1098</v>
      </c>
      <c r="B451" s="10" t="s">
        <v>45</v>
      </c>
      <c r="C451" s="8" t="s">
        <v>1087</v>
      </c>
      <c r="D451" s="8" t="s">
        <v>1099</v>
      </c>
      <c r="E451" s="11" t="n">
        <v>75</v>
      </c>
      <c r="F451" s="8" t="str">
        <f aca="false">IFERROR(INDEX(Section_Master!$D$2:$D$477,MATCH($E451,Section_Master!$A$2:$A$477,0))&amp;"","")</f>
        <v>Rigorous imprisonment up to 3 years, or fine, or both [s.75(2)]; up to 1 year, or fine, or both for sexually coloured remarks [s.75(3)]</v>
      </c>
      <c r="G451" s="10" t="str">
        <f aca="false">IFERROR(INDEX(Section_Master!$E$2:$E$477,MATCH($E451,Section_Master!$A$2:$A$477,0))&amp;"","")</f>
        <v>Yes</v>
      </c>
      <c r="H451" s="10" t="str">
        <f aca="false">IFERROR(INDEX(Section_Master!$F$2:$F$477,MATCH($E451,Section_Master!$A$2:$A$477,0))&amp;"","")</f>
        <v>Yes</v>
      </c>
      <c r="I451" s="10" t="str">
        <f aca="false">IFERROR(INDEX(Section_Master!$G$2:$G$477,MATCH($E451,Section_Master!$A$2:$A$477,0))&amp;"","")</f>
        <v>No</v>
      </c>
      <c r="J451" s="10" t="s">
        <v>64</v>
      </c>
      <c r="K451" s="8" t="s">
        <v>1089</v>
      </c>
    </row>
    <row r="452" customFormat="false" ht="34.5" hidden="false" customHeight="true" outlineLevel="0" collapsed="false">
      <c r="A452" s="10" t="s">
        <v>1100</v>
      </c>
      <c r="B452" s="10" t="s">
        <v>45</v>
      </c>
      <c r="C452" s="8" t="s">
        <v>1101</v>
      </c>
      <c r="D452" s="8" t="s">
        <v>1102</v>
      </c>
      <c r="E452" s="11" t="n">
        <v>76</v>
      </c>
      <c r="F452" s="8" t="str">
        <f aca="false">IFERROR(INDEX(Section_Master!$D$2:$D$477,MATCH($E452,Section_Master!$A$2:$A$477,0))&amp;"","")</f>
        <v>Imprisonment not less than 3 years, may extend to 7 years, and fine</v>
      </c>
      <c r="G452" s="10" t="str">
        <f aca="false">IFERROR(INDEX(Section_Master!$E$2:$E$477,MATCH($E452,Section_Master!$A$2:$A$477,0))&amp;"","")</f>
        <v>Yes</v>
      </c>
      <c r="H452" s="10" t="str">
        <f aca="false">IFERROR(INDEX(Section_Master!$F$2:$F$477,MATCH($E452,Section_Master!$A$2:$A$477,0))&amp;"","")</f>
        <v>No</v>
      </c>
      <c r="I452" s="10" t="str">
        <f aca="false">IFERROR(INDEX(Section_Master!$G$2:$G$477,MATCH($E452,Section_Master!$A$2:$A$477,0))&amp;"","")</f>
        <v>No</v>
      </c>
      <c r="J452" s="10" t="s">
        <v>48</v>
      </c>
      <c r="K452" s="8" t="s">
        <v>1103</v>
      </c>
    </row>
    <row r="453" customFormat="false" ht="34.5" hidden="false" customHeight="true" outlineLevel="0" collapsed="false">
      <c r="A453" s="10" t="s">
        <v>1104</v>
      </c>
      <c r="B453" s="10" t="s">
        <v>45</v>
      </c>
      <c r="C453" s="8" t="s">
        <v>1101</v>
      </c>
      <c r="D453" s="8" t="s">
        <v>1105</v>
      </c>
      <c r="E453" s="11" t="n">
        <v>76</v>
      </c>
      <c r="F453" s="8" t="str">
        <f aca="false">IFERROR(INDEX(Section_Master!$D$2:$D$477,MATCH($E453,Section_Master!$A$2:$A$477,0))&amp;"","")</f>
        <v>Imprisonment not less than 3 years, may extend to 7 years, and fine</v>
      </c>
      <c r="G453" s="10" t="str">
        <f aca="false">IFERROR(INDEX(Section_Master!$E$2:$E$477,MATCH($E453,Section_Master!$A$2:$A$477,0))&amp;"","")</f>
        <v>Yes</v>
      </c>
      <c r="H453" s="10" t="str">
        <f aca="false">IFERROR(INDEX(Section_Master!$F$2:$F$477,MATCH($E453,Section_Master!$A$2:$A$477,0))&amp;"","")</f>
        <v>No</v>
      </c>
      <c r="I453" s="10" t="str">
        <f aca="false">IFERROR(INDEX(Section_Master!$G$2:$G$477,MATCH($E453,Section_Master!$A$2:$A$477,0))&amp;"","")</f>
        <v>No</v>
      </c>
      <c r="J453" s="10" t="s">
        <v>52</v>
      </c>
      <c r="K453" s="8" t="s">
        <v>1103</v>
      </c>
    </row>
    <row r="454" customFormat="false" ht="23.25" hidden="false" customHeight="true" outlineLevel="0" collapsed="false">
      <c r="A454" s="10" t="s">
        <v>1106</v>
      </c>
      <c r="B454" s="10" t="s">
        <v>45</v>
      </c>
      <c r="C454" s="8" t="s">
        <v>1101</v>
      </c>
      <c r="D454" s="8" t="s">
        <v>1107</v>
      </c>
      <c r="E454" s="11" t="n">
        <v>76</v>
      </c>
      <c r="F454" s="8" t="str">
        <f aca="false">IFERROR(INDEX(Section_Master!$D$2:$D$477,MATCH($E454,Section_Master!$A$2:$A$477,0))&amp;"","")</f>
        <v>Imprisonment not less than 3 years, may extend to 7 years, and fine</v>
      </c>
      <c r="G454" s="10" t="str">
        <f aca="false">IFERROR(INDEX(Section_Master!$E$2:$E$477,MATCH($E454,Section_Master!$A$2:$A$477,0))&amp;"","")</f>
        <v>Yes</v>
      </c>
      <c r="H454" s="10" t="str">
        <f aca="false">IFERROR(INDEX(Section_Master!$F$2:$F$477,MATCH($E454,Section_Master!$A$2:$A$477,0))&amp;"","")</f>
        <v>No</v>
      </c>
      <c r="I454" s="10" t="str">
        <f aca="false">IFERROR(INDEX(Section_Master!$G$2:$G$477,MATCH($E454,Section_Master!$A$2:$A$477,0))&amp;"","")</f>
        <v>No</v>
      </c>
      <c r="J454" s="10" t="s">
        <v>55</v>
      </c>
      <c r="K454" s="8" t="s">
        <v>1103</v>
      </c>
    </row>
    <row r="455" customFormat="false" ht="34.5" hidden="false" customHeight="true" outlineLevel="0" collapsed="false">
      <c r="A455" s="10" t="s">
        <v>1108</v>
      </c>
      <c r="B455" s="10" t="s">
        <v>45</v>
      </c>
      <c r="C455" s="8" t="s">
        <v>1101</v>
      </c>
      <c r="D455" s="8" t="s">
        <v>1109</v>
      </c>
      <c r="E455" s="11" t="n">
        <v>76</v>
      </c>
      <c r="F455" s="8" t="str">
        <f aca="false">IFERROR(INDEX(Section_Master!$D$2:$D$477,MATCH($E455,Section_Master!$A$2:$A$477,0))&amp;"","")</f>
        <v>Imprisonment not less than 3 years, may extend to 7 years, and fine</v>
      </c>
      <c r="G455" s="10" t="str">
        <f aca="false">IFERROR(INDEX(Section_Master!$E$2:$E$477,MATCH($E455,Section_Master!$A$2:$A$477,0))&amp;"","")</f>
        <v>Yes</v>
      </c>
      <c r="H455" s="10" t="str">
        <f aca="false">IFERROR(INDEX(Section_Master!$F$2:$F$477,MATCH($E455,Section_Master!$A$2:$A$477,0))&amp;"","")</f>
        <v>No</v>
      </c>
      <c r="I455" s="10" t="str">
        <f aca="false">IFERROR(INDEX(Section_Master!$G$2:$G$477,MATCH($E455,Section_Master!$A$2:$A$477,0))&amp;"","")</f>
        <v>No</v>
      </c>
      <c r="J455" s="10" t="s">
        <v>58</v>
      </c>
      <c r="K455" s="8" t="s">
        <v>1103</v>
      </c>
    </row>
    <row r="456" customFormat="false" ht="34.5" hidden="false" customHeight="true" outlineLevel="0" collapsed="false">
      <c r="A456" s="10" t="s">
        <v>1110</v>
      </c>
      <c r="B456" s="10" t="s">
        <v>45</v>
      </c>
      <c r="C456" s="8" t="s">
        <v>1101</v>
      </c>
      <c r="D456" s="8" t="s">
        <v>1111</v>
      </c>
      <c r="E456" s="11" t="n">
        <v>76</v>
      </c>
      <c r="F456" s="8" t="str">
        <f aca="false">IFERROR(INDEX(Section_Master!$D$2:$D$477,MATCH($E456,Section_Master!$A$2:$A$477,0))&amp;"","")</f>
        <v>Imprisonment not less than 3 years, may extend to 7 years, and fine</v>
      </c>
      <c r="G456" s="10" t="str">
        <f aca="false">IFERROR(INDEX(Section_Master!$E$2:$E$477,MATCH($E456,Section_Master!$A$2:$A$477,0))&amp;"","")</f>
        <v>Yes</v>
      </c>
      <c r="H456" s="10" t="str">
        <f aca="false">IFERROR(INDEX(Section_Master!$F$2:$F$477,MATCH($E456,Section_Master!$A$2:$A$477,0))&amp;"","")</f>
        <v>No</v>
      </c>
      <c r="I456" s="10" t="str">
        <f aca="false">IFERROR(INDEX(Section_Master!$G$2:$G$477,MATCH($E456,Section_Master!$A$2:$A$477,0))&amp;"","")</f>
        <v>No</v>
      </c>
      <c r="J456" s="10" t="s">
        <v>61</v>
      </c>
      <c r="K456" s="8" t="s">
        <v>1103</v>
      </c>
    </row>
    <row r="457" customFormat="false" ht="34.5" hidden="false" customHeight="true" outlineLevel="0" collapsed="false">
      <c r="A457" s="10" t="s">
        <v>1112</v>
      </c>
      <c r="B457" s="10" t="s">
        <v>45</v>
      </c>
      <c r="C457" s="8" t="s">
        <v>1101</v>
      </c>
      <c r="D457" s="8" t="s">
        <v>1113</v>
      </c>
      <c r="E457" s="11" t="n">
        <v>76</v>
      </c>
      <c r="F457" s="8" t="str">
        <f aca="false">IFERROR(INDEX(Section_Master!$D$2:$D$477,MATCH($E457,Section_Master!$A$2:$A$477,0))&amp;"","")</f>
        <v>Imprisonment not less than 3 years, may extend to 7 years, and fine</v>
      </c>
      <c r="G457" s="10" t="str">
        <f aca="false">IFERROR(INDEX(Section_Master!$E$2:$E$477,MATCH($E457,Section_Master!$A$2:$A$477,0))&amp;"","")</f>
        <v>Yes</v>
      </c>
      <c r="H457" s="10" t="str">
        <f aca="false">IFERROR(INDEX(Section_Master!$F$2:$F$477,MATCH($E457,Section_Master!$A$2:$A$477,0))&amp;"","")</f>
        <v>No</v>
      </c>
      <c r="I457" s="10" t="str">
        <f aca="false">IFERROR(INDEX(Section_Master!$G$2:$G$477,MATCH($E457,Section_Master!$A$2:$A$477,0))&amp;"","")</f>
        <v>No</v>
      </c>
      <c r="J457" s="10" t="s">
        <v>64</v>
      </c>
      <c r="K457" s="8" t="s">
        <v>1103</v>
      </c>
    </row>
    <row r="458" customFormat="false" ht="34.5" hidden="false" customHeight="true" outlineLevel="0" collapsed="false">
      <c r="A458" s="10" t="s">
        <v>1114</v>
      </c>
      <c r="B458" s="10" t="s">
        <v>45</v>
      </c>
      <c r="C458" s="8" t="s">
        <v>1115</v>
      </c>
      <c r="D458" s="8" t="s">
        <v>1116</v>
      </c>
      <c r="E458" s="11" t="n">
        <v>77</v>
      </c>
      <c r="F458" s="8" t="str">
        <f aca="false">IFERROR(INDEX(Section_Master!$D$2:$D$477,MATCH($E458,Section_Master!$A$2:$A$477,0))&amp;"","")</f>
        <v>First conviction: 1 to 3 years and fine; repeat conviction: 3 to 7 years and fine [s.77]</v>
      </c>
      <c r="G458" s="10" t="str">
        <f aca="false">IFERROR(INDEX(Section_Master!$E$2:$E$477,MATCH($E458,Section_Master!$A$2:$A$477,0))&amp;"","")</f>
        <v>Yes</v>
      </c>
      <c r="H458" s="10" t="str">
        <f aca="false">IFERROR(INDEX(Section_Master!$F$2:$F$477,MATCH($E458,Section_Master!$A$2:$A$477,0))&amp;"","")</f>
        <v>Yes (first conviction); No (repeat)</v>
      </c>
      <c r="I458" s="10" t="str">
        <f aca="false">IFERROR(INDEX(Section_Master!$G$2:$G$477,MATCH($E458,Section_Master!$A$2:$A$477,0))&amp;"","")</f>
        <v>No</v>
      </c>
      <c r="J458" s="10" t="s">
        <v>48</v>
      </c>
      <c r="K458" s="8" t="s">
        <v>1117</v>
      </c>
    </row>
    <row r="459" customFormat="false" ht="45.75" hidden="false" customHeight="true" outlineLevel="0" collapsed="false">
      <c r="A459" s="10" t="s">
        <v>1118</v>
      </c>
      <c r="B459" s="10" t="s">
        <v>45</v>
      </c>
      <c r="C459" s="8" t="s">
        <v>1115</v>
      </c>
      <c r="D459" s="8" t="s">
        <v>1119</v>
      </c>
      <c r="E459" s="11" t="n">
        <v>77</v>
      </c>
      <c r="F459" s="8" t="str">
        <f aca="false">IFERROR(INDEX(Section_Master!$D$2:$D$477,MATCH($E459,Section_Master!$A$2:$A$477,0))&amp;"","")</f>
        <v>First conviction: 1 to 3 years and fine; repeat conviction: 3 to 7 years and fine [s.77]</v>
      </c>
      <c r="G459" s="10" t="str">
        <f aca="false">IFERROR(INDEX(Section_Master!$E$2:$E$477,MATCH($E459,Section_Master!$A$2:$A$477,0))&amp;"","")</f>
        <v>Yes</v>
      </c>
      <c r="H459" s="10" t="str">
        <f aca="false">IFERROR(INDEX(Section_Master!$F$2:$F$477,MATCH($E459,Section_Master!$A$2:$A$477,0))&amp;"","")</f>
        <v>Yes (first conviction); No (repeat)</v>
      </c>
      <c r="I459" s="10" t="str">
        <f aca="false">IFERROR(INDEX(Section_Master!$G$2:$G$477,MATCH($E459,Section_Master!$A$2:$A$477,0))&amp;"","")</f>
        <v>No</v>
      </c>
      <c r="J459" s="10" t="s">
        <v>52</v>
      </c>
      <c r="K459" s="8" t="s">
        <v>1117</v>
      </c>
    </row>
    <row r="460" customFormat="false" ht="34.5" hidden="false" customHeight="true" outlineLevel="0" collapsed="false">
      <c r="A460" s="10" t="s">
        <v>1120</v>
      </c>
      <c r="B460" s="10" t="s">
        <v>45</v>
      </c>
      <c r="C460" s="8" t="s">
        <v>1115</v>
      </c>
      <c r="D460" s="8" t="s">
        <v>1121</v>
      </c>
      <c r="E460" s="11" t="n">
        <v>77</v>
      </c>
      <c r="F460" s="8" t="str">
        <f aca="false">IFERROR(INDEX(Section_Master!$D$2:$D$477,MATCH($E460,Section_Master!$A$2:$A$477,0))&amp;"","")</f>
        <v>First conviction: 1 to 3 years and fine; repeat conviction: 3 to 7 years and fine [s.77]</v>
      </c>
      <c r="G460" s="10" t="str">
        <f aca="false">IFERROR(INDEX(Section_Master!$E$2:$E$477,MATCH($E460,Section_Master!$A$2:$A$477,0))&amp;"","")</f>
        <v>Yes</v>
      </c>
      <c r="H460" s="10" t="str">
        <f aca="false">IFERROR(INDEX(Section_Master!$F$2:$F$477,MATCH($E460,Section_Master!$A$2:$A$477,0))&amp;"","")</f>
        <v>Yes (first conviction); No (repeat)</v>
      </c>
      <c r="I460" s="10" t="str">
        <f aca="false">IFERROR(INDEX(Section_Master!$G$2:$G$477,MATCH($E460,Section_Master!$A$2:$A$477,0))&amp;"","")</f>
        <v>No</v>
      </c>
      <c r="J460" s="10" t="s">
        <v>55</v>
      </c>
      <c r="K460" s="8" t="s">
        <v>1117</v>
      </c>
    </row>
    <row r="461" customFormat="false" ht="34.5" hidden="false" customHeight="true" outlineLevel="0" collapsed="false">
      <c r="A461" s="10" t="s">
        <v>1122</v>
      </c>
      <c r="B461" s="10" t="s">
        <v>45</v>
      </c>
      <c r="C461" s="8" t="s">
        <v>1115</v>
      </c>
      <c r="D461" s="8" t="s">
        <v>1123</v>
      </c>
      <c r="E461" s="11" t="n">
        <v>77</v>
      </c>
      <c r="F461" s="8" t="str">
        <f aca="false">IFERROR(INDEX(Section_Master!$D$2:$D$477,MATCH($E461,Section_Master!$A$2:$A$477,0))&amp;"","")</f>
        <v>First conviction: 1 to 3 years and fine; repeat conviction: 3 to 7 years and fine [s.77]</v>
      </c>
      <c r="G461" s="10" t="str">
        <f aca="false">IFERROR(INDEX(Section_Master!$E$2:$E$477,MATCH($E461,Section_Master!$A$2:$A$477,0))&amp;"","")</f>
        <v>Yes</v>
      </c>
      <c r="H461" s="10" t="str">
        <f aca="false">IFERROR(INDEX(Section_Master!$F$2:$F$477,MATCH($E461,Section_Master!$A$2:$A$477,0))&amp;"","")</f>
        <v>Yes (first conviction); No (repeat)</v>
      </c>
      <c r="I461" s="10" t="str">
        <f aca="false">IFERROR(INDEX(Section_Master!$G$2:$G$477,MATCH($E461,Section_Master!$A$2:$A$477,0))&amp;"","")</f>
        <v>No</v>
      </c>
      <c r="J461" s="10" t="s">
        <v>58</v>
      </c>
      <c r="K461" s="8" t="s">
        <v>1117</v>
      </c>
    </row>
    <row r="462" customFormat="false" ht="34.5" hidden="false" customHeight="true" outlineLevel="0" collapsed="false">
      <c r="A462" s="10" t="s">
        <v>1124</v>
      </c>
      <c r="B462" s="10" t="s">
        <v>45</v>
      </c>
      <c r="C462" s="8" t="s">
        <v>1115</v>
      </c>
      <c r="D462" s="8" t="s">
        <v>1125</v>
      </c>
      <c r="E462" s="11" t="n">
        <v>77</v>
      </c>
      <c r="F462" s="8" t="str">
        <f aca="false">IFERROR(INDEX(Section_Master!$D$2:$D$477,MATCH($E462,Section_Master!$A$2:$A$477,0))&amp;"","")</f>
        <v>First conviction: 1 to 3 years and fine; repeat conviction: 3 to 7 years and fine [s.77]</v>
      </c>
      <c r="G462" s="10" t="str">
        <f aca="false">IFERROR(INDEX(Section_Master!$E$2:$E$477,MATCH($E462,Section_Master!$A$2:$A$477,0))&amp;"","")</f>
        <v>Yes</v>
      </c>
      <c r="H462" s="10" t="str">
        <f aca="false">IFERROR(INDEX(Section_Master!$F$2:$F$477,MATCH($E462,Section_Master!$A$2:$A$477,0))&amp;"","")</f>
        <v>Yes (first conviction); No (repeat)</v>
      </c>
      <c r="I462" s="10" t="str">
        <f aca="false">IFERROR(INDEX(Section_Master!$G$2:$G$477,MATCH($E462,Section_Master!$A$2:$A$477,0))&amp;"","")</f>
        <v>No</v>
      </c>
      <c r="J462" s="10" t="s">
        <v>61</v>
      </c>
      <c r="K462" s="8" t="s">
        <v>1117</v>
      </c>
    </row>
    <row r="463" customFormat="false" ht="34.5" hidden="false" customHeight="true" outlineLevel="0" collapsed="false">
      <c r="A463" s="10" t="s">
        <v>1126</v>
      </c>
      <c r="B463" s="10" t="s">
        <v>45</v>
      </c>
      <c r="C463" s="8" t="s">
        <v>1115</v>
      </c>
      <c r="D463" s="8" t="s">
        <v>1127</v>
      </c>
      <c r="E463" s="11" t="n">
        <v>77</v>
      </c>
      <c r="F463" s="8" t="str">
        <f aca="false">IFERROR(INDEX(Section_Master!$D$2:$D$477,MATCH($E463,Section_Master!$A$2:$A$477,0))&amp;"","")</f>
        <v>First conviction: 1 to 3 years and fine; repeat conviction: 3 to 7 years and fine [s.77]</v>
      </c>
      <c r="G463" s="10" t="str">
        <f aca="false">IFERROR(INDEX(Section_Master!$E$2:$E$477,MATCH($E463,Section_Master!$A$2:$A$477,0))&amp;"","")</f>
        <v>Yes</v>
      </c>
      <c r="H463" s="10" t="str">
        <f aca="false">IFERROR(INDEX(Section_Master!$F$2:$F$477,MATCH($E463,Section_Master!$A$2:$A$477,0))&amp;"","")</f>
        <v>Yes (first conviction); No (repeat)</v>
      </c>
      <c r="I463" s="10" t="str">
        <f aca="false">IFERROR(INDEX(Section_Master!$G$2:$G$477,MATCH($E463,Section_Master!$A$2:$A$477,0))&amp;"","")</f>
        <v>No</v>
      </c>
      <c r="J463" s="10" t="s">
        <v>64</v>
      </c>
      <c r="K463" s="8" t="s">
        <v>1117</v>
      </c>
    </row>
    <row r="464" customFormat="false" ht="34.5" hidden="false" customHeight="true" outlineLevel="0" collapsed="false">
      <c r="A464" s="10" t="s">
        <v>1128</v>
      </c>
      <c r="B464" s="10" t="s">
        <v>45</v>
      </c>
      <c r="C464" s="8" t="s">
        <v>1129</v>
      </c>
      <c r="D464" s="8" t="s">
        <v>1130</v>
      </c>
      <c r="E464" s="11" t="n">
        <v>78</v>
      </c>
      <c r="F464" s="8" t="str">
        <f aca="false">IFERROR(INDEX(Section_Master!$D$2:$D$477,MATCH($E464,Section_Master!$A$2:$A$477,0))&amp;"","")</f>
        <v>First conviction: up to 3 years and fine; repeat conviction: up to 5 years and fine [s.78]</v>
      </c>
      <c r="G464" s="10" t="str">
        <f aca="false">IFERROR(INDEX(Section_Master!$E$2:$E$477,MATCH($E464,Section_Master!$A$2:$A$477,0))&amp;"","")</f>
        <v>Yes</v>
      </c>
      <c r="H464" s="10" t="str">
        <f aca="false">IFERROR(INDEX(Section_Master!$F$2:$F$477,MATCH($E464,Section_Master!$A$2:$A$477,0))&amp;"","")</f>
        <v>Yes (first conviction); No (repeat)</v>
      </c>
      <c r="I464" s="10" t="str">
        <f aca="false">IFERROR(INDEX(Section_Master!$G$2:$G$477,MATCH($E464,Section_Master!$A$2:$A$477,0))&amp;"","")</f>
        <v>No</v>
      </c>
      <c r="J464" s="10" t="s">
        <v>48</v>
      </c>
      <c r="K464" s="8" t="s">
        <v>1131</v>
      </c>
    </row>
    <row r="465" customFormat="false" ht="45.75" hidden="false" customHeight="true" outlineLevel="0" collapsed="false">
      <c r="A465" s="10" t="s">
        <v>1132</v>
      </c>
      <c r="B465" s="10" t="s">
        <v>45</v>
      </c>
      <c r="C465" s="8" t="s">
        <v>1129</v>
      </c>
      <c r="D465" s="8" t="s">
        <v>1133</v>
      </c>
      <c r="E465" s="11" t="n">
        <v>78</v>
      </c>
      <c r="F465" s="8" t="str">
        <f aca="false">IFERROR(INDEX(Section_Master!$D$2:$D$477,MATCH($E465,Section_Master!$A$2:$A$477,0))&amp;"","")</f>
        <v>First conviction: up to 3 years and fine; repeat conviction: up to 5 years and fine [s.78]</v>
      </c>
      <c r="G465" s="10" t="str">
        <f aca="false">IFERROR(INDEX(Section_Master!$E$2:$E$477,MATCH($E465,Section_Master!$A$2:$A$477,0))&amp;"","")</f>
        <v>Yes</v>
      </c>
      <c r="H465" s="10" t="str">
        <f aca="false">IFERROR(INDEX(Section_Master!$F$2:$F$477,MATCH($E465,Section_Master!$A$2:$A$477,0))&amp;"","")</f>
        <v>Yes (first conviction); No (repeat)</v>
      </c>
      <c r="I465" s="10" t="str">
        <f aca="false">IFERROR(INDEX(Section_Master!$G$2:$G$477,MATCH($E465,Section_Master!$A$2:$A$477,0))&amp;"","")</f>
        <v>No</v>
      </c>
      <c r="J465" s="10" t="s">
        <v>52</v>
      </c>
      <c r="K465" s="8" t="s">
        <v>1131</v>
      </c>
    </row>
    <row r="466" customFormat="false" ht="34.5" hidden="false" customHeight="true" outlineLevel="0" collapsed="false">
      <c r="A466" s="10" t="s">
        <v>1134</v>
      </c>
      <c r="B466" s="10" t="s">
        <v>45</v>
      </c>
      <c r="C466" s="8" t="s">
        <v>1129</v>
      </c>
      <c r="D466" s="8" t="s">
        <v>1135</v>
      </c>
      <c r="E466" s="11" t="n">
        <v>78</v>
      </c>
      <c r="F466" s="8" t="str">
        <f aca="false">IFERROR(INDEX(Section_Master!$D$2:$D$477,MATCH($E466,Section_Master!$A$2:$A$477,0))&amp;"","")</f>
        <v>First conviction: up to 3 years and fine; repeat conviction: up to 5 years and fine [s.78]</v>
      </c>
      <c r="G466" s="10" t="str">
        <f aca="false">IFERROR(INDEX(Section_Master!$E$2:$E$477,MATCH($E466,Section_Master!$A$2:$A$477,0))&amp;"","")</f>
        <v>Yes</v>
      </c>
      <c r="H466" s="10" t="str">
        <f aca="false">IFERROR(INDEX(Section_Master!$F$2:$F$477,MATCH($E466,Section_Master!$A$2:$A$477,0))&amp;"","")</f>
        <v>Yes (first conviction); No (repeat)</v>
      </c>
      <c r="I466" s="10" t="str">
        <f aca="false">IFERROR(INDEX(Section_Master!$G$2:$G$477,MATCH($E466,Section_Master!$A$2:$A$477,0))&amp;"","")</f>
        <v>No</v>
      </c>
      <c r="J466" s="10" t="s">
        <v>55</v>
      </c>
      <c r="K466" s="8" t="s">
        <v>1131</v>
      </c>
    </row>
    <row r="467" customFormat="false" ht="23.25" hidden="false" customHeight="true" outlineLevel="0" collapsed="false">
      <c r="A467" s="10" t="s">
        <v>1136</v>
      </c>
      <c r="B467" s="10" t="s">
        <v>45</v>
      </c>
      <c r="C467" s="8" t="s">
        <v>1129</v>
      </c>
      <c r="D467" s="8" t="s">
        <v>1137</v>
      </c>
      <c r="E467" s="11" t="n">
        <v>78</v>
      </c>
      <c r="F467" s="8" t="str">
        <f aca="false">IFERROR(INDEX(Section_Master!$D$2:$D$477,MATCH($E467,Section_Master!$A$2:$A$477,0))&amp;"","")</f>
        <v>First conviction: up to 3 years and fine; repeat conviction: up to 5 years and fine [s.78]</v>
      </c>
      <c r="G467" s="10" t="str">
        <f aca="false">IFERROR(INDEX(Section_Master!$E$2:$E$477,MATCH($E467,Section_Master!$A$2:$A$477,0))&amp;"","")</f>
        <v>Yes</v>
      </c>
      <c r="H467" s="10" t="str">
        <f aca="false">IFERROR(INDEX(Section_Master!$F$2:$F$477,MATCH($E467,Section_Master!$A$2:$A$477,0))&amp;"","")</f>
        <v>Yes (first conviction); No (repeat)</v>
      </c>
      <c r="I467" s="10" t="str">
        <f aca="false">IFERROR(INDEX(Section_Master!$G$2:$G$477,MATCH($E467,Section_Master!$A$2:$A$477,0))&amp;"","")</f>
        <v>No</v>
      </c>
      <c r="J467" s="10" t="s">
        <v>58</v>
      </c>
      <c r="K467" s="8" t="s">
        <v>1131</v>
      </c>
    </row>
    <row r="468" customFormat="false" ht="34.5" hidden="false" customHeight="true" outlineLevel="0" collapsed="false">
      <c r="A468" s="10" t="s">
        <v>1138</v>
      </c>
      <c r="B468" s="10" t="s">
        <v>45</v>
      </c>
      <c r="C468" s="8" t="s">
        <v>1129</v>
      </c>
      <c r="D468" s="8" t="s">
        <v>1139</v>
      </c>
      <c r="E468" s="11" t="n">
        <v>78</v>
      </c>
      <c r="F468" s="8" t="str">
        <f aca="false">IFERROR(INDEX(Section_Master!$D$2:$D$477,MATCH($E468,Section_Master!$A$2:$A$477,0))&amp;"","")</f>
        <v>First conviction: up to 3 years and fine; repeat conviction: up to 5 years and fine [s.78]</v>
      </c>
      <c r="G468" s="10" t="str">
        <f aca="false">IFERROR(INDEX(Section_Master!$E$2:$E$477,MATCH($E468,Section_Master!$A$2:$A$477,0))&amp;"","")</f>
        <v>Yes</v>
      </c>
      <c r="H468" s="10" t="str">
        <f aca="false">IFERROR(INDEX(Section_Master!$F$2:$F$477,MATCH($E468,Section_Master!$A$2:$A$477,0))&amp;"","")</f>
        <v>Yes (first conviction); No (repeat)</v>
      </c>
      <c r="I468" s="10" t="str">
        <f aca="false">IFERROR(INDEX(Section_Master!$G$2:$G$477,MATCH($E468,Section_Master!$A$2:$A$477,0))&amp;"","")</f>
        <v>No</v>
      </c>
      <c r="J468" s="10" t="s">
        <v>61</v>
      </c>
      <c r="K468" s="8" t="s">
        <v>1131</v>
      </c>
    </row>
    <row r="469" customFormat="false" ht="34.5" hidden="false" customHeight="true" outlineLevel="0" collapsed="false">
      <c r="A469" s="10" t="s">
        <v>1140</v>
      </c>
      <c r="B469" s="10" t="s">
        <v>45</v>
      </c>
      <c r="C469" s="8" t="s">
        <v>1129</v>
      </c>
      <c r="D469" s="8" t="s">
        <v>1141</v>
      </c>
      <c r="E469" s="11" t="n">
        <v>78</v>
      </c>
      <c r="F469" s="8" t="str">
        <f aca="false">IFERROR(INDEX(Section_Master!$D$2:$D$477,MATCH($E469,Section_Master!$A$2:$A$477,0))&amp;"","")</f>
        <v>First conviction: up to 3 years and fine; repeat conviction: up to 5 years and fine [s.78]</v>
      </c>
      <c r="G469" s="10" t="str">
        <f aca="false">IFERROR(INDEX(Section_Master!$E$2:$E$477,MATCH($E469,Section_Master!$A$2:$A$477,0))&amp;"","")</f>
        <v>Yes</v>
      </c>
      <c r="H469" s="10" t="str">
        <f aca="false">IFERROR(INDEX(Section_Master!$F$2:$F$477,MATCH($E469,Section_Master!$A$2:$A$477,0))&amp;"","")</f>
        <v>Yes (first conviction); No (repeat)</v>
      </c>
      <c r="I469" s="10" t="str">
        <f aca="false">IFERROR(INDEX(Section_Master!$G$2:$G$477,MATCH($E469,Section_Master!$A$2:$A$477,0))&amp;"","")</f>
        <v>No</v>
      </c>
      <c r="J469" s="10" t="s">
        <v>64</v>
      </c>
      <c r="K469" s="8" t="s">
        <v>1131</v>
      </c>
    </row>
    <row r="470" customFormat="false" ht="34.5" hidden="false" customHeight="true" outlineLevel="0" collapsed="false">
      <c r="A470" s="10" t="s">
        <v>1142</v>
      </c>
      <c r="B470" s="10" t="s">
        <v>45</v>
      </c>
      <c r="C470" s="8" t="s">
        <v>1143</v>
      </c>
      <c r="D470" s="8" t="s">
        <v>1144</v>
      </c>
      <c r="E470" s="11" t="n">
        <v>79</v>
      </c>
      <c r="F470" s="8" t="str">
        <f aca="false">IFERROR(INDEX(Section_Master!$D$2:$D$477,MATCH($E470,Section_Master!$A$2:$A$477,0))&amp;"","")</f>
        <v>Simple imprisonment up to 3 years and fine</v>
      </c>
      <c r="G470" s="10" t="str">
        <f aca="false">IFERROR(INDEX(Section_Master!$E$2:$E$477,MATCH($E470,Section_Master!$A$2:$A$477,0))&amp;"","")</f>
        <v>Yes</v>
      </c>
      <c r="H470" s="10" t="str">
        <f aca="false">IFERROR(INDEX(Section_Master!$F$2:$F$477,MATCH($E470,Section_Master!$A$2:$A$477,0))&amp;"","")</f>
        <v>Yes</v>
      </c>
      <c r="I470" s="10" t="str">
        <f aca="false">IFERROR(INDEX(Section_Master!$G$2:$G$477,MATCH($E470,Section_Master!$A$2:$A$477,0))&amp;"","")</f>
        <v>Yes</v>
      </c>
      <c r="J470" s="10" t="s">
        <v>48</v>
      </c>
      <c r="K470" s="8" t="s">
        <v>1145</v>
      </c>
    </row>
    <row r="471" customFormat="false" ht="34.5" hidden="false" customHeight="true" outlineLevel="0" collapsed="false">
      <c r="A471" s="10" t="s">
        <v>1146</v>
      </c>
      <c r="B471" s="10" t="s">
        <v>45</v>
      </c>
      <c r="C471" s="8" t="s">
        <v>1143</v>
      </c>
      <c r="D471" s="8" t="s">
        <v>1147</v>
      </c>
      <c r="E471" s="11" t="n">
        <v>79</v>
      </c>
      <c r="F471" s="8" t="str">
        <f aca="false">IFERROR(INDEX(Section_Master!$D$2:$D$477,MATCH($E471,Section_Master!$A$2:$A$477,0))&amp;"","")</f>
        <v>Simple imprisonment up to 3 years and fine</v>
      </c>
      <c r="G471" s="10" t="str">
        <f aca="false">IFERROR(INDEX(Section_Master!$E$2:$E$477,MATCH($E471,Section_Master!$A$2:$A$477,0))&amp;"","")</f>
        <v>Yes</v>
      </c>
      <c r="H471" s="10" t="str">
        <f aca="false">IFERROR(INDEX(Section_Master!$F$2:$F$477,MATCH($E471,Section_Master!$A$2:$A$477,0))&amp;"","")</f>
        <v>Yes</v>
      </c>
      <c r="I471" s="10" t="str">
        <f aca="false">IFERROR(INDEX(Section_Master!$G$2:$G$477,MATCH($E471,Section_Master!$A$2:$A$477,0))&amp;"","")</f>
        <v>Yes</v>
      </c>
      <c r="J471" s="10" t="s">
        <v>52</v>
      </c>
      <c r="K471" s="8" t="s">
        <v>1145</v>
      </c>
    </row>
    <row r="472" customFormat="false" ht="34.5" hidden="false" customHeight="true" outlineLevel="0" collapsed="false">
      <c r="A472" s="10" t="s">
        <v>1148</v>
      </c>
      <c r="B472" s="10" t="s">
        <v>45</v>
      </c>
      <c r="C472" s="8" t="s">
        <v>1143</v>
      </c>
      <c r="D472" s="8" t="s">
        <v>1149</v>
      </c>
      <c r="E472" s="11" t="n">
        <v>79</v>
      </c>
      <c r="F472" s="8" t="str">
        <f aca="false">IFERROR(INDEX(Section_Master!$D$2:$D$477,MATCH($E472,Section_Master!$A$2:$A$477,0))&amp;"","")</f>
        <v>Simple imprisonment up to 3 years and fine</v>
      </c>
      <c r="G472" s="10" t="str">
        <f aca="false">IFERROR(INDEX(Section_Master!$E$2:$E$477,MATCH($E472,Section_Master!$A$2:$A$477,0))&amp;"","")</f>
        <v>Yes</v>
      </c>
      <c r="H472" s="10" t="str">
        <f aca="false">IFERROR(INDEX(Section_Master!$F$2:$F$477,MATCH($E472,Section_Master!$A$2:$A$477,0))&amp;"","")</f>
        <v>Yes</v>
      </c>
      <c r="I472" s="10" t="str">
        <f aca="false">IFERROR(INDEX(Section_Master!$G$2:$G$477,MATCH($E472,Section_Master!$A$2:$A$477,0))&amp;"","")</f>
        <v>Yes</v>
      </c>
      <c r="J472" s="10" t="s">
        <v>55</v>
      </c>
      <c r="K472" s="8" t="s">
        <v>1145</v>
      </c>
    </row>
    <row r="473" customFormat="false" ht="23.25" hidden="false" customHeight="true" outlineLevel="0" collapsed="false">
      <c r="A473" s="10" t="s">
        <v>1150</v>
      </c>
      <c r="B473" s="10" t="s">
        <v>45</v>
      </c>
      <c r="C473" s="8" t="s">
        <v>1143</v>
      </c>
      <c r="D473" s="8" t="s">
        <v>1151</v>
      </c>
      <c r="E473" s="11" t="n">
        <v>79</v>
      </c>
      <c r="F473" s="8" t="str">
        <f aca="false">IFERROR(INDEX(Section_Master!$D$2:$D$477,MATCH($E473,Section_Master!$A$2:$A$477,0))&amp;"","")</f>
        <v>Simple imprisonment up to 3 years and fine</v>
      </c>
      <c r="G473" s="10" t="str">
        <f aca="false">IFERROR(INDEX(Section_Master!$E$2:$E$477,MATCH($E473,Section_Master!$A$2:$A$477,0))&amp;"","")</f>
        <v>Yes</v>
      </c>
      <c r="H473" s="10" t="str">
        <f aca="false">IFERROR(INDEX(Section_Master!$F$2:$F$477,MATCH($E473,Section_Master!$A$2:$A$477,0))&amp;"","")</f>
        <v>Yes</v>
      </c>
      <c r="I473" s="10" t="str">
        <f aca="false">IFERROR(INDEX(Section_Master!$G$2:$G$477,MATCH($E473,Section_Master!$A$2:$A$477,0))&amp;"","")</f>
        <v>Yes</v>
      </c>
      <c r="J473" s="10" t="s">
        <v>58</v>
      </c>
      <c r="K473" s="8" t="s">
        <v>1145</v>
      </c>
    </row>
    <row r="474" customFormat="false" ht="34.5" hidden="false" customHeight="true" outlineLevel="0" collapsed="false">
      <c r="A474" s="10" t="s">
        <v>1152</v>
      </c>
      <c r="B474" s="10" t="s">
        <v>45</v>
      </c>
      <c r="C474" s="8" t="s">
        <v>1143</v>
      </c>
      <c r="D474" s="8" t="s">
        <v>1153</v>
      </c>
      <c r="E474" s="11" t="n">
        <v>79</v>
      </c>
      <c r="F474" s="8" t="str">
        <f aca="false">IFERROR(INDEX(Section_Master!$D$2:$D$477,MATCH($E474,Section_Master!$A$2:$A$477,0))&amp;"","")</f>
        <v>Simple imprisonment up to 3 years and fine</v>
      </c>
      <c r="G474" s="10" t="str">
        <f aca="false">IFERROR(INDEX(Section_Master!$E$2:$E$477,MATCH($E474,Section_Master!$A$2:$A$477,0))&amp;"","")</f>
        <v>Yes</v>
      </c>
      <c r="H474" s="10" t="str">
        <f aca="false">IFERROR(INDEX(Section_Master!$F$2:$F$477,MATCH($E474,Section_Master!$A$2:$A$477,0))&amp;"","")</f>
        <v>Yes</v>
      </c>
      <c r="I474" s="10" t="str">
        <f aca="false">IFERROR(INDEX(Section_Master!$G$2:$G$477,MATCH($E474,Section_Master!$A$2:$A$477,0))&amp;"","")</f>
        <v>Yes</v>
      </c>
      <c r="J474" s="10" t="s">
        <v>61</v>
      </c>
      <c r="K474" s="8" t="s">
        <v>1145</v>
      </c>
    </row>
    <row r="475" customFormat="false" ht="34.5" hidden="false" customHeight="true" outlineLevel="0" collapsed="false">
      <c r="A475" s="10" t="s">
        <v>1154</v>
      </c>
      <c r="B475" s="10" t="s">
        <v>45</v>
      </c>
      <c r="C475" s="8" t="s">
        <v>1143</v>
      </c>
      <c r="D475" s="8" t="s">
        <v>1155</v>
      </c>
      <c r="E475" s="11" t="n">
        <v>79</v>
      </c>
      <c r="F475" s="8" t="str">
        <f aca="false">IFERROR(INDEX(Section_Master!$D$2:$D$477,MATCH($E475,Section_Master!$A$2:$A$477,0))&amp;"","")</f>
        <v>Simple imprisonment up to 3 years and fine</v>
      </c>
      <c r="G475" s="10" t="str">
        <f aca="false">IFERROR(INDEX(Section_Master!$E$2:$E$477,MATCH($E475,Section_Master!$A$2:$A$477,0))&amp;"","")</f>
        <v>Yes</v>
      </c>
      <c r="H475" s="10" t="str">
        <f aca="false">IFERROR(INDEX(Section_Master!$F$2:$F$477,MATCH($E475,Section_Master!$A$2:$A$477,0))&amp;"","")</f>
        <v>Yes</v>
      </c>
      <c r="I475" s="10" t="str">
        <f aca="false">IFERROR(INDEX(Section_Master!$G$2:$G$477,MATCH($E475,Section_Master!$A$2:$A$477,0))&amp;"","")</f>
        <v>Yes</v>
      </c>
      <c r="J475" s="10" t="s">
        <v>64</v>
      </c>
      <c r="K475" s="8" t="s">
        <v>1145</v>
      </c>
    </row>
    <row r="476" customFormat="false" ht="34.5" hidden="false" customHeight="true" outlineLevel="0" collapsed="false">
      <c r="A476" s="10" t="s">
        <v>1156</v>
      </c>
      <c r="B476" s="10" t="s">
        <v>45</v>
      </c>
      <c r="C476" s="8" t="s">
        <v>1157</v>
      </c>
      <c r="D476" s="8" t="s">
        <v>1158</v>
      </c>
      <c r="E476" s="11" t="n">
        <v>80</v>
      </c>
      <c r="F476" s="8" t="str">
        <f aca="false">IFERROR(INDEX(Section_Master!$D$2:$D$477,MATCH($E476,Section_Master!$A$2:$A$477,0))&amp;"","")</f>
        <v>Imprisonment not less than 7 years, may extend to life [s.80(2)]</v>
      </c>
      <c r="G476" s="10" t="str">
        <f aca="false">IFERROR(INDEX(Section_Master!$E$2:$E$477,MATCH($E476,Section_Master!$A$2:$A$477,0))&amp;"","")</f>
        <v>Yes</v>
      </c>
      <c r="H476" s="10" t="str">
        <f aca="false">IFERROR(INDEX(Section_Master!$F$2:$F$477,MATCH($E476,Section_Master!$A$2:$A$477,0))&amp;"","")</f>
        <v>No</v>
      </c>
      <c r="I476" s="10" t="str">
        <f aca="false">IFERROR(INDEX(Section_Master!$G$2:$G$477,MATCH($E476,Section_Master!$A$2:$A$477,0))&amp;"","")</f>
        <v>No</v>
      </c>
      <c r="J476" s="10" t="s">
        <v>48</v>
      </c>
      <c r="K476" s="8" t="s">
        <v>1159</v>
      </c>
    </row>
    <row r="477" customFormat="false" ht="34.5" hidden="false" customHeight="true" outlineLevel="0" collapsed="false">
      <c r="A477" s="10" t="s">
        <v>1160</v>
      </c>
      <c r="B477" s="10" t="s">
        <v>45</v>
      </c>
      <c r="C477" s="8" t="s">
        <v>1157</v>
      </c>
      <c r="D477" s="8" t="s">
        <v>1161</v>
      </c>
      <c r="E477" s="11" t="n">
        <v>80</v>
      </c>
      <c r="F477" s="8" t="str">
        <f aca="false">IFERROR(INDEX(Section_Master!$D$2:$D$477,MATCH($E477,Section_Master!$A$2:$A$477,0))&amp;"","")</f>
        <v>Imprisonment not less than 7 years, may extend to life [s.80(2)]</v>
      </c>
      <c r="G477" s="10" t="str">
        <f aca="false">IFERROR(INDEX(Section_Master!$E$2:$E$477,MATCH($E477,Section_Master!$A$2:$A$477,0))&amp;"","")</f>
        <v>Yes</v>
      </c>
      <c r="H477" s="10" t="str">
        <f aca="false">IFERROR(INDEX(Section_Master!$F$2:$F$477,MATCH($E477,Section_Master!$A$2:$A$477,0))&amp;"","")</f>
        <v>No</v>
      </c>
      <c r="I477" s="10" t="str">
        <f aca="false">IFERROR(INDEX(Section_Master!$G$2:$G$477,MATCH($E477,Section_Master!$A$2:$A$477,0))&amp;"","")</f>
        <v>No</v>
      </c>
      <c r="J477" s="10" t="s">
        <v>52</v>
      </c>
      <c r="K477" s="8" t="s">
        <v>1159</v>
      </c>
    </row>
    <row r="478" customFormat="false" ht="34.5" hidden="false" customHeight="true" outlineLevel="0" collapsed="false">
      <c r="A478" s="10" t="s">
        <v>1162</v>
      </c>
      <c r="B478" s="10" t="s">
        <v>45</v>
      </c>
      <c r="C478" s="8" t="s">
        <v>1157</v>
      </c>
      <c r="D478" s="8" t="s">
        <v>1163</v>
      </c>
      <c r="E478" s="11" t="n">
        <v>80</v>
      </c>
      <c r="F478" s="8" t="str">
        <f aca="false">IFERROR(INDEX(Section_Master!$D$2:$D$477,MATCH($E478,Section_Master!$A$2:$A$477,0))&amp;"","")</f>
        <v>Imprisonment not less than 7 years, may extend to life [s.80(2)]</v>
      </c>
      <c r="G478" s="10" t="str">
        <f aca="false">IFERROR(INDEX(Section_Master!$E$2:$E$477,MATCH($E478,Section_Master!$A$2:$A$477,0))&amp;"","")</f>
        <v>Yes</v>
      </c>
      <c r="H478" s="10" t="str">
        <f aca="false">IFERROR(INDEX(Section_Master!$F$2:$F$477,MATCH($E478,Section_Master!$A$2:$A$477,0))&amp;"","")</f>
        <v>No</v>
      </c>
      <c r="I478" s="10" t="str">
        <f aca="false">IFERROR(INDEX(Section_Master!$G$2:$G$477,MATCH($E478,Section_Master!$A$2:$A$477,0))&amp;"","")</f>
        <v>No</v>
      </c>
      <c r="J478" s="10" t="s">
        <v>55</v>
      </c>
      <c r="K478" s="8" t="s">
        <v>1159</v>
      </c>
    </row>
    <row r="479" customFormat="false" ht="34.5" hidden="false" customHeight="true" outlineLevel="0" collapsed="false">
      <c r="A479" s="10" t="s">
        <v>1164</v>
      </c>
      <c r="B479" s="10" t="s">
        <v>45</v>
      </c>
      <c r="C479" s="8" t="s">
        <v>1157</v>
      </c>
      <c r="D479" s="8" t="s">
        <v>1165</v>
      </c>
      <c r="E479" s="11" t="n">
        <v>80</v>
      </c>
      <c r="F479" s="8" t="str">
        <f aca="false">IFERROR(INDEX(Section_Master!$D$2:$D$477,MATCH($E479,Section_Master!$A$2:$A$477,0))&amp;"","")</f>
        <v>Imprisonment not less than 7 years, may extend to life [s.80(2)]</v>
      </c>
      <c r="G479" s="10" t="str">
        <f aca="false">IFERROR(INDEX(Section_Master!$E$2:$E$477,MATCH($E479,Section_Master!$A$2:$A$477,0))&amp;"","")</f>
        <v>Yes</v>
      </c>
      <c r="H479" s="10" t="str">
        <f aca="false">IFERROR(INDEX(Section_Master!$F$2:$F$477,MATCH($E479,Section_Master!$A$2:$A$477,0))&amp;"","")</f>
        <v>No</v>
      </c>
      <c r="I479" s="10" t="str">
        <f aca="false">IFERROR(INDEX(Section_Master!$G$2:$G$477,MATCH($E479,Section_Master!$A$2:$A$477,0))&amp;"","")</f>
        <v>No</v>
      </c>
      <c r="J479" s="10" t="s">
        <v>58</v>
      </c>
      <c r="K479" s="8" t="s">
        <v>1159</v>
      </c>
    </row>
    <row r="480" customFormat="false" ht="34.5" hidden="false" customHeight="true" outlineLevel="0" collapsed="false">
      <c r="A480" s="10" t="s">
        <v>1166</v>
      </c>
      <c r="B480" s="10" t="s">
        <v>45</v>
      </c>
      <c r="C480" s="8" t="s">
        <v>1157</v>
      </c>
      <c r="D480" s="8" t="s">
        <v>1167</v>
      </c>
      <c r="E480" s="11" t="n">
        <v>80</v>
      </c>
      <c r="F480" s="8" t="str">
        <f aca="false">IFERROR(INDEX(Section_Master!$D$2:$D$477,MATCH($E480,Section_Master!$A$2:$A$477,0))&amp;"","")</f>
        <v>Imprisonment not less than 7 years, may extend to life [s.80(2)]</v>
      </c>
      <c r="G480" s="10" t="str">
        <f aca="false">IFERROR(INDEX(Section_Master!$E$2:$E$477,MATCH($E480,Section_Master!$A$2:$A$477,0))&amp;"","")</f>
        <v>Yes</v>
      </c>
      <c r="H480" s="10" t="str">
        <f aca="false">IFERROR(INDEX(Section_Master!$F$2:$F$477,MATCH($E480,Section_Master!$A$2:$A$477,0))&amp;"","")</f>
        <v>No</v>
      </c>
      <c r="I480" s="10" t="str">
        <f aca="false">IFERROR(INDEX(Section_Master!$G$2:$G$477,MATCH($E480,Section_Master!$A$2:$A$477,0))&amp;"","")</f>
        <v>No</v>
      </c>
      <c r="J480" s="10" t="s">
        <v>61</v>
      </c>
      <c r="K480" s="8" t="s">
        <v>1159</v>
      </c>
    </row>
    <row r="481" customFormat="false" ht="45.75" hidden="false" customHeight="true" outlineLevel="0" collapsed="false">
      <c r="A481" s="10" t="s">
        <v>1168</v>
      </c>
      <c r="B481" s="10" t="s">
        <v>45</v>
      </c>
      <c r="C481" s="8" t="s">
        <v>1157</v>
      </c>
      <c r="D481" s="8" t="s">
        <v>1169</v>
      </c>
      <c r="E481" s="11" t="n">
        <v>80</v>
      </c>
      <c r="F481" s="8" t="str">
        <f aca="false">IFERROR(INDEX(Section_Master!$D$2:$D$477,MATCH($E481,Section_Master!$A$2:$A$477,0))&amp;"","")</f>
        <v>Imprisonment not less than 7 years, may extend to life [s.80(2)]</v>
      </c>
      <c r="G481" s="10" t="str">
        <f aca="false">IFERROR(INDEX(Section_Master!$E$2:$E$477,MATCH($E481,Section_Master!$A$2:$A$477,0))&amp;"","")</f>
        <v>Yes</v>
      </c>
      <c r="H481" s="10" t="str">
        <f aca="false">IFERROR(INDEX(Section_Master!$F$2:$F$477,MATCH($E481,Section_Master!$A$2:$A$477,0))&amp;"","")</f>
        <v>No</v>
      </c>
      <c r="I481" s="10" t="str">
        <f aca="false">IFERROR(INDEX(Section_Master!$G$2:$G$477,MATCH($E481,Section_Master!$A$2:$A$477,0))&amp;"","")</f>
        <v>No</v>
      </c>
      <c r="J481" s="10" t="s">
        <v>64</v>
      </c>
      <c r="K481" s="8" t="s">
        <v>1159</v>
      </c>
    </row>
    <row r="482" customFormat="false" ht="34.5" hidden="false" customHeight="true" outlineLevel="0" collapsed="false">
      <c r="A482" s="10" t="s">
        <v>1170</v>
      </c>
      <c r="B482" s="10" t="s">
        <v>45</v>
      </c>
      <c r="C482" s="8" t="s">
        <v>1171</v>
      </c>
      <c r="D482" s="8" t="s">
        <v>1172</v>
      </c>
      <c r="E482" s="11" t="n">
        <v>81</v>
      </c>
      <c r="F482" s="8" t="str">
        <f aca="false">IFERROR(INDEX(Section_Master!$D$2:$D$477,MATCH($E482,Section_Master!$A$2:$A$477,0))&amp;"","")</f>
        <v>Imprisonment up to 10 years and fine</v>
      </c>
      <c r="G482" s="10" t="str">
        <f aca="false">IFERROR(INDEX(Section_Master!$E$2:$E$477,MATCH($E482,Section_Master!$A$2:$A$477,0))&amp;"","")</f>
        <v>No</v>
      </c>
      <c r="H482" s="10" t="str">
        <f aca="false">IFERROR(INDEX(Section_Master!$F$2:$F$477,MATCH($E482,Section_Master!$A$2:$A$477,0))&amp;"","")</f>
        <v>No</v>
      </c>
      <c r="I482" s="10" t="str">
        <f aca="false">IFERROR(INDEX(Section_Master!$G$2:$G$477,MATCH($E482,Section_Master!$A$2:$A$477,0))&amp;"","")</f>
        <v>No</v>
      </c>
      <c r="J482" s="10" t="s">
        <v>48</v>
      </c>
      <c r="K482" s="8" t="s">
        <v>1173</v>
      </c>
    </row>
    <row r="483" customFormat="false" ht="45.75" hidden="false" customHeight="true" outlineLevel="0" collapsed="false">
      <c r="A483" s="10" t="s">
        <v>1174</v>
      </c>
      <c r="B483" s="10" t="s">
        <v>45</v>
      </c>
      <c r="C483" s="8" t="s">
        <v>1171</v>
      </c>
      <c r="D483" s="8" t="s">
        <v>1175</v>
      </c>
      <c r="E483" s="11" t="n">
        <v>81</v>
      </c>
      <c r="F483" s="8" t="str">
        <f aca="false">IFERROR(INDEX(Section_Master!$D$2:$D$477,MATCH($E483,Section_Master!$A$2:$A$477,0))&amp;"","")</f>
        <v>Imprisonment up to 10 years and fine</v>
      </c>
      <c r="G483" s="10" t="str">
        <f aca="false">IFERROR(INDEX(Section_Master!$E$2:$E$477,MATCH($E483,Section_Master!$A$2:$A$477,0))&amp;"","")</f>
        <v>No</v>
      </c>
      <c r="H483" s="10" t="str">
        <f aca="false">IFERROR(INDEX(Section_Master!$F$2:$F$477,MATCH($E483,Section_Master!$A$2:$A$477,0))&amp;"","")</f>
        <v>No</v>
      </c>
      <c r="I483" s="10" t="str">
        <f aca="false">IFERROR(INDEX(Section_Master!$G$2:$G$477,MATCH($E483,Section_Master!$A$2:$A$477,0))&amp;"","")</f>
        <v>No</v>
      </c>
      <c r="J483" s="10" t="s">
        <v>52</v>
      </c>
      <c r="K483" s="8" t="s">
        <v>1173</v>
      </c>
    </row>
    <row r="484" customFormat="false" ht="34.5" hidden="false" customHeight="true" outlineLevel="0" collapsed="false">
      <c r="A484" s="10" t="s">
        <v>1176</v>
      </c>
      <c r="B484" s="10" t="s">
        <v>45</v>
      </c>
      <c r="C484" s="8" t="s">
        <v>1171</v>
      </c>
      <c r="D484" s="8" t="s">
        <v>1177</v>
      </c>
      <c r="E484" s="11" t="n">
        <v>81</v>
      </c>
      <c r="F484" s="8" t="str">
        <f aca="false">IFERROR(INDEX(Section_Master!$D$2:$D$477,MATCH($E484,Section_Master!$A$2:$A$477,0))&amp;"","")</f>
        <v>Imprisonment up to 10 years and fine</v>
      </c>
      <c r="G484" s="10" t="str">
        <f aca="false">IFERROR(INDEX(Section_Master!$E$2:$E$477,MATCH($E484,Section_Master!$A$2:$A$477,0))&amp;"","")</f>
        <v>No</v>
      </c>
      <c r="H484" s="10" t="str">
        <f aca="false">IFERROR(INDEX(Section_Master!$F$2:$F$477,MATCH($E484,Section_Master!$A$2:$A$477,0))&amp;"","")</f>
        <v>No</v>
      </c>
      <c r="I484" s="10" t="str">
        <f aca="false">IFERROR(INDEX(Section_Master!$G$2:$G$477,MATCH($E484,Section_Master!$A$2:$A$477,0))&amp;"","")</f>
        <v>No</v>
      </c>
      <c r="J484" s="10" t="s">
        <v>55</v>
      </c>
      <c r="K484" s="8" t="s">
        <v>1173</v>
      </c>
    </row>
    <row r="485" customFormat="false" ht="23.25" hidden="false" customHeight="true" outlineLevel="0" collapsed="false">
      <c r="A485" s="10" t="s">
        <v>1178</v>
      </c>
      <c r="B485" s="10" t="s">
        <v>45</v>
      </c>
      <c r="C485" s="8" t="s">
        <v>1171</v>
      </c>
      <c r="D485" s="8" t="s">
        <v>1179</v>
      </c>
      <c r="E485" s="11" t="n">
        <v>81</v>
      </c>
      <c r="F485" s="8" t="str">
        <f aca="false">IFERROR(INDEX(Section_Master!$D$2:$D$477,MATCH($E485,Section_Master!$A$2:$A$477,0))&amp;"","")</f>
        <v>Imprisonment up to 10 years and fine</v>
      </c>
      <c r="G485" s="10" t="str">
        <f aca="false">IFERROR(INDEX(Section_Master!$E$2:$E$477,MATCH($E485,Section_Master!$A$2:$A$477,0))&amp;"","")</f>
        <v>No</v>
      </c>
      <c r="H485" s="10" t="str">
        <f aca="false">IFERROR(INDEX(Section_Master!$F$2:$F$477,MATCH($E485,Section_Master!$A$2:$A$477,0))&amp;"","")</f>
        <v>No</v>
      </c>
      <c r="I485" s="10" t="str">
        <f aca="false">IFERROR(INDEX(Section_Master!$G$2:$G$477,MATCH($E485,Section_Master!$A$2:$A$477,0))&amp;"","")</f>
        <v>No</v>
      </c>
      <c r="J485" s="10" t="s">
        <v>58</v>
      </c>
      <c r="K485" s="8" t="s">
        <v>1173</v>
      </c>
    </row>
    <row r="486" customFormat="false" ht="34.5" hidden="false" customHeight="true" outlineLevel="0" collapsed="false">
      <c r="A486" s="10" t="s">
        <v>1180</v>
      </c>
      <c r="B486" s="10" t="s">
        <v>45</v>
      </c>
      <c r="C486" s="8" t="s">
        <v>1171</v>
      </c>
      <c r="D486" s="8" t="s">
        <v>1181</v>
      </c>
      <c r="E486" s="11" t="n">
        <v>81</v>
      </c>
      <c r="F486" s="8" t="str">
        <f aca="false">IFERROR(INDEX(Section_Master!$D$2:$D$477,MATCH($E486,Section_Master!$A$2:$A$477,0))&amp;"","")</f>
        <v>Imprisonment up to 10 years and fine</v>
      </c>
      <c r="G486" s="10" t="str">
        <f aca="false">IFERROR(INDEX(Section_Master!$E$2:$E$477,MATCH($E486,Section_Master!$A$2:$A$477,0))&amp;"","")</f>
        <v>No</v>
      </c>
      <c r="H486" s="10" t="str">
        <f aca="false">IFERROR(INDEX(Section_Master!$F$2:$F$477,MATCH($E486,Section_Master!$A$2:$A$477,0))&amp;"","")</f>
        <v>No</v>
      </c>
      <c r="I486" s="10" t="str">
        <f aca="false">IFERROR(INDEX(Section_Master!$G$2:$G$477,MATCH($E486,Section_Master!$A$2:$A$477,0))&amp;"","")</f>
        <v>No</v>
      </c>
      <c r="J486" s="10" t="s">
        <v>61</v>
      </c>
      <c r="K486" s="8" t="s">
        <v>1173</v>
      </c>
    </row>
    <row r="487" customFormat="false" ht="34.5" hidden="false" customHeight="true" outlineLevel="0" collapsed="false">
      <c r="A487" s="10" t="s">
        <v>1182</v>
      </c>
      <c r="B487" s="10" t="s">
        <v>45</v>
      </c>
      <c r="C487" s="8" t="s">
        <v>1171</v>
      </c>
      <c r="D487" s="8" t="s">
        <v>1183</v>
      </c>
      <c r="E487" s="11" t="n">
        <v>81</v>
      </c>
      <c r="F487" s="8" t="str">
        <f aca="false">IFERROR(INDEX(Section_Master!$D$2:$D$477,MATCH($E487,Section_Master!$A$2:$A$477,0))&amp;"","")</f>
        <v>Imprisonment up to 10 years and fine</v>
      </c>
      <c r="G487" s="10" t="str">
        <f aca="false">IFERROR(INDEX(Section_Master!$E$2:$E$477,MATCH($E487,Section_Master!$A$2:$A$477,0))&amp;"","")</f>
        <v>No</v>
      </c>
      <c r="H487" s="10" t="str">
        <f aca="false">IFERROR(INDEX(Section_Master!$F$2:$F$477,MATCH($E487,Section_Master!$A$2:$A$477,0))&amp;"","")</f>
        <v>No</v>
      </c>
      <c r="I487" s="10" t="str">
        <f aca="false">IFERROR(INDEX(Section_Master!$G$2:$G$477,MATCH($E487,Section_Master!$A$2:$A$477,0))&amp;"","")</f>
        <v>No</v>
      </c>
      <c r="J487" s="10" t="s">
        <v>64</v>
      </c>
      <c r="K487" s="8" t="s">
        <v>1173</v>
      </c>
    </row>
    <row r="488" customFormat="false" ht="34.5" hidden="false" customHeight="true" outlineLevel="0" collapsed="false">
      <c r="A488" s="10" t="s">
        <v>1184</v>
      </c>
      <c r="B488" s="10" t="s">
        <v>45</v>
      </c>
      <c r="C488" s="8" t="s">
        <v>1185</v>
      </c>
      <c r="D488" s="8" t="s">
        <v>1186</v>
      </c>
      <c r="E488" s="11" t="n">
        <v>82</v>
      </c>
      <c r="F488" s="8" t="str">
        <f aca="false">IFERROR(INDEX(Section_Master!$D$2:$D$477,MATCH($E488,Section_Master!$A$2:$A$477,0))&amp;"","")</f>
        <v>Imprisonment up to 7 years and fine [s.82(1)]</v>
      </c>
      <c r="G488" s="10" t="str">
        <f aca="false">IFERROR(INDEX(Section_Master!$E$2:$E$477,MATCH($E488,Section_Master!$A$2:$A$477,0))&amp;"","")</f>
        <v>No</v>
      </c>
      <c r="H488" s="10" t="str">
        <f aca="false">IFERROR(INDEX(Section_Master!$F$2:$F$477,MATCH($E488,Section_Master!$A$2:$A$477,0))&amp;"","")</f>
        <v>Yes</v>
      </c>
      <c r="I488" s="10" t="str">
        <f aca="false">IFERROR(INDEX(Section_Master!$G$2:$G$477,MATCH($E488,Section_Master!$A$2:$A$477,0))&amp;"","")</f>
        <v>With court permission</v>
      </c>
      <c r="J488" s="10" t="s">
        <v>48</v>
      </c>
      <c r="K488" s="8" t="s">
        <v>1187</v>
      </c>
    </row>
    <row r="489" customFormat="false" ht="45.75" hidden="false" customHeight="true" outlineLevel="0" collapsed="false">
      <c r="A489" s="10" t="s">
        <v>1188</v>
      </c>
      <c r="B489" s="10" t="s">
        <v>45</v>
      </c>
      <c r="C489" s="8" t="s">
        <v>1185</v>
      </c>
      <c r="D489" s="8" t="s">
        <v>1189</v>
      </c>
      <c r="E489" s="11" t="n">
        <v>82</v>
      </c>
      <c r="F489" s="8" t="str">
        <f aca="false">IFERROR(INDEX(Section_Master!$D$2:$D$477,MATCH($E489,Section_Master!$A$2:$A$477,0))&amp;"","")</f>
        <v>Imprisonment up to 7 years and fine [s.82(1)]</v>
      </c>
      <c r="G489" s="10" t="str">
        <f aca="false">IFERROR(INDEX(Section_Master!$E$2:$E$477,MATCH($E489,Section_Master!$A$2:$A$477,0))&amp;"","")</f>
        <v>No</v>
      </c>
      <c r="H489" s="10" t="str">
        <f aca="false">IFERROR(INDEX(Section_Master!$F$2:$F$477,MATCH($E489,Section_Master!$A$2:$A$477,0))&amp;"","")</f>
        <v>Yes</v>
      </c>
      <c r="I489" s="10" t="str">
        <f aca="false">IFERROR(INDEX(Section_Master!$G$2:$G$477,MATCH($E489,Section_Master!$A$2:$A$477,0))&amp;"","")</f>
        <v>With court permission</v>
      </c>
      <c r="J489" s="10" t="s">
        <v>52</v>
      </c>
      <c r="K489" s="8" t="s">
        <v>1187</v>
      </c>
    </row>
    <row r="490" customFormat="false" ht="34.5" hidden="false" customHeight="true" outlineLevel="0" collapsed="false">
      <c r="A490" s="10" t="s">
        <v>1190</v>
      </c>
      <c r="B490" s="10" t="s">
        <v>45</v>
      </c>
      <c r="C490" s="8" t="s">
        <v>1185</v>
      </c>
      <c r="D490" s="8" t="s">
        <v>1191</v>
      </c>
      <c r="E490" s="11" t="n">
        <v>82</v>
      </c>
      <c r="F490" s="8" t="str">
        <f aca="false">IFERROR(INDEX(Section_Master!$D$2:$D$477,MATCH($E490,Section_Master!$A$2:$A$477,0))&amp;"","")</f>
        <v>Imprisonment up to 7 years and fine [s.82(1)]</v>
      </c>
      <c r="G490" s="10" t="str">
        <f aca="false">IFERROR(INDEX(Section_Master!$E$2:$E$477,MATCH($E490,Section_Master!$A$2:$A$477,0))&amp;"","")</f>
        <v>No</v>
      </c>
      <c r="H490" s="10" t="str">
        <f aca="false">IFERROR(INDEX(Section_Master!$F$2:$F$477,MATCH($E490,Section_Master!$A$2:$A$477,0))&amp;"","")</f>
        <v>Yes</v>
      </c>
      <c r="I490" s="10" t="str">
        <f aca="false">IFERROR(INDEX(Section_Master!$G$2:$G$477,MATCH($E490,Section_Master!$A$2:$A$477,0))&amp;"","")</f>
        <v>With court permission</v>
      </c>
      <c r="J490" s="10" t="s">
        <v>55</v>
      </c>
      <c r="K490" s="8" t="s">
        <v>1187</v>
      </c>
    </row>
    <row r="491" customFormat="false" ht="34.5" hidden="false" customHeight="true" outlineLevel="0" collapsed="false">
      <c r="A491" s="10" t="s">
        <v>1192</v>
      </c>
      <c r="B491" s="10" t="s">
        <v>45</v>
      </c>
      <c r="C491" s="8" t="s">
        <v>1185</v>
      </c>
      <c r="D491" s="8" t="s">
        <v>1193</v>
      </c>
      <c r="E491" s="11" t="n">
        <v>82</v>
      </c>
      <c r="F491" s="8" t="str">
        <f aca="false">IFERROR(INDEX(Section_Master!$D$2:$D$477,MATCH($E491,Section_Master!$A$2:$A$477,0))&amp;"","")</f>
        <v>Imprisonment up to 7 years and fine [s.82(1)]</v>
      </c>
      <c r="G491" s="10" t="str">
        <f aca="false">IFERROR(INDEX(Section_Master!$E$2:$E$477,MATCH($E491,Section_Master!$A$2:$A$477,0))&amp;"","")</f>
        <v>No</v>
      </c>
      <c r="H491" s="10" t="str">
        <f aca="false">IFERROR(INDEX(Section_Master!$F$2:$F$477,MATCH($E491,Section_Master!$A$2:$A$477,0))&amp;"","")</f>
        <v>Yes</v>
      </c>
      <c r="I491" s="10" t="str">
        <f aca="false">IFERROR(INDEX(Section_Master!$G$2:$G$477,MATCH($E491,Section_Master!$A$2:$A$477,0))&amp;"","")</f>
        <v>With court permission</v>
      </c>
      <c r="J491" s="10" t="s">
        <v>58</v>
      </c>
      <c r="K491" s="8" t="s">
        <v>1187</v>
      </c>
    </row>
    <row r="492" customFormat="false" ht="34.5" hidden="false" customHeight="true" outlineLevel="0" collapsed="false">
      <c r="A492" s="10" t="s">
        <v>1194</v>
      </c>
      <c r="B492" s="10" t="s">
        <v>45</v>
      </c>
      <c r="C492" s="8" t="s">
        <v>1185</v>
      </c>
      <c r="D492" s="8" t="s">
        <v>1195</v>
      </c>
      <c r="E492" s="11" t="n">
        <v>82</v>
      </c>
      <c r="F492" s="8" t="str">
        <f aca="false">IFERROR(INDEX(Section_Master!$D$2:$D$477,MATCH($E492,Section_Master!$A$2:$A$477,0))&amp;"","")</f>
        <v>Imprisonment up to 7 years and fine [s.82(1)]</v>
      </c>
      <c r="G492" s="10" t="str">
        <f aca="false">IFERROR(INDEX(Section_Master!$E$2:$E$477,MATCH($E492,Section_Master!$A$2:$A$477,0))&amp;"","")</f>
        <v>No</v>
      </c>
      <c r="H492" s="10" t="str">
        <f aca="false">IFERROR(INDEX(Section_Master!$F$2:$F$477,MATCH($E492,Section_Master!$A$2:$A$477,0))&amp;"","")</f>
        <v>Yes</v>
      </c>
      <c r="I492" s="10" t="str">
        <f aca="false">IFERROR(INDEX(Section_Master!$G$2:$G$477,MATCH($E492,Section_Master!$A$2:$A$477,0))&amp;"","")</f>
        <v>With court permission</v>
      </c>
      <c r="J492" s="10" t="s">
        <v>61</v>
      </c>
      <c r="K492" s="8" t="s">
        <v>1187</v>
      </c>
    </row>
    <row r="493" customFormat="false" ht="34.5" hidden="false" customHeight="true" outlineLevel="0" collapsed="false">
      <c r="A493" s="10" t="s">
        <v>1196</v>
      </c>
      <c r="B493" s="10" t="s">
        <v>45</v>
      </c>
      <c r="C493" s="8" t="s">
        <v>1185</v>
      </c>
      <c r="D493" s="8" t="s">
        <v>1197</v>
      </c>
      <c r="E493" s="11" t="n">
        <v>82</v>
      </c>
      <c r="F493" s="8" t="str">
        <f aca="false">IFERROR(INDEX(Section_Master!$D$2:$D$477,MATCH($E493,Section_Master!$A$2:$A$477,0))&amp;"","")</f>
        <v>Imprisonment up to 7 years and fine [s.82(1)]</v>
      </c>
      <c r="G493" s="10" t="str">
        <f aca="false">IFERROR(INDEX(Section_Master!$E$2:$E$477,MATCH($E493,Section_Master!$A$2:$A$477,0))&amp;"","")</f>
        <v>No</v>
      </c>
      <c r="H493" s="10" t="str">
        <f aca="false">IFERROR(INDEX(Section_Master!$F$2:$F$477,MATCH($E493,Section_Master!$A$2:$A$477,0))&amp;"","")</f>
        <v>Yes</v>
      </c>
      <c r="I493" s="10" t="str">
        <f aca="false">IFERROR(INDEX(Section_Master!$G$2:$G$477,MATCH($E493,Section_Master!$A$2:$A$477,0))&amp;"","")</f>
        <v>With court permission</v>
      </c>
      <c r="J493" s="10" t="s">
        <v>64</v>
      </c>
      <c r="K493" s="8" t="s">
        <v>1187</v>
      </c>
    </row>
    <row r="494" customFormat="false" ht="34.5" hidden="false" customHeight="true" outlineLevel="0" collapsed="false">
      <c r="A494" s="10" t="s">
        <v>1198</v>
      </c>
      <c r="B494" s="10" t="s">
        <v>45</v>
      </c>
      <c r="C494" s="8" t="s">
        <v>1199</v>
      </c>
      <c r="D494" s="8" t="s">
        <v>1200</v>
      </c>
      <c r="E494" s="11" t="n">
        <v>83</v>
      </c>
      <c r="F494" s="8" t="str">
        <f aca="false">IFERROR(INDEX(Section_Master!$D$2:$D$477,MATCH($E494,Section_Master!$A$2:$A$477,0))&amp;"","")</f>
        <v>Imprisonment up to 7 years and fine</v>
      </c>
      <c r="G494" s="10" t="str">
        <f aca="false">IFERROR(INDEX(Section_Master!$E$2:$E$477,MATCH($E494,Section_Master!$A$2:$A$477,0))&amp;"","")</f>
        <v>No</v>
      </c>
      <c r="H494" s="10" t="str">
        <f aca="false">IFERROR(INDEX(Section_Master!$F$2:$F$477,MATCH($E494,Section_Master!$A$2:$A$477,0))&amp;"","")</f>
        <v>Yes</v>
      </c>
      <c r="I494" s="10" t="str">
        <f aca="false">IFERROR(INDEX(Section_Master!$G$2:$G$477,MATCH($E494,Section_Master!$A$2:$A$477,0))&amp;"","")</f>
        <v>No</v>
      </c>
      <c r="J494" s="10" t="s">
        <v>48</v>
      </c>
      <c r="K494" s="8" t="s">
        <v>1201</v>
      </c>
    </row>
    <row r="495" customFormat="false" ht="34.5" hidden="false" customHeight="true" outlineLevel="0" collapsed="false">
      <c r="A495" s="10" t="s">
        <v>1202</v>
      </c>
      <c r="B495" s="10" t="s">
        <v>45</v>
      </c>
      <c r="C495" s="8" t="s">
        <v>1199</v>
      </c>
      <c r="D495" s="8" t="s">
        <v>1203</v>
      </c>
      <c r="E495" s="11" t="n">
        <v>83</v>
      </c>
      <c r="F495" s="8" t="str">
        <f aca="false">IFERROR(INDEX(Section_Master!$D$2:$D$477,MATCH($E495,Section_Master!$A$2:$A$477,0))&amp;"","")</f>
        <v>Imprisonment up to 7 years and fine</v>
      </c>
      <c r="G495" s="10" t="str">
        <f aca="false">IFERROR(INDEX(Section_Master!$E$2:$E$477,MATCH($E495,Section_Master!$A$2:$A$477,0))&amp;"","")</f>
        <v>No</v>
      </c>
      <c r="H495" s="10" t="str">
        <f aca="false">IFERROR(INDEX(Section_Master!$F$2:$F$477,MATCH($E495,Section_Master!$A$2:$A$477,0))&amp;"","")</f>
        <v>Yes</v>
      </c>
      <c r="I495" s="10" t="str">
        <f aca="false">IFERROR(INDEX(Section_Master!$G$2:$G$477,MATCH($E495,Section_Master!$A$2:$A$477,0))&amp;"","")</f>
        <v>No</v>
      </c>
      <c r="J495" s="10" t="s">
        <v>52</v>
      </c>
      <c r="K495" s="8" t="s">
        <v>1201</v>
      </c>
    </row>
    <row r="496" customFormat="false" ht="34.5" hidden="false" customHeight="true" outlineLevel="0" collapsed="false">
      <c r="A496" s="10" t="s">
        <v>1204</v>
      </c>
      <c r="B496" s="10" t="s">
        <v>45</v>
      </c>
      <c r="C496" s="8" t="s">
        <v>1199</v>
      </c>
      <c r="D496" s="8" t="s">
        <v>1205</v>
      </c>
      <c r="E496" s="11" t="n">
        <v>83</v>
      </c>
      <c r="F496" s="8" t="str">
        <f aca="false">IFERROR(INDEX(Section_Master!$D$2:$D$477,MATCH($E496,Section_Master!$A$2:$A$477,0))&amp;"","")</f>
        <v>Imprisonment up to 7 years and fine</v>
      </c>
      <c r="G496" s="10" t="str">
        <f aca="false">IFERROR(INDEX(Section_Master!$E$2:$E$477,MATCH($E496,Section_Master!$A$2:$A$477,0))&amp;"","")</f>
        <v>No</v>
      </c>
      <c r="H496" s="10" t="str">
        <f aca="false">IFERROR(INDEX(Section_Master!$F$2:$F$477,MATCH($E496,Section_Master!$A$2:$A$477,0))&amp;"","")</f>
        <v>Yes</v>
      </c>
      <c r="I496" s="10" t="str">
        <f aca="false">IFERROR(INDEX(Section_Master!$G$2:$G$477,MATCH($E496,Section_Master!$A$2:$A$477,0))&amp;"","")</f>
        <v>No</v>
      </c>
      <c r="J496" s="10" t="s">
        <v>55</v>
      </c>
      <c r="K496" s="8" t="s">
        <v>1201</v>
      </c>
    </row>
    <row r="497" customFormat="false" ht="34.5" hidden="false" customHeight="true" outlineLevel="0" collapsed="false">
      <c r="A497" s="10" t="s">
        <v>1206</v>
      </c>
      <c r="B497" s="10" t="s">
        <v>45</v>
      </c>
      <c r="C497" s="8" t="s">
        <v>1199</v>
      </c>
      <c r="D497" s="8" t="s">
        <v>1207</v>
      </c>
      <c r="E497" s="11" t="n">
        <v>83</v>
      </c>
      <c r="F497" s="8" t="str">
        <f aca="false">IFERROR(INDEX(Section_Master!$D$2:$D$477,MATCH($E497,Section_Master!$A$2:$A$477,0))&amp;"","")</f>
        <v>Imprisonment up to 7 years and fine</v>
      </c>
      <c r="G497" s="10" t="str">
        <f aca="false">IFERROR(INDEX(Section_Master!$E$2:$E$477,MATCH($E497,Section_Master!$A$2:$A$477,0))&amp;"","")</f>
        <v>No</v>
      </c>
      <c r="H497" s="10" t="str">
        <f aca="false">IFERROR(INDEX(Section_Master!$F$2:$F$477,MATCH($E497,Section_Master!$A$2:$A$477,0))&amp;"","")</f>
        <v>Yes</v>
      </c>
      <c r="I497" s="10" t="str">
        <f aca="false">IFERROR(INDEX(Section_Master!$G$2:$G$477,MATCH($E497,Section_Master!$A$2:$A$477,0))&amp;"","")</f>
        <v>No</v>
      </c>
      <c r="J497" s="10" t="s">
        <v>58</v>
      </c>
      <c r="K497" s="8" t="s">
        <v>1201</v>
      </c>
    </row>
    <row r="498" customFormat="false" ht="34.5" hidden="false" customHeight="true" outlineLevel="0" collapsed="false">
      <c r="A498" s="10" t="s">
        <v>1208</v>
      </c>
      <c r="B498" s="10" t="s">
        <v>45</v>
      </c>
      <c r="C498" s="8" t="s">
        <v>1199</v>
      </c>
      <c r="D498" s="8" t="s">
        <v>1209</v>
      </c>
      <c r="E498" s="11" t="n">
        <v>83</v>
      </c>
      <c r="F498" s="8" t="str">
        <f aca="false">IFERROR(INDEX(Section_Master!$D$2:$D$477,MATCH($E498,Section_Master!$A$2:$A$477,0))&amp;"","")</f>
        <v>Imprisonment up to 7 years and fine</v>
      </c>
      <c r="G498" s="10" t="str">
        <f aca="false">IFERROR(INDEX(Section_Master!$E$2:$E$477,MATCH($E498,Section_Master!$A$2:$A$477,0))&amp;"","")</f>
        <v>No</v>
      </c>
      <c r="H498" s="10" t="str">
        <f aca="false">IFERROR(INDEX(Section_Master!$F$2:$F$477,MATCH($E498,Section_Master!$A$2:$A$477,0))&amp;"","")</f>
        <v>Yes</v>
      </c>
      <c r="I498" s="10" t="str">
        <f aca="false">IFERROR(INDEX(Section_Master!$G$2:$G$477,MATCH($E498,Section_Master!$A$2:$A$477,0))&amp;"","")</f>
        <v>No</v>
      </c>
      <c r="J498" s="10" t="s">
        <v>61</v>
      </c>
      <c r="K498" s="8" t="s">
        <v>1201</v>
      </c>
    </row>
    <row r="499" customFormat="false" ht="34.5" hidden="false" customHeight="true" outlineLevel="0" collapsed="false">
      <c r="A499" s="10" t="s">
        <v>1210</v>
      </c>
      <c r="B499" s="10" t="s">
        <v>45</v>
      </c>
      <c r="C499" s="8" t="s">
        <v>1199</v>
      </c>
      <c r="D499" s="8" t="s">
        <v>1211</v>
      </c>
      <c r="E499" s="11" t="n">
        <v>83</v>
      </c>
      <c r="F499" s="8" t="str">
        <f aca="false">IFERROR(INDEX(Section_Master!$D$2:$D$477,MATCH($E499,Section_Master!$A$2:$A$477,0))&amp;"","")</f>
        <v>Imprisonment up to 7 years and fine</v>
      </c>
      <c r="G499" s="10" t="str">
        <f aca="false">IFERROR(INDEX(Section_Master!$E$2:$E$477,MATCH($E499,Section_Master!$A$2:$A$477,0))&amp;"","")</f>
        <v>No</v>
      </c>
      <c r="H499" s="10" t="str">
        <f aca="false">IFERROR(INDEX(Section_Master!$F$2:$F$477,MATCH($E499,Section_Master!$A$2:$A$477,0))&amp;"","")</f>
        <v>Yes</v>
      </c>
      <c r="I499" s="10" t="str">
        <f aca="false">IFERROR(INDEX(Section_Master!$G$2:$G$477,MATCH($E499,Section_Master!$A$2:$A$477,0))&amp;"","")</f>
        <v>No</v>
      </c>
      <c r="J499" s="10" t="s">
        <v>64</v>
      </c>
      <c r="K499" s="8" t="s">
        <v>1201</v>
      </c>
    </row>
    <row r="500" customFormat="false" ht="34.5" hidden="false" customHeight="true" outlineLevel="0" collapsed="false">
      <c r="A500" s="10" t="s">
        <v>1212</v>
      </c>
      <c r="B500" s="10" t="s">
        <v>45</v>
      </c>
      <c r="C500" s="8" t="s">
        <v>1213</v>
      </c>
      <c r="D500" s="8" t="s">
        <v>1214</v>
      </c>
      <c r="E500" s="11" t="n">
        <v>84</v>
      </c>
      <c r="F500" s="8" t="str">
        <f aca="false">IFERROR(INDEX(Section_Master!$D$2:$D$477,MATCH($E500,Section_Master!$A$2:$A$477,0))&amp;"","")</f>
        <v>Imprisonment up to 2 years, or fine, or both</v>
      </c>
      <c r="G500" s="10" t="str">
        <f aca="false">IFERROR(INDEX(Section_Master!$E$2:$E$477,MATCH($E500,Section_Master!$A$2:$A$477,0))&amp;"","")</f>
        <v>No</v>
      </c>
      <c r="H500" s="10" t="str">
        <f aca="false">IFERROR(INDEX(Section_Master!$F$2:$F$477,MATCH($E500,Section_Master!$A$2:$A$477,0))&amp;"","")</f>
        <v>Yes</v>
      </c>
      <c r="I500" s="10" t="str">
        <f aca="false">IFERROR(INDEX(Section_Master!$G$2:$G$477,MATCH($E500,Section_Master!$A$2:$A$477,0))&amp;"","")</f>
        <v>With court permission</v>
      </c>
      <c r="J500" s="10" t="s">
        <v>48</v>
      </c>
      <c r="K500" s="8" t="s">
        <v>1215</v>
      </c>
    </row>
    <row r="501" customFormat="false" ht="34.5" hidden="false" customHeight="true" outlineLevel="0" collapsed="false">
      <c r="A501" s="10" t="s">
        <v>1216</v>
      </c>
      <c r="B501" s="10" t="s">
        <v>45</v>
      </c>
      <c r="C501" s="8" t="s">
        <v>1213</v>
      </c>
      <c r="D501" s="8" t="s">
        <v>1217</v>
      </c>
      <c r="E501" s="11" t="n">
        <v>84</v>
      </c>
      <c r="F501" s="8" t="str">
        <f aca="false">IFERROR(INDEX(Section_Master!$D$2:$D$477,MATCH($E501,Section_Master!$A$2:$A$477,0))&amp;"","")</f>
        <v>Imprisonment up to 2 years, or fine, or both</v>
      </c>
      <c r="G501" s="10" t="str">
        <f aca="false">IFERROR(INDEX(Section_Master!$E$2:$E$477,MATCH($E501,Section_Master!$A$2:$A$477,0))&amp;"","")</f>
        <v>No</v>
      </c>
      <c r="H501" s="10" t="str">
        <f aca="false">IFERROR(INDEX(Section_Master!$F$2:$F$477,MATCH($E501,Section_Master!$A$2:$A$477,0))&amp;"","")</f>
        <v>Yes</v>
      </c>
      <c r="I501" s="10" t="str">
        <f aca="false">IFERROR(INDEX(Section_Master!$G$2:$G$477,MATCH($E501,Section_Master!$A$2:$A$477,0))&amp;"","")</f>
        <v>With court permission</v>
      </c>
      <c r="J501" s="10" t="s">
        <v>52</v>
      </c>
      <c r="K501" s="8" t="s">
        <v>1215</v>
      </c>
    </row>
    <row r="502" customFormat="false" ht="34.5" hidden="false" customHeight="true" outlineLevel="0" collapsed="false">
      <c r="A502" s="10" t="s">
        <v>1218</v>
      </c>
      <c r="B502" s="10" t="s">
        <v>45</v>
      </c>
      <c r="C502" s="8" t="s">
        <v>1213</v>
      </c>
      <c r="D502" s="8" t="s">
        <v>1219</v>
      </c>
      <c r="E502" s="11" t="n">
        <v>84</v>
      </c>
      <c r="F502" s="8" t="str">
        <f aca="false">IFERROR(INDEX(Section_Master!$D$2:$D$477,MATCH($E502,Section_Master!$A$2:$A$477,0))&amp;"","")</f>
        <v>Imprisonment up to 2 years, or fine, or both</v>
      </c>
      <c r="G502" s="10" t="str">
        <f aca="false">IFERROR(INDEX(Section_Master!$E$2:$E$477,MATCH($E502,Section_Master!$A$2:$A$477,0))&amp;"","")</f>
        <v>No</v>
      </c>
      <c r="H502" s="10" t="str">
        <f aca="false">IFERROR(INDEX(Section_Master!$F$2:$F$477,MATCH($E502,Section_Master!$A$2:$A$477,0))&amp;"","")</f>
        <v>Yes</v>
      </c>
      <c r="I502" s="10" t="str">
        <f aca="false">IFERROR(INDEX(Section_Master!$G$2:$G$477,MATCH($E502,Section_Master!$A$2:$A$477,0))&amp;"","")</f>
        <v>With court permission</v>
      </c>
      <c r="J502" s="10" t="s">
        <v>55</v>
      </c>
      <c r="K502" s="8" t="s">
        <v>1215</v>
      </c>
    </row>
    <row r="503" customFormat="false" ht="34.5" hidden="false" customHeight="true" outlineLevel="0" collapsed="false">
      <c r="A503" s="10" t="s">
        <v>1220</v>
      </c>
      <c r="B503" s="10" t="s">
        <v>45</v>
      </c>
      <c r="C503" s="8" t="s">
        <v>1213</v>
      </c>
      <c r="D503" s="8" t="s">
        <v>1221</v>
      </c>
      <c r="E503" s="11" t="n">
        <v>84</v>
      </c>
      <c r="F503" s="8" t="str">
        <f aca="false">IFERROR(INDEX(Section_Master!$D$2:$D$477,MATCH($E503,Section_Master!$A$2:$A$477,0))&amp;"","")</f>
        <v>Imprisonment up to 2 years, or fine, or both</v>
      </c>
      <c r="G503" s="10" t="str">
        <f aca="false">IFERROR(INDEX(Section_Master!$E$2:$E$477,MATCH($E503,Section_Master!$A$2:$A$477,0))&amp;"","")</f>
        <v>No</v>
      </c>
      <c r="H503" s="10" t="str">
        <f aca="false">IFERROR(INDEX(Section_Master!$F$2:$F$477,MATCH($E503,Section_Master!$A$2:$A$477,0))&amp;"","")</f>
        <v>Yes</v>
      </c>
      <c r="I503" s="10" t="str">
        <f aca="false">IFERROR(INDEX(Section_Master!$G$2:$G$477,MATCH($E503,Section_Master!$A$2:$A$477,0))&amp;"","")</f>
        <v>With court permission</v>
      </c>
      <c r="J503" s="10" t="s">
        <v>58</v>
      </c>
      <c r="K503" s="8" t="s">
        <v>1215</v>
      </c>
    </row>
    <row r="504" customFormat="false" ht="23.25" hidden="false" customHeight="true" outlineLevel="0" collapsed="false">
      <c r="A504" s="10" t="s">
        <v>1222</v>
      </c>
      <c r="B504" s="10" t="s">
        <v>45</v>
      </c>
      <c r="C504" s="8" t="s">
        <v>1213</v>
      </c>
      <c r="D504" s="8" t="s">
        <v>1223</v>
      </c>
      <c r="E504" s="11" t="n">
        <v>84</v>
      </c>
      <c r="F504" s="8" t="str">
        <f aca="false">IFERROR(INDEX(Section_Master!$D$2:$D$477,MATCH($E504,Section_Master!$A$2:$A$477,0))&amp;"","")</f>
        <v>Imprisonment up to 2 years, or fine, or both</v>
      </c>
      <c r="G504" s="10" t="str">
        <f aca="false">IFERROR(INDEX(Section_Master!$E$2:$E$477,MATCH($E504,Section_Master!$A$2:$A$477,0))&amp;"","")</f>
        <v>No</v>
      </c>
      <c r="H504" s="10" t="str">
        <f aca="false">IFERROR(INDEX(Section_Master!$F$2:$F$477,MATCH($E504,Section_Master!$A$2:$A$477,0))&amp;"","")</f>
        <v>Yes</v>
      </c>
      <c r="I504" s="10" t="str">
        <f aca="false">IFERROR(INDEX(Section_Master!$G$2:$G$477,MATCH($E504,Section_Master!$A$2:$A$477,0))&amp;"","")</f>
        <v>With court permission</v>
      </c>
      <c r="J504" s="10" t="s">
        <v>61</v>
      </c>
      <c r="K504" s="8" t="s">
        <v>1215</v>
      </c>
    </row>
    <row r="505" customFormat="false" ht="34.5" hidden="false" customHeight="true" outlineLevel="0" collapsed="false">
      <c r="A505" s="10" t="s">
        <v>1224</v>
      </c>
      <c r="B505" s="10" t="s">
        <v>45</v>
      </c>
      <c r="C505" s="8" t="s">
        <v>1213</v>
      </c>
      <c r="D505" s="8" t="s">
        <v>1225</v>
      </c>
      <c r="E505" s="11" t="n">
        <v>84</v>
      </c>
      <c r="F505" s="8" t="str">
        <f aca="false">IFERROR(INDEX(Section_Master!$D$2:$D$477,MATCH($E505,Section_Master!$A$2:$A$477,0))&amp;"","")</f>
        <v>Imprisonment up to 2 years, or fine, or both</v>
      </c>
      <c r="G505" s="10" t="str">
        <f aca="false">IFERROR(INDEX(Section_Master!$E$2:$E$477,MATCH($E505,Section_Master!$A$2:$A$477,0))&amp;"","")</f>
        <v>No</v>
      </c>
      <c r="H505" s="10" t="str">
        <f aca="false">IFERROR(INDEX(Section_Master!$F$2:$F$477,MATCH($E505,Section_Master!$A$2:$A$477,0))&amp;"","")</f>
        <v>Yes</v>
      </c>
      <c r="I505" s="10" t="str">
        <f aca="false">IFERROR(INDEX(Section_Master!$G$2:$G$477,MATCH($E505,Section_Master!$A$2:$A$477,0))&amp;"","")</f>
        <v>With court permission</v>
      </c>
      <c r="J505" s="10" t="s">
        <v>64</v>
      </c>
      <c r="K505" s="8" t="s">
        <v>1215</v>
      </c>
    </row>
    <row r="506" customFormat="false" ht="23.25" hidden="false" customHeight="true" outlineLevel="0" collapsed="false">
      <c r="A506" s="10" t="s">
        <v>1226</v>
      </c>
      <c r="B506" s="10" t="s">
        <v>45</v>
      </c>
      <c r="C506" s="8" t="s">
        <v>1227</v>
      </c>
      <c r="D506" s="8" t="s">
        <v>1228</v>
      </c>
      <c r="E506" s="11" t="n">
        <v>85</v>
      </c>
      <c r="F506" s="8" t="str">
        <f aca="false">IFERROR(INDEX(Section_Master!$D$2:$D$477,MATCH($E506,Section_Master!$A$2:$A$477,0))&amp;"","")</f>
        <v>Imprisonment up to 3 years and fine</v>
      </c>
      <c r="G506" s="10" t="str">
        <f aca="false">IFERROR(INDEX(Section_Master!$E$2:$E$477,MATCH($E506,Section_Master!$A$2:$A$477,0))&amp;"","")</f>
        <v>Yes</v>
      </c>
      <c r="H506" s="10" t="str">
        <f aca="false">IFERROR(INDEX(Section_Master!$F$2:$F$477,MATCH($E506,Section_Master!$A$2:$A$477,0))&amp;"","")</f>
        <v>No</v>
      </c>
      <c r="I506" s="10" t="str">
        <f aca="false">IFERROR(INDEX(Section_Master!$G$2:$G$477,MATCH($E506,Section_Master!$A$2:$A$477,0))&amp;"","")</f>
        <v>No</v>
      </c>
      <c r="J506" s="10" t="s">
        <v>48</v>
      </c>
      <c r="K506" s="8" t="s">
        <v>1229</v>
      </c>
    </row>
    <row r="507" customFormat="false" ht="34.5" hidden="false" customHeight="true" outlineLevel="0" collapsed="false">
      <c r="A507" s="10" t="s">
        <v>1230</v>
      </c>
      <c r="B507" s="10" t="s">
        <v>45</v>
      </c>
      <c r="C507" s="8" t="s">
        <v>1227</v>
      </c>
      <c r="D507" s="8" t="s">
        <v>1231</v>
      </c>
      <c r="E507" s="11" t="n">
        <v>85</v>
      </c>
      <c r="F507" s="8" t="str">
        <f aca="false">IFERROR(INDEX(Section_Master!$D$2:$D$477,MATCH($E507,Section_Master!$A$2:$A$477,0))&amp;"","")</f>
        <v>Imprisonment up to 3 years and fine</v>
      </c>
      <c r="G507" s="10" t="str">
        <f aca="false">IFERROR(INDEX(Section_Master!$E$2:$E$477,MATCH($E507,Section_Master!$A$2:$A$477,0))&amp;"","")</f>
        <v>Yes</v>
      </c>
      <c r="H507" s="10" t="str">
        <f aca="false">IFERROR(INDEX(Section_Master!$F$2:$F$477,MATCH($E507,Section_Master!$A$2:$A$477,0))&amp;"","")</f>
        <v>No</v>
      </c>
      <c r="I507" s="10" t="str">
        <f aca="false">IFERROR(INDEX(Section_Master!$G$2:$G$477,MATCH($E507,Section_Master!$A$2:$A$477,0))&amp;"","")</f>
        <v>No</v>
      </c>
      <c r="J507" s="10" t="s">
        <v>52</v>
      </c>
      <c r="K507" s="8" t="s">
        <v>1229</v>
      </c>
    </row>
    <row r="508" customFormat="false" ht="23.25" hidden="false" customHeight="true" outlineLevel="0" collapsed="false">
      <c r="A508" s="10" t="s">
        <v>1232</v>
      </c>
      <c r="B508" s="10" t="s">
        <v>45</v>
      </c>
      <c r="C508" s="8" t="s">
        <v>1227</v>
      </c>
      <c r="D508" s="8" t="s">
        <v>1233</v>
      </c>
      <c r="E508" s="11" t="n">
        <v>85</v>
      </c>
      <c r="F508" s="8" t="str">
        <f aca="false">IFERROR(INDEX(Section_Master!$D$2:$D$477,MATCH($E508,Section_Master!$A$2:$A$477,0))&amp;"","")</f>
        <v>Imprisonment up to 3 years and fine</v>
      </c>
      <c r="G508" s="10" t="str">
        <f aca="false">IFERROR(INDEX(Section_Master!$E$2:$E$477,MATCH($E508,Section_Master!$A$2:$A$477,0))&amp;"","")</f>
        <v>Yes</v>
      </c>
      <c r="H508" s="10" t="str">
        <f aca="false">IFERROR(INDEX(Section_Master!$F$2:$F$477,MATCH($E508,Section_Master!$A$2:$A$477,0))&amp;"","")</f>
        <v>No</v>
      </c>
      <c r="I508" s="10" t="str">
        <f aca="false">IFERROR(INDEX(Section_Master!$G$2:$G$477,MATCH($E508,Section_Master!$A$2:$A$477,0))&amp;"","")</f>
        <v>No</v>
      </c>
      <c r="J508" s="10" t="s">
        <v>55</v>
      </c>
      <c r="K508" s="8" t="s">
        <v>1229</v>
      </c>
    </row>
    <row r="509" customFormat="false" ht="23.25" hidden="false" customHeight="true" outlineLevel="0" collapsed="false">
      <c r="A509" s="10" t="s">
        <v>1234</v>
      </c>
      <c r="B509" s="10" t="s">
        <v>45</v>
      </c>
      <c r="C509" s="8" t="s">
        <v>1227</v>
      </c>
      <c r="D509" s="8" t="s">
        <v>1235</v>
      </c>
      <c r="E509" s="11" t="n">
        <v>85</v>
      </c>
      <c r="F509" s="8" t="str">
        <f aca="false">IFERROR(INDEX(Section_Master!$D$2:$D$477,MATCH($E509,Section_Master!$A$2:$A$477,0))&amp;"","")</f>
        <v>Imprisonment up to 3 years and fine</v>
      </c>
      <c r="G509" s="10" t="str">
        <f aca="false">IFERROR(INDEX(Section_Master!$E$2:$E$477,MATCH($E509,Section_Master!$A$2:$A$477,0))&amp;"","")</f>
        <v>Yes</v>
      </c>
      <c r="H509" s="10" t="str">
        <f aca="false">IFERROR(INDEX(Section_Master!$F$2:$F$477,MATCH($E509,Section_Master!$A$2:$A$477,0))&amp;"","")</f>
        <v>No</v>
      </c>
      <c r="I509" s="10" t="str">
        <f aca="false">IFERROR(INDEX(Section_Master!$G$2:$G$477,MATCH($E509,Section_Master!$A$2:$A$477,0))&amp;"","")</f>
        <v>No</v>
      </c>
      <c r="J509" s="10" t="s">
        <v>58</v>
      </c>
      <c r="K509" s="8" t="s">
        <v>1229</v>
      </c>
    </row>
    <row r="510" customFormat="false" ht="34.5" hidden="false" customHeight="true" outlineLevel="0" collapsed="false">
      <c r="A510" s="10" t="s">
        <v>1236</v>
      </c>
      <c r="B510" s="10" t="s">
        <v>45</v>
      </c>
      <c r="C510" s="8" t="s">
        <v>1227</v>
      </c>
      <c r="D510" s="8" t="s">
        <v>1237</v>
      </c>
      <c r="E510" s="11" t="n">
        <v>85</v>
      </c>
      <c r="F510" s="8" t="str">
        <f aca="false">IFERROR(INDEX(Section_Master!$D$2:$D$477,MATCH($E510,Section_Master!$A$2:$A$477,0))&amp;"","")</f>
        <v>Imprisonment up to 3 years and fine</v>
      </c>
      <c r="G510" s="10" t="str">
        <f aca="false">IFERROR(INDEX(Section_Master!$E$2:$E$477,MATCH($E510,Section_Master!$A$2:$A$477,0))&amp;"","")</f>
        <v>Yes</v>
      </c>
      <c r="H510" s="10" t="str">
        <f aca="false">IFERROR(INDEX(Section_Master!$F$2:$F$477,MATCH($E510,Section_Master!$A$2:$A$477,0))&amp;"","")</f>
        <v>No</v>
      </c>
      <c r="I510" s="10" t="str">
        <f aca="false">IFERROR(INDEX(Section_Master!$G$2:$G$477,MATCH($E510,Section_Master!$A$2:$A$477,0))&amp;"","")</f>
        <v>No</v>
      </c>
      <c r="J510" s="10" t="s">
        <v>61</v>
      </c>
      <c r="K510" s="8" t="s">
        <v>1229</v>
      </c>
    </row>
    <row r="511" customFormat="false" ht="34.5" hidden="false" customHeight="true" outlineLevel="0" collapsed="false">
      <c r="A511" s="10" t="s">
        <v>1238</v>
      </c>
      <c r="B511" s="10" t="s">
        <v>45</v>
      </c>
      <c r="C511" s="8" t="s">
        <v>1227</v>
      </c>
      <c r="D511" s="8" t="s">
        <v>1239</v>
      </c>
      <c r="E511" s="11" t="n">
        <v>85</v>
      </c>
      <c r="F511" s="8" t="str">
        <f aca="false">IFERROR(INDEX(Section_Master!$D$2:$D$477,MATCH($E511,Section_Master!$A$2:$A$477,0))&amp;"","")</f>
        <v>Imprisonment up to 3 years and fine</v>
      </c>
      <c r="G511" s="10" t="str">
        <f aca="false">IFERROR(INDEX(Section_Master!$E$2:$E$477,MATCH($E511,Section_Master!$A$2:$A$477,0))&amp;"","")</f>
        <v>Yes</v>
      </c>
      <c r="H511" s="10" t="str">
        <f aca="false">IFERROR(INDEX(Section_Master!$F$2:$F$477,MATCH($E511,Section_Master!$A$2:$A$477,0))&amp;"","")</f>
        <v>No</v>
      </c>
      <c r="I511" s="10" t="str">
        <f aca="false">IFERROR(INDEX(Section_Master!$G$2:$G$477,MATCH($E511,Section_Master!$A$2:$A$477,0))&amp;"","")</f>
        <v>No</v>
      </c>
      <c r="J511" s="10" t="s">
        <v>64</v>
      </c>
      <c r="K511" s="8" t="s">
        <v>1229</v>
      </c>
    </row>
    <row r="512" customFormat="false" ht="34.5" hidden="false" customHeight="true" outlineLevel="0" collapsed="false">
      <c r="A512" s="10" t="s">
        <v>1240</v>
      </c>
      <c r="B512" s="10" t="s">
        <v>45</v>
      </c>
      <c r="C512" s="8" t="s">
        <v>1241</v>
      </c>
      <c r="D512" s="8" t="s">
        <v>1242</v>
      </c>
      <c r="E512" s="11" t="n">
        <v>86</v>
      </c>
      <c r="F512" s="8" t="str">
        <f aca="false">IFERROR(INDEX(Section_Master!$D$2:$D$477,MATCH($E512,Section_Master!$A$2:$A$477,0))&amp;"","")</f>
        <v>Not applicable - no offence or penalty defined here (definition, exception or general provision)</v>
      </c>
      <c r="G512" s="10" t="str">
        <f aca="false">IFERROR(INDEX(Section_Master!$E$2:$E$477,MATCH($E512,Section_Master!$A$2:$A$477,0))&amp;"","")</f>
        <v>N/A</v>
      </c>
      <c r="H512" s="10" t="str">
        <f aca="false">IFERROR(INDEX(Section_Master!$F$2:$F$477,MATCH($E512,Section_Master!$A$2:$A$477,0))&amp;"","")</f>
        <v>N/A</v>
      </c>
      <c r="I512" s="10" t="str">
        <f aca="false">IFERROR(INDEX(Section_Master!$G$2:$G$477,MATCH($E512,Section_Master!$A$2:$A$477,0))&amp;"","")</f>
        <v>N/A</v>
      </c>
      <c r="J512" s="10" t="s">
        <v>48</v>
      </c>
      <c r="K512" s="8" t="s">
        <v>1243</v>
      </c>
    </row>
    <row r="513" customFormat="false" ht="45.75" hidden="false" customHeight="true" outlineLevel="0" collapsed="false">
      <c r="A513" s="10" t="s">
        <v>1244</v>
      </c>
      <c r="B513" s="10" t="s">
        <v>45</v>
      </c>
      <c r="C513" s="8" t="s">
        <v>1241</v>
      </c>
      <c r="D513" s="8" t="s">
        <v>1245</v>
      </c>
      <c r="E513" s="11" t="n">
        <v>86</v>
      </c>
      <c r="F513" s="8" t="str">
        <f aca="false">IFERROR(INDEX(Section_Master!$D$2:$D$477,MATCH($E513,Section_Master!$A$2:$A$477,0))&amp;"","")</f>
        <v>Not applicable - no offence or penalty defined here (definition, exception or general provision)</v>
      </c>
      <c r="G513" s="10" t="str">
        <f aca="false">IFERROR(INDEX(Section_Master!$E$2:$E$477,MATCH($E513,Section_Master!$A$2:$A$477,0))&amp;"","")</f>
        <v>N/A</v>
      </c>
      <c r="H513" s="10" t="str">
        <f aca="false">IFERROR(INDEX(Section_Master!$F$2:$F$477,MATCH($E513,Section_Master!$A$2:$A$477,0))&amp;"","")</f>
        <v>N/A</v>
      </c>
      <c r="I513" s="10" t="str">
        <f aca="false">IFERROR(INDEX(Section_Master!$G$2:$G$477,MATCH($E513,Section_Master!$A$2:$A$477,0))&amp;"","")</f>
        <v>N/A</v>
      </c>
      <c r="J513" s="10" t="s">
        <v>52</v>
      </c>
      <c r="K513" s="8" t="s">
        <v>1243</v>
      </c>
    </row>
    <row r="514" customFormat="false" ht="34.5" hidden="false" customHeight="true" outlineLevel="0" collapsed="false">
      <c r="A514" s="10" t="s">
        <v>1246</v>
      </c>
      <c r="B514" s="10" t="s">
        <v>45</v>
      </c>
      <c r="C514" s="8" t="s">
        <v>1241</v>
      </c>
      <c r="D514" s="8" t="s">
        <v>1247</v>
      </c>
      <c r="E514" s="11" t="n">
        <v>86</v>
      </c>
      <c r="F514" s="8" t="str">
        <f aca="false">IFERROR(INDEX(Section_Master!$D$2:$D$477,MATCH($E514,Section_Master!$A$2:$A$477,0))&amp;"","")</f>
        <v>Not applicable - no offence or penalty defined here (definition, exception or general provision)</v>
      </c>
      <c r="G514" s="10" t="str">
        <f aca="false">IFERROR(INDEX(Section_Master!$E$2:$E$477,MATCH($E514,Section_Master!$A$2:$A$477,0))&amp;"","")</f>
        <v>N/A</v>
      </c>
      <c r="H514" s="10" t="str">
        <f aca="false">IFERROR(INDEX(Section_Master!$F$2:$F$477,MATCH($E514,Section_Master!$A$2:$A$477,0))&amp;"","")</f>
        <v>N/A</v>
      </c>
      <c r="I514" s="10" t="str">
        <f aca="false">IFERROR(INDEX(Section_Master!$G$2:$G$477,MATCH($E514,Section_Master!$A$2:$A$477,0))&amp;"","")</f>
        <v>N/A</v>
      </c>
      <c r="J514" s="10" t="s">
        <v>55</v>
      </c>
      <c r="K514" s="8" t="s">
        <v>1243</v>
      </c>
    </row>
    <row r="515" customFormat="false" ht="34.5" hidden="false" customHeight="true" outlineLevel="0" collapsed="false">
      <c r="A515" s="10" t="s">
        <v>1248</v>
      </c>
      <c r="B515" s="10" t="s">
        <v>45</v>
      </c>
      <c r="C515" s="8" t="s">
        <v>1241</v>
      </c>
      <c r="D515" s="8" t="s">
        <v>1249</v>
      </c>
      <c r="E515" s="11" t="n">
        <v>86</v>
      </c>
      <c r="F515" s="8" t="str">
        <f aca="false">IFERROR(INDEX(Section_Master!$D$2:$D$477,MATCH($E515,Section_Master!$A$2:$A$477,0))&amp;"","")</f>
        <v>Not applicable - no offence or penalty defined here (definition, exception or general provision)</v>
      </c>
      <c r="G515" s="10" t="str">
        <f aca="false">IFERROR(INDEX(Section_Master!$E$2:$E$477,MATCH($E515,Section_Master!$A$2:$A$477,0))&amp;"","")</f>
        <v>N/A</v>
      </c>
      <c r="H515" s="10" t="str">
        <f aca="false">IFERROR(INDEX(Section_Master!$F$2:$F$477,MATCH($E515,Section_Master!$A$2:$A$477,0))&amp;"","")</f>
        <v>N/A</v>
      </c>
      <c r="I515" s="10" t="str">
        <f aca="false">IFERROR(INDEX(Section_Master!$G$2:$G$477,MATCH($E515,Section_Master!$A$2:$A$477,0))&amp;"","")</f>
        <v>N/A</v>
      </c>
      <c r="J515" s="10" t="s">
        <v>58</v>
      </c>
      <c r="K515" s="8" t="s">
        <v>1243</v>
      </c>
    </row>
    <row r="516" customFormat="false" ht="34.5" hidden="false" customHeight="true" outlineLevel="0" collapsed="false">
      <c r="A516" s="10" t="s">
        <v>1250</v>
      </c>
      <c r="B516" s="10" t="s">
        <v>45</v>
      </c>
      <c r="C516" s="8" t="s">
        <v>1241</v>
      </c>
      <c r="D516" s="8" t="s">
        <v>1251</v>
      </c>
      <c r="E516" s="11" t="n">
        <v>86</v>
      </c>
      <c r="F516" s="8" t="str">
        <f aca="false">IFERROR(INDEX(Section_Master!$D$2:$D$477,MATCH($E516,Section_Master!$A$2:$A$477,0))&amp;"","")</f>
        <v>Not applicable - no offence or penalty defined here (definition, exception or general provision)</v>
      </c>
      <c r="G516" s="10" t="str">
        <f aca="false">IFERROR(INDEX(Section_Master!$E$2:$E$477,MATCH($E516,Section_Master!$A$2:$A$477,0))&amp;"","")</f>
        <v>N/A</v>
      </c>
      <c r="H516" s="10" t="str">
        <f aca="false">IFERROR(INDEX(Section_Master!$F$2:$F$477,MATCH($E516,Section_Master!$A$2:$A$477,0))&amp;"","")</f>
        <v>N/A</v>
      </c>
      <c r="I516" s="10" t="str">
        <f aca="false">IFERROR(INDEX(Section_Master!$G$2:$G$477,MATCH($E516,Section_Master!$A$2:$A$477,0))&amp;"","")</f>
        <v>N/A</v>
      </c>
      <c r="J516" s="10" t="s">
        <v>61</v>
      </c>
      <c r="K516" s="8" t="s">
        <v>1243</v>
      </c>
    </row>
    <row r="517" customFormat="false" ht="34.5" hidden="false" customHeight="true" outlineLevel="0" collapsed="false">
      <c r="A517" s="10" t="s">
        <v>1252</v>
      </c>
      <c r="B517" s="10" t="s">
        <v>45</v>
      </c>
      <c r="C517" s="8" t="s">
        <v>1241</v>
      </c>
      <c r="D517" s="8" t="s">
        <v>1253</v>
      </c>
      <c r="E517" s="11" t="n">
        <v>86</v>
      </c>
      <c r="F517" s="8" t="str">
        <f aca="false">IFERROR(INDEX(Section_Master!$D$2:$D$477,MATCH($E517,Section_Master!$A$2:$A$477,0))&amp;"","")</f>
        <v>Not applicable - no offence or penalty defined here (definition, exception or general provision)</v>
      </c>
      <c r="G517" s="10" t="str">
        <f aca="false">IFERROR(INDEX(Section_Master!$E$2:$E$477,MATCH($E517,Section_Master!$A$2:$A$477,0))&amp;"","")</f>
        <v>N/A</v>
      </c>
      <c r="H517" s="10" t="str">
        <f aca="false">IFERROR(INDEX(Section_Master!$F$2:$F$477,MATCH($E517,Section_Master!$A$2:$A$477,0))&amp;"","")</f>
        <v>N/A</v>
      </c>
      <c r="I517" s="10" t="str">
        <f aca="false">IFERROR(INDEX(Section_Master!$G$2:$G$477,MATCH($E517,Section_Master!$A$2:$A$477,0))&amp;"","")</f>
        <v>N/A</v>
      </c>
      <c r="J517" s="10" t="s">
        <v>64</v>
      </c>
      <c r="K517" s="8" t="s">
        <v>1243</v>
      </c>
    </row>
    <row r="518" customFormat="false" ht="23.25" hidden="false" customHeight="true" outlineLevel="0" collapsed="false">
      <c r="A518" s="10" t="s">
        <v>1254</v>
      </c>
      <c r="B518" s="10" t="s">
        <v>45</v>
      </c>
      <c r="C518" s="8" t="s">
        <v>1255</v>
      </c>
      <c r="D518" s="8" t="s">
        <v>1256</v>
      </c>
      <c r="E518" s="11" t="n">
        <v>87</v>
      </c>
      <c r="F518" s="8" t="str">
        <f aca="false">IFERROR(INDEX(Section_Master!$D$2:$D$477,MATCH($E518,Section_Master!$A$2:$A$477,0))&amp;"","")</f>
        <v>Imprisonment up to 10 years and fine</v>
      </c>
      <c r="G518" s="10" t="str">
        <f aca="false">IFERROR(INDEX(Section_Master!$E$2:$E$477,MATCH($E518,Section_Master!$A$2:$A$477,0))&amp;"","")</f>
        <v>Yes</v>
      </c>
      <c r="H518" s="10" t="str">
        <f aca="false">IFERROR(INDEX(Section_Master!$F$2:$F$477,MATCH($E518,Section_Master!$A$2:$A$477,0))&amp;"","")</f>
        <v>No</v>
      </c>
      <c r="I518" s="10" t="str">
        <f aca="false">IFERROR(INDEX(Section_Master!$G$2:$G$477,MATCH($E518,Section_Master!$A$2:$A$477,0))&amp;"","")</f>
        <v>No</v>
      </c>
      <c r="J518" s="10" t="s">
        <v>48</v>
      </c>
      <c r="K518" s="8" t="s">
        <v>1257</v>
      </c>
    </row>
    <row r="519" customFormat="false" ht="34.5" hidden="false" customHeight="true" outlineLevel="0" collapsed="false">
      <c r="A519" s="10" t="s">
        <v>1258</v>
      </c>
      <c r="B519" s="10" t="s">
        <v>45</v>
      </c>
      <c r="C519" s="8" t="s">
        <v>1255</v>
      </c>
      <c r="D519" s="8" t="s">
        <v>1259</v>
      </c>
      <c r="E519" s="11" t="n">
        <v>87</v>
      </c>
      <c r="F519" s="8" t="str">
        <f aca="false">IFERROR(INDEX(Section_Master!$D$2:$D$477,MATCH($E519,Section_Master!$A$2:$A$477,0))&amp;"","")</f>
        <v>Imprisonment up to 10 years and fine</v>
      </c>
      <c r="G519" s="10" t="str">
        <f aca="false">IFERROR(INDEX(Section_Master!$E$2:$E$477,MATCH($E519,Section_Master!$A$2:$A$477,0))&amp;"","")</f>
        <v>Yes</v>
      </c>
      <c r="H519" s="10" t="str">
        <f aca="false">IFERROR(INDEX(Section_Master!$F$2:$F$477,MATCH($E519,Section_Master!$A$2:$A$477,0))&amp;"","")</f>
        <v>No</v>
      </c>
      <c r="I519" s="10" t="str">
        <f aca="false">IFERROR(INDEX(Section_Master!$G$2:$G$477,MATCH($E519,Section_Master!$A$2:$A$477,0))&amp;"","")</f>
        <v>No</v>
      </c>
      <c r="J519" s="10" t="s">
        <v>52</v>
      </c>
      <c r="K519" s="8" t="s">
        <v>1257</v>
      </c>
    </row>
    <row r="520" customFormat="false" ht="34.5" hidden="false" customHeight="true" outlineLevel="0" collapsed="false">
      <c r="A520" s="10" t="s">
        <v>1260</v>
      </c>
      <c r="B520" s="10" t="s">
        <v>45</v>
      </c>
      <c r="C520" s="8" t="s">
        <v>1255</v>
      </c>
      <c r="D520" s="8" t="s">
        <v>1261</v>
      </c>
      <c r="E520" s="11" t="n">
        <v>87</v>
      </c>
      <c r="F520" s="8" t="str">
        <f aca="false">IFERROR(INDEX(Section_Master!$D$2:$D$477,MATCH($E520,Section_Master!$A$2:$A$477,0))&amp;"","")</f>
        <v>Imprisonment up to 10 years and fine</v>
      </c>
      <c r="G520" s="10" t="str">
        <f aca="false">IFERROR(INDEX(Section_Master!$E$2:$E$477,MATCH($E520,Section_Master!$A$2:$A$477,0))&amp;"","")</f>
        <v>Yes</v>
      </c>
      <c r="H520" s="10" t="str">
        <f aca="false">IFERROR(INDEX(Section_Master!$F$2:$F$477,MATCH($E520,Section_Master!$A$2:$A$477,0))&amp;"","")</f>
        <v>No</v>
      </c>
      <c r="I520" s="10" t="str">
        <f aca="false">IFERROR(INDEX(Section_Master!$G$2:$G$477,MATCH($E520,Section_Master!$A$2:$A$477,0))&amp;"","")</f>
        <v>No</v>
      </c>
      <c r="J520" s="10" t="s">
        <v>55</v>
      </c>
      <c r="K520" s="8" t="s">
        <v>1257</v>
      </c>
    </row>
    <row r="521" customFormat="false" ht="34.5" hidden="false" customHeight="true" outlineLevel="0" collapsed="false">
      <c r="A521" s="10" t="s">
        <v>1262</v>
      </c>
      <c r="B521" s="10" t="s">
        <v>45</v>
      </c>
      <c r="C521" s="8" t="s">
        <v>1255</v>
      </c>
      <c r="D521" s="8" t="s">
        <v>1263</v>
      </c>
      <c r="E521" s="11" t="n">
        <v>87</v>
      </c>
      <c r="F521" s="8" t="str">
        <f aca="false">IFERROR(INDEX(Section_Master!$D$2:$D$477,MATCH($E521,Section_Master!$A$2:$A$477,0))&amp;"","")</f>
        <v>Imprisonment up to 10 years and fine</v>
      </c>
      <c r="G521" s="10" t="str">
        <f aca="false">IFERROR(INDEX(Section_Master!$E$2:$E$477,MATCH($E521,Section_Master!$A$2:$A$477,0))&amp;"","")</f>
        <v>Yes</v>
      </c>
      <c r="H521" s="10" t="str">
        <f aca="false">IFERROR(INDEX(Section_Master!$F$2:$F$477,MATCH($E521,Section_Master!$A$2:$A$477,0))&amp;"","")</f>
        <v>No</v>
      </c>
      <c r="I521" s="10" t="str">
        <f aca="false">IFERROR(INDEX(Section_Master!$G$2:$G$477,MATCH($E521,Section_Master!$A$2:$A$477,0))&amp;"","")</f>
        <v>No</v>
      </c>
      <c r="J521" s="10" t="s">
        <v>58</v>
      </c>
      <c r="K521" s="8" t="s">
        <v>1257</v>
      </c>
    </row>
    <row r="522" customFormat="false" ht="34.5" hidden="false" customHeight="true" outlineLevel="0" collapsed="false">
      <c r="A522" s="10" t="s">
        <v>1264</v>
      </c>
      <c r="B522" s="10" t="s">
        <v>45</v>
      </c>
      <c r="C522" s="8" t="s">
        <v>1255</v>
      </c>
      <c r="D522" s="8" t="s">
        <v>1265</v>
      </c>
      <c r="E522" s="11" t="n">
        <v>87</v>
      </c>
      <c r="F522" s="8" t="str">
        <f aca="false">IFERROR(INDEX(Section_Master!$D$2:$D$477,MATCH($E522,Section_Master!$A$2:$A$477,0))&amp;"","")</f>
        <v>Imprisonment up to 10 years and fine</v>
      </c>
      <c r="G522" s="10" t="str">
        <f aca="false">IFERROR(INDEX(Section_Master!$E$2:$E$477,MATCH($E522,Section_Master!$A$2:$A$477,0))&amp;"","")</f>
        <v>Yes</v>
      </c>
      <c r="H522" s="10" t="str">
        <f aca="false">IFERROR(INDEX(Section_Master!$F$2:$F$477,MATCH($E522,Section_Master!$A$2:$A$477,0))&amp;"","")</f>
        <v>No</v>
      </c>
      <c r="I522" s="10" t="str">
        <f aca="false">IFERROR(INDEX(Section_Master!$G$2:$G$477,MATCH($E522,Section_Master!$A$2:$A$477,0))&amp;"","")</f>
        <v>No</v>
      </c>
      <c r="J522" s="10" t="s">
        <v>61</v>
      </c>
      <c r="K522" s="8" t="s">
        <v>1257</v>
      </c>
    </row>
    <row r="523" customFormat="false" ht="34.5" hidden="false" customHeight="true" outlineLevel="0" collapsed="false">
      <c r="A523" s="10" t="s">
        <v>1266</v>
      </c>
      <c r="B523" s="10" t="s">
        <v>45</v>
      </c>
      <c r="C523" s="8" t="s">
        <v>1255</v>
      </c>
      <c r="D523" s="8" t="s">
        <v>1267</v>
      </c>
      <c r="E523" s="11" t="n">
        <v>87</v>
      </c>
      <c r="F523" s="8" t="str">
        <f aca="false">IFERROR(INDEX(Section_Master!$D$2:$D$477,MATCH($E523,Section_Master!$A$2:$A$477,0))&amp;"","")</f>
        <v>Imprisonment up to 10 years and fine</v>
      </c>
      <c r="G523" s="10" t="str">
        <f aca="false">IFERROR(INDEX(Section_Master!$E$2:$E$477,MATCH($E523,Section_Master!$A$2:$A$477,0))&amp;"","")</f>
        <v>Yes</v>
      </c>
      <c r="H523" s="10" t="str">
        <f aca="false">IFERROR(INDEX(Section_Master!$F$2:$F$477,MATCH($E523,Section_Master!$A$2:$A$477,0))&amp;"","")</f>
        <v>No</v>
      </c>
      <c r="I523" s="10" t="str">
        <f aca="false">IFERROR(INDEX(Section_Master!$G$2:$G$477,MATCH($E523,Section_Master!$A$2:$A$477,0))&amp;"","")</f>
        <v>No</v>
      </c>
      <c r="J523" s="10" t="s">
        <v>64</v>
      </c>
      <c r="K523" s="8" t="s">
        <v>1257</v>
      </c>
    </row>
    <row r="524" customFormat="false" ht="34.5" hidden="false" customHeight="true" outlineLevel="0" collapsed="false">
      <c r="A524" s="10" t="s">
        <v>1268</v>
      </c>
      <c r="B524" s="10" t="s">
        <v>45</v>
      </c>
      <c r="C524" s="8" t="s">
        <v>1269</v>
      </c>
      <c r="D524" s="8" t="s">
        <v>1270</v>
      </c>
      <c r="E524" s="11" t="n">
        <v>88</v>
      </c>
      <c r="F524" s="8" t="str">
        <f aca="false">IFERROR(INDEX(Section_Master!$D$2:$D$477,MATCH($E524,Section_Master!$A$2:$A$477,0))&amp;"","")</f>
        <v>Imprisonment up to 3 years, or fine, or both; up to 7 years and fine if the woman is quick with child [s.88]</v>
      </c>
      <c r="G524" s="10" t="str">
        <f aca="false">IFERROR(INDEX(Section_Master!$E$2:$E$477,MATCH($E524,Section_Master!$A$2:$A$477,0))&amp;"","")</f>
        <v>No</v>
      </c>
      <c r="H524" s="10" t="str">
        <f aca="false">IFERROR(INDEX(Section_Master!$F$2:$F$477,MATCH($E524,Section_Master!$A$2:$A$477,0))&amp;"","")</f>
        <v>Yes</v>
      </c>
      <c r="I524" s="10" t="str">
        <f aca="false">IFERROR(INDEX(Section_Master!$G$2:$G$477,MATCH($E524,Section_Master!$A$2:$A$477,0))&amp;"","")</f>
        <v>With court permission</v>
      </c>
      <c r="J524" s="10" t="s">
        <v>48</v>
      </c>
      <c r="K524" s="8" t="s">
        <v>1271</v>
      </c>
    </row>
    <row r="525" customFormat="false" ht="34.5" hidden="false" customHeight="true" outlineLevel="0" collapsed="false">
      <c r="A525" s="10" t="s">
        <v>1272</v>
      </c>
      <c r="B525" s="10" t="s">
        <v>45</v>
      </c>
      <c r="C525" s="8" t="s">
        <v>1269</v>
      </c>
      <c r="D525" s="8" t="s">
        <v>1273</v>
      </c>
      <c r="E525" s="11" t="n">
        <v>88</v>
      </c>
      <c r="F525" s="8" t="str">
        <f aca="false">IFERROR(INDEX(Section_Master!$D$2:$D$477,MATCH($E525,Section_Master!$A$2:$A$477,0))&amp;"","")</f>
        <v>Imprisonment up to 3 years, or fine, or both; up to 7 years and fine if the woman is quick with child [s.88]</v>
      </c>
      <c r="G525" s="10" t="str">
        <f aca="false">IFERROR(INDEX(Section_Master!$E$2:$E$477,MATCH($E525,Section_Master!$A$2:$A$477,0))&amp;"","")</f>
        <v>No</v>
      </c>
      <c r="H525" s="10" t="str">
        <f aca="false">IFERROR(INDEX(Section_Master!$F$2:$F$477,MATCH($E525,Section_Master!$A$2:$A$477,0))&amp;"","")</f>
        <v>Yes</v>
      </c>
      <c r="I525" s="10" t="str">
        <f aca="false">IFERROR(INDEX(Section_Master!$G$2:$G$477,MATCH($E525,Section_Master!$A$2:$A$477,0))&amp;"","")</f>
        <v>With court permission</v>
      </c>
      <c r="J525" s="10" t="s">
        <v>52</v>
      </c>
      <c r="K525" s="8" t="s">
        <v>1271</v>
      </c>
    </row>
    <row r="526" customFormat="false" ht="34.5" hidden="false" customHeight="true" outlineLevel="0" collapsed="false">
      <c r="A526" s="10" t="s">
        <v>1274</v>
      </c>
      <c r="B526" s="10" t="s">
        <v>45</v>
      </c>
      <c r="C526" s="8" t="s">
        <v>1269</v>
      </c>
      <c r="D526" s="8" t="s">
        <v>1275</v>
      </c>
      <c r="E526" s="11" t="n">
        <v>88</v>
      </c>
      <c r="F526" s="8" t="str">
        <f aca="false">IFERROR(INDEX(Section_Master!$D$2:$D$477,MATCH($E526,Section_Master!$A$2:$A$477,0))&amp;"","")</f>
        <v>Imprisonment up to 3 years, or fine, or both; up to 7 years and fine if the woman is quick with child [s.88]</v>
      </c>
      <c r="G526" s="10" t="str">
        <f aca="false">IFERROR(INDEX(Section_Master!$E$2:$E$477,MATCH($E526,Section_Master!$A$2:$A$477,0))&amp;"","")</f>
        <v>No</v>
      </c>
      <c r="H526" s="10" t="str">
        <f aca="false">IFERROR(INDEX(Section_Master!$F$2:$F$477,MATCH($E526,Section_Master!$A$2:$A$477,0))&amp;"","")</f>
        <v>Yes</v>
      </c>
      <c r="I526" s="10" t="str">
        <f aca="false">IFERROR(INDEX(Section_Master!$G$2:$G$477,MATCH($E526,Section_Master!$A$2:$A$477,0))&amp;"","")</f>
        <v>With court permission</v>
      </c>
      <c r="J526" s="10" t="s">
        <v>55</v>
      </c>
      <c r="K526" s="8" t="s">
        <v>1271</v>
      </c>
    </row>
    <row r="527" customFormat="false" ht="23.25" hidden="false" customHeight="true" outlineLevel="0" collapsed="false">
      <c r="A527" s="10" t="s">
        <v>1276</v>
      </c>
      <c r="B527" s="10" t="s">
        <v>45</v>
      </c>
      <c r="C527" s="8" t="s">
        <v>1269</v>
      </c>
      <c r="D527" s="8" t="s">
        <v>1277</v>
      </c>
      <c r="E527" s="11" t="n">
        <v>88</v>
      </c>
      <c r="F527" s="8" t="str">
        <f aca="false">IFERROR(INDEX(Section_Master!$D$2:$D$477,MATCH($E527,Section_Master!$A$2:$A$477,0))&amp;"","")</f>
        <v>Imprisonment up to 3 years, or fine, or both; up to 7 years and fine if the woman is quick with child [s.88]</v>
      </c>
      <c r="G527" s="10" t="str">
        <f aca="false">IFERROR(INDEX(Section_Master!$E$2:$E$477,MATCH($E527,Section_Master!$A$2:$A$477,0))&amp;"","")</f>
        <v>No</v>
      </c>
      <c r="H527" s="10" t="str">
        <f aca="false">IFERROR(INDEX(Section_Master!$F$2:$F$477,MATCH($E527,Section_Master!$A$2:$A$477,0))&amp;"","")</f>
        <v>Yes</v>
      </c>
      <c r="I527" s="10" t="str">
        <f aca="false">IFERROR(INDEX(Section_Master!$G$2:$G$477,MATCH($E527,Section_Master!$A$2:$A$477,0))&amp;"","")</f>
        <v>With court permission</v>
      </c>
      <c r="J527" s="10" t="s">
        <v>58</v>
      </c>
      <c r="K527" s="8" t="s">
        <v>1271</v>
      </c>
    </row>
    <row r="528" customFormat="false" ht="34.5" hidden="false" customHeight="true" outlineLevel="0" collapsed="false">
      <c r="A528" s="10" t="s">
        <v>1278</v>
      </c>
      <c r="B528" s="10" t="s">
        <v>45</v>
      </c>
      <c r="C528" s="8" t="s">
        <v>1269</v>
      </c>
      <c r="D528" s="8" t="s">
        <v>1279</v>
      </c>
      <c r="E528" s="11" t="n">
        <v>88</v>
      </c>
      <c r="F528" s="8" t="str">
        <f aca="false">IFERROR(INDEX(Section_Master!$D$2:$D$477,MATCH($E528,Section_Master!$A$2:$A$477,0))&amp;"","")</f>
        <v>Imprisonment up to 3 years, or fine, or both; up to 7 years and fine if the woman is quick with child [s.88]</v>
      </c>
      <c r="G528" s="10" t="str">
        <f aca="false">IFERROR(INDEX(Section_Master!$E$2:$E$477,MATCH($E528,Section_Master!$A$2:$A$477,0))&amp;"","")</f>
        <v>No</v>
      </c>
      <c r="H528" s="10" t="str">
        <f aca="false">IFERROR(INDEX(Section_Master!$F$2:$F$477,MATCH($E528,Section_Master!$A$2:$A$477,0))&amp;"","")</f>
        <v>Yes</v>
      </c>
      <c r="I528" s="10" t="str">
        <f aca="false">IFERROR(INDEX(Section_Master!$G$2:$G$477,MATCH($E528,Section_Master!$A$2:$A$477,0))&amp;"","")</f>
        <v>With court permission</v>
      </c>
      <c r="J528" s="10" t="s">
        <v>61</v>
      </c>
      <c r="K528" s="8" t="s">
        <v>1271</v>
      </c>
    </row>
    <row r="529" customFormat="false" ht="34.5" hidden="false" customHeight="true" outlineLevel="0" collapsed="false">
      <c r="A529" s="10" t="s">
        <v>1280</v>
      </c>
      <c r="B529" s="10" t="s">
        <v>45</v>
      </c>
      <c r="C529" s="8" t="s">
        <v>1269</v>
      </c>
      <c r="D529" s="8" t="s">
        <v>1281</v>
      </c>
      <c r="E529" s="11" t="n">
        <v>88</v>
      </c>
      <c r="F529" s="8" t="str">
        <f aca="false">IFERROR(INDEX(Section_Master!$D$2:$D$477,MATCH($E529,Section_Master!$A$2:$A$477,0))&amp;"","")</f>
        <v>Imprisonment up to 3 years, or fine, or both; up to 7 years and fine if the woman is quick with child [s.88]</v>
      </c>
      <c r="G529" s="10" t="str">
        <f aca="false">IFERROR(INDEX(Section_Master!$E$2:$E$477,MATCH($E529,Section_Master!$A$2:$A$477,0))&amp;"","")</f>
        <v>No</v>
      </c>
      <c r="H529" s="10" t="str">
        <f aca="false">IFERROR(INDEX(Section_Master!$F$2:$F$477,MATCH($E529,Section_Master!$A$2:$A$477,0))&amp;"","")</f>
        <v>Yes</v>
      </c>
      <c r="I529" s="10" t="str">
        <f aca="false">IFERROR(INDEX(Section_Master!$G$2:$G$477,MATCH($E529,Section_Master!$A$2:$A$477,0))&amp;"","")</f>
        <v>With court permission</v>
      </c>
      <c r="J529" s="10" t="s">
        <v>64</v>
      </c>
      <c r="K529" s="8" t="s">
        <v>1271</v>
      </c>
    </row>
    <row r="530" customFormat="false" ht="34.5" hidden="false" customHeight="true" outlineLevel="0" collapsed="false">
      <c r="A530" s="10" t="s">
        <v>1282</v>
      </c>
      <c r="B530" s="10" t="s">
        <v>45</v>
      </c>
      <c r="C530" s="8" t="s">
        <v>1283</v>
      </c>
      <c r="D530" s="8" t="s">
        <v>1284</v>
      </c>
      <c r="E530" s="11" t="n">
        <v>89</v>
      </c>
      <c r="F530" s="8" t="str">
        <f aca="false">IFERROR(INDEX(Section_Master!$D$2:$D$477,MATCH($E530,Section_Master!$A$2:$A$477,0))&amp;"","")</f>
        <v>Imprisonment for life, or up to 10 years, and fine</v>
      </c>
      <c r="G530" s="10" t="str">
        <f aca="false">IFERROR(INDEX(Section_Master!$E$2:$E$477,MATCH($E530,Section_Master!$A$2:$A$477,0))&amp;"","")</f>
        <v>Yes</v>
      </c>
      <c r="H530" s="10" t="str">
        <f aca="false">IFERROR(INDEX(Section_Master!$F$2:$F$477,MATCH($E530,Section_Master!$A$2:$A$477,0))&amp;"","")</f>
        <v>No</v>
      </c>
      <c r="I530" s="10" t="str">
        <f aca="false">IFERROR(INDEX(Section_Master!$G$2:$G$477,MATCH($E530,Section_Master!$A$2:$A$477,0))&amp;"","")</f>
        <v>No</v>
      </c>
      <c r="J530" s="10" t="s">
        <v>48</v>
      </c>
      <c r="K530" s="8" t="s">
        <v>1285</v>
      </c>
    </row>
    <row r="531" customFormat="false" ht="45.75" hidden="false" customHeight="true" outlineLevel="0" collapsed="false">
      <c r="A531" s="10" t="s">
        <v>1286</v>
      </c>
      <c r="B531" s="10" t="s">
        <v>45</v>
      </c>
      <c r="C531" s="8" t="s">
        <v>1283</v>
      </c>
      <c r="D531" s="8" t="s">
        <v>1287</v>
      </c>
      <c r="E531" s="11" t="n">
        <v>89</v>
      </c>
      <c r="F531" s="8" t="str">
        <f aca="false">IFERROR(INDEX(Section_Master!$D$2:$D$477,MATCH($E531,Section_Master!$A$2:$A$477,0))&amp;"","")</f>
        <v>Imprisonment for life, or up to 10 years, and fine</v>
      </c>
      <c r="G531" s="10" t="str">
        <f aca="false">IFERROR(INDEX(Section_Master!$E$2:$E$477,MATCH($E531,Section_Master!$A$2:$A$477,0))&amp;"","")</f>
        <v>Yes</v>
      </c>
      <c r="H531" s="10" t="str">
        <f aca="false">IFERROR(INDEX(Section_Master!$F$2:$F$477,MATCH($E531,Section_Master!$A$2:$A$477,0))&amp;"","")</f>
        <v>No</v>
      </c>
      <c r="I531" s="10" t="str">
        <f aca="false">IFERROR(INDEX(Section_Master!$G$2:$G$477,MATCH($E531,Section_Master!$A$2:$A$477,0))&amp;"","")</f>
        <v>No</v>
      </c>
      <c r="J531" s="10" t="s">
        <v>52</v>
      </c>
      <c r="K531" s="8" t="s">
        <v>1285</v>
      </c>
    </row>
    <row r="532" customFormat="false" ht="23.25" hidden="false" customHeight="true" outlineLevel="0" collapsed="false">
      <c r="A532" s="10" t="s">
        <v>1288</v>
      </c>
      <c r="B532" s="10" t="s">
        <v>45</v>
      </c>
      <c r="C532" s="8" t="s">
        <v>1283</v>
      </c>
      <c r="D532" s="8" t="s">
        <v>1289</v>
      </c>
      <c r="E532" s="11" t="n">
        <v>89</v>
      </c>
      <c r="F532" s="8" t="str">
        <f aca="false">IFERROR(INDEX(Section_Master!$D$2:$D$477,MATCH($E532,Section_Master!$A$2:$A$477,0))&amp;"","")</f>
        <v>Imprisonment for life, or up to 10 years, and fine</v>
      </c>
      <c r="G532" s="10" t="str">
        <f aca="false">IFERROR(INDEX(Section_Master!$E$2:$E$477,MATCH($E532,Section_Master!$A$2:$A$477,0))&amp;"","")</f>
        <v>Yes</v>
      </c>
      <c r="H532" s="10" t="str">
        <f aca="false">IFERROR(INDEX(Section_Master!$F$2:$F$477,MATCH($E532,Section_Master!$A$2:$A$477,0))&amp;"","")</f>
        <v>No</v>
      </c>
      <c r="I532" s="10" t="str">
        <f aca="false">IFERROR(INDEX(Section_Master!$G$2:$G$477,MATCH($E532,Section_Master!$A$2:$A$477,0))&amp;"","")</f>
        <v>No</v>
      </c>
      <c r="J532" s="10" t="s">
        <v>55</v>
      </c>
      <c r="K532" s="8" t="s">
        <v>1285</v>
      </c>
    </row>
    <row r="533" customFormat="false" ht="23.25" hidden="false" customHeight="true" outlineLevel="0" collapsed="false">
      <c r="A533" s="10" t="s">
        <v>1290</v>
      </c>
      <c r="B533" s="10" t="s">
        <v>45</v>
      </c>
      <c r="C533" s="8" t="s">
        <v>1283</v>
      </c>
      <c r="D533" s="8" t="s">
        <v>1291</v>
      </c>
      <c r="E533" s="11" t="n">
        <v>89</v>
      </c>
      <c r="F533" s="8" t="str">
        <f aca="false">IFERROR(INDEX(Section_Master!$D$2:$D$477,MATCH($E533,Section_Master!$A$2:$A$477,0))&amp;"","")</f>
        <v>Imprisonment for life, or up to 10 years, and fine</v>
      </c>
      <c r="G533" s="10" t="str">
        <f aca="false">IFERROR(INDEX(Section_Master!$E$2:$E$477,MATCH($E533,Section_Master!$A$2:$A$477,0))&amp;"","")</f>
        <v>Yes</v>
      </c>
      <c r="H533" s="10" t="str">
        <f aca="false">IFERROR(INDEX(Section_Master!$F$2:$F$477,MATCH($E533,Section_Master!$A$2:$A$477,0))&amp;"","")</f>
        <v>No</v>
      </c>
      <c r="I533" s="10" t="str">
        <f aca="false">IFERROR(INDEX(Section_Master!$G$2:$G$477,MATCH($E533,Section_Master!$A$2:$A$477,0))&amp;"","")</f>
        <v>No</v>
      </c>
      <c r="J533" s="10" t="s">
        <v>58</v>
      </c>
      <c r="K533" s="8" t="s">
        <v>1285</v>
      </c>
    </row>
    <row r="534" customFormat="false" ht="34.5" hidden="false" customHeight="true" outlineLevel="0" collapsed="false">
      <c r="A534" s="10" t="s">
        <v>1292</v>
      </c>
      <c r="B534" s="10" t="s">
        <v>45</v>
      </c>
      <c r="C534" s="8" t="s">
        <v>1283</v>
      </c>
      <c r="D534" s="8" t="s">
        <v>1293</v>
      </c>
      <c r="E534" s="11" t="n">
        <v>89</v>
      </c>
      <c r="F534" s="8" t="str">
        <f aca="false">IFERROR(INDEX(Section_Master!$D$2:$D$477,MATCH($E534,Section_Master!$A$2:$A$477,0))&amp;"","")</f>
        <v>Imprisonment for life, or up to 10 years, and fine</v>
      </c>
      <c r="G534" s="10" t="str">
        <f aca="false">IFERROR(INDEX(Section_Master!$E$2:$E$477,MATCH($E534,Section_Master!$A$2:$A$477,0))&amp;"","")</f>
        <v>Yes</v>
      </c>
      <c r="H534" s="10" t="str">
        <f aca="false">IFERROR(INDEX(Section_Master!$F$2:$F$477,MATCH($E534,Section_Master!$A$2:$A$477,0))&amp;"","")</f>
        <v>No</v>
      </c>
      <c r="I534" s="10" t="str">
        <f aca="false">IFERROR(INDEX(Section_Master!$G$2:$G$477,MATCH($E534,Section_Master!$A$2:$A$477,0))&amp;"","")</f>
        <v>No</v>
      </c>
      <c r="J534" s="10" t="s">
        <v>61</v>
      </c>
      <c r="K534" s="8" t="s">
        <v>1285</v>
      </c>
    </row>
    <row r="535" customFormat="false" ht="34.5" hidden="false" customHeight="true" outlineLevel="0" collapsed="false">
      <c r="A535" s="10" t="s">
        <v>1294</v>
      </c>
      <c r="B535" s="10" t="s">
        <v>45</v>
      </c>
      <c r="C535" s="8" t="s">
        <v>1283</v>
      </c>
      <c r="D535" s="8" t="s">
        <v>1295</v>
      </c>
      <c r="E535" s="11" t="n">
        <v>89</v>
      </c>
      <c r="F535" s="8" t="str">
        <f aca="false">IFERROR(INDEX(Section_Master!$D$2:$D$477,MATCH($E535,Section_Master!$A$2:$A$477,0))&amp;"","")</f>
        <v>Imprisonment for life, or up to 10 years, and fine</v>
      </c>
      <c r="G535" s="10" t="str">
        <f aca="false">IFERROR(INDEX(Section_Master!$E$2:$E$477,MATCH($E535,Section_Master!$A$2:$A$477,0))&amp;"","")</f>
        <v>Yes</v>
      </c>
      <c r="H535" s="10" t="str">
        <f aca="false">IFERROR(INDEX(Section_Master!$F$2:$F$477,MATCH($E535,Section_Master!$A$2:$A$477,0))&amp;"","")</f>
        <v>No</v>
      </c>
      <c r="I535" s="10" t="str">
        <f aca="false">IFERROR(INDEX(Section_Master!$G$2:$G$477,MATCH($E535,Section_Master!$A$2:$A$477,0))&amp;"","")</f>
        <v>No</v>
      </c>
      <c r="J535" s="10" t="s">
        <v>64</v>
      </c>
      <c r="K535" s="8" t="s">
        <v>1285</v>
      </c>
    </row>
    <row r="536" customFormat="false" ht="34.5" hidden="false" customHeight="true" outlineLevel="0" collapsed="false">
      <c r="A536" s="10" t="s">
        <v>1296</v>
      </c>
      <c r="B536" s="10" t="s">
        <v>45</v>
      </c>
      <c r="C536" s="8" t="s">
        <v>1297</v>
      </c>
      <c r="D536" s="8" t="s">
        <v>1298</v>
      </c>
      <c r="E536" s="11" t="n">
        <v>90</v>
      </c>
      <c r="F536" s="8" t="str">
        <f aca="false">IFERROR(INDEX(Section_Master!$D$2:$D$477,MATCH($E536,Section_Master!$A$2:$A$477,0))&amp;"","")</f>
        <v>Imprisonment up to 10 years and fine; life or the same term if done without the woman's consent [s.90]</v>
      </c>
      <c r="G536" s="10" t="str">
        <f aca="false">IFERROR(INDEX(Section_Master!$E$2:$E$477,MATCH($E536,Section_Master!$A$2:$A$477,0))&amp;"","")</f>
        <v>Yes</v>
      </c>
      <c r="H536" s="10" t="str">
        <f aca="false">IFERROR(INDEX(Section_Master!$F$2:$F$477,MATCH($E536,Section_Master!$A$2:$A$477,0))&amp;"","")</f>
        <v>No</v>
      </c>
      <c r="I536" s="10" t="str">
        <f aca="false">IFERROR(INDEX(Section_Master!$G$2:$G$477,MATCH($E536,Section_Master!$A$2:$A$477,0))&amp;"","")</f>
        <v>No</v>
      </c>
      <c r="J536" s="10" t="s">
        <v>48</v>
      </c>
      <c r="K536" s="8" t="s">
        <v>1299</v>
      </c>
    </row>
    <row r="537" customFormat="false" ht="34.5" hidden="false" customHeight="true" outlineLevel="0" collapsed="false">
      <c r="A537" s="10" t="s">
        <v>1300</v>
      </c>
      <c r="B537" s="10" t="s">
        <v>45</v>
      </c>
      <c r="C537" s="8" t="s">
        <v>1297</v>
      </c>
      <c r="D537" s="8" t="s">
        <v>1301</v>
      </c>
      <c r="E537" s="11" t="n">
        <v>90</v>
      </c>
      <c r="F537" s="8" t="str">
        <f aca="false">IFERROR(INDEX(Section_Master!$D$2:$D$477,MATCH($E537,Section_Master!$A$2:$A$477,0))&amp;"","")</f>
        <v>Imprisonment up to 10 years and fine; life or the same term if done without the woman's consent [s.90]</v>
      </c>
      <c r="G537" s="10" t="str">
        <f aca="false">IFERROR(INDEX(Section_Master!$E$2:$E$477,MATCH($E537,Section_Master!$A$2:$A$477,0))&amp;"","")</f>
        <v>Yes</v>
      </c>
      <c r="H537" s="10" t="str">
        <f aca="false">IFERROR(INDEX(Section_Master!$F$2:$F$477,MATCH($E537,Section_Master!$A$2:$A$477,0))&amp;"","")</f>
        <v>No</v>
      </c>
      <c r="I537" s="10" t="str">
        <f aca="false">IFERROR(INDEX(Section_Master!$G$2:$G$477,MATCH($E537,Section_Master!$A$2:$A$477,0))&amp;"","")</f>
        <v>No</v>
      </c>
      <c r="J537" s="10" t="s">
        <v>52</v>
      </c>
      <c r="K537" s="8" t="s">
        <v>1299</v>
      </c>
    </row>
    <row r="538" customFormat="false" ht="34.5" hidden="false" customHeight="true" outlineLevel="0" collapsed="false">
      <c r="A538" s="10" t="s">
        <v>1302</v>
      </c>
      <c r="B538" s="10" t="s">
        <v>45</v>
      </c>
      <c r="C538" s="8" t="s">
        <v>1297</v>
      </c>
      <c r="D538" s="8" t="s">
        <v>1303</v>
      </c>
      <c r="E538" s="11" t="n">
        <v>90</v>
      </c>
      <c r="F538" s="8" t="str">
        <f aca="false">IFERROR(INDEX(Section_Master!$D$2:$D$477,MATCH($E538,Section_Master!$A$2:$A$477,0))&amp;"","")</f>
        <v>Imprisonment up to 10 years and fine; life or the same term if done without the woman's consent [s.90]</v>
      </c>
      <c r="G538" s="10" t="str">
        <f aca="false">IFERROR(INDEX(Section_Master!$E$2:$E$477,MATCH($E538,Section_Master!$A$2:$A$477,0))&amp;"","")</f>
        <v>Yes</v>
      </c>
      <c r="H538" s="10" t="str">
        <f aca="false">IFERROR(INDEX(Section_Master!$F$2:$F$477,MATCH($E538,Section_Master!$A$2:$A$477,0))&amp;"","")</f>
        <v>No</v>
      </c>
      <c r="I538" s="10" t="str">
        <f aca="false">IFERROR(INDEX(Section_Master!$G$2:$G$477,MATCH($E538,Section_Master!$A$2:$A$477,0))&amp;"","")</f>
        <v>No</v>
      </c>
      <c r="J538" s="10" t="s">
        <v>55</v>
      </c>
      <c r="K538" s="8" t="s">
        <v>1299</v>
      </c>
    </row>
    <row r="539" customFormat="false" ht="34.5" hidden="false" customHeight="true" outlineLevel="0" collapsed="false">
      <c r="A539" s="10" t="s">
        <v>1304</v>
      </c>
      <c r="B539" s="10" t="s">
        <v>45</v>
      </c>
      <c r="C539" s="8" t="s">
        <v>1297</v>
      </c>
      <c r="D539" s="8" t="s">
        <v>1305</v>
      </c>
      <c r="E539" s="11" t="n">
        <v>90</v>
      </c>
      <c r="F539" s="8" t="str">
        <f aca="false">IFERROR(INDEX(Section_Master!$D$2:$D$477,MATCH($E539,Section_Master!$A$2:$A$477,0))&amp;"","")</f>
        <v>Imprisonment up to 10 years and fine; life or the same term if done without the woman's consent [s.90]</v>
      </c>
      <c r="G539" s="10" t="str">
        <f aca="false">IFERROR(INDEX(Section_Master!$E$2:$E$477,MATCH($E539,Section_Master!$A$2:$A$477,0))&amp;"","")</f>
        <v>Yes</v>
      </c>
      <c r="H539" s="10" t="str">
        <f aca="false">IFERROR(INDEX(Section_Master!$F$2:$F$477,MATCH($E539,Section_Master!$A$2:$A$477,0))&amp;"","")</f>
        <v>No</v>
      </c>
      <c r="I539" s="10" t="str">
        <f aca="false">IFERROR(INDEX(Section_Master!$G$2:$G$477,MATCH($E539,Section_Master!$A$2:$A$477,0))&amp;"","")</f>
        <v>No</v>
      </c>
      <c r="J539" s="10" t="s">
        <v>58</v>
      </c>
      <c r="K539" s="8" t="s">
        <v>1299</v>
      </c>
    </row>
    <row r="540" customFormat="false" ht="34.5" hidden="false" customHeight="true" outlineLevel="0" collapsed="false">
      <c r="A540" s="10" t="s">
        <v>1306</v>
      </c>
      <c r="B540" s="10" t="s">
        <v>45</v>
      </c>
      <c r="C540" s="8" t="s">
        <v>1297</v>
      </c>
      <c r="D540" s="8" t="s">
        <v>1307</v>
      </c>
      <c r="E540" s="11" t="n">
        <v>90</v>
      </c>
      <c r="F540" s="8" t="str">
        <f aca="false">IFERROR(INDEX(Section_Master!$D$2:$D$477,MATCH($E540,Section_Master!$A$2:$A$477,0))&amp;"","")</f>
        <v>Imprisonment up to 10 years and fine; life or the same term if done without the woman's consent [s.90]</v>
      </c>
      <c r="G540" s="10" t="str">
        <f aca="false">IFERROR(INDEX(Section_Master!$E$2:$E$477,MATCH($E540,Section_Master!$A$2:$A$477,0))&amp;"","")</f>
        <v>Yes</v>
      </c>
      <c r="H540" s="10" t="str">
        <f aca="false">IFERROR(INDEX(Section_Master!$F$2:$F$477,MATCH($E540,Section_Master!$A$2:$A$477,0))&amp;"","")</f>
        <v>No</v>
      </c>
      <c r="I540" s="10" t="str">
        <f aca="false">IFERROR(INDEX(Section_Master!$G$2:$G$477,MATCH($E540,Section_Master!$A$2:$A$477,0))&amp;"","")</f>
        <v>No</v>
      </c>
      <c r="J540" s="10" t="s">
        <v>61</v>
      </c>
      <c r="K540" s="8" t="s">
        <v>1299</v>
      </c>
    </row>
    <row r="541" customFormat="false" ht="45.75" hidden="false" customHeight="true" outlineLevel="0" collapsed="false">
      <c r="A541" s="10" t="s">
        <v>1308</v>
      </c>
      <c r="B541" s="10" t="s">
        <v>45</v>
      </c>
      <c r="C541" s="8" t="s">
        <v>1297</v>
      </c>
      <c r="D541" s="8" t="s">
        <v>1309</v>
      </c>
      <c r="E541" s="11" t="n">
        <v>90</v>
      </c>
      <c r="F541" s="8" t="str">
        <f aca="false">IFERROR(INDEX(Section_Master!$D$2:$D$477,MATCH($E541,Section_Master!$A$2:$A$477,0))&amp;"","")</f>
        <v>Imprisonment up to 10 years and fine; life or the same term if done without the woman's consent [s.90]</v>
      </c>
      <c r="G541" s="10" t="str">
        <f aca="false">IFERROR(INDEX(Section_Master!$E$2:$E$477,MATCH($E541,Section_Master!$A$2:$A$477,0))&amp;"","")</f>
        <v>Yes</v>
      </c>
      <c r="H541" s="10" t="str">
        <f aca="false">IFERROR(INDEX(Section_Master!$F$2:$F$477,MATCH($E541,Section_Master!$A$2:$A$477,0))&amp;"","")</f>
        <v>No</v>
      </c>
      <c r="I541" s="10" t="str">
        <f aca="false">IFERROR(INDEX(Section_Master!$G$2:$G$477,MATCH($E541,Section_Master!$A$2:$A$477,0))&amp;"","")</f>
        <v>No</v>
      </c>
      <c r="J541" s="10" t="s">
        <v>64</v>
      </c>
      <c r="K541" s="8" t="s">
        <v>1299</v>
      </c>
    </row>
    <row r="542" customFormat="false" ht="34.5" hidden="false" customHeight="true" outlineLevel="0" collapsed="false">
      <c r="A542" s="10" t="s">
        <v>1310</v>
      </c>
      <c r="B542" s="10" t="s">
        <v>45</v>
      </c>
      <c r="C542" s="8" t="s">
        <v>1311</v>
      </c>
      <c r="D542" s="8" t="s">
        <v>1312</v>
      </c>
      <c r="E542" s="11" t="n">
        <v>91</v>
      </c>
      <c r="F542" s="8" t="str">
        <f aca="false">IFERROR(INDEX(Section_Master!$D$2:$D$477,MATCH($E542,Section_Master!$A$2:$A$477,0))&amp;"","")</f>
        <v>Imprisonment up to 10 years, or fine, or both</v>
      </c>
      <c r="G542" s="10" t="str">
        <f aca="false">IFERROR(INDEX(Section_Master!$E$2:$E$477,MATCH($E542,Section_Master!$A$2:$A$477,0))&amp;"","")</f>
        <v>Yes</v>
      </c>
      <c r="H542" s="10" t="str">
        <f aca="false">IFERROR(INDEX(Section_Master!$F$2:$F$477,MATCH($E542,Section_Master!$A$2:$A$477,0))&amp;"","")</f>
        <v>No</v>
      </c>
      <c r="I542" s="10" t="str">
        <f aca="false">IFERROR(INDEX(Section_Master!$G$2:$G$477,MATCH($E542,Section_Master!$A$2:$A$477,0))&amp;"","")</f>
        <v>No</v>
      </c>
      <c r="J542" s="10" t="s">
        <v>48</v>
      </c>
      <c r="K542" s="8" t="s">
        <v>1313</v>
      </c>
    </row>
    <row r="543" customFormat="false" ht="34.5" hidden="false" customHeight="true" outlineLevel="0" collapsed="false">
      <c r="A543" s="10" t="s">
        <v>1314</v>
      </c>
      <c r="B543" s="10" t="s">
        <v>45</v>
      </c>
      <c r="C543" s="8" t="s">
        <v>1311</v>
      </c>
      <c r="D543" s="8" t="s">
        <v>1315</v>
      </c>
      <c r="E543" s="11" t="n">
        <v>91</v>
      </c>
      <c r="F543" s="8" t="str">
        <f aca="false">IFERROR(INDEX(Section_Master!$D$2:$D$477,MATCH($E543,Section_Master!$A$2:$A$477,0))&amp;"","")</f>
        <v>Imprisonment up to 10 years, or fine, or both</v>
      </c>
      <c r="G543" s="10" t="str">
        <f aca="false">IFERROR(INDEX(Section_Master!$E$2:$E$477,MATCH($E543,Section_Master!$A$2:$A$477,0))&amp;"","")</f>
        <v>Yes</v>
      </c>
      <c r="H543" s="10" t="str">
        <f aca="false">IFERROR(INDEX(Section_Master!$F$2:$F$477,MATCH($E543,Section_Master!$A$2:$A$477,0))&amp;"","")</f>
        <v>No</v>
      </c>
      <c r="I543" s="10" t="str">
        <f aca="false">IFERROR(INDEX(Section_Master!$G$2:$G$477,MATCH($E543,Section_Master!$A$2:$A$477,0))&amp;"","")</f>
        <v>No</v>
      </c>
      <c r="J543" s="10" t="s">
        <v>52</v>
      </c>
      <c r="K543" s="8" t="s">
        <v>1313</v>
      </c>
    </row>
    <row r="544" customFormat="false" ht="34.5" hidden="false" customHeight="true" outlineLevel="0" collapsed="false">
      <c r="A544" s="10" t="s">
        <v>1316</v>
      </c>
      <c r="B544" s="10" t="s">
        <v>45</v>
      </c>
      <c r="C544" s="8" t="s">
        <v>1311</v>
      </c>
      <c r="D544" s="8" t="s">
        <v>1317</v>
      </c>
      <c r="E544" s="11" t="n">
        <v>91</v>
      </c>
      <c r="F544" s="8" t="str">
        <f aca="false">IFERROR(INDEX(Section_Master!$D$2:$D$477,MATCH($E544,Section_Master!$A$2:$A$477,0))&amp;"","")</f>
        <v>Imprisonment up to 10 years, or fine, or both</v>
      </c>
      <c r="G544" s="10" t="str">
        <f aca="false">IFERROR(INDEX(Section_Master!$E$2:$E$477,MATCH($E544,Section_Master!$A$2:$A$477,0))&amp;"","")</f>
        <v>Yes</v>
      </c>
      <c r="H544" s="10" t="str">
        <f aca="false">IFERROR(INDEX(Section_Master!$F$2:$F$477,MATCH($E544,Section_Master!$A$2:$A$477,0))&amp;"","")</f>
        <v>No</v>
      </c>
      <c r="I544" s="10" t="str">
        <f aca="false">IFERROR(INDEX(Section_Master!$G$2:$G$477,MATCH($E544,Section_Master!$A$2:$A$477,0))&amp;"","")</f>
        <v>No</v>
      </c>
      <c r="J544" s="10" t="s">
        <v>55</v>
      </c>
      <c r="K544" s="8" t="s">
        <v>1313</v>
      </c>
    </row>
    <row r="545" customFormat="false" ht="34.5" hidden="false" customHeight="true" outlineLevel="0" collapsed="false">
      <c r="A545" s="10" t="s">
        <v>1318</v>
      </c>
      <c r="B545" s="10" t="s">
        <v>45</v>
      </c>
      <c r="C545" s="8" t="s">
        <v>1311</v>
      </c>
      <c r="D545" s="8" t="s">
        <v>1319</v>
      </c>
      <c r="E545" s="11" t="n">
        <v>91</v>
      </c>
      <c r="F545" s="8" t="str">
        <f aca="false">IFERROR(INDEX(Section_Master!$D$2:$D$477,MATCH($E545,Section_Master!$A$2:$A$477,0))&amp;"","")</f>
        <v>Imprisonment up to 10 years, or fine, or both</v>
      </c>
      <c r="G545" s="10" t="str">
        <f aca="false">IFERROR(INDEX(Section_Master!$E$2:$E$477,MATCH($E545,Section_Master!$A$2:$A$477,0))&amp;"","")</f>
        <v>Yes</v>
      </c>
      <c r="H545" s="10" t="str">
        <f aca="false">IFERROR(INDEX(Section_Master!$F$2:$F$477,MATCH($E545,Section_Master!$A$2:$A$477,0))&amp;"","")</f>
        <v>No</v>
      </c>
      <c r="I545" s="10" t="str">
        <f aca="false">IFERROR(INDEX(Section_Master!$G$2:$G$477,MATCH($E545,Section_Master!$A$2:$A$477,0))&amp;"","")</f>
        <v>No</v>
      </c>
      <c r="J545" s="10" t="s">
        <v>58</v>
      </c>
      <c r="K545" s="8" t="s">
        <v>1313</v>
      </c>
    </row>
    <row r="546" customFormat="false" ht="34.5" hidden="false" customHeight="true" outlineLevel="0" collapsed="false">
      <c r="A546" s="10" t="s">
        <v>1320</v>
      </c>
      <c r="B546" s="10" t="s">
        <v>45</v>
      </c>
      <c r="C546" s="8" t="s">
        <v>1311</v>
      </c>
      <c r="D546" s="8" t="s">
        <v>1321</v>
      </c>
      <c r="E546" s="11" t="n">
        <v>91</v>
      </c>
      <c r="F546" s="8" t="str">
        <f aca="false">IFERROR(INDEX(Section_Master!$D$2:$D$477,MATCH($E546,Section_Master!$A$2:$A$477,0))&amp;"","")</f>
        <v>Imprisonment up to 10 years, or fine, or both</v>
      </c>
      <c r="G546" s="10" t="str">
        <f aca="false">IFERROR(INDEX(Section_Master!$E$2:$E$477,MATCH($E546,Section_Master!$A$2:$A$477,0))&amp;"","")</f>
        <v>Yes</v>
      </c>
      <c r="H546" s="10" t="str">
        <f aca="false">IFERROR(INDEX(Section_Master!$F$2:$F$477,MATCH($E546,Section_Master!$A$2:$A$477,0))&amp;"","")</f>
        <v>No</v>
      </c>
      <c r="I546" s="10" t="str">
        <f aca="false">IFERROR(INDEX(Section_Master!$G$2:$G$477,MATCH($E546,Section_Master!$A$2:$A$477,0))&amp;"","")</f>
        <v>No</v>
      </c>
      <c r="J546" s="10" t="s">
        <v>61</v>
      </c>
      <c r="K546" s="8" t="s">
        <v>1313</v>
      </c>
    </row>
    <row r="547" customFormat="false" ht="45.75" hidden="false" customHeight="true" outlineLevel="0" collapsed="false">
      <c r="A547" s="10" t="s">
        <v>1322</v>
      </c>
      <c r="B547" s="10" t="s">
        <v>45</v>
      </c>
      <c r="C547" s="8" t="s">
        <v>1311</v>
      </c>
      <c r="D547" s="8" t="s">
        <v>1323</v>
      </c>
      <c r="E547" s="11" t="n">
        <v>91</v>
      </c>
      <c r="F547" s="8" t="str">
        <f aca="false">IFERROR(INDEX(Section_Master!$D$2:$D$477,MATCH($E547,Section_Master!$A$2:$A$477,0))&amp;"","")</f>
        <v>Imprisonment up to 10 years, or fine, or both</v>
      </c>
      <c r="G547" s="10" t="str">
        <f aca="false">IFERROR(INDEX(Section_Master!$E$2:$E$477,MATCH($E547,Section_Master!$A$2:$A$477,0))&amp;"","")</f>
        <v>Yes</v>
      </c>
      <c r="H547" s="10" t="str">
        <f aca="false">IFERROR(INDEX(Section_Master!$F$2:$F$477,MATCH($E547,Section_Master!$A$2:$A$477,0))&amp;"","")</f>
        <v>No</v>
      </c>
      <c r="I547" s="10" t="str">
        <f aca="false">IFERROR(INDEX(Section_Master!$G$2:$G$477,MATCH($E547,Section_Master!$A$2:$A$477,0))&amp;"","")</f>
        <v>No</v>
      </c>
      <c r="J547" s="10" t="s">
        <v>64</v>
      </c>
      <c r="K547" s="8" t="s">
        <v>1313</v>
      </c>
    </row>
    <row r="548" customFormat="false" ht="34.5" hidden="false" customHeight="true" outlineLevel="0" collapsed="false">
      <c r="A548" s="10" t="s">
        <v>1324</v>
      </c>
      <c r="B548" s="10" t="s">
        <v>45</v>
      </c>
      <c r="C548" s="8" t="s">
        <v>1325</v>
      </c>
      <c r="D548" s="8" t="s">
        <v>1326</v>
      </c>
      <c r="E548" s="11" t="n">
        <v>92</v>
      </c>
      <c r="F548" s="8" t="str">
        <f aca="false">IFERROR(INDEX(Section_Master!$D$2:$D$477,MATCH($E548,Section_Master!$A$2:$A$477,0))&amp;"","")</f>
        <v>Imprisonment up to 10 years and fine</v>
      </c>
      <c r="G548" s="10" t="str">
        <f aca="false">IFERROR(INDEX(Section_Master!$E$2:$E$477,MATCH($E548,Section_Master!$A$2:$A$477,0))&amp;"","")</f>
        <v>Yes</v>
      </c>
      <c r="H548" s="10" t="str">
        <f aca="false">IFERROR(INDEX(Section_Master!$F$2:$F$477,MATCH($E548,Section_Master!$A$2:$A$477,0))&amp;"","")</f>
        <v>No</v>
      </c>
      <c r="I548" s="10" t="str">
        <f aca="false">IFERROR(INDEX(Section_Master!$G$2:$G$477,MATCH($E548,Section_Master!$A$2:$A$477,0))&amp;"","")</f>
        <v>No</v>
      </c>
      <c r="J548" s="10" t="s">
        <v>48</v>
      </c>
      <c r="K548" s="8" t="s">
        <v>1327</v>
      </c>
    </row>
    <row r="549" customFormat="false" ht="34.5" hidden="false" customHeight="true" outlineLevel="0" collapsed="false">
      <c r="A549" s="10" t="s">
        <v>1328</v>
      </c>
      <c r="B549" s="10" t="s">
        <v>45</v>
      </c>
      <c r="C549" s="8" t="s">
        <v>1325</v>
      </c>
      <c r="D549" s="8" t="s">
        <v>1329</v>
      </c>
      <c r="E549" s="11" t="n">
        <v>92</v>
      </c>
      <c r="F549" s="8" t="str">
        <f aca="false">IFERROR(INDEX(Section_Master!$D$2:$D$477,MATCH($E549,Section_Master!$A$2:$A$477,0))&amp;"","")</f>
        <v>Imprisonment up to 10 years and fine</v>
      </c>
      <c r="G549" s="10" t="str">
        <f aca="false">IFERROR(INDEX(Section_Master!$E$2:$E$477,MATCH($E549,Section_Master!$A$2:$A$477,0))&amp;"","")</f>
        <v>Yes</v>
      </c>
      <c r="H549" s="10" t="str">
        <f aca="false">IFERROR(INDEX(Section_Master!$F$2:$F$477,MATCH($E549,Section_Master!$A$2:$A$477,0))&amp;"","")</f>
        <v>No</v>
      </c>
      <c r="I549" s="10" t="str">
        <f aca="false">IFERROR(INDEX(Section_Master!$G$2:$G$477,MATCH($E549,Section_Master!$A$2:$A$477,0))&amp;"","")</f>
        <v>No</v>
      </c>
      <c r="J549" s="10" t="s">
        <v>52</v>
      </c>
      <c r="K549" s="8" t="s">
        <v>1327</v>
      </c>
    </row>
    <row r="550" customFormat="false" ht="34.5" hidden="false" customHeight="true" outlineLevel="0" collapsed="false">
      <c r="A550" s="10" t="s">
        <v>1330</v>
      </c>
      <c r="B550" s="10" t="s">
        <v>45</v>
      </c>
      <c r="C550" s="8" t="s">
        <v>1325</v>
      </c>
      <c r="D550" s="8" t="s">
        <v>1331</v>
      </c>
      <c r="E550" s="11" t="n">
        <v>92</v>
      </c>
      <c r="F550" s="8" t="str">
        <f aca="false">IFERROR(INDEX(Section_Master!$D$2:$D$477,MATCH($E550,Section_Master!$A$2:$A$477,0))&amp;"","")</f>
        <v>Imprisonment up to 10 years and fine</v>
      </c>
      <c r="G550" s="10" t="str">
        <f aca="false">IFERROR(INDEX(Section_Master!$E$2:$E$477,MATCH($E550,Section_Master!$A$2:$A$477,0))&amp;"","")</f>
        <v>Yes</v>
      </c>
      <c r="H550" s="10" t="str">
        <f aca="false">IFERROR(INDEX(Section_Master!$F$2:$F$477,MATCH($E550,Section_Master!$A$2:$A$477,0))&amp;"","")</f>
        <v>No</v>
      </c>
      <c r="I550" s="10" t="str">
        <f aca="false">IFERROR(INDEX(Section_Master!$G$2:$G$477,MATCH($E550,Section_Master!$A$2:$A$477,0))&amp;"","")</f>
        <v>No</v>
      </c>
      <c r="J550" s="10" t="s">
        <v>55</v>
      </c>
      <c r="K550" s="8" t="s">
        <v>1327</v>
      </c>
    </row>
    <row r="551" customFormat="false" ht="23.25" hidden="false" customHeight="true" outlineLevel="0" collapsed="false">
      <c r="A551" s="10" t="s">
        <v>1332</v>
      </c>
      <c r="B551" s="10" t="s">
        <v>45</v>
      </c>
      <c r="C551" s="8" t="s">
        <v>1325</v>
      </c>
      <c r="D551" s="8" t="s">
        <v>1333</v>
      </c>
      <c r="E551" s="11" t="n">
        <v>92</v>
      </c>
      <c r="F551" s="8" t="str">
        <f aca="false">IFERROR(INDEX(Section_Master!$D$2:$D$477,MATCH($E551,Section_Master!$A$2:$A$477,0))&amp;"","")</f>
        <v>Imprisonment up to 10 years and fine</v>
      </c>
      <c r="G551" s="10" t="str">
        <f aca="false">IFERROR(INDEX(Section_Master!$E$2:$E$477,MATCH($E551,Section_Master!$A$2:$A$477,0))&amp;"","")</f>
        <v>Yes</v>
      </c>
      <c r="H551" s="10" t="str">
        <f aca="false">IFERROR(INDEX(Section_Master!$F$2:$F$477,MATCH($E551,Section_Master!$A$2:$A$477,0))&amp;"","")</f>
        <v>No</v>
      </c>
      <c r="I551" s="10" t="str">
        <f aca="false">IFERROR(INDEX(Section_Master!$G$2:$G$477,MATCH($E551,Section_Master!$A$2:$A$477,0))&amp;"","")</f>
        <v>No</v>
      </c>
      <c r="J551" s="10" t="s">
        <v>58</v>
      </c>
      <c r="K551" s="8" t="s">
        <v>1327</v>
      </c>
    </row>
    <row r="552" customFormat="false" ht="34.5" hidden="false" customHeight="true" outlineLevel="0" collapsed="false">
      <c r="A552" s="10" t="s">
        <v>1334</v>
      </c>
      <c r="B552" s="10" t="s">
        <v>45</v>
      </c>
      <c r="C552" s="8" t="s">
        <v>1325</v>
      </c>
      <c r="D552" s="8" t="s">
        <v>1335</v>
      </c>
      <c r="E552" s="11" t="n">
        <v>92</v>
      </c>
      <c r="F552" s="8" t="str">
        <f aca="false">IFERROR(INDEX(Section_Master!$D$2:$D$477,MATCH($E552,Section_Master!$A$2:$A$477,0))&amp;"","")</f>
        <v>Imprisonment up to 10 years and fine</v>
      </c>
      <c r="G552" s="10" t="str">
        <f aca="false">IFERROR(INDEX(Section_Master!$E$2:$E$477,MATCH($E552,Section_Master!$A$2:$A$477,0))&amp;"","")</f>
        <v>Yes</v>
      </c>
      <c r="H552" s="10" t="str">
        <f aca="false">IFERROR(INDEX(Section_Master!$F$2:$F$477,MATCH($E552,Section_Master!$A$2:$A$477,0))&amp;"","")</f>
        <v>No</v>
      </c>
      <c r="I552" s="10" t="str">
        <f aca="false">IFERROR(INDEX(Section_Master!$G$2:$G$477,MATCH($E552,Section_Master!$A$2:$A$477,0))&amp;"","")</f>
        <v>No</v>
      </c>
      <c r="J552" s="10" t="s">
        <v>61</v>
      </c>
      <c r="K552" s="8" t="s">
        <v>1327</v>
      </c>
    </row>
    <row r="553" customFormat="false" ht="34.5" hidden="false" customHeight="true" outlineLevel="0" collapsed="false">
      <c r="A553" s="10" t="s">
        <v>1336</v>
      </c>
      <c r="B553" s="10" t="s">
        <v>45</v>
      </c>
      <c r="C553" s="8" t="s">
        <v>1325</v>
      </c>
      <c r="D553" s="8" t="s">
        <v>1337</v>
      </c>
      <c r="E553" s="11" t="n">
        <v>92</v>
      </c>
      <c r="F553" s="8" t="str">
        <f aca="false">IFERROR(INDEX(Section_Master!$D$2:$D$477,MATCH($E553,Section_Master!$A$2:$A$477,0))&amp;"","")</f>
        <v>Imprisonment up to 10 years and fine</v>
      </c>
      <c r="G553" s="10" t="str">
        <f aca="false">IFERROR(INDEX(Section_Master!$E$2:$E$477,MATCH($E553,Section_Master!$A$2:$A$477,0))&amp;"","")</f>
        <v>Yes</v>
      </c>
      <c r="H553" s="10" t="str">
        <f aca="false">IFERROR(INDEX(Section_Master!$F$2:$F$477,MATCH($E553,Section_Master!$A$2:$A$477,0))&amp;"","")</f>
        <v>No</v>
      </c>
      <c r="I553" s="10" t="str">
        <f aca="false">IFERROR(INDEX(Section_Master!$G$2:$G$477,MATCH($E553,Section_Master!$A$2:$A$477,0))&amp;"","")</f>
        <v>No</v>
      </c>
      <c r="J553" s="10" t="s">
        <v>64</v>
      </c>
      <c r="K553" s="8" t="s">
        <v>1327</v>
      </c>
    </row>
    <row r="554" customFormat="false" ht="34.5" hidden="false" customHeight="true" outlineLevel="0" collapsed="false">
      <c r="A554" s="10" t="s">
        <v>1338</v>
      </c>
      <c r="B554" s="10" t="s">
        <v>45</v>
      </c>
      <c r="C554" s="8" t="s">
        <v>1339</v>
      </c>
      <c r="D554" s="8" t="s">
        <v>1340</v>
      </c>
      <c r="E554" s="11" t="n">
        <v>93</v>
      </c>
      <c r="F554" s="8" t="str">
        <f aca="false">IFERROR(INDEX(Section_Master!$D$2:$D$477,MATCH($E554,Section_Master!$A$2:$A$477,0))&amp;"","")</f>
        <v>Imprisonment up to 7 years, or fine, or both</v>
      </c>
      <c r="G554" s="10" t="str">
        <f aca="false">IFERROR(INDEX(Section_Master!$E$2:$E$477,MATCH($E554,Section_Master!$A$2:$A$477,0))&amp;"","")</f>
        <v>Yes</v>
      </c>
      <c r="H554" s="10" t="str">
        <f aca="false">IFERROR(INDEX(Section_Master!$F$2:$F$477,MATCH($E554,Section_Master!$A$2:$A$477,0))&amp;"","")</f>
        <v>Yes</v>
      </c>
      <c r="I554" s="10" t="str">
        <f aca="false">IFERROR(INDEX(Section_Master!$G$2:$G$477,MATCH($E554,Section_Master!$A$2:$A$477,0))&amp;"","")</f>
        <v>No</v>
      </c>
      <c r="J554" s="10" t="s">
        <v>48</v>
      </c>
      <c r="K554" s="8" t="s">
        <v>1341</v>
      </c>
    </row>
    <row r="555" customFormat="false" ht="34.5" hidden="false" customHeight="true" outlineLevel="0" collapsed="false">
      <c r="A555" s="10" t="s">
        <v>1342</v>
      </c>
      <c r="B555" s="10" t="s">
        <v>45</v>
      </c>
      <c r="C555" s="8" t="s">
        <v>1339</v>
      </c>
      <c r="D555" s="8" t="s">
        <v>1343</v>
      </c>
      <c r="E555" s="11" t="n">
        <v>93</v>
      </c>
      <c r="F555" s="8" t="str">
        <f aca="false">IFERROR(INDEX(Section_Master!$D$2:$D$477,MATCH($E555,Section_Master!$A$2:$A$477,0))&amp;"","")</f>
        <v>Imprisonment up to 7 years, or fine, or both</v>
      </c>
      <c r="G555" s="10" t="str">
        <f aca="false">IFERROR(INDEX(Section_Master!$E$2:$E$477,MATCH($E555,Section_Master!$A$2:$A$477,0))&amp;"","")</f>
        <v>Yes</v>
      </c>
      <c r="H555" s="10" t="str">
        <f aca="false">IFERROR(INDEX(Section_Master!$F$2:$F$477,MATCH($E555,Section_Master!$A$2:$A$477,0))&amp;"","")</f>
        <v>Yes</v>
      </c>
      <c r="I555" s="10" t="str">
        <f aca="false">IFERROR(INDEX(Section_Master!$G$2:$G$477,MATCH($E555,Section_Master!$A$2:$A$477,0))&amp;"","")</f>
        <v>No</v>
      </c>
      <c r="J555" s="10" t="s">
        <v>52</v>
      </c>
      <c r="K555" s="8" t="s">
        <v>1341</v>
      </c>
    </row>
    <row r="556" customFormat="false" ht="34.5" hidden="false" customHeight="true" outlineLevel="0" collapsed="false">
      <c r="A556" s="10" t="s">
        <v>1344</v>
      </c>
      <c r="B556" s="10" t="s">
        <v>45</v>
      </c>
      <c r="C556" s="8" t="s">
        <v>1339</v>
      </c>
      <c r="D556" s="8" t="s">
        <v>1345</v>
      </c>
      <c r="E556" s="11" t="n">
        <v>93</v>
      </c>
      <c r="F556" s="8" t="str">
        <f aca="false">IFERROR(INDEX(Section_Master!$D$2:$D$477,MATCH($E556,Section_Master!$A$2:$A$477,0))&amp;"","")</f>
        <v>Imprisonment up to 7 years, or fine, or both</v>
      </c>
      <c r="G556" s="10" t="str">
        <f aca="false">IFERROR(INDEX(Section_Master!$E$2:$E$477,MATCH($E556,Section_Master!$A$2:$A$477,0))&amp;"","")</f>
        <v>Yes</v>
      </c>
      <c r="H556" s="10" t="str">
        <f aca="false">IFERROR(INDEX(Section_Master!$F$2:$F$477,MATCH($E556,Section_Master!$A$2:$A$477,0))&amp;"","")</f>
        <v>Yes</v>
      </c>
      <c r="I556" s="10" t="str">
        <f aca="false">IFERROR(INDEX(Section_Master!$G$2:$G$477,MATCH($E556,Section_Master!$A$2:$A$477,0))&amp;"","")</f>
        <v>No</v>
      </c>
      <c r="J556" s="10" t="s">
        <v>55</v>
      </c>
      <c r="K556" s="8" t="s">
        <v>1341</v>
      </c>
    </row>
    <row r="557" customFormat="false" ht="34.5" hidden="false" customHeight="true" outlineLevel="0" collapsed="false">
      <c r="A557" s="10" t="s">
        <v>1346</v>
      </c>
      <c r="B557" s="10" t="s">
        <v>45</v>
      </c>
      <c r="C557" s="8" t="s">
        <v>1339</v>
      </c>
      <c r="D557" s="8" t="s">
        <v>1347</v>
      </c>
      <c r="E557" s="11" t="n">
        <v>93</v>
      </c>
      <c r="F557" s="8" t="str">
        <f aca="false">IFERROR(INDEX(Section_Master!$D$2:$D$477,MATCH($E557,Section_Master!$A$2:$A$477,0))&amp;"","")</f>
        <v>Imprisonment up to 7 years, or fine, or both</v>
      </c>
      <c r="G557" s="10" t="str">
        <f aca="false">IFERROR(INDEX(Section_Master!$E$2:$E$477,MATCH($E557,Section_Master!$A$2:$A$477,0))&amp;"","")</f>
        <v>Yes</v>
      </c>
      <c r="H557" s="10" t="str">
        <f aca="false">IFERROR(INDEX(Section_Master!$F$2:$F$477,MATCH($E557,Section_Master!$A$2:$A$477,0))&amp;"","")</f>
        <v>Yes</v>
      </c>
      <c r="I557" s="10" t="str">
        <f aca="false">IFERROR(INDEX(Section_Master!$G$2:$G$477,MATCH($E557,Section_Master!$A$2:$A$477,0))&amp;"","")</f>
        <v>No</v>
      </c>
      <c r="J557" s="10" t="s">
        <v>58</v>
      </c>
      <c r="K557" s="8" t="s">
        <v>1341</v>
      </c>
    </row>
    <row r="558" customFormat="false" ht="34.5" hidden="false" customHeight="true" outlineLevel="0" collapsed="false">
      <c r="A558" s="10" t="s">
        <v>1348</v>
      </c>
      <c r="B558" s="10" t="s">
        <v>45</v>
      </c>
      <c r="C558" s="8" t="s">
        <v>1339</v>
      </c>
      <c r="D558" s="8" t="s">
        <v>1349</v>
      </c>
      <c r="E558" s="11" t="n">
        <v>93</v>
      </c>
      <c r="F558" s="8" t="str">
        <f aca="false">IFERROR(INDEX(Section_Master!$D$2:$D$477,MATCH($E558,Section_Master!$A$2:$A$477,0))&amp;"","")</f>
        <v>Imprisonment up to 7 years, or fine, or both</v>
      </c>
      <c r="G558" s="10" t="str">
        <f aca="false">IFERROR(INDEX(Section_Master!$E$2:$E$477,MATCH($E558,Section_Master!$A$2:$A$477,0))&amp;"","")</f>
        <v>Yes</v>
      </c>
      <c r="H558" s="10" t="str">
        <f aca="false">IFERROR(INDEX(Section_Master!$F$2:$F$477,MATCH($E558,Section_Master!$A$2:$A$477,0))&amp;"","")</f>
        <v>Yes</v>
      </c>
      <c r="I558" s="10" t="str">
        <f aca="false">IFERROR(INDEX(Section_Master!$G$2:$G$477,MATCH($E558,Section_Master!$A$2:$A$477,0))&amp;"","")</f>
        <v>No</v>
      </c>
      <c r="J558" s="10" t="s">
        <v>61</v>
      </c>
      <c r="K558" s="8" t="s">
        <v>1341</v>
      </c>
    </row>
    <row r="559" customFormat="false" ht="34.5" hidden="false" customHeight="true" outlineLevel="0" collapsed="false">
      <c r="A559" s="10" t="s">
        <v>1350</v>
      </c>
      <c r="B559" s="10" t="s">
        <v>45</v>
      </c>
      <c r="C559" s="8" t="s">
        <v>1339</v>
      </c>
      <c r="D559" s="8" t="s">
        <v>1351</v>
      </c>
      <c r="E559" s="11" t="n">
        <v>93</v>
      </c>
      <c r="F559" s="8" t="str">
        <f aca="false">IFERROR(INDEX(Section_Master!$D$2:$D$477,MATCH($E559,Section_Master!$A$2:$A$477,0))&amp;"","")</f>
        <v>Imprisonment up to 7 years, or fine, or both</v>
      </c>
      <c r="G559" s="10" t="str">
        <f aca="false">IFERROR(INDEX(Section_Master!$E$2:$E$477,MATCH($E559,Section_Master!$A$2:$A$477,0))&amp;"","")</f>
        <v>Yes</v>
      </c>
      <c r="H559" s="10" t="str">
        <f aca="false">IFERROR(INDEX(Section_Master!$F$2:$F$477,MATCH($E559,Section_Master!$A$2:$A$477,0))&amp;"","")</f>
        <v>Yes</v>
      </c>
      <c r="I559" s="10" t="str">
        <f aca="false">IFERROR(INDEX(Section_Master!$G$2:$G$477,MATCH($E559,Section_Master!$A$2:$A$477,0))&amp;"","")</f>
        <v>No</v>
      </c>
      <c r="J559" s="10" t="s">
        <v>64</v>
      </c>
      <c r="K559" s="8" t="s">
        <v>1341</v>
      </c>
    </row>
    <row r="560" customFormat="false" ht="34.5" hidden="false" customHeight="true" outlineLevel="0" collapsed="false">
      <c r="A560" s="10" t="s">
        <v>1352</v>
      </c>
      <c r="B560" s="10" t="s">
        <v>45</v>
      </c>
      <c r="C560" s="8" t="s">
        <v>1353</v>
      </c>
      <c r="D560" s="8" t="s">
        <v>1354</v>
      </c>
      <c r="E560" s="11" t="n">
        <v>94</v>
      </c>
      <c r="F560" s="8" t="str">
        <f aca="false">IFERROR(INDEX(Section_Master!$D$2:$D$477,MATCH($E560,Section_Master!$A$2:$A$477,0))&amp;"","")</f>
        <v>Imprisonment up to 2 years, or fine, or both</v>
      </c>
      <c r="G560" s="10" t="str">
        <f aca="false">IFERROR(INDEX(Section_Master!$E$2:$E$477,MATCH($E560,Section_Master!$A$2:$A$477,0))&amp;"","")</f>
        <v>No</v>
      </c>
      <c r="H560" s="10" t="str">
        <f aca="false">IFERROR(INDEX(Section_Master!$F$2:$F$477,MATCH($E560,Section_Master!$A$2:$A$477,0))&amp;"","")</f>
        <v>Yes</v>
      </c>
      <c r="I560" s="10" t="str">
        <f aca="false">IFERROR(INDEX(Section_Master!$G$2:$G$477,MATCH($E560,Section_Master!$A$2:$A$477,0))&amp;"","")</f>
        <v>No</v>
      </c>
      <c r="J560" s="10" t="s">
        <v>48</v>
      </c>
      <c r="K560" s="8" t="s">
        <v>1355</v>
      </c>
    </row>
    <row r="561" customFormat="false" ht="34.5" hidden="false" customHeight="true" outlineLevel="0" collapsed="false">
      <c r="A561" s="10" t="s">
        <v>1356</v>
      </c>
      <c r="B561" s="10" t="s">
        <v>45</v>
      </c>
      <c r="C561" s="8" t="s">
        <v>1353</v>
      </c>
      <c r="D561" s="8" t="s">
        <v>1357</v>
      </c>
      <c r="E561" s="11" t="n">
        <v>94</v>
      </c>
      <c r="F561" s="8" t="str">
        <f aca="false">IFERROR(INDEX(Section_Master!$D$2:$D$477,MATCH($E561,Section_Master!$A$2:$A$477,0))&amp;"","")</f>
        <v>Imprisonment up to 2 years, or fine, or both</v>
      </c>
      <c r="G561" s="10" t="str">
        <f aca="false">IFERROR(INDEX(Section_Master!$E$2:$E$477,MATCH($E561,Section_Master!$A$2:$A$477,0))&amp;"","")</f>
        <v>No</v>
      </c>
      <c r="H561" s="10" t="str">
        <f aca="false">IFERROR(INDEX(Section_Master!$F$2:$F$477,MATCH($E561,Section_Master!$A$2:$A$477,0))&amp;"","")</f>
        <v>Yes</v>
      </c>
      <c r="I561" s="10" t="str">
        <f aca="false">IFERROR(INDEX(Section_Master!$G$2:$G$477,MATCH($E561,Section_Master!$A$2:$A$477,0))&amp;"","")</f>
        <v>No</v>
      </c>
      <c r="J561" s="10" t="s">
        <v>52</v>
      </c>
      <c r="K561" s="8" t="s">
        <v>1355</v>
      </c>
    </row>
    <row r="562" customFormat="false" ht="34.5" hidden="false" customHeight="true" outlineLevel="0" collapsed="false">
      <c r="A562" s="10" t="s">
        <v>1358</v>
      </c>
      <c r="B562" s="10" t="s">
        <v>45</v>
      </c>
      <c r="C562" s="8" t="s">
        <v>1353</v>
      </c>
      <c r="D562" s="8" t="s">
        <v>1359</v>
      </c>
      <c r="E562" s="11" t="n">
        <v>94</v>
      </c>
      <c r="F562" s="8" t="str">
        <f aca="false">IFERROR(INDEX(Section_Master!$D$2:$D$477,MATCH($E562,Section_Master!$A$2:$A$477,0))&amp;"","")</f>
        <v>Imprisonment up to 2 years, or fine, or both</v>
      </c>
      <c r="G562" s="10" t="str">
        <f aca="false">IFERROR(INDEX(Section_Master!$E$2:$E$477,MATCH($E562,Section_Master!$A$2:$A$477,0))&amp;"","")</f>
        <v>No</v>
      </c>
      <c r="H562" s="10" t="str">
        <f aca="false">IFERROR(INDEX(Section_Master!$F$2:$F$477,MATCH($E562,Section_Master!$A$2:$A$477,0))&amp;"","")</f>
        <v>Yes</v>
      </c>
      <c r="I562" s="10" t="str">
        <f aca="false">IFERROR(INDEX(Section_Master!$G$2:$G$477,MATCH($E562,Section_Master!$A$2:$A$477,0))&amp;"","")</f>
        <v>No</v>
      </c>
      <c r="J562" s="10" t="s">
        <v>55</v>
      </c>
      <c r="K562" s="8" t="s">
        <v>1355</v>
      </c>
    </row>
    <row r="563" customFormat="false" ht="34.5" hidden="false" customHeight="true" outlineLevel="0" collapsed="false">
      <c r="A563" s="10" t="s">
        <v>1360</v>
      </c>
      <c r="B563" s="10" t="s">
        <v>45</v>
      </c>
      <c r="C563" s="8" t="s">
        <v>1353</v>
      </c>
      <c r="D563" s="8" t="s">
        <v>1361</v>
      </c>
      <c r="E563" s="11" t="n">
        <v>94</v>
      </c>
      <c r="F563" s="8" t="str">
        <f aca="false">IFERROR(INDEX(Section_Master!$D$2:$D$477,MATCH($E563,Section_Master!$A$2:$A$477,0))&amp;"","")</f>
        <v>Imprisonment up to 2 years, or fine, or both</v>
      </c>
      <c r="G563" s="10" t="str">
        <f aca="false">IFERROR(INDEX(Section_Master!$E$2:$E$477,MATCH($E563,Section_Master!$A$2:$A$477,0))&amp;"","")</f>
        <v>No</v>
      </c>
      <c r="H563" s="10" t="str">
        <f aca="false">IFERROR(INDEX(Section_Master!$F$2:$F$477,MATCH($E563,Section_Master!$A$2:$A$477,0))&amp;"","")</f>
        <v>Yes</v>
      </c>
      <c r="I563" s="10" t="str">
        <f aca="false">IFERROR(INDEX(Section_Master!$G$2:$G$477,MATCH($E563,Section_Master!$A$2:$A$477,0))&amp;"","")</f>
        <v>No</v>
      </c>
      <c r="J563" s="10" t="s">
        <v>58</v>
      </c>
      <c r="K563" s="8" t="s">
        <v>1355</v>
      </c>
    </row>
    <row r="564" customFormat="false" ht="34.5" hidden="false" customHeight="true" outlineLevel="0" collapsed="false">
      <c r="A564" s="10" t="s">
        <v>1362</v>
      </c>
      <c r="B564" s="10" t="s">
        <v>45</v>
      </c>
      <c r="C564" s="8" t="s">
        <v>1353</v>
      </c>
      <c r="D564" s="8" t="s">
        <v>1363</v>
      </c>
      <c r="E564" s="11" t="n">
        <v>94</v>
      </c>
      <c r="F564" s="8" t="str">
        <f aca="false">IFERROR(INDEX(Section_Master!$D$2:$D$477,MATCH($E564,Section_Master!$A$2:$A$477,0))&amp;"","")</f>
        <v>Imprisonment up to 2 years, or fine, or both</v>
      </c>
      <c r="G564" s="10" t="str">
        <f aca="false">IFERROR(INDEX(Section_Master!$E$2:$E$477,MATCH($E564,Section_Master!$A$2:$A$477,0))&amp;"","")</f>
        <v>No</v>
      </c>
      <c r="H564" s="10" t="str">
        <f aca="false">IFERROR(INDEX(Section_Master!$F$2:$F$477,MATCH($E564,Section_Master!$A$2:$A$477,0))&amp;"","")</f>
        <v>Yes</v>
      </c>
      <c r="I564" s="10" t="str">
        <f aca="false">IFERROR(INDEX(Section_Master!$G$2:$G$477,MATCH($E564,Section_Master!$A$2:$A$477,0))&amp;"","")</f>
        <v>No</v>
      </c>
      <c r="J564" s="10" t="s">
        <v>61</v>
      </c>
      <c r="K564" s="8" t="s">
        <v>1355</v>
      </c>
    </row>
    <row r="565" customFormat="false" ht="45.75" hidden="false" customHeight="true" outlineLevel="0" collapsed="false">
      <c r="A565" s="10" t="s">
        <v>1364</v>
      </c>
      <c r="B565" s="10" t="s">
        <v>45</v>
      </c>
      <c r="C565" s="8" t="s">
        <v>1353</v>
      </c>
      <c r="D565" s="8" t="s">
        <v>1365</v>
      </c>
      <c r="E565" s="11" t="n">
        <v>94</v>
      </c>
      <c r="F565" s="8" t="str">
        <f aca="false">IFERROR(INDEX(Section_Master!$D$2:$D$477,MATCH($E565,Section_Master!$A$2:$A$477,0))&amp;"","")</f>
        <v>Imprisonment up to 2 years, or fine, or both</v>
      </c>
      <c r="G565" s="10" t="str">
        <f aca="false">IFERROR(INDEX(Section_Master!$E$2:$E$477,MATCH($E565,Section_Master!$A$2:$A$477,0))&amp;"","")</f>
        <v>No</v>
      </c>
      <c r="H565" s="10" t="str">
        <f aca="false">IFERROR(INDEX(Section_Master!$F$2:$F$477,MATCH($E565,Section_Master!$A$2:$A$477,0))&amp;"","")</f>
        <v>Yes</v>
      </c>
      <c r="I565" s="10" t="str">
        <f aca="false">IFERROR(INDEX(Section_Master!$G$2:$G$477,MATCH($E565,Section_Master!$A$2:$A$477,0))&amp;"","")</f>
        <v>No</v>
      </c>
      <c r="J565" s="10" t="s">
        <v>64</v>
      </c>
      <c r="K565" s="8" t="s">
        <v>1355</v>
      </c>
    </row>
    <row r="566" customFormat="false" ht="34.5" hidden="false" customHeight="true" outlineLevel="0" collapsed="false">
      <c r="A566" s="10" t="s">
        <v>1366</v>
      </c>
      <c r="B566" s="10" t="s">
        <v>45</v>
      </c>
      <c r="C566" s="8" t="s">
        <v>1367</v>
      </c>
      <c r="D566" s="8" t="s">
        <v>1368</v>
      </c>
      <c r="E566" s="11" t="n">
        <v>95</v>
      </c>
      <c r="F566" s="8" t="str">
        <f aca="false">IFERROR(INDEX(Section_Master!$D$2:$D$477,MATCH($E566,Section_Master!$A$2:$A$477,0))&amp;"","")</f>
        <v>Imprisonment not less than 3 years, may extend to 10 years, and fine</v>
      </c>
      <c r="G566" s="10" t="str">
        <f aca="false">IFERROR(INDEX(Section_Master!$E$2:$E$477,MATCH($E566,Section_Master!$A$2:$A$477,0))&amp;"","")</f>
        <v>Yes</v>
      </c>
      <c r="H566" s="10" t="str">
        <f aca="false">IFERROR(INDEX(Section_Master!$F$2:$F$477,MATCH($E566,Section_Master!$A$2:$A$477,0))&amp;"","")</f>
        <v>No</v>
      </c>
      <c r="I566" s="10" t="str">
        <f aca="false">IFERROR(INDEX(Section_Master!$G$2:$G$477,MATCH($E566,Section_Master!$A$2:$A$477,0))&amp;"","")</f>
        <v>No</v>
      </c>
      <c r="J566" s="10" t="s">
        <v>48</v>
      </c>
      <c r="K566" s="8" t="s">
        <v>1369</v>
      </c>
    </row>
    <row r="567" customFormat="false" ht="45.75" hidden="false" customHeight="true" outlineLevel="0" collapsed="false">
      <c r="A567" s="10" t="s">
        <v>1370</v>
      </c>
      <c r="B567" s="10" t="s">
        <v>45</v>
      </c>
      <c r="C567" s="8" t="s">
        <v>1367</v>
      </c>
      <c r="D567" s="8" t="s">
        <v>1371</v>
      </c>
      <c r="E567" s="11" t="n">
        <v>95</v>
      </c>
      <c r="F567" s="8" t="str">
        <f aca="false">IFERROR(INDEX(Section_Master!$D$2:$D$477,MATCH($E567,Section_Master!$A$2:$A$477,0))&amp;"","")</f>
        <v>Imprisonment not less than 3 years, may extend to 10 years, and fine</v>
      </c>
      <c r="G567" s="10" t="str">
        <f aca="false">IFERROR(INDEX(Section_Master!$E$2:$E$477,MATCH($E567,Section_Master!$A$2:$A$477,0))&amp;"","")</f>
        <v>Yes</v>
      </c>
      <c r="H567" s="10" t="str">
        <f aca="false">IFERROR(INDEX(Section_Master!$F$2:$F$477,MATCH($E567,Section_Master!$A$2:$A$477,0))&amp;"","")</f>
        <v>No</v>
      </c>
      <c r="I567" s="10" t="str">
        <f aca="false">IFERROR(INDEX(Section_Master!$G$2:$G$477,MATCH($E567,Section_Master!$A$2:$A$477,0))&amp;"","")</f>
        <v>No</v>
      </c>
      <c r="J567" s="10" t="s">
        <v>52</v>
      </c>
      <c r="K567" s="8" t="s">
        <v>1369</v>
      </c>
    </row>
    <row r="568" customFormat="false" ht="34.5" hidden="false" customHeight="true" outlineLevel="0" collapsed="false">
      <c r="A568" s="10" t="s">
        <v>1372</v>
      </c>
      <c r="B568" s="10" t="s">
        <v>45</v>
      </c>
      <c r="C568" s="8" t="s">
        <v>1367</v>
      </c>
      <c r="D568" s="8" t="s">
        <v>1373</v>
      </c>
      <c r="E568" s="11" t="n">
        <v>95</v>
      </c>
      <c r="F568" s="8" t="str">
        <f aca="false">IFERROR(INDEX(Section_Master!$D$2:$D$477,MATCH($E568,Section_Master!$A$2:$A$477,0))&amp;"","")</f>
        <v>Imprisonment not less than 3 years, may extend to 10 years, and fine</v>
      </c>
      <c r="G568" s="10" t="str">
        <f aca="false">IFERROR(INDEX(Section_Master!$E$2:$E$477,MATCH($E568,Section_Master!$A$2:$A$477,0))&amp;"","")</f>
        <v>Yes</v>
      </c>
      <c r="H568" s="10" t="str">
        <f aca="false">IFERROR(INDEX(Section_Master!$F$2:$F$477,MATCH($E568,Section_Master!$A$2:$A$477,0))&amp;"","")</f>
        <v>No</v>
      </c>
      <c r="I568" s="10" t="str">
        <f aca="false">IFERROR(INDEX(Section_Master!$G$2:$G$477,MATCH($E568,Section_Master!$A$2:$A$477,0))&amp;"","")</f>
        <v>No</v>
      </c>
      <c r="J568" s="10" t="s">
        <v>55</v>
      </c>
      <c r="K568" s="8" t="s">
        <v>1369</v>
      </c>
    </row>
    <row r="569" customFormat="false" ht="34.5" hidden="false" customHeight="true" outlineLevel="0" collapsed="false">
      <c r="A569" s="10" t="s">
        <v>1374</v>
      </c>
      <c r="B569" s="10" t="s">
        <v>45</v>
      </c>
      <c r="C569" s="8" t="s">
        <v>1367</v>
      </c>
      <c r="D569" s="8" t="s">
        <v>1375</v>
      </c>
      <c r="E569" s="11" t="n">
        <v>95</v>
      </c>
      <c r="F569" s="8" t="str">
        <f aca="false">IFERROR(INDEX(Section_Master!$D$2:$D$477,MATCH($E569,Section_Master!$A$2:$A$477,0))&amp;"","")</f>
        <v>Imprisonment not less than 3 years, may extend to 10 years, and fine</v>
      </c>
      <c r="G569" s="10" t="str">
        <f aca="false">IFERROR(INDEX(Section_Master!$E$2:$E$477,MATCH($E569,Section_Master!$A$2:$A$477,0))&amp;"","")</f>
        <v>Yes</v>
      </c>
      <c r="H569" s="10" t="str">
        <f aca="false">IFERROR(INDEX(Section_Master!$F$2:$F$477,MATCH($E569,Section_Master!$A$2:$A$477,0))&amp;"","")</f>
        <v>No</v>
      </c>
      <c r="I569" s="10" t="str">
        <f aca="false">IFERROR(INDEX(Section_Master!$G$2:$G$477,MATCH($E569,Section_Master!$A$2:$A$477,0))&amp;"","")</f>
        <v>No</v>
      </c>
      <c r="J569" s="10" t="s">
        <v>58</v>
      </c>
      <c r="K569" s="8" t="s">
        <v>1369</v>
      </c>
    </row>
    <row r="570" customFormat="false" ht="34.5" hidden="false" customHeight="true" outlineLevel="0" collapsed="false">
      <c r="A570" s="10" t="s">
        <v>1376</v>
      </c>
      <c r="B570" s="10" t="s">
        <v>45</v>
      </c>
      <c r="C570" s="8" t="s">
        <v>1367</v>
      </c>
      <c r="D570" s="8" t="s">
        <v>1377</v>
      </c>
      <c r="E570" s="11" t="n">
        <v>95</v>
      </c>
      <c r="F570" s="8" t="str">
        <f aca="false">IFERROR(INDEX(Section_Master!$D$2:$D$477,MATCH($E570,Section_Master!$A$2:$A$477,0))&amp;"","")</f>
        <v>Imprisonment not less than 3 years, may extend to 10 years, and fine</v>
      </c>
      <c r="G570" s="10" t="str">
        <f aca="false">IFERROR(INDEX(Section_Master!$E$2:$E$477,MATCH($E570,Section_Master!$A$2:$A$477,0))&amp;"","")</f>
        <v>Yes</v>
      </c>
      <c r="H570" s="10" t="str">
        <f aca="false">IFERROR(INDEX(Section_Master!$F$2:$F$477,MATCH($E570,Section_Master!$A$2:$A$477,0))&amp;"","")</f>
        <v>No</v>
      </c>
      <c r="I570" s="10" t="str">
        <f aca="false">IFERROR(INDEX(Section_Master!$G$2:$G$477,MATCH($E570,Section_Master!$A$2:$A$477,0))&amp;"","")</f>
        <v>No</v>
      </c>
      <c r="J570" s="10" t="s">
        <v>61</v>
      </c>
      <c r="K570" s="8" t="s">
        <v>1369</v>
      </c>
    </row>
    <row r="571" customFormat="false" ht="34.5" hidden="false" customHeight="true" outlineLevel="0" collapsed="false">
      <c r="A571" s="10" t="s">
        <v>1378</v>
      </c>
      <c r="B571" s="10" t="s">
        <v>45</v>
      </c>
      <c r="C571" s="8" t="s">
        <v>1367</v>
      </c>
      <c r="D571" s="8" t="s">
        <v>1379</v>
      </c>
      <c r="E571" s="11" t="n">
        <v>95</v>
      </c>
      <c r="F571" s="8" t="str">
        <f aca="false">IFERROR(INDEX(Section_Master!$D$2:$D$477,MATCH($E571,Section_Master!$A$2:$A$477,0))&amp;"","")</f>
        <v>Imprisonment not less than 3 years, may extend to 10 years, and fine</v>
      </c>
      <c r="G571" s="10" t="str">
        <f aca="false">IFERROR(INDEX(Section_Master!$E$2:$E$477,MATCH($E571,Section_Master!$A$2:$A$477,0))&amp;"","")</f>
        <v>Yes</v>
      </c>
      <c r="H571" s="10" t="str">
        <f aca="false">IFERROR(INDEX(Section_Master!$F$2:$F$477,MATCH($E571,Section_Master!$A$2:$A$477,0))&amp;"","")</f>
        <v>No</v>
      </c>
      <c r="I571" s="10" t="str">
        <f aca="false">IFERROR(INDEX(Section_Master!$G$2:$G$477,MATCH($E571,Section_Master!$A$2:$A$477,0))&amp;"","")</f>
        <v>No</v>
      </c>
      <c r="J571" s="10" t="s">
        <v>64</v>
      </c>
      <c r="K571" s="8" t="s">
        <v>1369</v>
      </c>
    </row>
    <row r="572" customFormat="false" ht="34.5" hidden="false" customHeight="true" outlineLevel="0" collapsed="false">
      <c r="A572" s="10" t="s">
        <v>1380</v>
      </c>
      <c r="B572" s="10" t="s">
        <v>45</v>
      </c>
      <c r="C572" s="8" t="s">
        <v>1381</v>
      </c>
      <c r="D572" s="8" t="s">
        <v>1382</v>
      </c>
      <c r="E572" s="11" t="n">
        <v>96</v>
      </c>
      <c r="F572" s="8" t="str">
        <f aca="false">IFERROR(INDEX(Section_Master!$D$2:$D$477,MATCH($E572,Section_Master!$A$2:$A$477,0))&amp;"","")</f>
        <v>Imprisonment up to 10 years and fine</v>
      </c>
      <c r="G572" s="10" t="str">
        <f aca="false">IFERROR(INDEX(Section_Master!$E$2:$E$477,MATCH($E572,Section_Master!$A$2:$A$477,0))&amp;"","")</f>
        <v>Yes</v>
      </c>
      <c r="H572" s="10" t="str">
        <f aca="false">IFERROR(INDEX(Section_Master!$F$2:$F$477,MATCH($E572,Section_Master!$A$2:$A$477,0))&amp;"","")</f>
        <v>No</v>
      </c>
      <c r="I572" s="10" t="str">
        <f aca="false">IFERROR(INDEX(Section_Master!$G$2:$G$477,MATCH($E572,Section_Master!$A$2:$A$477,0))&amp;"","")</f>
        <v>No</v>
      </c>
      <c r="J572" s="10" t="s">
        <v>48</v>
      </c>
      <c r="K572" s="8" t="s">
        <v>1383</v>
      </c>
    </row>
    <row r="573" customFormat="false" ht="45.75" hidden="false" customHeight="true" outlineLevel="0" collapsed="false">
      <c r="A573" s="10" t="s">
        <v>1384</v>
      </c>
      <c r="B573" s="10" t="s">
        <v>45</v>
      </c>
      <c r="C573" s="8" t="s">
        <v>1381</v>
      </c>
      <c r="D573" s="8" t="s">
        <v>1385</v>
      </c>
      <c r="E573" s="11" t="n">
        <v>96</v>
      </c>
      <c r="F573" s="8" t="str">
        <f aca="false">IFERROR(INDEX(Section_Master!$D$2:$D$477,MATCH($E573,Section_Master!$A$2:$A$477,0))&amp;"","")</f>
        <v>Imprisonment up to 10 years and fine</v>
      </c>
      <c r="G573" s="10" t="str">
        <f aca="false">IFERROR(INDEX(Section_Master!$E$2:$E$477,MATCH($E573,Section_Master!$A$2:$A$477,0))&amp;"","")</f>
        <v>Yes</v>
      </c>
      <c r="H573" s="10" t="str">
        <f aca="false">IFERROR(INDEX(Section_Master!$F$2:$F$477,MATCH($E573,Section_Master!$A$2:$A$477,0))&amp;"","")</f>
        <v>No</v>
      </c>
      <c r="I573" s="10" t="str">
        <f aca="false">IFERROR(INDEX(Section_Master!$G$2:$G$477,MATCH($E573,Section_Master!$A$2:$A$477,0))&amp;"","")</f>
        <v>No</v>
      </c>
      <c r="J573" s="10" t="s">
        <v>52</v>
      </c>
      <c r="K573" s="8" t="s">
        <v>1383</v>
      </c>
    </row>
    <row r="574" customFormat="false" ht="34.5" hidden="false" customHeight="true" outlineLevel="0" collapsed="false">
      <c r="A574" s="10" t="s">
        <v>1386</v>
      </c>
      <c r="B574" s="10" t="s">
        <v>45</v>
      </c>
      <c r="C574" s="8" t="s">
        <v>1381</v>
      </c>
      <c r="D574" s="8" t="s">
        <v>1387</v>
      </c>
      <c r="E574" s="11" t="n">
        <v>96</v>
      </c>
      <c r="F574" s="8" t="str">
        <f aca="false">IFERROR(INDEX(Section_Master!$D$2:$D$477,MATCH($E574,Section_Master!$A$2:$A$477,0))&amp;"","")</f>
        <v>Imprisonment up to 10 years and fine</v>
      </c>
      <c r="G574" s="10" t="str">
        <f aca="false">IFERROR(INDEX(Section_Master!$E$2:$E$477,MATCH($E574,Section_Master!$A$2:$A$477,0))&amp;"","")</f>
        <v>Yes</v>
      </c>
      <c r="H574" s="10" t="str">
        <f aca="false">IFERROR(INDEX(Section_Master!$F$2:$F$477,MATCH($E574,Section_Master!$A$2:$A$477,0))&amp;"","")</f>
        <v>No</v>
      </c>
      <c r="I574" s="10" t="str">
        <f aca="false">IFERROR(INDEX(Section_Master!$G$2:$G$477,MATCH($E574,Section_Master!$A$2:$A$477,0))&amp;"","")</f>
        <v>No</v>
      </c>
      <c r="J574" s="10" t="s">
        <v>55</v>
      </c>
      <c r="K574" s="8" t="s">
        <v>1383</v>
      </c>
    </row>
    <row r="575" customFormat="false" ht="34.5" hidden="false" customHeight="true" outlineLevel="0" collapsed="false">
      <c r="A575" s="10" t="s">
        <v>1388</v>
      </c>
      <c r="B575" s="10" t="s">
        <v>45</v>
      </c>
      <c r="C575" s="8" t="s">
        <v>1381</v>
      </c>
      <c r="D575" s="8" t="s">
        <v>1389</v>
      </c>
      <c r="E575" s="11" t="n">
        <v>96</v>
      </c>
      <c r="F575" s="8" t="str">
        <f aca="false">IFERROR(INDEX(Section_Master!$D$2:$D$477,MATCH($E575,Section_Master!$A$2:$A$477,0))&amp;"","")</f>
        <v>Imprisonment up to 10 years and fine</v>
      </c>
      <c r="G575" s="10" t="str">
        <f aca="false">IFERROR(INDEX(Section_Master!$E$2:$E$477,MATCH($E575,Section_Master!$A$2:$A$477,0))&amp;"","")</f>
        <v>Yes</v>
      </c>
      <c r="H575" s="10" t="str">
        <f aca="false">IFERROR(INDEX(Section_Master!$F$2:$F$477,MATCH($E575,Section_Master!$A$2:$A$477,0))&amp;"","")</f>
        <v>No</v>
      </c>
      <c r="I575" s="10" t="str">
        <f aca="false">IFERROR(INDEX(Section_Master!$G$2:$G$477,MATCH($E575,Section_Master!$A$2:$A$477,0))&amp;"","")</f>
        <v>No</v>
      </c>
      <c r="J575" s="10" t="s">
        <v>58</v>
      </c>
      <c r="K575" s="8" t="s">
        <v>1383</v>
      </c>
    </row>
    <row r="576" customFormat="false" ht="34.5" hidden="false" customHeight="true" outlineLevel="0" collapsed="false">
      <c r="A576" s="10" t="s">
        <v>1390</v>
      </c>
      <c r="B576" s="10" t="s">
        <v>45</v>
      </c>
      <c r="C576" s="8" t="s">
        <v>1381</v>
      </c>
      <c r="D576" s="8" t="s">
        <v>1391</v>
      </c>
      <c r="E576" s="11" t="n">
        <v>96</v>
      </c>
      <c r="F576" s="8" t="str">
        <f aca="false">IFERROR(INDEX(Section_Master!$D$2:$D$477,MATCH($E576,Section_Master!$A$2:$A$477,0))&amp;"","")</f>
        <v>Imprisonment up to 10 years and fine</v>
      </c>
      <c r="G576" s="10" t="str">
        <f aca="false">IFERROR(INDEX(Section_Master!$E$2:$E$477,MATCH($E576,Section_Master!$A$2:$A$477,0))&amp;"","")</f>
        <v>Yes</v>
      </c>
      <c r="H576" s="10" t="str">
        <f aca="false">IFERROR(INDEX(Section_Master!$F$2:$F$477,MATCH($E576,Section_Master!$A$2:$A$477,0))&amp;"","")</f>
        <v>No</v>
      </c>
      <c r="I576" s="10" t="str">
        <f aca="false">IFERROR(INDEX(Section_Master!$G$2:$G$477,MATCH($E576,Section_Master!$A$2:$A$477,0))&amp;"","")</f>
        <v>No</v>
      </c>
      <c r="J576" s="10" t="s">
        <v>61</v>
      </c>
      <c r="K576" s="8" t="s">
        <v>1383</v>
      </c>
    </row>
    <row r="577" customFormat="false" ht="34.5" hidden="false" customHeight="true" outlineLevel="0" collapsed="false">
      <c r="A577" s="10" t="s">
        <v>1392</v>
      </c>
      <c r="B577" s="10" t="s">
        <v>45</v>
      </c>
      <c r="C577" s="8" t="s">
        <v>1381</v>
      </c>
      <c r="D577" s="8" t="s">
        <v>1393</v>
      </c>
      <c r="E577" s="11" t="n">
        <v>96</v>
      </c>
      <c r="F577" s="8" t="str">
        <f aca="false">IFERROR(INDEX(Section_Master!$D$2:$D$477,MATCH($E577,Section_Master!$A$2:$A$477,0))&amp;"","")</f>
        <v>Imprisonment up to 10 years and fine</v>
      </c>
      <c r="G577" s="10" t="str">
        <f aca="false">IFERROR(INDEX(Section_Master!$E$2:$E$477,MATCH($E577,Section_Master!$A$2:$A$477,0))&amp;"","")</f>
        <v>Yes</v>
      </c>
      <c r="H577" s="10" t="str">
        <f aca="false">IFERROR(INDEX(Section_Master!$F$2:$F$477,MATCH($E577,Section_Master!$A$2:$A$477,0))&amp;"","")</f>
        <v>No</v>
      </c>
      <c r="I577" s="10" t="str">
        <f aca="false">IFERROR(INDEX(Section_Master!$G$2:$G$477,MATCH($E577,Section_Master!$A$2:$A$477,0))&amp;"","")</f>
        <v>No</v>
      </c>
      <c r="J577" s="10" t="s">
        <v>64</v>
      </c>
      <c r="K577" s="8" t="s">
        <v>1383</v>
      </c>
    </row>
    <row r="578" customFormat="false" ht="34.5" hidden="false" customHeight="true" outlineLevel="0" collapsed="false">
      <c r="A578" s="10" t="s">
        <v>1394</v>
      </c>
      <c r="B578" s="10" t="s">
        <v>45</v>
      </c>
      <c r="C578" s="8" t="s">
        <v>1395</v>
      </c>
      <c r="D578" s="8" t="s">
        <v>1396</v>
      </c>
      <c r="E578" s="11" t="n">
        <v>97</v>
      </c>
      <c r="F578" s="8" t="str">
        <f aca="false">IFERROR(INDEX(Section_Master!$D$2:$D$477,MATCH($E578,Section_Master!$A$2:$A$477,0))&amp;"","")</f>
        <v>Imprisonment up to 7 years and fine</v>
      </c>
      <c r="G578" s="10" t="str">
        <f aca="false">IFERROR(INDEX(Section_Master!$E$2:$E$477,MATCH($E578,Section_Master!$A$2:$A$477,0))&amp;"","")</f>
        <v>Yes</v>
      </c>
      <c r="H578" s="10" t="str">
        <f aca="false">IFERROR(INDEX(Section_Master!$F$2:$F$477,MATCH($E578,Section_Master!$A$2:$A$477,0))&amp;"","")</f>
        <v>No</v>
      </c>
      <c r="I578" s="10" t="str">
        <f aca="false">IFERROR(INDEX(Section_Master!$G$2:$G$477,MATCH($E578,Section_Master!$A$2:$A$477,0))&amp;"","")</f>
        <v>No</v>
      </c>
      <c r="J578" s="10" t="s">
        <v>48</v>
      </c>
      <c r="K578" s="8" t="s">
        <v>1397</v>
      </c>
    </row>
    <row r="579" customFormat="false" ht="34.5" hidden="false" customHeight="true" outlineLevel="0" collapsed="false">
      <c r="A579" s="10" t="s">
        <v>1398</v>
      </c>
      <c r="B579" s="10" t="s">
        <v>45</v>
      </c>
      <c r="C579" s="8" t="s">
        <v>1395</v>
      </c>
      <c r="D579" s="8" t="s">
        <v>1399</v>
      </c>
      <c r="E579" s="11" t="n">
        <v>97</v>
      </c>
      <c r="F579" s="8" t="str">
        <f aca="false">IFERROR(INDEX(Section_Master!$D$2:$D$477,MATCH($E579,Section_Master!$A$2:$A$477,0))&amp;"","")</f>
        <v>Imprisonment up to 7 years and fine</v>
      </c>
      <c r="G579" s="10" t="str">
        <f aca="false">IFERROR(INDEX(Section_Master!$E$2:$E$477,MATCH($E579,Section_Master!$A$2:$A$477,0))&amp;"","")</f>
        <v>Yes</v>
      </c>
      <c r="H579" s="10" t="str">
        <f aca="false">IFERROR(INDEX(Section_Master!$F$2:$F$477,MATCH($E579,Section_Master!$A$2:$A$477,0))&amp;"","")</f>
        <v>No</v>
      </c>
      <c r="I579" s="10" t="str">
        <f aca="false">IFERROR(INDEX(Section_Master!$G$2:$G$477,MATCH($E579,Section_Master!$A$2:$A$477,0))&amp;"","")</f>
        <v>No</v>
      </c>
      <c r="J579" s="10" t="s">
        <v>52</v>
      </c>
      <c r="K579" s="8" t="s">
        <v>1397</v>
      </c>
    </row>
    <row r="580" customFormat="false" ht="34.5" hidden="false" customHeight="true" outlineLevel="0" collapsed="false">
      <c r="A580" s="10" t="s">
        <v>1400</v>
      </c>
      <c r="B580" s="10" t="s">
        <v>45</v>
      </c>
      <c r="C580" s="8" t="s">
        <v>1395</v>
      </c>
      <c r="D580" s="8" t="s">
        <v>1401</v>
      </c>
      <c r="E580" s="11" t="n">
        <v>97</v>
      </c>
      <c r="F580" s="8" t="str">
        <f aca="false">IFERROR(INDEX(Section_Master!$D$2:$D$477,MATCH($E580,Section_Master!$A$2:$A$477,0))&amp;"","")</f>
        <v>Imprisonment up to 7 years and fine</v>
      </c>
      <c r="G580" s="10" t="str">
        <f aca="false">IFERROR(INDEX(Section_Master!$E$2:$E$477,MATCH($E580,Section_Master!$A$2:$A$477,0))&amp;"","")</f>
        <v>Yes</v>
      </c>
      <c r="H580" s="10" t="str">
        <f aca="false">IFERROR(INDEX(Section_Master!$F$2:$F$477,MATCH($E580,Section_Master!$A$2:$A$477,0))&amp;"","")</f>
        <v>No</v>
      </c>
      <c r="I580" s="10" t="str">
        <f aca="false">IFERROR(INDEX(Section_Master!$G$2:$G$477,MATCH($E580,Section_Master!$A$2:$A$477,0))&amp;"","")</f>
        <v>No</v>
      </c>
      <c r="J580" s="10" t="s">
        <v>55</v>
      </c>
      <c r="K580" s="8" t="s">
        <v>1397</v>
      </c>
    </row>
    <row r="581" customFormat="false" ht="34.5" hidden="false" customHeight="true" outlineLevel="0" collapsed="false">
      <c r="A581" s="10" t="s">
        <v>1402</v>
      </c>
      <c r="B581" s="10" t="s">
        <v>45</v>
      </c>
      <c r="C581" s="8" t="s">
        <v>1395</v>
      </c>
      <c r="D581" s="8" t="s">
        <v>1403</v>
      </c>
      <c r="E581" s="11" t="n">
        <v>97</v>
      </c>
      <c r="F581" s="8" t="str">
        <f aca="false">IFERROR(INDEX(Section_Master!$D$2:$D$477,MATCH($E581,Section_Master!$A$2:$A$477,0))&amp;"","")</f>
        <v>Imprisonment up to 7 years and fine</v>
      </c>
      <c r="G581" s="10" t="str">
        <f aca="false">IFERROR(INDEX(Section_Master!$E$2:$E$477,MATCH($E581,Section_Master!$A$2:$A$477,0))&amp;"","")</f>
        <v>Yes</v>
      </c>
      <c r="H581" s="10" t="str">
        <f aca="false">IFERROR(INDEX(Section_Master!$F$2:$F$477,MATCH($E581,Section_Master!$A$2:$A$477,0))&amp;"","")</f>
        <v>No</v>
      </c>
      <c r="I581" s="10" t="str">
        <f aca="false">IFERROR(INDEX(Section_Master!$G$2:$G$477,MATCH($E581,Section_Master!$A$2:$A$477,0))&amp;"","")</f>
        <v>No</v>
      </c>
      <c r="J581" s="10" t="s">
        <v>58</v>
      </c>
      <c r="K581" s="8" t="s">
        <v>1397</v>
      </c>
    </row>
    <row r="582" customFormat="false" ht="34.5" hidden="false" customHeight="true" outlineLevel="0" collapsed="false">
      <c r="A582" s="10" t="s">
        <v>1404</v>
      </c>
      <c r="B582" s="10" t="s">
        <v>45</v>
      </c>
      <c r="C582" s="8" t="s">
        <v>1395</v>
      </c>
      <c r="D582" s="8" t="s">
        <v>1405</v>
      </c>
      <c r="E582" s="11" t="n">
        <v>97</v>
      </c>
      <c r="F582" s="8" t="str">
        <f aca="false">IFERROR(INDEX(Section_Master!$D$2:$D$477,MATCH($E582,Section_Master!$A$2:$A$477,0))&amp;"","")</f>
        <v>Imprisonment up to 7 years and fine</v>
      </c>
      <c r="G582" s="10" t="str">
        <f aca="false">IFERROR(INDEX(Section_Master!$E$2:$E$477,MATCH($E582,Section_Master!$A$2:$A$477,0))&amp;"","")</f>
        <v>Yes</v>
      </c>
      <c r="H582" s="10" t="str">
        <f aca="false">IFERROR(INDEX(Section_Master!$F$2:$F$477,MATCH($E582,Section_Master!$A$2:$A$477,0))&amp;"","")</f>
        <v>No</v>
      </c>
      <c r="I582" s="10" t="str">
        <f aca="false">IFERROR(INDEX(Section_Master!$G$2:$G$477,MATCH($E582,Section_Master!$A$2:$A$477,0))&amp;"","")</f>
        <v>No</v>
      </c>
      <c r="J582" s="10" t="s">
        <v>61</v>
      </c>
      <c r="K582" s="8" t="s">
        <v>1397</v>
      </c>
    </row>
    <row r="583" customFormat="false" ht="34.5" hidden="false" customHeight="true" outlineLevel="0" collapsed="false">
      <c r="A583" s="10" t="s">
        <v>1406</v>
      </c>
      <c r="B583" s="10" t="s">
        <v>45</v>
      </c>
      <c r="C583" s="8" t="s">
        <v>1395</v>
      </c>
      <c r="D583" s="8" t="s">
        <v>1407</v>
      </c>
      <c r="E583" s="11" t="n">
        <v>97</v>
      </c>
      <c r="F583" s="8" t="str">
        <f aca="false">IFERROR(INDEX(Section_Master!$D$2:$D$477,MATCH($E583,Section_Master!$A$2:$A$477,0))&amp;"","")</f>
        <v>Imprisonment up to 7 years and fine</v>
      </c>
      <c r="G583" s="10" t="str">
        <f aca="false">IFERROR(INDEX(Section_Master!$E$2:$E$477,MATCH($E583,Section_Master!$A$2:$A$477,0))&amp;"","")</f>
        <v>Yes</v>
      </c>
      <c r="H583" s="10" t="str">
        <f aca="false">IFERROR(INDEX(Section_Master!$F$2:$F$477,MATCH($E583,Section_Master!$A$2:$A$477,0))&amp;"","")</f>
        <v>No</v>
      </c>
      <c r="I583" s="10" t="str">
        <f aca="false">IFERROR(INDEX(Section_Master!$G$2:$G$477,MATCH($E583,Section_Master!$A$2:$A$477,0))&amp;"","")</f>
        <v>No</v>
      </c>
      <c r="J583" s="10" t="s">
        <v>64</v>
      </c>
      <c r="K583" s="8" t="s">
        <v>1397</v>
      </c>
    </row>
    <row r="584" customFormat="false" ht="34.5" hidden="false" customHeight="true" outlineLevel="0" collapsed="false">
      <c r="A584" s="10" t="s">
        <v>1408</v>
      </c>
      <c r="B584" s="10" t="s">
        <v>45</v>
      </c>
      <c r="C584" s="8" t="s">
        <v>1409</v>
      </c>
      <c r="D584" s="8" t="s">
        <v>1410</v>
      </c>
      <c r="E584" s="11" t="n">
        <v>98</v>
      </c>
      <c r="F584" s="8" t="str">
        <f aca="false">IFERROR(INDEX(Section_Master!$D$2:$D$477,MATCH($E584,Section_Master!$A$2:$A$477,0))&amp;"","")</f>
        <v>Rigorous imprisonment not less than 5 years, may extend to 10 years, and fine</v>
      </c>
      <c r="G584" s="10" t="str">
        <f aca="false">IFERROR(INDEX(Section_Master!$E$2:$E$477,MATCH($E584,Section_Master!$A$2:$A$477,0))&amp;"","")</f>
        <v>Yes</v>
      </c>
      <c r="H584" s="10" t="str">
        <f aca="false">IFERROR(INDEX(Section_Master!$F$2:$F$477,MATCH($E584,Section_Master!$A$2:$A$477,0))&amp;"","")</f>
        <v>No</v>
      </c>
      <c r="I584" s="10" t="str">
        <f aca="false">IFERROR(INDEX(Section_Master!$G$2:$G$477,MATCH($E584,Section_Master!$A$2:$A$477,0))&amp;"","")</f>
        <v>No</v>
      </c>
      <c r="J584" s="10" t="s">
        <v>48</v>
      </c>
      <c r="K584" s="8" t="s">
        <v>1411</v>
      </c>
    </row>
    <row r="585" customFormat="false" ht="34.5" hidden="false" customHeight="true" outlineLevel="0" collapsed="false">
      <c r="A585" s="10" t="s">
        <v>1412</v>
      </c>
      <c r="B585" s="10" t="s">
        <v>45</v>
      </c>
      <c r="C585" s="8" t="s">
        <v>1409</v>
      </c>
      <c r="D585" s="8" t="s">
        <v>1413</v>
      </c>
      <c r="E585" s="11" t="n">
        <v>98</v>
      </c>
      <c r="F585" s="8" t="str">
        <f aca="false">IFERROR(INDEX(Section_Master!$D$2:$D$477,MATCH($E585,Section_Master!$A$2:$A$477,0))&amp;"","")</f>
        <v>Rigorous imprisonment not less than 5 years, may extend to 10 years, and fine</v>
      </c>
      <c r="G585" s="10" t="str">
        <f aca="false">IFERROR(INDEX(Section_Master!$E$2:$E$477,MATCH($E585,Section_Master!$A$2:$A$477,0))&amp;"","")</f>
        <v>Yes</v>
      </c>
      <c r="H585" s="10" t="str">
        <f aca="false">IFERROR(INDEX(Section_Master!$F$2:$F$477,MATCH($E585,Section_Master!$A$2:$A$477,0))&amp;"","")</f>
        <v>No</v>
      </c>
      <c r="I585" s="10" t="str">
        <f aca="false">IFERROR(INDEX(Section_Master!$G$2:$G$477,MATCH($E585,Section_Master!$A$2:$A$477,0))&amp;"","")</f>
        <v>No</v>
      </c>
      <c r="J585" s="10" t="s">
        <v>52</v>
      </c>
      <c r="K585" s="8" t="s">
        <v>1411</v>
      </c>
    </row>
    <row r="586" customFormat="false" ht="34.5" hidden="false" customHeight="true" outlineLevel="0" collapsed="false">
      <c r="A586" s="10" t="s">
        <v>1414</v>
      </c>
      <c r="B586" s="10" t="s">
        <v>45</v>
      </c>
      <c r="C586" s="8" t="s">
        <v>1409</v>
      </c>
      <c r="D586" s="8" t="s">
        <v>1415</v>
      </c>
      <c r="E586" s="11" t="n">
        <v>98</v>
      </c>
      <c r="F586" s="8" t="str">
        <f aca="false">IFERROR(INDEX(Section_Master!$D$2:$D$477,MATCH($E586,Section_Master!$A$2:$A$477,0))&amp;"","")</f>
        <v>Rigorous imprisonment not less than 5 years, may extend to 10 years, and fine</v>
      </c>
      <c r="G586" s="10" t="str">
        <f aca="false">IFERROR(INDEX(Section_Master!$E$2:$E$477,MATCH($E586,Section_Master!$A$2:$A$477,0))&amp;"","")</f>
        <v>Yes</v>
      </c>
      <c r="H586" s="10" t="str">
        <f aca="false">IFERROR(INDEX(Section_Master!$F$2:$F$477,MATCH($E586,Section_Master!$A$2:$A$477,0))&amp;"","")</f>
        <v>No</v>
      </c>
      <c r="I586" s="10" t="str">
        <f aca="false">IFERROR(INDEX(Section_Master!$G$2:$G$477,MATCH($E586,Section_Master!$A$2:$A$477,0))&amp;"","")</f>
        <v>No</v>
      </c>
      <c r="J586" s="10" t="s">
        <v>55</v>
      </c>
      <c r="K586" s="8" t="s">
        <v>1411</v>
      </c>
    </row>
    <row r="587" customFormat="false" ht="34.5" hidden="false" customHeight="true" outlineLevel="0" collapsed="false">
      <c r="A587" s="10" t="s">
        <v>1416</v>
      </c>
      <c r="B587" s="10" t="s">
        <v>45</v>
      </c>
      <c r="C587" s="8" t="s">
        <v>1409</v>
      </c>
      <c r="D587" s="8" t="s">
        <v>1417</v>
      </c>
      <c r="E587" s="11" t="n">
        <v>98</v>
      </c>
      <c r="F587" s="8" t="str">
        <f aca="false">IFERROR(INDEX(Section_Master!$D$2:$D$477,MATCH($E587,Section_Master!$A$2:$A$477,0))&amp;"","")</f>
        <v>Rigorous imprisonment not less than 5 years, may extend to 10 years, and fine</v>
      </c>
      <c r="G587" s="10" t="str">
        <f aca="false">IFERROR(INDEX(Section_Master!$E$2:$E$477,MATCH($E587,Section_Master!$A$2:$A$477,0))&amp;"","")</f>
        <v>Yes</v>
      </c>
      <c r="H587" s="10" t="str">
        <f aca="false">IFERROR(INDEX(Section_Master!$F$2:$F$477,MATCH($E587,Section_Master!$A$2:$A$477,0))&amp;"","")</f>
        <v>No</v>
      </c>
      <c r="I587" s="10" t="str">
        <f aca="false">IFERROR(INDEX(Section_Master!$G$2:$G$477,MATCH($E587,Section_Master!$A$2:$A$477,0))&amp;"","")</f>
        <v>No</v>
      </c>
      <c r="J587" s="10" t="s">
        <v>58</v>
      </c>
      <c r="K587" s="8" t="s">
        <v>1411</v>
      </c>
    </row>
    <row r="588" customFormat="false" ht="34.5" hidden="false" customHeight="true" outlineLevel="0" collapsed="false">
      <c r="A588" s="10" t="s">
        <v>1418</v>
      </c>
      <c r="B588" s="10" t="s">
        <v>45</v>
      </c>
      <c r="C588" s="8" t="s">
        <v>1409</v>
      </c>
      <c r="D588" s="8" t="s">
        <v>1419</v>
      </c>
      <c r="E588" s="11" t="n">
        <v>98</v>
      </c>
      <c r="F588" s="8" t="str">
        <f aca="false">IFERROR(INDEX(Section_Master!$D$2:$D$477,MATCH($E588,Section_Master!$A$2:$A$477,0))&amp;"","")</f>
        <v>Rigorous imprisonment not less than 5 years, may extend to 10 years, and fine</v>
      </c>
      <c r="G588" s="10" t="str">
        <f aca="false">IFERROR(INDEX(Section_Master!$E$2:$E$477,MATCH($E588,Section_Master!$A$2:$A$477,0))&amp;"","")</f>
        <v>Yes</v>
      </c>
      <c r="H588" s="10" t="str">
        <f aca="false">IFERROR(INDEX(Section_Master!$F$2:$F$477,MATCH($E588,Section_Master!$A$2:$A$477,0))&amp;"","")</f>
        <v>No</v>
      </c>
      <c r="I588" s="10" t="str">
        <f aca="false">IFERROR(INDEX(Section_Master!$G$2:$G$477,MATCH($E588,Section_Master!$A$2:$A$477,0))&amp;"","")</f>
        <v>No</v>
      </c>
      <c r="J588" s="10" t="s">
        <v>61</v>
      </c>
      <c r="K588" s="8" t="s">
        <v>1411</v>
      </c>
    </row>
    <row r="589" customFormat="false" ht="34.5" hidden="false" customHeight="true" outlineLevel="0" collapsed="false">
      <c r="A589" s="10" t="s">
        <v>1420</v>
      </c>
      <c r="B589" s="10" t="s">
        <v>45</v>
      </c>
      <c r="C589" s="8" t="s">
        <v>1409</v>
      </c>
      <c r="D589" s="8" t="s">
        <v>1421</v>
      </c>
      <c r="E589" s="11" t="n">
        <v>98</v>
      </c>
      <c r="F589" s="8" t="str">
        <f aca="false">IFERROR(INDEX(Section_Master!$D$2:$D$477,MATCH($E589,Section_Master!$A$2:$A$477,0))&amp;"","")</f>
        <v>Rigorous imprisonment not less than 5 years, may extend to 10 years, and fine</v>
      </c>
      <c r="G589" s="10" t="str">
        <f aca="false">IFERROR(INDEX(Section_Master!$E$2:$E$477,MATCH($E589,Section_Master!$A$2:$A$477,0))&amp;"","")</f>
        <v>Yes</v>
      </c>
      <c r="H589" s="10" t="str">
        <f aca="false">IFERROR(INDEX(Section_Master!$F$2:$F$477,MATCH($E589,Section_Master!$A$2:$A$477,0))&amp;"","")</f>
        <v>No</v>
      </c>
      <c r="I589" s="10" t="str">
        <f aca="false">IFERROR(INDEX(Section_Master!$G$2:$G$477,MATCH($E589,Section_Master!$A$2:$A$477,0))&amp;"","")</f>
        <v>No</v>
      </c>
      <c r="J589" s="10" t="s">
        <v>64</v>
      </c>
      <c r="K589" s="8" t="s">
        <v>1411</v>
      </c>
    </row>
    <row r="590" customFormat="false" ht="34.5" hidden="false" customHeight="true" outlineLevel="0" collapsed="false">
      <c r="A590" s="10" t="s">
        <v>1422</v>
      </c>
      <c r="B590" s="10" t="s">
        <v>45</v>
      </c>
      <c r="C590" s="8" t="s">
        <v>1423</v>
      </c>
      <c r="D590" s="8" t="s">
        <v>1424</v>
      </c>
      <c r="E590" s="11" t="n">
        <v>99</v>
      </c>
      <c r="F590" s="8" t="str">
        <f aca="false">IFERROR(INDEX(Section_Master!$D$2:$D$477,MATCH($E590,Section_Master!$A$2:$A$477,0))&amp;"","")</f>
        <v>Rigorous imprisonment not less than 7 years, may extend to 14 years, and fine</v>
      </c>
      <c r="G590" s="10" t="str">
        <f aca="false">IFERROR(INDEX(Section_Master!$E$2:$E$477,MATCH($E590,Section_Master!$A$2:$A$477,0))&amp;"","")</f>
        <v>Yes</v>
      </c>
      <c r="H590" s="10" t="str">
        <f aca="false">IFERROR(INDEX(Section_Master!$F$2:$F$477,MATCH($E590,Section_Master!$A$2:$A$477,0))&amp;"","")</f>
        <v>No</v>
      </c>
      <c r="I590" s="10" t="str">
        <f aca="false">IFERROR(INDEX(Section_Master!$G$2:$G$477,MATCH($E590,Section_Master!$A$2:$A$477,0))&amp;"","")</f>
        <v>No</v>
      </c>
      <c r="J590" s="10" t="s">
        <v>48</v>
      </c>
      <c r="K590" s="8" t="s">
        <v>1425</v>
      </c>
    </row>
    <row r="591" customFormat="false" ht="34.5" hidden="false" customHeight="true" outlineLevel="0" collapsed="false">
      <c r="A591" s="10" t="s">
        <v>1426</v>
      </c>
      <c r="B591" s="10" t="s">
        <v>45</v>
      </c>
      <c r="C591" s="8" t="s">
        <v>1423</v>
      </c>
      <c r="D591" s="8" t="s">
        <v>1427</v>
      </c>
      <c r="E591" s="11" t="n">
        <v>99</v>
      </c>
      <c r="F591" s="8" t="str">
        <f aca="false">IFERROR(INDEX(Section_Master!$D$2:$D$477,MATCH($E591,Section_Master!$A$2:$A$477,0))&amp;"","")</f>
        <v>Rigorous imprisonment not less than 7 years, may extend to 14 years, and fine</v>
      </c>
      <c r="G591" s="10" t="str">
        <f aca="false">IFERROR(INDEX(Section_Master!$E$2:$E$477,MATCH($E591,Section_Master!$A$2:$A$477,0))&amp;"","")</f>
        <v>Yes</v>
      </c>
      <c r="H591" s="10" t="str">
        <f aca="false">IFERROR(INDEX(Section_Master!$F$2:$F$477,MATCH($E591,Section_Master!$A$2:$A$477,0))&amp;"","")</f>
        <v>No</v>
      </c>
      <c r="I591" s="10" t="str">
        <f aca="false">IFERROR(INDEX(Section_Master!$G$2:$G$477,MATCH($E591,Section_Master!$A$2:$A$477,0))&amp;"","")</f>
        <v>No</v>
      </c>
      <c r="J591" s="10" t="s">
        <v>52</v>
      </c>
      <c r="K591" s="8" t="s">
        <v>1425</v>
      </c>
    </row>
    <row r="592" customFormat="false" ht="34.5" hidden="false" customHeight="true" outlineLevel="0" collapsed="false">
      <c r="A592" s="10" t="s">
        <v>1428</v>
      </c>
      <c r="B592" s="10" t="s">
        <v>45</v>
      </c>
      <c r="C592" s="8" t="s">
        <v>1423</v>
      </c>
      <c r="D592" s="8" t="s">
        <v>1429</v>
      </c>
      <c r="E592" s="11" t="n">
        <v>99</v>
      </c>
      <c r="F592" s="8" t="str">
        <f aca="false">IFERROR(INDEX(Section_Master!$D$2:$D$477,MATCH($E592,Section_Master!$A$2:$A$477,0))&amp;"","")</f>
        <v>Rigorous imprisonment not less than 7 years, may extend to 14 years, and fine</v>
      </c>
      <c r="G592" s="10" t="str">
        <f aca="false">IFERROR(INDEX(Section_Master!$E$2:$E$477,MATCH($E592,Section_Master!$A$2:$A$477,0))&amp;"","")</f>
        <v>Yes</v>
      </c>
      <c r="H592" s="10" t="str">
        <f aca="false">IFERROR(INDEX(Section_Master!$F$2:$F$477,MATCH($E592,Section_Master!$A$2:$A$477,0))&amp;"","")</f>
        <v>No</v>
      </c>
      <c r="I592" s="10" t="str">
        <f aca="false">IFERROR(INDEX(Section_Master!$G$2:$G$477,MATCH($E592,Section_Master!$A$2:$A$477,0))&amp;"","")</f>
        <v>No</v>
      </c>
      <c r="J592" s="10" t="s">
        <v>55</v>
      </c>
      <c r="K592" s="8" t="s">
        <v>1425</v>
      </c>
    </row>
    <row r="593" customFormat="false" ht="34.5" hidden="false" customHeight="true" outlineLevel="0" collapsed="false">
      <c r="A593" s="10" t="s">
        <v>1430</v>
      </c>
      <c r="B593" s="10" t="s">
        <v>45</v>
      </c>
      <c r="C593" s="8" t="s">
        <v>1423</v>
      </c>
      <c r="D593" s="8" t="s">
        <v>1431</v>
      </c>
      <c r="E593" s="11" t="n">
        <v>99</v>
      </c>
      <c r="F593" s="8" t="str">
        <f aca="false">IFERROR(INDEX(Section_Master!$D$2:$D$477,MATCH($E593,Section_Master!$A$2:$A$477,0))&amp;"","")</f>
        <v>Rigorous imprisonment not less than 7 years, may extend to 14 years, and fine</v>
      </c>
      <c r="G593" s="10" t="str">
        <f aca="false">IFERROR(INDEX(Section_Master!$E$2:$E$477,MATCH($E593,Section_Master!$A$2:$A$477,0))&amp;"","")</f>
        <v>Yes</v>
      </c>
      <c r="H593" s="10" t="str">
        <f aca="false">IFERROR(INDEX(Section_Master!$F$2:$F$477,MATCH($E593,Section_Master!$A$2:$A$477,0))&amp;"","")</f>
        <v>No</v>
      </c>
      <c r="I593" s="10" t="str">
        <f aca="false">IFERROR(INDEX(Section_Master!$G$2:$G$477,MATCH($E593,Section_Master!$A$2:$A$477,0))&amp;"","")</f>
        <v>No</v>
      </c>
      <c r="J593" s="10" t="s">
        <v>58</v>
      </c>
      <c r="K593" s="8" t="s">
        <v>1425</v>
      </c>
    </row>
    <row r="594" customFormat="false" ht="34.5" hidden="false" customHeight="true" outlineLevel="0" collapsed="false">
      <c r="A594" s="10" t="s">
        <v>1432</v>
      </c>
      <c r="B594" s="10" t="s">
        <v>45</v>
      </c>
      <c r="C594" s="8" t="s">
        <v>1423</v>
      </c>
      <c r="D594" s="8" t="s">
        <v>1433</v>
      </c>
      <c r="E594" s="11" t="n">
        <v>99</v>
      </c>
      <c r="F594" s="8" t="str">
        <f aca="false">IFERROR(INDEX(Section_Master!$D$2:$D$477,MATCH($E594,Section_Master!$A$2:$A$477,0))&amp;"","")</f>
        <v>Rigorous imprisonment not less than 7 years, may extend to 14 years, and fine</v>
      </c>
      <c r="G594" s="10" t="str">
        <f aca="false">IFERROR(INDEX(Section_Master!$E$2:$E$477,MATCH($E594,Section_Master!$A$2:$A$477,0))&amp;"","")</f>
        <v>Yes</v>
      </c>
      <c r="H594" s="10" t="str">
        <f aca="false">IFERROR(INDEX(Section_Master!$F$2:$F$477,MATCH($E594,Section_Master!$A$2:$A$477,0))&amp;"","")</f>
        <v>No</v>
      </c>
      <c r="I594" s="10" t="str">
        <f aca="false">IFERROR(INDEX(Section_Master!$G$2:$G$477,MATCH($E594,Section_Master!$A$2:$A$477,0))&amp;"","")</f>
        <v>No</v>
      </c>
      <c r="J594" s="10" t="s">
        <v>61</v>
      </c>
      <c r="K594" s="8" t="s">
        <v>1425</v>
      </c>
    </row>
    <row r="595" customFormat="false" ht="34.5" hidden="false" customHeight="true" outlineLevel="0" collapsed="false">
      <c r="A595" s="10" t="s">
        <v>1434</v>
      </c>
      <c r="B595" s="10" t="s">
        <v>45</v>
      </c>
      <c r="C595" s="8" t="s">
        <v>1423</v>
      </c>
      <c r="D595" s="8" t="s">
        <v>1435</v>
      </c>
      <c r="E595" s="11" t="n">
        <v>99</v>
      </c>
      <c r="F595" s="8" t="str">
        <f aca="false">IFERROR(INDEX(Section_Master!$D$2:$D$477,MATCH($E595,Section_Master!$A$2:$A$477,0))&amp;"","")</f>
        <v>Rigorous imprisonment not less than 7 years, may extend to 14 years, and fine</v>
      </c>
      <c r="G595" s="10" t="str">
        <f aca="false">IFERROR(INDEX(Section_Master!$E$2:$E$477,MATCH($E595,Section_Master!$A$2:$A$477,0))&amp;"","")</f>
        <v>Yes</v>
      </c>
      <c r="H595" s="10" t="str">
        <f aca="false">IFERROR(INDEX(Section_Master!$F$2:$F$477,MATCH($E595,Section_Master!$A$2:$A$477,0))&amp;"","")</f>
        <v>No</v>
      </c>
      <c r="I595" s="10" t="str">
        <f aca="false">IFERROR(INDEX(Section_Master!$G$2:$G$477,MATCH($E595,Section_Master!$A$2:$A$477,0))&amp;"","")</f>
        <v>No</v>
      </c>
      <c r="J595" s="10" t="s">
        <v>64</v>
      </c>
      <c r="K595" s="8" t="s">
        <v>1425</v>
      </c>
    </row>
    <row r="596" customFormat="false" ht="34.5" hidden="false" customHeight="true" outlineLevel="0" collapsed="false">
      <c r="A596" s="10" t="s">
        <v>1436</v>
      </c>
      <c r="B596" s="10" t="s">
        <v>45</v>
      </c>
      <c r="C596" s="8" t="s">
        <v>1437</v>
      </c>
      <c r="D596" s="8" t="s">
        <v>1438</v>
      </c>
      <c r="E596" s="11" t="n">
        <v>100</v>
      </c>
      <c r="F596" s="8" t="str">
        <f aca="false">IFERROR(INDEX(Section_Master!$D$2:$D$477,MATCH($E596,Section_Master!$A$2:$A$477,0))&amp;"","")</f>
        <v>Not applicable - no offence or penalty defined here (definition, exception or general provision)</v>
      </c>
      <c r="G596" s="10" t="str">
        <f aca="false">IFERROR(INDEX(Section_Master!$E$2:$E$477,MATCH($E596,Section_Master!$A$2:$A$477,0))&amp;"","")</f>
        <v>N/A</v>
      </c>
      <c r="H596" s="10" t="str">
        <f aca="false">IFERROR(INDEX(Section_Master!$F$2:$F$477,MATCH($E596,Section_Master!$A$2:$A$477,0))&amp;"","")</f>
        <v>N/A</v>
      </c>
      <c r="I596" s="10" t="str">
        <f aca="false">IFERROR(INDEX(Section_Master!$G$2:$G$477,MATCH($E596,Section_Master!$A$2:$A$477,0))&amp;"","")</f>
        <v>N/A</v>
      </c>
      <c r="J596" s="10" t="s">
        <v>48</v>
      </c>
      <c r="K596" s="8" t="s">
        <v>1439</v>
      </c>
    </row>
    <row r="597" customFormat="false" ht="34.5" hidden="false" customHeight="true" outlineLevel="0" collapsed="false">
      <c r="A597" s="10" t="s">
        <v>1440</v>
      </c>
      <c r="B597" s="10" t="s">
        <v>45</v>
      </c>
      <c r="C597" s="8" t="s">
        <v>1437</v>
      </c>
      <c r="D597" s="8" t="s">
        <v>1441</v>
      </c>
      <c r="E597" s="11" t="n">
        <v>100</v>
      </c>
      <c r="F597" s="8" t="str">
        <f aca="false">IFERROR(INDEX(Section_Master!$D$2:$D$477,MATCH($E597,Section_Master!$A$2:$A$477,0))&amp;"","")</f>
        <v>Not applicable - no offence or penalty defined here (definition, exception or general provision)</v>
      </c>
      <c r="G597" s="10" t="str">
        <f aca="false">IFERROR(INDEX(Section_Master!$E$2:$E$477,MATCH($E597,Section_Master!$A$2:$A$477,0))&amp;"","")</f>
        <v>N/A</v>
      </c>
      <c r="H597" s="10" t="str">
        <f aca="false">IFERROR(INDEX(Section_Master!$F$2:$F$477,MATCH($E597,Section_Master!$A$2:$A$477,0))&amp;"","")</f>
        <v>N/A</v>
      </c>
      <c r="I597" s="10" t="str">
        <f aca="false">IFERROR(INDEX(Section_Master!$G$2:$G$477,MATCH($E597,Section_Master!$A$2:$A$477,0))&amp;"","")</f>
        <v>N/A</v>
      </c>
      <c r="J597" s="10" t="s">
        <v>52</v>
      </c>
      <c r="K597" s="8" t="s">
        <v>1439</v>
      </c>
    </row>
    <row r="598" customFormat="false" ht="34.5" hidden="false" customHeight="true" outlineLevel="0" collapsed="false">
      <c r="A598" s="10" t="s">
        <v>1442</v>
      </c>
      <c r="B598" s="10" t="s">
        <v>45</v>
      </c>
      <c r="C598" s="8" t="s">
        <v>1437</v>
      </c>
      <c r="D598" s="8" t="s">
        <v>1443</v>
      </c>
      <c r="E598" s="11" t="n">
        <v>100</v>
      </c>
      <c r="F598" s="8" t="str">
        <f aca="false">IFERROR(INDEX(Section_Master!$D$2:$D$477,MATCH($E598,Section_Master!$A$2:$A$477,0))&amp;"","")</f>
        <v>Not applicable - no offence or penalty defined here (definition, exception or general provision)</v>
      </c>
      <c r="G598" s="10" t="str">
        <f aca="false">IFERROR(INDEX(Section_Master!$E$2:$E$477,MATCH($E598,Section_Master!$A$2:$A$477,0))&amp;"","")</f>
        <v>N/A</v>
      </c>
      <c r="H598" s="10" t="str">
        <f aca="false">IFERROR(INDEX(Section_Master!$F$2:$F$477,MATCH($E598,Section_Master!$A$2:$A$477,0))&amp;"","")</f>
        <v>N/A</v>
      </c>
      <c r="I598" s="10" t="str">
        <f aca="false">IFERROR(INDEX(Section_Master!$G$2:$G$477,MATCH($E598,Section_Master!$A$2:$A$477,0))&amp;"","")</f>
        <v>N/A</v>
      </c>
      <c r="J598" s="10" t="s">
        <v>55</v>
      </c>
      <c r="K598" s="8" t="s">
        <v>1439</v>
      </c>
    </row>
    <row r="599" customFormat="false" ht="34.5" hidden="false" customHeight="true" outlineLevel="0" collapsed="false">
      <c r="A599" s="10" t="s">
        <v>1444</v>
      </c>
      <c r="B599" s="10" t="s">
        <v>45</v>
      </c>
      <c r="C599" s="8" t="s">
        <v>1437</v>
      </c>
      <c r="D599" s="8" t="s">
        <v>1445</v>
      </c>
      <c r="E599" s="11" t="n">
        <v>100</v>
      </c>
      <c r="F599" s="8" t="str">
        <f aca="false">IFERROR(INDEX(Section_Master!$D$2:$D$477,MATCH($E599,Section_Master!$A$2:$A$477,0))&amp;"","")</f>
        <v>Not applicable - no offence or penalty defined here (definition, exception or general provision)</v>
      </c>
      <c r="G599" s="10" t="str">
        <f aca="false">IFERROR(INDEX(Section_Master!$E$2:$E$477,MATCH($E599,Section_Master!$A$2:$A$477,0))&amp;"","")</f>
        <v>N/A</v>
      </c>
      <c r="H599" s="10" t="str">
        <f aca="false">IFERROR(INDEX(Section_Master!$F$2:$F$477,MATCH($E599,Section_Master!$A$2:$A$477,0))&amp;"","")</f>
        <v>N/A</v>
      </c>
      <c r="I599" s="10" t="str">
        <f aca="false">IFERROR(INDEX(Section_Master!$G$2:$G$477,MATCH($E599,Section_Master!$A$2:$A$477,0))&amp;"","")</f>
        <v>N/A</v>
      </c>
      <c r="J599" s="10" t="s">
        <v>58</v>
      </c>
      <c r="K599" s="8" t="s">
        <v>1439</v>
      </c>
    </row>
    <row r="600" customFormat="false" ht="34.5" hidden="false" customHeight="true" outlineLevel="0" collapsed="false">
      <c r="A600" s="10" t="s">
        <v>1446</v>
      </c>
      <c r="B600" s="10" t="s">
        <v>45</v>
      </c>
      <c r="C600" s="8" t="s">
        <v>1437</v>
      </c>
      <c r="D600" s="8" t="s">
        <v>1447</v>
      </c>
      <c r="E600" s="11" t="n">
        <v>100</v>
      </c>
      <c r="F600" s="8" t="str">
        <f aca="false">IFERROR(INDEX(Section_Master!$D$2:$D$477,MATCH($E600,Section_Master!$A$2:$A$477,0))&amp;"","")</f>
        <v>Not applicable - no offence or penalty defined here (definition, exception or general provision)</v>
      </c>
      <c r="G600" s="10" t="str">
        <f aca="false">IFERROR(INDEX(Section_Master!$E$2:$E$477,MATCH($E600,Section_Master!$A$2:$A$477,0))&amp;"","")</f>
        <v>N/A</v>
      </c>
      <c r="H600" s="10" t="str">
        <f aca="false">IFERROR(INDEX(Section_Master!$F$2:$F$477,MATCH($E600,Section_Master!$A$2:$A$477,0))&amp;"","")</f>
        <v>N/A</v>
      </c>
      <c r="I600" s="10" t="str">
        <f aca="false">IFERROR(INDEX(Section_Master!$G$2:$G$477,MATCH($E600,Section_Master!$A$2:$A$477,0))&amp;"","")</f>
        <v>N/A</v>
      </c>
      <c r="J600" s="10" t="s">
        <v>61</v>
      </c>
      <c r="K600" s="8" t="s">
        <v>1439</v>
      </c>
    </row>
    <row r="601" customFormat="false" ht="34.5" hidden="false" customHeight="true" outlineLevel="0" collapsed="false">
      <c r="A601" s="10" t="s">
        <v>1448</v>
      </c>
      <c r="B601" s="10" t="s">
        <v>45</v>
      </c>
      <c r="C601" s="8" t="s">
        <v>1437</v>
      </c>
      <c r="D601" s="8" t="s">
        <v>1449</v>
      </c>
      <c r="E601" s="11" t="n">
        <v>100</v>
      </c>
      <c r="F601" s="8" t="str">
        <f aca="false">IFERROR(INDEX(Section_Master!$D$2:$D$477,MATCH($E601,Section_Master!$A$2:$A$477,0))&amp;"","")</f>
        <v>Not applicable - no offence or penalty defined here (definition, exception or general provision)</v>
      </c>
      <c r="G601" s="10" t="str">
        <f aca="false">IFERROR(INDEX(Section_Master!$E$2:$E$477,MATCH($E601,Section_Master!$A$2:$A$477,0))&amp;"","")</f>
        <v>N/A</v>
      </c>
      <c r="H601" s="10" t="str">
        <f aca="false">IFERROR(INDEX(Section_Master!$F$2:$F$477,MATCH($E601,Section_Master!$A$2:$A$477,0))&amp;"","")</f>
        <v>N/A</v>
      </c>
      <c r="I601" s="10" t="str">
        <f aca="false">IFERROR(INDEX(Section_Master!$G$2:$G$477,MATCH($E601,Section_Master!$A$2:$A$477,0))&amp;"","")</f>
        <v>N/A</v>
      </c>
      <c r="J601" s="10" t="s">
        <v>64</v>
      </c>
      <c r="K601" s="8" t="s">
        <v>1439</v>
      </c>
    </row>
    <row r="602" customFormat="false" ht="34.5" hidden="false" customHeight="true" outlineLevel="0" collapsed="false">
      <c r="A602" s="10" t="s">
        <v>1450</v>
      </c>
      <c r="B602" s="10" t="s">
        <v>45</v>
      </c>
      <c r="C602" s="8" t="s">
        <v>1451</v>
      </c>
      <c r="D602" s="8" t="s">
        <v>1452</v>
      </c>
      <c r="E602" s="11" t="n">
        <v>101</v>
      </c>
      <c r="F602" s="8" t="str">
        <f aca="false">IFERROR(INDEX(Section_Master!$D$2:$D$477,MATCH($E602,Section_Master!$A$2:$A$477,0))&amp;"","")</f>
        <v>Not applicable - no offence or penalty defined here (definition, exception or general provision)</v>
      </c>
      <c r="G602" s="10" t="str">
        <f aca="false">IFERROR(INDEX(Section_Master!$E$2:$E$477,MATCH($E602,Section_Master!$A$2:$A$477,0))&amp;"","")</f>
        <v>N/A</v>
      </c>
      <c r="H602" s="10" t="str">
        <f aca="false">IFERROR(INDEX(Section_Master!$F$2:$F$477,MATCH($E602,Section_Master!$A$2:$A$477,0))&amp;"","")</f>
        <v>N/A</v>
      </c>
      <c r="I602" s="10" t="str">
        <f aca="false">IFERROR(INDEX(Section_Master!$G$2:$G$477,MATCH($E602,Section_Master!$A$2:$A$477,0))&amp;"","")</f>
        <v>N/A</v>
      </c>
      <c r="J602" s="10" t="s">
        <v>48</v>
      </c>
      <c r="K602" s="8" t="s">
        <v>1453</v>
      </c>
    </row>
    <row r="603" customFormat="false" ht="45.75" hidden="false" customHeight="true" outlineLevel="0" collapsed="false">
      <c r="A603" s="10" t="s">
        <v>1454</v>
      </c>
      <c r="B603" s="10" t="s">
        <v>45</v>
      </c>
      <c r="C603" s="8" t="s">
        <v>1451</v>
      </c>
      <c r="D603" s="8" t="s">
        <v>1455</v>
      </c>
      <c r="E603" s="11" t="n">
        <v>101</v>
      </c>
      <c r="F603" s="8" t="str">
        <f aca="false">IFERROR(INDEX(Section_Master!$D$2:$D$477,MATCH($E603,Section_Master!$A$2:$A$477,0))&amp;"","")</f>
        <v>Not applicable - no offence or penalty defined here (definition, exception or general provision)</v>
      </c>
      <c r="G603" s="10" t="str">
        <f aca="false">IFERROR(INDEX(Section_Master!$E$2:$E$477,MATCH($E603,Section_Master!$A$2:$A$477,0))&amp;"","")</f>
        <v>N/A</v>
      </c>
      <c r="H603" s="10" t="str">
        <f aca="false">IFERROR(INDEX(Section_Master!$F$2:$F$477,MATCH($E603,Section_Master!$A$2:$A$477,0))&amp;"","")</f>
        <v>N/A</v>
      </c>
      <c r="I603" s="10" t="str">
        <f aca="false">IFERROR(INDEX(Section_Master!$G$2:$G$477,MATCH($E603,Section_Master!$A$2:$A$477,0))&amp;"","")</f>
        <v>N/A</v>
      </c>
      <c r="J603" s="10" t="s">
        <v>52</v>
      </c>
      <c r="K603" s="8" t="s">
        <v>1453</v>
      </c>
    </row>
    <row r="604" customFormat="false" ht="34.5" hidden="false" customHeight="true" outlineLevel="0" collapsed="false">
      <c r="A604" s="10" t="s">
        <v>1456</v>
      </c>
      <c r="B604" s="10" t="s">
        <v>45</v>
      </c>
      <c r="C604" s="8" t="s">
        <v>1451</v>
      </c>
      <c r="D604" s="8" t="s">
        <v>1457</v>
      </c>
      <c r="E604" s="11" t="n">
        <v>101</v>
      </c>
      <c r="F604" s="8" t="str">
        <f aca="false">IFERROR(INDEX(Section_Master!$D$2:$D$477,MATCH($E604,Section_Master!$A$2:$A$477,0))&amp;"","")</f>
        <v>Not applicable - no offence or penalty defined here (definition, exception or general provision)</v>
      </c>
      <c r="G604" s="10" t="str">
        <f aca="false">IFERROR(INDEX(Section_Master!$E$2:$E$477,MATCH($E604,Section_Master!$A$2:$A$477,0))&amp;"","")</f>
        <v>N/A</v>
      </c>
      <c r="H604" s="10" t="str">
        <f aca="false">IFERROR(INDEX(Section_Master!$F$2:$F$477,MATCH($E604,Section_Master!$A$2:$A$477,0))&amp;"","")</f>
        <v>N/A</v>
      </c>
      <c r="I604" s="10" t="str">
        <f aca="false">IFERROR(INDEX(Section_Master!$G$2:$G$477,MATCH($E604,Section_Master!$A$2:$A$477,0))&amp;"","")</f>
        <v>N/A</v>
      </c>
      <c r="J604" s="10" t="s">
        <v>55</v>
      </c>
      <c r="K604" s="8" t="s">
        <v>1453</v>
      </c>
    </row>
    <row r="605" customFormat="false" ht="34.5" hidden="false" customHeight="true" outlineLevel="0" collapsed="false">
      <c r="A605" s="10" t="s">
        <v>1458</v>
      </c>
      <c r="B605" s="10" t="s">
        <v>45</v>
      </c>
      <c r="C605" s="8" t="s">
        <v>1451</v>
      </c>
      <c r="D605" s="8" t="s">
        <v>1459</v>
      </c>
      <c r="E605" s="11" t="n">
        <v>101</v>
      </c>
      <c r="F605" s="8" t="str">
        <f aca="false">IFERROR(INDEX(Section_Master!$D$2:$D$477,MATCH($E605,Section_Master!$A$2:$A$477,0))&amp;"","")</f>
        <v>Not applicable - no offence or penalty defined here (definition, exception or general provision)</v>
      </c>
      <c r="G605" s="10" t="str">
        <f aca="false">IFERROR(INDEX(Section_Master!$E$2:$E$477,MATCH($E605,Section_Master!$A$2:$A$477,0))&amp;"","")</f>
        <v>N/A</v>
      </c>
      <c r="H605" s="10" t="str">
        <f aca="false">IFERROR(INDEX(Section_Master!$F$2:$F$477,MATCH($E605,Section_Master!$A$2:$A$477,0))&amp;"","")</f>
        <v>N/A</v>
      </c>
      <c r="I605" s="10" t="str">
        <f aca="false">IFERROR(INDEX(Section_Master!$G$2:$G$477,MATCH($E605,Section_Master!$A$2:$A$477,0))&amp;"","")</f>
        <v>N/A</v>
      </c>
      <c r="J605" s="10" t="s">
        <v>58</v>
      </c>
      <c r="K605" s="8" t="s">
        <v>1453</v>
      </c>
    </row>
    <row r="606" customFormat="false" ht="34.5" hidden="false" customHeight="true" outlineLevel="0" collapsed="false">
      <c r="A606" s="10" t="s">
        <v>1460</v>
      </c>
      <c r="B606" s="10" t="s">
        <v>45</v>
      </c>
      <c r="C606" s="8" t="s">
        <v>1451</v>
      </c>
      <c r="D606" s="8" t="s">
        <v>1461</v>
      </c>
      <c r="E606" s="11" t="n">
        <v>101</v>
      </c>
      <c r="F606" s="8" t="str">
        <f aca="false">IFERROR(INDEX(Section_Master!$D$2:$D$477,MATCH($E606,Section_Master!$A$2:$A$477,0))&amp;"","")</f>
        <v>Not applicable - no offence or penalty defined here (definition, exception or general provision)</v>
      </c>
      <c r="G606" s="10" t="str">
        <f aca="false">IFERROR(INDEX(Section_Master!$E$2:$E$477,MATCH($E606,Section_Master!$A$2:$A$477,0))&amp;"","")</f>
        <v>N/A</v>
      </c>
      <c r="H606" s="10" t="str">
        <f aca="false">IFERROR(INDEX(Section_Master!$F$2:$F$477,MATCH($E606,Section_Master!$A$2:$A$477,0))&amp;"","")</f>
        <v>N/A</v>
      </c>
      <c r="I606" s="10" t="str">
        <f aca="false">IFERROR(INDEX(Section_Master!$G$2:$G$477,MATCH($E606,Section_Master!$A$2:$A$477,0))&amp;"","")</f>
        <v>N/A</v>
      </c>
      <c r="J606" s="10" t="s">
        <v>61</v>
      </c>
      <c r="K606" s="8" t="s">
        <v>1453</v>
      </c>
    </row>
    <row r="607" customFormat="false" ht="34.5" hidden="false" customHeight="true" outlineLevel="0" collapsed="false">
      <c r="A607" s="10" t="s">
        <v>1462</v>
      </c>
      <c r="B607" s="10" t="s">
        <v>45</v>
      </c>
      <c r="C607" s="8" t="s">
        <v>1451</v>
      </c>
      <c r="D607" s="8" t="s">
        <v>1463</v>
      </c>
      <c r="E607" s="11" t="n">
        <v>101</v>
      </c>
      <c r="F607" s="8" t="str">
        <f aca="false">IFERROR(INDEX(Section_Master!$D$2:$D$477,MATCH($E607,Section_Master!$A$2:$A$477,0))&amp;"","")</f>
        <v>Not applicable - no offence or penalty defined here (definition, exception or general provision)</v>
      </c>
      <c r="G607" s="10" t="str">
        <f aca="false">IFERROR(INDEX(Section_Master!$E$2:$E$477,MATCH($E607,Section_Master!$A$2:$A$477,0))&amp;"","")</f>
        <v>N/A</v>
      </c>
      <c r="H607" s="10" t="str">
        <f aca="false">IFERROR(INDEX(Section_Master!$F$2:$F$477,MATCH($E607,Section_Master!$A$2:$A$477,0))&amp;"","")</f>
        <v>N/A</v>
      </c>
      <c r="I607" s="10" t="str">
        <f aca="false">IFERROR(INDEX(Section_Master!$G$2:$G$477,MATCH($E607,Section_Master!$A$2:$A$477,0))&amp;"","")</f>
        <v>N/A</v>
      </c>
      <c r="J607" s="10" t="s">
        <v>64</v>
      </c>
      <c r="K607" s="8" t="s">
        <v>1453</v>
      </c>
    </row>
    <row r="608" customFormat="false" ht="34.5" hidden="false" customHeight="true" outlineLevel="0" collapsed="false">
      <c r="A608" s="10" t="s">
        <v>1464</v>
      </c>
      <c r="B608" s="10" t="s">
        <v>45</v>
      </c>
      <c r="C608" s="8" t="s">
        <v>1465</v>
      </c>
      <c r="D608" s="8" t="s">
        <v>1466</v>
      </c>
      <c r="E608" s="11" t="n">
        <v>102</v>
      </c>
      <c r="F608" s="8" t="str">
        <f aca="false">IFERROR(INDEX(Section_Master!$D$2:$D$477,MATCH($E608,Section_Master!$A$2:$A$477,0))&amp;"","")</f>
        <v>Same punishment as if the death of the intended person had been caused (murder or culpable homicide) [s.102]</v>
      </c>
      <c r="G608" s="10" t="str">
        <f aca="false">IFERROR(INDEX(Section_Master!$E$2:$E$477,MATCH($E608,Section_Master!$A$2:$A$477,0))&amp;"","")</f>
        <v>Yes</v>
      </c>
      <c r="H608" s="10" t="str">
        <f aca="false">IFERROR(INDEX(Section_Master!$F$2:$F$477,MATCH($E608,Section_Master!$A$2:$A$477,0))&amp;"","")</f>
        <v>No</v>
      </c>
      <c r="I608" s="10" t="str">
        <f aca="false">IFERROR(INDEX(Section_Master!$G$2:$G$477,MATCH($E608,Section_Master!$A$2:$A$477,0))&amp;"","")</f>
        <v>No</v>
      </c>
      <c r="J608" s="10" t="s">
        <v>48</v>
      </c>
      <c r="K608" s="8" t="s">
        <v>1467</v>
      </c>
    </row>
    <row r="609" customFormat="false" ht="34.5" hidden="false" customHeight="true" outlineLevel="0" collapsed="false">
      <c r="A609" s="10" t="s">
        <v>1468</v>
      </c>
      <c r="B609" s="10" t="s">
        <v>45</v>
      </c>
      <c r="C609" s="8" t="s">
        <v>1465</v>
      </c>
      <c r="D609" s="8" t="s">
        <v>1469</v>
      </c>
      <c r="E609" s="11" t="n">
        <v>102</v>
      </c>
      <c r="F609" s="8" t="str">
        <f aca="false">IFERROR(INDEX(Section_Master!$D$2:$D$477,MATCH($E609,Section_Master!$A$2:$A$477,0))&amp;"","")</f>
        <v>Same punishment as if the death of the intended person had been caused (murder or culpable homicide) [s.102]</v>
      </c>
      <c r="G609" s="10" t="str">
        <f aca="false">IFERROR(INDEX(Section_Master!$E$2:$E$477,MATCH($E609,Section_Master!$A$2:$A$477,0))&amp;"","")</f>
        <v>Yes</v>
      </c>
      <c r="H609" s="10" t="str">
        <f aca="false">IFERROR(INDEX(Section_Master!$F$2:$F$477,MATCH($E609,Section_Master!$A$2:$A$477,0))&amp;"","")</f>
        <v>No</v>
      </c>
      <c r="I609" s="10" t="str">
        <f aca="false">IFERROR(INDEX(Section_Master!$G$2:$G$477,MATCH($E609,Section_Master!$A$2:$A$477,0))&amp;"","")</f>
        <v>No</v>
      </c>
      <c r="J609" s="10" t="s">
        <v>52</v>
      </c>
      <c r="K609" s="8" t="s">
        <v>1467</v>
      </c>
    </row>
    <row r="610" customFormat="false" ht="34.5" hidden="false" customHeight="true" outlineLevel="0" collapsed="false">
      <c r="A610" s="10" t="s">
        <v>1470</v>
      </c>
      <c r="B610" s="10" t="s">
        <v>45</v>
      </c>
      <c r="C610" s="8" t="s">
        <v>1465</v>
      </c>
      <c r="D610" s="8" t="s">
        <v>1471</v>
      </c>
      <c r="E610" s="11" t="n">
        <v>102</v>
      </c>
      <c r="F610" s="8" t="str">
        <f aca="false">IFERROR(INDEX(Section_Master!$D$2:$D$477,MATCH($E610,Section_Master!$A$2:$A$477,0))&amp;"","")</f>
        <v>Same punishment as if the death of the intended person had been caused (murder or culpable homicide) [s.102]</v>
      </c>
      <c r="G610" s="10" t="str">
        <f aca="false">IFERROR(INDEX(Section_Master!$E$2:$E$477,MATCH($E610,Section_Master!$A$2:$A$477,0))&amp;"","")</f>
        <v>Yes</v>
      </c>
      <c r="H610" s="10" t="str">
        <f aca="false">IFERROR(INDEX(Section_Master!$F$2:$F$477,MATCH($E610,Section_Master!$A$2:$A$477,0))&amp;"","")</f>
        <v>No</v>
      </c>
      <c r="I610" s="10" t="str">
        <f aca="false">IFERROR(INDEX(Section_Master!$G$2:$G$477,MATCH($E610,Section_Master!$A$2:$A$477,0))&amp;"","")</f>
        <v>No</v>
      </c>
      <c r="J610" s="10" t="s">
        <v>55</v>
      </c>
      <c r="K610" s="8" t="s">
        <v>1467</v>
      </c>
    </row>
    <row r="611" customFormat="false" ht="34.5" hidden="false" customHeight="true" outlineLevel="0" collapsed="false">
      <c r="A611" s="10" t="s">
        <v>1472</v>
      </c>
      <c r="B611" s="10" t="s">
        <v>45</v>
      </c>
      <c r="C611" s="8" t="s">
        <v>1465</v>
      </c>
      <c r="D611" s="8" t="s">
        <v>1473</v>
      </c>
      <c r="E611" s="11" t="n">
        <v>102</v>
      </c>
      <c r="F611" s="8" t="str">
        <f aca="false">IFERROR(INDEX(Section_Master!$D$2:$D$477,MATCH($E611,Section_Master!$A$2:$A$477,0))&amp;"","")</f>
        <v>Same punishment as if the death of the intended person had been caused (murder or culpable homicide) [s.102]</v>
      </c>
      <c r="G611" s="10" t="str">
        <f aca="false">IFERROR(INDEX(Section_Master!$E$2:$E$477,MATCH($E611,Section_Master!$A$2:$A$477,0))&amp;"","")</f>
        <v>Yes</v>
      </c>
      <c r="H611" s="10" t="str">
        <f aca="false">IFERROR(INDEX(Section_Master!$F$2:$F$477,MATCH($E611,Section_Master!$A$2:$A$477,0))&amp;"","")</f>
        <v>No</v>
      </c>
      <c r="I611" s="10" t="str">
        <f aca="false">IFERROR(INDEX(Section_Master!$G$2:$G$477,MATCH($E611,Section_Master!$A$2:$A$477,0))&amp;"","")</f>
        <v>No</v>
      </c>
      <c r="J611" s="10" t="s">
        <v>58</v>
      </c>
      <c r="K611" s="8" t="s">
        <v>1467</v>
      </c>
    </row>
    <row r="612" customFormat="false" ht="34.5" hidden="false" customHeight="true" outlineLevel="0" collapsed="false">
      <c r="A612" s="10" t="s">
        <v>1474</v>
      </c>
      <c r="B612" s="10" t="s">
        <v>45</v>
      </c>
      <c r="C612" s="8" t="s">
        <v>1465</v>
      </c>
      <c r="D612" s="8" t="s">
        <v>1475</v>
      </c>
      <c r="E612" s="11" t="n">
        <v>102</v>
      </c>
      <c r="F612" s="8" t="str">
        <f aca="false">IFERROR(INDEX(Section_Master!$D$2:$D$477,MATCH($E612,Section_Master!$A$2:$A$477,0))&amp;"","")</f>
        <v>Same punishment as if the death of the intended person had been caused (murder or culpable homicide) [s.102]</v>
      </c>
      <c r="G612" s="10" t="str">
        <f aca="false">IFERROR(INDEX(Section_Master!$E$2:$E$477,MATCH($E612,Section_Master!$A$2:$A$477,0))&amp;"","")</f>
        <v>Yes</v>
      </c>
      <c r="H612" s="10" t="str">
        <f aca="false">IFERROR(INDEX(Section_Master!$F$2:$F$477,MATCH($E612,Section_Master!$A$2:$A$477,0))&amp;"","")</f>
        <v>No</v>
      </c>
      <c r="I612" s="10" t="str">
        <f aca="false">IFERROR(INDEX(Section_Master!$G$2:$G$477,MATCH($E612,Section_Master!$A$2:$A$477,0))&amp;"","")</f>
        <v>No</v>
      </c>
      <c r="J612" s="10" t="s">
        <v>61</v>
      </c>
      <c r="K612" s="8" t="s">
        <v>1467</v>
      </c>
    </row>
    <row r="613" customFormat="false" ht="45.75" hidden="false" customHeight="true" outlineLevel="0" collapsed="false">
      <c r="A613" s="10" t="s">
        <v>1476</v>
      </c>
      <c r="B613" s="10" t="s">
        <v>45</v>
      </c>
      <c r="C613" s="8" t="s">
        <v>1465</v>
      </c>
      <c r="D613" s="8" t="s">
        <v>1477</v>
      </c>
      <c r="E613" s="11" t="n">
        <v>102</v>
      </c>
      <c r="F613" s="8" t="str">
        <f aca="false">IFERROR(INDEX(Section_Master!$D$2:$D$477,MATCH($E613,Section_Master!$A$2:$A$477,0))&amp;"","")</f>
        <v>Same punishment as if the death of the intended person had been caused (murder or culpable homicide) [s.102]</v>
      </c>
      <c r="G613" s="10" t="str">
        <f aca="false">IFERROR(INDEX(Section_Master!$E$2:$E$477,MATCH($E613,Section_Master!$A$2:$A$477,0))&amp;"","")</f>
        <v>Yes</v>
      </c>
      <c r="H613" s="10" t="str">
        <f aca="false">IFERROR(INDEX(Section_Master!$F$2:$F$477,MATCH($E613,Section_Master!$A$2:$A$477,0))&amp;"","")</f>
        <v>No</v>
      </c>
      <c r="I613" s="10" t="str">
        <f aca="false">IFERROR(INDEX(Section_Master!$G$2:$G$477,MATCH($E613,Section_Master!$A$2:$A$477,0))&amp;"","")</f>
        <v>No</v>
      </c>
      <c r="J613" s="10" t="s">
        <v>64</v>
      </c>
      <c r="K613" s="8" t="s">
        <v>1467</v>
      </c>
    </row>
    <row r="614" customFormat="false" ht="34.5" hidden="false" customHeight="true" outlineLevel="0" collapsed="false">
      <c r="A614" s="10" t="s">
        <v>1478</v>
      </c>
      <c r="B614" s="10" t="s">
        <v>45</v>
      </c>
      <c r="C614" s="8" t="s">
        <v>1479</v>
      </c>
      <c r="D614" s="8" t="s">
        <v>1480</v>
      </c>
      <c r="E614" s="11" t="n">
        <v>103</v>
      </c>
      <c r="F614" s="8" t="str">
        <f aca="false">IFERROR(INDEX(Section_Master!$D$2:$D$477,MATCH($E614,Section_Master!$A$2:$A$477,0))&amp;"","")</f>
        <v>Death or imprisonment for life, and fine [s.103(1)]</v>
      </c>
      <c r="G614" s="10" t="str">
        <f aca="false">IFERROR(INDEX(Section_Master!$E$2:$E$477,MATCH($E614,Section_Master!$A$2:$A$477,0))&amp;"","")</f>
        <v>Yes</v>
      </c>
      <c r="H614" s="10" t="str">
        <f aca="false">IFERROR(INDEX(Section_Master!$F$2:$F$477,MATCH($E614,Section_Master!$A$2:$A$477,0))&amp;"","")</f>
        <v>No</v>
      </c>
      <c r="I614" s="10" t="str">
        <f aca="false">IFERROR(INDEX(Section_Master!$G$2:$G$477,MATCH($E614,Section_Master!$A$2:$A$477,0))&amp;"","")</f>
        <v>No</v>
      </c>
      <c r="J614" s="10" t="s">
        <v>48</v>
      </c>
      <c r="K614" s="8" t="s">
        <v>1481</v>
      </c>
    </row>
    <row r="615" customFormat="false" ht="45.75" hidden="false" customHeight="true" outlineLevel="0" collapsed="false">
      <c r="A615" s="10" t="s">
        <v>1482</v>
      </c>
      <c r="B615" s="10" t="s">
        <v>45</v>
      </c>
      <c r="C615" s="8" t="s">
        <v>1479</v>
      </c>
      <c r="D615" s="8" t="s">
        <v>1483</v>
      </c>
      <c r="E615" s="11" t="n">
        <v>103</v>
      </c>
      <c r="F615" s="8" t="str">
        <f aca="false">IFERROR(INDEX(Section_Master!$D$2:$D$477,MATCH($E615,Section_Master!$A$2:$A$477,0))&amp;"","")</f>
        <v>Death or imprisonment for life, and fine [s.103(1)]</v>
      </c>
      <c r="G615" s="10" t="str">
        <f aca="false">IFERROR(INDEX(Section_Master!$E$2:$E$477,MATCH($E615,Section_Master!$A$2:$A$477,0))&amp;"","")</f>
        <v>Yes</v>
      </c>
      <c r="H615" s="10" t="str">
        <f aca="false">IFERROR(INDEX(Section_Master!$F$2:$F$477,MATCH($E615,Section_Master!$A$2:$A$477,0))&amp;"","")</f>
        <v>No</v>
      </c>
      <c r="I615" s="10" t="str">
        <f aca="false">IFERROR(INDEX(Section_Master!$G$2:$G$477,MATCH($E615,Section_Master!$A$2:$A$477,0))&amp;"","")</f>
        <v>No</v>
      </c>
      <c r="J615" s="10" t="s">
        <v>52</v>
      </c>
      <c r="K615" s="8" t="s">
        <v>1481</v>
      </c>
    </row>
    <row r="616" customFormat="false" ht="34.5" hidden="false" customHeight="true" outlineLevel="0" collapsed="false">
      <c r="A616" s="10" t="s">
        <v>1484</v>
      </c>
      <c r="B616" s="10" t="s">
        <v>45</v>
      </c>
      <c r="C616" s="8" t="s">
        <v>1479</v>
      </c>
      <c r="D616" s="8" t="s">
        <v>1485</v>
      </c>
      <c r="E616" s="11" t="n">
        <v>103</v>
      </c>
      <c r="F616" s="8" t="str">
        <f aca="false">IFERROR(INDEX(Section_Master!$D$2:$D$477,MATCH($E616,Section_Master!$A$2:$A$477,0))&amp;"","")</f>
        <v>Death or imprisonment for life, and fine [s.103(1)]</v>
      </c>
      <c r="G616" s="10" t="str">
        <f aca="false">IFERROR(INDEX(Section_Master!$E$2:$E$477,MATCH($E616,Section_Master!$A$2:$A$477,0))&amp;"","")</f>
        <v>Yes</v>
      </c>
      <c r="H616" s="10" t="str">
        <f aca="false">IFERROR(INDEX(Section_Master!$F$2:$F$477,MATCH($E616,Section_Master!$A$2:$A$477,0))&amp;"","")</f>
        <v>No</v>
      </c>
      <c r="I616" s="10" t="str">
        <f aca="false">IFERROR(INDEX(Section_Master!$G$2:$G$477,MATCH($E616,Section_Master!$A$2:$A$477,0))&amp;"","")</f>
        <v>No</v>
      </c>
      <c r="J616" s="10" t="s">
        <v>55</v>
      </c>
      <c r="K616" s="8" t="s">
        <v>1481</v>
      </c>
    </row>
    <row r="617" customFormat="false" ht="34.5" hidden="false" customHeight="true" outlineLevel="0" collapsed="false">
      <c r="A617" s="10" t="s">
        <v>1486</v>
      </c>
      <c r="B617" s="10" t="s">
        <v>45</v>
      </c>
      <c r="C617" s="8" t="s">
        <v>1479</v>
      </c>
      <c r="D617" s="8" t="s">
        <v>1487</v>
      </c>
      <c r="E617" s="11" t="n">
        <v>103</v>
      </c>
      <c r="F617" s="8" t="str">
        <f aca="false">IFERROR(INDEX(Section_Master!$D$2:$D$477,MATCH($E617,Section_Master!$A$2:$A$477,0))&amp;"","")</f>
        <v>Death or imprisonment for life, and fine [s.103(1)]</v>
      </c>
      <c r="G617" s="10" t="str">
        <f aca="false">IFERROR(INDEX(Section_Master!$E$2:$E$477,MATCH($E617,Section_Master!$A$2:$A$477,0))&amp;"","")</f>
        <v>Yes</v>
      </c>
      <c r="H617" s="10" t="str">
        <f aca="false">IFERROR(INDEX(Section_Master!$F$2:$F$477,MATCH($E617,Section_Master!$A$2:$A$477,0))&amp;"","")</f>
        <v>No</v>
      </c>
      <c r="I617" s="10" t="str">
        <f aca="false">IFERROR(INDEX(Section_Master!$G$2:$G$477,MATCH($E617,Section_Master!$A$2:$A$477,0))&amp;"","")</f>
        <v>No</v>
      </c>
      <c r="J617" s="10" t="s">
        <v>58</v>
      </c>
      <c r="K617" s="8" t="s">
        <v>1481</v>
      </c>
    </row>
    <row r="618" customFormat="false" ht="34.5" hidden="false" customHeight="true" outlineLevel="0" collapsed="false">
      <c r="A618" s="10" t="s">
        <v>1488</v>
      </c>
      <c r="B618" s="10" t="s">
        <v>45</v>
      </c>
      <c r="C618" s="8" t="s">
        <v>1479</v>
      </c>
      <c r="D618" s="8" t="s">
        <v>1489</v>
      </c>
      <c r="E618" s="11" t="n">
        <v>103</v>
      </c>
      <c r="F618" s="8" t="str">
        <f aca="false">IFERROR(INDEX(Section_Master!$D$2:$D$477,MATCH($E618,Section_Master!$A$2:$A$477,0))&amp;"","")</f>
        <v>Death or imprisonment for life, and fine [s.103(1)]</v>
      </c>
      <c r="G618" s="10" t="str">
        <f aca="false">IFERROR(INDEX(Section_Master!$E$2:$E$477,MATCH($E618,Section_Master!$A$2:$A$477,0))&amp;"","")</f>
        <v>Yes</v>
      </c>
      <c r="H618" s="10" t="str">
        <f aca="false">IFERROR(INDEX(Section_Master!$F$2:$F$477,MATCH($E618,Section_Master!$A$2:$A$477,0))&amp;"","")</f>
        <v>No</v>
      </c>
      <c r="I618" s="10" t="str">
        <f aca="false">IFERROR(INDEX(Section_Master!$G$2:$G$477,MATCH($E618,Section_Master!$A$2:$A$477,0))&amp;"","")</f>
        <v>No</v>
      </c>
      <c r="J618" s="10" t="s">
        <v>61</v>
      </c>
      <c r="K618" s="8" t="s">
        <v>1481</v>
      </c>
    </row>
    <row r="619" customFormat="false" ht="34.5" hidden="false" customHeight="true" outlineLevel="0" collapsed="false">
      <c r="A619" s="10" t="s">
        <v>1490</v>
      </c>
      <c r="B619" s="10" t="s">
        <v>45</v>
      </c>
      <c r="C619" s="8" t="s">
        <v>1479</v>
      </c>
      <c r="D619" s="8" t="s">
        <v>1491</v>
      </c>
      <c r="E619" s="11" t="n">
        <v>103</v>
      </c>
      <c r="F619" s="8" t="str">
        <f aca="false">IFERROR(INDEX(Section_Master!$D$2:$D$477,MATCH($E619,Section_Master!$A$2:$A$477,0))&amp;"","")</f>
        <v>Death or imprisonment for life, and fine [s.103(1)]</v>
      </c>
      <c r="G619" s="10" t="str">
        <f aca="false">IFERROR(INDEX(Section_Master!$E$2:$E$477,MATCH($E619,Section_Master!$A$2:$A$477,0))&amp;"","")</f>
        <v>Yes</v>
      </c>
      <c r="H619" s="10" t="str">
        <f aca="false">IFERROR(INDEX(Section_Master!$F$2:$F$477,MATCH($E619,Section_Master!$A$2:$A$477,0))&amp;"","")</f>
        <v>No</v>
      </c>
      <c r="I619" s="10" t="str">
        <f aca="false">IFERROR(INDEX(Section_Master!$G$2:$G$477,MATCH($E619,Section_Master!$A$2:$A$477,0))&amp;"","")</f>
        <v>No</v>
      </c>
      <c r="J619" s="10" t="s">
        <v>64</v>
      </c>
      <c r="K619" s="8" t="s">
        <v>1481</v>
      </c>
    </row>
    <row r="620" customFormat="false" ht="34.5" hidden="false" customHeight="true" outlineLevel="0" collapsed="false">
      <c r="A620" s="10" t="s">
        <v>1492</v>
      </c>
      <c r="B620" s="10" t="s">
        <v>45</v>
      </c>
      <c r="C620" s="8" t="s">
        <v>1493</v>
      </c>
      <c r="D620" s="8" t="s">
        <v>1494</v>
      </c>
      <c r="E620" s="11" t="n">
        <v>104</v>
      </c>
      <c r="F620" s="8" t="str">
        <f aca="false">IFERROR(INDEX(Section_Master!$D$2:$D$477,MATCH($E620,Section_Master!$A$2:$A$477,0))&amp;"","")</f>
        <v>Death or imprisonment for life</v>
      </c>
      <c r="G620" s="10" t="str">
        <f aca="false">IFERROR(INDEX(Section_Master!$E$2:$E$477,MATCH($E620,Section_Master!$A$2:$A$477,0))&amp;"","")</f>
        <v>Yes</v>
      </c>
      <c r="H620" s="10" t="str">
        <f aca="false">IFERROR(INDEX(Section_Master!$F$2:$F$477,MATCH($E620,Section_Master!$A$2:$A$477,0))&amp;"","")</f>
        <v>No</v>
      </c>
      <c r="I620" s="10" t="str">
        <f aca="false">IFERROR(INDEX(Section_Master!$G$2:$G$477,MATCH($E620,Section_Master!$A$2:$A$477,0))&amp;"","")</f>
        <v>No</v>
      </c>
      <c r="J620" s="10" t="s">
        <v>48</v>
      </c>
      <c r="K620" s="8" t="s">
        <v>1495</v>
      </c>
    </row>
    <row r="621" customFormat="false" ht="34.5" hidden="false" customHeight="true" outlineLevel="0" collapsed="false">
      <c r="A621" s="10" t="s">
        <v>1496</v>
      </c>
      <c r="B621" s="10" t="s">
        <v>45</v>
      </c>
      <c r="C621" s="8" t="s">
        <v>1493</v>
      </c>
      <c r="D621" s="8" t="s">
        <v>1497</v>
      </c>
      <c r="E621" s="11" t="n">
        <v>104</v>
      </c>
      <c r="F621" s="8" t="str">
        <f aca="false">IFERROR(INDEX(Section_Master!$D$2:$D$477,MATCH($E621,Section_Master!$A$2:$A$477,0))&amp;"","")</f>
        <v>Death or imprisonment for life</v>
      </c>
      <c r="G621" s="10" t="str">
        <f aca="false">IFERROR(INDEX(Section_Master!$E$2:$E$477,MATCH($E621,Section_Master!$A$2:$A$477,0))&amp;"","")</f>
        <v>Yes</v>
      </c>
      <c r="H621" s="10" t="str">
        <f aca="false">IFERROR(INDEX(Section_Master!$F$2:$F$477,MATCH($E621,Section_Master!$A$2:$A$477,0))&amp;"","")</f>
        <v>No</v>
      </c>
      <c r="I621" s="10" t="str">
        <f aca="false">IFERROR(INDEX(Section_Master!$G$2:$G$477,MATCH($E621,Section_Master!$A$2:$A$477,0))&amp;"","")</f>
        <v>No</v>
      </c>
      <c r="J621" s="10" t="s">
        <v>52</v>
      </c>
      <c r="K621" s="8" t="s">
        <v>1495</v>
      </c>
    </row>
    <row r="622" customFormat="false" ht="34.5" hidden="false" customHeight="true" outlineLevel="0" collapsed="false">
      <c r="A622" s="10" t="s">
        <v>1498</v>
      </c>
      <c r="B622" s="10" t="s">
        <v>45</v>
      </c>
      <c r="C622" s="8" t="s">
        <v>1493</v>
      </c>
      <c r="D622" s="8" t="s">
        <v>1499</v>
      </c>
      <c r="E622" s="11" t="n">
        <v>104</v>
      </c>
      <c r="F622" s="8" t="str">
        <f aca="false">IFERROR(INDEX(Section_Master!$D$2:$D$477,MATCH($E622,Section_Master!$A$2:$A$477,0))&amp;"","")</f>
        <v>Death or imprisonment for life</v>
      </c>
      <c r="G622" s="10" t="str">
        <f aca="false">IFERROR(INDEX(Section_Master!$E$2:$E$477,MATCH($E622,Section_Master!$A$2:$A$477,0))&amp;"","")</f>
        <v>Yes</v>
      </c>
      <c r="H622" s="10" t="str">
        <f aca="false">IFERROR(INDEX(Section_Master!$F$2:$F$477,MATCH($E622,Section_Master!$A$2:$A$477,0))&amp;"","")</f>
        <v>No</v>
      </c>
      <c r="I622" s="10" t="str">
        <f aca="false">IFERROR(INDEX(Section_Master!$G$2:$G$477,MATCH($E622,Section_Master!$A$2:$A$477,0))&amp;"","")</f>
        <v>No</v>
      </c>
      <c r="J622" s="10" t="s">
        <v>55</v>
      </c>
      <c r="K622" s="8" t="s">
        <v>1495</v>
      </c>
    </row>
    <row r="623" customFormat="false" ht="23.25" hidden="false" customHeight="true" outlineLevel="0" collapsed="false">
      <c r="A623" s="10" t="s">
        <v>1500</v>
      </c>
      <c r="B623" s="10" t="s">
        <v>45</v>
      </c>
      <c r="C623" s="8" t="s">
        <v>1493</v>
      </c>
      <c r="D623" s="8" t="s">
        <v>1501</v>
      </c>
      <c r="E623" s="11" t="n">
        <v>104</v>
      </c>
      <c r="F623" s="8" t="str">
        <f aca="false">IFERROR(INDEX(Section_Master!$D$2:$D$477,MATCH($E623,Section_Master!$A$2:$A$477,0))&amp;"","")</f>
        <v>Death or imprisonment for life</v>
      </c>
      <c r="G623" s="10" t="str">
        <f aca="false">IFERROR(INDEX(Section_Master!$E$2:$E$477,MATCH($E623,Section_Master!$A$2:$A$477,0))&amp;"","")</f>
        <v>Yes</v>
      </c>
      <c r="H623" s="10" t="str">
        <f aca="false">IFERROR(INDEX(Section_Master!$F$2:$F$477,MATCH($E623,Section_Master!$A$2:$A$477,0))&amp;"","")</f>
        <v>No</v>
      </c>
      <c r="I623" s="10" t="str">
        <f aca="false">IFERROR(INDEX(Section_Master!$G$2:$G$477,MATCH($E623,Section_Master!$A$2:$A$477,0))&amp;"","")</f>
        <v>No</v>
      </c>
      <c r="J623" s="10" t="s">
        <v>58</v>
      </c>
      <c r="K623" s="8" t="s">
        <v>1495</v>
      </c>
    </row>
    <row r="624" customFormat="false" ht="34.5" hidden="false" customHeight="true" outlineLevel="0" collapsed="false">
      <c r="A624" s="10" t="s">
        <v>1502</v>
      </c>
      <c r="B624" s="10" t="s">
        <v>45</v>
      </c>
      <c r="C624" s="8" t="s">
        <v>1493</v>
      </c>
      <c r="D624" s="8" t="s">
        <v>1503</v>
      </c>
      <c r="E624" s="11" t="n">
        <v>104</v>
      </c>
      <c r="F624" s="8" t="str">
        <f aca="false">IFERROR(INDEX(Section_Master!$D$2:$D$477,MATCH($E624,Section_Master!$A$2:$A$477,0))&amp;"","")</f>
        <v>Death or imprisonment for life</v>
      </c>
      <c r="G624" s="10" t="str">
        <f aca="false">IFERROR(INDEX(Section_Master!$E$2:$E$477,MATCH($E624,Section_Master!$A$2:$A$477,0))&amp;"","")</f>
        <v>Yes</v>
      </c>
      <c r="H624" s="10" t="str">
        <f aca="false">IFERROR(INDEX(Section_Master!$F$2:$F$477,MATCH($E624,Section_Master!$A$2:$A$477,0))&amp;"","")</f>
        <v>No</v>
      </c>
      <c r="I624" s="10" t="str">
        <f aca="false">IFERROR(INDEX(Section_Master!$G$2:$G$477,MATCH($E624,Section_Master!$A$2:$A$477,0))&amp;"","")</f>
        <v>No</v>
      </c>
      <c r="J624" s="10" t="s">
        <v>61</v>
      </c>
      <c r="K624" s="8" t="s">
        <v>1495</v>
      </c>
    </row>
    <row r="625" customFormat="false" ht="34.5" hidden="false" customHeight="true" outlineLevel="0" collapsed="false">
      <c r="A625" s="10" t="s">
        <v>1504</v>
      </c>
      <c r="B625" s="10" t="s">
        <v>45</v>
      </c>
      <c r="C625" s="8" t="s">
        <v>1493</v>
      </c>
      <c r="D625" s="8" t="s">
        <v>1505</v>
      </c>
      <c r="E625" s="11" t="n">
        <v>104</v>
      </c>
      <c r="F625" s="8" t="str">
        <f aca="false">IFERROR(INDEX(Section_Master!$D$2:$D$477,MATCH($E625,Section_Master!$A$2:$A$477,0))&amp;"","")</f>
        <v>Death or imprisonment for life</v>
      </c>
      <c r="G625" s="10" t="str">
        <f aca="false">IFERROR(INDEX(Section_Master!$E$2:$E$477,MATCH($E625,Section_Master!$A$2:$A$477,0))&amp;"","")</f>
        <v>Yes</v>
      </c>
      <c r="H625" s="10" t="str">
        <f aca="false">IFERROR(INDEX(Section_Master!$F$2:$F$477,MATCH($E625,Section_Master!$A$2:$A$477,0))&amp;"","")</f>
        <v>No</v>
      </c>
      <c r="I625" s="10" t="str">
        <f aca="false">IFERROR(INDEX(Section_Master!$G$2:$G$477,MATCH($E625,Section_Master!$A$2:$A$477,0))&amp;"","")</f>
        <v>No</v>
      </c>
      <c r="J625" s="10" t="s">
        <v>64</v>
      </c>
      <c r="K625" s="8" t="s">
        <v>1495</v>
      </c>
    </row>
    <row r="626" customFormat="false" ht="34.5" hidden="false" customHeight="true" outlineLevel="0" collapsed="false">
      <c r="A626" s="10" t="s">
        <v>1506</v>
      </c>
      <c r="B626" s="10" t="s">
        <v>45</v>
      </c>
      <c r="C626" s="8" t="s">
        <v>1507</v>
      </c>
      <c r="D626" s="8" t="s">
        <v>1508</v>
      </c>
      <c r="E626" s="11" t="n">
        <v>105</v>
      </c>
      <c r="F626" s="8" t="str">
        <f aca="false">IFERROR(INDEX(Section_Master!$D$2:$D$477,MATCH($E626,Section_Master!$A$2:$A$477,0))&amp;"","")</f>
        <v>Life imprisonment, or 5 to 10 years, and fine (act done with intention); up to 10 years, or fine, or both (act done with knowledge)</v>
      </c>
      <c r="G626" s="10" t="str">
        <f aca="false">IFERROR(INDEX(Section_Master!$E$2:$E$477,MATCH($E626,Section_Master!$A$2:$A$477,0))&amp;"","")</f>
        <v>Yes</v>
      </c>
      <c r="H626" s="10" t="str">
        <f aca="false">IFERROR(INDEX(Section_Master!$F$2:$F$477,MATCH($E626,Section_Master!$A$2:$A$477,0))&amp;"","")</f>
        <v>No</v>
      </c>
      <c r="I626" s="10" t="str">
        <f aca="false">IFERROR(INDEX(Section_Master!$G$2:$G$477,MATCH($E626,Section_Master!$A$2:$A$477,0))&amp;"","")</f>
        <v>No</v>
      </c>
      <c r="J626" s="10" t="s">
        <v>48</v>
      </c>
      <c r="K626" s="8" t="s">
        <v>1509</v>
      </c>
    </row>
    <row r="627" customFormat="false" ht="45.75" hidden="false" customHeight="true" outlineLevel="0" collapsed="false">
      <c r="A627" s="10" t="s">
        <v>1510</v>
      </c>
      <c r="B627" s="10" t="s">
        <v>45</v>
      </c>
      <c r="C627" s="8" t="s">
        <v>1507</v>
      </c>
      <c r="D627" s="8" t="s">
        <v>1511</v>
      </c>
      <c r="E627" s="11" t="n">
        <v>105</v>
      </c>
      <c r="F627" s="8" t="str">
        <f aca="false">IFERROR(INDEX(Section_Master!$D$2:$D$477,MATCH($E627,Section_Master!$A$2:$A$477,0))&amp;"","")</f>
        <v>Life imprisonment, or 5 to 10 years, and fine (act done with intention); up to 10 years, or fine, or both (act done with knowledge)</v>
      </c>
      <c r="G627" s="10" t="str">
        <f aca="false">IFERROR(INDEX(Section_Master!$E$2:$E$477,MATCH($E627,Section_Master!$A$2:$A$477,0))&amp;"","")</f>
        <v>Yes</v>
      </c>
      <c r="H627" s="10" t="str">
        <f aca="false">IFERROR(INDEX(Section_Master!$F$2:$F$477,MATCH($E627,Section_Master!$A$2:$A$477,0))&amp;"","")</f>
        <v>No</v>
      </c>
      <c r="I627" s="10" t="str">
        <f aca="false">IFERROR(INDEX(Section_Master!$G$2:$G$477,MATCH($E627,Section_Master!$A$2:$A$477,0))&amp;"","")</f>
        <v>No</v>
      </c>
      <c r="J627" s="10" t="s">
        <v>52</v>
      </c>
      <c r="K627" s="8" t="s">
        <v>1509</v>
      </c>
    </row>
    <row r="628" customFormat="false" ht="34.5" hidden="false" customHeight="true" outlineLevel="0" collapsed="false">
      <c r="A628" s="10" t="s">
        <v>1512</v>
      </c>
      <c r="B628" s="10" t="s">
        <v>45</v>
      </c>
      <c r="C628" s="8" t="s">
        <v>1507</v>
      </c>
      <c r="D628" s="8" t="s">
        <v>1513</v>
      </c>
      <c r="E628" s="11" t="n">
        <v>105</v>
      </c>
      <c r="F628" s="8" t="str">
        <f aca="false">IFERROR(INDEX(Section_Master!$D$2:$D$477,MATCH($E628,Section_Master!$A$2:$A$477,0))&amp;"","")</f>
        <v>Life imprisonment, or 5 to 10 years, and fine (act done with intention); up to 10 years, or fine, or both (act done with knowledge)</v>
      </c>
      <c r="G628" s="10" t="str">
        <f aca="false">IFERROR(INDEX(Section_Master!$E$2:$E$477,MATCH($E628,Section_Master!$A$2:$A$477,0))&amp;"","")</f>
        <v>Yes</v>
      </c>
      <c r="H628" s="10" t="str">
        <f aca="false">IFERROR(INDEX(Section_Master!$F$2:$F$477,MATCH($E628,Section_Master!$A$2:$A$477,0))&amp;"","")</f>
        <v>No</v>
      </c>
      <c r="I628" s="10" t="str">
        <f aca="false">IFERROR(INDEX(Section_Master!$G$2:$G$477,MATCH($E628,Section_Master!$A$2:$A$477,0))&amp;"","")</f>
        <v>No</v>
      </c>
      <c r="J628" s="10" t="s">
        <v>55</v>
      </c>
      <c r="K628" s="8" t="s">
        <v>1509</v>
      </c>
    </row>
    <row r="629" customFormat="false" ht="34.5" hidden="false" customHeight="true" outlineLevel="0" collapsed="false">
      <c r="A629" s="10" t="s">
        <v>1514</v>
      </c>
      <c r="B629" s="10" t="s">
        <v>45</v>
      </c>
      <c r="C629" s="8" t="s">
        <v>1507</v>
      </c>
      <c r="D629" s="8" t="s">
        <v>1515</v>
      </c>
      <c r="E629" s="11" t="n">
        <v>105</v>
      </c>
      <c r="F629" s="8" t="str">
        <f aca="false">IFERROR(INDEX(Section_Master!$D$2:$D$477,MATCH($E629,Section_Master!$A$2:$A$477,0))&amp;"","")</f>
        <v>Life imprisonment, or 5 to 10 years, and fine (act done with intention); up to 10 years, or fine, or both (act done with knowledge)</v>
      </c>
      <c r="G629" s="10" t="str">
        <f aca="false">IFERROR(INDEX(Section_Master!$E$2:$E$477,MATCH($E629,Section_Master!$A$2:$A$477,0))&amp;"","")</f>
        <v>Yes</v>
      </c>
      <c r="H629" s="10" t="str">
        <f aca="false">IFERROR(INDEX(Section_Master!$F$2:$F$477,MATCH($E629,Section_Master!$A$2:$A$477,0))&amp;"","")</f>
        <v>No</v>
      </c>
      <c r="I629" s="10" t="str">
        <f aca="false">IFERROR(INDEX(Section_Master!$G$2:$G$477,MATCH($E629,Section_Master!$A$2:$A$477,0))&amp;"","")</f>
        <v>No</v>
      </c>
      <c r="J629" s="10" t="s">
        <v>58</v>
      </c>
      <c r="K629" s="8" t="s">
        <v>1509</v>
      </c>
    </row>
    <row r="630" customFormat="false" ht="23.25" hidden="false" customHeight="true" outlineLevel="0" collapsed="false">
      <c r="A630" s="10" t="s">
        <v>1516</v>
      </c>
      <c r="B630" s="10" t="s">
        <v>45</v>
      </c>
      <c r="C630" s="8" t="s">
        <v>1507</v>
      </c>
      <c r="D630" s="8" t="s">
        <v>1517</v>
      </c>
      <c r="E630" s="11" t="n">
        <v>105</v>
      </c>
      <c r="F630" s="8" t="str">
        <f aca="false">IFERROR(INDEX(Section_Master!$D$2:$D$477,MATCH($E630,Section_Master!$A$2:$A$477,0))&amp;"","")</f>
        <v>Life imprisonment, or 5 to 10 years, and fine (act done with intention); up to 10 years, or fine, or both (act done with knowledge)</v>
      </c>
      <c r="G630" s="10" t="str">
        <f aca="false">IFERROR(INDEX(Section_Master!$E$2:$E$477,MATCH($E630,Section_Master!$A$2:$A$477,0))&amp;"","")</f>
        <v>Yes</v>
      </c>
      <c r="H630" s="10" t="str">
        <f aca="false">IFERROR(INDEX(Section_Master!$F$2:$F$477,MATCH($E630,Section_Master!$A$2:$A$477,0))&amp;"","")</f>
        <v>No</v>
      </c>
      <c r="I630" s="10" t="str">
        <f aca="false">IFERROR(INDEX(Section_Master!$G$2:$G$477,MATCH($E630,Section_Master!$A$2:$A$477,0))&amp;"","")</f>
        <v>No</v>
      </c>
      <c r="J630" s="10" t="s">
        <v>61</v>
      </c>
      <c r="K630" s="8" t="s">
        <v>1509</v>
      </c>
    </row>
    <row r="631" customFormat="false" ht="45.75" hidden="false" customHeight="true" outlineLevel="0" collapsed="false">
      <c r="A631" s="10" t="s">
        <v>1518</v>
      </c>
      <c r="B631" s="10" t="s">
        <v>45</v>
      </c>
      <c r="C631" s="8" t="s">
        <v>1507</v>
      </c>
      <c r="D631" s="8" t="s">
        <v>1519</v>
      </c>
      <c r="E631" s="11" t="n">
        <v>105</v>
      </c>
      <c r="F631" s="8" t="str">
        <f aca="false">IFERROR(INDEX(Section_Master!$D$2:$D$477,MATCH($E631,Section_Master!$A$2:$A$477,0))&amp;"","")</f>
        <v>Life imprisonment, or 5 to 10 years, and fine (act done with intention); up to 10 years, or fine, or both (act done with knowledge)</v>
      </c>
      <c r="G631" s="10" t="str">
        <f aca="false">IFERROR(INDEX(Section_Master!$E$2:$E$477,MATCH($E631,Section_Master!$A$2:$A$477,0))&amp;"","")</f>
        <v>Yes</v>
      </c>
      <c r="H631" s="10" t="str">
        <f aca="false">IFERROR(INDEX(Section_Master!$F$2:$F$477,MATCH($E631,Section_Master!$A$2:$A$477,0))&amp;"","")</f>
        <v>No</v>
      </c>
      <c r="I631" s="10" t="str">
        <f aca="false">IFERROR(INDEX(Section_Master!$G$2:$G$477,MATCH($E631,Section_Master!$A$2:$A$477,0))&amp;"","")</f>
        <v>No</v>
      </c>
      <c r="J631" s="10" t="s">
        <v>64</v>
      </c>
      <c r="K631" s="8" t="s">
        <v>1509</v>
      </c>
    </row>
    <row r="632" customFormat="false" ht="34.5" hidden="false" customHeight="true" outlineLevel="0" collapsed="false">
      <c r="A632" s="10" t="s">
        <v>1520</v>
      </c>
      <c r="B632" s="10" t="s">
        <v>45</v>
      </c>
      <c r="C632" s="8" t="s">
        <v>1521</v>
      </c>
      <c r="D632" s="8" t="s">
        <v>1522</v>
      </c>
      <c r="E632" s="11" t="n">
        <v>106</v>
      </c>
      <c r="F632" s="8" t="str">
        <f aca="false">IFERROR(INDEX(Section_Master!$D$2:$D$477,MATCH($E632,Section_Master!$A$2:$A$477,0))&amp;"","")</f>
        <v>Up to 5 years and fine [s.106(1)]; up to 2 years and fine for a registered medical practitioner</v>
      </c>
      <c r="G632" s="10" t="str">
        <f aca="false">IFERROR(INDEX(Section_Master!$E$2:$E$477,MATCH($E632,Section_Master!$A$2:$A$477,0))&amp;"","")</f>
        <v>Yes</v>
      </c>
      <c r="H632" s="10" t="str">
        <f aca="false">IFERROR(INDEX(Section_Master!$F$2:$F$477,MATCH($E632,Section_Master!$A$2:$A$477,0))&amp;"","")</f>
        <v>Yes</v>
      </c>
      <c r="I632" s="10" t="str">
        <f aca="false">IFERROR(INDEX(Section_Master!$G$2:$G$477,MATCH($E632,Section_Master!$A$2:$A$477,0))&amp;"","")</f>
        <v>No</v>
      </c>
      <c r="J632" s="10" t="s">
        <v>48</v>
      </c>
      <c r="K632" s="8" t="s">
        <v>1523</v>
      </c>
    </row>
    <row r="633" customFormat="false" ht="45.75" hidden="false" customHeight="true" outlineLevel="0" collapsed="false">
      <c r="A633" s="10" t="s">
        <v>1524</v>
      </c>
      <c r="B633" s="10" t="s">
        <v>45</v>
      </c>
      <c r="C633" s="8" t="s">
        <v>1521</v>
      </c>
      <c r="D633" s="8" t="s">
        <v>1525</v>
      </c>
      <c r="E633" s="11" t="n">
        <v>106</v>
      </c>
      <c r="F633" s="8" t="str">
        <f aca="false">IFERROR(INDEX(Section_Master!$D$2:$D$477,MATCH($E633,Section_Master!$A$2:$A$477,0))&amp;"","")</f>
        <v>Up to 5 years and fine [s.106(1)]; up to 2 years and fine for a registered medical practitioner</v>
      </c>
      <c r="G633" s="10" t="str">
        <f aca="false">IFERROR(INDEX(Section_Master!$E$2:$E$477,MATCH($E633,Section_Master!$A$2:$A$477,0))&amp;"","")</f>
        <v>Yes</v>
      </c>
      <c r="H633" s="10" t="str">
        <f aca="false">IFERROR(INDEX(Section_Master!$F$2:$F$477,MATCH($E633,Section_Master!$A$2:$A$477,0))&amp;"","")</f>
        <v>Yes</v>
      </c>
      <c r="I633" s="10" t="str">
        <f aca="false">IFERROR(INDEX(Section_Master!$G$2:$G$477,MATCH($E633,Section_Master!$A$2:$A$477,0))&amp;"","")</f>
        <v>No</v>
      </c>
      <c r="J633" s="10" t="s">
        <v>52</v>
      </c>
      <c r="K633" s="8" t="s">
        <v>1523</v>
      </c>
    </row>
    <row r="634" customFormat="false" ht="34.5" hidden="false" customHeight="true" outlineLevel="0" collapsed="false">
      <c r="A634" s="10" t="s">
        <v>1526</v>
      </c>
      <c r="B634" s="10" t="s">
        <v>45</v>
      </c>
      <c r="C634" s="8" t="s">
        <v>1521</v>
      </c>
      <c r="D634" s="8" t="s">
        <v>1527</v>
      </c>
      <c r="E634" s="11" t="n">
        <v>106</v>
      </c>
      <c r="F634" s="8" t="str">
        <f aca="false">IFERROR(INDEX(Section_Master!$D$2:$D$477,MATCH($E634,Section_Master!$A$2:$A$477,0))&amp;"","")</f>
        <v>Up to 5 years and fine [s.106(1)]; up to 2 years and fine for a registered medical practitioner</v>
      </c>
      <c r="G634" s="10" t="str">
        <f aca="false">IFERROR(INDEX(Section_Master!$E$2:$E$477,MATCH($E634,Section_Master!$A$2:$A$477,0))&amp;"","")</f>
        <v>Yes</v>
      </c>
      <c r="H634" s="10" t="str">
        <f aca="false">IFERROR(INDEX(Section_Master!$F$2:$F$477,MATCH($E634,Section_Master!$A$2:$A$477,0))&amp;"","")</f>
        <v>Yes</v>
      </c>
      <c r="I634" s="10" t="str">
        <f aca="false">IFERROR(INDEX(Section_Master!$G$2:$G$477,MATCH($E634,Section_Master!$A$2:$A$477,0))&amp;"","")</f>
        <v>No</v>
      </c>
      <c r="J634" s="10" t="s">
        <v>55</v>
      </c>
      <c r="K634" s="8" t="s">
        <v>1523</v>
      </c>
    </row>
    <row r="635" customFormat="false" ht="34.5" hidden="false" customHeight="true" outlineLevel="0" collapsed="false">
      <c r="A635" s="10" t="s">
        <v>1528</v>
      </c>
      <c r="B635" s="10" t="s">
        <v>45</v>
      </c>
      <c r="C635" s="8" t="s">
        <v>1521</v>
      </c>
      <c r="D635" s="8" t="s">
        <v>1529</v>
      </c>
      <c r="E635" s="11" t="n">
        <v>106</v>
      </c>
      <c r="F635" s="8" t="str">
        <f aca="false">IFERROR(INDEX(Section_Master!$D$2:$D$477,MATCH($E635,Section_Master!$A$2:$A$477,0))&amp;"","")</f>
        <v>Up to 5 years and fine [s.106(1)]; up to 2 years and fine for a registered medical practitioner</v>
      </c>
      <c r="G635" s="10" t="str">
        <f aca="false">IFERROR(INDEX(Section_Master!$E$2:$E$477,MATCH($E635,Section_Master!$A$2:$A$477,0))&amp;"","")</f>
        <v>Yes</v>
      </c>
      <c r="H635" s="10" t="str">
        <f aca="false">IFERROR(INDEX(Section_Master!$F$2:$F$477,MATCH($E635,Section_Master!$A$2:$A$477,0))&amp;"","")</f>
        <v>Yes</v>
      </c>
      <c r="I635" s="10" t="str">
        <f aca="false">IFERROR(INDEX(Section_Master!$G$2:$G$477,MATCH($E635,Section_Master!$A$2:$A$477,0))&amp;"","")</f>
        <v>No</v>
      </c>
      <c r="J635" s="10" t="s">
        <v>58</v>
      </c>
      <c r="K635" s="8" t="s">
        <v>1523</v>
      </c>
    </row>
    <row r="636" customFormat="false" ht="34.5" hidden="false" customHeight="true" outlineLevel="0" collapsed="false">
      <c r="A636" s="10" t="s">
        <v>1530</v>
      </c>
      <c r="B636" s="10" t="s">
        <v>45</v>
      </c>
      <c r="C636" s="8" t="s">
        <v>1521</v>
      </c>
      <c r="D636" s="8" t="s">
        <v>1531</v>
      </c>
      <c r="E636" s="11" t="n">
        <v>106</v>
      </c>
      <c r="F636" s="8" t="str">
        <f aca="false">IFERROR(INDEX(Section_Master!$D$2:$D$477,MATCH($E636,Section_Master!$A$2:$A$477,0))&amp;"","")</f>
        <v>Up to 5 years and fine [s.106(1)]; up to 2 years and fine for a registered medical practitioner</v>
      </c>
      <c r="G636" s="10" t="str">
        <f aca="false">IFERROR(INDEX(Section_Master!$E$2:$E$477,MATCH($E636,Section_Master!$A$2:$A$477,0))&amp;"","")</f>
        <v>Yes</v>
      </c>
      <c r="H636" s="10" t="str">
        <f aca="false">IFERROR(INDEX(Section_Master!$F$2:$F$477,MATCH($E636,Section_Master!$A$2:$A$477,0))&amp;"","")</f>
        <v>Yes</v>
      </c>
      <c r="I636" s="10" t="str">
        <f aca="false">IFERROR(INDEX(Section_Master!$G$2:$G$477,MATCH($E636,Section_Master!$A$2:$A$477,0))&amp;"","")</f>
        <v>No</v>
      </c>
      <c r="J636" s="10" t="s">
        <v>61</v>
      </c>
      <c r="K636" s="8" t="s">
        <v>1523</v>
      </c>
    </row>
    <row r="637" customFormat="false" ht="34.5" hidden="false" customHeight="true" outlineLevel="0" collapsed="false">
      <c r="A637" s="10" t="s">
        <v>1532</v>
      </c>
      <c r="B637" s="10" t="s">
        <v>45</v>
      </c>
      <c r="C637" s="8" t="s">
        <v>1521</v>
      </c>
      <c r="D637" s="8" t="s">
        <v>1533</v>
      </c>
      <c r="E637" s="11" t="n">
        <v>106</v>
      </c>
      <c r="F637" s="8" t="str">
        <f aca="false">IFERROR(INDEX(Section_Master!$D$2:$D$477,MATCH($E637,Section_Master!$A$2:$A$477,0))&amp;"","")</f>
        <v>Up to 5 years and fine [s.106(1)]; up to 2 years and fine for a registered medical practitioner</v>
      </c>
      <c r="G637" s="10" t="str">
        <f aca="false">IFERROR(INDEX(Section_Master!$E$2:$E$477,MATCH($E637,Section_Master!$A$2:$A$477,0))&amp;"","")</f>
        <v>Yes</v>
      </c>
      <c r="H637" s="10" t="str">
        <f aca="false">IFERROR(INDEX(Section_Master!$F$2:$F$477,MATCH($E637,Section_Master!$A$2:$A$477,0))&amp;"","")</f>
        <v>Yes</v>
      </c>
      <c r="I637" s="10" t="str">
        <f aca="false">IFERROR(INDEX(Section_Master!$G$2:$G$477,MATCH($E637,Section_Master!$A$2:$A$477,0))&amp;"","")</f>
        <v>No</v>
      </c>
      <c r="J637" s="10" t="s">
        <v>64</v>
      </c>
      <c r="K637" s="8" t="s">
        <v>1523</v>
      </c>
    </row>
    <row r="638" customFormat="false" ht="34.5" hidden="false" customHeight="true" outlineLevel="0" collapsed="false">
      <c r="A638" s="10" t="s">
        <v>1534</v>
      </c>
      <c r="B638" s="10" t="s">
        <v>45</v>
      </c>
      <c r="C638" s="8" t="s">
        <v>1535</v>
      </c>
      <c r="D638" s="8" t="s">
        <v>1536</v>
      </c>
      <c r="E638" s="11" t="n">
        <v>107</v>
      </c>
      <c r="F638" s="8" t="str">
        <f aca="false">IFERROR(INDEX(Section_Master!$D$2:$D$477,MATCH($E638,Section_Master!$A$2:$A$477,0))&amp;"","")</f>
        <v>Death, or imprisonment for life, or imprisonment up to 10 years, and fine</v>
      </c>
      <c r="G638" s="10" t="str">
        <f aca="false">IFERROR(INDEX(Section_Master!$E$2:$E$477,MATCH($E638,Section_Master!$A$2:$A$477,0))&amp;"","")</f>
        <v>Yes</v>
      </c>
      <c r="H638" s="10" t="str">
        <f aca="false">IFERROR(INDEX(Section_Master!$F$2:$F$477,MATCH($E638,Section_Master!$A$2:$A$477,0))&amp;"","")</f>
        <v>No</v>
      </c>
      <c r="I638" s="10" t="str">
        <f aca="false">IFERROR(INDEX(Section_Master!$G$2:$G$477,MATCH($E638,Section_Master!$A$2:$A$477,0))&amp;"","")</f>
        <v>No</v>
      </c>
      <c r="J638" s="10" t="s">
        <v>48</v>
      </c>
      <c r="K638" s="8" t="s">
        <v>1537</v>
      </c>
    </row>
    <row r="639" customFormat="false" ht="45.75" hidden="false" customHeight="true" outlineLevel="0" collapsed="false">
      <c r="A639" s="10" t="s">
        <v>1538</v>
      </c>
      <c r="B639" s="10" t="s">
        <v>45</v>
      </c>
      <c r="C639" s="8" t="s">
        <v>1535</v>
      </c>
      <c r="D639" s="8" t="s">
        <v>1539</v>
      </c>
      <c r="E639" s="11" t="n">
        <v>107</v>
      </c>
      <c r="F639" s="8" t="str">
        <f aca="false">IFERROR(INDEX(Section_Master!$D$2:$D$477,MATCH($E639,Section_Master!$A$2:$A$477,0))&amp;"","")</f>
        <v>Death, or imprisonment for life, or imprisonment up to 10 years, and fine</v>
      </c>
      <c r="G639" s="10" t="str">
        <f aca="false">IFERROR(INDEX(Section_Master!$E$2:$E$477,MATCH($E639,Section_Master!$A$2:$A$477,0))&amp;"","")</f>
        <v>Yes</v>
      </c>
      <c r="H639" s="10" t="str">
        <f aca="false">IFERROR(INDEX(Section_Master!$F$2:$F$477,MATCH($E639,Section_Master!$A$2:$A$477,0))&amp;"","")</f>
        <v>No</v>
      </c>
      <c r="I639" s="10" t="str">
        <f aca="false">IFERROR(INDEX(Section_Master!$G$2:$G$477,MATCH($E639,Section_Master!$A$2:$A$477,0))&amp;"","")</f>
        <v>No</v>
      </c>
      <c r="J639" s="10" t="s">
        <v>52</v>
      </c>
      <c r="K639" s="8" t="s">
        <v>1537</v>
      </c>
    </row>
    <row r="640" customFormat="false" ht="34.5" hidden="false" customHeight="true" outlineLevel="0" collapsed="false">
      <c r="A640" s="10" t="s">
        <v>1540</v>
      </c>
      <c r="B640" s="10" t="s">
        <v>45</v>
      </c>
      <c r="C640" s="8" t="s">
        <v>1535</v>
      </c>
      <c r="D640" s="8" t="s">
        <v>1541</v>
      </c>
      <c r="E640" s="11" t="n">
        <v>107</v>
      </c>
      <c r="F640" s="8" t="str">
        <f aca="false">IFERROR(INDEX(Section_Master!$D$2:$D$477,MATCH($E640,Section_Master!$A$2:$A$477,0))&amp;"","")</f>
        <v>Death, or imprisonment for life, or imprisonment up to 10 years, and fine</v>
      </c>
      <c r="G640" s="10" t="str">
        <f aca="false">IFERROR(INDEX(Section_Master!$E$2:$E$477,MATCH($E640,Section_Master!$A$2:$A$477,0))&amp;"","")</f>
        <v>Yes</v>
      </c>
      <c r="H640" s="10" t="str">
        <f aca="false">IFERROR(INDEX(Section_Master!$F$2:$F$477,MATCH($E640,Section_Master!$A$2:$A$477,0))&amp;"","")</f>
        <v>No</v>
      </c>
      <c r="I640" s="10" t="str">
        <f aca="false">IFERROR(INDEX(Section_Master!$G$2:$G$477,MATCH($E640,Section_Master!$A$2:$A$477,0))&amp;"","")</f>
        <v>No</v>
      </c>
      <c r="J640" s="10" t="s">
        <v>55</v>
      </c>
      <c r="K640" s="8" t="s">
        <v>1537</v>
      </c>
    </row>
    <row r="641" customFormat="false" ht="23.25" hidden="false" customHeight="true" outlineLevel="0" collapsed="false">
      <c r="A641" s="10" t="s">
        <v>1542</v>
      </c>
      <c r="B641" s="10" t="s">
        <v>45</v>
      </c>
      <c r="C641" s="8" t="s">
        <v>1535</v>
      </c>
      <c r="D641" s="8" t="s">
        <v>1543</v>
      </c>
      <c r="E641" s="11" t="n">
        <v>107</v>
      </c>
      <c r="F641" s="8" t="str">
        <f aca="false">IFERROR(INDEX(Section_Master!$D$2:$D$477,MATCH($E641,Section_Master!$A$2:$A$477,0))&amp;"","")</f>
        <v>Death, or imprisonment for life, or imprisonment up to 10 years, and fine</v>
      </c>
      <c r="G641" s="10" t="str">
        <f aca="false">IFERROR(INDEX(Section_Master!$E$2:$E$477,MATCH($E641,Section_Master!$A$2:$A$477,0))&amp;"","")</f>
        <v>Yes</v>
      </c>
      <c r="H641" s="10" t="str">
        <f aca="false">IFERROR(INDEX(Section_Master!$F$2:$F$477,MATCH($E641,Section_Master!$A$2:$A$477,0))&amp;"","")</f>
        <v>No</v>
      </c>
      <c r="I641" s="10" t="str">
        <f aca="false">IFERROR(INDEX(Section_Master!$G$2:$G$477,MATCH($E641,Section_Master!$A$2:$A$477,0))&amp;"","")</f>
        <v>No</v>
      </c>
      <c r="J641" s="10" t="s">
        <v>58</v>
      </c>
      <c r="K641" s="8" t="s">
        <v>1537</v>
      </c>
    </row>
    <row r="642" customFormat="false" ht="34.5" hidden="false" customHeight="true" outlineLevel="0" collapsed="false">
      <c r="A642" s="10" t="s">
        <v>1544</v>
      </c>
      <c r="B642" s="10" t="s">
        <v>45</v>
      </c>
      <c r="C642" s="8" t="s">
        <v>1535</v>
      </c>
      <c r="D642" s="8" t="s">
        <v>1545</v>
      </c>
      <c r="E642" s="11" t="n">
        <v>107</v>
      </c>
      <c r="F642" s="8" t="str">
        <f aca="false">IFERROR(INDEX(Section_Master!$D$2:$D$477,MATCH($E642,Section_Master!$A$2:$A$477,0))&amp;"","")</f>
        <v>Death, or imprisonment for life, or imprisonment up to 10 years, and fine</v>
      </c>
      <c r="G642" s="10" t="str">
        <f aca="false">IFERROR(INDEX(Section_Master!$E$2:$E$477,MATCH($E642,Section_Master!$A$2:$A$477,0))&amp;"","")</f>
        <v>Yes</v>
      </c>
      <c r="H642" s="10" t="str">
        <f aca="false">IFERROR(INDEX(Section_Master!$F$2:$F$477,MATCH($E642,Section_Master!$A$2:$A$477,0))&amp;"","")</f>
        <v>No</v>
      </c>
      <c r="I642" s="10" t="str">
        <f aca="false">IFERROR(INDEX(Section_Master!$G$2:$G$477,MATCH($E642,Section_Master!$A$2:$A$477,0))&amp;"","")</f>
        <v>No</v>
      </c>
      <c r="J642" s="10" t="s">
        <v>61</v>
      </c>
      <c r="K642" s="8" t="s">
        <v>1537</v>
      </c>
    </row>
    <row r="643" customFormat="false" ht="34.5" hidden="false" customHeight="true" outlineLevel="0" collapsed="false">
      <c r="A643" s="10" t="s">
        <v>1546</v>
      </c>
      <c r="B643" s="10" t="s">
        <v>45</v>
      </c>
      <c r="C643" s="8" t="s">
        <v>1535</v>
      </c>
      <c r="D643" s="8" t="s">
        <v>1547</v>
      </c>
      <c r="E643" s="11" t="n">
        <v>107</v>
      </c>
      <c r="F643" s="8" t="str">
        <f aca="false">IFERROR(INDEX(Section_Master!$D$2:$D$477,MATCH($E643,Section_Master!$A$2:$A$477,0))&amp;"","")</f>
        <v>Death, or imprisonment for life, or imprisonment up to 10 years, and fine</v>
      </c>
      <c r="G643" s="10" t="str">
        <f aca="false">IFERROR(INDEX(Section_Master!$E$2:$E$477,MATCH($E643,Section_Master!$A$2:$A$477,0))&amp;"","")</f>
        <v>Yes</v>
      </c>
      <c r="H643" s="10" t="str">
        <f aca="false">IFERROR(INDEX(Section_Master!$F$2:$F$477,MATCH($E643,Section_Master!$A$2:$A$477,0))&amp;"","")</f>
        <v>No</v>
      </c>
      <c r="I643" s="10" t="str">
        <f aca="false">IFERROR(INDEX(Section_Master!$G$2:$G$477,MATCH($E643,Section_Master!$A$2:$A$477,0))&amp;"","")</f>
        <v>No</v>
      </c>
      <c r="J643" s="10" t="s">
        <v>64</v>
      </c>
      <c r="K643" s="8" t="s">
        <v>1537</v>
      </c>
    </row>
    <row r="644" customFormat="false" ht="34.5" hidden="false" customHeight="true" outlineLevel="0" collapsed="false">
      <c r="A644" s="10" t="s">
        <v>1548</v>
      </c>
      <c r="B644" s="10" t="s">
        <v>45</v>
      </c>
      <c r="C644" s="8" t="s">
        <v>1549</v>
      </c>
      <c r="D644" s="8" t="s">
        <v>1550</v>
      </c>
      <c r="E644" s="11" t="n">
        <v>108</v>
      </c>
      <c r="F644" s="8" t="str">
        <f aca="false">IFERROR(INDEX(Section_Master!$D$2:$D$477,MATCH($E644,Section_Master!$A$2:$A$477,0))&amp;"","")</f>
        <v>Imprisonment up to 10 years and fine</v>
      </c>
      <c r="G644" s="10" t="str">
        <f aca="false">IFERROR(INDEX(Section_Master!$E$2:$E$477,MATCH($E644,Section_Master!$A$2:$A$477,0))&amp;"","")</f>
        <v>Yes</v>
      </c>
      <c r="H644" s="10" t="str">
        <f aca="false">IFERROR(INDEX(Section_Master!$F$2:$F$477,MATCH($E644,Section_Master!$A$2:$A$477,0))&amp;"","")</f>
        <v>No</v>
      </c>
      <c r="I644" s="10" t="str">
        <f aca="false">IFERROR(INDEX(Section_Master!$G$2:$G$477,MATCH($E644,Section_Master!$A$2:$A$477,0))&amp;"","")</f>
        <v>No</v>
      </c>
      <c r="J644" s="10" t="s">
        <v>48</v>
      </c>
      <c r="K644" s="8" t="s">
        <v>1551</v>
      </c>
    </row>
    <row r="645" customFormat="false" ht="34.5" hidden="false" customHeight="true" outlineLevel="0" collapsed="false">
      <c r="A645" s="10" t="s">
        <v>1552</v>
      </c>
      <c r="B645" s="10" t="s">
        <v>45</v>
      </c>
      <c r="C645" s="8" t="s">
        <v>1549</v>
      </c>
      <c r="D645" s="8" t="s">
        <v>1553</v>
      </c>
      <c r="E645" s="11" t="n">
        <v>108</v>
      </c>
      <c r="F645" s="8" t="str">
        <f aca="false">IFERROR(INDEX(Section_Master!$D$2:$D$477,MATCH($E645,Section_Master!$A$2:$A$477,0))&amp;"","")</f>
        <v>Imprisonment up to 10 years and fine</v>
      </c>
      <c r="G645" s="10" t="str">
        <f aca="false">IFERROR(INDEX(Section_Master!$E$2:$E$477,MATCH($E645,Section_Master!$A$2:$A$477,0))&amp;"","")</f>
        <v>Yes</v>
      </c>
      <c r="H645" s="10" t="str">
        <f aca="false">IFERROR(INDEX(Section_Master!$F$2:$F$477,MATCH($E645,Section_Master!$A$2:$A$477,0))&amp;"","")</f>
        <v>No</v>
      </c>
      <c r="I645" s="10" t="str">
        <f aca="false">IFERROR(INDEX(Section_Master!$G$2:$G$477,MATCH($E645,Section_Master!$A$2:$A$477,0))&amp;"","")</f>
        <v>No</v>
      </c>
      <c r="J645" s="10" t="s">
        <v>52</v>
      </c>
      <c r="K645" s="8" t="s">
        <v>1551</v>
      </c>
    </row>
    <row r="646" customFormat="false" ht="34.5" hidden="false" customHeight="true" outlineLevel="0" collapsed="false">
      <c r="A646" s="10" t="s">
        <v>1554</v>
      </c>
      <c r="B646" s="10" t="s">
        <v>45</v>
      </c>
      <c r="C646" s="8" t="s">
        <v>1549</v>
      </c>
      <c r="D646" s="8" t="s">
        <v>1555</v>
      </c>
      <c r="E646" s="11" t="n">
        <v>108</v>
      </c>
      <c r="F646" s="8" t="str">
        <f aca="false">IFERROR(INDEX(Section_Master!$D$2:$D$477,MATCH($E646,Section_Master!$A$2:$A$477,0))&amp;"","")</f>
        <v>Imprisonment up to 10 years and fine</v>
      </c>
      <c r="G646" s="10" t="str">
        <f aca="false">IFERROR(INDEX(Section_Master!$E$2:$E$477,MATCH($E646,Section_Master!$A$2:$A$477,0))&amp;"","")</f>
        <v>Yes</v>
      </c>
      <c r="H646" s="10" t="str">
        <f aca="false">IFERROR(INDEX(Section_Master!$F$2:$F$477,MATCH($E646,Section_Master!$A$2:$A$477,0))&amp;"","")</f>
        <v>No</v>
      </c>
      <c r="I646" s="10" t="str">
        <f aca="false">IFERROR(INDEX(Section_Master!$G$2:$G$477,MATCH($E646,Section_Master!$A$2:$A$477,0))&amp;"","")</f>
        <v>No</v>
      </c>
      <c r="J646" s="10" t="s">
        <v>55</v>
      </c>
      <c r="K646" s="8" t="s">
        <v>1551</v>
      </c>
    </row>
    <row r="647" customFormat="false" ht="23.25" hidden="false" customHeight="true" outlineLevel="0" collapsed="false">
      <c r="A647" s="10" t="s">
        <v>1556</v>
      </c>
      <c r="B647" s="10" t="s">
        <v>45</v>
      </c>
      <c r="C647" s="8" t="s">
        <v>1549</v>
      </c>
      <c r="D647" s="8" t="s">
        <v>1557</v>
      </c>
      <c r="E647" s="11" t="n">
        <v>108</v>
      </c>
      <c r="F647" s="8" t="str">
        <f aca="false">IFERROR(INDEX(Section_Master!$D$2:$D$477,MATCH($E647,Section_Master!$A$2:$A$477,0))&amp;"","")</f>
        <v>Imprisonment up to 10 years and fine</v>
      </c>
      <c r="G647" s="10" t="str">
        <f aca="false">IFERROR(INDEX(Section_Master!$E$2:$E$477,MATCH($E647,Section_Master!$A$2:$A$477,0))&amp;"","")</f>
        <v>Yes</v>
      </c>
      <c r="H647" s="10" t="str">
        <f aca="false">IFERROR(INDEX(Section_Master!$F$2:$F$477,MATCH($E647,Section_Master!$A$2:$A$477,0))&amp;"","")</f>
        <v>No</v>
      </c>
      <c r="I647" s="10" t="str">
        <f aca="false">IFERROR(INDEX(Section_Master!$G$2:$G$477,MATCH($E647,Section_Master!$A$2:$A$477,0))&amp;"","")</f>
        <v>No</v>
      </c>
      <c r="J647" s="10" t="s">
        <v>58</v>
      </c>
      <c r="K647" s="8" t="s">
        <v>1551</v>
      </c>
    </row>
    <row r="648" customFormat="false" ht="34.5" hidden="false" customHeight="true" outlineLevel="0" collapsed="false">
      <c r="A648" s="10" t="s">
        <v>1558</v>
      </c>
      <c r="B648" s="10" t="s">
        <v>45</v>
      </c>
      <c r="C648" s="8" t="s">
        <v>1549</v>
      </c>
      <c r="D648" s="8" t="s">
        <v>1559</v>
      </c>
      <c r="E648" s="11" t="n">
        <v>108</v>
      </c>
      <c r="F648" s="8" t="str">
        <f aca="false">IFERROR(INDEX(Section_Master!$D$2:$D$477,MATCH($E648,Section_Master!$A$2:$A$477,0))&amp;"","")</f>
        <v>Imprisonment up to 10 years and fine</v>
      </c>
      <c r="G648" s="10" t="str">
        <f aca="false">IFERROR(INDEX(Section_Master!$E$2:$E$477,MATCH($E648,Section_Master!$A$2:$A$477,0))&amp;"","")</f>
        <v>Yes</v>
      </c>
      <c r="H648" s="10" t="str">
        <f aca="false">IFERROR(INDEX(Section_Master!$F$2:$F$477,MATCH($E648,Section_Master!$A$2:$A$477,0))&amp;"","")</f>
        <v>No</v>
      </c>
      <c r="I648" s="10" t="str">
        <f aca="false">IFERROR(INDEX(Section_Master!$G$2:$G$477,MATCH($E648,Section_Master!$A$2:$A$477,0))&amp;"","")</f>
        <v>No</v>
      </c>
      <c r="J648" s="10" t="s">
        <v>61</v>
      </c>
      <c r="K648" s="8" t="s">
        <v>1551</v>
      </c>
    </row>
    <row r="649" customFormat="false" ht="34.5" hidden="false" customHeight="true" outlineLevel="0" collapsed="false">
      <c r="A649" s="10" t="s">
        <v>1560</v>
      </c>
      <c r="B649" s="10" t="s">
        <v>45</v>
      </c>
      <c r="C649" s="8" t="s">
        <v>1549</v>
      </c>
      <c r="D649" s="8" t="s">
        <v>1561</v>
      </c>
      <c r="E649" s="11" t="n">
        <v>108</v>
      </c>
      <c r="F649" s="8" t="str">
        <f aca="false">IFERROR(INDEX(Section_Master!$D$2:$D$477,MATCH($E649,Section_Master!$A$2:$A$477,0))&amp;"","")</f>
        <v>Imprisonment up to 10 years and fine</v>
      </c>
      <c r="G649" s="10" t="str">
        <f aca="false">IFERROR(INDEX(Section_Master!$E$2:$E$477,MATCH($E649,Section_Master!$A$2:$A$477,0))&amp;"","")</f>
        <v>Yes</v>
      </c>
      <c r="H649" s="10" t="str">
        <f aca="false">IFERROR(INDEX(Section_Master!$F$2:$F$477,MATCH($E649,Section_Master!$A$2:$A$477,0))&amp;"","")</f>
        <v>No</v>
      </c>
      <c r="I649" s="10" t="str">
        <f aca="false">IFERROR(INDEX(Section_Master!$G$2:$G$477,MATCH($E649,Section_Master!$A$2:$A$477,0))&amp;"","")</f>
        <v>No</v>
      </c>
      <c r="J649" s="10" t="s">
        <v>64</v>
      </c>
      <c r="K649" s="8" t="s">
        <v>1551</v>
      </c>
    </row>
    <row r="650" customFormat="false" ht="34.5" hidden="false" customHeight="true" outlineLevel="0" collapsed="false">
      <c r="A650" s="10" t="s">
        <v>1562</v>
      </c>
      <c r="B650" s="10" t="s">
        <v>45</v>
      </c>
      <c r="C650" s="8" t="s">
        <v>1563</v>
      </c>
      <c r="D650" s="8" t="s">
        <v>1564</v>
      </c>
      <c r="E650" s="11" t="n">
        <v>109</v>
      </c>
      <c r="F650" s="8" t="str">
        <f aca="false">IFERROR(INDEX(Section_Master!$D$2:$D$477,MATCH($E650,Section_Master!$A$2:$A$477,0))&amp;"","")</f>
        <v>Imprisonment up to 10 years and fine; if hurt is caused, imprisonment for life or the term above [s.109(1)]</v>
      </c>
      <c r="G650" s="10" t="str">
        <f aca="false">IFERROR(INDEX(Section_Master!$E$2:$E$477,MATCH($E650,Section_Master!$A$2:$A$477,0))&amp;"","")</f>
        <v>Yes</v>
      </c>
      <c r="H650" s="10" t="str">
        <f aca="false">IFERROR(INDEX(Section_Master!$F$2:$F$477,MATCH($E650,Section_Master!$A$2:$A$477,0))&amp;"","")</f>
        <v>No</v>
      </c>
      <c r="I650" s="10" t="str">
        <f aca="false">IFERROR(INDEX(Section_Master!$G$2:$G$477,MATCH($E650,Section_Master!$A$2:$A$477,0))&amp;"","")</f>
        <v>No</v>
      </c>
      <c r="J650" s="10" t="s">
        <v>48</v>
      </c>
      <c r="K650" s="8" t="s">
        <v>1565</v>
      </c>
    </row>
    <row r="651" customFormat="false" ht="45.75" hidden="false" customHeight="true" outlineLevel="0" collapsed="false">
      <c r="A651" s="10" t="s">
        <v>1566</v>
      </c>
      <c r="B651" s="10" t="s">
        <v>45</v>
      </c>
      <c r="C651" s="8" t="s">
        <v>1563</v>
      </c>
      <c r="D651" s="8" t="s">
        <v>1567</v>
      </c>
      <c r="E651" s="11" t="n">
        <v>109</v>
      </c>
      <c r="F651" s="8" t="str">
        <f aca="false">IFERROR(INDEX(Section_Master!$D$2:$D$477,MATCH($E651,Section_Master!$A$2:$A$477,0))&amp;"","")</f>
        <v>Imprisonment up to 10 years and fine; if hurt is caused, imprisonment for life or the term above [s.109(1)]</v>
      </c>
      <c r="G651" s="10" t="str">
        <f aca="false">IFERROR(INDEX(Section_Master!$E$2:$E$477,MATCH($E651,Section_Master!$A$2:$A$477,0))&amp;"","")</f>
        <v>Yes</v>
      </c>
      <c r="H651" s="10" t="str">
        <f aca="false">IFERROR(INDEX(Section_Master!$F$2:$F$477,MATCH($E651,Section_Master!$A$2:$A$477,0))&amp;"","")</f>
        <v>No</v>
      </c>
      <c r="I651" s="10" t="str">
        <f aca="false">IFERROR(INDEX(Section_Master!$G$2:$G$477,MATCH($E651,Section_Master!$A$2:$A$477,0))&amp;"","")</f>
        <v>No</v>
      </c>
      <c r="J651" s="10" t="s">
        <v>52</v>
      </c>
      <c r="K651" s="8" t="s">
        <v>1565</v>
      </c>
    </row>
    <row r="652" customFormat="false" ht="34.5" hidden="false" customHeight="true" outlineLevel="0" collapsed="false">
      <c r="A652" s="10" t="s">
        <v>1568</v>
      </c>
      <c r="B652" s="10" t="s">
        <v>45</v>
      </c>
      <c r="C652" s="8" t="s">
        <v>1563</v>
      </c>
      <c r="D652" s="8" t="s">
        <v>1569</v>
      </c>
      <c r="E652" s="11" t="n">
        <v>109</v>
      </c>
      <c r="F652" s="8" t="str">
        <f aca="false">IFERROR(INDEX(Section_Master!$D$2:$D$477,MATCH($E652,Section_Master!$A$2:$A$477,0))&amp;"","")</f>
        <v>Imprisonment up to 10 years and fine; if hurt is caused, imprisonment for life or the term above [s.109(1)]</v>
      </c>
      <c r="G652" s="10" t="str">
        <f aca="false">IFERROR(INDEX(Section_Master!$E$2:$E$477,MATCH($E652,Section_Master!$A$2:$A$477,0))&amp;"","")</f>
        <v>Yes</v>
      </c>
      <c r="H652" s="10" t="str">
        <f aca="false">IFERROR(INDEX(Section_Master!$F$2:$F$477,MATCH($E652,Section_Master!$A$2:$A$477,0))&amp;"","")</f>
        <v>No</v>
      </c>
      <c r="I652" s="10" t="str">
        <f aca="false">IFERROR(INDEX(Section_Master!$G$2:$G$477,MATCH($E652,Section_Master!$A$2:$A$477,0))&amp;"","")</f>
        <v>No</v>
      </c>
      <c r="J652" s="10" t="s">
        <v>55</v>
      </c>
      <c r="K652" s="8" t="s">
        <v>1565</v>
      </c>
    </row>
    <row r="653" customFormat="false" ht="34.5" hidden="false" customHeight="true" outlineLevel="0" collapsed="false">
      <c r="A653" s="10" t="s">
        <v>1570</v>
      </c>
      <c r="B653" s="10" t="s">
        <v>45</v>
      </c>
      <c r="C653" s="8" t="s">
        <v>1563</v>
      </c>
      <c r="D653" s="8" t="s">
        <v>1571</v>
      </c>
      <c r="E653" s="11" t="n">
        <v>109</v>
      </c>
      <c r="F653" s="8" t="str">
        <f aca="false">IFERROR(INDEX(Section_Master!$D$2:$D$477,MATCH($E653,Section_Master!$A$2:$A$477,0))&amp;"","")</f>
        <v>Imprisonment up to 10 years and fine; if hurt is caused, imprisonment for life or the term above [s.109(1)]</v>
      </c>
      <c r="G653" s="10" t="str">
        <f aca="false">IFERROR(INDEX(Section_Master!$E$2:$E$477,MATCH($E653,Section_Master!$A$2:$A$477,0))&amp;"","")</f>
        <v>Yes</v>
      </c>
      <c r="H653" s="10" t="str">
        <f aca="false">IFERROR(INDEX(Section_Master!$F$2:$F$477,MATCH($E653,Section_Master!$A$2:$A$477,0))&amp;"","")</f>
        <v>No</v>
      </c>
      <c r="I653" s="10" t="str">
        <f aca="false">IFERROR(INDEX(Section_Master!$G$2:$G$477,MATCH($E653,Section_Master!$A$2:$A$477,0))&amp;"","")</f>
        <v>No</v>
      </c>
      <c r="J653" s="10" t="s">
        <v>58</v>
      </c>
      <c r="K653" s="8" t="s">
        <v>1565</v>
      </c>
    </row>
    <row r="654" customFormat="false" ht="34.5" hidden="false" customHeight="true" outlineLevel="0" collapsed="false">
      <c r="A654" s="10" t="s">
        <v>1572</v>
      </c>
      <c r="B654" s="10" t="s">
        <v>45</v>
      </c>
      <c r="C654" s="8" t="s">
        <v>1563</v>
      </c>
      <c r="D654" s="8" t="s">
        <v>1573</v>
      </c>
      <c r="E654" s="11" t="n">
        <v>109</v>
      </c>
      <c r="F654" s="8" t="str">
        <f aca="false">IFERROR(INDEX(Section_Master!$D$2:$D$477,MATCH($E654,Section_Master!$A$2:$A$477,0))&amp;"","")</f>
        <v>Imprisonment up to 10 years and fine; if hurt is caused, imprisonment for life or the term above [s.109(1)]</v>
      </c>
      <c r="G654" s="10" t="str">
        <f aca="false">IFERROR(INDEX(Section_Master!$E$2:$E$477,MATCH($E654,Section_Master!$A$2:$A$477,0))&amp;"","")</f>
        <v>Yes</v>
      </c>
      <c r="H654" s="10" t="str">
        <f aca="false">IFERROR(INDEX(Section_Master!$F$2:$F$477,MATCH($E654,Section_Master!$A$2:$A$477,0))&amp;"","")</f>
        <v>No</v>
      </c>
      <c r="I654" s="10" t="str">
        <f aca="false">IFERROR(INDEX(Section_Master!$G$2:$G$477,MATCH($E654,Section_Master!$A$2:$A$477,0))&amp;"","")</f>
        <v>No</v>
      </c>
      <c r="J654" s="10" t="s">
        <v>61</v>
      </c>
      <c r="K654" s="8" t="s">
        <v>1565</v>
      </c>
    </row>
    <row r="655" customFormat="false" ht="34.5" hidden="false" customHeight="true" outlineLevel="0" collapsed="false">
      <c r="A655" s="10" t="s">
        <v>1574</v>
      </c>
      <c r="B655" s="10" t="s">
        <v>45</v>
      </c>
      <c r="C655" s="8" t="s">
        <v>1563</v>
      </c>
      <c r="D655" s="8" t="s">
        <v>1575</v>
      </c>
      <c r="E655" s="11" t="n">
        <v>109</v>
      </c>
      <c r="F655" s="8" t="str">
        <f aca="false">IFERROR(INDEX(Section_Master!$D$2:$D$477,MATCH($E655,Section_Master!$A$2:$A$477,0))&amp;"","")</f>
        <v>Imprisonment up to 10 years and fine; if hurt is caused, imprisonment for life or the term above [s.109(1)]</v>
      </c>
      <c r="G655" s="10" t="str">
        <f aca="false">IFERROR(INDEX(Section_Master!$E$2:$E$477,MATCH($E655,Section_Master!$A$2:$A$477,0))&amp;"","")</f>
        <v>Yes</v>
      </c>
      <c r="H655" s="10" t="str">
        <f aca="false">IFERROR(INDEX(Section_Master!$F$2:$F$477,MATCH($E655,Section_Master!$A$2:$A$477,0))&amp;"","")</f>
        <v>No</v>
      </c>
      <c r="I655" s="10" t="str">
        <f aca="false">IFERROR(INDEX(Section_Master!$G$2:$G$477,MATCH($E655,Section_Master!$A$2:$A$477,0))&amp;"","")</f>
        <v>No</v>
      </c>
      <c r="J655" s="10" t="s">
        <v>64</v>
      </c>
      <c r="K655" s="8" t="s">
        <v>1565</v>
      </c>
    </row>
    <row r="656" customFormat="false" ht="34.5" hidden="false" customHeight="true" outlineLevel="0" collapsed="false">
      <c r="A656" s="10" t="s">
        <v>1576</v>
      </c>
      <c r="B656" s="10" t="s">
        <v>45</v>
      </c>
      <c r="C656" s="8" t="s">
        <v>1577</v>
      </c>
      <c r="D656" s="8" t="s">
        <v>1578</v>
      </c>
      <c r="E656" s="11" t="n">
        <v>110</v>
      </c>
      <c r="F656" s="8" t="str">
        <f aca="false">IFERROR(INDEX(Section_Master!$D$2:$D$477,MATCH($E656,Section_Master!$A$2:$A$477,0))&amp;"","")</f>
        <v>Imprisonment up to 3 years, or fine, or both; up to 7 years, or fine, or both if hurt is caused [s.110]</v>
      </c>
      <c r="G656" s="10" t="str">
        <f aca="false">IFERROR(INDEX(Section_Master!$E$2:$E$477,MATCH($E656,Section_Master!$A$2:$A$477,0))&amp;"","")</f>
        <v>Yes</v>
      </c>
      <c r="H656" s="10" t="str">
        <f aca="false">IFERROR(INDEX(Section_Master!$F$2:$F$477,MATCH($E656,Section_Master!$A$2:$A$477,0))&amp;"","")</f>
        <v>No</v>
      </c>
      <c r="I656" s="10" t="str">
        <f aca="false">IFERROR(INDEX(Section_Master!$G$2:$G$477,MATCH($E656,Section_Master!$A$2:$A$477,0))&amp;"","")</f>
        <v>With court permission</v>
      </c>
      <c r="J656" s="10" t="s">
        <v>48</v>
      </c>
      <c r="K656" s="8" t="s">
        <v>1579</v>
      </c>
    </row>
    <row r="657" customFormat="false" ht="34.5" hidden="false" customHeight="true" outlineLevel="0" collapsed="false">
      <c r="A657" s="10" t="s">
        <v>1580</v>
      </c>
      <c r="B657" s="10" t="s">
        <v>45</v>
      </c>
      <c r="C657" s="8" t="s">
        <v>1577</v>
      </c>
      <c r="D657" s="8" t="s">
        <v>1581</v>
      </c>
      <c r="E657" s="11" t="n">
        <v>110</v>
      </c>
      <c r="F657" s="8" t="str">
        <f aca="false">IFERROR(INDEX(Section_Master!$D$2:$D$477,MATCH($E657,Section_Master!$A$2:$A$477,0))&amp;"","")</f>
        <v>Imprisonment up to 3 years, or fine, or both; up to 7 years, or fine, or both if hurt is caused [s.110]</v>
      </c>
      <c r="G657" s="10" t="str">
        <f aca="false">IFERROR(INDEX(Section_Master!$E$2:$E$477,MATCH($E657,Section_Master!$A$2:$A$477,0))&amp;"","")</f>
        <v>Yes</v>
      </c>
      <c r="H657" s="10" t="str">
        <f aca="false">IFERROR(INDEX(Section_Master!$F$2:$F$477,MATCH($E657,Section_Master!$A$2:$A$477,0))&amp;"","")</f>
        <v>No</v>
      </c>
      <c r="I657" s="10" t="str">
        <f aca="false">IFERROR(INDEX(Section_Master!$G$2:$G$477,MATCH($E657,Section_Master!$A$2:$A$477,0))&amp;"","")</f>
        <v>With court permission</v>
      </c>
      <c r="J657" s="10" t="s">
        <v>52</v>
      </c>
      <c r="K657" s="8" t="s">
        <v>1579</v>
      </c>
    </row>
    <row r="658" customFormat="false" ht="34.5" hidden="false" customHeight="true" outlineLevel="0" collapsed="false">
      <c r="A658" s="10" t="s">
        <v>1582</v>
      </c>
      <c r="B658" s="10" t="s">
        <v>45</v>
      </c>
      <c r="C658" s="8" t="s">
        <v>1577</v>
      </c>
      <c r="D658" s="8" t="s">
        <v>1583</v>
      </c>
      <c r="E658" s="11" t="n">
        <v>110</v>
      </c>
      <c r="F658" s="8" t="str">
        <f aca="false">IFERROR(INDEX(Section_Master!$D$2:$D$477,MATCH($E658,Section_Master!$A$2:$A$477,0))&amp;"","")</f>
        <v>Imprisonment up to 3 years, or fine, or both; up to 7 years, or fine, or both if hurt is caused [s.110]</v>
      </c>
      <c r="G658" s="10" t="str">
        <f aca="false">IFERROR(INDEX(Section_Master!$E$2:$E$477,MATCH($E658,Section_Master!$A$2:$A$477,0))&amp;"","")</f>
        <v>Yes</v>
      </c>
      <c r="H658" s="10" t="str">
        <f aca="false">IFERROR(INDEX(Section_Master!$F$2:$F$477,MATCH($E658,Section_Master!$A$2:$A$477,0))&amp;"","")</f>
        <v>No</v>
      </c>
      <c r="I658" s="10" t="str">
        <f aca="false">IFERROR(INDEX(Section_Master!$G$2:$G$477,MATCH($E658,Section_Master!$A$2:$A$477,0))&amp;"","")</f>
        <v>With court permission</v>
      </c>
      <c r="J658" s="10" t="s">
        <v>55</v>
      </c>
      <c r="K658" s="8" t="s">
        <v>1579</v>
      </c>
    </row>
    <row r="659" customFormat="false" ht="23.25" hidden="false" customHeight="true" outlineLevel="0" collapsed="false">
      <c r="A659" s="10" t="s">
        <v>1584</v>
      </c>
      <c r="B659" s="10" t="s">
        <v>45</v>
      </c>
      <c r="C659" s="8" t="s">
        <v>1577</v>
      </c>
      <c r="D659" s="8" t="s">
        <v>1585</v>
      </c>
      <c r="E659" s="11" t="n">
        <v>110</v>
      </c>
      <c r="F659" s="8" t="str">
        <f aca="false">IFERROR(INDEX(Section_Master!$D$2:$D$477,MATCH($E659,Section_Master!$A$2:$A$477,0))&amp;"","")</f>
        <v>Imprisonment up to 3 years, or fine, or both; up to 7 years, or fine, or both if hurt is caused [s.110]</v>
      </c>
      <c r="G659" s="10" t="str">
        <f aca="false">IFERROR(INDEX(Section_Master!$E$2:$E$477,MATCH($E659,Section_Master!$A$2:$A$477,0))&amp;"","")</f>
        <v>Yes</v>
      </c>
      <c r="H659" s="10" t="str">
        <f aca="false">IFERROR(INDEX(Section_Master!$F$2:$F$477,MATCH($E659,Section_Master!$A$2:$A$477,0))&amp;"","")</f>
        <v>No</v>
      </c>
      <c r="I659" s="10" t="str">
        <f aca="false">IFERROR(INDEX(Section_Master!$G$2:$G$477,MATCH($E659,Section_Master!$A$2:$A$477,0))&amp;"","")</f>
        <v>With court permission</v>
      </c>
      <c r="J659" s="10" t="s">
        <v>58</v>
      </c>
      <c r="K659" s="8" t="s">
        <v>1579</v>
      </c>
    </row>
    <row r="660" customFormat="false" ht="45.75" hidden="false" customHeight="true" outlineLevel="0" collapsed="false">
      <c r="A660" s="10" t="s">
        <v>1586</v>
      </c>
      <c r="B660" s="10" t="s">
        <v>45</v>
      </c>
      <c r="C660" s="8" t="s">
        <v>1577</v>
      </c>
      <c r="D660" s="8" t="s">
        <v>1587</v>
      </c>
      <c r="E660" s="11" t="n">
        <v>110</v>
      </c>
      <c r="F660" s="8" t="str">
        <f aca="false">IFERROR(INDEX(Section_Master!$D$2:$D$477,MATCH($E660,Section_Master!$A$2:$A$477,0))&amp;"","")</f>
        <v>Imprisonment up to 3 years, or fine, or both; up to 7 years, or fine, or both if hurt is caused [s.110]</v>
      </c>
      <c r="G660" s="10" t="str">
        <f aca="false">IFERROR(INDEX(Section_Master!$E$2:$E$477,MATCH($E660,Section_Master!$A$2:$A$477,0))&amp;"","")</f>
        <v>Yes</v>
      </c>
      <c r="H660" s="10" t="str">
        <f aca="false">IFERROR(INDEX(Section_Master!$F$2:$F$477,MATCH($E660,Section_Master!$A$2:$A$477,0))&amp;"","")</f>
        <v>No</v>
      </c>
      <c r="I660" s="10" t="str">
        <f aca="false">IFERROR(INDEX(Section_Master!$G$2:$G$477,MATCH($E660,Section_Master!$A$2:$A$477,0))&amp;"","")</f>
        <v>With court permission</v>
      </c>
      <c r="J660" s="10" t="s">
        <v>61</v>
      </c>
      <c r="K660" s="8" t="s">
        <v>1579</v>
      </c>
    </row>
    <row r="661" customFormat="false" ht="45.75" hidden="false" customHeight="true" outlineLevel="0" collapsed="false">
      <c r="A661" s="10" t="s">
        <v>1588</v>
      </c>
      <c r="B661" s="10" t="s">
        <v>45</v>
      </c>
      <c r="C661" s="8" t="s">
        <v>1577</v>
      </c>
      <c r="D661" s="8" t="s">
        <v>1589</v>
      </c>
      <c r="E661" s="11" t="n">
        <v>110</v>
      </c>
      <c r="F661" s="8" t="str">
        <f aca="false">IFERROR(INDEX(Section_Master!$D$2:$D$477,MATCH($E661,Section_Master!$A$2:$A$477,0))&amp;"","")</f>
        <v>Imprisonment up to 3 years, or fine, or both; up to 7 years, or fine, or both if hurt is caused [s.110]</v>
      </c>
      <c r="G661" s="10" t="str">
        <f aca="false">IFERROR(INDEX(Section_Master!$E$2:$E$477,MATCH($E661,Section_Master!$A$2:$A$477,0))&amp;"","")</f>
        <v>Yes</v>
      </c>
      <c r="H661" s="10" t="str">
        <f aca="false">IFERROR(INDEX(Section_Master!$F$2:$F$477,MATCH($E661,Section_Master!$A$2:$A$477,0))&amp;"","")</f>
        <v>No</v>
      </c>
      <c r="I661" s="10" t="str">
        <f aca="false">IFERROR(INDEX(Section_Master!$G$2:$G$477,MATCH($E661,Section_Master!$A$2:$A$477,0))&amp;"","")</f>
        <v>With court permission</v>
      </c>
      <c r="J661" s="10" t="s">
        <v>64</v>
      </c>
      <c r="K661" s="8" t="s">
        <v>1579</v>
      </c>
    </row>
    <row r="662" customFormat="false" ht="45.75" hidden="false" customHeight="true" outlineLevel="0" collapsed="false">
      <c r="A662" s="10" t="s">
        <v>1590</v>
      </c>
      <c r="B662" s="10" t="s">
        <v>45</v>
      </c>
      <c r="C662" s="8" t="s">
        <v>1591</v>
      </c>
      <c r="D662" s="8" t="s">
        <v>1592</v>
      </c>
      <c r="E662" s="11" t="n">
        <v>111</v>
      </c>
      <c r="F662" s="8" t="str">
        <f aca="false">IFERROR(INDEX(Section_Master!$D$2:$D$477,MATCH($E662,Section_Master!$A$2:$A$477,0))&amp;"","")</f>
        <v>Death or life imprisonment and fine not less than Rs 10 lakh if death results; otherwise 5 years to life and fine not less than Rs 5 lakh [s.111(2)]</v>
      </c>
      <c r="G662" s="10" t="str">
        <f aca="false">IFERROR(INDEX(Section_Master!$E$2:$E$477,MATCH($E662,Section_Master!$A$2:$A$477,0))&amp;"","")</f>
        <v>Yes</v>
      </c>
      <c r="H662" s="10" t="str">
        <f aca="false">IFERROR(INDEX(Section_Master!$F$2:$F$477,MATCH($E662,Section_Master!$A$2:$A$477,0))&amp;"","")</f>
        <v>No</v>
      </c>
      <c r="I662" s="10" t="str">
        <f aca="false">IFERROR(INDEX(Section_Master!$G$2:$G$477,MATCH($E662,Section_Master!$A$2:$A$477,0))&amp;"","")</f>
        <v>No</v>
      </c>
      <c r="J662" s="10" t="s">
        <v>48</v>
      </c>
      <c r="K662" s="8" t="s">
        <v>1593</v>
      </c>
    </row>
    <row r="663" customFormat="false" ht="57" hidden="false" customHeight="true" outlineLevel="0" collapsed="false">
      <c r="A663" s="10" t="s">
        <v>1594</v>
      </c>
      <c r="B663" s="10" t="s">
        <v>45</v>
      </c>
      <c r="C663" s="8" t="s">
        <v>1591</v>
      </c>
      <c r="D663" s="8" t="s">
        <v>1595</v>
      </c>
      <c r="E663" s="11" t="n">
        <v>111</v>
      </c>
      <c r="F663" s="8" t="str">
        <f aca="false">IFERROR(INDEX(Section_Master!$D$2:$D$477,MATCH($E663,Section_Master!$A$2:$A$477,0))&amp;"","")</f>
        <v>Death or life imprisonment and fine not less than Rs 10 lakh if death results; otherwise 5 years to life and fine not less than Rs 5 lakh [s.111(2)]</v>
      </c>
      <c r="G663" s="10" t="str">
        <f aca="false">IFERROR(INDEX(Section_Master!$E$2:$E$477,MATCH($E663,Section_Master!$A$2:$A$477,0))&amp;"","")</f>
        <v>Yes</v>
      </c>
      <c r="H663" s="10" t="str">
        <f aca="false">IFERROR(INDEX(Section_Master!$F$2:$F$477,MATCH($E663,Section_Master!$A$2:$A$477,0))&amp;"","")</f>
        <v>No</v>
      </c>
      <c r="I663" s="10" t="str">
        <f aca="false">IFERROR(INDEX(Section_Master!$G$2:$G$477,MATCH($E663,Section_Master!$A$2:$A$477,0))&amp;"","")</f>
        <v>No</v>
      </c>
      <c r="J663" s="10" t="s">
        <v>52</v>
      </c>
      <c r="K663" s="8" t="s">
        <v>1593</v>
      </c>
    </row>
    <row r="664" customFormat="false" ht="34.5" hidden="false" customHeight="true" outlineLevel="0" collapsed="false">
      <c r="A664" s="10" t="s">
        <v>1596</v>
      </c>
      <c r="B664" s="10" t="s">
        <v>45</v>
      </c>
      <c r="C664" s="8" t="s">
        <v>1591</v>
      </c>
      <c r="D664" s="8" t="s">
        <v>1597</v>
      </c>
      <c r="E664" s="11" t="n">
        <v>111</v>
      </c>
      <c r="F664" s="8" t="str">
        <f aca="false">IFERROR(INDEX(Section_Master!$D$2:$D$477,MATCH($E664,Section_Master!$A$2:$A$477,0))&amp;"","")</f>
        <v>Death or life imprisonment and fine not less than Rs 10 lakh if death results; otherwise 5 years to life and fine not less than Rs 5 lakh [s.111(2)]</v>
      </c>
      <c r="G664" s="10" t="str">
        <f aca="false">IFERROR(INDEX(Section_Master!$E$2:$E$477,MATCH($E664,Section_Master!$A$2:$A$477,0))&amp;"","")</f>
        <v>Yes</v>
      </c>
      <c r="H664" s="10" t="str">
        <f aca="false">IFERROR(INDEX(Section_Master!$F$2:$F$477,MATCH($E664,Section_Master!$A$2:$A$477,0))&amp;"","")</f>
        <v>No</v>
      </c>
      <c r="I664" s="10" t="str">
        <f aca="false">IFERROR(INDEX(Section_Master!$G$2:$G$477,MATCH($E664,Section_Master!$A$2:$A$477,0))&amp;"","")</f>
        <v>No</v>
      </c>
      <c r="J664" s="10" t="s">
        <v>55</v>
      </c>
      <c r="K664" s="8" t="s">
        <v>1593</v>
      </c>
    </row>
    <row r="665" customFormat="false" ht="45.75" hidden="false" customHeight="true" outlineLevel="0" collapsed="false">
      <c r="A665" s="10" t="s">
        <v>1598</v>
      </c>
      <c r="B665" s="10" t="s">
        <v>45</v>
      </c>
      <c r="C665" s="8" t="s">
        <v>1591</v>
      </c>
      <c r="D665" s="8" t="s">
        <v>1599</v>
      </c>
      <c r="E665" s="11" t="n">
        <v>111</v>
      </c>
      <c r="F665" s="8" t="str">
        <f aca="false">IFERROR(INDEX(Section_Master!$D$2:$D$477,MATCH($E665,Section_Master!$A$2:$A$477,0))&amp;"","")</f>
        <v>Death or life imprisonment and fine not less than Rs 10 lakh if death results; otherwise 5 years to life and fine not less than Rs 5 lakh [s.111(2)]</v>
      </c>
      <c r="G665" s="10" t="str">
        <f aca="false">IFERROR(INDEX(Section_Master!$E$2:$E$477,MATCH($E665,Section_Master!$A$2:$A$477,0))&amp;"","")</f>
        <v>Yes</v>
      </c>
      <c r="H665" s="10" t="str">
        <f aca="false">IFERROR(INDEX(Section_Master!$F$2:$F$477,MATCH($E665,Section_Master!$A$2:$A$477,0))&amp;"","")</f>
        <v>No</v>
      </c>
      <c r="I665" s="10" t="str">
        <f aca="false">IFERROR(INDEX(Section_Master!$G$2:$G$477,MATCH($E665,Section_Master!$A$2:$A$477,0))&amp;"","")</f>
        <v>No</v>
      </c>
      <c r="J665" s="10" t="s">
        <v>58</v>
      </c>
      <c r="K665" s="8" t="s">
        <v>1593</v>
      </c>
    </row>
    <row r="666" customFormat="false" ht="34.5" hidden="false" customHeight="true" outlineLevel="0" collapsed="false">
      <c r="A666" s="10" t="s">
        <v>1600</v>
      </c>
      <c r="B666" s="10" t="s">
        <v>45</v>
      </c>
      <c r="C666" s="8" t="s">
        <v>1591</v>
      </c>
      <c r="D666" s="8" t="s">
        <v>1601</v>
      </c>
      <c r="E666" s="11" t="n">
        <v>111</v>
      </c>
      <c r="F666" s="8" t="str">
        <f aca="false">IFERROR(INDEX(Section_Master!$D$2:$D$477,MATCH($E666,Section_Master!$A$2:$A$477,0))&amp;"","")</f>
        <v>Death or life imprisonment and fine not less than Rs 10 lakh if death results; otherwise 5 years to life and fine not less than Rs 5 lakh [s.111(2)]</v>
      </c>
      <c r="G666" s="10" t="str">
        <f aca="false">IFERROR(INDEX(Section_Master!$E$2:$E$477,MATCH($E666,Section_Master!$A$2:$A$477,0))&amp;"","")</f>
        <v>Yes</v>
      </c>
      <c r="H666" s="10" t="str">
        <f aca="false">IFERROR(INDEX(Section_Master!$F$2:$F$477,MATCH($E666,Section_Master!$A$2:$A$477,0))&amp;"","")</f>
        <v>No</v>
      </c>
      <c r="I666" s="10" t="str">
        <f aca="false">IFERROR(INDEX(Section_Master!$G$2:$G$477,MATCH($E666,Section_Master!$A$2:$A$477,0))&amp;"","")</f>
        <v>No</v>
      </c>
      <c r="J666" s="10" t="s">
        <v>61</v>
      </c>
      <c r="K666" s="8" t="s">
        <v>1593</v>
      </c>
    </row>
    <row r="667" customFormat="false" ht="34.5" hidden="false" customHeight="true" outlineLevel="0" collapsed="false">
      <c r="A667" s="10" t="s">
        <v>1602</v>
      </c>
      <c r="B667" s="10" t="s">
        <v>45</v>
      </c>
      <c r="C667" s="8" t="s">
        <v>1591</v>
      </c>
      <c r="D667" s="8" t="s">
        <v>1603</v>
      </c>
      <c r="E667" s="11" t="n">
        <v>111</v>
      </c>
      <c r="F667" s="8" t="str">
        <f aca="false">IFERROR(INDEX(Section_Master!$D$2:$D$477,MATCH($E667,Section_Master!$A$2:$A$477,0))&amp;"","")</f>
        <v>Death or life imprisonment and fine not less than Rs 10 lakh if death results; otherwise 5 years to life and fine not less than Rs 5 lakh [s.111(2)]</v>
      </c>
      <c r="G667" s="10" t="str">
        <f aca="false">IFERROR(INDEX(Section_Master!$E$2:$E$477,MATCH($E667,Section_Master!$A$2:$A$477,0))&amp;"","")</f>
        <v>Yes</v>
      </c>
      <c r="H667" s="10" t="str">
        <f aca="false">IFERROR(INDEX(Section_Master!$F$2:$F$477,MATCH($E667,Section_Master!$A$2:$A$477,0))&amp;"","")</f>
        <v>No</v>
      </c>
      <c r="I667" s="10" t="str">
        <f aca="false">IFERROR(INDEX(Section_Master!$G$2:$G$477,MATCH($E667,Section_Master!$A$2:$A$477,0))&amp;"","")</f>
        <v>No</v>
      </c>
      <c r="J667" s="10" t="s">
        <v>64</v>
      </c>
      <c r="K667" s="8" t="s">
        <v>1593</v>
      </c>
    </row>
    <row r="668" customFormat="false" ht="34.5" hidden="false" customHeight="true" outlineLevel="0" collapsed="false">
      <c r="A668" s="10" t="s">
        <v>1604</v>
      </c>
      <c r="B668" s="10" t="s">
        <v>45</v>
      </c>
      <c r="C668" s="8" t="s">
        <v>1605</v>
      </c>
      <c r="D668" s="8" t="s">
        <v>1606</v>
      </c>
      <c r="E668" s="11" t="n">
        <v>112</v>
      </c>
      <c r="F668" s="8" t="str">
        <f aca="false">IFERROR(INDEX(Section_Master!$D$2:$D$477,MATCH($E668,Section_Master!$A$2:$A$477,0))&amp;"","")</f>
        <v>Imprisonment not less than 1 year, may extend to 7 years, and fine</v>
      </c>
      <c r="G668" s="10" t="str">
        <f aca="false">IFERROR(INDEX(Section_Master!$E$2:$E$477,MATCH($E668,Section_Master!$A$2:$A$477,0))&amp;"","")</f>
        <v>Yes</v>
      </c>
      <c r="H668" s="10" t="str">
        <f aca="false">IFERROR(INDEX(Section_Master!$F$2:$F$477,MATCH($E668,Section_Master!$A$2:$A$477,0))&amp;"","")</f>
        <v>No</v>
      </c>
      <c r="I668" s="10" t="str">
        <f aca="false">IFERROR(INDEX(Section_Master!$G$2:$G$477,MATCH($E668,Section_Master!$A$2:$A$477,0))&amp;"","")</f>
        <v>No</v>
      </c>
      <c r="J668" s="10" t="s">
        <v>48</v>
      </c>
      <c r="K668" s="8" t="s">
        <v>1607</v>
      </c>
    </row>
    <row r="669" customFormat="false" ht="45.75" hidden="false" customHeight="true" outlineLevel="0" collapsed="false">
      <c r="A669" s="10" t="s">
        <v>1608</v>
      </c>
      <c r="B669" s="10" t="s">
        <v>45</v>
      </c>
      <c r="C669" s="8" t="s">
        <v>1605</v>
      </c>
      <c r="D669" s="8" t="s">
        <v>1609</v>
      </c>
      <c r="E669" s="11" t="n">
        <v>112</v>
      </c>
      <c r="F669" s="8" t="str">
        <f aca="false">IFERROR(INDEX(Section_Master!$D$2:$D$477,MATCH($E669,Section_Master!$A$2:$A$477,0))&amp;"","")</f>
        <v>Imprisonment not less than 1 year, may extend to 7 years, and fine</v>
      </c>
      <c r="G669" s="10" t="str">
        <f aca="false">IFERROR(INDEX(Section_Master!$E$2:$E$477,MATCH($E669,Section_Master!$A$2:$A$477,0))&amp;"","")</f>
        <v>Yes</v>
      </c>
      <c r="H669" s="10" t="str">
        <f aca="false">IFERROR(INDEX(Section_Master!$F$2:$F$477,MATCH($E669,Section_Master!$A$2:$A$477,0))&amp;"","")</f>
        <v>No</v>
      </c>
      <c r="I669" s="10" t="str">
        <f aca="false">IFERROR(INDEX(Section_Master!$G$2:$G$477,MATCH($E669,Section_Master!$A$2:$A$477,0))&amp;"","")</f>
        <v>No</v>
      </c>
      <c r="J669" s="10" t="s">
        <v>52</v>
      </c>
      <c r="K669" s="8" t="s">
        <v>1607</v>
      </c>
    </row>
    <row r="670" customFormat="false" ht="34.5" hidden="false" customHeight="true" outlineLevel="0" collapsed="false">
      <c r="A670" s="10" t="s">
        <v>1610</v>
      </c>
      <c r="B670" s="10" t="s">
        <v>45</v>
      </c>
      <c r="C670" s="8" t="s">
        <v>1605</v>
      </c>
      <c r="D670" s="8" t="s">
        <v>1611</v>
      </c>
      <c r="E670" s="11" t="n">
        <v>112</v>
      </c>
      <c r="F670" s="8" t="str">
        <f aca="false">IFERROR(INDEX(Section_Master!$D$2:$D$477,MATCH($E670,Section_Master!$A$2:$A$477,0))&amp;"","")</f>
        <v>Imprisonment not less than 1 year, may extend to 7 years, and fine</v>
      </c>
      <c r="G670" s="10" t="str">
        <f aca="false">IFERROR(INDEX(Section_Master!$E$2:$E$477,MATCH($E670,Section_Master!$A$2:$A$477,0))&amp;"","")</f>
        <v>Yes</v>
      </c>
      <c r="H670" s="10" t="str">
        <f aca="false">IFERROR(INDEX(Section_Master!$F$2:$F$477,MATCH($E670,Section_Master!$A$2:$A$477,0))&amp;"","")</f>
        <v>No</v>
      </c>
      <c r="I670" s="10" t="str">
        <f aca="false">IFERROR(INDEX(Section_Master!$G$2:$G$477,MATCH($E670,Section_Master!$A$2:$A$477,0))&amp;"","")</f>
        <v>No</v>
      </c>
      <c r="J670" s="10" t="s">
        <v>55</v>
      </c>
      <c r="K670" s="8" t="s">
        <v>1607</v>
      </c>
    </row>
    <row r="671" customFormat="false" ht="34.5" hidden="false" customHeight="true" outlineLevel="0" collapsed="false">
      <c r="A671" s="10" t="s">
        <v>1612</v>
      </c>
      <c r="B671" s="10" t="s">
        <v>45</v>
      </c>
      <c r="C671" s="8" t="s">
        <v>1605</v>
      </c>
      <c r="D671" s="8" t="s">
        <v>1613</v>
      </c>
      <c r="E671" s="11" t="n">
        <v>112</v>
      </c>
      <c r="F671" s="8" t="str">
        <f aca="false">IFERROR(INDEX(Section_Master!$D$2:$D$477,MATCH($E671,Section_Master!$A$2:$A$477,0))&amp;"","")</f>
        <v>Imprisonment not less than 1 year, may extend to 7 years, and fine</v>
      </c>
      <c r="G671" s="10" t="str">
        <f aca="false">IFERROR(INDEX(Section_Master!$E$2:$E$477,MATCH($E671,Section_Master!$A$2:$A$477,0))&amp;"","")</f>
        <v>Yes</v>
      </c>
      <c r="H671" s="10" t="str">
        <f aca="false">IFERROR(INDEX(Section_Master!$F$2:$F$477,MATCH($E671,Section_Master!$A$2:$A$477,0))&amp;"","")</f>
        <v>No</v>
      </c>
      <c r="I671" s="10" t="str">
        <f aca="false">IFERROR(INDEX(Section_Master!$G$2:$G$477,MATCH($E671,Section_Master!$A$2:$A$477,0))&amp;"","")</f>
        <v>No</v>
      </c>
      <c r="J671" s="10" t="s">
        <v>58</v>
      </c>
      <c r="K671" s="8" t="s">
        <v>1607</v>
      </c>
    </row>
    <row r="672" customFormat="false" ht="34.5" hidden="false" customHeight="true" outlineLevel="0" collapsed="false">
      <c r="A672" s="10" t="s">
        <v>1614</v>
      </c>
      <c r="B672" s="10" t="s">
        <v>45</v>
      </c>
      <c r="C672" s="8" t="s">
        <v>1605</v>
      </c>
      <c r="D672" s="8" t="s">
        <v>1615</v>
      </c>
      <c r="E672" s="11" t="n">
        <v>112</v>
      </c>
      <c r="F672" s="8" t="str">
        <f aca="false">IFERROR(INDEX(Section_Master!$D$2:$D$477,MATCH($E672,Section_Master!$A$2:$A$477,0))&amp;"","")</f>
        <v>Imprisonment not less than 1 year, may extend to 7 years, and fine</v>
      </c>
      <c r="G672" s="10" t="str">
        <f aca="false">IFERROR(INDEX(Section_Master!$E$2:$E$477,MATCH($E672,Section_Master!$A$2:$A$477,0))&amp;"","")</f>
        <v>Yes</v>
      </c>
      <c r="H672" s="10" t="str">
        <f aca="false">IFERROR(INDEX(Section_Master!$F$2:$F$477,MATCH($E672,Section_Master!$A$2:$A$477,0))&amp;"","")</f>
        <v>No</v>
      </c>
      <c r="I672" s="10" t="str">
        <f aca="false">IFERROR(INDEX(Section_Master!$G$2:$G$477,MATCH($E672,Section_Master!$A$2:$A$477,0))&amp;"","")</f>
        <v>No</v>
      </c>
      <c r="J672" s="10" t="s">
        <v>61</v>
      </c>
      <c r="K672" s="8" t="s">
        <v>1607</v>
      </c>
    </row>
    <row r="673" customFormat="false" ht="45.75" hidden="false" customHeight="true" outlineLevel="0" collapsed="false">
      <c r="A673" s="10" t="s">
        <v>1616</v>
      </c>
      <c r="B673" s="10" t="s">
        <v>45</v>
      </c>
      <c r="C673" s="8" t="s">
        <v>1605</v>
      </c>
      <c r="D673" s="8" t="s">
        <v>1617</v>
      </c>
      <c r="E673" s="11" t="n">
        <v>112</v>
      </c>
      <c r="F673" s="8" t="str">
        <f aca="false">IFERROR(INDEX(Section_Master!$D$2:$D$477,MATCH($E673,Section_Master!$A$2:$A$477,0))&amp;"","")</f>
        <v>Imprisonment not less than 1 year, may extend to 7 years, and fine</v>
      </c>
      <c r="G673" s="10" t="str">
        <f aca="false">IFERROR(INDEX(Section_Master!$E$2:$E$477,MATCH($E673,Section_Master!$A$2:$A$477,0))&amp;"","")</f>
        <v>Yes</v>
      </c>
      <c r="H673" s="10" t="str">
        <f aca="false">IFERROR(INDEX(Section_Master!$F$2:$F$477,MATCH($E673,Section_Master!$A$2:$A$477,0))&amp;"","")</f>
        <v>No</v>
      </c>
      <c r="I673" s="10" t="str">
        <f aca="false">IFERROR(INDEX(Section_Master!$G$2:$G$477,MATCH($E673,Section_Master!$A$2:$A$477,0))&amp;"","")</f>
        <v>No</v>
      </c>
      <c r="J673" s="10" t="s">
        <v>64</v>
      </c>
      <c r="K673" s="8" t="s">
        <v>1607</v>
      </c>
    </row>
    <row r="674" customFormat="false" ht="45.75" hidden="false" customHeight="true" outlineLevel="0" collapsed="false">
      <c r="A674" s="10" t="s">
        <v>1618</v>
      </c>
      <c r="B674" s="10" t="s">
        <v>45</v>
      </c>
      <c r="C674" s="8" t="s">
        <v>1619</v>
      </c>
      <c r="D674" s="8" t="s">
        <v>1620</v>
      </c>
      <c r="E674" s="11" t="n">
        <v>113</v>
      </c>
      <c r="F674" s="8" t="str">
        <f aca="false">IFERROR(INDEX(Section_Master!$D$2:$D$477,MATCH($E674,Section_Master!$A$2:$A$477,0))&amp;"","")</f>
        <v>Death or life imprisonment and fine if death results; otherwise 5 years to life and fine [s.113(2)]</v>
      </c>
      <c r="G674" s="10" t="str">
        <f aca="false">IFERROR(INDEX(Section_Master!$E$2:$E$477,MATCH($E674,Section_Master!$A$2:$A$477,0))&amp;"","")</f>
        <v>Yes</v>
      </c>
      <c r="H674" s="10" t="str">
        <f aca="false">IFERROR(INDEX(Section_Master!$F$2:$F$477,MATCH($E674,Section_Master!$A$2:$A$477,0))&amp;"","")</f>
        <v>No</v>
      </c>
      <c r="I674" s="10" t="str">
        <f aca="false">IFERROR(INDEX(Section_Master!$G$2:$G$477,MATCH($E674,Section_Master!$A$2:$A$477,0))&amp;"","")</f>
        <v>No</v>
      </c>
      <c r="J674" s="10" t="s">
        <v>48</v>
      </c>
      <c r="K674" s="8" t="s">
        <v>1621</v>
      </c>
    </row>
    <row r="675" customFormat="false" ht="45.75" hidden="false" customHeight="true" outlineLevel="0" collapsed="false">
      <c r="A675" s="10" t="s">
        <v>1622</v>
      </c>
      <c r="B675" s="10" t="s">
        <v>45</v>
      </c>
      <c r="C675" s="8" t="s">
        <v>1619</v>
      </c>
      <c r="D675" s="8" t="s">
        <v>1623</v>
      </c>
      <c r="E675" s="11" t="n">
        <v>113</v>
      </c>
      <c r="F675" s="8" t="str">
        <f aca="false">IFERROR(INDEX(Section_Master!$D$2:$D$477,MATCH($E675,Section_Master!$A$2:$A$477,0))&amp;"","")</f>
        <v>Death or life imprisonment and fine if death results; otherwise 5 years to life and fine [s.113(2)]</v>
      </c>
      <c r="G675" s="10" t="str">
        <f aca="false">IFERROR(INDEX(Section_Master!$E$2:$E$477,MATCH($E675,Section_Master!$A$2:$A$477,0))&amp;"","")</f>
        <v>Yes</v>
      </c>
      <c r="H675" s="10" t="str">
        <f aca="false">IFERROR(INDEX(Section_Master!$F$2:$F$477,MATCH($E675,Section_Master!$A$2:$A$477,0))&amp;"","")</f>
        <v>No</v>
      </c>
      <c r="I675" s="10" t="str">
        <f aca="false">IFERROR(INDEX(Section_Master!$G$2:$G$477,MATCH($E675,Section_Master!$A$2:$A$477,0))&amp;"","")</f>
        <v>No</v>
      </c>
      <c r="J675" s="10" t="s">
        <v>52</v>
      </c>
      <c r="K675" s="8" t="s">
        <v>1621</v>
      </c>
    </row>
    <row r="676" customFormat="false" ht="34.5" hidden="false" customHeight="true" outlineLevel="0" collapsed="false">
      <c r="A676" s="10" t="s">
        <v>1624</v>
      </c>
      <c r="B676" s="10" t="s">
        <v>45</v>
      </c>
      <c r="C676" s="8" t="s">
        <v>1619</v>
      </c>
      <c r="D676" s="8" t="s">
        <v>1625</v>
      </c>
      <c r="E676" s="11" t="n">
        <v>113</v>
      </c>
      <c r="F676" s="8" t="str">
        <f aca="false">IFERROR(INDEX(Section_Master!$D$2:$D$477,MATCH($E676,Section_Master!$A$2:$A$477,0))&amp;"","")</f>
        <v>Death or life imprisonment and fine if death results; otherwise 5 years to life and fine [s.113(2)]</v>
      </c>
      <c r="G676" s="10" t="str">
        <f aca="false">IFERROR(INDEX(Section_Master!$E$2:$E$477,MATCH($E676,Section_Master!$A$2:$A$477,0))&amp;"","")</f>
        <v>Yes</v>
      </c>
      <c r="H676" s="10" t="str">
        <f aca="false">IFERROR(INDEX(Section_Master!$F$2:$F$477,MATCH($E676,Section_Master!$A$2:$A$477,0))&amp;"","")</f>
        <v>No</v>
      </c>
      <c r="I676" s="10" t="str">
        <f aca="false">IFERROR(INDEX(Section_Master!$G$2:$G$477,MATCH($E676,Section_Master!$A$2:$A$477,0))&amp;"","")</f>
        <v>No</v>
      </c>
      <c r="J676" s="10" t="s">
        <v>55</v>
      </c>
      <c r="K676" s="8" t="s">
        <v>1621</v>
      </c>
    </row>
    <row r="677" customFormat="false" ht="34.5" hidden="false" customHeight="true" outlineLevel="0" collapsed="false">
      <c r="A677" s="10" t="s">
        <v>1626</v>
      </c>
      <c r="B677" s="10" t="s">
        <v>45</v>
      </c>
      <c r="C677" s="8" t="s">
        <v>1619</v>
      </c>
      <c r="D677" s="8" t="s">
        <v>1627</v>
      </c>
      <c r="E677" s="11" t="n">
        <v>113</v>
      </c>
      <c r="F677" s="8" t="str">
        <f aca="false">IFERROR(INDEX(Section_Master!$D$2:$D$477,MATCH($E677,Section_Master!$A$2:$A$477,0))&amp;"","")</f>
        <v>Death or life imprisonment and fine if death results; otherwise 5 years to life and fine [s.113(2)]</v>
      </c>
      <c r="G677" s="10" t="str">
        <f aca="false">IFERROR(INDEX(Section_Master!$E$2:$E$477,MATCH($E677,Section_Master!$A$2:$A$477,0))&amp;"","")</f>
        <v>Yes</v>
      </c>
      <c r="H677" s="10" t="str">
        <f aca="false">IFERROR(INDEX(Section_Master!$F$2:$F$477,MATCH($E677,Section_Master!$A$2:$A$477,0))&amp;"","")</f>
        <v>No</v>
      </c>
      <c r="I677" s="10" t="str">
        <f aca="false">IFERROR(INDEX(Section_Master!$G$2:$G$477,MATCH($E677,Section_Master!$A$2:$A$477,0))&amp;"","")</f>
        <v>No</v>
      </c>
      <c r="J677" s="10" t="s">
        <v>58</v>
      </c>
      <c r="K677" s="8" t="s">
        <v>1621</v>
      </c>
    </row>
    <row r="678" customFormat="false" ht="34.5" hidden="false" customHeight="true" outlineLevel="0" collapsed="false">
      <c r="A678" s="10" t="s">
        <v>1628</v>
      </c>
      <c r="B678" s="10" t="s">
        <v>45</v>
      </c>
      <c r="C678" s="8" t="s">
        <v>1619</v>
      </c>
      <c r="D678" s="8" t="s">
        <v>1629</v>
      </c>
      <c r="E678" s="11" t="n">
        <v>113</v>
      </c>
      <c r="F678" s="8" t="str">
        <f aca="false">IFERROR(INDEX(Section_Master!$D$2:$D$477,MATCH($E678,Section_Master!$A$2:$A$477,0))&amp;"","")</f>
        <v>Death or life imprisonment and fine if death results; otherwise 5 years to life and fine [s.113(2)]</v>
      </c>
      <c r="G678" s="10" t="str">
        <f aca="false">IFERROR(INDEX(Section_Master!$E$2:$E$477,MATCH($E678,Section_Master!$A$2:$A$477,0))&amp;"","")</f>
        <v>Yes</v>
      </c>
      <c r="H678" s="10" t="str">
        <f aca="false">IFERROR(INDEX(Section_Master!$F$2:$F$477,MATCH($E678,Section_Master!$A$2:$A$477,0))&amp;"","")</f>
        <v>No</v>
      </c>
      <c r="I678" s="10" t="str">
        <f aca="false">IFERROR(INDEX(Section_Master!$G$2:$G$477,MATCH($E678,Section_Master!$A$2:$A$477,0))&amp;"","")</f>
        <v>No</v>
      </c>
      <c r="J678" s="10" t="s">
        <v>61</v>
      </c>
      <c r="K678" s="8" t="s">
        <v>1621</v>
      </c>
    </row>
    <row r="679" customFormat="false" ht="45.75" hidden="false" customHeight="true" outlineLevel="0" collapsed="false">
      <c r="A679" s="10" t="s">
        <v>1630</v>
      </c>
      <c r="B679" s="10" t="s">
        <v>45</v>
      </c>
      <c r="C679" s="8" t="s">
        <v>1619</v>
      </c>
      <c r="D679" s="8" t="s">
        <v>1631</v>
      </c>
      <c r="E679" s="11" t="n">
        <v>113</v>
      </c>
      <c r="F679" s="8" t="str">
        <f aca="false">IFERROR(INDEX(Section_Master!$D$2:$D$477,MATCH($E679,Section_Master!$A$2:$A$477,0))&amp;"","")</f>
        <v>Death or life imprisonment and fine if death results; otherwise 5 years to life and fine [s.113(2)]</v>
      </c>
      <c r="G679" s="10" t="str">
        <f aca="false">IFERROR(INDEX(Section_Master!$E$2:$E$477,MATCH($E679,Section_Master!$A$2:$A$477,0))&amp;"","")</f>
        <v>Yes</v>
      </c>
      <c r="H679" s="10" t="str">
        <f aca="false">IFERROR(INDEX(Section_Master!$F$2:$F$477,MATCH($E679,Section_Master!$A$2:$A$477,0))&amp;"","")</f>
        <v>No</v>
      </c>
      <c r="I679" s="10" t="str">
        <f aca="false">IFERROR(INDEX(Section_Master!$G$2:$G$477,MATCH($E679,Section_Master!$A$2:$A$477,0))&amp;"","")</f>
        <v>No</v>
      </c>
      <c r="J679" s="10" t="s">
        <v>64</v>
      </c>
      <c r="K679" s="8" t="s">
        <v>1621</v>
      </c>
    </row>
    <row r="680" customFormat="false" ht="23.25" hidden="false" customHeight="true" outlineLevel="0" collapsed="false">
      <c r="A680" s="10" t="s">
        <v>1632</v>
      </c>
      <c r="B680" s="10" t="s">
        <v>45</v>
      </c>
      <c r="C680" s="8" t="s">
        <v>1633</v>
      </c>
      <c r="D680" s="8" t="s">
        <v>1634</v>
      </c>
      <c r="E680" s="11" t="n">
        <v>114</v>
      </c>
      <c r="F680" s="8" t="str">
        <f aca="false">IFERROR(INDEX(Section_Master!$D$2:$D$477,MATCH($E680,Section_Master!$A$2:$A$477,0))&amp;"","")</f>
        <v>Not applicable - no offence or penalty defined here (definition, exception or general provision)</v>
      </c>
      <c r="G680" s="10" t="str">
        <f aca="false">IFERROR(INDEX(Section_Master!$E$2:$E$477,MATCH($E680,Section_Master!$A$2:$A$477,0))&amp;"","")</f>
        <v>N/A</v>
      </c>
      <c r="H680" s="10" t="str">
        <f aca="false">IFERROR(INDEX(Section_Master!$F$2:$F$477,MATCH($E680,Section_Master!$A$2:$A$477,0))&amp;"","")</f>
        <v>N/A</v>
      </c>
      <c r="I680" s="10" t="str">
        <f aca="false">IFERROR(INDEX(Section_Master!$G$2:$G$477,MATCH($E680,Section_Master!$A$2:$A$477,0))&amp;"","")</f>
        <v>N/A</v>
      </c>
      <c r="J680" s="10" t="s">
        <v>48</v>
      </c>
      <c r="K680" s="8" t="s">
        <v>1635</v>
      </c>
    </row>
    <row r="681" customFormat="false" ht="23.25" hidden="false" customHeight="true" outlineLevel="0" collapsed="false">
      <c r="A681" s="10" t="s">
        <v>1636</v>
      </c>
      <c r="B681" s="10" t="s">
        <v>45</v>
      </c>
      <c r="C681" s="8" t="s">
        <v>1633</v>
      </c>
      <c r="D681" s="8" t="s">
        <v>1637</v>
      </c>
      <c r="E681" s="11" t="n">
        <v>114</v>
      </c>
      <c r="F681" s="8" t="str">
        <f aca="false">IFERROR(INDEX(Section_Master!$D$2:$D$477,MATCH($E681,Section_Master!$A$2:$A$477,0))&amp;"","")</f>
        <v>Not applicable - no offence or penalty defined here (definition, exception or general provision)</v>
      </c>
      <c r="G681" s="10" t="str">
        <f aca="false">IFERROR(INDEX(Section_Master!$E$2:$E$477,MATCH($E681,Section_Master!$A$2:$A$477,0))&amp;"","")</f>
        <v>N/A</v>
      </c>
      <c r="H681" s="10" t="str">
        <f aca="false">IFERROR(INDEX(Section_Master!$F$2:$F$477,MATCH($E681,Section_Master!$A$2:$A$477,0))&amp;"","")</f>
        <v>N/A</v>
      </c>
      <c r="I681" s="10" t="str">
        <f aca="false">IFERROR(INDEX(Section_Master!$G$2:$G$477,MATCH($E681,Section_Master!$A$2:$A$477,0))&amp;"","")</f>
        <v>N/A</v>
      </c>
      <c r="J681" s="10" t="s">
        <v>52</v>
      </c>
      <c r="K681" s="8" t="s">
        <v>1635</v>
      </c>
    </row>
    <row r="682" customFormat="false" ht="23.25" hidden="false" customHeight="true" outlineLevel="0" collapsed="false">
      <c r="A682" s="10" t="s">
        <v>1638</v>
      </c>
      <c r="B682" s="10" t="s">
        <v>45</v>
      </c>
      <c r="C682" s="8" t="s">
        <v>1633</v>
      </c>
      <c r="D682" s="8" t="s">
        <v>1639</v>
      </c>
      <c r="E682" s="11" t="n">
        <v>114</v>
      </c>
      <c r="F682" s="8" t="str">
        <f aca="false">IFERROR(INDEX(Section_Master!$D$2:$D$477,MATCH($E682,Section_Master!$A$2:$A$477,0))&amp;"","")</f>
        <v>Not applicable - no offence or penalty defined here (definition, exception or general provision)</v>
      </c>
      <c r="G682" s="10" t="str">
        <f aca="false">IFERROR(INDEX(Section_Master!$E$2:$E$477,MATCH($E682,Section_Master!$A$2:$A$477,0))&amp;"","")</f>
        <v>N/A</v>
      </c>
      <c r="H682" s="10" t="str">
        <f aca="false">IFERROR(INDEX(Section_Master!$F$2:$F$477,MATCH($E682,Section_Master!$A$2:$A$477,0))&amp;"","")</f>
        <v>N/A</v>
      </c>
      <c r="I682" s="10" t="str">
        <f aca="false">IFERROR(INDEX(Section_Master!$G$2:$G$477,MATCH($E682,Section_Master!$A$2:$A$477,0))&amp;"","")</f>
        <v>N/A</v>
      </c>
      <c r="J682" s="10" t="s">
        <v>55</v>
      </c>
      <c r="K682" s="8" t="s">
        <v>1635</v>
      </c>
    </row>
    <row r="683" customFormat="false" ht="15" hidden="false" customHeight="true" outlineLevel="0" collapsed="false">
      <c r="A683" s="10" t="s">
        <v>1640</v>
      </c>
      <c r="B683" s="10" t="s">
        <v>45</v>
      </c>
      <c r="C683" s="8" t="s">
        <v>1633</v>
      </c>
      <c r="D683" s="8" t="s">
        <v>1641</v>
      </c>
      <c r="E683" s="11" t="n">
        <v>114</v>
      </c>
      <c r="F683" s="8" t="str">
        <f aca="false">IFERROR(INDEX(Section_Master!$D$2:$D$477,MATCH($E683,Section_Master!$A$2:$A$477,0))&amp;"","")</f>
        <v>Not applicable - no offence or penalty defined here (definition, exception or general provision)</v>
      </c>
      <c r="G683" s="10" t="str">
        <f aca="false">IFERROR(INDEX(Section_Master!$E$2:$E$477,MATCH($E683,Section_Master!$A$2:$A$477,0))&amp;"","")</f>
        <v>N/A</v>
      </c>
      <c r="H683" s="10" t="str">
        <f aca="false">IFERROR(INDEX(Section_Master!$F$2:$F$477,MATCH($E683,Section_Master!$A$2:$A$477,0))&amp;"","")</f>
        <v>N/A</v>
      </c>
      <c r="I683" s="10" t="str">
        <f aca="false">IFERROR(INDEX(Section_Master!$G$2:$G$477,MATCH($E683,Section_Master!$A$2:$A$477,0))&amp;"","")</f>
        <v>N/A</v>
      </c>
      <c r="J683" s="10" t="s">
        <v>58</v>
      </c>
      <c r="K683" s="8" t="s">
        <v>1635</v>
      </c>
    </row>
    <row r="684" customFormat="false" ht="23.25" hidden="false" customHeight="true" outlineLevel="0" collapsed="false">
      <c r="A684" s="10" t="s">
        <v>1642</v>
      </c>
      <c r="B684" s="10" t="s">
        <v>45</v>
      </c>
      <c r="C684" s="8" t="s">
        <v>1633</v>
      </c>
      <c r="D684" s="8" t="s">
        <v>1643</v>
      </c>
      <c r="E684" s="11" t="n">
        <v>114</v>
      </c>
      <c r="F684" s="8" t="str">
        <f aca="false">IFERROR(INDEX(Section_Master!$D$2:$D$477,MATCH($E684,Section_Master!$A$2:$A$477,0))&amp;"","")</f>
        <v>Not applicable - no offence or penalty defined here (definition, exception or general provision)</v>
      </c>
      <c r="G684" s="10" t="str">
        <f aca="false">IFERROR(INDEX(Section_Master!$E$2:$E$477,MATCH($E684,Section_Master!$A$2:$A$477,0))&amp;"","")</f>
        <v>N/A</v>
      </c>
      <c r="H684" s="10" t="str">
        <f aca="false">IFERROR(INDEX(Section_Master!$F$2:$F$477,MATCH($E684,Section_Master!$A$2:$A$477,0))&amp;"","")</f>
        <v>N/A</v>
      </c>
      <c r="I684" s="10" t="str">
        <f aca="false">IFERROR(INDEX(Section_Master!$G$2:$G$477,MATCH($E684,Section_Master!$A$2:$A$477,0))&amp;"","")</f>
        <v>N/A</v>
      </c>
      <c r="J684" s="10" t="s">
        <v>61</v>
      </c>
      <c r="K684" s="8" t="s">
        <v>1635</v>
      </c>
    </row>
    <row r="685" customFormat="false" ht="34.5" hidden="false" customHeight="true" outlineLevel="0" collapsed="false">
      <c r="A685" s="10" t="s">
        <v>1644</v>
      </c>
      <c r="B685" s="10" t="s">
        <v>45</v>
      </c>
      <c r="C685" s="8" t="s">
        <v>1633</v>
      </c>
      <c r="D685" s="8" t="s">
        <v>1645</v>
      </c>
      <c r="E685" s="11" t="n">
        <v>114</v>
      </c>
      <c r="F685" s="8" t="str">
        <f aca="false">IFERROR(INDEX(Section_Master!$D$2:$D$477,MATCH($E685,Section_Master!$A$2:$A$477,0))&amp;"","")</f>
        <v>Not applicable - no offence or penalty defined here (definition, exception or general provision)</v>
      </c>
      <c r="G685" s="10" t="str">
        <f aca="false">IFERROR(INDEX(Section_Master!$E$2:$E$477,MATCH($E685,Section_Master!$A$2:$A$477,0))&amp;"","")</f>
        <v>N/A</v>
      </c>
      <c r="H685" s="10" t="str">
        <f aca="false">IFERROR(INDEX(Section_Master!$F$2:$F$477,MATCH($E685,Section_Master!$A$2:$A$477,0))&amp;"","")</f>
        <v>N/A</v>
      </c>
      <c r="I685" s="10" t="str">
        <f aca="false">IFERROR(INDEX(Section_Master!$G$2:$G$477,MATCH($E685,Section_Master!$A$2:$A$477,0))&amp;"","")</f>
        <v>N/A</v>
      </c>
      <c r="J685" s="10" t="s">
        <v>64</v>
      </c>
      <c r="K685" s="8" t="s">
        <v>1635</v>
      </c>
    </row>
    <row r="686" customFormat="false" ht="23.25" hidden="false" customHeight="true" outlineLevel="0" collapsed="false">
      <c r="A686" s="10" t="s">
        <v>1646</v>
      </c>
      <c r="B686" s="10" t="s">
        <v>45</v>
      </c>
      <c r="C686" s="8" t="s">
        <v>1647</v>
      </c>
      <c r="D686" s="8" t="s">
        <v>1648</v>
      </c>
      <c r="E686" s="11" t="n">
        <v>115</v>
      </c>
      <c r="F686" s="8" t="str">
        <f aca="false">IFERROR(INDEX(Section_Master!$D$2:$D$477,MATCH($E686,Section_Master!$A$2:$A$477,0))&amp;"","")</f>
        <v>Imprisonment up to 1 year, or fine up to Rs 10,000, or both [s.115(2)]</v>
      </c>
      <c r="G686" s="10" t="str">
        <f aca="false">IFERROR(INDEX(Section_Master!$E$2:$E$477,MATCH($E686,Section_Master!$A$2:$A$477,0))&amp;"","")</f>
        <v>No</v>
      </c>
      <c r="H686" s="10" t="str">
        <f aca="false">IFERROR(INDEX(Section_Master!$F$2:$F$477,MATCH($E686,Section_Master!$A$2:$A$477,0))&amp;"","")</f>
        <v>Yes</v>
      </c>
      <c r="I686" s="10" t="str">
        <f aca="false">IFERROR(INDEX(Section_Master!$G$2:$G$477,MATCH($E686,Section_Master!$A$2:$A$477,0))&amp;"","")</f>
        <v>Yes</v>
      </c>
      <c r="J686" s="10" t="s">
        <v>48</v>
      </c>
      <c r="K686" s="8" t="s">
        <v>1649</v>
      </c>
    </row>
    <row r="687" customFormat="false" ht="34.5" hidden="false" customHeight="true" outlineLevel="0" collapsed="false">
      <c r="A687" s="10" t="s">
        <v>1650</v>
      </c>
      <c r="B687" s="10" t="s">
        <v>45</v>
      </c>
      <c r="C687" s="8" t="s">
        <v>1647</v>
      </c>
      <c r="D687" s="8" t="s">
        <v>1651</v>
      </c>
      <c r="E687" s="11" t="n">
        <v>115</v>
      </c>
      <c r="F687" s="8" t="str">
        <f aca="false">IFERROR(INDEX(Section_Master!$D$2:$D$477,MATCH($E687,Section_Master!$A$2:$A$477,0))&amp;"","")</f>
        <v>Imprisonment up to 1 year, or fine up to Rs 10,000, or both [s.115(2)]</v>
      </c>
      <c r="G687" s="10" t="str">
        <f aca="false">IFERROR(INDEX(Section_Master!$E$2:$E$477,MATCH($E687,Section_Master!$A$2:$A$477,0))&amp;"","")</f>
        <v>No</v>
      </c>
      <c r="H687" s="10" t="str">
        <f aca="false">IFERROR(INDEX(Section_Master!$F$2:$F$477,MATCH($E687,Section_Master!$A$2:$A$477,0))&amp;"","")</f>
        <v>Yes</v>
      </c>
      <c r="I687" s="10" t="str">
        <f aca="false">IFERROR(INDEX(Section_Master!$G$2:$G$477,MATCH($E687,Section_Master!$A$2:$A$477,0))&amp;"","")</f>
        <v>Yes</v>
      </c>
      <c r="J687" s="10" t="s">
        <v>52</v>
      </c>
      <c r="K687" s="8" t="s">
        <v>1649</v>
      </c>
    </row>
    <row r="688" customFormat="false" ht="34.5" hidden="false" customHeight="true" outlineLevel="0" collapsed="false">
      <c r="A688" s="10" t="s">
        <v>1652</v>
      </c>
      <c r="B688" s="10" t="s">
        <v>45</v>
      </c>
      <c r="C688" s="8" t="s">
        <v>1647</v>
      </c>
      <c r="D688" s="8" t="s">
        <v>1653</v>
      </c>
      <c r="E688" s="11" t="n">
        <v>115</v>
      </c>
      <c r="F688" s="8" t="str">
        <f aca="false">IFERROR(INDEX(Section_Master!$D$2:$D$477,MATCH($E688,Section_Master!$A$2:$A$477,0))&amp;"","")</f>
        <v>Imprisonment up to 1 year, or fine up to Rs 10,000, or both [s.115(2)]</v>
      </c>
      <c r="G688" s="10" t="str">
        <f aca="false">IFERROR(INDEX(Section_Master!$E$2:$E$477,MATCH($E688,Section_Master!$A$2:$A$477,0))&amp;"","")</f>
        <v>No</v>
      </c>
      <c r="H688" s="10" t="str">
        <f aca="false">IFERROR(INDEX(Section_Master!$F$2:$F$477,MATCH($E688,Section_Master!$A$2:$A$477,0))&amp;"","")</f>
        <v>Yes</v>
      </c>
      <c r="I688" s="10" t="str">
        <f aca="false">IFERROR(INDEX(Section_Master!$G$2:$G$477,MATCH($E688,Section_Master!$A$2:$A$477,0))&amp;"","")</f>
        <v>Yes</v>
      </c>
      <c r="J688" s="10" t="s">
        <v>55</v>
      </c>
      <c r="K688" s="8" t="s">
        <v>1649</v>
      </c>
    </row>
    <row r="689" customFormat="false" ht="23.25" hidden="false" customHeight="true" outlineLevel="0" collapsed="false">
      <c r="A689" s="10" t="s">
        <v>1654</v>
      </c>
      <c r="B689" s="10" t="s">
        <v>45</v>
      </c>
      <c r="C689" s="8" t="s">
        <v>1647</v>
      </c>
      <c r="D689" s="8" t="s">
        <v>1655</v>
      </c>
      <c r="E689" s="11" t="n">
        <v>115</v>
      </c>
      <c r="F689" s="8" t="str">
        <f aca="false">IFERROR(INDEX(Section_Master!$D$2:$D$477,MATCH($E689,Section_Master!$A$2:$A$477,0))&amp;"","")</f>
        <v>Imprisonment up to 1 year, or fine up to Rs 10,000, or both [s.115(2)]</v>
      </c>
      <c r="G689" s="10" t="str">
        <f aca="false">IFERROR(INDEX(Section_Master!$E$2:$E$477,MATCH($E689,Section_Master!$A$2:$A$477,0))&amp;"","")</f>
        <v>No</v>
      </c>
      <c r="H689" s="10" t="str">
        <f aca="false">IFERROR(INDEX(Section_Master!$F$2:$F$477,MATCH($E689,Section_Master!$A$2:$A$477,0))&amp;"","")</f>
        <v>Yes</v>
      </c>
      <c r="I689" s="10" t="str">
        <f aca="false">IFERROR(INDEX(Section_Master!$G$2:$G$477,MATCH($E689,Section_Master!$A$2:$A$477,0))&amp;"","")</f>
        <v>Yes</v>
      </c>
      <c r="J689" s="10" t="s">
        <v>58</v>
      </c>
      <c r="K689" s="8" t="s">
        <v>1649</v>
      </c>
    </row>
    <row r="690" customFormat="false" ht="34.5" hidden="false" customHeight="true" outlineLevel="0" collapsed="false">
      <c r="A690" s="10" t="s">
        <v>1656</v>
      </c>
      <c r="B690" s="10" t="s">
        <v>45</v>
      </c>
      <c r="C690" s="8" t="s">
        <v>1647</v>
      </c>
      <c r="D690" s="8" t="s">
        <v>1657</v>
      </c>
      <c r="E690" s="11" t="n">
        <v>115</v>
      </c>
      <c r="F690" s="8" t="str">
        <f aca="false">IFERROR(INDEX(Section_Master!$D$2:$D$477,MATCH($E690,Section_Master!$A$2:$A$477,0))&amp;"","")</f>
        <v>Imprisonment up to 1 year, or fine up to Rs 10,000, or both [s.115(2)]</v>
      </c>
      <c r="G690" s="10" t="str">
        <f aca="false">IFERROR(INDEX(Section_Master!$E$2:$E$477,MATCH($E690,Section_Master!$A$2:$A$477,0))&amp;"","")</f>
        <v>No</v>
      </c>
      <c r="H690" s="10" t="str">
        <f aca="false">IFERROR(INDEX(Section_Master!$F$2:$F$477,MATCH($E690,Section_Master!$A$2:$A$477,0))&amp;"","")</f>
        <v>Yes</v>
      </c>
      <c r="I690" s="10" t="str">
        <f aca="false">IFERROR(INDEX(Section_Master!$G$2:$G$477,MATCH($E690,Section_Master!$A$2:$A$477,0))&amp;"","")</f>
        <v>Yes</v>
      </c>
      <c r="J690" s="10" t="s">
        <v>61</v>
      </c>
      <c r="K690" s="8" t="s">
        <v>1649</v>
      </c>
    </row>
    <row r="691" customFormat="false" ht="34.5" hidden="false" customHeight="true" outlineLevel="0" collapsed="false">
      <c r="A691" s="10" t="s">
        <v>1658</v>
      </c>
      <c r="B691" s="10" t="s">
        <v>45</v>
      </c>
      <c r="C691" s="8" t="s">
        <v>1647</v>
      </c>
      <c r="D691" s="8" t="s">
        <v>1659</v>
      </c>
      <c r="E691" s="11" t="n">
        <v>115</v>
      </c>
      <c r="F691" s="8" t="str">
        <f aca="false">IFERROR(INDEX(Section_Master!$D$2:$D$477,MATCH($E691,Section_Master!$A$2:$A$477,0))&amp;"","")</f>
        <v>Imprisonment up to 1 year, or fine up to Rs 10,000, or both [s.115(2)]</v>
      </c>
      <c r="G691" s="10" t="str">
        <f aca="false">IFERROR(INDEX(Section_Master!$E$2:$E$477,MATCH($E691,Section_Master!$A$2:$A$477,0))&amp;"","")</f>
        <v>No</v>
      </c>
      <c r="H691" s="10" t="str">
        <f aca="false">IFERROR(INDEX(Section_Master!$F$2:$F$477,MATCH($E691,Section_Master!$A$2:$A$477,0))&amp;"","")</f>
        <v>Yes</v>
      </c>
      <c r="I691" s="10" t="str">
        <f aca="false">IFERROR(INDEX(Section_Master!$G$2:$G$477,MATCH($E691,Section_Master!$A$2:$A$477,0))&amp;"","")</f>
        <v>Yes</v>
      </c>
      <c r="J691" s="10" t="s">
        <v>64</v>
      </c>
      <c r="K691" s="8" t="s">
        <v>1649</v>
      </c>
    </row>
    <row r="692" customFormat="false" ht="45.75" hidden="false" customHeight="true" outlineLevel="0" collapsed="false">
      <c r="A692" s="10" t="s">
        <v>1660</v>
      </c>
      <c r="B692" s="10" t="s">
        <v>45</v>
      </c>
      <c r="C692" s="8" t="s">
        <v>1661</v>
      </c>
      <c r="D692" s="8" t="s">
        <v>1662</v>
      </c>
      <c r="E692" s="11" t="n">
        <v>116</v>
      </c>
      <c r="F692" s="8" t="str">
        <f aca="false">IFERROR(INDEX(Section_Master!$D$2:$D$477,MATCH($E692,Section_Master!$A$2:$A$477,0))&amp;"","")</f>
        <v>Not applicable - no offence or penalty defined here (definition, exception or general provision)</v>
      </c>
      <c r="G692" s="10" t="str">
        <f aca="false">IFERROR(INDEX(Section_Master!$E$2:$E$477,MATCH($E692,Section_Master!$A$2:$A$477,0))&amp;"","")</f>
        <v>N/A</v>
      </c>
      <c r="H692" s="10" t="str">
        <f aca="false">IFERROR(INDEX(Section_Master!$F$2:$F$477,MATCH($E692,Section_Master!$A$2:$A$477,0))&amp;"","")</f>
        <v>N/A</v>
      </c>
      <c r="I692" s="10" t="str">
        <f aca="false">IFERROR(INDEX(Section_Master!$G$2:$G$477,MATCH($E692,Section_Master!$A$2:$A$477,0))&amp;"","")</f>
        <v>N/A</v>
      </c>
      <c r="J692" s="10" t="s">
        <v>48</v>
      </c>
      <c r="K692" s="8" t="s">
        <v>1663</v>
      </c>
    </row>
    <row r="693" customFormat="false" ht="45.75" hidden="false" customHeight="true" outlineLevel="0" collapsed="false">
      <c r="A693" s="10" t="s">
        <v>1664</v>
      </c>
      <c r="B693" s="10" t="s">
        <v>45</v>
      </c>
      <c r="C693" s="8" t="s">
        <v>1661</v>
      </c>
      <c r="D693" s="8" t="s">
        <v>1665</v>
      </c>
      <c r="E693" s="11" t="n">
        <v>116</v>
      </c>
      <c r="F693" s="8" t="str">
        <f aca="false">IFERROR(INDEX(Section_Master!$D$2:$D$477,MATCH($E693,Section_Master!$A$2:$A$477,0))&amp;"","")</f>
        <v>Not applicable - no offence or penalty defined here (definition, exception or general provision)</v>
      </c>
      <c r="G693" s="10" t="str">
        <f aca="false">IFERROR(INDEX(Section_Master!$E$2:$E$477,MATCH($E693,Section_Master!$A$2:$A$477,0))&amp;"","")</f>
        <v>N/A</v>
      </c>
      <c r="H693" s="10" t="str">
        <f aca="false">IFERROR(INDEX(Section_Master!$F$2:$F$477,MATCH($E693,Section_Master!$A$2:$A$477,0))&amp;"","")</f>
        <v>N/A</v>
      </c>
      <c r="I693" s="10" t="str">
        <f aca="false">IFERROR(INDEX(Section_Master!$G$2:$G$477,MATCH($E693,Section_Master!$A$2:$A$477,0))&amp;"","")</f>
        <v>N/A</v>
      </c>
      <c r="J693" s="10" t="s">
        <v>52</v>
      </c>
      <c r="K693" s="8" t="s">
        <v>1663</v>
      </c>
    </row>
    <row r="694" customFormat="false" ht="23.25" hidden="false" customHeight="true" outlineLevel="0" collapsed="false">
      <c r="A694" s="10" t="s">
        <v>1666</v>
      </c>
      <c r="B694" s="10" t="s">
        <v>45</v>
      </c>
      <c r="C694" s="8" t="s">
        <v>1661</v>
      </c>
      <c r="D694" s="8" t="s">
        <v>1667</v>
      </c>
      <c r="E694" s="11" t="n">
        <v>116</v>
      </c>
      <c r="F694" s="8" t="str">
        <f aca="false">IFERROR(INDEX(Section_Master!$D$2:$D$477,MATCH($E694,Section_Master!$A$2:$A$477,0))&amp;"","")</f>
        <v>Not applicable - no offence or penalty defined here (definition, exception or general provision)</v>
      </c>
      <c r="G694" s="10" t="str">
        <f aca="false">IFERROR(INDEX(Section_Master!$E$2:$E$477,MATCH($E694,Section_Master!$A$2:$A$477,0))&amp;"","")</f>
        <v>N/A</v>
      </c>
      <c r="H694" s="10" t="str">
        <f aca="false">IFERROR(INDEX(Section_Master!$F$2:$F$477,MATCH($E694,Section_Master!$A$2:$A$477,0))&amp;"","")</f>
        <v>N/A</v>
      </c>
      <c r="I694" s="10" t="str">
        <f aca="false">IFERROR(INDEX(Section_Master!$G$2:$G$477,MATCH($E694,Section_Master!$A$2:$A$477,0))&amp;"","")</f>
        <v>N/A</v>
      </c>
      <c r="J694" s="10" t="s">
        <v>55</v>
      </c>
      <c r="K694" s="8" t="s">
        <v>1663</v>
      </c>
    </row>
    <row r="695" customFormat="false" ht="23.25" hidden="false" customHeight="true" outlineLevel="0" collapsed="false">
      <c r="A695" s="10" t="s">
        <v>1668</v>
      </c>
      <c r="B695" s="10" t="s">
        <v>45</v>
      </c>
      <c r="C695" s="8" t="s">
        <v>1661</v>
      </c>
      <c r="D695" s="8" t="s">
        <v>1669</v>
      </c>
      <c r="E695" s="11" t="n">
        <v>116</v>
      </c>
      <c r="F695" s="8" t="str">
        <f aca="false">IFERROR(INDEX(Section_Master!$D$2:$D$477,MATCH($E695,Section_Master!$A$2:$A$477,0))&amp;"","")</f>
        <v>Not applicable - no offence or penalty defined here (definition, exception or general provision)</v>
      </c>
      <c r="G695" s="10" t="str">
        <f aca="false">IFERROR(INDEX(Section_Master!$E$2:$E$477,MATCH($E695,Section_Master!$A$2:$A$477,0))&amp;"","")</f>
        <v>N/A</v>
      </c>
      <c r="H695" s="10" t="str">
        <f aca="false">IFERROR(INDEX(Section_Master!$F$2:$F$477,MATCH($E695,Section_Master!$A$2:$A$477,0))&amp;"","")</f>
        <v>N/A</v>
      </c>
      <c r="I695" s="10" t="str">
        <f aca="false">IFERROR(INDEX(Section_Master!$G$2:$G$477,MATCH($E695,Section_Master!$A$2:$A$477,0))&amp;"","")</f>
        <v>N/A</v>
      </c>
      <c r="J695" s="10" t="s">
        <v>58</v>
      </c>
      <c r="K695" s="8" t="s">
        <v>1663</v>
      </c>
    </row>
    <row r="696" customFormat="false" ht="34.5" hidden="false" customHeight="true" outlineLevel="0" collapsed="false">
      <c r="A696" s="10" t="s">
        <v>1670</v>
      </c>
      <c r="B696" s="10" t="s">
        <v>45</v>
      </c>
      <c r="C696" s="8" t="s">
        <v>1661</v>
      </c>
      <c r="D696" s="8" t="s">
        <v>1671</v>
      </c>
      <c r="E696" s="11" t="n">
        <v>116</v>
      </c>
      <c r="F696" s="8" t="str">
        <f aca="false">IFERROR(INDEX(Section_Master!$D$2:$D$477,MATCH($E696,Section_Master!$A$2:$A$477,0))&amp;"","")</f>
        <v>Not applicable - no offence or penalty defined here (definition, exception or general provision)</v>
      </c>
      <c r="G696" s="10" t="str">
        <f aca="false">IFERROR(INDEX(Section_Master!$E$2:$E$477,MATCH($E696,Section_Master!$A$2:$A$477,0))&amp;"","")</f>
        <v>N/A</v>
      </c>
      <c r="H696" s="10" t="str">
        <f aca="false">IFERROR(INDEX(Section_Master!$F$2:$F$477,MATCH($E696,Section_Master!$A$2:$A$477,0))&amp;"","")</f>
        <v>N/A</v>
      </c>
      <c r="I696" s="10" t="str">
        <f aca="false">IFERROR(INDEX(Section_Master!$G$2:$G$477,MATCH($E696,Section_Master!$A$2:$A$477,0))&amp;"","")</f>
        <v>N/A</v>
      </c>
      <c r="J696" s="10" t="s">
        <v>61</v>
      </c>
      <c r="K696" s="8" t="s">
        <v>1663</v>
      </c>
    </row>
    <row r="697" customFormat="false" ht="45.75" hidden="false" customHeight="true" outlineLevel="0" collapsed="false">
      <c r="A697" s="10" t="s">
        <v>1672</v>
      </c>
      <c r="B697" s="10" t="s">
        <v>45</v>
      </c>
      <c r="C697" s="8" t="s">
        <v>1661</v>
      </c>
      <c r="D697" s="8" t="s">
        <v>1673</v>
      </c>
      <c r="E697" s="11" t="n">
        <v>116</v>
      </c>
      <c r="F697" s="8" t="str">
        <f aca="false">IFERROR(INDEX(Section_Master!$D$2:$D$477,MATCH($E697,Section_Master!$A$2:$A$477,0))&amp;"","")</f>
        <v>Not applicable - no offence or penalty defined here (definition, exception or general provision)</v>
      </c>
      <c r="G697" s="10" t="str">
        <f aca="false">IFERROR(INDEX(Section_Master!$E$2:$E$477,MATCH($E697,Section_Master!$A$2:$A$477,0))&amp;"","")</f>
        <v>N/A</v>
      </c>
      <c r="H697" s="10" t="str">
        <f aca="false">IFERROR(INDEX(Section_Master!$F$2:$F$477,MATCH($E697,Section_Master!$A$2:$A$477,0))&amp;"","")</f>
        <v>N/A</v>
      </c>
      <c r="I697" s="10" t="str">
        <f aca="false">IFERROR(INDEX(Section_Master!$G$2:$G$477,MATCH($E697,Section_Master!$A$2:$A$477,0))&amp;"","")</f>
        <v>N/A</v>
      </c>
      <c r="J697" s="10" t="s">
        <v>64</v>
      </c>
      <c r="K697" s="8" t="s">
        <v>1663</v>
      </c>
    </row>
    <row r="698" customFormat="false" ht="34.5" hidden="false" customHeight="true" outlineLevel="0" collapsed="false">
      <c r="A698" s="10" t="s">
        <v>1674</v>
      </c>
      <c r="B698" s="10" t="s">
        <v>45</v>
      </c>
      <c r="C698" s="8" t="s">
        <v>1675</v>
      </c>
      <c r="D698" s="8" t="s">
        <v>1676</v>
      </c>
      <c r="E698" s="11" t="n">
        <v>117</v>
      </c>
      <c r="F698" s="8" t="str">
        <f aca="false">IFERROR(INDEX(Section_Master!$D$2:$D$477,MATCH($E698,Section_Master!$A$2:$A$477,0))&amp;"","")</f>
        <v>Imprisonment up to 7 years and fine [s.117(2)]</v>
      </c>
      <c r="G698" s="10" t="str">
        <f aca="false">IFERROR(INDEX(Section_Master!$E$2:$E$477,MATCH($E698,Section_Master!$A$2:$A$477,0))&amp;"","")</f>
        <v>Yes</v>
      </c>
      <c r="H698" s="10" t="str">
        <f aca="false">IFERROR(INDEX(Section_Master!$F$2:$F$477,MATCH($E698,Section_Master!$A$2:$A$477,0))&amp;"","")</f>
        <v>Yes</v>
      </c>
      <c r="I698" s="10" t="str">
        <f aca="false">IFERROR(INDEX(Section_Master!$G$2:$G$477,MATCH($E698,Section_Master!$A$2:$A$477,0))&amp;"","")</f>
        <v>With court permission</v>
      </c>
      <c r="J698" s="10" t="s">
        <v>48</v>
      </c>
      <c r="K698" s="8" t="s">
        <v>1677</v>
      </c>
    </row>
    <row r="699" customFormat="false" ht="45.75" hidden="false" customHeight="true" outlineLevel="0" collapsed="false">
      <c r="A699" s="10" t="s">
        <v>1678</v>
      </c>
      <c r="B699" s="10" t="s">
        <v>45</v>
      </c>
      <c r="C699" s="8" t="s">
        <v>1675</v>
      </c>
      <c r="D699" s="8" t="s">
        <v>1679</v>
      </c>
      <c r="E699" s="11" t="n">
        <v>117</v>
      </c>
      <c r="F699" s="8" t="str">
        <f aca="false">IFERROR(INDEX(Section_Master!$D$2:$D$477,MATCH($E699,Section_Master!$A$2:$A$477,0))&amp;"","")</f>
        <v>Imprisonment up to 7 years and fine [s.117(2)]</v>
      </c>
      <c r="G699" s="10" t="str">
        <f aca="false">IFERROR(INDEX(Section_Master!$E$2:$E$477,MATCH($E699,Section_Master!$A$2:$A$477,0))&amp;"","")</f>
        <v>Yes</v>
      </c>
      <c r="H699" s="10" t="str">
        <f aca="false">IFERROR(INDEX(Section_Master!$F$2:$F$477,MATCH($E699,Section_Master!$A$2:$A$477,0))&amp;"","")</f>
        <v>Yes</v>
      </c>
      <c r="I699" s="10" t="str">
        <f aca="false">IFERROR(INDEX(Section_Master!$G$2:$G$477,MATCH($E699,Section_Master!$A$2:$A$477,0))&amp;"","")</f>
        <v>With court permission</v>
      </c>
      <c r="J699" s="10" t="s">
        <v>52</v>
      </c>
      <c r="K699" s="8" t="s">
        <v>1677</v>
      </c>
    </row>
    <row r="700" customFormat="false" ht="45.75" hidden="false" customHeight="true" outlineLevel="0" collapsed="false">
      <c r="A700" s="10" t="s">
        <v>1680</v>
      </c>
      <c r="B700" s="10" t="s">
        <v>45</v>
      </c>
      <c r="C700" s="8" t="s">
        <v>1675</v>
      </c>
      <c r="D700" s="8" t="s">
        <v>1681</v>
      </c>
      <c r="E700" s="11" t="n">
        <v>117</v>
      </c>
      <c r="F700" s="8" t="str">
        <f aca="false">IFERROR(INDEX(Section_Master!$D$2:$D$477,MATCH($E700,Section_Master!$A$2:$A$477,0))&amp;"","")</f>
        <v>Imprisonment up to 7 years and fine [s.117(2)]</v>
      </c>
      <c r="G700" s="10" t="str">
        <f aca="false">IFERROR(INDEX(Section_Master!$E$2:$E$477,MATCH($E700,Section_Master!$A$2:$A$477,0))&amp;"","")</f>
        <v>Yes</v>
      </c>
      <c r="H700" s="10" t="str">
        <f aca="false">IFERROR(INDEX(Section_Master!$F$2:$F$477,MATCH($E700,Section_Master!$A$2:$A$477,0))&amp;"","")</f>
        <v>Yes</v>
      </c>
      <c r="I700" s="10" t="str">
        <f aca="false">IFERROR(INDEX(Section_Master!$G$2:$G$477,MATCH($E700,Section_Master!$A$2:$A$477,0))&amp;"","")</f>
        <v>With court permission</v>
      </c>
      <c r="J700" s="10" t="s">
        <v>55</v>
      </c>
      <c r="K700" s="8" t="s">
        <v>1677</v>
      </c>
    </row>
    <row r="701" customFormat="false" ht="34.5" hidden="false" customHeight="true" outlineLevel="0" collapsed="false">
      <c r="A701" s="10" t="s">
        <v>1682</v>
      </c>
      <c r="B701" s="10" t="s">
        <v>45</v>
      </c>
      <c r="C701" s="8" t="s">
        <v>1675</v>
      </c>
      <c r="D701" s="8" t="s">
        <v>1683</v>
      </c>
      <c r="E701" s="11" t="n">
        <v>117</v>
      </c>
      <c r="F701" s="8" t="str">
        <f aca="false">IFERROR(INDEX(Section_Master!$D$2:$D$477,MATCH($E701,Section_Master!$A$2:$A$477,0))&amp;"","")</f>
        <v>Imprisonment up to 7 years and fine [s.117(2)]</v>
      </c>
      <c r="G701" s="10" t="str">
        <f aca="false">IFERROR(INDEX(Section_Master!$E$2:$E$477,MATCH($E701,Section_Master!$A$2:$A$477,0))&amp;"","")</f>
        <v>Yes</v>
      </c>
      <c r="H701" s="10" t="str">
        <f aca="false">IFERROR(INDEX(Section_Master!$F$2:$F$477,MATCH($E701,Section_Master!$A$2:$A$477,0))&amp;"","")</f>
        <v>Yes</v>
      </c>
      <c r="I701" s="10" t="str">
        <f aca="false">IFERROR(INDEX(Section_Master!$G$2:$G$477,MATCH($E701,Section_Master!$A$2:$A$477,0))&amp;"","")</f>
        <v>With court permission</v>
      </c>
      <c r="J701" s="10" t="s">
        <v>58</v>
      </c>
      <c r="K701" s="8" t="s">
        <v>1677</v>
      </c>
    </row>
    <row r="702" customFormat="false" ht="23.25" hidden="false" customHeight="true" outlineLevel="0" collapsed="false">
      <c r="A702" s="10" t="s">
        <v>1684</v>
      </c>
      <c r="B702" s="10" t="s">
        <v>45</v>
      </c>
      <c r="C702" s="8" t="s">
        <v>1675</v>
      </c>
      <c r="D702" s="8" t="s">
        <v>1685</v>
      </c>
      <c r="E702" s="11" t="n">
        <v>117</v>
      </c>
      <c r="F702" s="8" t="str">
        <f aca="false">IFERROR(INDEX(Section_Master!$D$2:$D$477,MATCH($E702,Section_Master!$A$2:$A$477,0))&amp;"","")</f>
        <v>Imprisonment up to 7 years and fine [s.117(2)]</v>
      </c>
      <c r="G702" s="10" t="str">
        <f aca="false">IFERROR(INDEX(Section_Master!$E$2:$E$477,MATCH($E702,Section_Master!$A$2:$A$477,0))&amp;"","")</f>
        <v>Yes</v>
      </c>
      <c r="H702" s="10" t="str">
        <f aca="false">IFERROR(INDEX(Section_Master!$F$2:$F$477,MATCH($E702,Section_Master!$A$2:$A$477,0))&amp;"","")</f>
        <v>Yes</v>
      </c>
      <c r="I702" s="10" t="str">
        <f aca="false">IFERROR(INDEX(Section_Master!$G$2:$G$477,MATCH($E702,Section_Master!$A$2:$A$477,0))&amp;"","")</f>
        <v>With court permission</v>
      </c>
      <c r="J702" s="10" t="s">
        <v>61</v>
      </c>
      <c r="K702" s="8" t="s">
        <v>1677</v>
      </c>
    </row>
    <row r="703" customFormat="false" ht="34.5" hidden="false" customHeight="true" outlineLevel="0" collapsed="false">
      <c r="A703" s="10" t="s">
        <v>1686</v>
      </c>
      <c r="B703" s="10" t="s">
        <v>45</v>
      </c>
      <c r="C703" s="8" t="s">
        <v>1675</v>
      </c>
      <c r="D703" s="8" t="s">
        <v>1687</v>
      </c>
      <c r="E703" s="11" t="n">
        <v>117</v>
      </c>
      <c r="F703" s="8" t="str">
        <f aca="false">IFERROR(INDEX(Section_Master!$D$2:$D$477,MATCH($E703,Section_Master!$A$2:$A$477,0))&amp;"","")</f>
        <v>Imprisonment up to 7 years and fine [s.117(2)]</v>
      </c>
      <c r="G703" s="10" t="str">
        <f aca="false">IFERROR(INDEX(Section_Master!$E$2:$E$477,MATCH($E703,Section_Master!$A$2:$A$477,0))&amp;"","")</f>
        <v>Yes</v>
      </c>
      <c r="H703" s="10" t="str">
        <f aca="false">IFERROR(INDEX(Section_Master!$F$2:$F$477,MATCH($E703,Section_Master!$A$2:$A$477,0))&amp;"","")</f>
        <v>Yes</v>
      </c>
      <c r="I703" s="10" t="str">
        <f aca="false">IFERROR(INDEX(Section_Master!$G$2:$G$477,MATCH($E703,Section_Master!$A$2:$A$477,0))&amp;"","")</f>
        <v>With court permission</v>
      </c>
      <c r="J703" s="10" t="s">
        <v>64</v>
      </c>
      <c r="K703" s="8" t="s">
        <v>1677</v>
      </c>
    </row>
    <row r="704" customFormat="false" ht="45.75" hidden="false" customHeight="true" outlineLevel="0" collapsed="false">
      <c r="A704" s="10" t="s">
        <v>1688</v>
      </c>
      <c r="B704" s="10" t="s">
        <v>45</v>
      </c>
      <c r="C704" s="8" t="s">
        <v>1689</v>
      </c>
      <c r="D704" s="8" t="s">
        <v>1690</v>
      </c>
      <c r="E704" s="11" t="n">
        <v>118</v>
      </c>
      <c r="F704" s="8" t="str">
        <f aca="false">IFERROR(INDEX(Section_Master!$D$2:$D$477,MATCH($E704,Section_Master!$A$2:$A$477,0))&amp;"","")</f>
        <v>Up to 3 years, or fine, or both for hurt by dangerous weapons [s.118(1)]; life or up to 10 years and fine for grievous hurt [s.118(2)]</v>
      </c>
      <c r="G704" s="10" t="str">
        <f aca="false">IFERROR(INDEX(Section_Master!$E$2:$E$477,MATCH($E704,Section_Master!$A$2:$A$477,0))&amp;"","")</f>
        <v>Yes</v>
      </c>
      <c r="H704" s="10" t="str">
        <f aca="false">IFERROR(INDEX(Section_Master!$F$2:$F$477,MATCH($E704,Section_Master!$A$2:$A$477,0))&amp;"","")</f>
        <v>Yes (118(1)); No (118(2))</v>
      </c>
      <c r="I704" s="10" t="str">
        <f aca="false">IFERROR(INDEX(Section_Master!$G$2:$G$477,MATCH($E704,Section_Master!$A$2:$A$477,0))&amp;"","")</f>
        <v>With court permission (118(1)); No (118(2))</v>
      </c>
      <c r="J704" s="10" t="s">
        <v>48</v>
      </c>
      <c r="K704" s="8" t="s">
        <v>1691</v>
      </c>
    </row>
    <row r="705" customFormat="false" ht="45.75" hidden="false" customHeight="true" outlineLevel="0" collapsed="false">
      <c r="A705" s="10" t="s">
        <v>1692</v>
      </c>
      <c r="B705" s="10" t="s">
        <v>45</v>
      </c>
      <c r="C705" s="8" t="s">
        <v>1689</v>
      </c>
      <c r="D705" s="8" t="s">
        <v>1693</v>
      </c>
      <c r="E705" s="11" t="n">
        <v>118</v>
      </c>
      <c r="F705" s="8" t="str">
        <f aca="false">IFERROR(INDEX(Section_Master!$D$2:$D$477,MATCH($E705,Section_Master!$A$2:$A$477,0))&amp;"","")</f>
        <v>Up to 3 years, or fine, or both for hurt by dangerous weapons [s.118(1)]; life or up to 10 years and fine for grievous hurt [s.118(2)]</v>
      </c>
      <c r="G705" s="10" t="str">
        <f aca="false">IFERROR(INDEX(Section_Master!$E$2:$E$477,MATCH($E705,Section_Master!$A$2:$A$477,0))&amp;"","")</f>
        <v>Yes</v>
      </c>
      <c r="H705" s="10" t="str">
        <f aca="false">IFERROR(INDEX(Section_Master!$F$2:$F$477,MATCH($E705,Section_Master!$A$2:$A$477,0))&amp;"","")</f>
        <v>Yes (118(1)); No (118(2))</v>
      </c>
      <c r="I705" s="10" t="str">
        <f aca="false">IFERROR(INDEX(Section_Master!$G$2:$G$477,MATCH($E705,Section_Master!$A$2:$A$477,0))&amp;"","")</f>
        <v>With court permission (118(1)); No (118(2))</v>
      </c>
      <c r="J705" s="10" t="s">
        <v>52</v>
      </c>
      <c r="K705" s="8" t="s">
        <v>1691</v>
      </c>
    </row>
    <row r="706" customFormat="false" ht="34.5" hidden="false" customHeight="true" outlineLevel="0" collapsed="false">
      <c r="A706" s="10" t="s">
        <v>1694</v>
      </c>
      <c r="B706" s="10" t="s">
        <v>45</v>
      </c>
      <c r="C706" s="8" t="s">
        <v>1689</v>
      </c>
      <c r="D706" s="8" t="s">
        <v>1695</v>
      </c>
      <c r="E706" s="11" t="n">
        <v>118</v>
      </c>
      <c r="F706" s="8" t="str">
        <f aca="false">IFERROR(INDEX(Section_Master!$D$2:$D$477,MATCH($E706,Section_Master!$A$2:$A$477,0))&amp;"","")</f>
        <v>Up to 3 years, or fine, or both for hurt by dangerous weapons [s.118(1)]; life or up to 10 years and fine for grievous hurt [s.118(2)]</v>
      </c>
      <c r="G706" s="10" t="str">
        <f aca="false">IFERROR(INDEX(Section_Master!$E$2:$E$477,MATCH($E706,Section_Master!$A$2:$A$477,0))&amp;"","")</f>
        <v>Yes</v>
      </c>
      <c r="H706" s="10" t="str">
        <f aca="false">IFERROR(INDEX(Section_Master!$F$2:$F$477,MATCH($E706,Section_Master!$A$2:$A$477,0))&amp;"","")</f>
        <v>Yes (118(1)); No (118(2))</v>
      </c>
      <c r="I706" s="10" t="str">
        <f aca="false">IFERROR(INDEX(Section_Master!$G$2:$G$477,MATCH($E706,Section_Master!$A$2:$A$477,0))&amp;"","")</f>
        <v>With court permission (118(1)); No (118(2))</v>
      </c>
      <c r="J706" s="10" t="s">
        <v>55</v>
      </c>
      <c r="K706" s="8" t="s">
        <v>1691</v>
      </c>
    </row>
    <row r="707" customFormat="false" ht="34.5" hidden="false" customHeight="true" outlineLevel="0" collapsed="false">
      <c r="A707" s="10" t="s">
        <v>1696</v>
      </c>
      <c r="B707" s="10" t="s">
        <v>45</v>
      </c>
      <c r="C707" s="8" t="s">
        <v>1689</v>
      </c>
      <c r="D707" s="8" t="s">
        <v>1697</v>
      </c>
      <c r="E707" s="11" t="n">
        <v>118</v>
      </c>
      <c r="F707" s="8" t="str">
        <f aca="false">IFERROR(INDEX(Section_Master!$D$2:$D$477,MATCH($E707,Section_Master!$A$2:$A$477,0))&amp;"","")</f>
        <v>Up to 3 years, or fine, or both for hurt by dangerous weapons [s.118(1)]; life or up to 10 years and fine for grievous hurt [s.118(2)]</v>
      </c>
      <c r="G707" s="10" t="str">
        <f aca="false">IFERROR(INDEX(Section_Master!$E$2:$E$477,MATCH($E707,Section_Master!$A$2:$A$477,0))&amp;"","")</f>
        <v>Yes</v>
      </c>
      <c r="H707" s="10" t="str">
        <f aca="false">IFERROR(INDEX(Section_Master!$F$2:$F$477,MATCH($E707,Section_Master!$A$2:$A$477,0))&amp;"","")</f>
        <v>Yes (118(1)); No (118(2))</v>
      </c>
      <c r="I707" s="10" t="str">
        <f aca="false">IFERROR(INDEX(Section_Master!$G$2:$G$477,MATCH($E707,Section_Master!$A$2:$A$477,0))&amp;"","")</f>
        <v>With court permission (118(1)); No (118(2))</v>
      </c>
      <c r="J707" s="10" t="s">
        <v>58</v>
      </c>
      <c r="K707" s="8" t="s">
        <v>1691</v>
      </c>
    </row>
    <row r="708" customFormat="false" ht="34.5" hidden="false" customHeight="true" outlineLevel="0" collapsed="false">
      <c r="A708" s="10" t="s">
        <v>1698</v>
      </c>
      <c r="B708" s="10" t="s">
        <v>45</v>
      </c>
      <c r="C708" s="8" t="s">
        <v>1689</v>
      </c>
      <c r="D708" s="8" t="s">
        <v>1699</v>
      </c>
      <c r="E708" s="11" t="n">
        <v>118</v>
      </c>
      <c r="F708" s="8" t="str">
        <f aca="false">IFERROR(INDEX(Section_Master!$D$2:$D$477,MATCH($E708,Section_Master!$A$2:$A$477,0))&amp;"","")</f>
        <v>Up to 3 years, or fine, or both for hurt by dangerous weapons [s.118(1)]; life or up to 10 years and fine for grievous hurt [s.118(2)]</v>
      </c>
      <c r="G708" s="10" t="str">
        <f aca="false">IFERROR(INDEX(Section_Master!$E$2:$E$477,MATCH($E708,Section_Master!$A$2:$A$477,0))&amp;"","")</f>
        <v>Yes</v>
      </c>
      <c r="H708" s="10" t="str">
        <f aca="false">IFERROR(INDEX(Section_Master!$F$2:$F$477,MATCH($E708,Section_Master!$A$2:$A$477,0))&amp;"","")</f>
        <v>Yes (118(1)); No (118(2))</v>
      </c>
      <c r="I708" s="10" t="str">
        <f aca="false">IFERROR(INDEX(Section_Master!$G$2:$G$477,MATCH($E708,Section_Master!$A$2:$A$477,0))&amp;"","")</f>
        <v>With court permission (118(1)); No (118(2))</v>
      </c>
      <c r="J708" s="10" t="s">
        <v>61</v>
      </c>
      <c r="K708" s="8" t="s">
        <v>1691</v>
      </c>
    </row>
    <row r="709" customFormat="false" ht="45.75" hidden="false" customHeight="true" outlineLevel="0" collapsed="false">
      <c r="A709" s="10" t="s">
        <v>1700</v>
      </c>
      <c r="B709" s="10" t="s">
        <v>45</v>
      </c>
      <c r="C709" s="8" t="s">
        <v>1689</v>
      </c>
      <c r="D709" s="8" t="s">
        <v>1701</v>
      </c>
      <c r="E709" s="11" t="n">
        <v>118</v>
      </c>
      <c r="F709" s="8" t="str">
        <f aca="false">IFERROR(INDEX(Section_Master!$D$2:$D$477,MATCH($E709,Section_Master!$A$2:$A$477,0))&amp;"","")</f>
        <v>Up to 3 years, or fine, or both for hurt by dangerous weapons [s.118(1)]; life or up to 10 years and fine for grievous hurt [s.118(2)]</v>
      </c>
      <c r="G709" s="10" t="str">
        <f aca="false">IFERROR(INDEX(Section_Master!$E$2:$E$477,MATCH($E709,Section_Master!$A$2:$A$477,0))&amp;"","")</f>
        <v>Yes</v>
      </c>
      <c r="H709" s="10" t="str">
        <f aca="false">IFERROR(INDEX(Section_Master!$F$2:$F$477,MATCH($E709,Section_Master!$A$2:$A$477,0))&amp;"","")</f>
        <v>Yes (118(1)); No (118(2))</v>
      </c>
      <c r="I709" s="10" t="str">
        <f aca="false">IFERROR(INDEX(Section_Master!$G$2:$G$477,MATCH($E709,Section_Master!$A$2:$A$477,0))&amp;"","")</f>
        <v>With court permission (118(1)); No (118(2))</v>
      </c>
      <c r="J709" s="10" t="s">
        <v>64</v>
      </c>
      <c r="K709" s="8" t="s">
        <v>1691</v>
      </c>
    </row>
    <row r="710" customFormat="false" ht="34.5" hidden="false" customHeight="true" outlineLevel="0" collapsed="false">
      <c r="A710" s="10" t="s">
        <v>1702</v>
      </c>
      <c r="B710" s="10" t="s">
        <v>45</v>
      </c>
      <c r="C710" s="8" t="s">
        <v>1703</v>
      </c>
      <c r="D710" s="8" t="s">
        <v>1704</v>
      </c>
      <c r="E710" s="11" t="n">
        <v>119</v>
      </c>
      <c r="F710" s="8" t="str">
        <f aca="false">IFERROR(INDEX(Section_Master!$D$2:$D$477,MATCH($E710,Section_Master!$A$2:$A$477,0))&amp;"","")</f>
        <v>Imprisonment up to 10 years and fine [s.119(1)]; life or up to 10 years and fine for grievous hurt [s.119(2)]</v>
      </c>
      <c r="G710" s="10" t="str">
        <f aca="false">IFERROR(INDEX(Section_Master!$E$2:$E$477,MATCH($E710,Section_Master!$A$2:$A$477,0))&amp;"","")</f>
        <v>Yes</v>
      </c>
      <c r="H710" s="10" t="str">
        <f aca="false">IFERROR(INDEX(Section_Master!$F$2:$F$477,MATCH($E710,Section_Master!$A$2:$A$477,0))&amp;"","")</f>
        <v>No</v>
      </c>
      <c r="I710" s="10" t="str">
        <f aca="false">IFERROR(INDEX(Section_Master!$G$2:$G$477,MATCH($E710,Section_Master!$A$2:$A$477,0))&amp;"","")</f>
        <v>No</v>
      </c>
      <c r="J710" s="10" t="s">
        <v>48</v>
      </c>
      <c r="K710" s="8" t="s">
        <v>1705</v>
      </c>
    </row>
    <row r="711" customFormat="false" ht="45.75" hidden="false" customHeight="true" outlineLevel="0" collapsed="false">
      <c r="A711" s="10" t="s">
        <v>1706</v>
      </c>
      <c r="B711" s="10" t="s">
        <v>45</v>
      </c>
      <c r="C711" s="8" t="s">
        <v>1703</v>
      </c>
      <c r="D711" s="8" t="s">
        <v>1707</v>
      </c>
      <c r="E711" s="11" t="n">
        <v>119</v>
      </c>
      <c r="F711" s="8" t="str">
        <f aca="false">IFERROR(INDEX(Section_Master!$D$2:$D$477,MATCH($E711,Section_Master!$A$2:$A$477,0))&amp;"","")</f>
        <v>Imprisonment up to 10 years and fine [s.119(1)]; life or up to 10 years and fine for grievous hurt [s.119(2)]</v>
      </c>
      <c r="G711" s="10" t="str">
        <f aca="false">IFERROR(INDEX(Section_Master!$E$2:$E$477,MATCH($E711,Section_Master!$A$2:$A$477,0))&amp;"","")</f>
        <v>Yes</v>
      </c>
      <c r="H711" s="10" t="str">
        <f aca="false">IFERROR(INDEX(Section_Master!$F$2:$F$477,MATCH($E711,Section_Master!$A$2:$A$477,0))&amp;"","")</f>
        <v>No</v>
      </c>
      <c r="I711" s="10" t="str">
        <f aca="false">IFERROR(INDEX(Section_Master!$G$2:$G$477,MATCH($E711,Section_Master!$A$2:$A$477,0))&amp;"","")</f>
        <v>No</v>
      </c>
      <c r="J711" s="10" t="s">
        <v>52</v>
      </c>
      <c r="K711" s="8" t="s">
        <v>1705</v>
      </c>
    </row>
    <row r="712" customFormat="false" ht="34.5" hidden="false" customHeight="true" outlineLevel="0" collapsed="false">
      <c r="A712" s="10" t="s">
        <v>1708</v>
      </c>
      <c r="B712" s="10" t="s">
        <v>45</v>
      </c>
      <c r="C712" s="8" t="s">
        <v>1703</v>
      </c>
      <c r="D712" s="8" t="s">
        <v>1709</v>
      </c>
      <c r="E712" s="11" t="n">
        <v>119</v>
      </c>
      <c r="F712" s="8" t="str">
        <f aca="false">IFERROR(INDEX(Section_Master!$D$2:$D$477,MATCH($E712,Section_Master!$A$2:$A$477,0))&amp;"","")</f>
        <v>Imprisonment up to 10 years and fine [s.119(1)]; life or up to 10 years and fine for grievous hurt [s.119(2)]</v>
      </c>
      <c r="G712" s="10" t="str">
        <f aca="false">IFERROR(INDEX(Section_Master!$E$2:$E$477,MATCH($E712,Section_Master!$A$2:$A$477,0))&amp;"","")</f>
        <v>Yes</v>
      </c>
      <c r="H712" s="10" t="str">
        <f aca="false">IFERROR(INDEX(Section_Master!$F$2:$F$477,MATCH($E712,Section_Master!$A$2:$A$477,0))&amp;"","")</f>
        <v>No</v>
      </c>
      <c r="I712" s="10" t="str">
        <f aca="false">IFERROR(INDEX(Section_Master!$G$2:$G$477,MATCH($E712,Section_Master!$A$2:$A$477,0))&amp;"","")</f>
        <v>No</v>
      </c>
      <c r="J712" s="10" t="s">
        <v>55</v>
      </c>
      <c r="K712" s="8" t="s">
        <v>1705</v>
      </c>
    </row>
    <row r="713" customFormat="false" ht="34.5" hidden="false" customHeight="true" outlineLevel="0" collapsed="false">
      <c r="A713" s="10" t="s">
        <v>1710</v>
      </c>
      <c r="B713" s="10" t="s">
        <v>45</v>
      </c>
      <c r="C713" s="8" t="s">
        <v>1703</v>
      </c>
      <c r="D713" s="8" t="s">
        <v>1711</v>
      </c>
      <c r="E713" s="11" t="n">
        <v>119</v>
      </c>
      <c r="F713" s="8" t="str">
        <f aca="false">IFERROR(INDEX(Section_Master!$D$2:$D$477,MATCH($E713,Section_Master!$A$2:$A$477,0))&amp;"","")</f>
        <v>Imprisonment up to 10 years and fine [s.119(1)]; life or up to 10 years and fine for grievous hurt [s.119(2)]</v>
      </c>
      <c r="G713" s="10" t="str">
        <f aca="false">IFERROR(INDEX(Section_Master!$E$2:$E$477,MATCH($E713,Section_Master!$A$2:$A$477,0))&amp;"","")</f>
        <v>Yes</v>
      </c>
      <c r="H713" s="10" t="str">
        <f aca="false">IFERROR(INDEX(Section_Master!$F$2:$F$477,MATCH($E713,Section_Master!$A$2:$A$477,0))&amp;"","")</f>
        <v>No</v>
      </c>
      <c r="I713" s="10" t="str">
        <f aca="false">IFERROR(INDEX(Section_Master!$G$2:$G$477,MATCH($E713,Section_Master!$A$2:$A$477,0))&amp;"","")</f>
        <v>No</v>
      </c>
      <c r="J713" s="10" t="s">
        <v>58</v>
      </c>
      <c r="K713" s="8" t="s">
        <v>1705</v>
      </c>
    </row>
    <row r="714" customFormat="false" ht="34.5" hidden="false" customHeight="true" outlineLevel="0" collapsed="false">
      <c r="A714" s="10" t="s">
        <v>1712</v>
      </c>
      <c r="B714" s="10" t="s">
        <v>45</v>
      </c>
      <c r="C714" s="8" t="s">
        <v>1703</v>
      </c>
      <c r="D714" s="8" t="s">
        <v>1713</v>
      </c>
      <c r="E714" s="11" t="n">
        <v>119</v>
      </c>
      <c r="F714" s="8" t="str">
        <f aca="false">IFERROR(INDEX(Section_Master!$D$2:$D$477,MATCH($E714,Section_Master!$A$2:$A$477,0))&amp;"","")</f>
        <v>Imprisonment up to 10 years and fine [s.119(1)]; life or up to 10 years and fine for grievous hurt [s.119(2)]</v>
      </c>
      <c r="G714" s="10" t="str">
        <f aca="false">IFERROR(INDEX(Section_Master!$E$2:$E$477,MATCH($E714,Section_Master!$A$2:$A$477,0))&amp;"","")</f>
        <v>Yes</v>
      </c>
      <c r="H714" s="10" t="str">
        <f aca="false">IFERROR(INDEX(Section_Master!$F$2:$F$477,MATCH($E714,Section_Master!$A$2:$A$477,0))&amp;"","")</f>
        <v>No</v>
      </c>
      <c r="I714" s="10" t="str">
        <f aca="false">IFERROR(INDEX(Section_Master!$G$2:$G$477,MATCH($E714,Section_Master!$A$2:$A$477,0))&amp;"","")</f>
        <v>No</v>
      </c>
      <c r="J714" s="10" t="s">
        <v>61</v>
      </c>
      <c r="K714" s="8" t="s">
        <v>1705</v>
      </c>
    </row>
    <row r="715" customFormat="false" ht="45.75" hidden="false" customHeight="true" outlineLevel="0" collapsed="false">
      <c r="A715" s="10" t="s">
        <v>1714</v>
      </c>
      <c r="B715" s="10" t="s">
        <v>45</v>
      </c>
      <c r="C715" s="8" t="s">
        <v>1703</v>
      </c>
      <c r="D715" s="8" t="s">
        <v>1715</v>
      </c>
      <c r="E715" s="11" t="n">
        <v>119</v>
      </c>
      <c r="F715" s="8" t="str">
        <f aca="false">IFERROR(INDEX(Section_Master!$D$2:$D$477,MATCH($E715,Section_Master!$A$2:$A$477,0))&amp;"","")</f>
        <v>Imprisonment up to 10 years and fine [s.119(1)]; life or up to 10 years and fine for grievous hurt [s.119(2)]</v>
      </c>
      <c r="G715" s="10" t="str">
        <f aca="false">IFERROR(INDEX(Section_Master!$E$2:$E$477,MATCH($E715,Section_Master!$A$2:$A$477,0))&amp;"","")</f>
        <v>Yes</v>
      </c>
      <c r="H715" s="10" t="str">
        <f aca="false">IFERROR(INDEX(Section_Master!$F$2:$F$477,MATCH($E715,Section_Master!$A$2:$A$477,0))&amp;"","")</f>
        <v>No</v>
      </c>
      <c r="I715" s="10" t="str">
        <f aca="false">IFERROR(INDEX(Section_Master!$G$2:$G$477,MATCH($E715,Section_Master!$A$2:$A$477,0))&amp;"","")</f>
        <v>No</v>
      </c>
      <c r="J715" s="10" t="s">
        <v>64</v>
      </c>
      <c r="K715" s="8" t="s">
        <v>1705</v>
      </c>
    </row>
    <row r="716" customFormat="false" ht="34.5" hidden="false" customHeight="true" outlineLevel="0" collapsed="false">
      <c r="A716" s="10" t="s">
        <v>1716</v>
      </c>
      <c r="B716" s="10" t="s">
        <v>45</v>
      </c>
      <c r="C716" s="8" t="s">
        <v>1717</v>
      </c>
      <c r="D716" s="8" t="s">
        <v>1718</v>
      </c>
      <c r="E716" s="11" t="n">
        <v>120</v>
      </c>
      <c r="F716" s="8" t="str">
        <f aca="false">IFERROR(INDEX(Section_Master!$D$2:$D$477,MATCH($E716,Section_Master!$A$2:$A$477,0))&amp;"","")</f>
        <v>Imprisonment up to 7 years and fine [s.120(1)]; up to 10 years and fine for grievous hurt [s.120(2)]</v>
      </c>
      <c r="G716" s="10" t="str">
        <f aca="false">IFERROR(INDEX(Section_Master!$E$2:$E$477,MATCH($E716,Section_Master!$A$2:$A$477,0))&amp;"","")</f>
        <v>Yes</v>
      </c>
      <c r="H716" s="10" t="str">
        <f aca="false">IFERROR(INDEX(Section_Master!$F$2:$F$477,MATCH($E716,Section_Master!$A$2:$A$477,0))&amp;"","")</f>
        <v>No</v>
      </c>
      <c r="I716" s="10" t="str">
        <f aca="false">IFERROR(INDEX(Section_Master!$G$2:$G$477,MATCH($E716,Section_Master!$A$2:$A$477,0))&amp;"","")</f>
        <v>No</v>
      </c>
      <c r="J716" s="10" t="s">
        <v>48</v>
      </c>
      <c r="K716" s="8" t="s">
        <v>1719</v>
      </c>
    </row>
    <row r="717" customFormat="false" ht="45.75" hidden="false" customHeight="true" outlineLevel="0" collapsed="false">
      <c r="A717" s="10" t="s">
        <v>1720</v>
      </c>
      <c r="B717" s="10" t="s">
        <v>45</v>
      </c>
      <c r="C717" s="8" t="s">
        <v>1717</v>
      </c>
      <c r="D717" s="8" t="s">
        <v>1721</v>
      </c>
      <c r="E717" s="11" t="n">
        <v>120</v>
      </c>
      <c r="F717" s="8" t="str">
        <f aca="false">IFERROR(INDEX(Section_Master!$D$2:$D$477,MATCH($E717,Section_Master!$A$2:$A$477,0))&amp;"","")</f>
        <v>Imprisonment up to 7 years and fine [s.120(1)]; up to 10 years and fine for grievous hurt [s.120(2)]</v>
      </c>
      <c r="G717" s="10" t="str">
        <f aca="false">IFERROR(INDEX(Section_Master!$E$2:$E$477,MATCH($E717,Section_Master!$A$2:$A$477,0))&amp;"","")</f>
        <v>Yes</v>
      </c>
      <c r="H717" s="10" t="str">
        <f aca="false">IFERROR(INDEX(Section_Master!$F$2:$F$477,MATCH($E717,Section_Master!$A$2:$A$477,0))&amp;"","")</f>
        <v>No</v>
      </c>
      <c r="I717" s="10" t="str">
        <f aca="false">IFERROR(INDEX(Section_Master!$G$2:$G$477,MATCH($E717,Section_Master!$A$2:$A$477,0))&amp;"","")</f>
        <v>No</v>
      </c>
      <c r="J717" s="10" t="s">
        <v>52</v>
      </c>
      <c r="K717" s="8" t="s">
        <v>1719</v>
      </c>
    </row>
    <row r="718" customFormat="false" ht="34.5" hidden="false" customHeight="true" outlineLevel="0" collapsed="false">
      <c r="A718" s="10" t="s">
        <v>1722</v>
      </c>
      <c r="B718" s="10" t="s">
        <v>45</v>
      </c>
      <c r="C718" s="8" t="s">
        <v>1717</v>
      </c>
      <c r="D718" s="8" t="s">
        <v>1723</v>
      </c>
      <c r="E718" s="11" t="n">
        <v>120</v>
      </c>
      <c r="F718" s="8" t="str">
        <f aca="false">IFERROR(INDEX(Section_Master!$D$2:$D$477,MATCH($E718,Section_Master!$A$2:$A$477,0))&amp;"","")</f>
        <v>Imprisonment up to 7 years and fine [s.120(1)]; up to 10 years and fine for grievous hurt [s.120(2)]</v>
      </c>
      <c r="G718" s="10" t="str">
        <f aca="false">IFERROR(INDEX(Section_Master!$E$2:$E$477,MATCH($E718,Section_Master!$A$2:$A$477,0))&amp;"","")</f>
        <v>Yes</v>
      </c>
      <c r="H718" s="10" t="str">
        <f aca="false">IFERROR(INDEX(Section_Master!$F$2:$F$477,MATCH($E718,Section_Master!$A$2:$A$477,0))&amp;"","")</f>
        <v>No</v>
      </c>
      <c r="I718" s="10" t="str">
        <f aca="false">IFERROR(INDEX(Section_Master!$G$2:$G$477,MATCH($E718,Section_Master!$A$2:$A$477,0))&amp;"","")</f>
        <v>No</v>
      </c>
      <c r="J718" s="10" t="s">
        <v>55</v>
      </c>
      <c r="K718" s="8" t="s">
        <v>1719</v>
      </c>
    </row>
    <row r="719" customFormat="false" ht="34.5" hidden="false" customHeight="true" outlineLevel="0" collapsed="false">
      <c r="A719" s="10" t="s">
        <v>1724</v>
      </c>
      <c r="B719" s="10" t="s">
        <v>45</v>
      </c>
      <c r="C719" s="8" t="s">
        <v>1717</v>
      </c>
      <c r="D719" s="8" t="s">
        <v>1725</v>
      </c>
      <c r="E719" s="11" t="n">
        <v>120</v>
      </c>
      <c r="F719" s="8" t="str">
        <f aca="false">IFERROR(INDEX(Section_Master!$D$2:$D$477,MATCH($E719,Section_Master!$A$2:$A$477,0))&amp;"","")</f>
        <v>Imprisonment up to 7 years and fine [s.120(1)]; up to 10 years and fine for grievous hurt [s.120(2)]</v>
      </c>
      <c r="G719" s="10" t="str">
        <f aca="false">IFERROR(INDEX(Section_Master!$E$2:$E$477,MATCH($E719,Section_Master!$A$2:$A$477,0))&amp;"","")</f>
        <v>Yes</v>
      </c>
      <c r="H719" s="10" t="str">
        <f aca="false">IFERROR(INDEX(Section_Master!$F$2:$F$477,MATCH($E719,Section_Master!$A$2:$A$477,0))&amp;"","")</f>
        <v>No</v>
      </c>
      <c r="I719" s="10" t="str">
        <f aca="false">IFERROR(INDEX(Section_Master!$G$2:$G$477,MATCH($E719,Section_Master!$A$2:$A$477,0))&amp;"","")</f>
        <v>No</v>
      </c>
      <c r="J719" s="10" t="s">
        <v>58</v>
      </c>
      <c r="K719" s="8" t="s">
        <v>1719</v>
      </c>
    </row>
    <row r="720" customFormat="false" ht="34.5" hidden="false" customHeight="true" outlineLevel="0" collapsed="false">
      <c r="A720" s="10" t="s">
        <v>1726</v>
      </c>
      <c r="B720" s="10" t="s">
        <v>45</v>
      </c>
      <c r="C720" s="8" t="s">
        <v>1717</v>
      </c>
      <c r="D720" s="8" t="s">
        <v>1727</v>
      </c>
      <c r="E720" s="11" t="n">
        <v>120</v>
      </c>
      <c r="F720" s="8" t="str">
        <f aca="false">IFERROR(INDEX(Section_Master!$D$2:$D$477,MATCH($E720,Section_Master!$A$2:$A$477,0))&amp;"","")</f>
        <v>Imprisonment up to 7 years and fine [s.120(1)]; up to 10 years and fine for grievous hurt [s.120(2)]</v>
      </c>
      <c r="G720" s="10" t="str">
        <f aca="false">IFERROR(INDEX(Section_Master!$E$2:$E$477,MATCH($E720,Section_Master!$A$2:$A$477,0))&amp;"","")</f>
        <v>Yes</v>
      </c>
      <c r="H720" s="10" t="str">
        <f aca="false">IFERROR(INDEX(Section_Master!$F$2:$F$477,MATCH($E720,Section_Master!$A$2:$A$477,0))&amp;"","")</f>
        <v>No</v>
      </c>
      <c r="I720" s="10" t="str">
        <f aca="false">IFERROR(INDEX(Section_Master!$G$2:$G$477,MATCH($E720,Section_Master!$A$2:$A$477,0))&amp;"","")</f>
        <v>No</v>
      </c>
      <c r="J720" s="10" t="s">
        <v>61</v>
      </c>
      <c r="K720" s="8" t="s">
        <v>1719</v>
      </c>
    </row>
    <row r="721" customFormat="false" ht="34.5" hidden="false" customHeight="true" outlineLevel="0" collapsed="false">
      <c r="A721" s="10" t="s">
        <v>1728</v>
      </c>
      <c r="B721" s="10" t="s">
        <v>45</v>
      </c>
      <c r="C721" s="8" t="s">
        <v>1717</v>
      </c>
      <c r="D721" s="8" t="s">
        <v>1729</v>
      </c>
      <c r="E721" s="11" t="n">
        <v>120</v>
      </c>
      <c r="F721" s="8" t="str">
        <f aca="false">IFERROR(INDEX(Section_Master!$D$2:$D$477,MATCH($E721,Section_Master!$A$2:$A$477,0))&amp;"","")</f>
        <v>Imprisonment up to 7 years and fine [s.120(1)]; up to 10 years and fine for grievous hurt [s.120(2)]</v>
      </c>
      <c r="G721" s="10" t="str">
        <f aca="false">IFERROR(INDEX(Section_Master!$E$2:$E$477,MATCH($E721,Section_Master!$A$2:$A$477,0))&amp;"","")</f>
        <v>Yes</v>
      </c>
      <c r="H721" s="10" t="str">
        <f aca="false">IFERROR(INDEX(Section_Master!$F$2:$F$477,MATCH($E721,Section_Master!$A$2:$A$477,0))&amp;"","")</f>
        <v>No</v>
      </c>
      <c r="I721" s="10" t="str">
        <f aca="false">IFERROR(INDEX(Section_Master!$G$2:$G$477,MATCH($E721,Section_Master!$A$2:$A$477,0))&amp;"","")</f>
        <v>No</v>
      </c>
      <c r="J721" s="10" t="s">
        <v>64</v>
      </c>
      <c r="K721" s="8" t="s">
        <v>1719</v>
      </c>
    </row>
    <row r="722" customFormat="false" ht="34.5" hidden="false" customHeight="true" outlineLevel="0" collapsed="false">
      <c r="A722" s="10" t="s">
        <v>1730</v>
      </c>
      <c r="B722" s="10" t="s">
        <v>45</v>
      </c>
      <c r="C722" s="8" t="s">
        <v>1731</v>
      </c>
      <c r="D722" s="8" t="s">
        <v>1732</v>
      </c>
      <c r="E722" s="11" t="n">
        <v>121</v>
      </c>
      <c r="F722" s="8" t="str">
        <f aca="false">IFERROR(INDEX(Section_Master!$D$2:$D$477,MATCH($E722,Section_Master!$A$2:$A$477,0))&amp;"","")</f>
        <v>Imprisonment up to 5 years, or fine, or both [s.121(1)]; up to 10 years and fine for grievous hurt [s.121(2)]</v>
      </c>
      <c r="G722" s="10" t="str">
        <f aca="false">IFERROR(INDEX(Section_Master!$E$2:$E$477,MATCH($E722,Section_Master!$A$2:$A$477,0))&amp;"","")</f>
        <v>Yes</v>
      </c>
      <c r="H722" s="10" t="str">
        <f aca="false">IFERROR(INDEX(Section_Master!$F$2:$F$477,MATCH($E722,Section_Master!$A$2:$A$477,0))&amp;"","")</f>
        <v>No</v>
      </c>
      <c r="I722" s="10" t="str">
        <f aca="false">IFERROR(INDEX(Section_Master!$G$2:$G$477,MATCH($E722,Section_Master!$A$2:$A$477,0))&amp;"","")</f>
        <v>No</v>
      </c>
      <c r="J722" s="10" t="s">
        <v>48</v>
      </c>
      <c r="K722" s="8" t="s">
        <v>1733</v>
      </c>
    </row>
    <row r="723" customFormat="false" ht="45.75" hidden="false" customHeight="true" outlineLevel="0" collapsed="false">
      <c r="A723" s="10" t="s">
        <v>1734</v>
      </c>
      <c r="B723" s="10" t="s">
        <v>45</v>
      </c>
      <c r="C723" s="8" t="s">
        <v>1731</v>
      </c>
      <c r="D723" s="8" t="s">
        <v>1735</v>
      </c>
      <c r="E723" s="11" t="n">
        <v>121</v>
      </c>
      <c r="F723" s="8" t="str">
        <f aca="false">IFERROR(INDEX(Section_Master!$D$2:$D$477,MATCH($E723,Section_Master!$A$2:$A$477,0))&amp;"","")</f>
        <v>Imprisonment up to 5 years, or fine, or both [s.121(1)]; up to 10 years and fine for grievous hurt [s.121(2)]</v>
      </c>
      <c r="G723" s="10" t="str">
        <f aca="false">IFERROR(INDEX(Section_Master!$E$2:$E$477,MATCH($E723,Section_Master!$A$2:$A$477,0))&amp;"","")</f>
        <v>Yes</v>
      </c>
      <c r="H723" s="10" t="str">
        <f aca="false">IFERROR(INDEX(Section_Master!$F$2:$F$477,MATCH($E723,Section_Master!$A$2:$A$477,0))&amp;"","")</f>
        <v>No</v>
      </c>
      <c r="I723" s="10" t="str">
        <f aca="false">IFERROR(INDEX(Section_Master!$G$2:$G$477,MATCH($E723,Section_Master!$A$2:$A$477,0))&amp;"","")</f>
        <v>No</v>
      </c>
      <c r="J723" s="10" t="s">
        <v>52</v>
      </c>
      <c r="K723" s="8" t="s">
        <v>1733</v>
      </c>
    </row>
    <row r="724" customFormat="false" ht="34.5" hidden="false" customHeight="true" outlineLevel="0" collapsed="false">
      <c r="A724" s="10" t="s">
        <v>1736</v>
      </c>
      <c r="B724" s="10" t="s">
        <v>45</v>
      </c>
      <c r="C724" s="8" t="s">
        <v>1731</v>
      </c>
      <c r="D724" s="8" t="s">
        <v>1737</v>
      </c>
      <c r="E724" s="11" t="n">
        <v>121</v>
      </c>
      <c r="F724" s="8" t="str">
        <f aca="false">IFERROR(INDEX(Section_Master!$D$2:$D$477,MATCH($E724,Section_Master!$A$2:$A$477,0))&amp;"","")</f>
        <v>Imprisonment up to 5 years, or fine, or both [s.121(1)]; up to 10 years and fine for grievous hurt [s.121(2)]</v>
      </c>
      <c r="G724" s="10" t="str">
        <f aca="false">IFERROR(INDEX(Section_Master!$E$2:$E$477,MATCH($E724,Section_Master!$A$2:$A$477,0))&amp;"","")</f>
        <v>Yes</v>
      </c>
      <c r="H724" s="10" t="str">
        <f aca="false">IFERROR(INDEX(Section_Master!$F$2:$F$477,MATCH($E724,Section_Master!$A$2:$A$477,0))&amp;"","")</f>
        <v>No</v>
      </c>
      <c r="I724" s="10" t="str">
        <f aca="false">IFERROR(INDEX(Section_Master!$G$2:$G$477,MATCH($E724,Section_Master!$A$2:$A$477,0))&amp;"","")</f>
        <v>No</v>
      </c>
      <c r="J724" s="10" t="s">
        <v>55</v>
      </c>
      <c r="K724" s="8" t="s">
        <v>1733</v>
      </c>
    </row>
    <row r="725" customFormat="false" ht="34.5" hidden="false" customHeight="true" outlineLevel="0" collapsed="false">
      <c r="A725" s="10" t="s">
        <v>1738</v>
      </c>
      <c r="B725" s="10" t="s">
        <v>45</v>
      </c>
      <c r="C725" s="8" t="s">
        <v>1731</v>
      </c>
      <c r="D725" s="8" t="s">
        <v>1739</v>
      </c>
      <c r="E725" s="11" t="n">
        <v>121</v>
      </c>
      <c r="F725" s="8" t="str">
        <f aca="false">IFERROR(INDEX(Section_Master!$D$2:$D$477,MATCH($E725,Section_Master!$A$2:$A$477,0))&amp;"","")</f>
        <v>Imprisonment up to 5 years, or fine, or both [s.121(1)]; up to 10 years and fine for grievous hurt [s.121(2)]</v>
      </c>
      <c r="G725" s="10" t="str">
        <f aca="false">IFERROR(INDEX(Section_Master!$E$2:$E$477,MATCH($E725,Section_Master!$A$2:$A$477,0))&amp;"","")</f>
        <v>Yes</v>
      </c>
      <c r="H725" s="10" t="str">
        <f aca="false">IFERROR(INDEX(Section_Master!$F$2:$F$477,MATCH($E725,Section_Master!$A$2:$A$477,0))&amp;"","")</f>
        <v>No</v>
      </c>
      <c r="I725" s="10" t="str">
        <f aca="false">IFERROR(INDEX(Section_Master!$G$2:$G$477,MATCH($E725,Section_Master!$A$2:$A$477,0))&amp;"","")</f>
        <v>No</v>
      </c>
      <c r="J725" s="10" t="s">
        <v>58</v>
      </c>
      <c r="K725" s="8" t="s">
        <v>1733</v>
      </c>
    </row>
    <row r="726" customFormat="false" ht="34.5" hidden="false" customHeight="true" outlineLevel="0" collapsed="false">
      <c r="A726" s="10" t="s">
        <v>1740</v>
      </c>
      <c r="B726" s="10" t="s">
        <v>45</v>
      </c>
      <c r="C726" s="8" t="s">
        <v>1731</v>
      </c>
      <c r="D726" s="8" t="s">
        <v>1741</v>
      </c>
      <c r="E726" s="11" t="n">
        <v>121</v>
      </c>
      <c r="F726" s="8" t="str">
        <f aca="false">IFERROR(INDEX(Section_Master!$D$2:$D$477,MATCH($E726,Section_Master!$A$2:$A$477,0))&amp;"","")</f>
        <v>Imprisonment up to 5 years, or fine, or both [s.121(1)]; up to 10 years and fine for grievous hurt [s.121(2)]</v>
      </c>
      <c r="G726" s="10" t="str">
        <f aca="false">IFERROR(INDEX(Section_Master!$E$2:$E$477,MATCH($E726,Section_Master!$A$2:$A$477,0))&amp;"","")</f>
        <v>Yes</v>
      </c>
      <c r="H726" s="10" t="str">
        <f aca="false">IFERROR(INDEX(Section_Master!$F$2:$F$477,MATCH($E726,Section_Master!$A$2:$A$477,0))&amp;"","")</f>
        <v>No</v>
      </c>
      <c r="I726" s="10" t="str">
        <f aca="false">IFERROR(INDEX(Section_Master!$G$2:$G$477,MATCH($E726,Section_Master!$A$2:$A$477,0))&amp;"","")</f>
        <v>No</v>
      </c>
      <c r="J726" s="10" t="s">
        <v>61</v>
      </c>
      <c r="K726" s="8" t="s">
        <v>1733</v>
      </c>
    </row>
    <row r="727" customFormat="false" ht="34.5" hidden="false" customHeight="true" outlineLevel="0" collapsed="false">
      <c r="A727" s="10" t="s">
        <v>1742</v>
      </c>
      <c r="B727" s="10" t="s">
        <v>45</v>
      </c>
      <c r="C727" s="8" t="s">
        <v>1731</v>
      </c>
      <c r="D727" s="8" t="s">
        <v>1743</v>
      </c>
      <c r="E727" s="11" t="n">
        <v>121</v>
      </c>
      <c r="F727" s="8" t="str">
        <f aca="false">IFERROR(INDEX(Section_Master!$D$2:$D$477,MATCH($E727,Section_Master!$A$2:$A$477,0))&amp;"","")</f>
        <v>Imprisonment up to 5 years, or fine, or both [s.121(1)]; up to 10 years and fine for grievous hurt [s.121(2)]</v>
      </c>
      <c r="G727" s="10" t="str">
        <f aca="false">IFERROR(INDEX(Section_Master!$E$2:$E$477,MATCH($E727,Section_Master!$A$2:$A$477,0))&amp;"","")</f>
        <v>Yes</v>
      </c>
      <c r="H727" s="10" t="str">
        <f aca="false">IFERROR(INDEX(Section_Master!$F$2:$F$477,MATCH($E727,Section_Master!$A$2:$A$477,0))&amp;"","")</f>
        <v>No</v>
      </c>
      <c r="I727" s="10" t="str">
        <f aca="false">IFERROR(INDEX(Section_Master!$G$2:$G$477,MATCH($E727,Section_Master!$A$2:$A$477,0))&amp;"","")</f>
        <v>No</v>
      </c>
      <c r="J727" s="10" t="s">
        <v>64</v>
      </c>
      <c r="K727" s="8" t="s">
        <v>1733</v>
      </c>
    </row>
    <row r="728" customFormat="false" ht="34.5" hidden="false" customHeight="true" outlineLevel="0" collapsed="false">
      <c r="A728" s="10" t="s">
        <v>1744</v>
      </c>
      <c r="B728" s="10" t="s">
        <v>45</v>
      </c>
      <c r="C728" s="8" t="s">
        <v>1745</v>
      </c>
      <c r="D728" s="8" t="s">
        <v>1746</v>
      </c>
      <c r="E728" s="11" t="n">
        <v>122</v>
      </c>
      <c r="F728" s="8" t="str">
        <f aca="false">IFERROR(INDEX(Section_Master!$D$2:$D$477,MATCH($E728,Section_Master!$A$2:$A$477,0))&amp;"","")</f>
        <v>Imprisonment up to 1 month, or fine, or both [s.122(1)]; up to 5 years, or fine, or both for grievous hurt [s.122(2)]</v>
      </c>
      <c r="G728" s="10" t="str">
        <f aca="false">IFERROR(INDEX(Section_Master!$E$2:$E$477,MATCH($E728,Section_Master!$A$2:$A$477,0))&amp;"","")</f>
        <v>No</v>
      </c>
      <c r="H728" s="10" t="str">
        <f aca="false">IFERROR(INDEX(Section_Master!$F$2:$F$477,MATCH($E728,Section_Master!$A$2:$A$477,0))&amp;"","")</f>
        <v>Yes</v>
      </c>
      <c r="I728" s="10" t="str">
        <f aca="false">IFERROR(INDEX(Section_Master!$G$2:$G$477,MATCH($E728,Section_Master!$A$2:$A$477,0))&amp;"","")</f>
        <v>Yes (122(1)); With court permission (122(2))</v>
      </c>
      <c r="J728" s="10" t="s">
        <v>48</v>
      </c>
      <c r="K728" s="8" t="s">
        <v>1747</v>
      </c>
    </row>
    <row r="729" customFormat="false" ht="34.5" hidden="false" customHeight="true" outlineLevel="0" collapsed="false">
      <c r="A729" s="10" t="s">
        <v>1748</v>
      </c>
      <c r="B729" s="10" t="s">
        <v>45</v>
      </c>
      <c r="C729" s="8" t="s">
        <v>1745</v>
      </c>
      <c r="D729" s="8" t="s">
        <v>1749</v>
      </c>
      <c r="E729" s="11" t="n">
        <v>122</v>
      </c>
      <c r="F729" s="8" t="str">
        <f aca="false">IFERROR(INDEX(Section_Master!$D$2:$D$477,MATCH($E729,Section_Master!$A$2:$A$477,0))&amp;"","")</f>
        <v>Imprisonment up to 1 month, or fine, or both [s.122(1)]; up to 5 years, or fine, or both for grievous hurt [s.122(2)]</v>
      </c>
      <c r="G729" s="10" t="str">
        <f aca="false">IFERROR(INDEX(Section_Master!$E$2:$E$477,MATCH($E729,Section_Master!$A$2:$A$477,0))&amp;"","")</f>
        <v>No</v>
      </c>
      <c r="H729" s="10" t="str">
        <f aca="false">IFERROR(INDEX(Section_Master!$F$2:$F$477,MATCH($E729,Section_Master!$A$2:$A$477,0))&amp;"","")</f>
        <v>Yes</v>
      </c>
      <c r="I729" s="10" t="str">
        <f aca="false">IFERROR(INDEX(Section_Master!$G$2:$G$477,MATCH($E729,Section_Master!$A$2:$A$477,0))&amp;"","")</f>
        <v>Yes (122(1)); With court permission (122(2))</v>
      </c>
      <c r="J729" s="10" t="s">
        <v>52</v>
      </c>
      <c r="K729" s="8" t="s">
        <v>1747</v>
      </c>
    </row>
    <row r="730" customFormat="false" ht="34.5" hidden="false" customHeight="true" outlineLevel="0" collapsed="false">
      <c r="A730" s="10" t="s">
        <v>1750</v>
      </c>
      <c r="B730" s="10" t="s">
        <v>45</v>
      </c>
      <c r="C730" s="8" t="s">
        <v>1745</v>
      </c>
      <c r="D730" s="8" t="s">
        <v>1751</v>
      </c>
      <c r="E730" s="11" t="n">
        <v>122</v>
      </c>
      <c r="F730" s="8" t="str">
        <f aca="false">IFERROR(INDEX(Section_Master!$D$2:$D$477,MATCH($E730,Section_Master!$A$2:$A$477,0))&amp;"","")</f>
        <v>Imprisonment up to 1 month, or fine, or both [s.122(1)]; up to 5 years, or fine, or both for grievous hurt [s.122(2)]</v>
      </c>
      <c r="G730" s="10" t="str">
        <f aca="false">IFERROR(INDEX(Section_Master!$E$2:$E$477,MATCH($E730,Section_Master!$A$2:$A$477,0))&amp;"","")</f>
        <v>No</v>
      </c>
      <c r="H730" s="10" t="str">
        <f aca="false">IFERROR(INDEX(Section_Master!$F$2:$F$477,MATCH($E730,Section_Master!$A$2:$A$477,0))&amp;"","")</f>
        <v>Yes</v>
      </c>
      <c r="I730" s="10" t="str">
        <f aca="false">IFERROR(INDEX(Section_Master!$G$2:$G$477,MATCH($E730,Section_Master!$A$2:$A$477,0))&amp;"","")</f>
        <v>Yes (122(1)); With court permission (122(2))</v>
      </c>
      <c r="J730" s="10" t="s">
        <v>55</v>
      </c>
      <c r="K730" s="8" t="s">
        <v>1747</v>
      </c>
    </row>
    <row r="731" customFormat="false" ht="23.25" hidden="false" customHeight="true" outlineLevel="0" collapsed="false">
      <c r="A731" s="10" t="s">
        <v>1752</v>
      </c>
      <c r="B731" s="10" t="s">
        <v>45</v>
      </c>
      <c r="C731" s="8" t="s">
        <v>1745</v>
      </c>
      <c r="D731" s="8" t="s">
        <v>1753</v>
      </c>
      <c r="E731" s="11" t="n">
        <v>122</v>
      </c>
      <c r="F731" s="8" t="str">
        <f aca="false">IFERROR(INDEX(Section_Master!$D$2:$D$477,MATCH($E731,Section_Master!$A$2:$A$477,0))&amp;"","")</f>
        <v>Imprisonment up to 1 month, or fine, or both [s.122(1)]; up to 5 years, or fine, or both for grievous hurt [s.122(2)]</v>
      </c>
      <c r="G731" s="10" t="str">
        <f aca="false">IFERROR(INDEX(Section_Master!$E$2:$E$477,MATCH($E731,Section_Master!$A$2:$A$477,0))&amp;"","")</f>
        <v>No</v>
      </c>
      <c r="H731" s="10" t="str">
        <f aca="false">IFERROR(INDEX(Section_Master!$F$2:$F$477,MATCH($E731,Section_Master!$A$2:$A$477,0))&amp;"","")</f>
        <v>Yes</v>
      </c>
      <c r="I731" s="10" t="str">
        <f aca="false">IFERROR(INDEX(Section_Master!$G$2:$G$477,MATCH($E731,Section_Master!$A$2:$A$477,0))&amp;"","")</f>
        <v>Yes (122(1)); With court permission (122(2))</v>
      </c>
      <c r="J731" s="10" t="s">
        <v>58</v>
      </c>
      <c r="K731" s="8" t="s">
        <v>1747</v>
      </c>
    </row>
    <row r="732" customFormat="false" ht="34.5" hidden="false" customHeight="true" outlineLevel="0" collapsed="false">
      <c r="A732" s="10" t="s">
        <v>1754</v>
      </c>
      <c r="B732" s="10" t="s">
        <v>45</v>
      </c>
      <c r="C732" s="8" t="s">
        <v>1745</v>
      </c>
      <c r="D732" s="8" t="s">
        <v>1755</v>
      </c>
      <c r="E732" s="11" t="n">
        <v>122</v>
      </c>
      <c r="F732" s="8" t="str">
        <f aca="false">IFERROR(INDEX(Section_Master!$D$2:$D$477,MATCH($E732,Section_Master!$A$2:$A$477,0))&amp;"","")</f>
        <v>Imprisonment up to 1 month, or fine, or both [s.122(1)]; up to 5 years, or fine, or both for grievous hurt [s.122(2)]</v>
      </c>
      <c r="G732" s="10" t="str">
        <f aca="false">IFERROR(INDEX(Section_Master!$E$2:$E$477,MATCH($E732,Section_Master!$A$2:$A$477,0))&amp;"","")</f>
        <v>No</v>
      </c>
      <c r="H732" s="10" t="str">
        <f aca="false">IFERROR(INDEX(Section_Master!$F$2:$F$477,MATCH($E732,Section_Master!$A$2:$A$477,0))&amp;"","")</f>
        <v>Yes</v>
      </c>
      <c r="I732" s="10" t="str">
        <f aca="false">IFERROR(INDEX(Section_Master!$G$2:$G$477,MATCH($E732,Section_Master!$A$2:$A$477,0))&amp;"","")</f>
        <v>Yes (122(1)); With court permission (122(2))</v>
      </c>
      <c r="J732" s="10" t="s">
        <v>61</v>
      </c>
      <c r="K732" s="8" t="s">
        <v>1747</v>
      </c>
    </row>
    <row r="733" customFormat="false" ht="34.5" hidden="false" customHeight="true" outlineLevel="0" collapsed="false">
      <c r="A733" s="10" t="s">
        <v>1756</v>
      </c>
      <c r="B733" s="10" t="s">
        <v>45</v>
      </c>
      <c r="C733" s="8" t="s">
        <v>1745</v>
      </c>
      <c r="D733" s="8" t="s">
        <v>1757</v>
      </c>
      <c r="E733" s="11" t="n">
        <v>122</v>
      </c>
      <c r="F733" s="8" t="str">
        <f aca="false">IFERROR(INDEX(Section_Master!$D$2:$D$477,MATCH($E733,Section_Master!$A$2:$A$477,0))&amp;"","")</f>
        <v>Imprisonment up to 1 month, or fine, or both [s.122(1)]; up to 5 years, or fine, or both for grievous hurt [s.122(2)]</v>
      </c>
      <c r="G733" s="10" t="str">
        <f aca="false">IFERROR(INDEX(Section_Master!$E$2:$E$477,MATCH($E733,Section_Master!$A$2:$A$477,0))&amp;"","")</f>
        <v>No</v>
      </c>
      <c r="H733" s="10" t="str">
        <f aca="false">IFERROR(INDEX(Section_Master!$F$2:$F$477,MATCH($E733,Section_Master!$A$2:$A$477,0))&amp;"","")</f>
        <v>Yes</v>
      </c>
      <c r="I733" s="10" t="str">
        <f aca="false">IFERROR(INDEX(Section_Master!$G$2:$G$477,MATCH($E733,Section_Master!$A$2:$A$477,0))&amp;"","")</f>
        <v>Yes (122(1)); With court permission (122(2))</v>
      </c>
      <c r="J733" s="10" t="s">
        <v>64</v>
      </c>
      <c r="K733" s="8" t="s">
        <v>1747</v>
      </c>
    </row>
    <row r="734" customFormat="false" ht="23.25" hidden="false" customHeight="true" outlineLevel="0" collapsed="false">
      <c r="A734" s="10" t="s">
        <v>1758</v>
      </c>
      <c r="B734" s="10" t="s">
        <v>45</v>
      </c>
      <c r="C734" s="8" t="s">
        <v>1759</v>
      </c>
      <c r="D734" s="8" t="s">
        <v>1760</v>
      </c>
      <c r="E734" s="11" t="n">
        <v>123</v>
      </c>
      <c r="F734" s="8" t="str">
        <f aca="false">IFERROR(INDEX(Section_Master!$D$2:$D$477,MATCH($E734,Section_Master!$A$2:$A$477,0))&amp;"","")</f>
        <v>Imprisonment up to 10 years and fine</v>
      </c>
      <c r="G734" s="10" t="str">
        <f aca="false">IFERROR(INDEX(Section_Master!$E$2:$E$477,MATCH($E734,Section_Master!$A$2:$A$477,0))&amp;"","")</f>
        <v>Yes</v>
      </c>
      <c r="H734" s="10" t="str">
        <f aca="false">IFERROR(INDEX(Section_Master!$F$2:$F$477,MATCH($E734,Section_Master!$A$2:$A$477,0))&amp;"","")</f>
        <v>No</v>
      </c>
      <c r="I734" s="10" t="str">
        <f aca="false">IFERROR(INDEX(Section_Master!$G$2:$G$477,MATCH($E734,Section_Master!$A$2:$A$477,0))&amp;"","")</f>
        <v>No</v>
      </c>
      <c r="J734" s="10" t="s">
        <v>48</v>
      </c>
      <c r="K734" s="8" t="s">
        <v>1761</v>
      </c>
    </row>
    <row r="735" customFormat="false" ht="34.5" hidden="false" customHeight="true" outlineLevel="0" collapsed="false">
      <c r="A735" s="10" t="s">
        <v>1762</v>
      </c>
      <c r="B735" s="10" t="s">
        <v>45</v>
      </c>
      <c r="C735" s="8" t="s">
        <v>1759</v>
      </c>
      <c r="D735" s="8" t="s">
        <v>1763</v>
      </c>
      <c r="E735" s="11" t="n">
        <v>123</v>
      </c>
      <c r="F735" s="8" t="str">
        <f aca="false">IFERROR(INDEX(Section_Master!$D$2:$D$477,MATCH($E735,Section_Master!$A$2:$A$477,0))&amp;"","")</f>
        <v>Imprisonment up to 10 years and fine</v>
      </c>
      <c r="G735" s="10" t="str">
        <f aca="false">IFERROR(INDEX(Section_Master!$E$2:$E$477,MATCH($E735,Section_Master!$A$2:$A$477,0))&amp;"","")</f>
        <v>Yes</v>
      </c>
      <c r="H735" s="10" t="str">
        <f aca="false">IFERROR(INDEX(Section_Master!$F$2:$F$477,MATCH($E735,Section_Master!$A$2:$A$477,0))&amp;"","")</f>
        <v>No</v>
      </c>
      <c r="I735" s="10" t="str">
        <f aca="false">IFERROR(INDEX(Section_Master!$G$2:$G$477,MATCH($E735,Section_Master!$A$2:$A$477,0))&amp;"","")</f>
        <v>No</v>
      </c>
      <c r="J735" s="10" t="s">
        <v>52</v>
      </c>
      <c r="K735" s="8" t="s">
        <v>1761</v>
      </c>
    </row>
    <row r="736" customFormat="false" ht="34.5" hidden="false" customHeight="true" outlineLevel="0" collapsed="false">
      <c r="A736" s="10" t="s">
        <v>1764</v>
      </c>
      <c r="B736" s="10" t="s">
        <v>45</v>
      </c>
      <c r="C736" s="8" t="s">
        <v>1759</v>
      </c>
      <c r="D736" s="8" t="s">
        <v>1765</v>
      </c>
      <c r="E736" s="11" t="n">
        <v>123</v>
      </c>
      <c r="F736" s="8" t="str">
        <f aca="false">IFERROR(INDEX(Section_Master!$D$2:$D$477,MATCH($E736,Section_Master!$A$2:$A$477,0))&amp;"","")</f>
        <v>Imprisonment up to 10 years and fine</v>
      </c>
      <c r="G736" s="10" t="str">
        <f aca="false">IFERROR(INDEX(Section_Master!$E$2:$E$477,MATCH($E736,Section_Master!$A$2:$A$477,0))&amp;"","")</f>
        <v>Yes</v>
      </c>
      <c r="H736" s="10" t="str">
        <f aca="false">IFERROR(INDEX(Section_Master!$F$2:$F$477,MATCH($E736,Section_Master!$A$2:$A$477,0))&amp;"","")</f>
        <v>No</v>
      </c>
      <c r="I736" s="10" t="str">
        <f aca="false">IFERROR(INDEX(Section_Master!$G$2:$G$477,MATCH($E736,Section_Master!$A$2:$A$477,0))&amp;"","")</f>
        <v>No</v>
      </c>
      <c r="J736" s="10" t="s">
        <v>55</v>
      </c>
      <c r="K736" s="8" t="s">
        <v>1761</v>
      </c>
    </row>
    <row r="737" customFormat="false" ht="23.25" hidden="false" customHeight="true" outlineLevel="0" collapsed="false">
      <c r="A737" s="10" t="s">
        <v>1766</v>
      </c>
      <c r="B737" s="10" t="s">
        <v>45</v>
      </c>
      <c r="C737" s="8" t="s">
        <v>1759</v>
      </c>
      <c r="D737" s="8" t="s">
        <v>1767</v>
      </c>
      <c r="E737" s="11" t="n">
        <v>123</v>
      </c>
      <c r="F737" s="8" t="str">
        <f aca="false">IFERROR(INDEX(Section_Master!$D$2:$D$477,MATCH($E737,Section_Master!$A$2:$A$477,0))&amp;"","")</f>
        <v>Imprisonment up to 10 years and fine</v>
      </c>
      <c r="G737" s="10" t="str">
        <f aca="false">IFERROR(INDEX(Section_Master!$E$2:$E$477,MATCH($E737,Section_Master!$A$2:$A$477,0))&amp;"","")</f>
        <v>Yes</v>
      </c>
      <c r="H737" s="10" t="str">
        <f aca="false">IFERROR(INDEX(Section_Master!$F$2:$F$477,MATCH($E737,Section_Master!$A$2:$A$477,0))&amp;"","")</f>
        <v>No</v>
      </c>
      <c r="I737" s="10" t="str">
        <f aca="false">IFERROR(INDEX(Section_Master!$G$2:$G$477,MATCH($E737,Section_Master!$A$2:$A$477,0))&amp;"","")</f>
        <v>No</v>
      </c>
      <c r="J737" s="10" t="s">
        <v>58</v>
      </c>
      <c r="K737" s="8" t="s">
        <v>1761</v>
      </c>
    </row>
    <row r="738" customFormat="false" ht="34.5" hidden="false" customHeight="true" outlineLevel="0" collapsed="false">
      <c r="A738" s="10" t="s">
        <v>1768</v>
      </c>
      <c r="B738" s="10" t="s">
        <v>45</v>
      </c>
      <c r="C738" s="8" t="s">
        <v>1759</v>
      </c>
      <c r="D738" s="8" t="s">
        <v>1769</v>
      </c>
      <c r="E738" s="11" t="n">
        <v>123</v>
      </c>
      <c r="F738" s="8" t="str">
        <f aca="false">IFERROR(INDEX(Section_Master!$D$2:$D$477,MATCH($E738,Section_Master!$A$2:$A$477,0))&amp;"","")</f>
        <v>Imprisonment up to 10 years and fine</v>
      </c>
      <c r="G738" s="10" t="str">
        <f aca="false">IFERROR(INDEX(Section_Master!$E$2:$E$477,MATCH($E738,Section_Master!$A$2:$A$477,0))&amp;"","")</f>
        <v>Yes</v>
      </c>
      <c r="H738" s="10" t="str">
        <f aca="false">IFERROR(INDEX(Section_Master!$F$2:$F$477,MATCH($E738,Section_Master!$A$2:$A$477,0))&amp;"","")</f>
        <v>No</v>
      </c>
      <c r="I738" s="10" t="str">
        <f aca="false">IFERROR(INDEX(Section_Master!$G$2:$G$477,MATCH($E738,Section_Master!$A$2:$A$477,0))&amp;"","")</f>
        <v>No</v>
      </c>
      <c r="J738" s="10" t="s">
        <v>61</v>
      </c>
      <c r="K738" s="8" t="s">
        <v>1761</v>
      </c>
    </row>
    <row r="739" customFormat="false" ht="34.5" hidden="false" customHeight="true" outlineLevel="0" collapsed="false">
      <c r="A739" s="10" t="s">
        <v>1770</v>
      </c>
      <c r="B739" s="10" t="s">
        <v>45</v>
      </c>
      <c r="C739" s="8" t="s">
        <v>1759</v>
      </c>
      <c r="D739" s="8" t="s">
        <v>1771</v>
      </c>
      <c r="E739" s="11" t="n">
        <v>123</v>
      </c>
      <c r="F739" s="8" t="str">
        <f aca="false">IFERROR(INDEX(Section_Master!$D$2:$D$477,MATCH($E739,Section_Master!$A$2:$A$477,0))&amp;"","")</f>
        <v>Imprisonment up to 10 years and fine</v>
      </c>
      <c r="G739" s="10" t="str">
        <f aca="false">IFERROR(INDEX(Section_Master!$E$2:$E$477,MATCH($E739,Section_Master!$A$2:$A$477,0))&amp;"","")</f>
        <v>Yes</v>
      </c>
      <c r="H739" s="10" t="str">
        <f aca="false">IFERROR(INDEX(Section_Master!$F$2:$F$477,MATCH($E739,Section_Master!$A$2:$A$477,0))&amp;"","")</f>
        <v>No</v>
      </c>
      <c r="I739" s="10" t="str">
        <f aca="false">IFERROR(INDEX(Section_Master!$G$2:$G$477,MATCH($E739,Section_Master!$A$2:$A$477,0))&amp;"","")</f>
        <v>No</v>
      </c>
      <c r="J739" s="10" t="s">
        <v>64</v>
      </c>
      <c r="K739" s="8" t="s">
        <v>1761</v>
      </c>
    </row>
    <row r="740" customFormat="false" ht="45.75" hidden="false" customHeight="true" outlineLevel="0" collapsed="false">
      <c r="A740" s="10" t="s">
        <v>1772</v>
      </c>
      <c r="B740" s="10" t="s">
        <v>45</v>
      </c>
      <c r="C740" s="8" t="s">
        <v>1773</v>
      </c>
      <c r="D740" s="8" t="s">
        <v>1774</v>
      </c>
      <c r="E740" s="11" t="n">
        <v>124</v>
      </c>
      <c r="F740" s="8" t="str">
        <f aca="false">IFERROR(INDEX(Section_Master!$D$2:$D$477,MATCH($E740,Section_Master!$A$2:$A$477,0))&amp;"","")</f>
        <v>Not less than 10 years, may extend to life, and fine for acid attack [s.124(1)]; 5 to 7 years and fine for attempt [s.124(2)]</v>
      </c>
      <c r="G740" s="10" t="str">
        <f aca="false">IFERROR(INDEX(Section_Master!$E$2:$E$477,MATCH($E740,Section_Master!$A$2:$A$477,0))&amp;"","")</f>
        <v>Yes</v>
      </c>
      <c r="H740" s="10" t="str">
        <f aca="false">IFERROR(INDEX(Section_Master!$F$2:$F$477,MATCH($E740,Section_Master!$A$2:$A$477,0))&amp;"","")</f>
        <v>No</v>
      </c>
      <c r="I740" s="10" t="str">
        <f aca="false">IFERROR(INDEX(Section_Master!$G$2:$G$477,MATCH($E740,Section_Master!$A$2:$A$477,0))&amp;"","")</f>
        <v>No</v>
      </c>
      <c r="J740" s="10" t="s">
        <v>48</v>
      </c>
      <c r="K740" s="8" t="s">
        <v>1775</v>
      </c>
    </row>
    <row r="741" customFormat="false" ht="45.75" hidden="false" customHeight="true" outlineLevel="0" collapsed="false">
      <c r="A741" s="10" t="s">
        <v>1776</v>
      </c>
      <c r="B741" s="10" t="s">
        <v>45</v>
      </c>
      <c r="C741" s="8" t="s">
        <v>1773</v>
      </c>
      <c r="D741" s="8" t="s">
        <v>1777</v>
      </c>
      <c r="E741" s="11" t="n">
        <v>124</v>
      </c>
      <c r="F741" s="8" t="str">
        <f aca="false">IFERROR(INDEX(Section_Master!$D$2:$D$477,MATCH($E741,Section_Master!$A$2:$A$477,0))&amp;"","")</f>
        <v>Not less than 10 years, may extend to life, and fine for acid attack [s.124(1)]; 5 to 7 years and fine for attempt [s.124(2)]</v>
      </c>
      <c r="G741" s="10" t="str">
        <f aca="false">IFERROR(INDEX(Section_Master!$E$2:$E$477,MATCH($E741,Section_Master!$A$2:$A$477,0))&amp;"","")</f>
        <v>Yes</v>
      </c>
      <c r="H741" s="10" t="str">
        <f aca="false">IFERROR(INDEX(Section_Master!$F$2:$F$477,MATCH($E741,Section_Master!$A$2:$A$477,0))&amp;"","")</f>
        <v>No</v>
      </c>
      <c r="I741" s="10" t="str">
        <f aca="false">IFERROR(INDEX(Section_Master!$G$2:$G$477,MATCH($E741,Section_Master!$A$2:$A$477,0))&amp;"","")</f>
        <v>No</v>
      </c>
      <c r="J741" s="10" t="s">
        <v>52</v>
      </c>
      <c r="K741" s="8" t="s">
        <v>1775</v>
      </c>
    </row>
    <row r="742" customFormat="false" ht="34.5" hidden="false" customHeight="true" outlineLevel="0" collapsed="false">
      <c r="A742" s="10" t="s">
        <v>1778</v>
      </c>
      <c r="B742" s="10" t="s">
        <v>45</v>
      </c>
      <c r="C742" s="8" t="s">
        <v>1773</v>
      </c>
      <c r="D742" s="8" t="s">
        <v>1779</v>
      </c>
      <c r="E742" s="11" t="n">
        <v>124</v>
      </c>
      <c r="F742" s="8" t="str">
        <f aca="false">IFERROR(INDEX(Section_Master!$D$2:$D$477,MATCH($E742,Section_Master!$A$2:$A$477,0))&amp;"","")</f>
        <v>Not less than 10 years, may extend to life, and fine for acid attack [s.124(1)]; 5 to 7 years and fine for attempt [s.124(2)]</v>
      </c>
      <c r="G742" s="10" t="str">
        <f aca="false">IFERROR(INDEX(Section_Master!$E$2:$E$477,MATCH($E742,Section_Master!$A$2:$A$477,0))&amp;"","")</f>
        <v>Yes</v>
      </c>
      <c r="H742" s="10" t="str">
        <f aca="false">IFERROR(INDEX(Section_Master!$F$2:$F$477,MATCH($E742,Section_Master!$A$2:$A$477,0))&amp;"","")</f>
        <v>No</v>
      </c>
      <c r="I742" s="10" t="str">
        <f aca="false">IFERROR(INDEX(Section_Master!$G$2:$G$477,MATCH($E742,Section_Master!$A$2:$A$477,0))&amp;"","")</f>
        <v>No</v>
      </c>
      <c r="J742" s="10" t="s">
        <v>55</v>
      </c>
      <c r="K742" s="8" t="s">
        <v>1775</v>
      </c>
    </row>
    <row r="743" customFormat="false" ht="34.5" hidden="false" customHeight="true" outlineLevel="0" collapsed="false">
      <c r="A743" s="10" t="s">
        <v>1780</v>
      </c>
      <c r="B743" s="10" t="s">
        <v>45</v>
      </c>
      <c r="C743" s="8" t="s">
        <v>1773</v>
      </c>
      <c r="D743" s="8" t="s">
        <v>1781</v>
      </c>
      <c r="E743" s="11" t="n">
        <v>124</v>
      </c>
      <c r="F743" s="8" t="str">
        <f aca="false">IFERROR(INDEX(Section_Master!$D$2:$D$477,MATCH($E743,Section_Master!$A$2:$A$477,0))&amp;"","")</f>
        <v>Not less than 10 years, may extend to life, and fine for acid attack [s.124(1)]; 5 to 7 years and fine for attempt [s.124(2)]</v>
      </c>
      <c r="G743" s="10" t="str">
        <f aca="false">IFERROR(INDEX(Section_Master!$E$2:$E$477,MATCH($E743,Section_Master!$A$2:$A$477,0))&amp;"","")</f>
        <v>Yes</v>
      </c>
      <c r="H743" s="10" t="str">
        <f aca="false">IFERROR(INDEX(Section_Master!$F$2:$F$477,MATCH($E743,Section_Master!$A$2:$A$477,0))&amp;"","")</f>
        <v>No</v>
      </c>
      <c r="I743" s="10" t="str">
        <f aca="false">IFERROR(INDEX(Section_Master!$G$2:$G$477,MATCH($E743,Section_Master!$A$2:$A$477,0))&amp;"","")</f>
        <v>No</v>
      </c>
      <c r="J743" s="10" t="s">
        <v>58</v>
      </c>
      <c r="K743" s="8" t="s">
        <v>1775</v>
      </c>
    </row>
    <row r="744" customFormat="false" ht="34.5" hidden="false" customHeight="true" outlineLevel="0" collapsed="false">
      <c r="A744" s="10" t="s">
        <v>1782</v>
      </c>
      <c r="B744" s="10" t="s">
        <v>45</v>
      </c>
      <c r="C744" s="8" t="s">
        <v>1773</v>
      </c>
      <c r="D744" s="8" t="s">
        <v>1783</v>
      </c>
      <c r="E744" s="11" t="n">
        <v>124</v>
      </c>
      <c r="F744" s="8" t="str">
        <f aca="false">IFERROR(INDEX(Section_Master!$D$2:$D$477,MATCH($E744,Section_Master!$A$2:$A$477,0))&amp;"","")</f>
        <v>Not less than 10 years, may extend to life, and fine for acid attack [s.124(1)]; 5 to 7 years and fine for attempt [s.124(2)]</v>
      </c>
      <c r="G744" s="10" t="str">
        <f aca="false">IFERROR(INDEX(Section_Master!$E$2:$E$477,MATCH($E744,Section_Master!$A$2:$A$477,0))&amp;"","")</f>
        <v>Yes</v>
      </c>
      <c r="H744" s="10" t="str">
        <f aca="false">IFERROR(INDEX(Section_Master!$F$2:$F$477,MATCH($E744,Section_Master!$A$2:$A$477,0))&amp;"","")</f>
        <v>No</v>
      </c>
      <c r="I744" s="10" t="str">
        <f aca="false">IFERROR(INDEX(Section_Master!$G$2:$G$477,MATCH($E744,Section_Master!$A$2:$A$477,0))&amp;"","")</f>
        <v>No</v>
      </c>
      <c r="J744" s="10" t="s">
        <v>61</v>
      </c>
      <c r="K744" s="8" t="s">
        <v>1775</v>
      </c>
    </row>
    <row r="745" customFormat="false" ht="34.5" hidden="false" customHeight="true" outlineLevel="0" collapsed="false">
      <c r="A745" s="10" t="s">
        <v>1784</v>
      </c>
      <c r="B745" s="10" t="s">
        <v>45</v>
      </c>
      <c r="C745" s="8" t="s">
        <v>1773</v>
      </c>
      <c r="D745" s="8" t="s">
        <v>1785</v>
      </c>
      <c r="E745" s="11" t="n">
        <v>124</v>
      </c>
      <c r="F745" s="8" t="str">
        <f aca="false">IFERROR(INDEX(Section_Master!$D$2:$D$477,MATCH($E745,Section_Master!$A$2:$A$477,0))&amp;"","")</f>
        <v>Not less than 10 years, may extend to life, and fine for acid attack [s.124(1)]; 5 to 7 years and fine for attempt [s.124(2)]</v>
      </c>
      <c r="G745" s="10" t="str">
        <f aca="false">IFERROR(INDEX(Section_Master!$E$2:$E$477,MATCH($E745,Section_Master!$A$2:$A$477,0))&amp;"","")</f>
        <v>Yes</v>
      </c>
      <c r="H745" s="10" t="str">
        <f aca="false">IFERROR(INDEX(Section_Master!$F$2:$F$477,MATCH($E745,Section_Master!$A$2:$A$477,0))&amp;"","")</f>
        <v>No</v>
      </c>
      <c r="I745" s="10" t="str">
        <f aca="false">IFERROR(INDEX(Section_Master!$G$2:$G$477,MATCH($E745,Section_Master!$A$2:$A$477,0))&amp;"","")</f>
        <v>No</v>
      </c>
      <c r="J745" s="10" t="s">
        <v>64</v>
      </c>
      <c r="K745" s="8" t="s">
        <v>1775</v>
      </c>
    </row>
    <row r="746" customFormat="false" ht="34.5" hidden="false" customHeight="true" outlineLevel="0" collapsed="false">
      <c r="A746" s="10" t="s">
        <v>1786</v>
      </c>
      <c r="B746" s="10" t="s">
        <v>45</v>
      </c>
      <c r="C746" s="8" t="s">
        <v>1787</v>
      </c>
      <c r="D746" s="8" t="s">
        <v>1788</v>
      </c>
      <c r="E746" s="11" t="n">
        <v>125</v>
      </c>
      <c r="F746" s="8" t="str">
        <f aca="false">IFERROR(INDEX(Section_Master!$D$2:$D$477,MATCH($E746,Section_Master!$A$2:$A$477,0))&amp;"","")</f>
        <v>Up to 3 months, or fine, or both; up to 6 months for hurt; up to 3 years for grievous hurt [s.125]</v>
      </c>
      <c r="G746" s="10" t="str">
        <f aca="false">IFERROR(INDEX(Section_Master!$E$2:$E$477,MATCH($E746,Section_Master!$A$2:$A$477,0))&amp;"","")</f>
        <v>Yes</v>
      </c>
      <c r="H746" s="10" t="str">
        <f aca="false">IFERROR(INDEX(Section_Master!$F$2:$F$477,MATCH($E746,Section_Master!$A$2:$A$477,0))&amp;"","")</f>
        <v>Yes</v>
      </c>
      <c r="I746" s="10" t="str">
        <f aca="false">IFERROR(INDEX(Section_Master!$G$2:$G$477,MATCH($E746,Section_Master!$A$2:$A$477,0))&amp;"","")</f>
        <v>With court permission</v>
      </c>
      <c r="J746" s="10" t="s">
        <v>48</v>
      </c>
      <c r="K746" s="8" t="s">
        <v>1789</v>
      </c>
    </row>
    <row r="747" customFormat="false" ht="45.75" hidden="false" customHeight="true" outlineLevel="0" collapsed="false">
      <c r="A747" s="10" t="s">
        <v>1790</v>
      </c>
      <c r="B747" s="10" t="s">
        <v>45</v>
      </c>
      <c r="C747" s="8" t="s">
        <v>1787</v>
      </c>
      <c r="D747" s="8" t="s">
        <v>1791</v>
      </c>
      <c r="E747" s="11" t="n">
        <v>125</v>
      </c>
      <c r="F747" s="8" t="str">
        <f aca="false">IFERROR(INDEX(Section_Master!$D$2:$D$477,MATCH($E747,Section_Master!$A$2:$A$477,0))&amp;"","")</f>
        <v>Up to 3 months, or fine, or both; up to 6 months for hurt; up to 3 years for grievous hurt [s.125]</v>
      </c>
      <c r="G747" s="10" t="str">
        <f aca="false">IFERROR(INDEX(Section_Master!$E$2:$E$477,MATCH($E747,Section_Master!$A$2:$A$477,0))&amp;"","")</f>
        <v>Yes</v>
      </c>
      <c r="H747" s="10" t="str">
        <f aca="false">IFERROR(INDEX(Section_Master!$F$2:$F$477,MATCH($E747,Section_Master!$A$2:$A$477,0))&amp;"","")</f>
        <v>Yes</v>
      </c>
      <c r="I747" s="10" t="str">
        <f aca="false">IFERROR(INDEX(Section_Master!$G$2:$G$477,MATCH($E747,Section_Master!$A$2:$A$477,0))&amp;"","")</f>
        <v>With court permission</v>
      </c>
      <c r="J747" s="10" t="s">
        <v>52</v>
      </c>
      <c r="K747" s="8" t="s">
        <v>1789</v>
      </c>
    </row>
    <row r="748" customFormat="false" ht="34.5" hidden="false" customHeight="true" outlineLevel="0" collapsed="false">
      <c r="A748" s="10" t="s">
        <v>1792</v>
      </c>
      <c r="B748" s="10" t="s">
        <v>45</v>
      </c>
      <c r="C748" s="8" t="s">
        <v>1787</v>
      </c>
      <c r="D748" s="8" t="s">
        <v>1793</v>
      </c>
      <c r="E748" s="11" t="n">
        <v>125</v>
      </c>
      <c r="F748" s="8" t="str">
        <f aca="false">IFERROR(INDEX(Section_Master!$D$2:$D$477,MATCH($E748,Section_Master!$A$2:$A$477,0))&amp;"","")</f>
        <v>Up to 3 months, or fine, or both; up to 6 months for hurt; up to 3 years for grievous hurt [s.125]</v>
      </c>
      <c r="G748" s="10" t="str">
        <f aca="false">IFERROR(INDEX(Section_Master!$E$2:$E$477,MATCH($E748,Section_Master!$A$2:$A$477,0))&amp;"","")</f>
        <v>Yes</v>
      </c>
      <c r="H748" s="10" t="str">
        <f aca="false">IFERROR(INDEX(Section_Master!$F$2:$F$477,MATCH($E748,Section_Master!$A$2:$A$477,0))&amp;"","")</f>
        <v>Yes</v>
      </c>
      <c r="I748" s="10" t="str">
        <f aca="false">IFERROR(INDEX(Section_Master!$G$2:$G$477,MATCH($E748,Section_Master!$A$2:$A$477,0))&amp;"","")</f>
        <v>With court permission</v>
      </c>
      <c r="J748" s="10" t="s">
        <v>55</v>
      </c>
      <c r="K748" s="8" t="s">
        <v>1789</v>
      </c>
    </row>
    <row r="749" customFormat="false" ht="23.25" hidden="false" customHeight="true" outlineLevel="0" collapsed="false">
      <c r="A749" s="10" t="s">
        <v>1794</v>
      </c>
      <c r="B749" s="10" t="s">
        <v>45</v>
      </c>
      <c r="C749" s="8" t="s">
        <v>1787</v>
      </c>
      <c r="D749" s="8" t="s">
        <v>1795</v>
      </c>
      <c r="E749" s="11" t="n">
        <v>125</v>
      </c>
      <c r="F749" s="8" t="str">
        <f aca="false">IFERROR(INDEX(Section_Master!$D$2:$D$477,MATCH($E749,Section_Master!$A$2:$A$477,0))&amp;"","")</f>
        <v>Up to 3 months, or fine, or both; up to 6 months for hurt; up to 3 years for grievous hurt [s.125]</v>
      </c>
      <c r="G749" s="10" t="str">
        <f aca="false">IFERROR(INDEX(Section_Master!$E$2:$E$477,MATCH($E749,Section_Master!$A$2:$A$477,0))&amp;"","")</f>
        <v>Yes</v>
      </c>
      <c r="H749" s="10" t="str">
        <f aca="false">IFERROR(INDEX(Section_Master!$F$2:$F$477,MATCH($E749,Section_Master!$A$2:$A$477,0))&amp;"","")</f>
        <v>Yes</v>
      </c>
      <c r="I749" s="10" t="str">
        <f aca="false">IFERROR(INDEX(Section_Master!$G$2:$G$477,MATCH($E749,Section_Master!$A$2:$A$477,0))&amp;"","")</f>
        <v>With court permission</v>
      </c>
      <c r="J749" s="10" t="s">
        <v>58</v>
      </c>
      <c r="K749" s="8" t="s">
        <v>1789</v>
      </c>
    </row>
    <row r="750" customFormat="false" ht="34.5" hidden="false" customHeight="true" outlineLevel="0" collapsed="false">
      <c r="A750" s="10" t="s">
        <v>1796</v>
      </c>
      <c r="B750" s="10" t="s">
        <v>45</v>
      </c>
      <c r="C750" s="8" t="s">
        <v>1787</v>
      </c>
      <c r="D750" s="8" t="s">
        <v>1797</v>
      </c>
      <c r="E750" s="11" t="n">
        <v>125</v>
      </c>
      <c r="F750" s="8" t="str">
        <f aca="false">IFERROR(INDEX(Section_Master!$D$2:$D$477,MATCH($E750,Section_Master!$A$2:$A$477,0))&amp;"","")</f>
        <v>Up to 3 months, or fine, or both; up to 6 months for hurt; up to 3 years for grievous hurt [s.125]</v>
      </c>
      <c r="G750" s="10" t="str">
        <f aca="false">IFERROR(INDEX(Section_Master!$E$2:$E$477,MATCH($E750,Section_Master!$A$2:$A$477,0))&amp;"","")</f>
        <v>Yes</v>
      </c>
      <c r="H750" s="10" t="str">
        <f aca="false">IFERROR(INDEX(Section_Master!$F$2:$F$477,MATCH($E750,Section_Master!$A$2:$A$477,0))&amp;"","")</f>
        <v>Yes</v>
      </c>
      <c r="I750" s="10" t="str">
        <f aca="false">IFERROR(INDEX(Section_Master!$G$2:$G$477,MATCH($E750,Section_Master!$A$2:$A$477,0))&amp;"","")</f>
        <v>With court permission</v>
      </c>
      <c r="J750" s="10" t="s">
        <v>61</v>
      </c>
      <c r="K750" s="8" t="s">
        <v>1789</v>
      </c>
    </row>
    <row r="751" customFormat="false" ht="34.5" hidden="false" customHeight="true" outlineLevel="0" collapsed="false">
      <c r="A751" s="10" t="s">
        <v>1798</v>
      </c>
      <c r="B751" s="10" t="s">
        <v>45</v>
      </c>
      <c r="C751" s="8" t="s">
        <v>1787</v>
      </c>
      <c r="D751" s="8" t="s">
        <v>1799</v>
      </c>
      <c r="E751" s="11" t="n">
        <v>125</v>
      </c>
      <c r="F751" s="8" t="str">
        <f aca="false">IFERROR(INDEX(Section_Master!$D$2:$D$477,MATCH($E751,Section_Master!$A$2:$A$477,0))&amp;"","")</f>
        <v>Up to 3 months, or fine, or both; up to 6 months for hurt; up to 3 years for grievous hurt [s.125]</v>
      </c>
      <c r="G751" s="10" t="str">
        <f aca="false">IFERROR(INDEX(Section_Master!$E$2:$E$477,MATCH($E751,Section_Master!$A$2:$A$477,0))&amp;"","")</f>
        <v>Yes</v>
      </c>
      <c r="H751" s="10" t="str">
        <f aca="false">IFERROR(INDEX(Section_Master!$F$2:$F$477,MATCH($E751,Section_Master!$A$2:$A$477,0))&amp;"","")</f>
        <v>Yes</v>
      </c>
      <c r="I751" s="10" t="str">
        <f aca="false">IFERROR(INDEX(Section_Master!$G$2:$G$477,MATCH($E751,Section_Master!$A$2:$A$477,0))&amp;"","")</f>
        <v>With court permission</v>
      </c>
      <c r="J751" s="10" t="s">
        <v>64</v>
      </c>
      <c r="K751" s="8" t="s">
        <v>1789</v>
      </c>
    </row>
    <row r="752" customFormat="false" ht="34.5" hidden="false" customHeight="true" outlineLevel="0" collapsed="false">
      <c r="A752" s="10" t="s">
        <v>1800</v>
      </c>
      <c r="B752" s="10" t="s">
        <v>45</v>
      </c>
      <c r="C752" s="8" t="s">
        <v>1801</v>
      </c>
      <c r="D752" s="8" t="s">
        <v>1802</v>
      </c>
      <c r="E752" s="11" t="n">
        <v>126</v>
      </c>
      <c r="F752" s="8" t="str">
        <f aca="false">IFERROR(INDEX(Section_Master!$D$2:$D$477,MATCH($E752,Section_Master!$A$2:$A$477,0))&amp;"","")</f>
        <v>Imprisonment up to 1 month, or fine, or both [s.126(2)]; higher terms for graver forms (e.g. up to 6 months)</v>
      </c>
      <c r="G752" s="10" t="str">
        <f aca="false">IFERROR(INDEX(Section_Master!$E$2:$E$477,MATCH($E752,Section_Master!$A$2:$A$477,0))&amp;"","")</f>
        <v>No</v>
      </c>
      <c r="H752" s="10" t="str">
        <f aca="false">IFERROR(INDEX(Section_Master!$F$2:$F$477,MATCH($E752,Section_Master!$A$2:$A$477,0))&amp;"","")</f>
        <v>Yes</v>
      </c>
      <c r="I752" s="10" t="str">
        <f aca="false">IFERROR(INDEX(Section_Master!$G$2:$G$477,MATCH($E752,Section_Master!$A$2:$A$477,0))&amp;"","")</f>
        <v>Yes</v>
      </c>
      <c r="J752" s="10" t="s">
        <v>48</v>
      </c>
      <c r="K752" s="8" t="s">
        <v>1803</v>
      </c>
    </row>
    <row r="753" customFormat="false" ht="34.5" hidden="false" customHeight="true" outlineLevel="0" collapsed="false">
      <c r="A753" s="10" t="s">
        <v>1804</v>
      </c>
      <c r="B753" s="10" t="s">
        <v>45</v>
      </c>
      <c r="C753" s="8" t="s">
        <v>1801</v>
      </c>
      <c r="D753" s="8" t="s">
        <v>1805</v>
      </c>
      <c r="E753" s="11" t="n">
        <v>126</v>
      </c>
      <c r="F753" s="8" t="str">
        <f aca="false">IFERROR(INDEX(Section_Master!$D$2:$D$477,MATCH($E753,Section_Master!$A$2:$A$477,0))&amp;"","")</f>
        <v>Imprisonment up to 1 month, or fine, or both [s.126(2)]; higher terms for graver forms (e.g. up to 6 months)</v>
      </c>
      <c r="G753" s="10" t="str">
        <f aca="false">IFERROR(INDEX(Section_Master!$E$2:$E$477,MATCH($E753,Section_Master!$A$2:$A$477,0))&amp;"","")</f>
        <v>No</v>
      </c>
      <c r="H753" s="10" t="str">
        <f aca="false">IFERROR(INDEX(Section_Master!$F$2:$F$477,MATCH($E753,Section_Master!$A$2:$A$477,0))&amp;"","")</f>
        <v>Yes</v>
      </c>
      <c r="I753" s="10" t="str">
        <f aca="false">IFERROR(INDEX(Section_Master!$G$2:$G$477,MATCH($E753,Section_Master!$A$2:$A$477,0))&amp;"","")</f>
        <v>Yes</v>
      </c>
      <c r="J753" s="10" t="s">
        <v>52</v>
      </c>
      <c r="K753" s="8" t="s">
        <v>1803</v>
      </c>
    </row>
    <row r="754" customFormat="false" ht="34.5" hidden="false" customHeight="true" outlineLevel="0" collapsed="false">
      <c r="A754" s="10" t="s">
        <v>1806</v>
      </c>
      <c r="B754" s="10" t="s">
        <v>45</v>
      </c>
      <c r="C754" s="8" t="s">
        <v>1801</v>
      </c>
      <c r="D754" s="8" t="s">
        <v>1807</v>
      </c>
      <c r="E754" s="11" t="n">
        <v>126</v>
      </c>
      <c r="F754" s="8" t="str">
        <f aca="false">IFERROR(INDEX(Section_Master!$D$2:$D$477,MATCH($E754,Section_Master!$A$2:$A$477,0))&amp;"","")</f>
        <v>Imprisonment up to 1 month, or fine, or both [s.126(2)]; higher terms for graver forms (e.g. up to 6 months)</v>
      </c>
      <c r="G754" s="10" t="str">
        <f aca="false">IFERROR(INDEX(Section_Master!$E$2:$E$477,MATCH($E754,Section_Master!$A$2:$A$477,0))&amp;"","")</f>
        <v>No</v>
      </c>
      <c r="H754" s="10" t="str">
        <f aca="false">IFERROR(INDEX(Section_Master!$F$2:$F$477,MATCH($E754,Section_Master!$A$2:$A$477,0))&amp;"","")</f>
        <v>Yes</v>
      </c>
      <c r="I754" s="10" t="str">
        <f aca="false">IFERROR(INDEX(Section_Master!$G$2:$G$477,MATCH($E754,Section_Master!$A$2:$A$477,0))&amp;"","")</f>
        <v>Yes</v>
      </c>
      <c r="J754" s="10" t="s">
        <v>55</v>
      </c>
      <c r="K754" s="8" t="s">
        <v>1803</v>
      </c>
    </row>
    <row r="755" customFormat="false" ht="23.25" hidden="false" customHeight="true" outlineLevel="0" collapsed="false">
      <c r="A755" s="10" t="s">
        <v>1808</v>
      </c>
      <c r="B755" s="10" t="s">
        <v>45</v>
      </c>
      <c r="C755" s="8" t="s">
        <v>1801</v>
      </c>
      <c r="D755" s="8" t="s">
        <v>1809</v>
      </c>
      <c r="E755" s="11" t="n">
        <v>126</v>
      </c>
      <c r="F755" s="8" t="str">
        <f aca="false">IFERROR(INDEX(Section_Master!$D$2:$D$477,MATCH($E755,Section_Master!$A$2:$A$477,0))&amp;"","")</f>
        <v>Imprisonment up to 1 month, or fine, or both [s.126(2)]; higher terms for graver forms (e.g. up to 6 months)</v>
      </c>
      <c r="G755" s="10" t="str">
        <f aca="false">IFERROR(INDEX(Section_Master!$E$2:$E$477,MATCH($E755,Section_Master!$A$2:$A$477,0))&amp;"","")</f>
        <v>No</v>
      </c>
      <c r="H755" s="10" t="str">
        <f aca="false">IFERROR(INDEX(Section_Master!$F$2:$F$477,MATCH($E755,Section_Master!$A$2:$A$477,0))&amp;"","")</f>
        <v>Yes</v>
      </c>
      <c r="I755" s="10" t="str">
        <f aca="false">IFERROR(INDEX(Section_Master!$G$2:$G$477,MATCH($E755,Section_Master!$A$2:$A$477,0))&amp;"","")</f>
        <v>Yes</v>
      </c>
      <c r="J755" s="10" t="s">
        <v>58</v>
      </c>
      <c r="K755" s="8" t="s">
        <v>1803</v>
      </c>
    </row>
    <row r="756" customFormat="false" ht="34.5" hidden="false" customHeight="true" outlineLevel="0" collapsed="false">
      <c r="A756" s="10" t="s">
        <v>1810</v>
      </c>
      <c r="B756" s="10" t="s">
        <v>45</v>
      </c>
      <c r="C756" s="8" t="s">
        <v>1801</v>
      </c>
      <c r="D756" s="8" t="s">
        <v>1811</v>
      </c>
      <c r="E756" s="11" t="n">
        <v>126</v>
      </c>
      <c r="F756" s="8" t="str">
        <f aca="false">IFERROR(INDEX(Section_Master!$D$2:$D$477,MATCH($E756,Section_Master!$A$2:$A$477,0))&amp;"","")</f>
        <v>Imprisonment up to 1 month, or fine, or both [s.126(2)]; higher terms for graver forms (e.g. up to 6 months)</v>
      </c>
      <c r="G756" s="10" t="str">
        <f aca="false">IFERROR(INDEX(Section_Master!$E$2:$E$477,MATCH($E756,Section_Master!$A$2:$A$477,0))&amp;"","")</f>
        <v>No</v>
      </c>
      <c r="H756" s="10" t="str">
        <f aca="false">IFERROR(INDEX(Section_Master!$F$2:$F$477,MATCH($E756,Section_Master!$A$2:$A$477,0))&amp;"","")</f>
        <v>Yes</v>
      </c>
      <c r="I756" s="10" t="str">
        <f aca="false">IFERROR(INDEX(Section_Master!$G$2:$G$477,MATCH($E756,Section_Master!$A$2:$A$477,0))&amp;"","")</f>
        <v>Yes</v>
      </c>
      <c r="J756" s="10" t="s">
        <v>61</v>
      </c>
      <c r="K756" s="8" t="s">
        <v>1803</v>
      </c>
    </row>
    <row r="757" customFormat="false" ht="34.5" hidden="false" customHeight="true" outlineLevel="0" collapsed="false">
      <c r="A757" s="10" t="s">
        <v>1812</v>
      </c>
      <c r="B757" s="10" t="s">
        <v>45</v>
      </c>
      <c r="C757" s="8" t="s">
        <v>1801</v>
      </c>
      <c r="D757" s="8" t="s">
        <v>1813</v>
      </c>
      <c r="E757" s="11" t="n">
        <v>126</v>
      </c>
      <c r="F757" s="8" t="str">
        <f aca="false">IFERROR(INDEX(Section_Master!$D$2:$D$477,MATCH($E757,Section_Master!$A$2:$A$477,0))&amp;"","")</f>
        <v>Imprisonment up to 1 month, or fine, or both [s.126(2)]; higher terms for graver forms (e.g. up to 6 months)</v>
      </c>
      <c r="G757" s="10" t="str">
        <f aca="false">IFERROR(INDEX(Section_Master!$E$2:$E$477,MATCH($E757,Section_Master!$A$2:$A$477,0))&amp;"","")</f>
        <v>No</v>
      </c>
      <c r="H757" s="10" t="str">
        <f aca="false">IFERROR(INDEX(Section_Master!$F$2:$F$477,MATCH($E757,Section_Master!$A$2:$A$477,0))&amp;"","")</f>
        <v>Yes</v>
      </c>
      <c r="I757" s="10" t="str">
        <f aca="false">IFERROR(INDEX(Section_Master!$G$2:$G$477,MATCH($E757,Section_Master!$A$2:$A$477,0))&amp;"","")</f>
        <v>Yes</v>
      </c>
      <c r="J757" s="10" t="s">
        <v>64</v>
      </c>
      <c r="K757" s="8" t="s">
        <v>1803</v>
      </c>
    </row>
    <row r="758" customFormat="false" ht="34.5" hidden="false" customHeight="true" outlineLevel="0" collapsed="false">
      <c r="A758" s="10" t="s">
        <v>1814</v>
      </c>
      <c r="B758" s="10" t="s">
        <v>45</v>
      </c>
      <c r="C758" s="8" t="s">
        <v>1815</v>
      </c>
      <c r="D758" s="8" t="s">
        <v>1816</v>
      </c>
      <c r="E758" s="11" t="n">
        <v>127</v>
      </c>
      <c r="F758" s="8" t="str">
        <f aca="false">IFERROR(INDEX(Section_Master!$D$2:$D$477,MATCH($E758,Section_Master!$A$2:$A$477,0))&amp;"","")</f>
        <v>Imprisonment up to 1 year, or fine, or both [s.127(2)]; terms rise with duration/purpose of confinement, up to 3 years and fine</v>
      </c>
      <c r="G758" s="10" t="str">
        <f aca="false">IFERROR(INDEX(Section_Master!$E$2:$E$477,MATCH($E758,Section_Master!$A$2:$A$477,0))&amp;"","")</f>
        <v>Varies by sub-section</v>
      </c>
      <c r="H758" s="10" t="str">
        <f aca="false">IFERROR(INDEX(Section_Master!$F$2:$F$477,MATCH($E758,Section_Master!$A$2:$A$477,0))&amp;"","")</f>
        <v>Varies by sub-section</v>
      </c>
      <c r="I758" s="10" t="str">
        <f aca="false">IFERROR(INDEX(Section_Master!$G$2:$G$477,MATCH($E758,Section_Master!$A$2:$A$477,0))&amp;"","")</f>
        <v>Varies by sub-section</v>
      </c>
      <c r="J758" s="10" t="s">
        <v>48</v>
      </c>
      <c r="K758" s="8" t="s">
        <v>1817</v>
      </c>
    </row>
    <row r="759" customFormat="false" ht="45.75" hidden="false" customHeight="true" outlineLevel="0" collapsed="false">
      <c r="A759" s="10" t="s">
        <v>1818</v>
      </c>
      <c r="B759" s="10" t="s">
        <v>45</v>
      </c>
      <c r="C759" s="8" t="s">
        <v>1815</v>
      </c>
      <c r="D759" s="8" t="s">
        <v>1819</v>
      </c>
      <c r="E759" s="11" t="n">
        <v>127</v>
      </c>
      <c r="F759" s="8" t="str">
        <f aca="false">IFERROR(INDEX(Section_Master!$D$2:$D$477,MATCH($E759,Section_Master!$A$2:$A$477,0))&amp;"","")</f>
        <v>Imprisonment up to 1 year, or fine, or both [s.127(2)]; terms rise with duration/purpose of confinement, up to 3 years and fine</v>
      </c>
      <c r="G759" s="10" t="str">
        <f aca="false">IFERROR(INDEX(Section_Master!$E$2:$E$477,MATCH($E759,Section_Master!$A$2:$A$477,0))&amp;"","")</f>
        <v>Varies by sub-section</v>
      </c>
      <c r="H759" s="10" t="str">
        <f aca="false">IFERROR(INDEX(Section_Master!$F$2:$F$477,MATCH($E759,Section_Master!$A$2:$A$477,0))&amp;"","")</f>
        <v>Varies by sub-section</v>
      </c>
      <c r="I759" s="10" t="str">
        <f aca="false">IFERROR(INDEX(Section_Master!$G$2:$G$477,MATCH($E759,Section_Master!$A$2:$A$477,0))&amp;"","")</f>
        <v>Varies by sub-section</v>
      </c>
      <c r="J759" s="10" t="s">
        <v>52</v>
      </c>
      <c r="K759" s="8" t="s">
        <v>1817</v>
      </c>
    </row>
    <row r="760" customFormat="false" ht="34.5" hidden="false" customHeight="true" outlineLevel="0" collapsed="false">
      <c r="A760" s="10" t="s">
        <v>1820</v>
      </c>
      <c r="B760" s="10" t="s">
        <v>45</v>
      </c>
      <c r="C760" s="8" t="s">
        <v>1815</v>
      </c>
      <c r="D760" s="8" t="s">
        <v>1821</v>
      </c>
      <c r="E760" s="11" t="n">
        <v>127</v>
      </c>
      <c r="F760" s="8" t="str">
        <f aca="false">IFERROR(INDEX(Section_Master!$D$2:$D$477,MATCH($E760,Section_Master!$A$2:$A$477,0))&amp;"","")</f>
        <v>Imprisonment up to 1 year, or fine, or both [s.127(2)]; terms rise with duration/purpose of confinement, up to 3 years and fine</v>
      </c>
      <c r="G760" s="10" t="str">
        <f aca="false">IFERROR(INDEX(Section_Master!$E$2:$E$477,MATCH($E760,Section_Master!$A$2:$A$477,0))&amp;"","")</f>
        <v>Varies by sub-section</v>
      </c>
      <c r="H760" s="10" t="str">
        <f aca="false">IFERROR(INDEX(Section_Master!$F$2:$F$477,MATCH($E760,Section_Master!$A$2:$A$477,0))&amp;"","")</f>
        <v>Varies by sub-section</v>
      </c>
      <c r="I760" s="10" t="str">
        <f aca="false">IFERROR(INDEX(Section_Master!$G$2:$G$477,MATCH($E760,Section_Master!$A$2:$A$477,0))&amp;"","")</f>
        <v>Varies by sub-section</v>
      </c>
      <c r="J760" s="10" t="s">
        <v>55</v>
      </c>
      <c r="K760" s="8" t="s">
        <v>1817</v>
      </c>
    </row>
    <row r="761" customFormat="false" ht="34.5" hidden="false" customHeight="true" outlineLevel="0" collapsed="false">
      <c r="A761" s="10" t="s">
        <v>1822</v>
      </c>
      <c r="B761" s="10" t="s">
        <v>45</v>
      </c>
      <c r="C761" s="8" t="s">
        <v>1815</v>
      </c>
      <c r="D761" s="8" t="s">
        <v>1823</v>
      </c>
      <c r="E761" s="11" t="n">
        <v>127</v>
      </c>
      <c r="F761" s="8" t="str">
        <f aca="false">IFERROR(INDEX(Section_Master!$D$2:$D$477,MATCH($E761,Section_Master!$A$2:$A$477,0))&amp;"","")</f>
        <v>Imprisonment up to 1 year, or fine, or both [s.127(2)]; terms rise with duration/purpose of confinement, up to 3 years and fine</v>
      </c>
      <c r="G761" s="10" t="str">
        <f aca="false">IFERROR(INDEX(Section_Master!$E$2:$E$477,MATCH($E761,Section_Master!$A$2:$A$477,0))&amp;"","")</f>
        <v>Varies by sub-section</v>
      </c>
      <c r="H761" s="10" t="str">
        <f aca="false">IFERROR(INDEX(Section_Master!$F$2:$F$477,MATCH($E761,Section_Master!$A$2:$A$477,0))&amp;"","")</f>
        <v>Varies by sub-section</v>
      </c>
      <c r="I761" s="10" t="str">
        <f aca="false">IFERROR(INDEX(Section_Master!$G$2:$G$477,MATCH($E761,Section_Master!$A$2:$A$477,0))&amp;"","")</f>
        <v>Varies by sub-section</v>
      </c>
      <c r="J761" s="10" t="s">
        <v>58</v>
      </c>
      <c r="K761" s="8" t="s">
        <v>1817</v>
      </c>
    </row>
    <row r="762" customFormat="false" ht="23.25" hidden="false" customHeight="true" outlineLevel="0" collapsed="false">
      <c r="A762" s="10" t="s">
        <v>1824</v>
      </c>
      <c r="B762" s="10" t="s">
        <v>45</v>
      </c>
      <c r="C762" s="8" t="s">
        <v>1815</v>
      </c>
      <c r="D762" s="8" t="s">
        <v>1825</v>
      </c>
      <c r="E762" s="11" t="n">
        <v>127</v>
      </c>
      <c r="F762" s="8" t="str">
        <f aca="false">IFERROR(INDEX(Section_Master!$D$2:$D$477,MATCH($E762,Section_Master!$A$2:$A$477,0))&amp;"","")</f>
        <v>Imprisonment up to 1 year, or fine, or both [s.127(2)]; terms rise with duration/purpose of confinement, up to 3 years and fine</v>
      </c>
      <c r="G762" s="10" t="str">
        <f aca="false">IFERROR(INDEX(Section_Master!$E$2:$E$477,MATCH($E762,Section_Master!$A$2:$A$477,0))&amp;"","")</f>
        <v>Varies by sub-section</v>
      </c>
      <c r="H762" s="10" t="str">
        <f aca="false">IFERROR(INDEX(Section_Master!$F$2:$F$477,MATCH($E762,Section_Master!$A$2:$A$477,0))&amp;"","")</f>
        <v>Varies by sub-section</v>
      </c>
      <c r="I762" s="10" t="str">
        <f aca="false">IFERROR(INDEX(Section_Master!$G$2:$G$477,MATCH($E762,Section_Master!$A$2:$A$477,0))&amp;"","")</f>
        <v>Varies by sub-section</v>
      </c>
      <c r="J762" s="10" t="s">
        <v>61</v>
      </c>
      <c r="K762" s="8" t="s">
        <v>1817</v>
      </c>
    </row>
    <row r="763" customFormat="false" ht="34.5" hidden="false" customHeight="true" outlineLevel="0" collapsed="false">
      <c r="A763" s="10" t="s">
        <v>1826</v>
      </c>
      <c r="B763" s="10" t="s">
        <v>45</v>
      </c>
      <c r="C763" s="8" t="s">
        <v>1815</v>
      </c>
      <c r="D763" s="8" t="s">
        <v>1827</v>
      </c>
      <c r="E763" s="11" t="n">
        <v>127</v>
      </c>
      <c r="F763" s="8" t="str">
        <f aca="false">IFERROR(INDEX(Section_Master!$D$2:$D$477,MATCH($E763,Section_Master!$A$2:$A$477,0))&amp;"","")</f>
        <v>Imprisonment up to 1 year, or fine, or both [s.127(2)]; terms rise with duration/purpose of confinement, up to 3 years and fine</v>
      </c>
      <c r="G763" s="10" t="str">
        <f aca="false">IFERROR(INDEX(Section_Master!$E$2:$E$477,MATCH($E763,Section_Master!$A$2:$A$477,0))&amp;"","")</f>
        <v>Varies by sub-section</v>
      </c>
      <c r="H763" s="10" t="str">
        <f aca="false">IFERROR(INDEX(Section_Master!$F$2:$F$477,MATCH($E763,Section_Master!$A$2:$A$477,0))&amp;"","")</f>
        <v>Varies by sub-section</v>
      </c>
      <c r="I763" s="10" t="str">
        <f aca="false">IFERROR(INDEX(Section_Master!$G$2:$G$477,MATCH($E763,Section_Master!$A$2:$A$477,0))&amp;"","")</f>
        <v>Varies by sub-section</v>
      </c>
      <c r="J763" s="10" t="s">
        <v>64</v>
      </c>
      <c r="K763" s="8" t="s">
        <v>1817</v>
      </c>
    </row>
    <row r="764" customFormat="false" ht="34.5" hidden="false" customHeight="true" outlineLevel="0" collapsed="false">
      <c r="A764" s="10" t="s">
        <v>1828</v>
      </c>
      <c r="B764" s="10" t="s">
        <v>45</v>
      </c>
      <c r="C764" s="8" t="s">
        <v>1829</v>
      </c>
      <c r="D764" s="8" t="s">
        <v>1830</v>
      </c>
      <c r="E764" s="11" t="n">
        <v>128</v>
      </c>
      <c r="F764" s="8" t="str">
        <f aca="false">IFERROR(INDEX(Section_Master!$D$2:$D$477,MATCH($E764,Section_Master!$A$2:$A$477,0))&amp;"","")</f>
        <v>Not applicable - no offence or penalty defined here (definition, exception or general provision)</v>
      </c>
      <c r="G764" s="10" t="str">
        <f aca="false">IFERROR(INDEX(Section_Master!$E$2:$E$477,MATCH($E764,Section_Master!$A$2:$A$477,0))&amp;"","")</f>
        <v>N/A</v>
      </c>
      <c r="H764" s="10" t="str">
        <f aca="false">IFERROR(INDEX(Section_Master!$F$2:$F$477,MATCH($E764,Section_Master!$A$2:$A$477,0))&amp;"","")</f>
        <v>N/A</v>
      </c>
      <c r="I764" s="10" t="str">
        <f aca="false">IFERROR(INDEX(Section_Master!$G$2:$G$477,MATCH($E764,Section_Master!$A$2:$A$477,0))&amp;"","")</f>
        <v>N/A</v>
      </c>
      <c r="J764" s="10" t="s">
        <v>48</v>
      </c>
      <c r="K764" s="8" t="s">
        <v>1831</v>
      </c>
    </row>
    <row r="765" customFormat="false" ht="45.75" hidden="false" customHeight="true" outlineLevel="0" collapsed="false">
      <c r="A765" s="10" t="s">
        <v>1832</v>
      </c>
      <c r="B765" s="10" t="s">
        <v>45</v>
      </c>
      <c r="C765" s="8" t="s">
        <v>1829</v>
      </c>
      <c r="D765" s="8" t="s">
        <v>1833</v>
      </c>
      <c r="E765" s="11" t="n">
        <v>128</v>
      </c>
      <c r="F765" s="8" t="str">
        <f aca="false">IFERROR(INDEX(Section_Master!$D$2:$D$477,MATCH($E765,Section_Master!$A$2:$A$477,0))&amp;"","")</f>
        <v>Not applicable - no offence or penalty defined here (definition, exception or general provision)</v>
      </c>
      <c r="G765" s="10" t="str">
        <f aca="false">IFERROR(INDEX(Section_Master!$E$2:$E$477,MATCH($E765,Section_Master!$A$2:$A$477,0))&amp;"","")</f>
        <v>N/A</v>
      </c>
      <c r="H765" s="10" t="str">
        <f aca="false">IFERROR(INDEX(Section_Master!$F$2:$F$477,MATCH($E765,Section_Master!$A$2:$A$477,0))&amp;"","")</f>
        <v>N/A</v>
      </c>
      <c r="I765" s="10" t="str">
        <f aca="false">IFERROR(INDEX(Section_Master!$G$2:$G$477,MATCH($E765,Section_Master!$A$2:$A$477,0))&amp;"","")</f>
        <v>N/A</v>
      </c>
      <c r="J765" s="10" t="s">
        <v>52</v>
      </c>
      <c r="K765" s="8" t="s">
        <v>1831</v>
      </c>
    </row>
    <row r="766" customFormat="false" ht="34.5" hidden="false" customHeight="true" outlineLevel="0" collapsed="false">
      <c r="A766" s="10" t="s">
        <v>1834</v>
      </c>
      <c r="B766" s="10" t="s">
        <v>45</v>
      </c>
      <c r="C766" s="8" t="s">
        <v>1829</v>
      </c>
      <c r="D766" s="8" t="s">
        <v>1835</v>
      </c>
      <c r="E766" s="11" t="n">
        <v>128</v>
      </c>
      <c r="F766" s="8" t="str">
        <f aca="false">IFERROR(INDEX(Section_Master!$D$2:$D$477,MATCH($E766,Section_Master!$A$2:$A$477,0))&amp;"","")</f>
        <v>Not applicable - no offence or penalty defined here (definition, exception or general provision)</v>
      </c>
      <c r="G766" s="10" t="str">
        <f aca="false">IFERROR(INDEX(Section_Master!$E$2:$E$477,MATCH($E766,Section_Master!$A$2:$A$477,0))&amp;"","")</f>
        <v>N/A</v>
      </c>
      <c r="H766" s="10" t="str">
        <f aca="false">IFERROR(INDEX(Section_Master!$F$2:$F$477,MATCH($E766,Section_Master!$A$2:$A$477,0))&amp;"","")</f>
        <v>N/A</v>
      </c>
      <c r="I766" s="10" t="str">
        <f aca="false">IFERROR(INDEX(Section_Master!$G$2:$G$477,MATCH($E766,Section_Master!$A$2:$A$477,0))&amp;"","")</f>
        <v>N/A</v>
      </c>
      <c r="J766" s="10" t="s">
        <v>55</v>
      </c>
      <c r="K766" s="8" t="s">
        <v>1831</v>
      </c>
    </row>
    <row r="767" customFormat="false" ht="34.5" hidden="false" customHeight="true" outlineLevel="0" collapsed="false">
      <c r="A767" s="10" t="s">
        <v>1836</v>
      </c>
      <c r="B767" s="10" t="s">
        <v>45</v>
      </c>
      <c r="C767" s="8" t="s">
        <v>1829</v>
      </c>
      <c r="D767" s="8" t="s">
        <v>1837</v>
      </c>
      <c r="E767" s="11" t="n">
        <v>128</v>
      </c>
      <c r="F767" s="8" t="str">
        <f aca="false">IFERROR(INDEX(Section_Master!$D$2:$D$477,MATCH($E767,Section_Master!$A$2:$A$477,0))&amp;"","")</f>
        <v>Not applicable - no offence or penalty defined here (definition, exception or general provision)</v>
      </c>
      <c r="G767" s="10" t="str">
        <f aca="false">IFERROR(INDEX(Section_Master!$E$2:$E$477,MATCH($E767,Section_Master!$A$2:$A$477,0))&amp;"","")</f>
        <v>N/A</v>
      </c>
      <c r="H767" s="10" t="str">
        <f aca="false">IFERROR(INDEX(Section_Master!$F$2:$F$477,MATCH($E767,Section_Master!$A$2:$A$477,0))&amp;"","")</f>
        <v>N/A</v>
      </c>
      <c r="I767" s="10" t="str">
        <f aca="false">IFERROR(INDEX(Section_Master!$G$2:$G$477,MATCH($E767,Section_Master!$A$2:$A$477,0))&amp;"","")</f>
        <v>N/A</v>
      </c>
      <c r="J767" s="10" t="s">
        <v>58</v>
      </c>
      <c r="K767" s="8" t="s">
        <v>1831</v>
      </c>
    </row>
    <row r="768" customFormat="false" ht="34.5" hidden="false" customHeight="true" outlineLevel="0" collapsed="false">
      <c r="A768" s="10" t="s">
        <v>1838</v>
      </c>
      <c r="B768" s="10" t="s">
        <v>45</v>
      </c>
      <c r="C768" s="8" t="s">
        <v>1829</v>
      </c>
      <c r="D768" s="8" t="s">
        <v>1839</v>
      </c>
      <c r="E768" s="11" t="n">
        <v>128</v>
      </c>
      <c r="F768" s="8" t="str">
        <f aca="false">IFERROR(INDEX(Section_Master!$D$2:$D$477,MATCH($E768,Section_Master!$A$2:$A$477,0))&amp;"","")</f>
        <v>Not applicable - no offence or penalty defined here (definition, exception or general provision)</v>
      </c>
      <c r="G768" s="10" t="str">
        <f aca="false">IFERROR(INDEX(Section_Master!$E$2:$E$477,MATCH($E768,Section_Master!$A$2:$A$477,0))&amp;"","")</f>
        <v>N/A</v>
      </c>
      <c r="H768" s="10" t="str">
        <f aca="false">IFERROR(INDEX(Section_Master!$F$2:$F$477,MATCH($E768,Section_Master!$A$2:$A$477,0))&amp;"","")</f>
        <v>N/A</v>
      </c>
      <c r="I768" s="10" t="str">
        <f aca="false">IFERROR(INDEX(Section_Master!$G$2:$G$477,MATCH($E768,Section_Master!$A$2:$A$477,0))&amp;"","")</f>
        <v>N/A</v>
      </c>
      <c r="J768" s="10" t="s">
        <v>61</v>
      </c>
      <c r="K768" s="8" t="s">
        <v>1831</v>
      </c>
    </row>
    <row r="769" customFormat="false" ht="34.5" hidden="false" customHeight="true" outlineLevel="0" collapsed="false">
      <c r="A769" s="10" t="s">
        <v>1840</v>
      </c>
      <c r="B769" s="10" t="s">
        <v>45</v>
      </c>
      <c r="C769" s="8" t="s">
        <v>1829</v>
      </c>
      <c r="D769" s="8" t="s">
        <v>1841</v>
      </c>
      <c r="E769" s="11" t="n">
        <v>128</v>
      </c>
      <c r="F769" s="8" t="str">
        <f aca="false">IFERROR(INDEX(Section_Master!$D$2:$D$477,MATCH($E769,Section_Master!$A$2:$A$477,0))&amp;"","")</f>
        <v>Not applicable - no offence or penalty defined here (definition, exception or general provision)</v>
      </c>
      <c r="G769" s="10" t="str">
        <f aca="false">IFERROR(INDEX(Section_Master!$E$2:$E$477,MATCH($E769,Section_Master!$A$2:$A$477,0))&amp;"","")</f>
        <v>N/A</v>
      </c>
      <c r="H769" s="10" t="str">
        <f aca="false">IFERROR(INDEX(Section_Master!$F$2:$F$477,MATCH($E769,Section_Master!$A$2:$A$477,0))&amp;"","")</f>
        <v>N/A</v>
      </c>
      <c r="I769" s="10" t="str">
        <f aca="false">IFERROR(INDEX(Section_Master!$G$2:$G$477,MATCH($E769,Section_Master!$A$2:$A$477,0))&amp;"","")</f>
        <v>N/A</v>
      </c>
      <c r="J769" s="10" t="s">
        <v>64</v>
      </c>
      <c r="K769" s="8" t="s">
        <v>1831</v>
      </c>
    </row>
    <row r="770" customFormat="false" ht="34.5" hidden="false" customHeight="true" outlineLevel="0" collapsed="false">
      <c r="A770" s="10" t="s">
        <v>1842</v>
      </c>
      <c r="B770" s="10" t="s">
        <v>45</v>
      </c>
      <c r="C770" s="8" t="s">
        <v>1843</v>
      </c>
      <c r="D770" s="8" t="s">
        <v>1844</v>
      </c>
      <c r="E770" s="11" t="n">
        <v>129</v>
      </c>
      <c r="F770" s="8" t="str">
        <f aca="false">IFERROR(INDEX(Section_Master!$D$2:$D$477,MATCH($E770,Section_Master!$A$2:$A$477,0))&amp;"","")</f>
        <v>Not applicable - no offence or penalty defined here (definition, exception or general provision)</v>
      </c>
      <c r="G770" s="10" t="str">
        <f aca="false">IFERROR(INDEX(Section_Master!$E$2:$E$477,MATCH($E770,Section_Master!$A$2:$A$477,0))&amp;"","")</f>
        <v>N/A</v>
      </c>
      <c r="H770" s="10" t="str">
        <f aca="false">IFERROR(INDEX(Section_Master!$F$2:$F$477,MATCH($E770,Section_Master!$A$2:$A$477,0))&amp;"","")</f>
        <v>N/A</v>
      </c>
      <c r="I770" s="10" t="str">
        <f aca="false">IFERROR(INDEX(Section_Master!$G$2:$G$477,MATCH($E770,Section_Master!$A$2:$A$477,0))&amp;"","")</f>
        <v>N/A</v>
      </c>
      <c r="J770" s="10" t="s">
        <v>48</v>
      </c>
      <c r="K770" s="8" t="s">
        <v>1845</v>
      </c>
    </row>
    <row r="771" customFormat="false" ht="34.5" hidden="false" customHeight="true" outlineLevel="0" collapsed="false">
      <c r="A771" s="10" t="s">
        <v>1846</v>
      </c>
      <c r="B771" s="10" t="s">
        <v>45</v>
      </c>
      <c r="C771" s="8" t="s">
        <v>1843</v>
      </c>
      <c r="D771" s="8" t="s">
        <v>1847</v>
      </c>
      <c r="E771" s="11" t="n">
        <v>129</v>
      </c>
      <c r="F771" s="8" t="str">
        <f aca="false">IFERROR(INDEX(Section_Master!$D$2:$D$477,MATCH($E771,Section_Master!$A$2:$A$477,0))&amp;"","")</f>
        <v>Not applicable - no offence or penalty defined here (definition, exception or general provision)</v>
      </c>
      <c r="G771" s="10" t="str">
        <f aca="false">IFERROR(INDEX(Section_Master!$E$2:$E$477,MATCH($E771,Section_Master!$A$2:$A$477,0))&amp;"","")</f>
        <v>N/A</v>
      </c>
      <c r="H771" s="10" t="str">
        <f aca="false">IFERROR(INDEX(Section_Master!$F$2:$F$477,MATCH($E771,Section_Master!$A$2:$A$477,0))&amp;"","")</f>
        <v>N/A</v>
      </c>
      <c r="I771" s="10" t="str">
        <f aca="false">IFERROR(INDEX(Section_Master!$G$2:$G$477,MATCH($E771,Section_Master!$A$2:$A$477,0))&amp;"","")</f>
        <v>N/A</v>
      </c>
      <c r="J771" s="10" t="s">
        <v>52</v>
      </c>
      <c r="K771" s="8" t="s">
        <v>1845</v>
      </c>
    </row>
    <row r="772" customFormat="false" ht="34.5" hidden="false" customHeight="true" outlineLevel="0" collapsed="false">
      <c r="A772" s="10" t="s">
        <v>1848</v>
      </c>
      <c r="B772" s="10" t="s">
        <v>45</v>
      </c>
      <c r="C772" s="8" t="s">
        <v>1843</v>
      </c>
      <c r="D772" s="8" t="s">
        <v>1849</v>
      </c>
      <c r="E772" s="11" t="n">
        <v>129</v>
      </c>
      <c r="F772" s="8" t="str">
        <f aca="false">IFERROR(INDEX(Section_Master!$D$2:$D$477,MATCH($E772,Section_Master!$A$2:$A$477,0))&amp;"","")</f>
        <v>Not applicable - no offence or penalty defined here (definition, exception or general provision)</v>
      </c>
      <c r="G772" s="10" t="str">
        <f aca="false">IFERROR(INDEX(Section_Master!$E$2:$E$477,MATCH($E772,Section_Master!$A$2:$A$477,0))&amp;"","")</f>
        <v>N/A</v>
      </c>
      <c r="H772" s="10" t="str">
        <f aca="false">IFERROR(INDEX(Section_Master!$F$2:$F$477,MATCH($E772,Section_Master!$A$2:$A$477,0))&amp;"","")</f>
        <v>N/A</v>
      </c>
      <c r="I772" s="10" t="str">
        <f aca="false">IFERROR(INDEX(Section_Master!$G$2:$G$477,MATCH($E772,Section_Master!$A$2:$A$477,0))&amp;"","")</f>
        <v>N/A</v>
      </c>
      <c r="J772" s="10" t="s">
        <v>55</v>
      </c>
      <c r="K772" s="8" t="s">
        <v>1845</v>
      </c>
    </row>
    <row r="773" customFormat="false" ht="23.25" hidden="false" customHeight="true" outlineLevel="0" collapsed="false">
      <c r="A773" s="10" t="s">
        <v>1850</v>
      </c>
      <c r="B773" s="10" t="s">
        <v>45</v>
      </c>
      <c r="C773" s="8" t="s">
        <v>1843</v>
      </c>
      <c r="D773" s="8" t="s">
        <v>1851</v>
      </c>
      <c r="E773" s="11" t="n">
        <v>129</v>
      </c>
      <c r="F773" s="8" t="str">
        <f aca="false">IFERROR(INDEX(Section_Master!$D$2:$D$477,MATCH($E773,Section_Master!$A$2:$A$477,0))&amp;"","")</f>
        <v>Not applicable - no offence or penalty defined here (definition, exception or general provision)</v>
      </c>
      <c r="G773" s="10" t="str">
        <f aca="false">IFERROR(INDEX(Section_Master!$E$2:$E$477,MATCH($E773,Section_Master!$A$2:$A$477,0))&amp;"","")</f>
        <v>N/A</v>
      </c>
      <c r="H773" s="10" t="str">
        <f aca="false">IFERROR(INDEX(Section_Master!$F$2:$F$477,MATCH($E773,Section_Master!$A$2:$A$477,0))&amp;"","")</f>
        <v>N/A</v>
      </c>
      <c r="I773" s="10" t="str">
        <f aca="false">IFERROR(INDEX(Section_Master!$G$2:$G$477,MATCH($E773,Section_Master!$A$2:$A$477,0))&amp;"","")</f>
        <v>N/A</v>
      </c>
      <c r="J773" s="10" t="s">
        <v>58</v>
      </c>
      <c r="K773" s="8" t="s">
        <v>1845</v>
      </c>
    </row>
    <row r="774" customFormat="false" ht="34.5" hidden="false" customHeight="true" outlineLevel="0" collapsed="false">
      <c r="A774" s="10" t="s">
        <v>1852</v>
      </c>
      <c r="B774" s="10" t="s">
        <v>45</v>
      </c>
      <c r="C774" s="8" t="s">
        <v>1843</v>
      </c>
      <c r="D774" s="8" t="s">
        <v>1853</v>
      </c>
      <c r="E774" s="11" t="n">
        <v>129</v>
      </c>
      <c r="F774" s="8" t="str">
        <f aca="false">IFERROR(INDEX(Section_Master!$D$2:$D$477,MATCH($E774,Section_Master!$A$2:$A$477,0))&amp;"","")</f>
        <v>Not applicable - no offence or penalty defined here (definition, exception or general provision)</v>
      </c>
      <c r="G774" s="10" t="str">
        <f aca="false">IFERROR(INDEX(Section_Master!$E$2:$E$477,MATCH($E774,Section_Master!$A$2:$A$477,0))&amp;"","")</f>
        <v>N/A</v>
      </c>
      <c r="H774" s="10" t="str">
        <f aca="false">IFERROR(INDEX(Section_Master!$F$2:$F$477,MATCH($E774,Section_Master!$A$2:$A$477,0))&amp;"","")</f>
        <v>N/A</v>
      </c>
      <c r="I774" s="10" t="str">
        <f aca="false">IFERROR(INDEX(Section_Master!$G$2:$G$477,MATCH($E774,Section_Master!$A$2:$A$477,0))&amp;"","")</f>
        <v>N/A</v>
      </c>
      <c r="J774" s="10" t="s">
        <v>61</v>
      </c>
      <c r="K774" s="8" t="s">
        <v>1845</v>
      </c>
    </row>
    <row r="775" customFormat="false" ht="34.5" hidden="false" customHeight="true" outlineLevel="0" collapsed="false">
      <c r="A775" s="10" t="s">
        <v>1854</v>
      </c>
      <c r="B775" s="10" t="s">
        <v>45</v>
      </c>
      <c r="C775" s="8" t="s">
        <v>1843</v>
      </c>
      <c r="D775" s="8" t="s">
        <v>1855</v>
      </c>
      <c r="E775" s="11" t="n">
        <v>129</v>
      </c>
      <c r="F775" s="8" t="str">
        <f aca="false">IFERROR(INDEX(Section_Master!$D$2:$D$477,MATCH($E775,Section_Master!$A$2:$A$477,0))&amp;"","")</f>
        <v>Not applicable - no offence or penalty defined here (definition, exception or general provision)</v>
      </c>
      <c r="G775" s="10" t="str">
        <f aca="false">IFERROR(INDEX(Section_Master!$E$2:$E$477,MATCH($E775,Section_Master!$A$2:$A$477,0))&amp;"","")</f>
        <v>N/A</v>
      </c>
      <c r="H775" s="10" t="str">
        <f aca="false">IFERROR(INDEX(Section_Master!$F$2:$F$477,MATCH($E775,Section_Master!$A$2:$A$477,0))&amp;"","")</f>
        <v>N/A</v>
      </c>
      <c r="I775" s="10" t="str">
        <f aca="false">IFERROR(INDEX(Section_Master!$G$2:$G$477,MATCH($E775,Section_Master!$A$2:$A$477,0))&amp;"","")</f>
        <v>N/A</v>
      </c>
      <c r="J775" s="10" t="s">
        <v>64</v>
      </c>
      <c r="K775" s="8" t="s">
        <v>1845</v>
      </c>
    </row>
    <row r="776" customFormat="false" ht="34.5" hidden="false" customHeight="true" outlineLevel="0" collapsed="false">
      <c r="A776" s="10" t="s">
        <v>1856</v>
      </c>
      <c r="B776" s="10" t="s">
        <v>45</v>
      </c>
      <c r="C776" s="8" t="s">
        <v>1857</v>
      </c>
      <c r="D776" s="8" t="s">
        <v>1858</v>
      </c>
      <c r="E776" s="11" t="n">
        <v>130</v>
      </c>
      <c r="F776" s="8" t="str">
        <f aca="false">IFERROR(INDEX(Section_Master!$D$2:$D$477,MATCH($E776,Section_Master!$A$2:$A$477,0))&amp;"","")</f>
        <v>Not applicable - no offence or penalty defined here (definition, exception or general provision)</v>
      </c>
      <c r="G776" s="10" t="str">
        <f aca="false">IFERROR(INDEX(Section_Master!$E$2:$E$477,MATCH($E776,Section_Master!$A$2:$A$477,0))&amp;"","")</f>
        <v>N/A</v>
      </c>
      <c r="H776" s="10" t="str">
        <f aca="false">IFERROR(INDEX(Section_Master!$F$2:$F$477,MATCH($E776,Section_Master!$A$2:$A$477,0))&amp;"","")</f>
        <v>N/A</v>
      </c>
      <c r="I776" s="10" t="str">
        <f aca="false">IFERROR(INDEX(Section_Master!$G$2:$G$477,MATCH($E776,Section_Master!$A$2:$A$477,0))&amp;"","")</f>
        <v>N/A</v>
      </c>
      <c r="J776" s="10" t="s">
        <v>48</v>
      </c>
      <c r="K776" s="8" t="s">
        <v>1859</v>
      </c>
    </row>
    <row r="777" customFormat="false" ht="34.5" hidden="false" customHeight="true" outlineLevel="0" collapsed="false">
      <c r="A777" s="10" t="s">
        <v>1860</v>
      </c>
      <c r="B777" s="10" t="s">
        <v>45</v>
      </c>
      <c r="C777" s="8" t="s">
        <v>1857</v>
      </c>
      <c r="D777" s="8" t="s">
        <v>1861</v>
      </c>
      <c r="E777" s="11" t="n">
        <v>130</v>
      </c>
      <c r="F777" s="8" t="str">
        <f aca="false">IFERROR(INDEX(Section_Master!$D$2:$D$477,MATCH($E777,Section_Master!$A$2:$A$477,0))&amp;"","")</f>
        <v>Not applicable - no offence or penalty defined here (definition, exception or general provision)</v>
      </c>
      <c r="G777" s="10" t="str">
        <f aca="false">IFERROR(INDEX(Section_Master!$E$2:$E$477,MATCH($E777,Section_Master!$A$2:$A$477,0))&amp;"","")</f>
        <v>N/A</v>
      </c>
      <c r="H777" s="10" t="str">
        <f aca="false">IFERROR(INDEX(Section_Master!$F$2:$F$477,MATCH($E777,Section_Master!$A$2:$A$477,0))&amp;"","")</f>
        <v>N/A</v>
      </c>
      <c r="I777" s="10" t="str">
        <f aca="false">IFERROR(INDEX(Section_Master!$G$2:$G$477,MATCH($E777,Section_Master!$A$2:$A$477,0))&amp;"","")</f>
        <v>N/A</v>
      </c>
      <c r="J777" s="10" t="s">
        <v>52</v>
      </c>
      <c r="K777" s="8" t="s">
        <v>1859</v>
      </c>
    </row>
    <row r="778" customFormat="false" ht="34.5" hidden="false" customHeight="true" outlineLevel="0" collapsed="false">
      <c r="A778" s="10" t="s">
        <v>1862</v>
      </c>
      <c r="B778" s="10" t="s">
        <v>45</v>
      </c>
      <c r="C778" s="8" t="s">
        <v>1857</v>
      </c>
      <c r="D778" s="8" t="s">
        <v>1863</v>
      </c>
      <c r="E778" s="11" t="n">
        <v>130</v>
      </c>
      <c r="F778" s="8" t="str">
        <f aca="false">IFERROR(INDEX(Section_Master!$D$2:$D$477,MATCH($E778,Section_Master!$A$2:$A$477,0))&amp;"","")</f>
        <v>Not applicable - no offence or penalty defined here (definition, exception or general provision)</v>
      </c>
      <c r="G778" s="10" t="str">
        <f aca="false">IFERROR(INDEX(Section_Master!$E$2:$E$477,MATCH($E778,Section_Master!$A$2:$A$477,0))&amp;"","")</f>
        <v>N/A</v>
      </c>
      <c r="H778" s="10" t="str">
        <f aca="false">IFERROR(INDEX(Section_Master!$F$2:$F$477,MATCH($E778,Section_Master!$A$2:$A$477,0))&amp;"","")</f>
        <v>N/A</v>
      </c>
      <c r="I778" s="10" t="str">
        <f aca="false">IFERROR(INDEX(Section_Master!$G$2:$G$477,MATCH($E778,Section_Master!$A$2:$A$477,0))&amp;"","")</f>
        <v>N/A</v>
      </c>
      <c r="J778" s="10" t="s">
        <v>55</v>
      </c>
      <c r="K778" s="8" t="s">
        <v>1859</v>
      </c>
    </row>
    <row r="779" customFormat="false" ht="23.25" hidden="false" customHeight="true" outlineLevel="0" collapsed="false">
      <c r="A779" s="10" t="s">
        <v>1864</v>
      </c>
      <c r="B779" s="10" t="s">
        <v>45</v>
      </c>
      <c r="C779" s="8" t="s">
        <v>1857</v>
      </c>
      <c r="D779" s="8" t="s">
        <v>1865</v>
      </c>
      <c r="E779" s="11" t="n">
        <v>130</v>
      </c>
      <c r="F779" s="8" t="str">
        <f aca="false">IFERROR(INDEX(Section_Master!$D$2:$D$477,MATCH($E779,Section_Master!$A$2:$A$477,0))&amp;"","")</f>
        <v>Not applicable - no offence or penalty defined here (definition, exception or general provision)</v>
      </c>
      <c r="G779" s="10" t="str">
        <f aca="false">IFERROR(INDEX(Section_Master!$E$2:$E$477,MATCH($E779,Section_Master!$A$2:$A$477,0))&amp;"","")</f>
        <v>N/A</v>
      </c>
      <c r="H779" s="10" t="str">
        <f aca="false">IFERROR(INDEX(Section_Master!$F$2:$F$477,MATCH($E779,Section_Master!$A$2:$A$477,0))&amp;"","")</f>
        <v>N/A</v>
      </c>
      <c r="I779" s="10" t="str">
        <f aca="false">IFERROR(INDEX(Section_Master!$G$2:$G$477,MATCH($E779,Section_Master!$A$2:$A$477,0))&amp;"","")</f>
        <v>N/A</v>
      </c>
      <c r="J779" s="10" t="s">
        <v>58</v>
      </c>
      <c r="K779" s="8" t="s">
        <v>1859</v>
      </c>
    </row>
    <row r="780" customFormat="false" ht="34.5" hidden="false" customHeight="true" outlineLevel="0" collapsed="false">
      <c r="A780" s="10" t="s">
        <v>1866</v>
      </c>
      <c r="B780" s="10" t="s">
        <v>45</v>
      </c>
      <c r="C780" s="8" t="s">
        <v>1857</v>
      </c>
      <c r="D780" s="8" t="s">
        <v>1867</v>
      </c>
      <c r="E780" s="11" t="n">
        <v>130</v>
      </c>
      <c r="F780" s="8" t="str">
        <f aca="false">IFERROR(INDEX(Section_Master!$D$2:$D$477,MATCH($E780,Section_Master!$A$2:$A$477,0))&amp;"","")</f>
        <v>Not applicable - no offence or penalty defined here (definition, exception or general provision)</v>
      </c>
      <c r="G780" s="10" t="str">
        <f aca="false">IFERROR(INDEX(Section_Master!$E$2:$E$477,MATCH($E780,Section_Master!$A$2:$A$477,0))&amp;"","")</f>
        <v>N/A</v>
      </c>
      <c r="H780" s="10" t="str">
        <f aca="false">IFERROR(INDEX(Section_Master!$F$2:$F$477,MATCH($E780,Section_Master!$A$2:$A$477,0))&amp;"","")</f>
        <v>N/A</v>
      </c>
      <c r="I780" s="10" t="str">
        <f aca="false">IFERROR(INDEX(Section_Master!$G$2:$G$477,MATCH($E780,Section_Master!$A$2:$A$477,0))&amp;"","")</f>
        <v>N/A</v>
      </c>
      <c r="J780" s="10" t="s">
        <v>61</v>
      </c>
      <c r="K780" s="8" t="s">
        <v>1859</v>
      </c>
    </row>
    <row r="781" customFormat="false" ht="45.75" hidden="false" customHeight="true" outlineLevel="0" collapsed="false">
      <c r="A781" s="10" t="s">
        <v>1868</v>
      </c>
      <c r="B781" s="10" t="s">
        <v>45</v>
      </c>
      <c r="C781" s="8" t="s">
        <v>1857</v>
      </c>
      <c r="D781" s="8" t="s">
        <v>1869</v>
      </c>
      <c r="E781" s="11" t="n">
        <v>130</v>
      </c>
      <c r="F781" s="8" t="str">
        <f aca="false">IFERROR(INDEX(Section_Master!$D$2:$D$477,MATCH($E781,Section_Master!$A$2:$A$477,0))&amp;"","")</f>
        <v>Not applicable - no offence or penalty defined here (definition, exception or general provision)</v>
      </c>
      <c r="G781" s="10" t="str">
        <f aca="false">IFERROR(INDEX(Section_Master!$E$2:$E$477,MATCH($E781,Section_Master!$A$2:$A$477,0))&amp;"","")</f>
        <v>N/A</v>
      </c>
      <c r="H781" s="10" t="str">
        <f aca="false">IFERROR(INDEX(Section_Master!$F$2:$F$477,MATCH($E781,Section_Master!$A$2:$A$477,0))&amp;"","")</f>
        <v>N/A</v>
      </c>
      <c r="I781" s="10" t="str">
        <f aca="false">IFERROR(INDEX(Section_Master!$G$2:$G$477,MATCH($E781,Section_Master!$A$2:$A$477,0))&amp;"","")</f>
        <v>N/A</v>
      </c>
      <c r="J781" s="10" t="s">
        <v>64</v>
      </c>
      <c r="K781" s="8" t="s">
        <v>1859</v>
      </c>
    </row>
    <row r="782" customFormat="false" ht="34.5" hidden="false" customHeight="true" outlineLevel="0" collapsed="false">
      <c r="A782" s="10" t="s">
        <v>1870</v>
      </c>
      <c r="B782" s="10" t="s">
        <v>45</v>
      </c>
      <c r="C782" s="8" t="s">
        <v>1871</v>
      </c>
      <c r="D782" s="8" t="s">
        <v>1872</v>
      </c>
      <c r="E782" s="11" t="n">
        <v>131</v>
      </c>
      <c r="F782" s="8" t="str">
        <f aca="false">IFERROR(INDEX(Section_Master!$D$2:$D$477,MATCH($E782,Section_Master!$A$2:$A$477,0))&amp;"","")</f>
        <v>Imprisonment up to 3 months, or fine up to Rs 1,000, or both</v>
      </c>
      <c r="G782" s="10" t="str">
        <f aca="false">IFERROR(INDEX(Section_Master!$E$2:$E$477,MATCH($E782,Section_Master!$A$2:$A$477,0))&amp;"","")</f>
        <v>No</v>
      </c>
      <c r="H782" s="10" t="str">
        <f aca="false">IFERROR(INDEX(Section_Master!$F$2:$F$477,MATCH($E782,Section_Master!$A$2:$A$477,0))&amp;"","")</f>
        <v>Yes</v>
      </c>
      <c r="I782" s="10" t="str">
        <f aca="false">IFERROR(INDEX(Section_Master!$G$2:$G$477,MATCH($E782,Section_Master!$A$2:$A$477,0))&amp;"","")</f>
        <v>Yes</v>
      </c>
      <c r="J782" s="10" t="s">
        <v>48</v>
      </c>
      <c r="K782" s="8" t="s">
        <v>1873</v>
      </c>
    </row>
    <row r="783" customFormat="false" ht="34.5" hidden="false" customHeight="true" outlineLevel="0" collapsed="false">
      <c r="A783" s="10" t="s">
        <v>1874</v>
      </c>
      <c r="B783" s="10" t="s">
        <v>45</v>
      </c>
      <c r="C783" s="8" t="s">
        <v>1871</v>
      </c>
      <c r="D783" s="8" t="s">
        <v>1875</v>
      </c>
      <c r="E783" s="11" t="n">
        <v>131</v>
      </c>
      <c r="F783" s="8" t="str">
        <f aca="false">IFERROR(INDEX(Section_Master!$D$2:$D$477,MATCH($E783,Section_Master!$A$2:$A$477,0))&amp;"","")</f>
        <v>Imprisonment up to 3 months, or fine up to Rs 1,000, or both</v>
      </c>
      <c r="G783" s="10" t="str">
        <f aca="false">IFERROR(INDEX(Section_Master!$E$2:$E$477,MATCH($E783,Section_Master!$A$2:$A$477,0))&amp;"","")</f>
        <v>No</v>
      </c>
      <c r="H783" s="10" t="str">
        <f aca="false">IFERROR(INDEX(Section_Master!$F$2:$F$477,MATCH($E783,Section_Master!$A$2:$A$477,0))&amp;"","")</f>
        <v>Yes</v>
      </c>
      <c r="I783" s="10" t="str">
        <f aca="false">IFERROR(INDEX(Section_Master!$G$2:$G$477,MATCH($E783,Section_Master!$A$2:$A$477,0))&amp;"","")</f>
        <v>Yes</v>
      </c>
      <c r="J783" s="10" t="s">
        <v>52</v>
      </c>
      <c r="K783" s="8" t="s">
        <v>1873</v>
      </c>
    </row>
    <row r="784" customFormat="false" ht="34.5" hidden="false" customHeight="true" outlineLevel="0" collapsed="false">
      <c r="A784" s="10" t="s">
        <v>1876</v>
      </c>
      <c r="B784" s="10" t="s">
        <v>45</v>
      </c>
      <c r="C784" s="8" t="s">
        <v>1871</v>
      </c>
      <c r="D784" s="8" t="s">
        <v>1877</v>
      </c>
      <c r="E784" s="11" t="n">
        <v>131</v>
      </c>
      <c r="F784" s="8" t="str">
        <f aca="false">IFERROR(INDEX(Section_Master!$D$2:$D$477,MATCH($E784,Section_Master!$A$2:$A$477,0))&amp;"","")</f>
        <v>Imprisonment up to 3 months, or fine up to Rs 1,000, or both</v>
      </c>
      <c r="G784" s="10" t="str">
        <f aca="false">IFERROR(INDEX(Section_Master!$E$2:$E$477,MATCH($E784,Section_Master!$A$2:$A$477,0))&amp;"","")</f>
        <v>No</v>
      </c>
      <c r="H784" s="10" t="str">
        <f aca="false">IFERROR(INDEX(Section_Master!$F$2:$F$477,MATCH($E784,Section_Master!$A$2:$A$477,0))&amp;"","")</f>
        <v>Yes</v>
      </c>
      <c r="I784" s="10" t="str">
        <f aca="false">IFERROR(INDEX(Section_Master!$G$2:$G$477,MATCH($E784,Section_Master!$A$2:$A$477,0))&amp;"","")</f>
        <v>Yes</v>
      </c>
      <c r="J784" s="10" t="s">
        <v>55</v>
      </c>
      <c r="K784" s="8" t="s">
        <v>1873</v>
      </c>
    </row>
    <row r="785" customFormat="false" ht="34.5" hidden="false" customHeight="true" outlineLevel="0" collapsed="false">
      <c r="A785" s="10" t="s">
        <v>1878</v>
      </c>
      <c r="B785" s="10" t="s">
        <v>45</v>
      </c>
      <c r="C785" s="8" t="s">
        <v>1871</v>
      </c>
      <c r="D785" s="8" t="s">
        <v>1879</v>
      </c>
      <c r="E785" s="11" t="n">
        <v>131</v>
      </c>
      <c r="F785" s="8" t="str">
        <f aca="false">IFERROR(INDEX(Section_Master!$D$2:$D$477,MATCH($E785,Section_Master!$A$2:$A$477,0))&amp;"","")</f>
        <v>Imprisonment up to 3 months, or fine up to Rs 1,000, or both</v>
      </c>
      <c r="G785" s="10" t="str">
        <f aca="false">IFERROR(INDEX(Section_Master!$E$2:$E$477,MATCH($E785,Section_Master!$A$2:$A$477,0))&amp;"","")</f>
        <v>No</v>
      </c>
      <c r="H785" s="10" t="str">
        <f aca="false">IFERROR(INDEX(Section_Master!$F$2:$F$477,MATCH($E785,Section_Master!$A$2:$A$477,0))&amp;"","")</f>
        <v>Yes</v>
      </c>
      <c r="I785" s="10" t="str">
        <f aca="false">IFERROR(INDEX(Section_Master!$G$2:$G$477,MATCH($E785,Section_Master!$A$2:$A$477,0))&amp;"","")</f>
        <v>Yes</v>
      </c>
      <c r="J785" s="10" t="s">
        <v>58</v>
      </c>
      <c r="K785" s="8" t="s">
        <v>1873</v>
      </c>
    </row>
    <row r="786" customFormat="false" ht="34.5" hidden="false" customHeight="true" outlineLevel="0" collapsed="false">
      <c r="A786" s="10" t="s">
        <v>1880</v>
      </c>
      <c r="B786" s="10" t="s">
        <v>45</v>
      </c>
      <c r="C786" s="8" t="s">
        <v>1871</v>
      </c>
      <c r="D786" s="8" t="s">
        <v>1881</v>
      </c>
      <c r="E786" s="11" t="n">
        <v>131</v>
      </c>
      <c r="F786" s="8" t="str">
        <f aca="false">IFERROR(INDEX(Section_Master!$D$2:$D$477,MATCH($E786,Section_Master!$A$2:$A$477,0))&amp;"","")</f>
        <v>Imprisonment up to 3 months, or fine up to Rs 1,000, or both</v>
      </c>
      <c r="G786" s="10" t="str">
        <f aca="false">IFERROR(INDEX(Section_Master!$E$2:$E$477,MATCH($E786,Section_Master!$A$2:$A$477,0))&amp;"","")</f>
        <v>No</v>
      </c>
      <c r="H786" s="10" t="str">
        <f aca="false">IFERROR(INDEX(Section_Master!$F$2:$F$477,MATCH($E786,Section_Master!$A$2:$A$477,0))&amp;"","")</f>
        <v>Yes</v>
      </c>
      <c r="I786" s="10" t="str">
        <f aca="false">IFERROR(INDEX(Section_Master!$G$2:$G$477,MATCH($E786,Section_Master!$A$2:$A$477,0))&amp;"","")</f>
        <v>Yes</v>
      </c>
      <c r="J786" s="10" t="s">
        <v>61</v>
      </c>
      <c r="K786" s="8" t="s">
        <v>1873</v>
      </c>
    </row>
    <row r="787" customFormat="false" ht="45.75" hidden="false" customHeight="true" outlineLevel="0" collapsed="false">
      <c r="A787" s="10" t="s">
        <v>1882</v>
      </c>
      <c r="B787" s="10" t="s">
        <v>45</v>
      </c>
      <c r="C787" s="8" t="s">
        <v>1871</v>
      </c>
      <c r="D787" s="8" t="s">
        <v>1883</v>
      </c>
      <c r="E787" s="11" t="n">
        <v>131</v>
      </c>
      <c r="F787" s="8" t="str">
        <f aca="false">IFERROR(INDEX(Section_Master!$D$2:$D$477,MATCH($E787,Section_Master!$A$2:$A$477,0))&amp;"","")</f>
        <v>Imprisonment up to 3 months, or fine up to Rs 1,000, or both</v>
      </c>
      <c r="G787" s="10" t="str">
        <f aca="false">IFERROR(INDEX(Section_Master!$E$2:$E$477,MATCH($E787,Section_Master!$A$2:$A$477,0))&amp;"","")</f>
        <v>No</v>
      </c>
      <c r="H787" s="10" t="str">
        <f aca="false">IFERROR(INDEX(Section_Master!$F$2:$F$477,MATCH($E787,Section_Master!$A$2:$A$477,0))&amp;"","")</f>
        <v>Yes</v>
      </c>
      <c r="I787" s="10" t="str">
        <f aca="false">IFERROR(INDEX(Section_Master!$G$2:$G$477,MATCH($E787,Section_Master!$A$2:$A$477,0))&amp;"","")</f>
        <v>Yes</v>
      </c>
      <c r="J787" s="10" t="s">
        <v>64</v>
      </c>
      <c r="K787" s="8" t="s">
        <v>1873</v>
      </c>
    </row>
    <row r="788" customFormat="false" ht="23.25" hidden="false" customHeight="true" outlineLevel="0" collapsed="false">
      <c r="A788" s="10" t="s">
        <v>1884</v>
      </c>
      <c r="B788" s="10" t="s">
        <v>45</v>
      </c>
      <c r="C788" s="8" t="s">
        <v>1885</v>
      </c>
      <c r="D788" s="8" t="s">
        <v>1886</v>
      </c>
      <c r="E788" s="11" t="n">
        <v>132</v>
      </c>
      <c r="F788" s="8" t="str">
        <f aca="false">IFERROR(INDEX(Section_Master!$D$2:$D$477,MATCH($E788,Section_Master!$A$2:$A$477,0))&amp;"","")</f>
        <v>Imprisonment up to 2 years, or fine, or both</v>
      </c>
      <c r="G788" s="10" t="str">
        <f aca="false">IFERROR(INDEX(Section_Master!$E$2:$E$477,MATCH($E788,Section_Master!$A$2:$A$477,0))&amp;"","")</f>
        <v>Yes</v>
      </c>
      <c r="H788" s="10" t="str">
        <f aca="false">IFERROR(INDEX(Section_Master!$F$2:$F$477,MATCH($E788,Section_Master!$A$2:$A$477,0))&amp;"","")</f>
        <v>No</v>
      </c>
      <c r="I788" s="10" t="str">
        <f aca="false">IFERROR(INDEX(Section_Master!$G$2:$G$477,MATCH($E788,Section_Master!$A$2:$A$477,0))&amp;"","")</f>
        <v>No</v>
      </c>
      <c r="J788" s="10" t="s">
        <v>48</v>
      </c>
      <c r="K788" s="8" t="s">
        <v>1887</v>
      </c>
    </row>
    <row r="789" customFormat="false" ht="34.5" hidden="false" customHeight="true" outlineLevel="0" collapsed="false">
      <c r="A789" s="10" t="s">
        <v>1888</v>
      </c>
      <c r="B789" s="10" t="s">
        <v>45</v>
      </c>
      <c r="C789" s="8" t="s">
        <v>1885</v>
      </c>
      <c r="D789" s="8" t="s">
        <v>1889</v>
      </c>
      <c r="E789" s="11" t="n">
        <v>132</v>
      </c>
      <c r="F789" s="8" t="str">
        <f aca="false">IFERROR(INDEX(Section_Master!$D$2:$D$477,MATCH($E789,Section_Master!$A$2:$A$477,0))&amp;"","")</f>
        <v>Imprisonment up to 2 years, or fine, or both</v>
      </c>
      <c r="G789" s="10" t="str">
        <f aca="false">IFERROR(INDEX(Section_Master!$E$2:$E$477,MATCH($E789,Section_Master!$A$2:$A$477,0))&amp;"","")</f>
        <v>Yes</v>
      </c>
      <c r="H789" s="10" t="str">
        <f aca="false">IFERROR(INDEX(Section_Master!$F$2:$F$477,MATCH($E789,Section_Master!$A$2:$A$477,0))&amp;"","")</f>
        <v>No</v>
      </c>
      <c r="I789" s="10" t="str">
        <f aca="false">IFERROR(INDEX(Section_Master!$G$2:$G$477,MATCH($E789,Section_Master!$A$2:$A$477,0))&amp;"","")</f>
        <v>No</v>
      </c>
      <c r="J789" s="10" t="s">
        <v>52</v>
      </c>
      <c r="K789" s="8" t="s">
        <v>1887</v>
      </c>
    </row>
    <row r="790" customFormat="false" ht="34.5" hidden="false" customHeight="true" outlineLevel="0" collapsed="false">
      <c r="A790" s="10" t="s">
        <v>1890</v>
      </c>
      <c r="B790" s="10" t="s">
        <v>45</v>
      </c>
      <c r="C790" s="8" t="s">
        <v>1885</v>
      </c>
      <c r="D790" s="8" t="s">
        <v>1891</v>
      </c>
      <c r="E790" s="11" t="n">
        <v>132</v>
      </c>
      <c r="F790" s="8" t="str">
        <f aca="false">IFERROR(INDEX(Section_Master!$D$2:$D$477,MATCH($E790,Section_Master!$A$2:$A$477,0))&amp;"","")</f>
        <v>Imprisonment up to 2 years, or fine, or both</v>
      </c>
      <c r="G790" s="10" t="str">
        <f aca="false">IFERROR(INDEX(Section_Master!$E$2:$E$477,MATCH($E790,Section_Master!$A$2:$A$477,0))&amp;"","")</f>
        <v>Yes</v>
      </c>
      <c r="H790" s="10" t="str">
        <f aca="false">IFERROR(INDEX(Section_Master!$F$2:$F$477,MATCH($E790,Section_Master!$A$2:$A$477,0))&amp;"","")</f>
        <v>No</v>
      </c>
      <c r="I790" s="10" t="str">
        <f aca="false">IFERROR(INDEX(Section_Master!$G$2:$G$477,MATCH($E790,Section_Master!$A$2:$A$477,0))&amp;"","")</f>
        <v>No</v>
      </c>
      <c r="J790" s="10" t="s">
        <v>55</v>
      </c>
      <c r="K790" s="8" t="s">
        <v>1887</v>
      </c>
    </row>
    <row r="791" customFormat="false" ht="34.5" hidden="false" customHeight="true" outlineLevel="0" collapsed="false">
      <c r="A791" s="10" t="s">
        <v>1892</v>
      </c>
      <c r="B791" s="10" t="s">
        <v>45</v>
      </c>
      <c r="C791" s="8" t="s">
        <v>1885</v>
      </c>
      <c r="D791" s="8" t="s">
        <v>1893</v>
      </c>
      <c r="E791" s="11" t="n">
        <v>132</v>
      </c>
      <c r="F791" s="8" t="str">
        <f aca="false">IFERROR(INDEX(Section_Master!$D$2:$D$477,MATCH($E791,Section_Master!$A$2:$A$477,0))&amp;"","")</f>
        <v>Imprisonment up to 2 years, or fine, or both</v>
      </c>
      <c r="G791" s="10" t="str">
        <f aca="false">IFERROR(INDEX(Section_Master!$E$2:$E$477,MATCH($E791,Section_Master!$A$2:$A$477,0))&amp;"","")</f>
        <v>Yes</v>
      </c>
      <c r="H791" s="10" t="str">
        <f aca="false">IFERROR(INDEX(Section_Master!$F$2:$F$477,MATCH($E791,Section_Master!$A$2:$A$477,0))&amp;"","")</f>
        <v>No</v>
      </c>
      <c r="I791" s="10" t="str">
        <f aca="false">IFERROR(INDEX(Section_Master!$G$2:$G$477,MATCH($E791,Section_Master!$A$2:$A$477,0))&amp;"","")</f>
        <v>No</v>
      </c>
      <c r="J791" s="10" t="s">
        <v>58</v>
      </c>
      <c r="K791" s="8" t="s">
        <v>1887</v>
      </c>
    </row>
    <row r="792" customFormat="false" ht="34.5" hidden="false" customHeight="true" outlineLevel="0" collapsed="false">
      <c r="A792" s="10" t="s">
        <v>1894</v>
      </c>
      <c r="B792" s="10" t="s">
        <v>45</v>
      </c>
      <c r="C792" s="8" t="s">
        <v>1885</v>
      </c>
      <c r="D792" s="8" t="s">
        <v>1895</v>
      </c>
      <c r="E792" s="11" t="n">
        <v>132</v>
      </c>
      <c r="F792" s="8" t="str">
        <f aca="false">IFERROR(INDEX(Section_Master!$D$2:$D$477,MATCH($E792,Section_Master!$A$2:$A$477,0))&amp;"","")</f>
        <v>Imprisonment up to 2 years, or fine, or both</v>
      </c>
      <c r="G792" s="10" t="str">
        <f aca="false">IFERROR(INDEX(Section_Master!$E$2:$E$477,MATCH($E792,Section_Master!$A$2:$A$477,0))&amp;"","")</f>
        <v>Yes</v>
      </c>
      <c r="H792" s="10" t="str">
        <f aca="false">IFERROR(INDEX(Section_Master!$F$2:$F$477,MATCH($E792,Section_Master!$A$2:$A$477,0))&amp;"","")</f>
        <v>No</v>
      </c>
      <c r="I792" s="10" t="str">
        <f aca="false">IFERROR(INDEX(Section_Master!$G$2:$G$477,MATCH($E792,Section_Master!$A$2:$A$477,0))&amp;"","")</f>
        <v>No</v>
      </c>
      <c r="J792" s="10" t="s">
        <v>61</v>
      </c>
      <c r="K792" s="8" t="s">
        <v>1887</v>
      </c>
    </row>
    <row r="793" customFormat="false" ht="45.75" hidden="false" customHeight="true" outlineLevel="0" collapsed="false">
      <c r="A793" s="10" t="s">
        <v>1896</v>
      </c>
      <c r="B793" s="10" t="s">
        <v>45</v>
      </c>
      <c r="C793" s="8" t="s">
        <v>1885</v>
      </c>
      <c r="D793" s="8" t="s">
        <v>1897</v>
      </c>
      <c r="E793" s="11" t="n">
        <v>132</v>
      </c>
      <c r="F793" s="8" t="str">
        <f aca="false">IFERROR(INDEX(Section_Master!$D$2:$D$477,MATCH($E793,Section_Master!$A$2:$A$477,0))&amp;"","")</f>
        <v>Imprisonment up to 2 years, or fine, or both</v>
      </c>
      <c r="G793" s="10" t="str">
        <f aca="false">IFERROR(INDEX(Section_Master!$E$2:$E$477,MATCH($E793,Section_Master!$A$2:$A$477,0))&amp;"","")</f>
        <v>Yes</v>
      </c>
      <c r="H793" s="10" t="str">
        <f aca="false">IFERROR(INDEX(Section_Master!$F$2:$F$477,MATCH($E793,Section_Master!$A$2:$A$477,0))&amp;"","")</f>
        <v>No</v>
      </c>
      <c r="I793" s="10" t="str">
        <f aca="false">IFERROR(INDEX(Section_Master!$G$2:$G$477,MATCH($E793,Section_Master!$A$2:$A$477,0))&amp;"","")</f>
        <v>No</v>
      </c>
      <c r="J793" s="10" t="s">
        <v>64</v>
      </c>
      <c r="K793" s="8" t="s">
        <v>1887</v>
      </c>
    </row>
    <row r="794" customFormat="false" ht="34.5" hidden="false" customHeight="true" outlineLevel="0" collapsed="false">
      <c r="A794" s="10" t="s">
        <v>1898</v>
      </c>
      <c r="B794" s="10" t="s">
        <v>45</v>
      </c>
      <c r="C794" s="8" t="s">
        <v>1899</v>
      </c>
      <c r="D794" s="8" t="s">
        <v>1900</v>
      </c>
      <c r="E794" s="11" t="n">
        <v>133</v>
      </c>
      <c r="F794" s="8" t="str">
        <f aca="false">IFERROR(INDEX(Section_Master!$D$2:$D$477,MATCH($E794,Section_Master!$A$2:$A$477,0))&amp;"","")</f>
        <v>Imprisonment up to 2 years, or fine, or both</v>
      </c>
      <c r="G794" s="10" t="str">
        <f aca="false">IFERROR(INDEX(Section_Master!$E$2:$E$477,MATCH($E794,Section_Master!$A$2:$A$477,0))&amp;"","")</f>
        <v>No</v>
      </c>
      <c r="H794" s="10" t="str">
        <f aca="false">IFERROR(INDEX(Section_Master!$F$2:$F$477,MATCH($E794,Section_Master!$A$2:$A$477,0))&amp;"","")</f>
        <v>Yes</v>
      </c>
      <c r="I794" s="10" t="str">
        <f aca="false">IFERROR(INDEX(Section_Master!$G$2:$G$477,MATCH($E794,Section_Master!$A$2:$A$477,0))&amp;"","")</f>
        <v>Yes</v>
      </c>
      <c r="J794" s="10" t="s">
        <v>48</v>
      </c>
      <c r="K794" s="8" t="s">
        <v>1901</v>
      </c>
    </row>
    <row r="795" customFormat="false" ht="34.5" hidden="false" customHeight="true" outlineLevel="0" collapsed="false">
      <c r="A795" s="10" t="s">
        <v>1902</v>
      </c>
      <c r="B795" s="10" t="s">
        <v>45</v>
      </c>
      <c r="C795" s="8" t="s">
        <v>1899</v>
      </c>
      <c r="D795" s="8" t="s">
        <v>1903</v>
      </c>
      <c r="E795" s="11" t="n">
        <v>133</v>
      </c>
      <c r="F795" s="8" t="str">
        <f aca="false">IFERROR(INDEX(Section_Master!$D$2:$D$477,MATCH($E795,Section_Master!$A$2:$A$477,0))&amp;"","")</f>
        <v>Imprisonment up to 2 years, or fine, or both</v>
      </c>
      <c r="G795" s="10" t="str">
        <f aca="false">IFERROR(INDEX(Section_Master!$E$2:$E$477,MATCH($E795,Section_Master!$A$2:$A$477,0))&amp;"","")</f>
        <v>No</v>
      </c>
      <c r="H795" s="10" t="str">
        <f aca="false">IFERROR(INDEX(Section_Master!$F$2:$F$477,MATCH($E795,Section_Master!$A$2:$A$477,0))&amp;"","")</f>
        <v>Yes</v>
      </c>
      <c r="I795" s="10" t="str">
        <f aca="false">IFERROR(INDEX(Section_Master!$G$2:$G$477,MATCH($E795,Section_Master!$A$2:$A$477,0))&amp;"","")</f>
        <v>Yes</v>
      </c>
      <c r="J795" s="10" t="s">
        <v>52</v>
      </c>
      <c r="K795" s="8" t="s">
        <v>1901</v>
      </c>
    </row>
    <row r="796" customFormat="false" ht="34.5" hidden="false" customHeight="true" outlineLevel="0" collapsed="false">
      <c r="A796" s="10" t="s">
        <v>1904</v>
      </c>
      <c r="B796" s="10" t="s">
        <v>45</v>
      </c>
      <c r="C796" s="8" t="s">
        <v>1899</v>
      </c>
      <c r="D796" s="8" t="s">
        <v>1905</v>
      </c>
      <c r="E796" s="11" t="n">
        <v>133</v>
      </c>
      <c r="F796" s="8" t="str">
        <f aca="false">IFERROR(INDEX(Section_Master!$D$2:$D$477,MATCH($E796,Section_Master!$A$2:$A$477,0))&amp;"","")</f>
        <v>Imprisonment up to 2 years, or fine, or both</v>
      </c>
      <c r="G796" s="10" t="str">
        <f aca="false">IFERROR(INDEX(Section_Master!$E$2:$E$477,MATCH($E796,Section_Master!$A$2:$A$477,0))&amp;"","")</f>
        <v>No</v>
      </c>
      <c r="H796" s="10" t="str">
        <f aca="false">IFERROR(INDEX(Section_Master!$F$2:$F$477,MATCH($E796,Section_Master!$A$2:$A$477,0))&amp;"","")</f>
        <v>Yes</v>
      </c>
      <c r="I796" s="10" t="str">
        <f aca="false">IFERROR(INDEX(Section_Master!$G$2:$G$477,MATCH($E796,Section_Master!$A$2:$A$477,0))&amp;"","")</f>
        <v>Yes</v>
      </c>
      <c r="J796" s="10" t="s">
        <v>55</v>
      </c>
      <c r="K796" s="8" t="s">
        <v>1901</v>
      </c>
    </row>
    <row r="797" customFormat="false" ht="34.5" hidden="false" customHeight="true" outlineLevel="0" collapsed="false">
      <c r="A797" s="10" t="s">
        <v>1906</v>
      </c>
      <c r="B797" s="10" t="s">
        <v>45</v>
      </c>
      <c r="C797" s="8" t="s">
        <v>1899</v>
      </c>
      <c r="D797" s="8" t="s">
        <v>1907</v>
      </c>
      <c r="E797" s="11" t="n">
        <v>133</v>
      </c>
      <c r="F797" s="8" t="str">
        <f aca="false">IFERROR(INDEX(Section_Master!$D$2:$D$477,MATCH($E797,Section_Master!$A$2:$A$477,0))&amp;"","")</f>
        <v>Imprisonment up to 2 years, or fine, or both</v>
      </c>
      <c r="G797" s="10" t="str">
        <f aca="false">IFERROR(INDEX(Section_Master!$E$2:$E$477,MATCH($E797,Section_Master!$A$2:$A$477,0))&amp;"","")</f>
        <v>No</v>
      </c>
      <c r="H797" s="10" t="str">
        <f aca="false">IFERROR(INDEX(Section_Master!$F$2:$F$477,MATCH($E797,Section_Master!$A$2:$A$477,0))&amp;"","")</f>
        <v>Yes</v>
      </c>
      <c r="I797" s="10" t="str">
        <f aca="false">IFERROR(INDEX(Section_Master!$G$2:$G$477,MATCH($E797,Section_Master!$A$2:$A$477,0))&amp;"","")</f>
        <v>Yes</v>
      </c>
      <c r="J797" s="10" t="s">
        <v>58</v>
      </c>
      <c r="K797" s="8" t="s">
        <v>1901</v>
      </c>
    </row>
    <row r="798" customFormat="false" ht="34.5" hidden="false" customHeight="true" outlineLevel="0" collapsed="false">
      <c r="A798" s="10" t="s">
        <v>1908</v>
      </c>
      <c r="B798" s="10" t="s">
        <v>45</v>
      </c>
      <c r="C798" s="8" t="s">
        <v>1899</v>
      </c>
      <c r="D798" s="8" t="s">
        <v>1909</v>
      </c>
      <c r="E798" s="11" t="n">
        <v>133</v>
      </c>
      <c r="F798" s="8" t="str">
        <f aca="false">IFERROR(INDEX(Section_Master!$D$2:$D$477,MATCH($E798,Section_Master!$A$2:$A$477,0))&amp;"","")</f>
        <v>Imprisonment up to 2 years, or fine, or both</v>
      </c>
      <c r="G798" s="10" t="str">
        <f aca="false">IFERROR(INDEX(Section_Master!$E$2:$E$477,MATCH($E798,Section_Master!$A$2:$A$477,0))&amp;"","")</f>
        <v>No</v>
      </c>
      <c r="H798" s="10" t="str">
        <f aca="false">IFERROR(INDEX(Section_Master!$F$2:$F$477,MATCH($E798,Section_Master!$A$2:$A$477,0))&amp;"","")</f>
        <v>Yes</v>
      </c>
      <c r="I798" s="10" t="str">
        <f aca="false">IFERROR(INDEX(Section_Master!$G$2:$G$477,MATCH($E798,Section_Master!$A$2:$A$477,0))&amp;"","")</f>
        <v>Yes</v>
      </c>
      <c r="J798" s="10" t="s">
        <v>61</v>
      </c>
      <c r="K798" s="8" t="s">
        <v>1901</v>
      </c>
    </row>
    <row r="799" customFormat="false" ht="45.75" hidden="false" customHeight="true" outlineLevel="0" collapsed="false">
      <c r="A799" s="10" t="s">
        <v>1910</v>
      </c>
      <c r="B799" s="10" t="s">
        <v>45</v>
      </c>
      <c r="C799" s="8" t="s">
        <v>1899</v>
      </c>
      <c r="D799" s="8" t="s">
        <v>1911</v>
      </c>
      <c r="E799" s="11" t="n">
        <v>133</v>
      </c>
      <c r="F799" s="8" t="str">
        <f aca="false">IFERROR(INDEX(Section_Master!$D$2:$D$477,MATCH($E799,Section_Master!$A$2:$A$477,0))&amp;"","")</f>
        <v>Imprisonment up to 2 years, or fine, or both</v>
      </c>
      <c r="G799" s="10" t="str">
        <f aca="false">IFERROR(INDEX(Section_Master!$E$2:$E$477,MATCH($E799,Section_Master!$A$2:$A$477,0))&amp;"","")</f>
        <v>No</v>
      </c>
      <c r="H799" s="10" t="str">
        <f aca="false">IFERROR(INDEX(Section_Master!$F$2:$F$477,MATCH($E799,Section_Master!$A$2:$A$477,0))&amp;"","")</f>
        <v>Yes</v>
      </c>
      <c r="I799" s="10" t="str">
        <f aca="false">IFERROR(INDEX(Section_Master!$G$2:$G$477,MATCH($E799,Section_Master!$A$2:$A$477,0))&amp;"","")</f>
        <v>Yes</v>
      </c>
      <c r="J799" s="10" t="s">
        <v>64</v>
      </c>
      <c r="K799" s="8" t="s">
        <v>1901</v>
      </c>
    </row>
    <row r="800" customFormat="false" ht="34.5" hidden="false" customHeight="true" outlineLevel="0" collapsed="false">
      <c r="A800" s="10" t="s">
        <v>1912</v>
      </c>
      <c r="B800" s="10" t="s">
        <v>45</v>
      </c>
      <c r="C800" s="8" t="s">
        <v>1913</v>
      </c>
      <c r="D800" s="8" t="s">
        <v>1914</v>
      </c>
      <c r="E800" s="11" t="n">
        <v>134</v>
      </c>
      <c r="F800" s="8" t="str">
        <f aca="false">IFERROR(INDEX(Section_Master!$D$2:$D$477,MATCH($E800,Section_Master!$A$2:$A$477,0))&amp;"","")</f>
        <v>Imprisonment up to 2 years, or fine, or both</v>
      </c>
      <c r="G800" s="10" t="str">
        <f aca="false">IFERROR(INDEX(Section_Master!$E$2:$E$477,MATCH($E800,Section_Master!$A$2:$A$477,0))&amp;"","")</f>
        <v>No</v>
      </c>
      <c r="H800" s="10" t="str">
        <f aca="false">IFERROR(INDEX(Section_Master!$F$2:$F$477,MATCH($E800,Section_Master!$A$2:$A$477,0))&amp;"","")</f>
        <v>Yes</v>
      </c>
      <c r="I800" s="10" t="str">
        <f aca="false">IFERROR(INDEX(Section_Master!$G$2:$G$477,MATCH($E800,Section_Master!$A$2:$A$477,0))&amp;"","")</f>
        <v>With court permission</v>
      </c>
      <c r="J800" s="10" t="s">
        <v>48</v>
      </c>
      <c r="K800" s="8" t="s">
        <v>1915</v>
      </c>
    </row>
    <row r="801" customFormat="false" ht="34.5" hidden="false" customHeight="true" outlineLevel="0" collapsed="false">
      <c r="A801" s="10" t="s">
        <v>1916</v>
      </c>
      <c r="B801" s="10" t="s">
        <v>45</v>
      </c>
      <c r="C801" s="8" t="s">
        <v>1913</v>
      </c>
      <c r="D801" s="8" t="s">
        <v>1917</v>
      </c>
      <c r="E801" s="11" t="n">
        <v>134</v>
      </c>
      <c r="F801" s="8" t="str">
        <f aca="false">IFERROR(INDEX(Section_Master!$D$2:$D$477,MATCH($E801,Section_Master!$A$2:$A$477,0))&amp;"","")</f>
        <v>Imprisonment up to 2 years, or fine, or both</v>
      </c>
      <c r="G801" s="10" t="str">
        <f aca="false">IFERROR(INDEX(Section_Master!$E$2:$E$477,MATCH($E801,Section_Master!$A$2:$A$477,0))&amp;"","")</f>
        <v>No</v>
      </c>
      <c r="H801" s="10" t="str">
        <f aca="false">IFERROR(INDEX(Section_Master!$F$2:$F$477,MATCH($E801,Section_Master!$A$2:$A$477,0))&amp;"","")</f>
        <v>Yes</v>
      </c>
      <c r="I801" s="10" t="str">
        <f aca="false">IFERROR(INDEX(Section_Master!$G$2:$G$477,MATCH($E801,Section_Master!$A$2:$A$477,0))&amp;"","")</f>
        <v>With court permission</v>
      </c>
      <c r="J801" s="10" t="s">
        <v>52</v>
      </c>
      <c r="K801" s="8" t="s">
        <v>1915</v>
      </c>
    </row>
    <row r="802" customFormat="false" ht="34.5" hidden="false" customHeight="true" outlineLevel="0" collapsed="false">
      <c r="A802" s="10" t="s">
        <v>1918</v>
      </c>
      <c r="B802" s="10" t="s">
        <v>45</v>
      </c>
      <c r="C802" s="8" t="s">
        <v>1913</v>
      </c>
      <c r="D802" s="8" t="s">
        <v>1919</v>
      </c>
      <c r="E802" s="11" t="n">
        <v>134</v>
      </c>
      <c r="F802" s="8" t="str">
        <f aca="false">IFERROR(INDEX(Section_Master!$D$2:$D$477,MATCH($E802,Section_Master!$A$2:$A$477,0))&amp;"","")</f>
        <v>Imprisonment up to 2 years, or fine, or both</v>
      </c>
      <c r="G802" s="10" t="str">
        <f aca="false">IFERROR(INDEX(Section_Master!$E$2:$E$477,MATCH($E802,Section_Master!$A$2:$A$477,0))&amp;"","")</f>
        <v>No</v>
      </c>
      <c r="H802" s="10" t="str">
        <f aca="false">IFERROR(INDEX(Section_Master!$F$2:$F$477,MATCH($E802,Section_Master!$A$2:$A$477,0))&amp;"","")</f>
        <v>Yes</v>
      </c>
      <c r="I802" s="10" t="str">
        <f aca="false">IFERROR(INDEX(Section_Master!$G$2:$G$477,MATCH($E802,Section_Master!$A$2:$A$477,0))&amp;"","")</f>
        <v>With court permission</v>
      </c>
      <c r="J802" s="10" t="s">
        <v>55</v>
      </c>
      <c r="K802" s="8" t="s">
        <v>1915</v>
      </c>
    </row>
    <row r="803" customFormat="false" ht="34.5" hidden="false" customHeight="true" outlineLevel="0" collapsed="false">
      <c r="A803" s="10" t="s">
        <v>1920</v>
      </c>
      <c r="B803" s="10" t="s">
        <v>45</v>
      </c>
      <c r="C803" s="8" t="s">
        <v>1913</v>
      </c>
      <c r="D803" s="8" t="s">
        <v>1921</v>
      </c>
      <c r="E803" s="11" t="n">
        <v>134</v>
      </c>
      <c r="F803" s="8" t="str">
        <f aca="false">IFERROR(INDEX(Section_Master!$D$2:$D$477,MATCH($E803,Section_Master!$A$2:$A$477,0))&amp;"","")</f>
        <v>Imprisonment up to 2 years, or fine, or both</v>
      </c>
      <c r="G803" s="10" t="str">
        <f aca="false">IFERROR(INDEX(Section_Master!$E$2:$E$477,MATCH($E803,Section_Master!$A$2:$A$477,0))&amp;"","")</f>
        <v>No</v>
      </c>
      <c r="H803" s="10" t="str">
        <f aca="false">IFERROR(INDEX(Section_Master!$F$2:$F$477,MATCH($E803,Section_Master!$A$2:$A$477,0))&amp;"","")</f>
        <v>Yes</v>
      </c>
      <c r="I803" s="10" t="str">
        <f aca="false">IFERROR(INDEX(Section_Master!$G$2:$G$477,MATCH($E803,Section_Master!$A$2:$A$477,0))&amp;"","")</f>
        <v>With court permission</v>
      </c>
      <c r="J803" s="10" t="s">
        <v>58</v>
      </c>
      <c r="K803" s="8" t="s">
        <v>1915</v>
      </c>
    </row>
    <row r="804" customFormat="false" ht="34.5" hidden="false" customHeight="true" outlineLevel="0" collapsed="false">
      <c r="A804" s="10" t="s">
        <v>1922</v>
      </c>
      <c r="B804" s="10" t="s">
        <v>45</v>
      </c>
      <c r="C804" s="8" t="s">
        <v>1913</v>
      </c>
      <c r="D804" s="8" t="s">
        <v>1923</v>
      </c>
      <c r="E804" s="11" t="n">
        <v>134</v>
      </c>
      <c r="F804" s="8" t="str">
        <f aca="false">IFERROR(INDEX(Section_Master!$D$2:$D$477,MATCH($E804,Section_Master!$A$2:$A$477,0))&amp;"","")</f>
        <v>Imprisonment up to 2 years, or fine, or both</v>
      </c>
      <c r="G804" s="10" t="str">
        <f aca="false">IFERROR(INDEX(Section_Master!$E$2:$E$477,MATCH($E804,Section_Master!$A$2:$A$477,0))&amp;"","")</f>
        <v>No</v>
      </c>
      <c r="H804" s="10" t="str">
        <f aca="false">IFERROR(INDEX(Section_Master!$F$2:$F$477,MATCH($E804,Section_Master!$A$2:$A$477,0))&amp;"","")</f>
        <v>Yes</v>
      </c>
      <c r="I804" s="10" t="str">
        <f aca="false">IFERROR(INDEX(Section_Master!$G$2:$G$477,MATCH($E804,Section_Master!$A$2:$A$477,0))&amp;"","")</f>
        <v>With court permission</v>
      </c>
      <c r="J804" s="10" t="s">
        <v>61</v>
      </c>
      <c r="K804" s="8" t="s">
        <v>1915</v>
      </c>
    </row>
    <row r="805" customFormat="false" ht="34.5" hidden="false" customHeight="true" outlineLevel="0" collapsed="false">
      <c r="A805" s="10" t="s">
        <v>1924</v>
      </c>
      <c r="B805" s="10" t="s">
        <v>45</v>
      </c>
      <c r="C805" s="8" t="s">
        <v>1913</v>
      </c>
      <c r="D805" s="8" t="s">
        <v>1925</v>
      </c>
      <c r="E805" s="11" t="n">
        <v>134</v>
      </c>
      <c r="F805" s="8" t="str">
        <f aca="false">IFERROR(INDEX(Section_Master!$D$2:$D$477,MATCH($E805,Section_Master!$A$2:$A$477,0))&amp;"","")</f>
        <v>Imprisonment up to 2 years, or fine, or both</v>
      </c>
      <c r="G805" s="10" t="str">
        <f aca="false">IFERROR(INDEX(Section_Master!$E$2:$E$477,MATCH($E805,Section_Master!$A$2:$A$477,0))&amp;"","")</f>
        <v>No</v>
      </c>
      <c r="H805" s="10" t="str">
        <f aca="false">IFERROR(INDEX(Section_Master!$F$2:$F$477,MATCH($E805,Section_Master!$A$2:$A$477,0))&amp;"","")</f>
        <v>Yes</v>
      </c>
      <c r="I805" s="10" t="str">
        <f aca="false">IFERROR(INDEX(Section_Master!$G$2:$G$477,MATCH($E805,Section_Master!$A$2:$A$477,0))&amp;"","")</f>
        <v>With court permission</v>
      </c>
      <c r="J805" s="10" t="s">
        <v>64</v>
      </c>
      <c r="K805" s="8" t="s">
        <v>1915</v>
      </c>
    </row>
    <row r="806" customFormat="false" ht="23.25" hidden="false" customHeight="true" outlineLevel="0" collapsed="false">
      <c r="A806" s="10" t="s">
        <v>1926</v>
      </c>
      <c r="B806" s="10" t="s">
        <v>45</v>
      </c>
      <c r="C806" s="8" t="s">
        <v>1927</v>
      </c>
      <c r="D806" s="8" t="s">
        <v>1928</v>
      </c>
      <c r="E806" s="11" t="n">
        <v>135</v>
      </c>
      <c r="F806" s="8" t="str">
        <f aca="false">IFERROR(INDEX(Section_Master!$D$2:$D$477,MATCH($E806,Section_Master!$A$2:$A$477,0))&amp;"","")</f>
        <v>Imprisonment up to 1 year, or fine, or both</v>
      </c>
      <c r="G806" s="10" t="str">
        <f aca="false">IFERROR(INDEX(Section_Master!$E$2:$E$477,MATCH($E806,Section_Master!$A$2:$A$477,0))&amp;"","")</f>
        <v>No</v>
      </c>
      <c r="H806" s="10" t="str">
        <f aca="false">IFERROR(INDEX(Section_Master!$F$2:$F$477,MATCH($E806,Section_Master!$A$2:$A$477,0))&amp;"","")</f>
        <v>Yes</v>
      </c>
      <c r="I806" s="10" t="str">
        <f aca="false">IFERROR(INDEX(Section_Master!$G$2:$G$477,MATCH($E806,Section_Master!$A$2:$A$477,0))&amp;"","")</f>
        <v>Yes</v>
      </c>
      <c r="J806" s="10" t="s">
        <v>48</v>
      </c>
      <c r="K806" s="8" t="s">
        <v>1929</v>
      </c>
    </row>
    <row r="807" customFormat="false" ht="34.5" hidden="false" customHeight="true" outlineLevel="0" collapsed="false">
      <c r="A807" s="10" t="s">
        <v>1930</v>
      </c>
      <c r="B807" s="10" t="s">
        <v>45</v>
      </c>
      <c r="C807" s="8" t="s">
        <v>1927</v>
      </c>
      <c r="D807" s="8" t="s">
        <v>1931</v>
      </c>
      <c r="E807" s="11" t="n">
        <v>135</v>
      </c>
      <c r="F807" s="8" t="str">
        <f aca="false">IFERROR(INDEX(Section_Master!$D$2:$D$477,MATCH($E807,Section_Master!$A$2:$A$477,0))&amp;"","")</f>
        <v>Imprisonment up to 1 year, or fine, or both</v>
      </c>
      <c r="G807" s="10" t="str">
        <f aca="false">IFERROR(INDEX(Section_Master!$E$2:$E$477,MATCH($E807,Section_Master!$A$2:$A$477,0))&amp;"","")</f>
        <v>No</v>
      </c>
      <c r="H807" s="10" t="str">
        <f aca="false">IFERROR(INDEX(Section_Master!$F$2:$F$477,MATCH($E807,Section_Master!$A$2:$A$477,0))&amp;"","")</f>
        <v>Yes</v>
      </c>
      <c r="I807" s="10" t="str">
        <f aca="false">IFERROR(INDEX(Section_Master!$G$2:$G$477,MATCH($E807,Section_Master!$A$2:$A$477,0))&amp;"","")</f>
        <v>Yes</v>
      </c>
      <c r="J807" s="10" t="s">
        <v>52</v>
      </c>
      <c r="K807" s="8" t="s">
        <v>1929</v>
      </c>
    </row>
    <row r="808" customFormat="false" ht="34.5" hidden="false" customHeight="true" outlineLevel="0" collapsed="false">
      <c r="A808" s="10" t="s">
        <v>1932</v>
      </c>
      <c r="B808" s="10" t="s">
        <v>45</v>
      </c>
      <c r="C808" s="8" t="s">
        <v>1927</v>
      </c>
      <c r="D808" s="8" t="s">
        <v>1933</v>
      </c>
      <c r="E808" s="11" t="n">
        <v>135</v>
      </c>
      <c r="F808" s="8" t="str">
        <f aca="false">IFERROR(INDEX(Section_Master!$D$2:$D$477,MATCH($E808,Section_Master!$A$2:$A$477,0))&amp;"","")</f>
        <v>Imprisonment up to 1 year, or fine, or both</v>
      </c>
      <c r="G808" s="10" t="str">
        <f aca="false">IFERROR(INDEX(Section_Master!$E$2:$E$477,MATCH($E808,Section_Master!$A$2:$A$477,0))&amp;"","")</f>
        <v>No</v>
      </c>
      <c r="H808" s="10" t="str">
        <f aca="false">IFERROR(INDEX(Section_Master!$F$2:$F$477,MATCH($E808,Section_Master!$A$2:$A$477,0))&amp;"","")</f>
        <v>Yes</v>
      </c>
      <c r="I808" s="10" t="str">
        <f aca="false">IFERROR(INDEX(Section_Master!$G$2:$G$477,MATCH($E808,Section_Master!$A$2:$A$477,0))&amp;"","")</f>
        <v>Yes</v>
      </c>
      <c r="J808" s="10" t="s">
        <v>55</v>
      </c>
      <c r="K808" s="8" t="s">
        <v>1929</v>
      </c>
    </row>
    <row r="809" customFormat="false" ht="23.25" hidden="false" customHeight="true" outlineLevel="0" collapsed="false">
      <c r="A809" s="10" t="s">
        <v>1934</v>
      </c>
      <c r="B809" s="10" t="s">
        <v>45</v>
      </c>
      <c r="C809" s="8" t="s">
        <v>1927</v>
      </c>
      <c r="D809" s="8" t="s">
        <v>1935</v>
      </c>
      <c r="E809" s="11" t="n">
        <v>135</v>
      </c>
      <c r="F809" s="8" t="str">
        <f aca="false">IFERROR(INDEX(Section_Master!$D$2:$D$477,MATCH($E809,Section_Master!$A$2:$A$477,0))&amp;"","")</f>
        <v>Imprisonment up to 1 year, or fine, or both</v>
      </c>
      <c r="G809" s="10" t="str">
        <f aca="false">IFERROR(INDEX(Section_Master!$E$2:$E$477,MATCH($E809,Section_Master!$A$2:$A$477,0))&amp;"","")</f>
        <v>No</v>
      </c>
      <c r="H809" s="10" t="str">
        <f aca="false">IFERROR(INDEX(Section_Master!$F$2:$F$477,MATCH($E809,Section_Master!$A$2:$A$477,0))&amp;"","")</f>
        <v>Yes</v>
      </c>
      <c r="I809" s="10" t="str">
        <f aca="false">IFERROR(INDEX(Section_Master!$G$2:$G$477,MATCH($E809,Section_Master!$A$2:$A$477,0))&amp;"","")</f>
        <v>Yes</v>
      </c>
      <c r="J809" s="10" t="s">
        <v>58</v>
      </c>
      <c r="K809" s="8" t="s">
        <v>1929</v>
      </c>
    </row>
    <row r="810" customFormat="false" ht="34.5" hidden="false" customHeight="true" outlineLevel="0" collapsed="false">
      <c r="A810" s="10" t="s">
        <v>1936</v>
      </c>
      <c r="B810" s="10" t="s">
        <v>45</v>
      </c>
      <c r="C810" s="8" t="s">
        <v>1927</v>
      </c>
      <c r="D810" s="8" t="s">
        <v>1937</v>
      </c>
      <c r="E810" s="11" t="n">
        <v>135</v>
      </c>
      <c r="F810" s="8" t="str">
        <f aca="false">IFERROR(INDEX(Section_Master!$D$2:$D$477,MATCH($E810,Section_Master!$A$2:$A$477,0))&amp;"","")</f>
        <v>Imprisonment up to 1 year, or fine, or both</v>
      </c>
      <c r="G810" s="10" t="str">
        <f aca="false">IFERROR(INDEX(Section_Master!$E$2:$E$477,MATCH($E810,Section_Master!$A$2:$A$477,0))&amp;"","")</f>
        <v>No</v>
      </c>
      <c r="H810" s="10" t="str">
        <f aca="false">IFERROR(INDEX(Section_Master!$F$2:$F$477,MATCH($E810,Section_Master!$A$2:$A$477,0))&amp;"","")</f>
        <v>Yes</v>
      </c>
      <c r="I810" s="10" t="str">
        <f aca="false">IFERROR(INDEX(Section_Master!$G$2:$G$477,MATCH($E810,Section_Master!$A$2:$A$477,0))&amp;"","")</f>
        <v>Yes</v>
      </c>
      <c r="J810" s="10" t="s">
        <v>61</v>
      </c>
      <c r="K810" s="8" t="s">
        <v>1929</v>
      </c>
    </row>
    <row r="811" customFormat="false" ht="34.5" hidden="false" customHeight="true" outlineLevel="0" collapsed="false">
      <c r="A811" s="10" t="s">
        <v>1938</v>
      </c>
      <c r="B811" s="10" t="s">
        <v>45</v>
      </c>
      <c r="C811" s="8" t="s">
        <v>1927</v>
      </c>
      <c r="D811" s="8" t="s">
        <v>1939</v>
      </c>
      <c r="E811" s="11" t="n">
        <v>135</v>
      </c>
      <c r="F811" s="8" t="str">
        <f aca="false">IFERROR(INDEX(Section_Master!$D$2:$D$477,MATCH($E811,Section_Master!$A$2:$A$477,0))&amp;"","")</f>
        <v>Imprisonment up to 1 year, or fine, or both</v>
      </c>
      <c r="G811" s="10" t="str">
        <f aca="false">IFERROR(INDEX(Section_Master!$E$2:$E$477,MATCH($E811,Section_Master!$A$2:$A$477,0))&amp;"","")</f>
        <v>No</v>
      </c>
      <c r="H811" s="10" t="str">
        <f aca="false">IFERROR(INDEX(Section_Master!$F$2:$F$477,MATCH($E811,Section_Master!$A$2:$A$477,0))&amp;"","")</f>
        <v>Yes</v>
      </c>
      <c r="I811" s="10" t="str">
        <f aca="false">IFERROR(INDEX(Section_Master!$G$2:$G$477,MATCH($E811,Section_Master!$A$2:$A$477,0))&amp;"","")</f>
        <v>Yes</v>
      </c>
      <c r="J811" s="10" t="s">
        <v>64</v>
      </c>
      <c r="K811" s="8" t="s">
        <v>1929</v>
      </c>
    </row>
    <row r="812" customFormat="false" ht="34.5" hidden="false" customHeight="true" outlineLevel="0" collapsed="false">
      <c r="A812" s="10" t="s">
        <v>1940</v>
      </c>
      <c r="B812" s="10" t="s">
        <v>45</v>
      </c>
      <c r="C812" s="8" t="s">
        <v>1941</v>
      </c>
      <c r="D812" s="8" t="s">
        <v>1942</v>
      </c>
      <c r="E812" s="11" t="n">
        <v>136</v>
      </c>
      <c r="F812" s="8" t="str">
        <f aca="false">IFERROR(INDEX(Section_Master!$D$2:$D$477,MATCH($E812,Section_Master!$A$2:$A$477,0))&amp;"","")</f>
        <v>Imprisonment up to 1 month, or fine, or both</v>
      </c>
      <c r="G812" s="10" t="str">
        <f aca="false">IFERROR(INDEX(Section_Master!$E$2:$E$477,MATCH($E812,Section_Master!$A$2:$A$477,0))&amp;"","")</f>
        <v>No</v>
      </c>
      <c r="H812" s="10" t="str">
        <f aca="false">IFERROR(INDEX(Section_Master!$F$2:$F$477,MATCH($E812,Section_Master!$A$2:$A$477,0))&amp;"","")</f>
        <v>Yes</v>
      </c>
      <c r="I812" s="10" t="str">
        <f aca="false">IFERROR(INDEX(Section_Master!$G$2:$G$477,MATCH($E812,Section_Master!$A$2:$A$477,0))&amp;"","")</f>
        <v>Yes</v>
      </c>
      <c r="J812" s="10" t="s">
        <v>48</v>
      </c>
      <c r="K812" s="8" t="s">
        <v>1943</v>
      </c>
    </row>
    <row r="813" customFormat="false" ht="34.5" hidden="false" customHeight="true" outlineLevel="0" collapsed="false">
      <c r="A813" s="10" t="s">
        <v>1944</v>
      </c>
      <c r="B813" s="10" t="s">
        <v>45</v>
      </c>
      <c r="C813" s="8" t="s">
        <v>1941</v>
      </c>
      <c r="D813" s="8" t="s">
        <v>1945</v>
      </c>
      <c r="E813" s="11" t="n">
        <v>136</v>
      </c>
      <c r="F813" s="8" t="str">
        <f aca="false">IFERROR(INDEX(Section_Master!$D$2:$D$477,MATCH($E813,Section_Master!$A$2:$A$477,0))&amp;"","")</f>
        <v>Imprisonment up to 1 month, or fine, or both</v>
      </c>
      <c r="G813" s="10" t="str">
        <f aca="false">IFERROR(INDEX(Section_Master!$E$2:$E$477,MATCH($E813,Section_Master!$A$2:$A$477,0))&amp;"","")</f>
        <v>No</v>
      </c>
      <c r="H813" s="10" t="str">
        <f aca="false">IFERROR(INDEX(Section_Master!$F$2:$F$477,MATCH($E813,Section_Master!$A$2:$A$477,0))&amp;"","")</f>
        <v>Yes</v>
      </c>
      <c r="I813" s="10" t="str">
        <f aca="false">IFERROR(INDEX(Section_Master!$G$2:$G$477,MATCH($E813,Section_Master!$A$2:$A$477,0))&amp;"","")</f>
        <v>Yes</v>
      </c>
      <c r="J813" s="10" t="s">
        <v>52</v>
      </c>
      <c r="K813" s="8" t="s">
        <v>1943</v>
      </c>
    </row>
    <row r="814" customFormat="false" ht="34.5" hidden="false" customHeight="true" outlineLevel="0" collapsed="false">
      <c r="A814" s="10" t="s">
        <v>1946</v>
      </c>
      <c r="B814" s="10" t="s">
        <v>45</v>
      </c>
      <c r="C814" s="8" t="s">
        <v>1941</v>
      </c>
      <c r="D814" s="8" t="s">
        <v>1947</v>
      </c>
      <c r="E814" s="11" t="n">
        <v>136</v>
      </c>
      <c r="F814" s="8" t="str">
        <f aca="false">IFERROR(INDEX(Section_Master!$D$2:$D$477,MATCH($E814,Section_Master!$A$2:$A$477,0))&amp;"","")</f>
        <v>Imprisonment up to 1 month, or fine, or both</v>
      </c>
      <c r="G814" s="10" t="str">
        <f aca="false">IFERROR(INDEX(Section_Master!$E$2:$E$477,MATCH($E814,Section_Master!$A$2:$A$477,0))&amp;"","")</f>
        <v>No</v>
      </c>
      <c r="H814" s="10" t="str">
        <f aca="false">IFERROR(INDEX(Section_Master!$F$2:$F$477,MATCH($E814,Section_Master!$A$2:$A$477,0))&amp;"","")</f>
        <v>Yes</v>
      </c>
      <c r="I814" s="10" t="str">
        <f aca="false">IFERROR(INDEX(Section_Master!$G$2:$G$477,MATCH($E814,Section_Master!$A$2:$A$477,0))&amp;"","")</f>
        <v>Yes</v>
      </c>
      <c r="J814" s="10" t="s">
        <v>55</v>
      </c>
      <c r="K814" s="8" t="s">
        <v>1943</v>
      </c>
    </row>
    <row r="815" customFormat="false" ht="34.5" hidden="false" customHeight="true" outlineLevel="0" collapsed="false">
      <c r="A815" s="10" t="s">
        <v>1948</v>
      </c>
      <c r="B815" s="10" t="s">
        <v>45</v>
      </c>
      <c r="C815" s="8" t="s">
        <v>1941</v>
      </c>
      <c r="D815" s="8" t="s">
        <v>1949</v>
      </c>
      <c r="E815" s="11" t="n">
        <v>136</v>
      </c>
      <c r="F815" s="8" t="str">
        <f aca="false">IFERROR(INDEX(Section_Master!$D$2:$D$477,MATCH($E815,Section_Master!$A$2:$A$477,0))&amp;"","")</f>
        <v>Imprisonment up to 1 month, or fine, or both</v>
      </c>
      <c r="G815" s="10" t="str">
        <f aca="false">IFERROR(INDEX(Section_Master!$E$2:$E$477,MATCH($E815,Section_Master!$A$2:$A$477,0))&amp;"","")</f>
        <v>No</v>
      </c>
      <c r="H815" s="10" t="str">
        <f aca="false">IFERROR(INDEX(Section_Master!$F$2:$F$477,MATCH($E815,Section_Master!$A$2:$A$477,0))&amp;"","")</f>
        <v>Yes</v>
      </c>
      <c r="I815" s="10" t="str">
        <f aca="false">IFERROR(INDEX(Section_Master!$G$2:$G$477,MATCH($E815,Section_Master!$A$2:$A$477,0))&amp;"","")</f>
        <v>Yes</v>
      </c>
      <c r="J815" s="10" t="s">
        <v>58</v>
      </c>
      <c r="K815" s="8" t="s">
        <v>1943</v>
      </c>
    </row>
    <row r="816" customFormat="false" ht="23.25" hidden="false" customHeight="true" outlineLevel="0" collapsed="false">
      <c r="A816" s="10" t="s">
        <v>1950</v>
      </c>
      <c r="B816" s="10" t="s">
        <v>45</v>
      </c>
      <c r="C816" s="8" t="s">
        <v>1941</v>
      </c>
      <c r="D816" s="8" t="s">
        <v>1951</v>
      </c>
      <c r="E816" s="11" t="n">
        <v>136</v>
      </c>
      <c r="F816" s="8" t="str">
        <f aca="false">IFERROR(INDEX(Section_Master!$D$2:$D$477,MATCH($E816,Section_Master!$A$2:$A$477,0))&amp;"","")</f>
        <v>Imprisonment up to 1 month, or fine, or both</v>
      </c>
      <c r="G816" s="10" t="str">
        <f aca="false">IFERROR(INDEX(Section_Master!$E$2:$E$477,MATCH($E816,Section_Master!$A$2:$A$477,0))&amp;"","")</f>
        <v>No</v>
      </c>
      <c r="H816" s="10" t="str">
        <f aca="false">IFERROR(INDEX(Section_Master!$F$2:$F$477,MATCH($E816,Section_Master!$A$2:$A$477,0))&amp;"","")</f>
        <v>Yes</v>
      </c>
      <c r="I816" s="10" t="str">
        <f aca="false">IFERROR(INDEX(Section_Master!$G$2:$G$477,MATCH($E816,Section_Master!$A$2:$A$477,0))&amp;"","")</f>
        <v>Yes</v>
      </c>
      <c r="J816" s="10" t="s">
        <v>61</v>
      </c>
      <c r="K816" s="8" t="s">
        <v>1943</v>
      </c>
    </row>
    <row r="817" customFormat="false" ht="34.5" hidden="false" customHeight="true" outlineLevel="0" collapsed="false">
      <c r="A817" s="10" t="s">
        <v>1952</v>
      </c>
      <c r="B817" s="10" t="s">
        <v>45</v>
      </c>
      <c r="C817" s="8" t="s">
        <v>1941</v>
      </c>
      <c r="D817" s="8" t="s">
        <v>1953</v>
      </c>
      <c r="E817" s="11" t="n">
        <v>136</v>
      </c>
      <c r="F817" s="8" t="str">
        <f aca="false">IFERROR(INDEX(Section_Master!$D$2:$D$477,MATCH($E817,Section_Master!$A$2:$A$477,0))&amp;"","")</f>
        <v>Imprisonment up to 1 month, or fine, or both</v>
      </c>
      <c r="G817" s="10" t="str">
        <f aca="false">IFERROR(INDEX(Section_Master!$E$2:$E$477,MATCH($E817,Section_Master!$A$2:$A$477,0))&amp;"","")</f>
        <v>No</v>
      </c>
      <c r="H817" s="10" t="str">
        <f aca="false">IFERROR(INDEX(Section_Master!$F$2:$F$477,MATCH($E817,Section_Master!$A$2:$A$477,0))&amp;"","")</f>
        <v>Yes</v>
      </c>
      <c r="I817" s="10" t="str">
        <f aca="false">IFERROR(INDEX(Section_Master!$G$2:$G$477,MATCH($E817,Section_Master!$A$2:$A$477,0))&amp;"","")</f>
        <v>Yes</v>
      </c>
      <c r="J817" s="10" t="s">
        <v>64</v>
      </c>
      <c r="K817" s="8" t="s">
        <v>1943</v>
      </c>
    </row>
    <row r="818" customFormat="false" ht="45.75" hidden="false" customHeight="true" outlineLevel="0" collapsed="false">
      <c r="A818" s="10" t="s">
        <v>1954</v>
      </c>
      <c r="B818" s="10" t="s">
        <v>45</v>
      </c>
      <c r="C818" s="8" t="s">
        <v>1955</v>
      </c>
      <c r="D818" s="8" t="s">
        <v>1956</v>
      </c>
      <c r="E818" s="11" t="n">
        <v>137</v>
      </c>
      <c r="F818" s="8" t="str">
        <f aca="false">IFERROR(INDEX(Section_Master!$D$2:$D$477,MATCH($E818,Section_Master!$A$2:$A$477,0))&amp;"","")</f>
        <v>Imprisonment up to 7 years and fine [s.137(2)]</v>
      </c>
      <c r="G818" s="10" t="str">
        <f aca="false">IFERROR(INDEX(Section_Master!$E$2:$E$477,MATCH($E818,Section_Master!$A$2:$A$477,0))&amp;"","")</f>
        <v>Yes</v>
      </c>
      <c r="H818" s="10" t="str">
        <f aca="false">IFERROR(INDEX(Section_Master!$F$2:$F$477,MATCH($E818,Section_Master!$A$2:$A$477,0))&amp;"","")</f>
        <v>No</v>
      </c>
      <c r="I818" s="10" t="str">
        <f aca="false">IFERROR(INDEX(Section_Master!$G$2:$G$477,MATCH($E818,Section_Master!$A$2:$A$477,0))&amp;"","")</f>
        <v>No</v>
      </c>
      <c r="J818" s="10" t="s">
        <v>48</v>
      </c>
      <c r="K818" s="8" t="s">
        <v>1957</v>
      </c>
    </row>
    <row r="819" customFormat="false" ht="45.75" hidden="false" customHeight="true" outlineLevel="0" collapsed="false">
      <c r="A819" s="10" t="s">
        <v>1958</v>
      </c>
      <c r="B819" s="10" t="s">
        <v>45</v>
      </c>
      <c r="C819" s="8" t="s">
        <v>1955</v>
      </c>
      <c r="D819" s="8" t="s">
        <v>1959</v>
      </c>
      <c r="E819" s="11" t="n">
        <v>137</v>
      </c>
      <c r="F819" s="8" t="str">
        <f aca="false">IFERROR(INDEX(Section_Master!$D$2:$D$477,MATCH($E819,Section_Master!$A$2:$A$477,0))&amp;"","")</f>
        <v>Imprisonment up to 7 years and fine [s.137(2)]</v>
      </c>
      <c r="G819" s="10" t="str">
        <f aca="false">IFERROR(INDEX(Section_Master!$E$2:$E$477,MATCH($E819,Section_Master!$A$2:$A$477,0))&amp;"","")</f>
        <v>Yes</v>
      </c>
      <c r="H819" s="10" t="str">
        <f aca="false">IFERROR(INDEX(Section_Master!$F$2:$F$477,MATCH($E819,Section_Master!$A$2:$A$477,0))&amp;"","")</f>
        <v>No</v>
      </c>
      <c r="I819" s="10" t="str">
        <f aca="false">IFERROR(INDEX(Section_Master!$G$2:$G$477,MATCH($E819,Section_Master!$A$2:$A$477,0))&amp;"","")</f>
        <v>No</v>
      </c>
      <c r="J819" s="10" t="s">
        <v>52</v>
      </c>
      <c r="K819" s="8" t="s">
        <v>1957</v>
      </c>
    </row>
    <row r="820" customFormat="false" ht="34.5" hidden="false" customHeight="true" outlineLevel="0" collapsed="false">
      <c r="A820" s="10" t="s">
        <v>1960</v>
      </c>
      <c r="B820" s="10" t="s">
        <v>45</v>
      </c>
      <c r="C820" s="8" t="s">
        <v>1955</v>
      </c>
      <c r="D820" s="8" t="s">
        <v>1961</v>
      </c>
      <c r="E820" s="11" t="n">
        <v>137</v>
      </c>
      <c r="F820" s="8" t="str">
        <f aca="false">IFERROR(INDEX(Section_Master!$D$2:$D$477,MATCH($E820,Section_Master!$A$2:$A$477,0))&amp;"","")</f>
        <v>Imprisonment up to 7 years and fine [s.137(2)]</v>
      </c>
      <c r="G820" s="10" t="str">
        <f aca="false">IFERROR(INDEX(Section_Master!$E$2:$E$477,MATCH($E820,Section_Master!$A$2:$A$477,0))&amp;"","")</f>
        <v>Yes</v>
      </c>
      <c r="H820" s="10" t="str">
        <f aca="false">IFERROR(INDEX(Section_Master!$F$2:$F$477,MATCH($E820,Section_Master!$A$2:$A$477,0))&amp;"","")</f>
        <v>No</v>
      </c>
      <c r="I820" s="10" t="str">
        <f aca="false">IFERROR(INDEX(Section_Master!$G$2:$G$477,MATCH($E820,Section_Master!$A$2:$A$477,0))&amp;"","")</f>
        <v>No</v>
      </c>
      <c r="J820" s="10" t="s">
        <v>55</v>
      </c>
      <c r="K820" s="8" t="s">
        <v>1957</v>
      </c>
    </row>
    <row r="821" customFormat="false" ht="23.25" hidden="false" customHeight="true" outlineLevel="0" collapsed="false">
      <c r="A821" s="10" t="s">
        <v>1962</v>
      </c>
      <c r="B821" s="10" t="s">
        <v>45</v>
      </c>
      <c r="C821" s="8" t="s">
        <v>1955</v>
      </c>
      <c r="D821" s="8" t="s">
        <v>1963</v>
      </c>
      <c r="E821" s="11" t="n">
        <v>137</v>
      </c>
      <c r="F821" s="8" t="str">
        <f aca="false">IFERROR(INDEX(Section_Master!$D$2:$D$477,MATCH($E821,Section_Master!$A$2:$A$477,0))&amp;"","")</f>
        <v>Imprisonment up to 7 years and fine [s.137(2)]</v>
      </c>
      <c r="G821" s="10" t="str">
        <f aca="false">IFERROR(INDEX(Section_Master!$E$2:$E$477,MATCH($E821,Section_Master!$A$2:$A$477,0))&amp;"","")</f>
        <v>Yes</v>
      </c>
      <c r="H821" s="10" t="str">
        <f aca="false">IFERROR(INDEX(Section_Master!$F$2:$F$477,MATCH($E821,Section_Master!$A$2:$A$477,0))&amp;"","")</f>
        <v>No</v>
      </c>
      <c r="I821" s="10" t="str">
        <f aca="false">IFERROR(INDEX(Section_Master!$G$2:$G$477,MATCH($E821,Section_Master!$A$2:$A$477,0))&amp;"","")</f>
        <v>No</v>
      </c>
      <c r="J821" s="10" t="s">
        <v>58</v>
      </c>
      <c r="K821" s="8" t="s">
        <v>1957</v>
      </c>
    </row>
    <row r="822" customFormat="false" ht="34.5" hidden="false" customHeight="true" outlineLevel="0" collapsed="false">
      <c r="A822" s="10" t="s">
        <v>1964</v>
      </c>
      <c r="B822" s="10" t="s">
        <v>45</v>
      </c>
      <c r="C822" s="8" t="s">
        <v>1955</v>
      </c>
      <c r="D822" s="8" t="s">
        <v>1965</v>
      </c>
      <c r="E822" s="11" t="n">
        <v>137</v>
      </c>
      <c r="F822" s="8" t="str">
        <f aca="false">IFERROR(INDEX(Section_Master!$D$2:$D$477,MATCH($E822,Section_Master!$A$2:$A$477,0))&amp;"","")</f>
        <v>Imprisonment up to 7 years and fine [s.137(2)]</v>
      </c>
      <c r="G822" s="10" t="str">
        <f aca="false">IFERROR(INDEX(Section_Master!$E$2:$E$477,MATCH($E822,Section_Master!$A$2:$A$477,0))&amp;"","")</f>
        <v>Yes</v>
      </c>
      <c r="H822" s="10" t="str">
        <f aca="false">IFERROR(INDEX(Section_Master!$F$2:$F$477,MATCH($E822,Section_Master!$A$2:$A$477,0))&amp;"","")</f>
        <v>No</v>
      </c>
      <c r="I822" s="10" t="str">
        <f aca="false">IFERROR(INDEX(Section_Master!$G$2:$G$477,MATCH($E822,Section_Master!$A$2:$A$477,0))&amp;"","")</f>
        <v>No</v>
      </c>
      <c r="J822" s="10" t="s">
        <v>61</v>
      </c>
      <c r="K822" s="8" t="s">
        <v>1957</v>
      </c>
    </row>
    <row r="823" customFormat="false" ht="34.5" hidden="false" customHeight="true" outlineLevel="0" collapsed="false">
      <c r="A823" s="10" t="s">
        <v>1966</v>
      </c>
      <c r="B823" s="10" t="s">
        <v>45</v>
      </c>
      <c r="C823" s="8" t="s">
        <v>1955</v>
      </c>
      <c r="D823" s="8" t="s">
        <v>1967</v>
      </c>
      <c r="E823" s="11" t="n">
        <v>137</v>
      </c>
      <c r="F823" s="8" t="str">
        <f aca="false">IFERROR(INDEX(Section_Master!$D$2:$D$477,MATCH($E823,Section_Master!$A$2:$A$477,0))&amp;"","")</f>
        <v>Imprisonment up to 7 years and fine [s.137(2)]</v>
      </c>
      <c r="G823" s="10" t="str">
        <f aca="false">IFERROR(INDEX(Section_Master!$E$2:$E$477,MATCH($E823,Section_Master!$A$2:$A$477,0))&amp;"","")</f>
        <v>Yes</v>
      </c>
      <c r="H823" s="10" t="str">
        <f aca="false">IFERROR(INDEX(Section_Master!$F$2:$F$477,MATCH($E823,Section_Master!$A$2:$A$477,0))&amp;"","")</f>
        <v>No</v>
      </c>
      <c r="I823" s="10" t="str">
        <f aca="false">IFERROR(INDEX(Section_Master!$G$2:$G$477,MATCH($E823,Section_Master!$A$2:$A$477,0))&amp;"","")</f>
        <v>No</v>
      </c>
      <c r="J823" s="10" t="s">
        <v>64</v>
      </c>
      <c r="K823" s="8" t="s">
        <v>1957</v>
      </c>
    </row>
    <row r="824" customFormat="false" ht="34.5" hidden="false" customHeight="true" outlineLevel="0" collapsed="false">
      <c r="A824" s="10" t="s">
        <v>1968</v>
      </c>
      <c r="B824" s="10" t="s">
        <v>45</v>
      </c>
      <c r="C824" s="8" t="s">
        <v>1969</v>
      </c>
      <c r="D824" s="8" t="s">
        <v>1970</v>
      </c>
      <c r="E824" s="11" t="n">
        <v>138</v>
      </c>
      <c r="F824" s="8" t="str">
        <f aca="false">IFERROR(INDEX(Section_Master!$D$2:$D$477,MATCH($E824,Section_Master!$A$2:$A$477,0))&amp;"","")</f>
        <v>Not applicable - no offence or penalty defined here (definition, exception or general provision)</v>
      </c>
      <c r="G824" s="10" t="str">
        <f aca="false">IFERROR(INDEX(Section_Master!$E$2:$E$477,MATCH($E824,Section_Master!$A$2:$A$477,0))&amp;"","")</f>
        <v>N/A</v>
      </c>
      <c r="H824" s="10" t="str">
        <f aca="false">IFERROR(INDEX(Section_Master!$F$2:$F$477,MATCH($E824,Section_Master!$A$2:$A$477,0))&amp;"","")</f>
        <v>N/A</v>
      </c>
      <c r="I824" s="10" t="str">
        <f aca="false">IFERROR(INDEX(Section_Master!$G$2:$G$477,MATCH($E824,Section_Master!$A$2:$A$477,0))&amp;"","")</f>
        <v>N/A</v>
      </c>
      <c r="J824" s="10" t="s">
        <v>48</v>
      </c>
      <c r="K824" s="8" t="s">
        <v>1971</v>
      </c>
    </row>
    <row r="825" customFormat="false" ht="23.25" hidden="false" customHeight="true" outlineLevel="0" collapsed="false">
      <c r="A825" s="10" t="s">
        <v>1972</v>
      </c>
      <c r="B825" s="10" t="s">
        <v>45</v>
      </c>
      <c r="C825" s="8" t="s">
        <v>1969</v>
      </c>
      <c r="D825" s="8" t="s">
        <v>1973</v>
      </c>
      <c r="E825" s="11" t="n">
        <v>138</v>
      </c>
      <c r="F825" s="8" t="str">
        <f aca="false">IFERROR(INDEX(Section_Master!$D$2:$D$477,MATCH($E825,Section_Master!$A$2:$A$477,0))&amp;"","")</f>
        <v>Not applicable - no offence or penalty defined here (definition, exception or general provision)</v>
      </c>
      <c r="G825" s="10" t="str">
        <f aca="false">IFERROR(INDEX(Section_Master!$E$2:$E$477,MATCH($E825,Section_Master!$A$2:$A$477,0))&amp;"","")</f>
        <v>N/A</v>
      </c>
      <c r="H825" s="10" t="str">
        <f aca="false">IFERROR(INDEX(Section_Master!$F$2:$F$477,MATCH($E825,Section_Master!$A$2:$A$477,0))&amp;"","")</f>
        <v>N/A</v>
      </c>
      <c r="I825" s="10" t="str">
        <f aca="false">IFERROR(INDEX(Section_Master!$G$2:$G$477,MATCH($E825,Section_Master!$A$2:$A$477,0))&amp;"","")</f>
        <v>N/A</v>
      </c>
      <c r="J825" s="10" t="s">
        <v>52</v>
      </c>
      <c r="K825" s="8" t="s">
        <v>1971</v>
      </c>
    </row>
    <row r="826" customFormat="false" ht="23.25" hidden="false" customHeight="true" outlineLevel="0" collapsed="false">
      <c r="A826" s="10" t="s">
        <v>1974</v>
      </c>
      <c r="B826" s="10" t="s">
        <v>45</v>
      </c>
      <c r="C826" s="8" t="s">
        <v>1969</v>
      </c>
      <c r="D826" s="8" t="s">
        <v>1975</v>
      </c>
      <c r="E826" s="11" t="n">
        <v>138</v>
      </c>
      <c r="F826" s="8" t="str">
        <f aca="false">IFERROR(INDEX(Section_Master!$D$2:$D$477,MATCH($E826,Section_Master!$A$2:$A$477,0))&amp;"","")</f>
        <v>Not applicable - no offence or penalty defined here (definition, exception or general provision)</v>
      </c>
      <c r="G826" s="10" t="str">
        <f aca="false">IFERROR(INDEX(Section_Master!$E$2:$E$477,MATCH($E826,Section_Master!$A$2:$A$477,0))&amp;"","")</f>
        <v>N/A</v>
      </c>
      <c r="H826" s="10" t="str">
        <f aca="false">IFERROR(INDEX(Section_Master!$F$2:$F$477,MATCH($E826,Section_Master!$A$2:$A$477,0))&amp;"","")</f>
        <v>N/A</v>
      </c>
      <c r="I826" s="10" t="str">
        <f aca="false">IFERROR(INDEX(Section_Master!$G$2:$G$477,MATCH($E826,Section_Master!$A$2:$A$477,0))&amp;"","")</f>
        <v>N/A</v>
      </c>
      <c r="J826" s="10" t="s">
        <v>55</v>
      </c>
      <c r="K826" s="8" t="s">
        <v>1971</v>
      </c>
    </row>
    <row r="827" customFormat="false" ht="23.25" hidden="false" customHeight="true" outlineLevel="0" collapsed="false">
      <c r="A827" s="10" t="s">
        <v>1976</v>
      </c>
      <c r="B827" s="10" t="s">
        <v>45</v>
      </c>
      <c r="C827" s="8" t="s">
        <v>1969</v>
      </c>
      <c r="D827" s="8" t="s">
        <v>1977</v>
      </c>
      <c r="E827" s="11" t="n">
        <v>138</v>
      </c>
      <c r="F827" s="8" t="str">
        <f aca="false">IFERROR(INDEX(Section_Master!$D$2:$D$477,MATCH($E827,Section_Master!$A$2:$A$477,0))&amp;"","")</f>
        <v>Not applicable - no offence or penalty defined here (definition, exception or general provision)</v>
      </c>
      <c r="G827" s="10" t="str">
        <f aca="false">IFERROR(INDEX(Section_Master!$E$2:$E$477,MATCH($E827,Section_Master!$A$2:$A$477,0))&amp;"","")</f>
        <v>N/A</v>
      </c>
      <c r="H827" s="10" t="str">
        <f aca="false">IFERROR(INDEX(Section_Master!$F$2:$F$477,MATCH($E827,Section_Master!$A$2:$A$477,0))&amp;"","")</f>
        <v>N/A</v>
      </c>
      <c r="I827" s="10" t="str">
        <f aca="false">IFERROR(INDEX(Section_Master!$G$2:$G$477,MATCH($E827,Section_Master!$A$2:$A$477,0))&amp;"","")</f>
        <v>N/A</v>
      </c>
      <c r="J827" s="10" t="s">
        <v>58</v>
      </c>
      <c r="K827" s="8" t="s">
        <v>1971</v>
      </c>
    </row>
    <row r="828" customFormat="false" ht="23.25" hidden="false" customHeight="true" outlineLevel="0" collapsed="false">
      <c r="A828" s="10" t="s">
        <v>1978</v>
      </c>
      <c r="B828" s="10" t="s">
        <v>45</v>
      </c>
      <c r="C828" s="8" t="s">
        <v>1969</v>
      </c>
      <c r="D828" s="8" t="s">
        <v>1979</v>
      </c>
      <c r="E828" s="11" t="n">
        <v>138</v>
      </c>
      <c r="F828" s="8" t="str">
        <f aca="false">IFERROR(INDEX(Section_Master!$D$2:$D$477,MATCH($E828,Section_Master!$A$2:$A$477,0))&amp;"","")</f>
        <v>Not applicable - no offence or penalty defined here (definition, exception or general provision)</v>
      </c>
      <c r="G828" s="10" t="str">
        <f aca="false">IFERROR(INDEX(Section_Master!$E$2:$E$477,MATCH($E828,Section_Master!$A$2:$A$477,0))&amp;"","")</f>
        <v>N/A</v>
      </c>
      <c r="H828" s="10" t="str">
        <f aca="false">IFERROR(INDEX(Section_Master!$F$2:$F$477,MATCH($E828,Section_Master!$A$2:$A$477,0))&amp;"","")</f>
        <v>N/A</v>
      </c>
      <c r="I828" s="10" t="str">
        <f aca="false">IFERROR(INDEX(Section_Master!$G$2:$G$477,MATCH($E828,Section_Master!$A$2:$A$477,0))&amp;"","")</f>
        <v>N/A</v>
      </c>
      <c r="J828" s="10" t="s">
        <v>61</v>
      </c>
      <c r="K828" s="8" t="s">
        <v>1971</v>
      </c>
    </row>
    <row r="829" customFormat="false" ht="45.75" hidden="false" customHeight="true" outlineLevel="0" collapsed="false">
      <c r="A829" s="10" t="s">
        <v>1980</v>
      </c>
      <c r="B829" s="10" t="s">
        <v>45</v>
      </c>
      <c r="C829" s="8" t="s">
        <v>1969</v>
      </c>
      <c r="D829" s="8" t="s">
        <v>1981</v>
      </c>
      <c r="E829" s="11" t="n">
        <v>138</v>
      </c>
      <c r="F829" s="8" t="str">
        <f aca="false">IFERROR(INDEX(Section_Master!$D$2:$D$477,MATCH($E829,Section_Master!$A$2:$A$477,0))&amp;"","")</f>
        <v>Not applicable - no offence or penalty defined here (definition, exception or general provision)</v>
      </c>
      <c r="G829" s="10" t="str">
        <f aca="false">IFERROR(INDEX(Section_Master!$E$2:$E$477,MATCH($E829,Section_Master!$A$2:$A$477,0))&amp;"","")</f>
        <v>N/A</v>
      </c>
      <c r="H829" s="10" t="str">
        <f aca="false">IFERROR(INDEX(Section_Master!$F$2:$F$477,MATCH($E829,Section_Master!$A$2:$A$477,0))&amp;"","")</f>
        <v>N/A</v>
      </c>
      <c r="I829" s="10" t="str">
        <f aca="false">IFERROR(INDEX(Section_Master!$G$2:$G$477,MATCH($E829,Section_Master!$A$2:$A$477,0))&amp;"","")</f>
        <v>N/A</v>
      </c>
      <c r="J829" s="10" t="s">
        <v>64</v>
      </c>
      <c r="K829" s="8" t="s">
        <v>1971</v>
      </c>
    </row>
    <row r="830" customFormat="false" ht="34.5" hidden="false" customHeight="true" outlineLevel="0" collapsed="false">
      <c r="A830" s="10" t="s">
        <v>1982</v>
      </c>
      <c r="B830" s="10" t="s">
        <v>45</v>
      </c>
      <c r="C830" s="8" t="s">
        <v>1983</v>
      </c>
      <c r="D830" s="8" t="s">
        <v>1984</v>
      </c>
      <c r="E830" s="11" t="n">
        <v>139</v>
      </c>
      <c r="F830" s="8" t="str">
        <f aca="false">IFERROR(INDEX(Section_Master!$D$2:$D$477,MATCH($E830,Section_Master!$A$2:$A$477,0))&amp;"","")</f>
        <v>Rigorous imprisonment 10 years to life and fine (kidnapping); not less than 20 years to life (maiming) [s.139]</v>
      </c>
      <c r="G830" s="10" t="str">
        <f aca="false">IFERROR(INDEX(Section_Master!$E$2:$E$477,MATCH($E830,Section_Master!$A$2:$A$477,0))&amp;"","")</f>
        <v>Yes</v>
      </c>
      <c r="H830" s="10" t="str">
        <f aca="false">IFERROR(INDEX(Section_Master!$F$2:$F$477,MATCH($E830,Section_Master!$A$2:$A$477,0))&amp;"","")</f>
        <v>No</v>
      </c>
      <c r="I830" s="10" t="str">
        <f aca="false">IFERROR(INDEX(Section_Master!$G$2:$G$477,MATCH($E830,Section_Master!$A$2:$A$477,0))&amp;"","")</f>
        <v>No</v>
      </c>
      <c r="J830" s="10" t="s">
        <v>48</v>
      </c>
      <c r="K830" s="8" t="s">
        <v>1985</v>
      </c>
    </row>
    <row r="831" customFormat="false" ht="34.5" hidden="false" customHeight="true" outlineLevel="0" collapsed="false">
      <c r="A831" s="10" t="s">
        <v>1986</v>
      </c>
      <c r="B831" s="10" t="s">
        <v>45</v>
      </c>
      <c r="C831" s="8" t="s">
        <v>1983</v>
      </c>
      <c r="D831" s="8" t="s">
        <v>1987</v>
      </c>
      <c r="E831" s="11" t="n">
        <v>139</v>
      </c>
      <c r="F831" s="8" t="str">
        <f aca="false">IFERROR(INDEX(Section_Master!$D$2:$D$477,MATCH($E831,Section_Master!$A$2:$A$477,0))&amp;"","")</f>
        <v>Rigorous imprisonment 10 years to life and fine (kidnapping); not less than 20 years to life (maiming) [s.139]</v>
      </c>
      <c r="G831" s="10" t="str">
        <f aca="false">IFERROR(INDEX(Section_Master!$E$2:$E$477,MATCH($E831,Section_Master!$A$2:$A$477,0))&amp;"","")</f>
        <v>Yes</v>
      </c>
      <c r="H831" s="10" t="str">
        <f aca="false">IFERROR(INDEX(Section_Master!$F$2:$F$477,MATCH($E831,Section_Master!$A$2:$A$477,0))&amp;"","")</f>
        <v>No</v>
      </c>
      <c r="I831" s="10" t="str">
        <f aca="false">IFERROR(INDEX(Section_Master!$G$2:$G$477,MATCH($E831,Section_Master!$A$2:$A$477,0))&amp;"","")</f>
        <v>No</v>
      </c>
      <c r="J831" s="10" t="s">
        <v>52</v>
      </c>
      <c r="K831" s="8" t="s">
        <v>1985</v>
      </c>
    </row>
    <row r="832" customFormat="false" ht="34.5" hidden="false" customHeight="true" outlineLevel="0" collapsed="false">
      <c r="A832" s="10" t="s">
        <v>1988</v>
      </c>
      <c r="B832" s="10" t="s">
        <v>45</v>
      </c>
      <c r="C832" s="8" t="s">
        <v>1983</v>
      </c>
      <c r="D832" s="8" t="s">
        <v>1989</v>
      </c>
      <c r="E832" s="11" t="n">
        <v>139</v>
      </c>
      <c r="F832" s="8" t="str">
        <f aca="false">IFERROR(INDEX(Section_Master!$D$2:$D$477,MATCH($E832,Section_Master!$A$2:$A$477,0))&amp;"","")</f>
        <v>Rigorous imprisonment 10 years to life and fine (kidnapping); not less than 20 years to life (maiming) [s.139]</v>
      </c>
      <c r="G832" s="10" t="str">
        <f aca="false">IFERROR(INDEX(Section_Master!$E$2:$E$477,MATCH($E832,Section_Master!$A$2:$A$477,0))&amp;"","")</f>
        <v>Yes</v>
      </c>
      <c r="H832" s="10" t="str">
        <f aca="false">IFERROR(INDEX(Section_Master!$F$2:$F$477,MATCH($E832,Section_Master!$A$2:$A$477,0))&amp;"","")</f>
        <v>No</v>
      </c>
      <c r="I832" s="10" t="str">
        <f aca="false">IFERROR(INDEX(Section_Master!$G$2:$G$477,MATCH($E832,Section_Master!$A$2:$A$477,0))&amp;"","")</f>
        <v>No</v>
      </c>
      <c r="J832" s="10" t="s">
        <v>55</v>
      </c>
      <c r="K832" s="8" t="s">
        <v>1985</v>
      </c>
    </row>
    <row r="833" customFormat="false" ht="23.25" hidden="false" customHeight="true" outlineLevel="0" collapsed="false">
      <c r="A833" s="10" t="s">
        <v>1990</v>
      </c>
      <c r="B833" s="10" t="s">
        <v>45</v>
      </c>
      <c r="C833" s="8" t="s">
        <v>1983</v>
      </c>
      <c r="D833" s="8" t="s">
        <v>1991</v>
      </c>
      <c r="E833" s="11" t="n">
        <v>139</v>
      </c>
      <c r="F833" s="8" t="str">
        <f aca="false">IFERROR(INDEX(Section_Master!$D$2:$D$477,MATCH($E833,Section_Master!$A$2:$A$477,0))&amp;"","")</f>
        <v>Rigorous imprisonment 10 years to life and fine (kidnapping); not less than 20 years to life (maiming) [s.139]</v>
      </c>
      <c r="G833" s="10" t="str">
        <f aca="false">IFERROR(INDEX(Section_Master!$E$2:$E$477,MATCH($E833,Section_Master!$A$2:$A$477,0))&amp;"","")</f>
        <v>Yes</v>
      </c>
      <c r="H833" s="10" t="str">
        <f aca="false">IFERROR(INDEX(Section_Master!$F$2:$F$477,MATCH($E833,Section_Master!$A$2:$A$477,0))&amp;"","")</f>
        <v>No</v>
      </c>
      <c r="I833" s="10" t="str">
        <f aca="false">IFERROR(INDEX(Section_Master!$G$2:$G$477,MATCH($E833,Section_Master!$A$2:$A$477,0))&amp;"","")</f>
        <v>No</v>
      </c>
      <c r="J833" s="10" t="s">
        <v>58</v>
      </c>
      <c r="K833" s="8" t="s">
        <v>1985</v>
      </c>
    </row>
    <row r="834" customFormat="false" ht="23.25" hidden="false" customHeight="true" outlineLevel="0" collapsed="false">
      <c r="A834" s="10" t="s">
        <v>1992</v>
      </c>
      <c r="B834" s="10" t="s">
        <v>45</v>
      </c>
      <c r="C834" s="8" t="s">
        <v>1983</v>
      </c>
      <c r="D834" s="8" t="s">
        <v>1993</v>
      </c>
      <c r="E834" s="11" t="n">
        <v>139</v>
      </c>
      <c r="F834" s="8" t="str">
        <f aca="false">IFERROR(INDEX(Section_Master!$D$2:$D$477,MATCH($E834,Section_Master!$A$2:$A$477,0))&amp;"","")</f>
        <v>Rigorous imprisonment 10 years to life and fine (kidnapping); not less than 20 years to life (maiming) [s.139]</v>
      </c>
      <c r="G834" s="10" t="str">
        <f aca="false">IFERROR(INDEX(Section_Master!$E$2:$E$477,MATCH($E834,Section_Master!$A$2:$A$477,0))&amp;"","")</f>
        <v>Yes</v>
      </c>
      <c r="H834" s="10" t="str">
        <f aca="false">IFERROR(INDEX(Section_Master!$F$2:$F$477,MATCH($E834,Section_Master!$A$2:$A$477,0))&amp;"","")</f>
        <v>No</v>
      </c>
      <c r="I834" s="10" t="str">
        <f aca="false">IFERROR(INDEX(Section_Master!$G$2:$G$477,MATCH($E834,Section_Master!$A$2:$A$477,0))&amp;"","")</f>
        <v>No</v>
      </c>
      <c r="J834" s="10" t="s">
        <v>61</v>
      </c>
      <c r="K834" s="8" t="s">
        <v>1985</v>
      </c>
    </row>
    <row r="835" customFormat="false" ht="45.75" hidden="false" customHeight="true" outlineLevel="0" collapsed="false">
      <c r="A835" s="10" t="s">
        <v>1994</v>
      </c>
      <c r="B835" s="10" t="s">
        <v>45</v>
      </c>
      <c r="C835" s="8" t="s">
        <v>1983</v>
      </c>
      <c r="D835" s="8" t="s">
        <v>1995</v>
      </c>
      <c r="E835" s="11" t="n">
        <v>139</v>
      </c>
      <c r="F835" s="8" t="str">
        <f aca="false">IFERROR(INDEX(Section_Master!$D$2:$D$477,MATCH($E835,Section_Master!$A$2:$A$477,0))&amp;"","")</f>
        <v>Rigorous imprisonment 10 years to life and fine (kidnapping); not less than 20 years to life (maiming) [s.139]</v>
      </c>
      <c r="G835" s="10" t="str">
        <f aca="false">IFERROR(INDEX(Section_Master!$E$2:$E$477,MATCH($E835,Section_Master!$A$2:$A$477,0))&amp;"","")</f>
        <v>Yes</v>
      </c>
      <c r="H835" s="10" t="str">
        <f aca="false">IFERROR(INDEX(Section_Master!$F$2:$F$477,MATCH($E835,Section_Master!$A$2:$A$477,0))&amp;"","")</f>
        <v>No</v>
      </c>
      <c r="I835" s="10" t="str">
        <f aca="false">IFERROR(INDEX(Section_Master!$G$2:$G$477,MATCH($E835,Section_Master!$A$2:$A$477,0))&amp;"","")</f>
        <v>No</v>
      </c>
      <c r="J835" s="10" t="s">
        <v>64</v>
      </c>
      <c r="K835" s="8" t="s">
        <v>1985</v>
      </c>
    </row>
    <row r="836" customFormat="false" ht="34.5" hidden="false" customHeight="true" outlineLevel="0" collapsed="false">
      <c r="A836" s="10" t="s">
        <v>1996</v>
      </c>
      <c r="B836" s="10" t="s">
        <v>45</v>
      </c>
      <c r="C836" s="8" t="s">
        <v>1997</v>
      </c>
      <c r="D836" s="8" t="s">
        <v>1998</v>
      </c>
      <c r="E836" s="11" t="n">
        <v>140</v>
      </c>
      <c r="F836" s="8" t="str">
        <f aca="false">IFERROR(INDEX(Section_Master!$D$2:$D$477,MATCH($E836,Section_Master!$A$2:$A$477,0))&amp;"","")</f>
        <v>Imprisonment for life or up to 10 years and fine [s.140(1)]; death or life imprisonment and fine for ransom [s.140(2)]</v>
      </c>
      <c r="G836" s="10" t="str">
        <f aca="false">IFERROR(INDEX(Section_Master!$E$2:$E$477,MATCH($E836,Section_Master!$A$2:$A$477,0))&amp;"","")</f>
        <v>Yes</v>
      </c>
      <c r="H836" s="10" t="str">
        <f aca="false">IFERROR(INDEX(Section_Master!$F$2:$F$477,MATCH($E836,Section_Master!$A$2:$A$477,0))&amp;"","")</f>
        <v>No</v>
      </c>
      <c r="I836" s="10" t="str">
        <f aca="false">IFERROR(INDEX(Section_Master!$G$2:$G$477,MATCH($E836,Section_Master!$A$2:$A$477,0))&amp;"","")</f>
        <v>No</v>
      </c>
      <c r="J836" s="10" t="s">
        <v>48</v>
      </c>
      <c r="K836" s="8" t="s">
        <v>1999</v>
      </c>
    </row>
    <row r="837" customFormat="false" ht="45.75" hidden="false" customHeight="true" outlineLevel="0" collapsed="false">
      <c r="A837" s="10" t="s">
        <v>2000</v>
      </c>
      <c r="B837" s="10" t="s">
        <v>45</v>
      </c>
      <c r="C837" s="8" t="s">
        <v>1997</v>
      </c>
      <c r="D837" s="8" t="s">
        <v>2001</v>
      </c>
      <c r="E837" s="11" t="n">
        <v>140</v>
      </c>
      <c r="F837" s="8" t="str">
        <f aca="false">IFERROR(INDEX(Section_Master!$D$2:$D$477,MATCH($E837,Section_Master!$A$2:$A$477,0))&amp;"","")</f>
        <v>Imprisonment for life or up to 10 years and fine [s.140(1)]; death or life imprisonment and fine for ransom [s.140(2)]</v>
      </c>
      <c r="G837" s="10" t="str">
        <f aca="false">IFERROR(INDEX(Section_Master!$E$2:$E$477,MATCH($E837,Section_Master!$A$2:$A$477,0))&amp;"","")</f>
        <v>Yes</v>
      </c>
      <c r="H837" s="10" t="str">
        <f aca="false">IFERROR(INDEX(Section_Master!$F$2:$F$477,MATCH($E837,Section_Master!$A$2:$A$477,0))&amp;"","")</f>
        <v>No</v>
      </c>
      <c r="I837" s="10" t="str">
        <f aca="false">IFERROR(INDEX(Section_Master!$G$2:$G$477,MATCH($E837,Section_Master!$A$2:$A$477,0))&amp;"","")</f>
        <v>No</v>
      </c>
      <c r="J837" s="10" t="s">
        <v>52</v>
      </c>
      <c r="K837" s="8" t="s">
        <v>1999</v>
      </c>
    </row>
    <row r="838" customFormat="false" ht="34.5" hidden="false" customHeight="true" outlineLevel="0" collapsed="false">
      <c r="A838" s="10" t="s">
        <v>2002</v>
      </c>
      <c r="B838" s="10" t="s">
        <v>45</v>
      </c>
      <c r="C838" s="8" t="s">
        <v>1997</v>
      </c>
      <c r="D838" s="8" t="s">
        <v>2003</v>
      </c>
      <c r="E838" s="11" t="n">
        <v>140</v>
      </c>
      <c r="F838" s="8" t="str">
        <f aca="false">IFERROR(INDEX(Section_Master!$D$2:$D$477,MATCH($E838,Section_Master!$A$2:$A$477,0))&amp;"","")</f>
        <v>Imprisonment for life or up to 10 years and fine [s.140(1)]; death or life imprisonment and fine for ransom [s.140(2)]</v>
      </c>
      <c r="G838" s="10" t="str">
        <f aca="false">IFERROR(INDEX(Section_Master!$E$2:$E$477,MATCH($E838,Section_Master!$A$2:$A$477,0))&amp;"","")</f>
        <v>Yes</v>
      </c>
      <c r="H838" s="10" t="str">
        <f aca="false">IFERROR(INDEX(Section_Master!$F$2:$F$477,MATCH($E838,Section_Master!$A$2:$A$477,0))&amp;"","")</f>
        <v>No</v>
      </c>
      <c r="I838" s="10" t="str">
        <f aca="false">IFERROR(INDEX(Section_Master!$G$2:$G$477,MATCH($E838,Section_Master!$A$2:$A$477,0))&amp;"","")</f>
        <v>No</v>
      </c>
      <c r="J838" s="10" t="s">
        <v>55</v>
      </c>
      <c r="K838" s="8" t="s">
        <v>1999</v>
      </c>
    </row>
    <row r="839" customFormat="false" ht="23.25" hidden="false" customHeight="true" outlineLevel="0" collapsed="false">
      <c r="A839" s="10" t="s">
        <v>2004</v>
      </c>
      <c r="B839" s="10" t="s">
        <v>45</v>
      </c>
      <c r="C839" s="8" t="s">
        <v>1997</v>
      </c>
      <c r="D839" s="8" t="s">
        <v>2005</v>
      </c>
      <c r="E839" s="11" t="n">
        <v>140</v>
      </c>
      <c r="F839" s="8" t="str">
        <f aca="false">IFERROR(INDEX(Section_Master!$D$2:$D$477,MATCH($E839,Section_Master!$A$2:$A$477,0))&amp;"","")</f>
        <v>Imprisonment for life or up to 10 years and fine [s.140(1)]; death or life imprisonment and fine for ransom [s.140(2)]</v>
      </c>
      <c r="G839" s="10" t="str">
        <f aca="false">IFERROR(INDEX(Section_Master!$E$2:$E$477,MATCH($E839,Section_Master!$A$2:$A$477,0))&amp;"","")</f>
        <v>Yes</v>
      </c>
      <c r="H839" s="10" t="str">
        <f aca="false">IFERROR(INDEX(Section_Master!$F$2:$F$477,MATCH($E839,Section_Master!$A$2:$A$477,0))&amp;"","")</f>
        <v>No</v>
      </c>
      <c r="I839" s="10" t="str">
        <f aca="false">IFERROR(INDEX(Section_Master!$G$2:$G$477,MATCH($E839,Section_Master!$A$2:$A$477,0))&amp;"","")</f>
        <v>No</v>
      </c>
      <c r="J839" s="10" t="s">
        <v>58</v>
      </c>
      <c r="K839" s="8" t="s">
        <v>1999</v>
      </c>
    </row>
    <row r="840" customFormat="false" ht="34.5" hidden="false" customHeight="true" outlineLevel="0" collapsed="false">
      <c r="A840" s="10" t="s">
        <v>2006</v>
      </c>
      <c r="B840" s="10" t="s">
        <v>45</v>
      </c>
      <c r="C840" s="8" t="s">
        <v>1997</v>
      </c>
      <c r="D840" s="8" t="s">
        <v>2007</v>
      </c>
      <c r="E840" s="11" t="n">
        <v>140</v>
      </c>
      <c r="F840" s="8" t="str">
        <f aca="false">IFERROR(INDEX(Section_Master!$D$2:$D$477,MATCH($E840,Section_Master!$A$2:$A$477,0))&amp;"","")</f>
        <v>Imprisonment for life or up to 10 years and fine [s.140(1)]; death or life imprisonment and fine for ransom [s.140(2)]</v>
      </c>
      <c r="G840" s="10" t="str">
        <f aca="false">IFERROR(INDEX(Section_Master!$E$2:$E$477,MATCH($E840,Section_Master!$A$2:$A$477,0))&amp;"","")</f>
        <v>Yes</v>
      </c>
      <c r="H840" s="10" t="str">
        <f aca="false">IFERROR(INDEX(Section_Master!$F$2:$F$477,MATCH($E840,Section_Master!$A$2:$A$477,0))&amp;"","")</f>
        <v>No</v>
      </c>
      <c r="I840" s="10" t="str">
        <f aca="false">IFERROR(INDEX(Section_Master!$G$2:$G$477,MATCH($E840,Section_Master!$A$2:$A$477,0))&amp;"","")</f>
        <v>No</v>
      </c>
      <c r="J840" s="10" t="s">
        <v>61</v>
      </c>
      <c r="K840" s="8" t="s">
        <v>1999</v>
      </c>
    </row>
    <row r="841" customFormat="false" ht="34.5" hidden="false" customHeight="true" outlineLevel="0" collapsed="false">
      <c r="A841" s="10" t="s">
        <v>2008</v>
      </c>
      <c r="B841" s="10" t="s">
        <v>45</v>
      </c>
      <c r="C841" s="8" t="s">
        <v>1997</v>
      </c>
      <c r="D841" s="8" t="s">
        <v>2009</v>
      </c>
      <c r="E841" s="11" t="n">
        <v>140</v>
      </c>
      <c r="F841" s="8" t="str">
        <f aca="false">IFERROR(INDEX(Section_Master!$D$2:$D$477,MATCH($E841,Section_Master!$A$2:$A$477,0))&amp;"","")</f>
        <v>Imprisonment for life or up to 10 years and fine [s.140(1)]; death or life imprisonment and fine for ransom [s.140(2)]</v>
      </c>
      <c r="G841" s="10" t="str">
        <f aca="false">IFERROR(INDEX(Section_Master!$E$2:$E$477,MATCH($E841,Section_Master!$A$2:$A$477,0))&amp;"","")</f>
        <v>Yes</v>
      </c>
      <c r="H841" s="10" t="str">
        <f aca="false">IFERROR(INDEX(Section_Master!$F$2:$F$477,MATCH($E841,Section_Master!$A$2:$A$477,0))&amp;"","")</f>
        <v>No</v>
      </c>
      <c r="I841" s="10" t="str">
        <f aca="false">IFERROR(INDEX(Section_Master!$G$2:$G$477,MATCH($E841,Section_Master!$A$2:$A$477,0))&amp;"","")</f>
        <v>No</v>
      </c>
      <c r="J841" s="10" t="s">
        <v>64</v>
      </c>
      <c r="K841" s="8" t="s">
        <v>1999</v>
      </c>
    </row>
    <row r="842" customFormat="false" ht="34.5" hidden="false" customHeight="true" outlineLevel="0" collapsed="false">
      <c r="A842" s="10" t="s">
        <v>2010</v>
      </c>
      <c r="B842" s="10" t="s">
        <v>45</v>
      </c>
      <c r="C842" s="8" t="s">
        <v>2011</v>
      </c>
      <c r="D842" s="8" t="s">
        <v>2012</v>
      </c>
      <c r="E842" s="11" t="n">
        <v>141</v>
      </c>
      <c r="F842" s="8" t="str">
        <f aca="false">IFERROR(INDEX(Section_Master!$D$2:$D$477,MATCH($E842,Section_Master!$A$2:$A$477,0))&amp;"","")</f>
        <v>Imprisonment up to 10 years and fine</v>
      </c>
      <c r="G842" s="10" t="str">
        <f aca="false">IFERROR(INDEX(Section_Master!$E$2:$E$477,MATCH($E842,Section_Master!$A$2:$A$477,0))&amp;"","")</f>
        <v>Yes</v>
      </c>
      <c r="H842" s="10" t="str">
        <f aca="false">IFERROR(INDEX(Section_Master!$F$2:$F$477,MATCH($E842,Section_Master!$A$2:$A$477,0))&amp;"","")</f>
        <v>No</v>
      </c>
      <c r="I842" s="10" t="str">
        <f aca="false">IFERROR(INDEX(Section_Master!$G$2:$G$477,MATCH($E842,Section_Master!$A$2:$A$477,0))&amp;"","")</f>
        <v>No</v>
      </c>
      <c r="J842" s="10" t="s">
        <v>48</v>
      </c>
      <c r="K842" s="8" t="s">
        <v>2013</v>
      </c>
    </row>
    <row r="843" customFormat="false" ht="34.5" hidden="false" customHeight="true" outlineLevel="0" collapsed="false">
      <c r="A843" s="10" t="s">
        <v>2014</v>
      </c>
      <c r="B843" s="10" t="s">
        <v>45</v>
      </c>
      <c r="C843" s="8" t="s">
        <v>2011</v>
      </c>
      <c r="D843" s="8" t="s">
        <v>2015</v>
      </c>
      <c r="E843" s="11" t="n">
        <v>141</v>
      </c>
      <c r="F843" s="8" t="str">
        <f aca="false">IFERROR(INDEX(Section_Master!$D$2:$D$477,MATCH($E843,Section_Master!$A$2:$A$477,0))&amp;"","")</f>
        <v>Imprisonment up to 10 years and fine</v>
      </c>
      <c r="G843" s="10" t="str">
        <f aca="false">IFERROR(INDEX(Section_Master!$E$2:$E$477,MATCH($E843,Section_Master!$A$2:$A$477,0))&amp;"","")</f>
        <v>Yes</v>
      </c>
      <c r="H843" s="10" t="str">
        <f aca="false">IFERROR(INDEX(Section_Master!$F$2:$F$477,MATCH($E843,Section_Master!$A$2:$A$477,0))&amp;"","")</f>
        <v>No</v>
      </c>
      <c r="I843" s="10" t="str">
        <f aca="false">IFERROR(INDEX(Section_Master!$G$2:$G$477,MATCH($E843,Section_Master!$A$2:$A$477,0))&amp;"","")</f>
        <v>No</v>
      </c>
      <c r="J843" s="10" t="s">
        <v>52</v>
      </c>
      <c r="K843" s="8" t="s">
        <v>2013</v>
      </c>
    </row>
    <row r="844" customFormat="false" ht="34.5" hidden="false" customHeight="true" outlineLevel="0" collapsed="false">
      <c r="A844" s="10" t="s">
        <v>2016</v>
      </c>
      <c r="B844" s="10" t="s">
        <v>45</v>
      </c>
      <c r="C844" s="8" t="s">
        <v>2011</v>
      </c>
      <c r="D844" s="8" t="s">
        <v>2017</v>
      </c>
      <c r="E844" s="11" t="n">
        <v>141</v>
      </c>
      <c r="F844" s="8" t="str">
        <f aca="false">IFERROR(INDEX(Section_Master!$D$2:$D$477,MATCH($E844,Section_Master!$A$2:$A$477,0))&amp;"","")</f>
        <v>Imprisonment up to 10 years and fine</v>
      </c>
      <c r="G844" s="10" t="str">
        <f aca="false">IFERROR(INDEX(Section_Master!$E$2:$E$477,MATCH($E844,Section_Master!$A$2:$A$477,0))&amp;"","")</f>
        <v>Yes</v>
      </c>
      <c r="H844" s="10" t="str">
        <f aca="false">IFERROR(INDEX(Section_Master!$F$2:$F$477,MATCH($E844,Section_Master!$A$2:$A$477,0))&amp;"","")</f>
        <v>No</v>
      </c>
      <c r="I844" s="10" t="str">
        <f aca="false">IFERROR(INDEX(Section_Master!$G$2:$G$477,MATCH($E844,Section_Master!$A$2:$A$477,0))&amp;"","")</f>
        <v>No</v>
      </c>
      <c r="J844" s="10" t="s">
        <v>55</v>
      </c>
      <c r="K844" s="8" t="s">
        <v>2013</v>
      </c>
    </row>
    <row r="845" customFormat="false" ht="23.25" hidden="false" customHeight="true" outlineLevel="0" collapsed="false">
      <c r="A845" s="10" t="s">
        <v>2018</v>
      </c>
      <c r="B845" s="10" t="s">
        <v>45</v>
      </c>
      <c r="C845" s="8" t="s">
        <v>2011</v>
      </c>
      <c r="D845" s="8" t="s">
        <v>2019</v>
      </c>
      <c r="E845" s="11" t="n">
        <v>141</v>
      </c>
      <c r="F845" s="8" t="str">
        <f aca="false">IFERROR(INDEX(Section_Master!$D$2:$D$477,MATCH($E845,Section_Master!$A$2:$A$477,0))&amp;"","")</f>
        <v>Imprisonment up to 10 years and fine</v>
      </c>
      <c r="G845" s="10" t="str">
        <f aca="false">IFERROR(INDEX(Section_Master!$E$2:$E$477,MATCH($E845,Section_Master!$A$2:$A$477,0))&amp;"","")</f>
        <v>Yes</v>
      </c>
      <c r="H845" s="10" t="str">
        <f aca="false">IFERROR(INDEX(Section_Master!$F$2:$F$477,MATCH($E845,Section_Master!$A$2:$A$477,0))&amp;"","")</f>
        <v>No</v>
      </c>
      <c r="I845" s="10" t="str">
        <f aca="false">IFERROR(INDEX(Section_Master!$G$2:$G$477,MATCH($E845,Section_Master!$A$2:$A$477,0))&amp;"","")</f>
        <v>No</v>
      </c>
      <c r="J845" s="10" t="s">
        <v>58</v>
      </c>
      <c r="K845" s="8" t="s">
        <v>2013</v>
      </c>
    </row>
    <row r="846" customFormat="false" ht="34.5" hidden="false" customHeight="true" outlineLevel="0" collapsed="false">
      <c r="A846" s="10" t="s">
        <v>2020</v>
      </c>
      <c r="B846" s="10" t="s">
        <v>45</v>
      </c>
      <c r="C846" s="8" t="s">
        <v>2011</v>
      </c>
      <c r="D846" s="8" t="s">
        <v>2021</v>
      </c>
      <c r="E846" s="11" t="n">
        <v>141</v>
      </c>
      <c r="F846" s="8" t="str">
        <f aca="false">IFERROR(INDEX(Section_Master!$D$2:$D$477,MATCH($E846,Section_Master!$A$2:$A$477,0))&amp;"","")</f>
        <v>Imprisonment up to 10 years and fine</v>
      </c>
      <c r="G846" s="10" t="str">
        <f aca="false">IFERROR(INDEX(Section_Master!$E$2:$E$477,MATCH($E846,Section_Master!$A$2:$A$477,0))&amp;"","")</f>
        <v>Yes</v>
      </c>
      <c r="H846" s="10" t="str">
        <f aca="false">IFERROR(INDEX(Section_Master!$F$2:$F$477,MATCH($E846,Section_Master!$A$2:$A$477,0))&amp;"","")</f>
        <v>No</v>
      </c>
      <c r="I846" s="10" t="str">
        <f aca="false">IFERROR(INDEX(Section_Master!$G$2:$G$477,MATCH($E846,Section_Master!$A$2:$A$477,0))&amp;"","")</f>
        <v>No</v>
      </c>
      <c r="J846" s="10" t="s">
        <v>61</v>
      </c>
      <c r="K846" s="8" t="s">
        <v>2013</v>
      </c>
    </row>
    <row r="847" customFormat="false" ht="45.75" hidden="false" customHeight="true" outlineLevel="0" collapsed="false">
      <c r="A847" s="10" t="s">
        <v>2022</v>
      </c>
      <c r="B847" s="10" t="s">
        <v>45</v>
      </c>
      <c r="C847" s="8" t="s">
        <v>2011</v>
      </c>
      <c r="D847" s="8" t="s">
        <v>2023</v>
      </c>
      <c r="E847" s="11" t="n">
        <v>141</v>
      </c>
      <c r="F847" s="8" t="str">
        <f aca="false">IFERROR(INDEX(Section_Master!$D$2:$D$477,MATCH($E847,Section_Master!$A$2:$A$477,0))&amp;"","")</f>
        <v>Imprisonment up to 10 years and fine</v>
      </c>
      <c r="G847" s="10" t="str">
        <f aca="false">IFERROR(INDEX(Section_Master!$E$2:$E$477,MATCH($E847,Section_Master!$A$2:$A$477,0))&amp;"","")</f>
        <v>Yes</v>
      </c>
      <c r="H847" s="10" t="str">
        <f aca="false">IFERROR(INDEX(Section_Master!$F$2:$F$477,MATCH($E847,Section_Master!$A$2:$A$477,0))&amp;"","")</f>
        <v>No</v>
      </c>
      <c r="I847" s="10" t="str">
        <f aca="false">IFERROR(INDEX(Section_Master!$G$2:$G$477,MATCH($E847,Section_Master!$A$2:$A$477,0))&amp;"","")</f>
        <v>No</v>
      </c>
      <c r="J847" s="10" t="s">
        <v>64</v>
      </c>
      <c r="K847" s="8" t="s">
        <v>2013</v>
      </c>
    </row>
    <row r="848" customFormat="false" ht="34.5" hidden="false" customHeight="true" outlineLevel="0" collapsed="false">
      <c r="A848" s="10" t="s">
        <v>2024</v>
      </c>
      <c r="B848" s="10" t="s">
        <v>45</v>
      </c>
      <c r="C848" s="8" t="s">
        <v>2025</v>
      </c>
      <c r="D848" s="8" t="s">
        <v>2026</v>
      </c>
      <c r="E848" s="11" t="n">
        <v>142</v>
      </c>
      <c r="F848" s="8" t="str">
        <f aca="false">IFERROR(INDEX(Section_Master!$D$2:$D$477,MATCH($E848,Section_Master!$A$2:$A$477,0))&amp;"","")</f>
        <v>Same punishment as for the kidnapping or abduction concealed</v>
      </c>
      <c r="G848" s="10" t="str">
        <f aca="false">IFERROR(INDEX(Section_Master!$E$2:$E$477,MATCH($E848,Section_Master!$A$2:$A$477,0))&amp;"","")</f>
        <v>Yes</v>
      </c>
      <c r="H848" s="10" t="str">
        <f aca="false">IFERROR(INDEX(Section_Master!$F$2:$F$477,MATCH($E848,Section_Master!$A$2:$A$477,0))&amp;"","")</f>
        <v>No</v>
      </c>
      <c r="I848" s="10" t="str">
        <f aca="false">IFERROR(INDEX(Section_Master!$G$2:$G$477,MATCH($E848,Section_Master!$A$2:$A$477,0))&amp;"","")</f>
        <v>No</v>
      </c>
      <c r="J848" s="10" t="s">
        <v>48</v>
      </c>
      <c r="K848" s="8" t="s">
        <v>2027</v>
      </c>
    </row>
    <row r="849" customFormat="false" ht="34.5" hidden="false" customHeight="true" outlineLevel="0" collapsed="false">
      <c r="A849" s="10" t="s">
        <v>2028</v>
      </c>
      <c r="B849" s="10" t="s">
        <v>45</v>
      </c>
      <c r="C849" s="8" t="s">
        <v>2025</v>
      </c>
      <c r="D849" s="8" t="s">
        <v>2029</v>
      </c>
      <c r="E849" s="11" t="n">
        <v>142</v>
      </c>
      <c r="F849" s="8" t="str">
        <f aca="false">IFERROR(INDEX(Section_Master!$D$2:$D$477,MATCH($E849,Section_Master!$A$2:$A$477,0))&amp;"","")</f>
        <v>Same punishment as for the kidnapping or abduction concealed</v>
      </c>
      <c r="G849" s="10" t="str">
        <f aca="false">IFERROR(INDEX(Section_Master!$E$2:$E$477,MATCH($E849,Section_Master!$A$2:$A$477,0))&amp;"","")</f>
        <v>Yes</v>
      </c>
      <c r="H849" s="10" t="str">
        <f aca="false">IFERROR(INDEX(Section_Master!$F$2:$F$477,MATCH($E849,Section_Master!$A$2:$A$477,0))&amp;"","")</f>
        <v>No</v>
      </c>
      <c r="I849" s="10" t="str">
        <f aca="false">IFERROR(INDEX(Section_Master!$G$2:$G$477,MATCH($E849,Section_Master!$A$2:$A$477,0))&amp;"","")</f>
        <v>No</v>
      </c>
      <c r="J849" s="10" t="s">
        <v>52</v>
      </c>
      <c r="K849" s="8" t="s">
        <v>2027</v>
      </c>
    </row>
    <row r="850" customFormat="false" ht="34.5" hidden="false" customHeight="true" outlineLevel="0" collapsed="false">
      <c r="A850" s="10" t="s">
        <v>2030</v>
      </c>
      <c r="B850" s="10" t="s">
        <v>45</v>
      </c>
      <c r="C850" s="8" t="s">
        <v>2025</v>
      </c>
      <c r="D850" s="8" t="s">
        <v>2031</v>
      </c>
      <c r="E850" s="11" t="n">
        <v>142</v>
      </c>
      <c r="F850" s="8" t="str">
        <f aca="false">IFERROR(INDEX(Section_Master!$D$2:$D$477,MATCH($E850,Section_Master!$A$2:$A$477,0))&amp;"","")</f>
        <v>Same punishment as for the kidnapping or abduction concealed</v>
      </c>
      <c r="G850" s="10" t="str">
        <f aca="false">IFERROR(INDEX(Section_Master!$E$2:$E$477,MATCH($E850,Section_Master!$A$2:$A$477,0))&amp;"","")</f>
        <v>Yes</v>
      </c>
      <c r="H850" s="10" t="str">
        <f aca="false">IFERROR(INDEX(Section_Master!$F$2:$F$477,MATCH($E850,Section_Master!$A$2:$A$477,0))&amp;"","")</f>
        <v>No</v>
      </c>
      <c r="I850" s="10" t="str">
        <f aca="false">IFERROR(INDEX(Section_Master!$G$2:$G$477,MATCH($E850,Section_Master!$A$2:$A$477,0))&amp;"","")</f>
        <v>No</v>
      </c>
      <c r="J850" s="10" t="s">
        <v>55</v>
      </c>
      <c r="K850" s="8" t="s">
        <v>2027</v>
      </c>
    </row>
    <row r="851" customFormat="false" ht="34.5" hidden="false" customHeight="true" outlineLevel="0" collapsed="false">
      <c r="A851" s="10" t="s">
        <v>2032</v>
      </c>
      <c r="B851" s="10" t="s">
        <v>45</v>
      </c>
      <c r="C851" s="8" t="s">
        <v>2025</v>
      </c>
      <c r="D851" s="8" t="s">
        <v>2033</v>
      </c>
      <c r="E851" s="11" t="n">
        <v>142</v>
      </c>
      <c r="F851" s="8" t="str">
        <f aca="false">IFERROR(INDEX(Section_Master!$D$2:$D$477,MATCH($E851,Section_Master!$A$2:$A$477,0))&amp;"","")</f>
        <v>Same punishment as for the kidnapping or abduction concealed</v>
      </c>
      <c r="G851" s="10" t="str">
        <f aca="false">IFERROR(INDEX(Section_Master!$E$2:$E$477,MATCH($E851,Section_Master!$A$2:$A$477,0))&amp;"","")</f>
        <v>Yes</v>
      </c>
      <c r="H851" s="10" t="str">
        <f aca="false">IFERROR(INDEX(Section_Master!$F$2:$F$477,MATCH($E851,Section_Master!$A$2:$A$477,0))&amp;"","")</f>
        <v>No</v>
      </c>
      <c r="I851" s="10" t="str">
        <f aca="false">IFERROR(INDEX(Section_Master!$G$2:$G$477,MATCH($E851,Section_Master!$A$2:$A$477,0))&amp;"","")</f>
        <v>No</v>
      </c>
      <c r="J851" s="10" t="s">
        <v>58</v>
      </c>
      <c r="K851" s="8" t="s">
        <v>2027</v>
      </c>
    </row>
    <row r="852" customFormat="false" ht="34.5" hidden="false" customHeight="true" outlineLevel="0" collapsed="false">
      <c r="A852" s="10" t="s">
        <v>2034</v>
      </c>
      <c r="B852" s="10" t="s">
        <v>45</v>
      </c>
      <c r="C852" s="8" t="s">
        <v>2025</v>
      </c>
      <c r="D852" s="8" t="s">
        <v>2035</v>
      </c>
      <c r="E852" s="11" t="n">
        <v>142</v>
      </c>
      <c r="F852" s="8" t="str">
        <f aca="false">IFERROR(INDEX(Section_Master!$D$2:$D$477,MATCH($E852,Section_Master!$A$2:$A$477,0))&amp;"","")</f>
        <v>Same punishment as for the kidnapping or abduction concealed</v>
      </c>
      <c r="G852" s="10" t="str">
        <f aca="false">IFERROR(INDEX(Section_Master!$E$2:$E$477,MATCH($E852,Section_Master!$A$2:$A$477,0))&amp;"","")</f>
        <v>Yes</v>
      </c>
      <c r="H852" s="10" t="str">
        <f aca="false">IFERROR(INDEX(Section_Master!$F$2:$F$477,MATCH($E852,Section_Master!$A$2:$A$477,0))&amp;"","")</f>
        <v>No</v>
      </c>
      <c r="I852" s="10" t="str">
        <f aca="false">IFERROR(INDEX(Section_Master!$G$2:$G$477,MATCH($E852,Section_Master!$A$2:$A$477,0))&amp;"","")</f>
        <v>No</v>
      </c>
      <c r="J852" s="10" t="s">
        <v>61</v>
      </c>
      <c r="K852" s="8" t="s">
        <v>2027</v>
      </c>
    </row>
    <row r="853" customFormat="false" ht="34.5" hidden="false" customHeight="true" outlineLevel="0" collapsed="false">
      <c r="A853" s="10" t="s">
        <v>2036</v>
      </c>
      <c r="B853" s="10" t="s">
        <v>45</v>
      </c>
      <c r="C853" s="8" t="s">
        <v>2025</v>
      </c>
      <c r="D853" s="8" t="s">
        <v>2037</v>
      </c>
      <c r="E853" s="11" t="n">
        <v>142</v>
      </c>
      <c r="F853" s="8" t="str">
        <f aca="false">IFERROR(INDEX(Section_Master!$D$2:$D$477,MATCH($E853,Section_Master!$A$2:$A$477,0))&amp;"","")</f>
        <v>Same punishment as for the kidnapping or abduction concealed</v>
      </c>
      <c r="G853" s="10" t="str">
        <f aca="false">IFERROR(INDEX(Section_Master!$E$2:$E$477,MATCH($E853,Section_Master!$A$2:$A$477,0))&amp;"","")</f>
        <v>Yes</v>
      </c>
      <c r="H853" s="10" t="str">
        <f aca="false">IFERROR(INDEX(Section_Master!$F$2:$F$477,MATCH($E853,Section_Master!$A$2:$A$477,0))&amp;"","")</f>
        <v>No</v>
      </c>
      <c r="I853" s="10" t="str">
        <f aca="false">IFERROR(INDEX(Section_Master!$G$2:$G$477,MATCH($E853,Section_Master!$A$2:$A$477,0))&amp;"","")</f>
        <v>No</v>
      </c>
      <c r="J853" s="10" t="s">
        <v>64</v>
      </c>
      <c r="K853" s="8" t="s">
        <v>2027</v>
      </c>
    </row>
    <row r="854" customFormat="false" ht="45.75" hidden="false" customHeight="true" outlineLevel="0" collapsed="false">
      <c r="A854" s="10" t="s">
        <v>2038</v>
      </c>
      <c r="B854" s="10" t="s">
        <v>45</v>
      </c>
      <c r="C854" s="8" t="s">
        <v>2039</v>
      </c>
      <c r="D854" s="8" t="s">
        <v>2040</v>
      </c>
      <c r="E854" s="11" t="n">
        <v>143</v>
      </c>
      <c r="F854" s="8" t="str">
        <f aca="false">IFERROR(INDEX(Section_Master!$D$2:$D$477,MATCH($E854,Section_Master!$A$2:$A$477,0))&amp;"","")</f>
        <v>Rigorous imprisonment 7 to 10 years and fine; more serious terms (up to life) for multiple or minor victims [s.143]</v>
      </c>
      <c r="G854" s="10" t="str">
        <f aca="false">IFERROR(INDEX(Section_Master!$E$2:$E$477,MATCH($E854,Section_Master!$A$2:$A$477,0))&amp;"","")</f>
        <v>Yes</v>
      </c>
      <c r="H854" s="10" t="str">
        <f aca="false">IFERROR(INDEX(Section_Master!$F$2:$F$477,MATCH($E854,Section_Master!$A$2:$A$477,0))&amp;"","")</f>
        <v>No</v>
      </c>
      <c r="I854" s="10" t="str">
        <f aca="false">IFERROR(INDEX(Section_Master!$G$2:$G$477,MATCH($E854,Section_Master!$A$2:$A$477,0))&amp;"","")</f>
        <v>No</v>
      </c>
      <c r="J854" s="10" t="s">
        <v>48</v>
      </c>
      <c r="K854" s="8" t="s">
        <v>2041</v>
      </c>
    </row>
    <row r="855" customFormat="false" ht="45.75" hidden="false" customHeight="true" outlineLevel="0" collapsed="false">
      <c r="A855" s="10" t="s">
        <v>2042</v>
      </c>
      <c r="B855" s="10" t="s">
        <v>45</v>
      </c>
      <c r="C855" s="8" t="s">
        <v>2039</v>
      </c>
      <c r="D855" s="8" t="s">
        <v>2043</v>
      </c>
      <c r="E855" s="11" t="n">
        <v>143</v>
      </c>
      <c r="F855" s="8" t="str">
        <f aca="false">IFERROR(INDEX(Section_Master!$D$2:$D$477,MATCH($E855,Section_Master!$A$2:$A$477,0))&amp;"","")</f>
        <v>Rigorous imprisonment 7 to 10 years and fine; more serious terms (up to life) for multiple or minor victims [s.143]</v>
      </c>
      <c r="G855" s="10" t="str">
        <f aca="false">IFERROR(INDEX(Section_Master!$E$2:$E$477,MATCH($E855,Section_Master!$A$2:$A$477,0))&amp;"","")</f>
        <v>Yes</v>
      </c>
      <c r="H855" s="10" t="str">
        <f aca="false">IFERROR(INDEX(Section_Master!$F$2:$F$477,MATCH($E855,Section_Master!$A$2:$A$477,0))&amp;"","")</f>
        <v>No</v>
      </c>
      <c r="I855" s="10" t="str">
        <f aca="false">IFERROR(INDEX(Section_Master!$G$2:$G$477,MATCH($E855,Section_Master!$A$2:$A$477,0))&amp;"","")</f>
        <v>No</v>
      </c>
      <c r="J855" s="10" t="s">
        <v>52</v>
      </c>
      <c r="K855" s="8" t="s">
        <v>2041</v>
      </c>
    </row>
    <row r="856" customFormat="false" ht="34.5" hidden="false" customHeight="true" outlineLevel="0" collapsed="false">
      <c r="A856" s="10" t="s">
        <v>2044</v>
      </c>
      <c r="B856" s="10" t="s">
        <v>45</v>
      </c>
      <c r="C856" s="8" t="s">
        <v>2039</v>
      </c>
      <c r="D856" s="8" t="s">
        <v>2045</v>
      </c>
      <c r="E856" s="11" t="n">
        <v>143</v>
      </c>
      <c r="F856" s="8" t="str">
        <f aca="false">IFERROR(INDEX(Section_Master!$D$2:$D$477,MATCH($E856,Section_Master!$A$2:$A$477,0))&amp;"","")</f>
        <v>Rigorous imprisonment 7 to 10 years and fine; more serious terms (up to life) for multiple or minor victims [s.143]</v>
      </c>
      <c r="G856" s="10" t="str">
        <f aca="false">IFERROR(INDEX(Section_Master!$E$2:$E$477,MATCH($E856,Section_Master!$A$2:$A$477,0))&amp;"","")</f>
        <v>Yes</v>
      </c>
      <c r="H856" s="10" t="str">
        <f aca="false">IFERROR(INDEX(Section_Master!$F$2:$F$477,MATCH($E856,Section_Master!$A$2:$A$477,0))&amp;"","")</f>
        <v>No</v>
      </c>
      <c r="I856" s="10" t="str">
        <f aca="false">IFERROR(INDEX(Section_Master!$G$2:$G$477,MATCH($E856,Section_Master!$A$2:$A$477,0))&amp;"","")</f>
        <v>No</v>
      </c>
      <c r="J856" s="10" t="s">
        <v>55</v>
      </c>
      <c r="K856" s="8" t="s">
        <v>2041</v>
      </c>
    </row>
    <row r="857" customFormat="false" ht="23.25" hidden="false" customHeight="true" outlineLevel="0" collapsed="false">
      <c r="A857" s="10" t="s">
        <v>2046</v>
      </c>
      <c r="B857" s="10" t="s">
        <v>45</v>
      </c>
      <c r="C857" s="8" t="s">
        <v>2039</v>
      </c>
      <c r="D857" s="8" t="s">
        <v>2047</v>
      </c>
      <c r="E857" s="11" t="n">
        <v>143</v>
      </c>
      <c r="F857" s="8" t="str">
        <f aca="false">IFERROR(INDEX(Section_Master!$D$2:$D$477,MATCH($E857,Section_Master!$A$2:$A$477,0))&amp;"","")</f>
        <v>Rigorous imprisonment 7 to 10 years and fine; more serious terms (up to life) for multiple or minor victims [s.143]</v>
      </c>
      <c r="G857" s="10" t="str">
        <f aca="false">IFERROR(INDEX(Section_Master!$E$2:$E$477,MATCH($E857,Section_Master!$A$2:$A$477,0))&amp;"","")</f>
        <v>Yes</v>
      </c>
      <c r="H857" s="10" t="str">
        <f aca="false">IFERROR(INDEX(Section_Master!$F$2:$F$477,MATCH($E857,Section_Master!$A$2:$A$477,0))&amp;"","")</f>
        <v>No</v>
      </c>
      <c r="I857" s="10" t="str">
        <f aca="false">IFERROR(INDEX(Section_Master!$G$2:$G$477,MATCH($E857,Section_Master!$A$2:$A$477,0))&amp;"","")</f>
        <v>No</v>
      </c>
      <c r="J857" s="10" t="s">
        <v>58</v>
      </c>
      <c r="K857" s="8" t="s">
        <v>2041</v>
      </c>
    </row>
    <row r="858" customFormat="false" ht="23.25" hidden="false" customHeight="true" outlineLevel="0" collapsed="false">
      <c r="A858" s="10" t="s">
        <v>2048</v>
      </c>
      <c r="B858" s="10" t="s">
        <v>45</v>
      </c>
      <c r="C858" s="8" t="s">
        <v>2039</v>
      </c>
      <c r="D858" s="8" t="s">
        <v>2049</v>
      </c>
      <c r="E858" s="11" t="n">
        <v>143</v>
      </c>
      <c r="F858" s="8" t="str">
        <f aca="false">IFERROR(INDEX(Section_Master!$D$2:$D$477,MATCH($E858,Section_Master!$A$2:$A$477,0))&amp;"","")</f>
        <v>Rigorous imprisonment 7 to 10 years and fine; more serious terms (up to life) for multiple or minor victims [s.143]</v>
      </c>
      <c r="G858" s="10" t="str">
        <f aca="false">IFERROR(INDEX(Section_Master!$E$2:$E$477,MATCH($E858,Section_Master!$A$2:$A$477,0))&amp;"","")</f>
        <v>Yes</v>
      </c>
      <c r="H858" s="10" t="str">
        <f aca="false">IFERROR(INDEX(Section_Master!$F$2:$F$477,MATCH($E858,Section_Master!$A$2:$A$477,0))&amp;"","")</f>
        <v>No</v>
      </c>
      <c r="I858" s="10" t="str">
        <f aca="false">IFERROR(INDEX(Section_Master!$G$2:$G$477,MATCH($E858,Section_Master!$A$2:$A$477,0))&amp;"","")</f>
        <v>No</v>
      </c>
      <c r="J858" s="10" t="s">
        <v>61</v>
      </c>
      <c r="K858" s="8" t="s">
        <v>2041</v>
      </c>
    </row>
    <row r="859" customFormat="false" ht="34.5" hidden="false" customHeight="true" outlineLevel="0" collapsed="false">
      <c r="A859" s="10" t="s">
        <v>2050</v>
      </c>
      <c r="B859" s="10" t="s">
        <v>45</v>
      </c>
      <c r="C859" s="8" t="s">
        <v>2039</v>
      </c>
      <c r="D859" s="8" t="s">
        <v>2051</v>
      </c>
      <c r="E859" s="11" t="n">
        <v>143</v>
      </c>
      <c r="F859" s="8" t="str">
        <f aca="false">IFERROR(INDEX(Section_Master!$D$2:$D$477,MATCH($E859,Section_Master!$A$2:$A$477,0))&amp;"","")</f>
        <v>Rigorous imprisonment 7 to 10 years and fine; more serious terms (up to life) for multiple or minor victims [s.143]</v>
      </c>
      <c r="G859" s="10" t="str">
        <f aca="false">IFERROR(INDEX(Section_Master!$E$2:$E$477,MATCH($E859,Section_Master!$A$2:$A$477,0))&amp;"","")</f>
        <v>Yes</v>
      </c>
      <c r="H859" s="10" t="str">
        <f aca="false">IFERROR(INDEX(Section_Master!$F$2:$F$477,MATCH($E859,Section_Master!$A$2:$A$477,0))&amp;"","")</f>
        <v>No</v>
      </c>
      <c r="I859" s="10" t="str">
        <f aca="false">IFERROR(INDEX(Section_Master!$G$2:$G$477,MATCH($E859,Section_Master!$A$2:$A$477,0))&amp;"","")</f>
        <v>No</v>
      </c>
      <c r="J859" s="10" t="s">
        <v>64</v>
      </c>
      <c r="K859" s="8" t="s">
        <v>2041</v>
      </c>
    </row>
    <row r="860" customFormat="false" ht="34.5" hidden="false" customHeight="true" outlineLevel="0" collapsed="false">
      <c r="A860" s="10" t="s">
        <v>2052</v>
      </c>
      <c r="B860" s="10" t="s">
        <v>45</v>
      </c>
      <c r="C860" s="8" t="s">
        <v>2053</v>
      </c>
      <c r="D860" s="8" t="s">
        <v>2054</v>
      </c>
      <c r="E860" s="11" t="n">
        <v>144</v>
      </c>
      <c r="F860" s="8" t="str">
        <f aca="false">IFERROR(INDEX(Section_Master!$D$2:$D$477,MATCH($E860,Section_Master!$A$2:$A$477,0))&amp;"","")</f>
        <v>Rigorous imprisonment 5 to 7 years and fine; 5 to 10 years if victim is a minor [s.144]</v>
      </c>
      <c r="G860" s="10" t="str">
        <f aca="false">IFERROR(INDEX(Section_Master!$E$2:$E$477,MATCH($E860,Section_Master!$A$2:$A$477,0))&amp;"","")</f>
        <v>Yes</v>
      </c>
      <c r="H860" s="10" t="str">
        <f aca="false">IFERROR(INDEX(Section_Master!$F$2:$F$477,MATCH($E860,Section_Master!$A$2:$A$477,0))&amp;"","")</f>
        <v>No</v>
      </c>
      <c r="I860" s="10" t="str">
        <f aca="false">IFERROR(INDEX(Section_Master!$G$2:$G$477,MATCH($E860,Section_Master!$A$2:$A$477,0))&amp;"","")</f>
        <v>No</v>
      </c>
      <c r="J860" s="10" t="s">
        <v>48</v>
      </c>
      <c r="K860" s="8" t="s">
        <v>2055</v>
      </c>
    </row>
    <row r="861" customFormat="false" ht="45.75" hidden="false" customHeight="true" outlineLevel="0" collapsed="false">
      <c r="A861" s="10" t="s">
        <v>2056</v>
      </c>
      <c r="B861" s="10" t="s">
        <v>45</v>
      </c>
      <c r="C861" s="8" t="s">
        <v>2053</v>
      </c>
      <c r="D861" s="8" t="s">
        <v>2057</v>
      </c>
      <c r="E861" s="11" t="n">
        <v>144</v>
      </c>
      <c r="F861" s="8" t="str">
        <f aca="false">IFERROR(INDEX(Section_Master!$D$2:$D$477,MATCH($E861,Section_Master!$A$2:$A$477,0))&amp;"","")</f>
        <v>Rigorous imprisonment 5 to 7 years and fine; 5 to 10 years if victim is a minor [s.144]</v>
      </c>
      <c r="G861" s="10" t="str">
        <f aca="false">IFERROR(INDEX(Section_Master!$E$2:$E$477,MATCH($E861,Section_Master!$A$2:$A$477,0))&amp;"","")</f>
        <v>Yes</v>
      </c>
      <c r="H861" s="10" t="str">
        <f aca="false">IFERROR(INDEX(Section_Master!$F$2:$F$477,MATCH($E861,Section_Master!$A$2:$A$477,0))&amp;"","")</f>
        <v>No</v>
      </c>
      <c r="I861" s="10" t="str">
        <f aca="false">IFERROR(INDEX(Section_Master!$G$2:$G$477,MATCH($E861,Section_Master!$A$2:$A$477,0))&amp;"","")</f>
        <v>No</v>
      </c>
      <c r="J861" s="10" t="s">
        <v>52</v>
      </c>
      <c r="K861" s="8" t="s">
        <v>2055</v>
      </c>
    </row>
    <row r="862" customFormat="false" ht="34.5" hidden="false" customHeight="true" outlineLevel="0" collapsed="false">
      <c r="A862" s="10" t="s">
        <v>2058</v>
      </c>
      <c r="B862" s="10" t="s">
        <v>45</v>
      </c>
      <c r="C862" s="8" t="s">
        <v>2053</v>
      </c>
      <c r="D862" s="8" t="s">
        <v>2059</v>
      </c>
      <c r="E862" s="11" t="n">
        <v>144</v>
      </c>
      <c r="F862" s="8" t="str">
        <f aca="false">IFERROR(INDEX(Section_Master!$D$2:$D$477,MATCH($E862,Section_Master!$A$2:$A$477,0))&amp;"","")</f>
        <v>Rigorous imprisonment 5 to 7 years and fine; 5 to 10 years if victim is a minor [s.144]</v>
      </c>
      <c r="G862" s="10" t="str">
        <f aca="false">IFERROR(INDEX(Section_Master!$E$2:$E$477,MATCH($E862,Section_Master!$A$2:$A$477,0))&amp;"","")</f>
        <v>Yes</v>
      </c>
      <c r="H862" s="10" t="str">
        <f aca="false">IFERROR(INDEX(Section_Master!$F$2:$F$477,MATCH($E862,Section_Master!$A$2:$A$477,0))&amp;"","")</f>
        <v>No</v>
      </c>
      <c r="I862" s="10" t="str">
        <f aca="false">IFERROR(INDEX(Section_Master!$G$2:$G$477,MATCH($E862,Section_Master!$A$2:$A$477,0))&amp;"","")</f>
        <v>No</v>
      </c>
      <c r="J862" s="10" t="s">
        <v>55</v>
      </c>
      <c r="K862" s="8" t="s">
        <v>2055</v>
      </c>
    </row>
    <row r="863" customFormat="false" ht="23.25" hidden="false" customHeight="true" outlineLevel="0" collapsed="false">
      <c r="A863" s="10" t="s">
        <v>2060</v>
      </c>
      <c r="B863" s="10" t="s">
        <v>45</v>
      </c>
      <c r="C863" s="8" t="s">
        <v>2053</v>
      </c>
      <c r="D863" s="8" t="s">
        <v>2061</v>
      </c>
      <c r="E863" s="11" t="n">
        <v>144</v>
      </c>
      <c r="F863" s="8" t="str">
        <f aca="false">IFERROR(INDEX(Section_Master!$D$2:$D$477,MATCH($E863,Section_Master!$A$2:$A$477,0))&amp;"","")</f>
        <v>Rigorous imprisonment 5 to 7 years and fine; 5 to 10 years if victim is a minor [s.144]</v>
      </c>
      <c r="G863" s="10" t="str">
        <f aca="false">IFERROR(INDEX(Section_Master!$E$2:$E$477,MATCH($E863,Section_Master!$A$2:$A$477,0))&amp;"","")</f>
        <v>Yes</v>
      </c>
      <c r="H863" s="10" t="str">
        <f aca="false">IFERROR(INDEX(Section_Master!$F$2:$F$477,MATCH($E863,Section_Master!$A$2:$A$477,0))&amp;"","")</f>
        <v>No</v>
      </c>
      <c r="I863" s="10" t="str">
        <f aca="false">IFERROR(INDEX(Section_Master!$G$2:$G$477,MATCH($E863,Section_Master!$A$2:$A$477,0))&amp;"","")</f>
        <v>No</v>
      </c>
      <c r="J863" s="10" t="s">
        <v>58</v>
      </c>
      <c r="K863" s="8" t="s">
        <v>2055</v>
      </c>
    </row>
    <row r="864" customFormat="false" ht="34.5" hidden="false" customHeight="true" outlineLevel="0" collapsed="false">
      <c r="A864" s="10" t="s">
        <v>2062</v>
      </c>
      <c r="B864" s="10" t="s">
        <v>45</v>
      </c>
      <c r="C864" s="8" t="s">
        <v>2053</v>
      </c>
      <c r="D864" s="8" t="s">
        <v>2063</v>
      </c>
      <c r="E864" s="11" t="n">
        <v>144</v>
      </c>
      <c r="F864" s="8" t="str">
        <f aca="false">IFERROR(INDEX(Section_Master!$D$2:$D$477,MATCH($E864,Section_Master!$A$2:$A$477,0))&amp;"","")</f>
        <v>Rigorous imprisonment 5 to 7 years and fine; 5 to 10 years if victim is a minor [s.144]</v>
      </c>
      <c r="G864" s="10" t="str">
        <f aca="false">IFERROR(INDEX(Section_Master!$E$2:$E$477,MATCH($E864,Section_Master!$A$2:$A$477,0))&amp;"","")</f>
        <v>Yes</v>
      </c>
      <c r="H864" s="10" t="str">
        <f aca="false">IFERROR(INDEX(Section_Master!$F$2:$F$477,MATCH($E864,Section_Master!$A$2:$A$477,0))&amp;"","")</f>
        <v>No</v>
      </c>
      <c r="I864" s="10" t="str">
        <f aca="false">IFERROR(INDEX(Section_Master!$G$2:$G$477,MATCH($E864,Section_Master!$A$2:$A$477,0))&amp;"","")</f>
        <v>No</v>
      </c>
      <c r="J864" s="10" t="s">
        <v>61</v>
      </c>
      <c r="K864" s="8" t="s">
        <v>2055</v>
      </c>
    </row>
    <row r="865" customFormat="false" ht="45.75" hidden="false" customHeight="true" outlineLevel="0" collapsed="false">
      <c r="A865" s="10" t="s">
        <v>2064</v>
      </c>
      <c r="B865" s="10" t="s">
        <v>45</v>
      </c>
      <c r="C865" s="8" t="s">
        <v>2053</v>
      </c>
      <c r="D865" s="8" t="s">
        <v>2065</v>
      </c>
      <c r="E865" s="11" t="n">
        <v>144</v>
      </c>
      <c r="F865" s="8" t="str">
        <f aca="false">IFERROR(INDEX(Section_Master!$D$2:$D$477,MATCH($E865,Section_Master!$A$2:$A$477,0))&amp;"","")</f>
        <v>Rigorous imprisonment 5 to 7 years and fine; 5 to 10 years if victim is a minor [s.144]</v>
      </c>
      <c r="G865" s="10" t="str">
        <f aca="false">IFERROR(INDEX(Section_Master!$E$2:$E$477,MATCH($E865,Section_Master!$A$2:$A$477,0))&amp;"","")</f>
        <v>Yes</v>
      </c>
      <c r="H865" s="10" t="str">
        <f aca="false">IFERROR(INDEX(Section_Master!$F$2:$F$477,MATCH($E865,Section_Master!$A$2:$A$477,0))&amp;"","")</f>
        <v>No</v>
      </c>
      <c r="I865" s="10" t="str">
        <f aca="false">IFERROR(INDEX(Section_Master!$G$2:$G$477,MATCH($E865,Section_Master!$A$2:$A$477,0))&amp;"","")</f>
        <v>No</v>
      </c>
      <c r="J865" s="10" t="s">
        <v>64</v>
      </c>
      <c r="K865" s="8" t="s">
        <v>2055</v>
      </c>
    </row>
    <row r="866" customFormat="false" ht="23.25" hidden="false" customHeight="true" outlineLevel="0" collapsed="false">
      <c r="A866" s="10" t="s">
        <v>2066</v>
      </c>
      <c r="B866" s="10" t="s">
        <v>45</v>
      </c>
      <c r="C866" s="8" t="s">
        <v>2067</v>
      </c>
      <c r="D866" s="8" t="s">
        <v>2068</v>
      </c>
      <c r="E866" s="11" t="n">
        <v>145</v>
      </c>
      <c r="F866" s="8" t="str">
        <f aca="false">IFERROR(INDEX(Section_Master!$D$2:$D$477,MATCH($E866,Section_Master!$A$2:$A$477,0))&amp;"","")</f>
        <v>Imprisonment for life, or up to 10 years, and fine</v>
      </c>
      <c r="G866" s="10" t="str">
        <f aca="false">IFERROR(INDEX(Section_Master!$E$2:$E$477,MATCH($E866,Section_Master!$A$2:$A$477,0))&amp;"","")</f>
        <v>Yes</v>
      </c>
      <c r="H866" s="10" t="str">
        <f aca="false">IFERROR(INDEX(Section_Master!$F$2:$F$477,MATCH($E866,Section_Master!$A$2:$A$477,0))&amp;"","")</f>
        <v>No</v>
      </c>
      <c r="I866" s="10" t="str">
        <f aca="false">IFERROR(INDEX(Section_Master!$G$2:$G$477,MATCH($E866,Section_Master!$A$2:$A$477,0))&amp;"","")</f>
        <v>No</v>
      </c>
      <c r="J866" s="10" t="s">
        <v>48</v>
      </c>
      <c r="K866" s="8" t="s">
        <v>2069</v>
      </c>
    </row>
    <row r="867" customFormat="false" ht="34.5" hidden="false" customHeight="true" outlineLevel="0" collapsed="false">
      <c r="A867" s="10" t="s">
        <v>2070</v>
      </c>
      <c r="B867" s="10" t="s">
        <v>45</v>
      </c>
      <c r="C867" s="8" t="s">
        <v>2067</v>
      </c>
      <c r="D867" s="8" t="s">
        <v>2071</v>
      </c>
      <c r="E867" s="11" t="n">
        <v>145</v>
      </c>
      <c r="F867" s="8" t="str">
        <f aca="false">IFERROR(INDEX(Section_Master!$D$2:$D$477,MATCH($E867,Section_Master!$A$2:$A$477,0))&amp;"","")</f>
        <v>Imprisonment for life, or up to 10 years, and fine</v>
      </c>
      <c r="G867" s="10" t="str">
        <f aca="false">IFERROR(INDEX(Section_Master!$E$2:$E$477,MATCH($E867,Section_Master!$A$2:$A$477,0))&amp;"","")</f>
        <v>Yes</v>
      </c>
      <c r="H867" s="10" t="str">
        <f aca="false">IFERROR(INDEX(Section_Master!$F$2:$F$477,MATCH($E867,Section_Master!$A$2:$A$477,0))&amp;"","")</f>
        <v>No</v>
      </c>
      <c r="I867" s="10" t="str">
        <f aca="false">IFERROR(INDEX(Section_Master!$G$2:$G$477,MATCH($E867,Section_Master!$A$2:$A$477,0))&amp;"","")</f>
        <v>No</v>
      </c>
      <c r="J867" s="10" t="s">
        <v>52</v>
      </c>
      <c r="K867" s="8" t="s">
        <v>2069</v>
      </c>
    </row>
    <row r="868" customFormat="false" ht="34.5" hidden="false" customHeight="true" outlineLevel="0" collapsed="false">
      <c r="A868" s="10" t="s">
        <v>2072</v>
      </c>
      <c r="B868" s="10" t="s">
        <v>45</v>
      </c>
      <c r="C868" s="8" t="s">
        <v>2067</v>
      </c>
      <c r="D868" s="8" t="s">
        <v>2073</v>
      </c>
      <c r="E868" s="11" t="n">
        <v>145</v>
      </c>
      <c r="F868" s="8" t="str">
        <f aca="false">IFERROR(INDEX(Section_Master!$D$2:$D$477,MATCH($E868,Section_Master!$A$2:$A$477,0))&amp;"","")</f>
        <v>Imprisonment for life, or up to 10 years, and fine</v>
      </c>
      <c r="G868" s="10" t="str">
        <f aca="false">IFERROR(INDEX(Section_Master!$E$2:$E$477,MATCH($E868,Section_Master!$A$2:$A$477,0))&amp;"","")</f>
        <v>Yes</v>
      </c>
      <c r="H868" s="10" t="str">
        <f aca="false">IFERROR(INDEX(Section_Master!$F$2:$F$477,MATCH($E868,Section_Master!$A$2:$A$477,0))&amp;"","")</f>
        <v>No</v>
      </c>
      <c r="I868" s="10" t="str">
        <f aca="false">IFERROR(INDEX(Section_Master!$G$2:$G$477,MATCH($E868,Section_Master!$A$2:$A$477,0))&amp;"","")</f>
        <v>No</v>
      </c>
      <c r="J868" s="10" t="s">
        <v>55</v>
      </c>
      <c r="K868" s="8" t="s">
        <v>2069</v>
      </c>
    </row>
    <row r="869" customFormat="false" ht="23.25" hidden="false" customHeight="true" outlineLevel="0" collapsed="false">
      <c r="A869" s="10" t="s">
        <v>2074</v>
      </c>
      <c r="B869" s="10" t="s">
        <v>45</v>
      </c>
      <c r="C869" s="8" t="s">
        <v>2067</v>
      </c>
      <c r="D869" s="8" t="s">
        <v>2075</v>
      </c>
      <c r="E869" s="11" t="n">
        <v>145</v>
      </c>
      <c r="F869" s="8" t="str">
        <f aca="false">IFERROR(INDEX(Section_Master!$D$2:$D$477,MATCH($E869,Section_Master!$A$2:$A$477,0))&amp;"","")</f>
        <v>Imprisonment for life, or up to 10 years, and fine</v>
      </c>
      <c r="G869" s="10" t="str">
        <f aca="false">IFERROR(INDEX(Section_Master!$E$2:$E$477,MATCH($E869,Section_Master!$A$2:$A$477,0))&amp;"","")</f>
        <v>Yes</v>
      </c>
      <c r="H869" s="10" t="str">
        <f aca="false">IFERROR(INDEX(Section_Master!$F$2:$F$477,MATCH($E869,Section_Master!$A$2:$A$477,0))&amp;"","")</f>
        <v>No</v>
      </c>
      <c r="I869" s="10" t="str">
        <f aca="false">IFERROR(INDEX(Section_Master!$G$2:$G$477,MATCH($E869,Section_Master!$A$2:$A$477,0))&amp;"","")</f>
        <v>No</v>
      </c>
      <c r="J869" s="10" t="s">
        <v>58</v>
      </c>
      <c r="K869" s="8" t="s">
        <v>2069</v>
      </c>
    </row>
    <row r="870" customFormat="false" ht="34.5" hidden="false" customHeight="true" outlineLevel="0" collapsed="false">
      <c r="A870" s="10" t="s">
        <v>2076</v>
      </c>
      <c r="B870" s="10" t="s">
        <v>45</v>
      </c>
      <c r="C870" s="8" t="s">
        <v>2067</v>
      </c>
      <c r="D870" s="8" t="s">
        <v>2077</v>
      </c>
      <c r="E870" s="11" t="n">
        <v>145</v>
      </c>
      <c r="F870" s="8" t="str">
        <f aca="false">IFERROR(INDEX(Section_Master!$D$2:$D$477,MATCH($E870,Section_Master!$A$2:$A$477,0))&amp;"","")</f>
        <v>Imprisonment for life, or up to 10 years, and fine</v>
      </c>
      <c r="G870" s="10" t="str">
        <f aca="false">IFERROR(INDEX(Section_Master!$E$2:$E$477,MATCH($E870,Section_Master!$A$2:$A$477,0))&amp;"","")</f>
        <v>Yes</v>
      </c>
      <c r="H870" s="10" t="str">
        <f aca="false">IFERROR(INDEX(Section_Master!$F$2:$F$477,MATCH($E870,Section_Master!$A$2:$A$477,0))&amp;"","")</f>
        <v>No</v>
      </c>
      <c r="I870" s="10" t="str">
        <f aca="false">IFERROR(INDEX(Section_Master!$G$2:$G$477,MATCH($E870,Section_Master!$A$2:$A$477,0))&amp;"","")</f>
        <v>No</v>
      </c>
      <c r="J870" s="10" t="s">
        <v>61</v>
      </c>
      <c r="K870" s="8" t="s">
        <v>2069</v>
      </c>
    </row>
    <row r="871" customFormat="false" ht="34.5" hidden="false" customHeight="true" outlineLevel="0" collapsed="false">
      <c r="A871" s="10" t="s">
        <v>2078</v>
      </c>
      <c r="B871" s="10" t="s">
        <v>45</v>
      </c>
      <c r="C871" s="8" t="s">
        <v>2067</v>
      </c>
      <c r="D871" s="8" t="s">
        <v>2079</v>
      </c>
      <c r="E871" s="11" t="n">
        <v>145</v>
      </c>
      <c r="F871" s="8" t="str">
        <f aca="false">IFERROR(INDEX(Section_Master!$D$2:$D$477,MATCH($E871,Section_Master!$A$2:$A$477,0))&amp;"","")</f>
        <v>Imprisonment for life, or up to 10 years, and fine</v>
      </c>
      <c r="G871" s="10" t="str">
        <f aca="false">IFERROR(INDEX(Section_Master!$E$2:$E$477,MATCH($E871,Section_Master!$A$2:$A$477,0))&amp;"","")</f>
        <v>Yes</v>
      </c>
      <c r="H871" s="10" t="str">
        <f aca="false">IFERROR(INDEX(Section_Master!$F$2:$F$477,MATCH($E871,Section_Master!$A$2:$A$477,0))&amp;"","")</f>
        <v>No</v>
      </c>
      <c r="I871" s="10" t="str">
        <f aca="false">IFERROR(INDEX(Section_Master!$G$2:$G$477,MATCH($E871,Section_Master!$A$2:$A$477,0))&amp;"","")</f>
        <v>No</v>
      </c>
      <c r="J871" s="10" t="s">
        <v>64</v>
      </c>
      <c r="K871" s="8" t="s">
        <v>2069</v>
      </c>
    </row>
    <row r="872" customFormat="false" ht="23.25" hidden="false" customHeight="true" outlineLevel="0" collapsed="false">
      <c r="A872" s="10" t="s">
        <v>2080</v>
      </c>
      <c r="B872" s="10" t="s">
        <v>45</v>
      </c>
      <c r="C872" s="8" t="s">
        <v>2081</v>
      </c>
      <c r="D872" s="8" t="s">
        <v>2082</v>
      </c>
      <c r="E872" s="11" t="n">
        <v>146</v>
      </c>
      <c r="F872" s="8" t="str">
        <f aca="false">IFERROR(INDEX(Section_Master!$D$2:$D$477,MATCH($E872,Section_Master!$A$2:$A$477,0))&amp;"","")</f>
        <v>Imprisonment up to 1 year, or fine, or both</v>
      </c>
      <c r="G872" s="10" t="str">
        <f aca="false">IFERROR(INDEX(Section_Master!$E$2:$E$477,MATCH($E872,Section_Master!$A$2:$A$477,0))&amp;"","")</f>
        <v>No</v>
      </c>
      <c r="H872" s="10" t="str">
        <f aca="false">IFERROR(INDEX(Section_Master!$F$2:$F$477,MATCH($E872,Section_Master!$A$2:$A$477,0))&amp;"","")</f>
        <v>Yes</v>
      </c>
      <c r="I872" s="10" t="str">
        <f aca="false">IFERROR(INDEX(Section_Master!$G$2:$G$477,MATCH($E872,Section_Master!$A$2:$A$477,0))&amp;"","")</f>
        <v>Yes</v>
      </c>
      <c r="J872" s="10" t="s">
        <v>48</v>
      </c>
      <c r="K872" s="8" t="s">
        <v>2083</v>
      </c>
    </row>
    <row r="873" customFormat="false" ht="23.25" hidden="false" customHeight="true" outlineLevel="0" collapsed="false">
      <c r="A873" s="10" t="s">
        <v>2084</v>
      </c>
      <c r="B873" s="10" t="s">
        <v>45</v>
      </c>
      <c r="C873" s="8" t="s">
        <v>2081</v>
      </c>
      <c r="D873" s="8" t="s">
        <v>2085</v>
      </c>
      <c r="E873" s="11" t="n">
        <v>146</v>
      </c>
      <c r="F873" s="8" t="str">
        <f aca="false">IFERROR(INDEX(Section_Master!$D$2:$D$477,MATCH($E873,Section_Master!$A$2:$A$477,0))&amp;"","")</f>
        <v>Imprisonment up to 1 year, or fine, or both</v>
      </c>
      <c r="G873" s="10" t="str">
        <f aca="false">IFERROR(INDEX(Section_Master!$E$2:$E$477,MATCH($E873,Section_Master!$A$2:$A$477,0))&amp;"","")</f>
        <v>No</v>
      </c>
      <c r="H873" s="10" t="str">
        <f aca="false">IFERROR(INDEX(Section_Master!$F$2:$F$477,MATCH($E873,Section_Master!$A$2:$A$477,0))&amp;"","")</f>
        <v>Yes</v>
      </c>
      <c r="I873" s="10" t="str">
        <f aca="false">IFERROR(INDEX(Section_Master!$G$2:$G$477,MATCH($E873,Section_Master!$A$2:$A$477,0))&amp;"","")</f>
        <v>Yes</v>
      </c>
      <c r="J873" s="10" t="s">
        <v>52</v>
      </c>
      <c r="K873" s="8" t="s">
        <v>2083</v>
      </c>
    </row>
    <row r="874" customFormat="false" ht="23.25" hidden="false" customHeight="true" outlineLevel="0" collapsed="false">
      <c r="A874" s="10" t="s">
        <v>2086</v>
      </c>
      <c r="B874" s="10" t="s">
        <v>45</v>
      </c>
      <c r="C874" s="8" t="s">
        <v>2081</v>
      </c>
      <c r="D874" s="8" t="s">
        <v>2087</v>
      </c>
      <c r="E874" s="11" t="n">
        <v>146</v>
      </c>
      <c r="F874" s="8" t="str">
        <f aca="false">IFERROR(INDEX(Section_Master!$D$2:$D$477,MATCH($E874,Section_Master!$A$2:$A$477,0))&amp;"","")</f>
        <v>Imprisonment up to 1 year, or fine, or both</v>
      </c>
      <c r="G874" s="10" t="str">
        <f aca="false">IFERROR(INDEX(Section_Master!$E$2:$E$477,MATCH($E874,Section_Master!$A$2:$A$477,0))&amp;"","")</f>
        <v>No</v>
      </c>
      <c r="H874" s="10" t="str">
        <f aca="false">IFERROR(INDEX(Section_Master!$F$2:$F$477,MATCH($E874,Section_Master!$A$2:$A$477,0))&amp;"","")</f>
        <v>Yes</v>
      </c>
      <c r="I874" s="10" t="str">
        <f aca="false">IFERROR(INDEX(Section_Master!$G$2:$G$477,MATCH($E874,Section_Master!$A$2:$A$477,0))&amp;"","")</f>
        <v>Yes</v>
      </c>
      <c r="J874" s="10" t="s">
        <v>55</v>
      </c>
      <c r="K874" s="8" t="s">
        <v>2083</v>
      </c>
    </row>
    <row r="875" customFormat="false" ht="15" hidden="false" customHeight="true" outlineLevel="0" collapsed="false">
      <c r="A875" s="10" t="s">
        <v>2088</v>
      </c>
      <c r="B875" s="10" t="s">
        <v>45</v>
      </c>
      <c r="C875" s="8" t="s">
        <v>2081</v>
      </c>
      <c r="D875" s="8" t="s">
        <v>2089</v>
      </c>
      <c r="E875" s="11" t="n">
        <v>146</v>
      </c>
      <c r="F875" s="8" t="str">
        <f aca="false">IFERROR(INDEX(Section_Master!$D$2:$D$477,MATCH($E875,Section_Master!$A$2:$A$477,0))&amp;"","")</f>
        <v>Imprisonment up to 1 year, or fine, or both</v>
      </c>
      <c r="G875" s="10" t="str">
        <f aca="false">IFERROR(INDEX(Section_Master!$E$2:$E$477,MATCH($E875,Section_Master!$A$2:$A$477,0))&amp;"","")</f>
        <v>No</v>
      </c>
      <c r="H875" s="10" t="str">
        <f aca="false">IFERROR(INDEX(Section_Master!$F$2:$F$477,MATCH($E875,Section_Master!$A$2:$A$477,0))&amp;"","")</f>
        <v>Yes</v>
      </c>
      <c r="I875" s="10" t="str">
        <f aca="false">IFERROR(INDEX(Section_Master!$G$2:$G$477,MATCH($E875,Section_Master!$A$2:$A$477,0))&amp;"","")</f>
        <v>Yes</v>
      </c>
      <c r="J875" s="10" t="s">
        <v>58</v>
      </c>
      <c r="K875" s="8" t="s">
        <v>2083</v>
      </c>
    </row>
    <row r="876" customFormat="false" ht="34.5" hidden="false" customHeight="true" outlineLevel="0" collapsed="false">
      <c r="A876" s="10" t="s">
        <v>2090</v>
      </c>
      <c r="B876" s="10" t="s">
        <v>45</v>
      </c>
      <c r="C876" s="8" t="s">
        <v>2081</v>
      </c>
      <c r="D876" s="8" t="s">
        <v>2091</v>
      </c>
      <c r="E876" s="11" t="n">
        <v>146</v>
      </c>
      <c r="F876" s="8" t="str">
        <f aca="false">IFERROR(INDEX(Section_Master!$D$2:$D$477,MATCH($E876,Section_Master!$A$2:$A$477,0))&amp;"","")</f>
        <v>Imprisonment up to 1 year, or fine, or both</v>
      </c>
      <c r="G876" s="10" t="str">
        <f aca="false">IFERROR(INDEX(Section_Master!$E$2:$E$477,MATCH($E876,Section_Master!$A$2:$A$477,0))&amp;"","")</f>
        <v>No</v>
      </c>
      <c r="H876" s="10" t="str">
        <f aca="false">IFERROR(INDEX(Section_Master!$F$2:$F$477,MATCH($E876,Section_Master!$A$2:$A$477,0))&amp;"","")</f>
        <v>Yes</v>
      </c>
      <c r="I876" s="10" t="str">
        <f aca="false">IFERROR(INDEX(Section_Master!$G$2:$G$477,MATCH($E876,Section_Master!$A$2:$A$477,0))&amp;"","")</f>
        <v>Yes</v>
      </c>
      <c r="J876" s="10" t="s">
        <v>61</v>
      </c>
      <c r="K876" s="8" t="s">
        <v>2083</v>
      </c>
    </row>
    <row r="877" customFormat="false" ht="34.5" hidden="false" customHeight="true" outlineLevel="0" collapsed="false">
      <c r="A877" s="10" t="s">
        <v>2092</v>
      </c>
      <c r="B877" s="10" t="s">
        <v>45</v>
      </c>
      <c r="C877" s="8" t="s">
        <v>2081</v>
      </c>
      <c r="D877" s="8" t="s">
        <v>2093</v>
      </c>
      <c r="E877" s="11" t="n">
        <v>146</v>
      </c>
      <c r="F877" s="8" t="str">
        <f aca="false">IFERROR(INDEX(Section_Master!$D$2:$D$477,MATCH($E877,Section_Master!$A$2:$A$477,0))&amp;"","")</f>
        <v>Imprisonment up to 1 year, or fine, or both</v>
      </c>
      <c r="G877" s="10" t="str">
        <f aca="false">IFERROR(INDEX(Section_Master!$E$2:$E$477,MATCH($E877,Section_Master!$A$2:$A$477,0))&amp;"","")</f>
        <v>No</v>
      </c>
      <c r="H877" s="10" t="str">
        <f aca="false">IFERROR(INDEX(Section_Master!$F$2:$F$477,MATCH($E877,Section_Master!$A$2:$A$477,0))&amp;"","")</f>
        <v>Yes</v>
      </c>
      <c r="I877" s="10" t="str">
        <f aca="false">IFERROR(INDEX(Section_Master!$G$2:$G$477,MATCH($E877,Section_Master!$A$2:$A$477,0))&amp;"","")</f>
        <v>Yes</v>
      </c>
      <c r="J877" s="10" t="s">
        <v>64</v>
      </c>
      <c r="K877" s="8" t="s">
        <v>2083</v>
      </c>
    </row>
    <row r="878" customFormat="false" ht="34.5" hidden="false" customHeight="true" outlineLevel="0" collapsed="false">
      <c r="A878" s="10" t="s">
        <v>2094</v>
      </c>
      <c r="B878" s="10" t="s">
        <v>45</v>
      </c>
      <c r="C878" s="8" t="s">
        <v>2095</v>
      </c>
      <c r="D878" s="8" t="s">
        <v>2096</v>
      </c>
      <c r="E878" s="11" t="n">
        <v>147</v>
      </c>
      <c r="F878" s="8" t="str">
        <f aca="false">IFERROR(INDEX(Section_Master!$D$2:$D$477,MATCH($E878,Section_Master!$A$2:$A$477,0))&amp;"","")</f>
        <v>Death or imprisonment for life, and fine</v>
      </c>
      <c r="G878" s="10" t="str">
        <f aca="false">IFERROR(INDEX(Section_Master!$E$2:$E$477,MATCH($E878,Section_Master!$A$2:$A$477,0))&amp;"","")</f>
        <v>Yes</v>
      </c>
      <c r="H878" s="10" t="str">
        <f aca="false">IFERROR(INDEX(Section_Master!$F$2:$F$477,MATCH($E878,Section_Master!$A$2:$A$477,0))&amp;"","")</f>
        <v>No</v>
      </c>
      <c r="I878" s="10" t="str">
        <f aca="false">IFERROR(INDEX(Section_Master!$G$2:$G$477,MATCH($E878,Section_Master!$A$2:$A$477,0))&amp;"","")</f>
        <v>No</v>
      </c>
      <c r="J878" s="10" t="s">
        <v>48</v>
      </c>
      <c r="K878" s="8" t="s">
        <v>2097</v>
      </c>
    </row>
    <row r="879" customFormat="false" ht="34.5" hidden="false" customHeight="true" outlineLevel="0" collapsed="false">
      <c r="A879" s="10" t="s">
        <v>2098</v>
      </c>
      <c r="B879" s="10" t="s">
        <v>45</v>
      </c>
      <c r="C879" s="8" t="s">
        <v>2095</v>
      </c>
      <c r="D879" s="8" t="s">
        <v>2099</v>
      </c>
      <c r="E879" s="11" t="n">
        <v>147</v>
      </c>
      <c r="F879" s="8" t="str">
        <f aca="false">IFERROR(INDEX(Section_Master!$D$2:$D$477,MATCH($E879,Section_Master!$A$2:$A$477,0))&amp;"","")</f>
        <v>Death or imprisonment for life, and fine</v>
      </c>
      <c r="G879" s="10" t="str">
        <f aca="false">IFERROR(INDEX(Section_Master!$E$2:$E$477,MATCH($E879,Section_Master!$A$2:$A$477,0))&amp;"","")</f>
        <v>Yes</v>
      </c>
      <c r="H879" s="10" t="str">
        <f aca="false">IFERROR(INDEX(Section_Master!$F$2:$F$477,MATCH($E879,Section_Master!$A$2:$A$477,0))&amp;"","")</f>
        <v>No</v>
      </c>
      <c r="I879" s="10" t="str">
        <f aca="false">IFERROR(INDEX(Section_Master!$G$2:$G$477,MATCH($E879,Section_Master!$A$2:$A$477,0))&amp;"","")</f>
        <v>No</v>
      </c>
      <c r="J879" s="10" t="s">
        <v>52</v>
      </c>
      <c r="K879" s="8" t="s">
        <v>2097</v>
      </c>
    </row>
    <row r="880" customFormat="false" ht="34.5" hidden="false" customHeight="true" outlineLevel="0" collapsed="false">
      <c r="A880" s="10" t="s">
        <v>2100</v>
      </c>
      <c r="B880" s="10" t="s">
        <v>45</v>
      </c>
      <c r="C880" s="8" t="s">
        <v>2095</v>
      </c>
      <c r="D880" s="8" t="s">
        <v>2101</v>
      </c>
      <c r="E880" s="11" t="n">
        <v>147</v>
      </c>
      <c r="F880" s="8" t="str">
        <f aca="false">IFERROR(INDEX(Section_Master!$D$2:$D$477,MATCH($E880,Section_Master!$A$2:$A$477,0))&amp;"","")</f>
        <v>Death or imprisonment for life, and fine</v>
      </c>
      <c r="G880" s="10" t="str">
        <f aca="false">IFERROR(INDEX(Section_Master!$E$2:$E$477,MATCH($E880,Section_Master!$A$2:$A$477,0))&amp;"","")</f>
        <v>Yes</v>
      </c>
      <c r="H880" s="10" t="str">
        <f aca="false">IFERROR(INDEX(Section_Master!$F$2:$F$477,MATCH($E880,Section_Master!$A$2:$A$477,0))&amp;"","")</f>
        <v>No</v>
      </c>
      <c r="I880" s="10" t="str">
        <f aca="false">IFERROR(INDEX(Section_Master!$G$2:$G$477,MATCH($E880,Section_Master!$A$2:$A$477,0))&amp;"","")</f>
        <v>No</v>
      </c>
      <c r="J880" s="10" t="s">
        <v>55</v>
      </c>
      <c r="K880" s="8" t="s">
        <v>2097</v>
      </c>
    </row>
    <row r="881" customFormat="false" ht="34.5" hidden="false" customHeight="true" outlineLevel="0" collapsed="false">
      <c r="A881" s="10" t="s">
        <v>2102</v>
      </c>
      <c r="B881" s="10" t="s">
        <v>45</v>
      </c>
      <c r="C881" s="8" t="s">
        <v>2095</v>
      </c>
      <c r="D881" s="8" t="s">
        <v>2103</v>
      </c>
      <c r="E881" s="11" t="n">
        <v>147</v>
      </c>
      <c r="F881" s="8" t="str">
        <f aca="false">IFERROR(INDEX(Section_Master!$D$2:$D$477,MATCH($E881,Section_Master!$A$2:$A$477,0))&amp;"","")</f>
        <v>Death or imprisonment for life, and fine</v>
      </c>
      <c r="G881" s="10" t="str">
        <f aca="false">IFERROR(INDEX(Section_Master!$E$2:$E$477,MATCH($E881,Section_Master!$A$2:$A$477,0))&amp;"","")</f>
        <v>Yes</v>
      </c>
      <c r="H881" s="10" t="str">
        <f aca="false">IFERROR(INDEX(Section_Master!$F$2:$F$477,MATCH($E881,Section_Master!$A$2:$A$477,0))&amp;"","")</f>
        <v>No</v>
      </c>
      <c r="I881" s="10" t="str">
        <f aca="false">IFERROR(INDEX(Section_Master!$G$2:$G$477,MATCH($E881,Section_Master!$A$2:$A$477,0))&amp;"","")</f>
        <v>No</v>
      </c>
      <c r="J881" s="10" t="s">
        <v>58</v>
      </c>
      <c r="K881" s="8" t="s">
        <v>2097</v>
      </c>
    </row>
    <row r="882" customFormat="false" ht="34.5" hidden="false" customHeight="true" outlineLevel="0" collapsed="false">
      <c r="A882" s="10" t="s">
        <v>2104</v>
      </c>
      <c r="B882" s="10" t="s">
        <v>45</v>
      </c>
      <c r="C882" s="8" t="s">
        <v>2095</v>
      </c>
      <c r="D882" s="8" t="s">
        <v>2105</v>
      </c>
      <c r="E882" s="11" t="n">
        <v>147</v>
      </c>
      <c r="F882" s="8" t="str">
        <f aca="false">IFERROR(INDEX(Section_Master!$D$2:$D$477,MATCH($E882,Section_Master!$A$2:$A$477,0))&amp;"","")</f>
        <v>Death or imprisonment for life, and fine</v>
      </c>
      <c r="G882" s="10" t="str">
        <f aca="false">IFERROR(INDEX(Section_Master!$E$2:$E$477,MATCH($E882,Section_Master!$A$2:$A$477,0))&amp;"","")</f>
        <v>Yes</v>
      </c>
      <c r="H882" s="10" t="str">
        <f aca="false">IFERROR(INDEX(Section_Master!$F$2:$F$477,MATCH($E882,Section_Master!$A$2:$A$477,0))&amp;"","")</f>
        <v>No</v>
      </c>
      <c r="I882" s="10" t="str">
        <f aca="false">IFERROR(INDEX(Section_Master!$G$2:$G$477,MATCH($E882,Section_Master!$A$2:$A$477,0))&amp;"","")</f>
        <v>No</v>
      </c>
      <c r="J882" s="10" t="s">
        <v>61</v>
      </c>
      <c r="K882" s="8" t="s">
        <v>2097</v>
      </c>
    </row>
    <row r="883" customFormat="false" ht="34.5" hidden="false" customHeight="true" outlineLevel="0" collapsed="false">
      <c r="A883" s="10" t="s">
        <v>2106</v>
      </c>
      <c r="B883" s="10" t="s">
        <v>45</v>
      </c>
      <c r="C883" s="8" t="s">
        <v>2095</v>
      </c>
      <c r="D883" s="8" t="s">
        <v>2107</v>
      </c>
      <c r="E883" s="11" t="n">
        <v>147</v>
      </c>
      <c r="F883" s="8" t="str">
        <f aca="false">IFERROR(INDEX(Section_Master!$D$2:$D$477,MATCH($E883,Section_Master!$A$2:$A$477,0))&amp;"","")</f>
        <v>Death or imprisonment for life, and fine</v>
      </c>
      <c r="G883" s="10" t="str">
        <f aca="false">IFERROR(INDEX(Section_Master!$E$2:$E$477,MATCH($E883,Section_Master!$A$2:$A$477,0))&amp;"","")</f>
        <v>Yes</v>
      </c>
      <c r="H883" s="10" t="str">
        <f aca="false">IFERROR(INDEX(Section_Master!$F$2:$F$477,MATCH($E883,Section_Master!$A$2:$A$477,0))&amp;"","")</f>
        <v>No</v>
      </c>
      <c r="I883" s="10" t="str">
        <f aca="false">IFERROR(INDEX(Section_Master!$G$2:$G$477,MATCH($E883,Section_Master!$A$2:$A$477,0))&amp;"","")</f>
        <v>No</v>
      </c>
      <c r="J883" s="10" t="s">
        <v>64</v>
      </c>
      <c r="K883" s="8" t="s">
        <v>2097</v>
      </c>
    </row>
    <row r="884" customFormat="false" ht="34.5" hidden="false" customHeight="true" outlineLevel="0" collapsed="false">
      <c r="A884" s="10" t="s">
        <v>2108</v>
      </c>
      <c r="B884" s="10" t="s">
        <v>45</v>
      </c>
      <c r="C884" s="8" t="s">
        <v>2109</v>
      </c>
      <c r="D884" s="8" t="s">
        <v>2110</v>
      </c>
      <c r="E884" s="11" t="n">
        <v>148</v>
      </c>
      <c r="F884" s="8" t="str">
        <f aca="false">IFERROR(INDEX(Section_Master!$D$2:$D$477,MATCH($E884,Section_Master!$A$2:$A$477,0))&amp;"","")</f>
        <v>Imprisonment for life, or up to 10 years, and fine</v>
      </c>
      <c r="G884" s="10" t="str">
        <f aca="false">IFERROR(INDEX(Section_Master!$E$2:$E$477,MATCH($E884,Section_Master!$A$2:$A$477,0))&amp;"","")</f>
        <v>Yes</v>
      </c>
      <c r="H884" s="10" t="str">
        <f aca="false">IFERROR(INDEX(Section_Master!$F$2:$F$477,MATCH($E884,Section_Master!$A$2:$A$477,0))&amp;"","")</f>
        <v>No</v>
      </c>
      <c r="I884" s="10" t="str">
        <f aca="false">IFERROR(INDEX(Section_Master!$G$2:$G$477,MATCH($E884,Section_Master!$A$2:$A$477,0))&amp;"","")</f>
        <v>No</v>
      </c>
      <c r="J884" s="10" t="s">
        <v>48</v>
      </c>
      <c r="K884" s="8" t="s">
        <v>2111</v>
      </c>
    </row>
    <row r="885" customFormat="false" ht="34.5" hidden="false" customHeight="true" outlineLevel="0" collapsed="false">
      <c r="A885" s="10" t="s">
        <v>2112</v>
      </c>
      <c r="B885" s="10" t="s">
        <v>45</v>
      </c>
      <c r="C885" s="8" t="s">
        <v>2109</v>
      </c>
      <c r="D885" s="8" t="s">
        <v>2113</v>
      </c>
      <c r="E885" s="11" t="n">
        <v>148</v>
      </c>
      <c r="F885" s="8" t="str">
        <f aca="false">IFERROR(INDEX(Section_Master!$D$2:$D$477,MATCH($E885,Section_Master!$A$2:$A$477,0))&amp;"","")</f>
        <v>Imprisonment for life, or up to 10 years, and fine</v>
      </c>
      <c r="G885" s="10" t="str">
        <f aca="false">IFERROR(INDEX(Section_Master!$E$2:$E$477,MATCH($E885,Section_Master!$A$2:$A$477,0))&amp;"","")</f>
        <v>Yes</v>
      </c>
      <c r="H885" s="10" t="str">
        <f aca="false">IFERROR(INDEX(Section_Master!$F$2:$F$477,MATCH($E885,Section_Master!$A$2:$A$477,0))&amp;"","")</f>
        <v>No</v>
      </c>
      <c r="I885" s="10" t="str">
        <f aca="false">IFERROR(INDEX(Section_Master!$G$2:$G$477,MATCH($E885,Section_Master!$A$2:$A$477,0))&amp;"","")</f>
        <v>No</v>
      </c>
      <c r="J885" s="10" t="s">
        <v>52</v>
      </c>
      <c r="K885" s="8" t="s">
        <v>2111</v>
      </c>
    </row>
    <row r="886" customFormat="false" ht="34.5" hidden="false" customHeight="true" outlineLevel="0" collapsed="false">
      <c r="A886" s="10" t="s">
        <v>2114</v>
      </c>
      <c r="B886" s="10" t="s">
        <v>45</v>
      </c>
      <c r="C886" s="8" t="s">
        <v>2109</v>
      </c>
      <c r="D886" s="8" t="s">
        <v>2115</v>
      </c>
      <c r="E886" s="11" t="n">
        <v>148</v>
      </c>
      <c r="F886" s="8" t="str">
        <f aca="false">IFERROR(INDEX(Section_Master!$D$2:$D$477,MATCH($E886,Section_Master!$A$2:$A$477,0))&amp;"","")</f>
        <v>Imprisonment for life, or up to 10 years, and fine</v>
      </c>
      <c r="G886" s="10" t="str">
        <f aca="false">IFERROR(INDEX(Section_Master!$E$2:$E$477,MATCH($E886,Section_Master!$A$2:$A$477,0))&amp;"","")</f>
        <v>Yes</v>
      </c>
      <c r="H886" s="10" t="str">
        <f aca="false">IFERROR(INDEX(Section_Master!$F$2:$F$477,MATCH($E886,Section_Master!$A$2:$A$477,0))&amp;"","")</f>
        <v>No</v>
      </c>
      <c r="I886" s="10" t="str">
        <f aca="false">IFERROR(INDEX(Section_Master!$G$2:$G$477,MATCH($E886,Section_Master!$A$2:$A$477,0))&amp;"","")</f>
        <v>No</v>
      </c>
      <c r="J886" s="10" t="s">
        <v>55</v>
      </c>
      <c r="K886" s="8" t="s">
        <v>2111</v>
      </c>
    </row>
    <row r="887" customFormat="false" ht="34.5" hidden="false" customHeight="true" outlineLevel="0" collapsed="false">
      <c r="A887" s="10" t="s">
        <v>2116</v>
      </c>
      <c r="B887" s="10" t="s">
        <v>45</v>
      </c>
      <c r="C887" s="8" t="s">
        <v>2109</v>
      </c>
      <c r="D887" s="8" t="s">
        <v>2117</v>
      </c>
      <c r="E887" s="11" t="n">
        <v>148</v>
      </c>
      <c r="F887" s="8" t="str">
        <f aca="false">IFERROR(INDEX(Section_Master!$D$2:$D$477,MATCH($E887,Section_Master!$A$2:$A$477,0))&amp;"","")</f>
        <v>Imprisonment for life, or up to 10 years, and fine</v>
      </c>
      <c r="G887" s="10" t="str">
        <f aca="false">IFERROR(INDEX(Section_Master!$E$2:$E$477,MATCH($E887,Section_Master!$A$2:$A$477,0))&amp;"","")</f>
        <v>Yes</v>
      </c>
      <c r="H887" s="10" t="str">
        <f aca="false">IFERROR(INDEX(Section_Master!$F$2:$F$477,MATCH($E887,Section_Master!$A$2:$A$477,0))&amp;"","")</f>
        <v>No</v>
      </c>
      <c r="I887" s="10" t="str">
        <f aca="false">IFERROR(INDEX(Section_Master!$G$2:$G$477,MATCH($E887,Section_Master!$A$2:$A$477,0))&amp;"","")</f>
        <v>No</v>
      </c>
      <c r="J887" s="10" t="s">
        <v>58</v>
      </c>
      <c r="K887" s="8" t="s">
        <v>2111</v>
      </c>
    </row>
    <row r="888" customFormat="false" ht="23.25" hidden="false" customHeight="true" outlineLevel="0" collapsed="false">
      <c r="A888" s="10" t="s">
        <v>2118</v>
      </c>
      <c r="B888" s="10" t="s">
        <v>45</v>
      </c>
      <c r="C888" s="8" t="s">
        <v>2109</v>
      </c>
      <c r="D888" s="8" t="s">
        <v>2119</v>
      </c>
      <c r="E888" s="11" t="n">
        <v>148</v>
      </c>
      <c r="F888" s="8" t="str">
        <f aca="false">IFERROR(INDEX(Section_Master!$D$2:$D$477,MATCH($E888,Section_Master!$A$2:$A$477,0))&amp;"","")</f>
        <v>Imprisonment for life, or up to 10 years, and fine</v>
      </c>
      <c r="G888" s="10" t="str">
        <f aca="false">IFERROR(INDEX(Section_Master!$E$2:$E$477,MATCH($E888,Section_Master!$A$2:$A$477,0))&amp;"","")</f>
        <v>Yes</v>
      </c>
      <c r="H888" s="10" t="str">
        <f aca="false">IFERROR(INDEX(Section_Master!$F$2:$F$477,MATCH($E888,Section_Master!$A$2:$A$477,0))&amp;"","")</f>
        <v>No</v>
      </c>
      <c r="I888" s="10" t="str">
        <f aca="false">IFERROR(INDEX(Section_Master!$G$2:$G$477,MATCH($E888,Section_Master!$A$2:$A$477,0))&amp;"","")</f>
        <v>No</v>
      </c>
      <c r="J888" s="10" t="s">
        <v>61</v>
      </c>
      <c r="K888" s="8" t="s">
        <v>2111</v>
      </c>
    </row>
    <row r="889" customFormat="false" ht="34.5" hidden="false" customHeight="true" outlineLevel="0" collapsed="false">
      <c r="A889" s="10" t="s">
        <v>2120</v>
      </c>
      <c r="B889" s="10" t="s">
        <v>45</v>
      </c>
      <c r="C889" s="8" t="s">
        <v>2109</v>
      </c>
      <c r="D889" s="8" t="s">
        <v>2121</v>
      </c>
      <c r="E889" s="11" t="n">
        <v>148</v>
      </c>
      <c r="F889" s="8" t="str">
        <f aca="false">IFERROR(INDEX(Section_Master!$D$2:$D$477,MATCH($E889,Section_Master!$A$2:$A$477,0))&amp;"","")</f>
        <v>Imprisonment for life, or up to 10 years, and fine</v>
      </c>
      <c r="G889" s="10" t="str">
        <f aca="false">IFERROR(INDEX(Section_Master!$E$2:$E$477,MATCH($E889,Section_Master!$A$2:$A$477,0))&amp;"","")</f>
        <v>Yes</v>
      </c>
      <c r="H889" s="10" t="str">
        <f aca="false">IFERROR(INDEX(Section_Master!$F$2:$F$477,MATCH($E889,Section_Master!$A$2:$A$477,0))&amp;"","")</f>
        <v>No</v>
      </c>
      <c r="I889" s="10" t="str">
        <f aca="false">IFERROR(INDEX(Section_Master!$G$2:$G$477,MATCH($E889,Section_Master!$A$2:$A$477,0))&amp;"","")</f>
        <v>No</v>
      </c>
      <c r="J889" s="10" t="s">
        <v>64</v>
      </c>
      <c r="K889" s="8" t="s">
        <v>2111</v>
      </c>
    </row>
    <row r="890" customFormat="false" ht="34.5" hidden="false" customHeight="true" outlineLevel="0" collapsed="false">
      <c r="A890" s="10" t="s">
        <v>2122</v>
      </c>
      <c r="B890" s="10" t="s">
        <v>45</v>
      </c>
      <c r="C890" s="8" t="s">
        <v>2123</v>
      </c>
      <c r="D890" s="8" t="s">
        <v>2124</v>
      </c>
      <c r="E890" s="11" t="n">
        <v>149</v>
      </c>
      <c r="F890" s="8" t="str">
        <f aca="false">IFERROR(INDEX(Section_Master!$D$2:$D$477,MATCH($E890,Section_Master!$A$2:$A$477,0))&amp;"","")</f>
        <v>Imprisonment for life, or up to 10 years, and fine</v>
      </c>
      <c r="G890" s="10" t="str">
        <f aca="false">IFERROR(INDEX(Section_Master!$E$2:$E$477,MATCH($E890,Section_Master!$A$2:$A$477,0))&amp;"","")</f>
        <v>Yes</v>
      </c>
      <c r="H890" s="10" t="str">
        <f aca="false">IFERROR(INDEX(Section_Master!$F$2:$F$477,MATCH($E890,Section_Master!$A$2:$A$477,0))&amp;"","")</f>
        <v>No</v>
      </c>
      <c r="I890" s="10" t="str">
        <f aca="false">IFERROR(INDEX(Section_Master!$G$2:$G$477,MATCH($E890,Section_Master!$A$2:$A$477,0))&amp;"","")</f>
        <v>No</v>
      </c>
      <c r="J890" s="10" t="s">
        <v>48</v>
      </c>
      <c r="K890" s="8" t="s">
        <v>2125</v>
      </c>
    </row>
    <row r="891" customFormat="false" ht="34.5" hidden="false" customHeight="true" outlineLevel="0" collapsed="false">
      <c r="A891" s="10" t="s">
        <v>2126</v>
      </c>
      <c r="B891" s="10" t="s">
        <v>45</v>
      </c>
      <c r="C891" s="8" t="s">
        <v>2123</v>
      </c>
      <c r="D891" s="8" t="s">
        <v>2127</v>
      </c>
      <c r="E891" s="11" t="n">
        <v>149</v>
      </c>
      <c r="F891" s="8" t="str">
        <f aca="false">IFERROR(INDEX(Section_Master!$D$2:$D$477,MATCH($E891,Section_Master!$A$2:$A$477,0))&amp;"","")</f>
        <v>Imprisonment for life, or up to 10 years, and fine</v>
      </c>
      <c r="G891" s="10" t="str">
        <f aca="false">IFERROR(INDEX(Section_Master!$E$2:$E$477,MATCH($E891,Section_Master!$A$2:$A$477,0))&amp;"","")</f>
        <v>Yes</v>
      </c>
      <c r="H891" s="10" t="str">
        <f aca="false">IFERROR(INDEX(Section_Master!$F$2:$F$477,MATCH($E891,Section_Master!$A$2:$A$477,0))&amp;"","")</f>
        <v>No</v>
      </c>
      <c r="I891" s="10" t="str">
        <f aca="false">IFERROR(INDEX(Section_Master!$G$2:$G$477,MATCH($E891,Section_Master!$A$2:$A$477,0))&amp;"","")</f>
        <v>No</v>
      </c>
      <c r="J891" s="10" t="s">
        <v>52</v>
      </c>
      <c r="K891" s="8" t="s">
        <v>2125</v>
      </c>
    </row>
    <row r="892" customFormat="false" ht="34.5" hidden="false" customHeight="true" outlineLevel="0" collapsed="false">
      <c r="A892" s="10" t="s">
        <v>2128</v>
      </c>
      <c r="B892" s="10" t="s">
        <v>45</v>
      </c>
      <c r="C892" s="8" t="s">
        <v>2123</v>
      </c>
      <c r="D892" s="8" t="s">
        <v>2129</v>
      </c>
      <c r="E892" s="11" t="n">
        <v>149</v>
      </c>
      <c r="F892" s="8" t="str">
        <f aca="false">IFERROR(INDEX(Section_Master!$D$2:$D$477,MATCH($E892,Section_Master!$A$2:$A$477,0))&amp;"","")</f>
        <v>Imprisonment for life, or up to 10 years, and fine</v>
      </c>
      <c r="G892" s="10" t="str">
        <f aca="false">IFERROR(INDEX(Section_Master!$E$2:$E$477,MATCH($E892,Section_Master!$A$2:$A$477,0))&amp;"","")</f>
        <v>Yes</v>
      </c>
      <c r="H892" s="10" t="str">
        <f aca="false">IFERROR(INDEX(Section_Master!$F$2:$F$477,MATCH($E892,Section_Master!$A$2:$A$477,0))&amp;"","")</f>
        <v>No</v>
      </c>
      <c r="I892" s="10" t="str">
        <f aca="false">IFERROR(INDEX(Section_Master!$G$2:$G$477,MATCH($E892,Section_Master!$A$2:$A$477,0))&amp;"","")</f>
        <v>No</v>
      </c>
      <c r="J892" s="10" t="s">
        <v>55</v>
      </c>
      <c r="K892" s="8" t="s">
        <v>2125</v>
      </c>
    </row>
    <row r="893" customFormat="false" ht="34.5" hidden="false" customHeight="true" outlineLevel="0" collapsed="false">
      <c r="A893" s="10" t="s">
        <v>2130</v>
      </c>
      <c r="B893" s="10" t="s">
        <v>45</v>
      </c>
      <c r="C893" s="8" t="s">
        <v>2123</v>
      </c>
      <c r="D893" s="8" t="s">
        <v>2131</v>
      </c>
      <c r="E893" s="11" t="n">
        <v>149</v>
      </c>
      <c r="F893" s="8" t="str">
        <f aca="false">IFERROR(INDEX(Section_Master!$D$2:$D$477,MATCH($E893,Section_Master!$A$2:$A$477,0))&amp;"","")</f>
        <v>Imprisonment for life, or up to 10 years, and fine</v>
      </c>
      <c r="G893" s="10" t="str">
        <f aca="false">IFERROR(INDEX(Section_Master!$E$2:$E$477,MATCH($E893,Section_Master!$A$2:$A$477,0))&amp;"","")</f>
        <v>Yes</v>
      </c>
      <c r="H893" s="10" t="str">
        <f aca="false">IFERROR(INDEX(Section_Master!$F$2:$F$477,MATCH($E893,Section_Master!$A$2:$A$477,0))&amp;"","")</f>
        <v>No</v>
      </c>
      <c r="I893" s="10" t="str">
        <f aca="false">IFERROR(INDEX(Section_Master!$G$2:$G$477,MATCH($E893,Section_Master!$A$2:$A$477,0))&amp;"","")</f>
        <v>No</v>
      </c>
      <c r="J893" s="10" t="s">
        <v>58</v>
      </c>
      <c r="K893" s="8" t="s">
        <v>2125</v>
      </c>
    </row>
    <row r="894" customFormat="false" ht="34.5" hidden="false" customHeight="true" outlineLevel="0" collapsed="false">
      <c r="A894" s="10" t="s">
        <v>2132</v>
      </c>
      <c r="B894" s="10" t="s">
        <v>45</v>
      </c>
      <c r="C894" s="8" t="s">
        <v>2123</v>
      </c>
      <c r="D894" s="8" t="s">
        <v>2133</v>
      </c>
      <c r="E894" s="11" t="n">
        <v>149</v>
      </c>
      <c r="F894" s="8" t="str">
        <f aca="false">IFERROR(INDEX(Section_Master!$D$2:$D$477,MATCH($E894,Section_Master!$A$2:$A$477,0))&amp;"","")</f>
        <v>Imprisonment for life, or up to 10 years, and fine</v>
      </c>
      <c r="G894" s="10" t="str">
        <f aca="false">IFERROR(INDEX(Section_Master!$E$2:$E$477,MATCH($E894,Section_Master!$A$2:$A$477,0))&amp;"","")</f>
        <v>Yes</v>
      </c>
      <c r="H894" s="10" t="str">
        <f aca="false">IFERROR(INDEX(Section_Master!$F$2:$F$477,MATCH($E894,Section_Master!$A$2:$A$477,0))&amp;"","")</f>
        <v>No</v>
      </c>
      <c r="I894" s="10" t="str">
        <f aca="false">IFERROR(INDEX(Section_Master!$G$2:$G$477,MATCH($E894,Section_Master!$A$2:$A$477,0))&amp;"","")</f>
        <v>No</v>
      </c>
      <c r="J894" s="10" t="s">
        <v>61</v>
      </c>
      <c r="K894" s="8" t="s">
        <v>2125</v>
      </c>
    </row>
    <row r="895" customFormat="false" ht="45.75" hidden="false" customHeight="true" outlineLevel="0" collapsed="false">
      <c r="A895" s="10" t="s">
        <v>2134</v>
      </c>
      <c r="B895" s="10" t="s">
        <v>45</v>
      </c>
      <c r="C895" s="8" t="s">
        <v>2123</v>
      </c>
      <c r="D895" s="8" t="s">
        <v>2135</v>
      </c>
      <c r="E895" s="11" t="n">
        <v>149</v>
      </c>
      <c r="F895" s="8" t="str">
        <f aca="false">IFERROR(INDEX(Section_Master!$D$2:$D$477,MATCH($E895,Section_Master!$A$2:$A$477,0))&amp;"","")</f>
        <v>Imprisonment for life, or up to 10 years, and fine</v>
      </c>
      <c r="G895" s="10" t="str">
        <f aca="false">IFERROR(INDEX(Section_Master!$E$2:$E$477,MATCH($E895,Section_Master!$A$2:$A$477,0))&amp;"","")</f>
        <v>Yes</v>
      </c>
      <c r="H895" s="10" t="str">
        <f aca="false">IFERROR(INDEX(Section_Master!$F$2:$F$477,MATCH($E895,Section_Master!$A$2:$A$477,0))&amp;"","")</f>
        <v>No</v>
      </c>
      <c r="I895" s="10" t="str">
        <f aca="false">IFERROR(INDEX(Section_Master!$G$2:$G$477,MATCH($E895,Section_Master!$A$2:$A$477,0))&amp;"","")</f>
        <v>No</v>
      </c>
      <c r="J895" s="10" t="s">
        <v>64</v>
      </c>
      <c r="K895" s="8" t="s">
        <v>2125</v>
      </c>
    </row>
    <row r="896" customFormat="false" ht="34.5" hidden="false" customHeight="true" outlineLevel="0" collapsed="false">
      <c r="A896" s="10" t="s">
        <v>2136</v>
      </c>
      <c r="B896" s="10" t="s">
        <v>45</v>
      </c>
      <c r="C896" s="8" t="s">
        <v>2137</v>
      </c>
      <c r="D896" s="8" t="s">
        <v>2138</v>
      </c>
      <c r="E896" s="11" t="n">
        <v>150</v>
      </c>
      <c r="F896" s="8" t="str">
        <f aca="false">IFERROR(INDEX(Section_Master!$D$2:$D$477,MATCH($E896,Section_Master!$A$2:$A$477,0))&amp;"","")</f>
        <v>Imprisonment up to 10 years and fine</v>
      </c>
      <c r="G896" s="10" t="str">
        <f aca="false">IFERROR(INDEX(Section_Master!$E$2:$E$477,MATCH($E896,Section_Master!$A$2:$A$477,0))&amp;"","")</f>
        <v>Yes</v>
      </c>
      <c r="H896" s="10" t="str">
        <f aca="false">IFERROR(INDEX(Section_Master!$F$2:$F$477,MATCH($E896,Section_Master!$A$2:$A$477,0))&amp;"","")</f>
        <v>No</v>
      </c>
      <c r="I896" s="10" t="str">
        <f aca="false">IFERROR(INDEX(Section_Master!$G$2:$G$477,MATCH($E896,Section_Master!$A$2:$A$477,0))&amp;"","")</f>
        <v>No</v>
      </c>
      <c r="J896" s="10" t="s">
        <v>48</v>
      </c>
      <c r="K896" s="8" t="s">
        <v>2139</v>
      </c>
    </row>
    <row r="897" customFormat="false" ht="34.5" hidden="false" customHeight="true" outlineLevel="0" collapsed="false">
      <c r="A897" s="10" t="s">
        <v>2140</v>
      </c>
      <c r="B897" s="10" t="s">
        <v>45</v>
      </c>
      <c r="C897" s="8" t="s">
        <v>2137</v>
      </c>
      <c r="D897" s="8" t="s">
        <v>2141</v>
      </c>
      <c r="E897" s="11" t="n">
        <v>150</v>
      </c>
      <c r="F897" s="8" t="str">
        <f aca="false">IFERROR(INDEX(Section_Master!$D$2:$D$477,MATCH($E897,Section_Master!$A$2:$A$477,0))&amp;"","")</f>
        <v>Imprisonment up to 10 years and fine</v>
      </c>
      <c r="G897" s="10" t="str">
        <f aca="false">IFERROR(INDEX(Section_Master!$E$2:$E$477,MATCH($E897,Section_Master!$A$2:$A$477,0))&amp;"","")</f>
        <v>Yes</v>
      </c>
      <c r="H897" s="10" t="str">
        <f aca="false">IFERROR(INDEX(Section_Master!$F$2:$F$477,MATCH($E897,Section_Master!$A$2:$A$477,0))&amp;"","")</f>
        <v>No</v>
      </c>
      <c r="I897" s="10" t="str">
        <f aca="false">IFERROR(INDEX(Section_Master!$G$2:$G$477,MATCH($E897,Section_Master!$A$2:$A$477,0))&amp;"","")</f>
        <v>No</v>
      </c>
      <c r="J897" s="10" t="s">
        <v>52</v>
      </c>
      <c r="K897" s="8" t="s">
        <v>2139</v>
      </c>
    </row>
    <row r="898" customFormat="false" ht="23.25" hidden="false" customHeight="true" outlineLevel="0" collapsed="false">
      <c r="A898" s="10" t="s">
        <v>2142</v>
      </c>
      <c r="B898" s="10" t="s">
        <v>45</v>
      </c>
      <c r="C898" s="8" t="s">
        <v>2137</v>
      </c>
      <c r="D898" s="8" t="s">
        <v>2143</v>
      </c>
      <c r="E898" s="11" t="n">
        <v>150</v>
      </c>
      <c r="F898" s="8" t="str">
        <f aca="false">IFERROR(INDEX(Section_Master!$D$2:$D$477,MATCH($E898,Section_Master!$A$2:$A$477,0))&amp;"","")</f>
        <v>Imprisonment up to 10 years and fine</v>
      </c>
      <c r="G898" s="10" t="str">
        <f aca="false">IFERROR(INDEX(Section_Master!$E$2:$E$477,MATCH($E898,Section_Master!$A$2:$A$477,0))&amp;"","")</f>
        <v>Yes</v>
      </c>
      <c r="H898" s="10" t="str">
        <f aca="false">IFERROR(INDEX(Section_Master!$F$2:$F$477,MATCH($E898,Section_Master!$A$2:$A$477,0))&amp;"","")</f>
        <v>No</v>
      </c>
      <c r="I898" s="10" t="str">
        <f aca="false">IFERROR(INDEX(Section_Master!$G$2:$G$477,MATCH($E898,Section_Master!$A$2:$A$477,0))&amp;"","")</f>
        <v>No</v>
      </c>
      <c r="J898" s="10" t="s">
        <v>55</v>
      </c>
      <c r="K898" s="8" t="s">
        <v>2139</v>
      </c>
    </row>
    <row r="899" customFormat="false" ht="23.25" hidden="false" customHeight="true" outlineLevel="0" collapsed="false">
      <c r="A899" s="10" t="s">
        <v>2144</v>
      </c>
      <c r="B899" s="10" t="s">
        <v>45</v>
      </c>
      <c r="C899" s="8" t="s">
        <v>2137</v>
      </c>
      <c r="D899" s="8" t="s">
        <v>2145</v>
      </c>
      <c r="E899" s="11" t="n">
        <v>150</v>
      </c>
      <c r="F899" s="8" t="str">
        <f aca="false">IFERROR(INDEX(Section_Master!$D$2:$D$477,MATCH($E899,Section_Master!$A$2:$A$477,0))&amp;"","")</f>
        <v>Imprisonment up to 10 years and fine</v>
      </c>
      <c r="G899" s="10" t="str">
        <f aca="false">IFERROR(INDEX(Section_Master!$E$2:$E$477,MATCH($E899,Section_Master!$A$2:$A$477,0))&amp;"","")</f>
        <v>Yes</v>
      </c>
      <c r="H899" s="10" t="str">
        <f aca="false">IFERROR(INDEX(Section_Master!$F$2:$F$477,MATCH($E899,Section_Master!$A$2:$A$477,0))&amp;"","")</f>
        <v>No</v>
      </c>
      <c r="I899" s="10" t="str">
        <f aca="false">IFERROR(INDEX(Section_Master!$G$2:$G$477,MATCH($E899,Section_Master!$A$2:$A$477,0))&amp;"","")</f>
        <v>No</v>
      </c>
      <c r="J899" s="10" t="s">
        <v>58</v>
      </c>
      <c r="K899" s="8" t="s">
        <v>2139</v>
      </c>
    </row>
    <row r="900" customFormat="false" ht="34.5" hidden="false" customHeight="true" outlineLevel="0" collapsed="false">
      <c r="A900" s="10" t="s">
        <v>2146</v>
      </c>
      <c r="B900" s="10" t="s">
        <v>45</v>
      </c>
      <c r="C900" s="8" t="s">
        <v>2137</v>
      </c>
      <c r="D900" s="8" t="s">
        <v>2147</v>
      </c>
      <c r="E900" s="11" t="n">
        <v>150</v>
      </c>
      <c r="F900" s="8" t="str">
        <f aca="false">IFERROR(INDEX(Section_Master!$D$2:$D$477,MATCH($E900,Section_Master!$A$2:$A$477,0))&amp;"","")</f>
        <v>Imprisonment up to 10 years and fine</v>
      </c>
      <c r="G900" s="10" t="str">
        <f aca="false">IFERROR(INDEX(Section_Master!$E$2:$E$477,MATCH($E900,Section_Master!$A$2:$A$477,0))&amp;"","")</f>
        <v>Yes</v>
      </c>
      <c r="H900" s="10" t="str">
        <f aca="false">IFERROR(INDEX(Section_Master!$F$2:$F$477,MATCH($E900,Section_Master!$A$2:$A$477,0))&amp;"","")</f>
        <v>No</v>
      </c>
      <c r="I900" s="10" t="str">
        <f aca="false">IFERROR(INDEX(Section_Master!$G$2:$G$477,MATCH($E900,Section_Master!$A$2:$A$477,0))&amp;"","")</f>
        <v>No</v>
      </c>
      <c r="J900" s="10" t="s">
        <v>61</v>
      </c>
      <c r="K900" s="8" t="s">
        <v>2139</v>
      </c>
    </row>
    <row r="901" customFormat="false" ht="45.75" hidden="false" customHeight="true" outlineLevel="0" collapsed="false">
      <c r="A901" s="10" t="s">
        <v>2148</v>
      </c>
      <c r="B901" s="10" t="s">
        <v>45</v>
      </c>
      <c r="C901" s="8" t="s">
        <v>2137</v>
      </c>
      <c r="D901" s="8" t="s">
        <v>2149</v>
      </c>
      <c r="E901" s="11" t="n">
        <v>150</v>
      </c>
      <c r="F901" s="8" t="str">
        <f aca="false">IFERROR(INDEX(Section_Master!$D$2:$D$477,MATCH($E901,Section_Master!$A$2:$A$477,0))&amp;"","")</f>
        <v>Imprisonment up to 10 years and fine</v>
      </c>
      <c r="G901" s="10" t="str">
        <f aca="false">IFERROR(INDEX(Section_Master!$E$2:$E$477,MATCH($E901,Section_Master!$A$2:$A$477,0))&amp;"","")</f>
        <v>Yes</v>
      </c>
      <c r="H901" s="10" t="str">
        <f aca="false">IFERROR(INDEX(Section_Master!$F$2:$F$477,MATCH($E901,Section_Master!$A$2:$A$477,0))&amp;"","")</f>
        <v>No</v>
      </c>
      <c r="I901" s="10" t="str">
        <f aca="false">IFERROR(INDEX(Section_Master!$G$2:$G$477,MATCH($E901,Section_Master!$A$2:$A$477,0))&amp;"","")</f>
        <v>No</v>
      </c>
      <c r="J901" s="10" t="s">
        <v>64</v>
      </c>
      <c r="K901" s="8" t="s">
        <v>2139</v>
      </c>
    </row>
    <row r="902" customFormat="false" ht="34.5" hidden="false" customHeight="true" outlineLevel="0" collapsed="false">
      <c r="A902" s="10" t="s">
        <v>2150</v>
      </c>
      <c r="B902" s="10" t="s">
        <v>45</v>
      </c>
      <c r="C902" s="8" t="s">
        <v>2151</v>
      </c>
      <c r="D902" s="8" t="s">
        <v>2152</v>
      </c>
      <c r="E902" s="11" t="n">
        <v>151</v>
      </c>
      <c r="F902" s="8" t="str">
        <f aca="false">IFERROR(INDEX(Section_Master!$D$2:$D$477,MATCH($E902,Section_Master!$A$2:$A$477,0))&amp;"","")</f>
        <v>Imprisonment up to 7 years and fine</v>
      </c>
      <c r="G902" s="10" t="str">
        <f aca="false">IFERROR(INDEX(Section_Master!$E$2:$E$477,MATCH($E902,Section_Master!$A$2:$A$477,0))&amp;"","")</f>
        <v>Yes</v>
      </c>
      <c r="H902" s="10" t="str">
        <f aca="false">IFERROR(INDEX(Section_Master!$F$2:$F$477,MATCH($E902,Section_Master!$A$2:$A$477,0))&amp;"","")</f>
        <v>No</v>
      </c>
      <c r="I902" s="10" t="str">
        <f aca="false">IFERROR(INDEX(Section_Master!$G$2:$G$477,MATCH($E902,Section_Master!$A$2:$A$477,0))&amp;"","")</f>
        <v>No</v>
      </c>
      <c r="J902" s="10" t="s">
        <v>48</v>
      </c>
      <c r="K902" s="8" t="s">
        <v>2153</v>
      </c>
    </row>
    <row r="903" customFormat="false" ht="45.75" hidden="false" customHeight="true" outlineLevel="0" collapsed="false">
      <c r="A903" s="10" t="s">
        <v>2154</v>
      </c>
      <c r="B903" s="10" t="s">
        <v>45</v>
      </c>
      <c r="C903" s="8" t="s">
        <v>2151</v>
      </c>
      <c r="D903" s="8" t="s">
        <v>2155</v>
      </c>
      <c r="E903" s="11" t="n">
        <v>151</v>
      </c>
      <c r="F903" s="8" t="str">
        <f aca="false">IFERROR(INDEX(Section_Master!$D$2:$D$477,MATCH($E903,Section_Master!$A$2:$A$477,0))&amp;"","")</f>
        <v>Imprisonment up to 7 years and fine</v>
      </c>
      <c r="G903" s="10" t="str">
        <f aca="false">IFERROR(INDEX(Section_Master!$E$2:$E$477,MATCH($E903,Section_Master!$A$2:$A$477,0))&amp;"","")</f>
        <v>Yes</v>
      </c>
      <c r="H903" s="10" t="str">
        <f aca="false">IFERROR(INDEX(Section_Master!$F$2:$F$477,MATCH($E903,Section_Master!$A$2:$A$477,0))&amp;"","")</f>
        <v>No</v>
      </c>
      <c r="I903" s="10" t="str">
        <f aca="false">IFERROR(INDEX(Section_Master!$G$2:$G$477,MATCH($E903,Section_Master!$A$2:$A$477,0))&amp;"","")</f>
        <v>No</v>
      </c>
      <c r="J903" s="10" t="s">
        <v>52</v>
      </c>
      <c r="K903" s="8" t="s">
        <v>2153</v>
      </c>
    </row>
    <row r="904" customFormat="false" ht="34.5" hidden="false" customHeight="true" outlineLevel="0" collapsed="false">
      <c r="A904" s="10" t="s">
        <v>2156</v>
      </c>
      <c r="B904" s="10" t="s">
        <v>45</v>
      </c>
      <c r="C904" s="8" t="s">
        <v>2151</v>
      </c>
      <c r="D904" s="8" t="s">
        <v>2157</v>
      </c>
      <c r="E904" s="11" t="n">
        <v>151</v>
      </c>
      <c r="F904" s="8" t="str">
        <f aca="false">IFERROR(INDEX(Section_Master!$D$2:$D$477,MATCH($E904,Section_Master!$A$2:$A$477,0))&amp;"","")</f>
        <v>Imprisonment up to 7 years and fine</v>
      </c>
      <c r="G904" s="10" t="str">
        <f aca="false">IFERROR(INDEX(Section_Master!$E$2:$E$477,MATCH($E904,Section_Master!$A$2:$A$477,0))&amp;"","")</f>
        <v>Yes</v>
      </c>
      <c r="H904" s="10" t="str">
        <f aca="false">IFERROR(INDEX(Section_Master!$F$2:$F$477,MATCH($E904,Section_Master!$A$2:$A$477,0))&amp;"","")</f>
        <v>No</v>
      </c>
      <c r="I904" s="10" t="str">
        <f aca="false">IFERROR(INDEX(Section_Master!$G$2:$G$477,MATCH($E904,Section_Master!$A$2:$A$477,0))&amp;"","")</f>
        <v>No</v>
      </c>
      <c r="J904" s="10" t="s">
        <v>55</v>
      </c>
      <c r="K904" s="8" t="s">
        <v>2153</v>
      </c>
    </row>
    <row r="905" customFormat="false" ht="34.5" hidden="false" customHeight="true" outlineLevel="0" collapsed="false">
      <c r="A905" s="10" t="s">
        <v>2158</v>
      </c>
      <c r="B905" s="10" t="s">
        <v>45</v>
      </c>
      <c r="C905" s="8" t="s">
        <v>2151</v>
      </c>
      <c r="D905" s="8" t="s">
        <v>2159</v>
      </c>
      <c r="E905" s="11" t="n">
        <v>151</v>
      </c>
      <c r="F905" s="8" t="str">
        <f aca="false">IFERROR(INDEX(Section_Master!$D$2:$D$477,MATCH($E905,Section_Master!$A$2:$A$477,0))&amp;"","")</f>
        <v>Imprisonment up to 7 years and fine</v>
      </c>
      <c r="G905" s="10" t="str">
        <f aca="false">IFERROR(INDEX(Section_Master!$E$2:$E$477,MATCH($E905,Section_Master!$A$2:$A$477,0))&amp;"","")</f>
        <v>Yes</v>
      </c>
      <c r="H905" s="10" t="str">
        <f aca="false">IFERROR(INDEX(Section_Master!$F$2:$F$477,MATCH($E905,Section_Master!$A$2:$A$477,0))&amp;"","")</f>
        <v>No</v>
      </c>
      <c r="I905" s="10" t="str">
        <f aca="false">IFERROR(INDEX(Section_Master!$G$2:$G$477,MATCH($E905,Section_Master!$A$2:$A$477,0))&amp;"","")</f>
        <v>No</v>
      </c>
      <c r="J905" s="10" t="s">
        <v>58</v>
      </c>
      <c r="K905" s="8" t="s">
        <v>2153</v>
      </c>
    </row>
    <row r="906" customFormat="false" ht="34.5" hidden="false" customHeight="true" outlineLevel="0" collapsed="false">
      <c r="A906" s="10" t="s">
        <v>2160</v>
      </c>
      <c r="B906" s="10" t="s">
        <v>45</v>
      </c>
      <c r="C906" s="8" t="s">
        <v>2151</v>
      </c>
      <c r="D906" s="8" t="s">
        <v>2161</v>
      </c>
      <c r="E906" s="11" t="n">
        <v>151</v>
      </c>
      <c r="F906" s="8" t="str">
        <f aca="false">IFERROR(INDEX(Section_Master!$D$2:$D$477,MATCH($E906,Section_Master!$A$2:$A$477,0))&amp;"","")</f>
        <v>Imprisonment up to 7 years and fine</v>
      </c>
      <c r="G906" s="10" t="str">
        <f aca="false">IFERROR(INDEX(Section_Master!$E$2:$E$477,MATCH($E906,Section_Master!$A$2:$A$477,0))&amp;"","")</f>
        <v>Yes</v>
      </c>
      <c r="H906" s="10" t="str">
        <f aca="false">IFERROR(INDEX(Section_Master!$F$2:$F$477,MATCH($E906,Section_Master!$A$2:$A$477,0))&amp;"","")</f>
        <v>No</v>
      </c>
      <c r="I906" s="10" t="str">
        <f aca="false">IFERROR(INDEX(Section_Master!$G$2:$G$477,MATCH($E906,Section_Master!$A$2:$A$477,0))&amp;"","")</f>
        <v>No</v>
      </c>
      <c r="J906" s="10" t="s">
        <v>61</v>
      </c>
      <c r="K906" s="8" t="s">
        <v>2153</v>
      </c>
    </row>
    <row r="907" customFormat="false" ht="34.5" hidden="false" customHeight="true" outlineLevel="0" collapsed="false">
      <c r="A907" s="10" t="s">
        <v>2162</v>
      </c>
      <c r="B907" s="10" t="s">
        <v>45</v>
      </c>
      <c r="C907" s="8" t="s">
        <v>2151</v>
      </c>
      <c r="D907" s="8" t="s">
        <v>2163</v>
      </c>
      <c r="E907" s="11" t="n">
        <v>151</v>
      </c>
      <c r="F907" s="8" t="str">
        <f aca="false">IFERROR(INDEX(Section_Master!$D$2:$D$477,MATCH($E907,Section_Master!$A$2:$A$477,0))&amp;"","")</f>
        <v>Imprisonment up to 7 years and fine</v>
      </c>
      <c r="G907" s="10" t="str">
        <f aca="false">IFERROR(INDEX(Section_Master!$E$2:$E$477,MATCH($E907,Section_Master!$A$2:$A$477,0))&amp;"","")</f>
        <v>Yes</v>
      </c>
      <c r="H907" s="10" t="str">
        <f aca="false">IFERROR(INDEX(Section_Master!$F$2:$F$477,MATCH($E907,Section_Master!$A$2:$A$477,0))&amp;"","")</f>
        <v>No</v>
      </c>
      <c r="I907" s="10" t="str">
        <f aca="false">IFERROR(INDEX(Section_Master!$G$2:$G$477,MATCH($E907,Section_Master!$A$2:$A$477,0))&amp;"","")</f>
        <v>No</v>
      </c>
      <c r="J907" s="10" t="s">
        <v>64</v>
      </c>
      <c r="K907" s="8" t="s">
        <v>2153</v>
      </c>
    </row>
    <row r="908" customFormat="false" ht="34.5" hidden="false" customHeight="true" outlineLevel="0" collapsed="false">
      <c r="A908" s="10" t="s">
        <v>2164</v>
      </c>
      <c r="B908" s="10" t="s">
        <v>45</v>
      </c>
      <c r="C908" s="8" t="s">
        <v>2165</v>
      </c>
      <c r="D908" s="8" t="s">
        <v>2166</v>
      </c>
      <c r="E908" s="11" t="n">
        <v>152</v>
      </c>
      <c r="F908" s="8" t="str">
        <f aca="false">IFERROR(INDEX(Section_Master!$D$2:$D$477,MATCH($E908,Section_Master!$A$2:$A$477,0))&amp;"","")</f>
        <v>Imprisonment for life, or up to 7 years, and fine</v>
      </c>
      <c r="G908" s="10" t="str">
        <f aca="false">IFERROR(INDEX(Section_Master!$E$2:$E$477,MATCH($E908,Section_Master!$A$2:$A$477,0))&amp;"","")</f>
        <v>Yes</v>
      </c>
      <c r="H908" s="10" t="str">
        <f aca="false">IFERROR(INDEX(Section_Master!$F$2:$F$477,MATCH($E908,Section_Master!$A$2:$A$477,0))&amp;"","")</f>
        <v>No</v>
      </c>
      <c r="I908" s="10" t="str">
        <f aca="false">IFERROR(INDEX(Section_Master!$G$2:$G$477,MATCH($E908,Section_Master!$A$2:$A$477,0))&amp;"","")</f>
        <v>No</v>
      </c>
      <c r="J908" s="10" t="s">
        <v>48</v>
      </c>
      <c r="K908" s="8" t="s">
        <v>2167</v>
      </c>
    </row>
    <row r="909" customFormat="false" ht="34.5" hidden="false" customHeight="true" outlineLevel="0" collapsed="false">
      <c r="A909" s="10" t="s">
        <v>2168</v>
      </c>
      <c r="B909" s="10" t="s">
        <v>45</v>
      </c>
      <c r="C909" s="8" t="s">
        <v>2165</v>
      </c>
      <c r="D909" s="8" t="s">
        <v>2169</v>
      </c>
      <c r="E909" s="11" t="n">
        <v>152</v>
      </c>
      <c r="F909" s="8" t="str">
        <f aca="false">IFERROR(INDEX(Section_Master!$D$2:$D$477,MATCH($E909,Section_Master!$A$2:$A$477,0))&amp;"","")</f>
        <v>Imprisonment for life, or up to 7 years, and fine</v>
      </c>
      <c r="G909" s="10" t="str">
        <f aca="false">IFERROR(INDEX(Section_Master!$E$2:$E$477,MATCH($E909,Section_Master!$A$2:$A$477,0))&amp;"","")</f>
        <v>Yes</v>
      </c>
      <c r="H909" s="10" t="str">
        <f aca="false">IFERROR(INDEX(Section_Master!$F$2:$F$477,MATCH($E909,Section_Master!$A$2:$A$477,0))&amp;"","")</f>
        <v>No</v>
      </c>
      <c r="I909" s="10" t="str">
        <f aca="false">IFERROR(INDEX(Section_Master!$G$2:$G$477,MATCH($E909,Section_Master!$A$2:$A$477,0))&amp;"","")</f>
        <v>No</v>
      </c>
      <c r="J909" s="10" t="s">
        <v>52</v>
      </c>
      <c r="K909" s="8" t="s">
        <v>2167</v>
      </c>
    </row>
    <row r="910" customFormat="false" ht="34.5" hidden="false" customHeight="true" outlineLevel="0" collapsed="false">
      <c r="A910" s="10" t="s">
        <v>2170</v>
      </c>
      <c r="B910" s="10" t="s">
        <v>45</v>
      </c>
      <c r="C910" s="8" t="s">
        <v>2165</v>
      </c>
      <c r="D910" s="8" t="s">
        <v>2171</v>
      </c>
      <c r="E910" s="11" t="n">
        <v>152</v>
      </c>
      <c r="F910" s="8" t="str">
        <f aca="false">IFERROR(INDEX(Section_Master!$D$2:$D$477,MATCH($E910,Section_Master!$A$2:$A$477,0))&amp;"","")</f>
        <v>Imprisonment for life, or up to 7 years, and fine</v>
      </c>
      <c r="G910" s="10" t="str">
        <f aca="false">IFERROR(INDEX(Section_Master!$E$2:$E$477,MATCH($E910,Section_Master!$A$2:$A$477,0))&amp;"","")</f>
        <v>Yes</v>
      </c>
      <c r="H910" s="10" t="str">
        <f aca="false">IFERROR(INDEX(Section_Master!$F$2:$F$477,MATCH($E910,Section_Master!$A$2:$A$477,0))&amp;"","")</f>
        <v>No</v>
      </c>
      <c r="I910" s="10" t="str">
        <f aca="false">IFERROR(INDEX(Section_Master!$G$2:$G$477,MATCH($E910,Section_Master!$A$2:$A$477,0))&amp;"","")</f>
        <v>No</v>
      </c>
      <c r="J910" s="10" t="s">
        <v>55</v>
      </c>
      <c r="K910" s="8" t="s">
        <v>2167</v>
      </c>
    </row>
    <row r="911" customFormat="false" ht="23.25" hidden="false" customHeight="true" outlineLevel="0" collapsed="false">
      <c r="A911" s="10" t="s">
        <v>2172</v>
      </c>
      <c r="B911" s="10" t="s">
        <v>45</v>
      </c>
      <c r="C911" s="8" t="s">
        <v>2165</v>
      </c>
      <c r="D911" s="8" t="s">
        <v>2173</v>
      </c>
      <c r="E911" s="11" t="n">
        <v>152</v>
      </c>
      <c r="F911" s="8" t="str">
        <f aca="false">IFERROR(INDEX(Section_Master!$D$2:$D$477,MATCH($E911,Section_Master!$A$2:$A$477,0))&amp;"","")</f>
        <v>Imprisonment for life, or up to 7 years, and fine</v>
      </c>
      <c r="G911" s="10" t="str">
        <f aca="false">IFERROR(INDEX(Section_Master!$E$2:$E$477,MATCH($E911,Section_Master!$A$2:$A$477,0))&amp;"","")</f>
        <v>Yes</v>
      </c>
      <c r="H911" s="10" t="str">
        <f aca="false">IFERROR(INDEX(Section_Master!$F$2:$F$477,MATCH($E911,Section_Master!$A$2:$A$477,0))&amp;"","")</f>
        <v>No</v>
      </c>
      <c r="I911" s="10" t="str">
        <f aca="false">IFERROR(INDEX(Section_Master!$G$2:$G$477,MATCH($E911,Section_Master!$A$2:$A$477,0))&amp;"","")</f>
        <v>No</v>
      </c>
      <c r="J911" s="10" t="s">
        <v>58</v>
      </c>
      <c r="K911" s="8" t="s">
        <v>2167</v>
      </c>
    </row>
    <row r="912" customFormat="false" ht="34.5" hidden="false" customHeight="true" outlineLevel="0" collapsed="false">
      <c r="A912" s="10" t="s">
        <v>2174</v>
      </c>
      <c r="B912" s="10" t="s">
        <v>45</v>
      </c>
      <c r="C912" s="8" t="s">
        <v>2165</v>
      </c>
      <c r="D912" s="8" t="s">
        <v>2175</v>
      </c>
      <c r="E912" s="11" t="n">
        <v>152</v>
      </c>
      <c r="F912" s="8" t="str">
        <f aca="false">IFERROR(INDEX(Section_Master!$D$2:$D$477,MATCH($E912,Section_Master!$A$2:$A$477,0))&amp;"","")</f>
        <v>Imprisonment for life, or up to 7 years, and fine</v>
      </c>
      <c r="G912" s="10" t="str">
        <f aca="false">IFERROR(INDEX(Section_Master!$E$2:$E$477,MATCH($E912,Section_Master!$A$2:$A$477,0))&amp;"","")</f>
        <v>Yes</v>
      </c>
      <c r="H912" s="10" t="str">
        <f aca="false">IFERROR(INDEX(Section_Master!$F$2:$F$477,MATCH($E912,Section_Master!$A$2:$A$477,0))&amp;"","")</f>
        <v>No</v>
      </c>
      <c r="I912" s="10" t="str">
        <f aca="false">IFERROR(INDEX(Section_Master!$G$2:$G$477,MATCH($E912,Section_Master!$A$2:$A$477,0))&amp;"","")</f>
        <v>No</v>
      </c>
      <c r="J912" s="10" t="s">
        <v>61</v>
      </c>
      <c r="K912" s="8" t="s">
        <v>2167</v>
      </c>
    </row>
    <row r="913" customFormat="false" ht="45.75" hidden="false" customHeight="true" outlineLevel="0" collapsed="false">
      <c r="A913" s="10" t="s">
        <v>2176</v>
      </c>
      <c r="B913" s="10" t="s">
        <v>45</v>
      </c>
      <c r="C913" s="8" t="s">
        <v>2165</v>
      </c>
      <c r="D913" s="8" t="s">
        <v>2177</v>
      </c>
      <c r="E913" s="11" t="n">
        <v>152</v>
      </c>
      <c r="F913" s="8" t="str">
        <f aca="false">IFERROR(INDEX(Section_Master!$D$2:$D$477,MATCH($E913,Section_Master!$A$2:$A$477,0))&amp;"","")</f>
        <v>Imprisonment for life, or up to 7 years, and fine</v>
      </c>
      <c r="G913" s="10" t="str">
        <f aca="false">IFERROR(INDEX(Section_Master!$E$2:$E$477,MATCH($E913,Section_Master!$A$2:$A$477,0))&amp;"","")</f>
        <v>Yes</v>
      </c>
      <c r="H913" s="10" t="str">
        <f aca="false">IFERROR(INDEX(Section_Master!$F$2:$F$477,MATCH($E913,Section_Master!$A$2:$A$477,0))&amp;"","")</f>
        <v>No</v>
      </c>
      <c r="I913" s="10" t="str">
        <f aca="false">IFERROR(INDEX(Section_Master!$G$2:$G$477,MATCH($E913,Section_Master!$A$2:$A$477,0))&amp;"","")</f>
        <v>No</v>
      </c>
      <c r="J913" s="10" t="s">
        <v>64</v>
      </c>
      <c r="K913" s="8" t="s">
        <v>2167</v>
      </c>
    </row>
    <row r="914" customFormat="false" ht="34.5" hidden="false" customHeight="true" outlineLevel="0" collapsed="false">
      <c r="A914" s="10" t="s">
        <v>2178</v>
      </c>
      <c r="B914" s="10" t="s">
        <v>45</v>
      </c>
      <c r="C914" s="8" t="s">
        <v>2179</v>
      </c>
      <c r="D914" s="8" t="s">
        <v>2180</v>
      </c>
      <c r="E914" s="11" t="n">
        <v>153</v>
      </c>
      <c r="F914" s="8" t="str">
        <f aca="false">IFERROR(INDEX(Section_Master!$D$2:$D$477,MATCH($E914,Section_Master!$A$2:$A$477,0))&amp;"","")</f>
        <v>Imprisonment for life, or up to 7 years, and fine</v>
      </c>
      <c r="G914" s="10" t="str">
        <f aca="false">IFERROR(INDEX(Section_Master!$E$2:$E$477,MATCH($E914,Section_Master!$A$2:$A$477,0))&amp;"","")</f>
        <v>Yes</v>
      </c>
      <c r="H914" s="10" t="str">
        <f aca="false">IFERROR(INDEX(Section_Master!$F$2:$F$477,MATCH($E914,Section_Master!$A$2:$A$477,0))&amp;"","")</f>
        <v>No</v>
      </c>
      <c r="I914" s="10" t="str">
        <f aca="false">IFERROR(INDEX(Section_Master!$G$2:$G$477,MATCH($E914,Section_Master!$A$2:$A$477,0))&amp;"","")</f>
        <v>No</v>
      </c>
      <c r="J914" s="10" t="s">
        <v>48</v>
      </c>
      <c r="K914" s="8" t="s">
        <v>2181</v>
      </c>
    </row>
    <row r="915" customFormat="false" ht="34.5" hidden="false" customHeight="true" outlineLevel="0" collapsed="false">
      <c r="A915" s="10" t="s">
        <v>2182</v>
      </c>
      <c r="B915" s="10" t="s">
        <v>45</v>
      </c>
      <c r="C915" s="8" t="s">
        <v>2179</v>
      </c>
      <c r="D915" s="8" t="s">
        <v>2183</v>
      </c>
      <c r="E915" s="11" t="n">
        <v>153</v>
      </c>
      <c r="F915" s="8" t="str">
        <f aca="false">IFERROR(INDEX(Section_Master!$D$2:$D$477,MATCH($E915,Section_Master!$A$2:$A$477,0))&amp;"","")</f>
        <v>Imprisonment for life, or up to 7 years, and fine</v>
      </c>
      <c r="G915" s="10" t="str">
        <f aca="false">IFERROR(INDEX(Section_Master!$E$2:$E$477,MATCH($E915,Section_Master!$A$2:$A$477,0))&amp;"","")</f>
        <v>Yes</v>
      </c>
      <c r="H915" s="10" t="str">
        <f aca="false">IFERROR(INDEX(Section_Master!$F$2:$F$477,MATCH($E915,Section_Master!$A$2:$A$477,0))&amp;"","")</f>
        <v>No</v>
      </c>
      <c r="I915" s="10" t="str">
        <f aca="false">IFERROR(INDEX(Section_Master!$G$2:$G$477,MATCH($E915,Section_Master!$A$2:$A$477,0))&amp;"","")</f>
        <v>No</v>
      </c>
      <c r="J915" s="10" t="s">
        <v>52</v>
      </c>
      <c r="K915" s="8" t="s">
        <v>2181</v>
      </c>
    </row>
    <row r="916" customFormat="false" ht="34.5" hidden="false" customHeight="true" outlineLevel="0" collapsed="false">
      <c r="A916" s="10" t="s">
        <v>2184</v>
      </c>
      <c r="B916" s="10" t="s">
        <v>45</v>
      </c>
      <c r="C916" s="8" t="s">
        <v>2179</v>
      </c>
      <c r="D916" s="8" t="s">
        <v>2185</v>
      </c>
      <c r="E916" s="11" t="n">
        <v>153</v>
      </c>
      <c r="F916" s="8" t="str">
        <f aca="false">IFERROR(INDEX(Section_Master!$D$2:$D$477,MATCH($E916,Section_Master!$A$2:$A$477,0))&amp;"","")</f>
        <v>Imprisonment for life, or up to 7 years, and fine</v>
      </c>
      <c r="G916" s="10" t="str">
        <f aca="false">IFERROR(INDEX(Section_Master!$E$2:$E$477,MATCH($E916,Section_Master!$A$2:$A$477,0))&amp;"","")</f>
        <v>Yes</v>
      </c>
      <c r="H916" s="10" t="str">
        <f aca="false">IFERROR(INDEX(Section_Master!$F$2:$F$477,MATCH($E916,Section_Master!$A$2:$A$477,0))&amp;"","")</f>
        <v>No</v>
      </c>
      <c r="I916" s="10" t="str">
        <f aca="false">IFERROR(INDEX(Section_Master!$G$2:$G$477,MATCH($E916,Section_Master!$A$2:$A$477,0))&amp;"","")</f>
        <v>No</v>
      </c>
      <c r="J916" s="10" t="s">
        <v>55</v>
      </c>
      <c r="K916" s="8" t="s">
        <v>2181</v>
      </c>
    </row>
    <row r="917" customFormat="false" ht="34.5" hidden="false" customHeight="true" outlineLevel="0" collapsed="false">
      <c r="A917" s="10" t="s">
        <v>2186</v>
      </c>
      <c r="B917" s="10" t="s">
        <v>45</v>
      </c>
      <c r="C917" s="8" t="s">
        <v>2179</v>
      </c>
      <c r="D917" s="8" t="s">
        <v>2187</v>
      </c>
      <c r="E917" s="11" t="n">
        <v>153</v>
      </c>
      <c r="F917" s="8" t="str">
        <f aca="false">IFERROR(INDEX(Section_Master!$D$2:$D$477,MATCH($E917,Section_Master!$A$2:$A$477,0))&amp;"","")</f>
        <v>Imprisonment for life, or up to 7 years, and fine</v>
      </c>
      <c r="G917" s="10" t="str">
        <f aca="false">IFERROR(INDEX(Section_Master!$E$2:$E$477,MATCH($E917,Section_Master!$A$2:$A$477,0))&amp;"","")</f>
        <v>Yes</v>
      </c>
      <c r="H917" s="10" t="str">
        <f aca="false">IFERROR(INDEX(Section_Master!$F$2:$F$477,MATCH($E917,Section_Master!$A$2:$A$477,0))&amp;"","")</f>
        <v>No</v>
      </c>
      <c r="I917" s="10" t="str">
        <f aca="false">IFERROR(INDEX(Section_Master!$G$2:$G$477,MATCH($E917,Section_Master!$A$2:$A$477,0))&amp;"","")</f>
        <v>No</v>
      </c>
      <c r="J917" s="10" t="s">
        <v>58</v>
      </c>
      <c r="K917" s="8" t="s">
        <v>2181</v>
      </c>
    </row>
    <row r="918" customFormat="false" ht="34.5" hidden="false" customHeight="true" outlineLevel="0" collapsed="false">
      <c r="A918" s="10" t="s">
        <v>2188</v>
      </c>
      <c r="B918" s="10" t="s">
        <v>45</v>
      </c>
      <c r="C918" s="8" t="s">
        <v>2179</v>
      </c>
      <c r="D918" s="8" t="s">
        <v>2189</v>
      </c>
      <c r="E918" s="11" t="n">
        <v>153</v>
      </c>
      <c r="F918" s="8" t="str">
        <f aca="false">IFERROR(INDEX(Section_Master!$D$2:$D$477,MATCH($E918,Section_Master!$A$2:$A$477,0))&amp;"","")</f>
        <v>Imprisonment for life, or up to 7 years, and fine</v>
      </c>
      <c r="G918" s="10" t="str">
        <f aca="false">IFERROR(INDEX(Section_Master!$E$2:$E$477,MATCH($E918,Section_Master!$A$2:$A$477,0))&amp;"","")</f>
        <v>Yes</v>
      </c>
      <c r="H918" s="10" t="str">
        <f aca="false">IFERROR(INDEX(Section_Master!$F$2:$F$477,MATCH($E918,Section_Master!$A$2:$A$477,0))&amp;"","")</f>
        <v>No</v>
      </c>
      <c r="I918" s="10" t="str">
        <f aca="false">IFERROR(INDEX(Section_Master!$G$2:$G$477,MATCH($E918,Section_Master!$A$2:$A$477,0))&amp;"","")</f>
        <v>No</v>
      </c>
      <c r="J918" s="10" t="s">
        <v>61</v>
      </c>
      <c r="K918" s="8" t="s">
        <v>2181</v>
      </c>
    </row>
    <row r="919" customFormat="false" ht="34.5" hidden="false" customHeight="true" outlineLevel="0" collapsed="false">
      <c r="A919" s="10" t="s">
        <v>2190</v>
      </c>
      <c r="B919" s="10" t="s">
        <v>45</v>
      </c>
      <c r="C919" s="8" t="s">
        <v>2179</v>
      </c>
      <c r="D919" s="8" t="s">
        <v>2191</v>
      </c>
      <c r="E919" s="11" t="n">
        <v>153</v>
      </c>
      <c r="F919" s="8" t="str">
        <f aca="false">IFERROR(INDEX(Section_Master!$D$2:$D$477,MATCH($E919,Section_Master!$A$2:$A$477,0))&amp;"","")</f>
        <v>Imprisonment for life, or up to 7 years, and fine</v>
      </c>
      <c r="G919" s="10" t="str">
        <f aca="false">IFERROR(INDEX(Section_Master!$E$2:$E$477,MATCH($E919,Section_Master!$A$2:$A$477,0))&amp;"","")</f>
        <v>Yes</v>
      </c>
      <c r="H919" s="10" t="str">
        <f aca="false">IFERROR(INDEX(Section_Master!$F$2:$F$477,MATCH($E919,Section_Master!$A$2:$A$477,0))&amp;"","")</f>
        <v>No</v>
      </c>
      <c r="I919" s="10" t="str">
        <f aca="false">IFERROR(INDEX(Section_Master!$G$2:$G$477,MATCH($E919,Section_Master!$A$2:$A$477,0))&amp;"","")</f>
        <v>No</v>
      </c>
      <c r="J919" s="10" t="s">
        <v>64</v>
      </c>
      <c r="K919" s="8" t="s">
        <v>2181</v>
      </c>
    </row>
    <row r="920" customFormat="false" ht="34.5" hidden="false" customHeight="true" outlineLevel="0" collapsed="false">
      <c r="A920" s="10" t="s">
        <v>2192</v>
      </c>
      <c r="B920" s="10" t="s">
        <v>45</v>
      </c>
      <c r="C920" s="8" t="s">
        <v>2193</v>
      </c>
      <c r="D920" s="8" t="s">
        <v>2194</v>
      </c>
      <c r="E920" s="11" t="n">
        <v>154</v>
      </c>
      <c r="F920" s="8" t="str">
        <f aca="false">IFERROR(INDEX(Section_Master!$D$2:$D$477,MATCH($E920,Section_Master!$A$2:$A$477,0))&amp;"","")</f>
        <v>Imprisonment up to 7 years, fine and forfeiture of property</v>
      </c>
      <c r="G920" s="10" t="str">
        <f aca="false">IFERROR(INDEX(Section_Master!$E$2:$E$477,MATCH($E920,Section_Master!$A$2:$A$477,0))&amp;"","")</f>
        <v>Yes</v>
      </c>
      <c r="H920" s="10" t="str">
        <f aca="false">IFERROR(INDEX(Section_Master!$F$2:$F$477,MATCH($E920,Section_Master!$A$2:$A$477,0))&amp;"","")</f>
        <v>No</v>
      </c>
      <c r="I920" s="10" t="str">
        <f aca="false">IFERROR(INDEX(Section_Master!$G$2:$G$477,MATCH($E920,Section_Master!$A$2:$A$477,0))&amp;"","")</f>
        <v>No</v>
      </c>
      <c r="J920" s="10" t="s">
        <v>48</v>
      </c>
      <c r="K920" s="8" t="s">
        <v>2195</v>
      </c>
    </row>
    <row r="921" customFormat="false" ht="34.5" hidden="false" customHeight="true" outlineLevel="0" collapsed="false">
      <c r="A921" s="10" t="s">
        <v>2196</v>
      </c>
      <c r="B921" s="10" t="s">
        <v>45</v>
      </c>
      <c r="C921" s="8" t="s">
        <v>2193</v>
      </c>
      <c r="D921" s="8" t="s">
        <v>2197</v>
      </c>
      <c r="E921" s="11" t="n">
        <v>154</v>
      </c>
      <c r="F921" s="8" t="str">
        <f aca="false">IFERROR(INDEX(Section_Master!$D$2:$D$477,MATCH($E921,Section_Master!$A$2:$A$477,0))&amp;"","")</f>
        <v>Imprisonment up to 7 years, fine and forfeiture of property</v>
      </c>
      <c r="G921" s="10" t="str">
        <f aca="false">IFERROR(INDEX(Section_Master!$E$2:$E$477,MATCH($E921,Section_Master!$A$2:$A$477,0))&amp;"","")</f>
        <v>Yes</v>
      </c>
      <c r="H921" s="10" t="str">
        <f aca="false">IFERROR(INDEX(Section_Master!$F$2:$F$477,MATCH($E921,Section_Master!$A$2:$A$477,0))&amp;"","")</f>
        <v>No</v>
      </c>
      <c r="I921" s="10" t="str">
        <f aca="false">IFERROR(INDEX(Section_Master!$G$2:$G$477,MATCH($E921,Section_Master!$A$2:$A$477,0))&amp;"","")</f>
        <v>No</v>
      </c>
      <c r="J921" s="10" t="s">
        <v>52</v>
      </c>
      <c r="K921" s="8" t="s">
        <v>2195</v>
      </c>
    </row>
    <row r="922" customFormat="false" ht="34.5" hidden="false" customHeight="true" outlineLevel="0" collapsed="false">
      <c r="A922" s="10" t="s">
        <v>2198</v>
      </c>
      <c r="B922" s="10" t="s">
        <v>45</v>
      </c>
      <c r="C922" s="8" t="s">
        <v>2193</v>
      </c>
      <c r="D922" s="8" t="s">
        <v>2199</v>
      </c>
      <c r="E922" s="11" t="n">
        <v>154</v>
      </c>
      <c r="F922" s="8" t="str">
        <f aca="false">IFERROR(INDEX(Section_Master!$D$2:$D$477,MATCH($E922,Section_Master!$A$2:$A$477,0))&amp;"","")</f>
        <v>Imprisonment up to 7 years, fine and forfeiture of property</v>
      </c>
      <c r="G922" s="10" t="str">
        <f aca="false">IFERROR(INDEX(Section_Master!$E$2:$E$477,MATCH($E922,Section_Master!$A$2:$A$477,0))&amp;"","")</f>
        <v>Yes</v>
      </c>
      <c r="H922" s="10" t="str">
        <f aca="false">IFERROR(INDEX(Section_Master!$F$2:$F$477,MATCH($E922,Section_Master!$A$2:$A$477,0))&amp;"","")</f>
        <v>No</v>
      </c>
      <c r="I922" s="10" t="str">
        <f aca="false">IFERROR(INDEX(Section_Master!$G$2:$G$477,MATCH($E922,Section_Master!$A$2:$A$477,0))&amp;"","")</f>
        <v>No</v>
      </c>
      <c r="J922" s="10" t="s">
        <v>55</v>
      </c>
      <c r="K922" s="8" t="s">
        <v>2195</v>
      </c>
    </row>
    <row r="923" customFormat="false" ht="34.5" hidden="false" customHeight="true" outlineLevel="0" collapsed="false">
      <c r="A923" s="10" t="s">
        <v>2200</v>
      </c>
      <c r="B923" s="10" t="s">
        <v>45</v>
      </c>
      <c r="C923" s="8" t="s">
        <v>2193</v>
      </c>
      <c r="D923" s="8" t="s">
        <v>2201</v>
      </c>
      <c r="E923" s="11" t="n">
        <v>154</v>
      </c>
      <c r="F923" s="8" t="str">
        <f aca="false">IFERROR(INDEX(Section_Master!$D$2:$D$477,MATCH($E923,Section_Master!$A$2:$A$477,0))&amp;"","")</f>
        <v>Imprisonment up to 7 years, fine and forfeiture of property</v>
      </c>
      <c r="G923" s="10" t="str">
        <f aca="false">IFERROR(INDEX(Section_Master!$E$2:$E$477,MATCH($E923,Section_Master!$A$2:$A$477,0))&amp;"","")</f>
        <v>Yes</v>
      </c>
      <c r="H923" s="10" t="str">
        <f aca="false">IFERROR(INDEX(Section_Master!$F$2:$F$477,MATCH($E923,Section_Master!$A$2:$A$477,0))&amp;"","")</f>
        <v>No</v>
      </c>
      <c r="I923" s="10" t="str">
        <f aca="false">IFERROR(INDEX(Section_Master!$G$2:$G$477,MATCH($E923,Section_Master!$A$2:$A$477,0))&amp;"","")</f>
        <v>No</v>
      </c>
      <c r="J923" s="10" t="s">
        <v>58</v>
      </c>
      <c r="K923" s="8" t="s">
        <v>2195</v>
      </c>
    </row>
    <row r="924" customFormat="false" ht="34.5" hidden="false" customHeight="true" outlineLevel="0" collapsed="false">
      <c r="A924" s="10" t="s">
        <v>2202</v>
      </c>
      <c r="B924" s="10" t="s">
        <v>45</v>
      </c>
      <c r="C924" s="8" t="s">
        <v>2193</v>
      </c>
      <c r="D924" s="8" t="s">
        <v>2203</v>
      </c>
      <c r="E924" s="11" t="n">
        <v>154</v>
      </c>
      <c r="F924" s="8" t="str">
        <f aca="false">IFERROR(INDEX(Section_Master!$D$2:$D$477,MATCH($E924,Section_Master!$A$2:$A$477,0))&amp;"","")</f>
        <v>Imprisonment up to 7 years, fine and forfeiture of property</v>
      </c>
      <c r="G924" s="10" t="str">
        <f aca="false">IFERROR(INDEX(Section_Master!$E$2:$E$477,MATCH($E924,Section_Master!$A$2:$A$477,0))&amp;"","")</f>
        <v>Yes</v>
      </c>
      <c r="H924" s="10" t="str">
        <f aca="false">IFERROR(INDEX(Section_Master!$F$2:$F$477,MATCH($E924,Section_Master!$A$2:$A$477,0))&amp;"","")</f>
        <v>No</v>
      </c>
      <c r="I924" s="10" t="str">
        <f aca="false">IFERROR(INDEX(Section_Master!$G$2:$G$477,MATCH($E924,Section_Master!$A$2:$A$477,0))&amp;"","")</f>
        <v>No</v>
      </c>
      <c r="J924" s="10" t="s">
        <v>61</v>
      </c>
      <c r="K924" s="8" t="s">
        <v>2195</v>
      </c>
    </row>
    <row r="925" customFormat="false" ht="34.5" hidden="false" customHeight="true" outlineLevel="0" collapsed="false">
      <c r="A925" s="10" t="s">
        <v>2204</v>
      </c>
      <c r="B925" s="10" t="s">
        <v>45</v>
      </c>
      <c r="C925" s="8" t="s">
        <v>2193</v>
      </c>
      <c r="D925" s="8" t="s">
        <v>2205</v>
      </c>
      <c r="E925" s="11" t="n">
        <v>154</v>
      </c>
      <c r="F925" s="8" t="str">
        <f aca="false">IFERROR(INDEX(Section_Master!$D$2:$D$477,MATCH($E925,Section_Master!$A$2:$A$477,0))&amp;"","")</f>
        <v>Imprisonment up to 7 years, fine and forfeiture of property</v>
      </c>
      <c r="G925" s="10" t="str">
        <f aca="false">IFERROR(INDEX(Section_Master!$E$2:$E$477,MATCH($E925,Section_Master!$A$2:$A$477,0))&amp;"","")</f>
        <v>Yes</v>
      </c>
      <c r="H925" s="10" t="str">
        <f aca="false">IFERROR(INDEX(Section_Master!$F$2:$F$477,MATCH($E925,Section_Master!$A$2:$A$477,0))&amp;"","")</f>
        <v>No</v>
      </c>
      <c r="I925" s="10" t="str">
        <f aca="false">IFERROR(INDEX(Section_Master!$G$2:$G$477,MATCH($E925,Section_Master!$A$2:$A$477,0))&amp;"","")</f>
        <v>No</v>
      </c>
      <c r="J925" s="10" t="s">
        <v>64</v>
      </c>
      <c r="K925" s="8" t="s">
        <v>2195</v>
      </c>
    </row>
    <row r="926" customFormat="false" ht="34.5" hidden="false" customHeight="true" outlineLevel="0" collapsed="false">
      <c r="A926" s="10" t="s">
        <v>2206</v>
      </c>
      <c r="B926" s="10" t="s">
        <v>45</v>
      </c>
      <c r="C926" s="8" t="s">
        <v>2207</v>
      </c>
      <c r="D926" s="8" t="s">
        <v>2208</v>
      </c>
      <c r="E926" s="11" t="n">
        <v>155</v>
      </c>
      <c r="F926" s="8" t="str">
        <f aca="false">IFERROR(INDEX(Section_Master!$D$2:$D$477,MATCH($E926,Section_Master!$A$2:$A$477,0))&amp;"","")</f>
        <v>Imprisonment up to 7 years, fine and forfeiture of property</v>
      </c>
      <c r="G926" s="10" t="str">
        <f aca="false">IFERROR(INDEX(Section_Master!$E$2:$E$477,MATCH($E926,Section_Master!$A$2:$A$477,0))&amp;"","")</f>
        <v>Yes</v>
      </c>
      <c r="H926" s="10" t="str">
        <f aca="false">IFERROR(INDEX(Section_Master!$F$2:$F$477,MATCH($E926,Section_Master!$A$2:$A$477,0))&amp;"","")</f>
        <v>No</v>
      </c>
      <c r="I926" s="10" t="str">
        <f aca="false">IFERROR(INDEX(Section_Master!$G$2:$G$477,MATCH($E926,Section_Master!$A$2:$A$477,0))&amp;"","")</f>
        <v>No</v>
      </c>
      <c r="J926" s="10" t="s">
        <v>48</v>
      </c>
      <c r="K926" s="8" t="s">
        <v>2209</v>
      </c>
    </row>
    <row r="927" customFormat="false" ht="34.5" hidden="false" customHeight="true" outlineLevel="0" collapsed="false">
      <c r="A927" s="10" t="s">
        <v>2210</v>
      </c>
      <c r="B927" s="10" t="s">
        <v>45</v>
      </c>
      <c r="C927" s="8" t="s">
        <v>2207</v>
      </c>
      <c r="D927" s="8" t="s">
        <v>2211</v>
      </c>
      <c r="E927" s="11" t="n">
        <v>155</v>
      </c>
      <c r="F927" s="8" t="str">
        <f aca="false">IFERROR(INDEX(Section_Master!$D$2:$D$477,MATCH($E927,Section_Master!$A$2:$A$477,0))&amp;"","")</f>
        <v>Imprisonment up to 7 years, fine and forfeiture of property</v>
      </c>
      <c r="G927" s="10" t="str">
        <f aca="false">IFERROR(INDEX(Section_Master!$E$2:$E$477,MATCH($E927,Section_Master!$A$2:$A$477,0))&amp;"","")</f>
        <v>Yes</v>
      </c>
      <c r="H927" s="10" t="str">
        <f aca="false">IFERROR(INDEX(Section_Master!$F$2:$F$477,MATCH($E927,Section_Master!$A$2:$A$477,0))&amp;"","")</f>
        <v>No</v>
      </c>
      <c r="I927" s="10" t="str">
        <f aca="false">IFERROR(INDEX(Section_Master!$G$2:$G$477,MATCH($E927,Section_Master!$A$2:$A$477,0))&amp;"","")</f>
        <v>No</v>
      </c>
      <c r="J927" s="10" t="s">
        <v>52</v>
      </c>
      <c r="K927" s="8" t="s">
        <v>2209</v>
      </c>
    </row>
    <row r="928" customFormat="false" ht="34.5" hidden="false" customHeight="true" outlineLevel="0" collapsed="false">
      <c r="A928" s="10" t="s">
        <v>2212</v>
      </c>
      <c r="B928" s="10" t="s">
        <v>45</v>
      </c>
      <c r="C928" s="8" t="s">
        <v>2207</v>
      </c>
      <c r="D928" s="8" t="s">
        <v>2213</v>
      </c>
      <c r="E928" s="11" t="n">
        <v>155</v>
      </c>
      <c r="F928" s="8" t="str">
        <f aca="false">IFERROR(INDEX(Section_Master!$D$2:$D$477,MATCH($E928,Section_Master!$A$2:$A$477,0))&amp;"","")</f>
        <v>Imprisonment up to 7 years, fine and forfeiture of property</v>
      </c>
      <c r="G928" s="10" t="str">
        <f aca="false">IFERROR(INDEX(Section_Master!$E$2:$E$477,MATCH($E928,Section_Master!$A$2:$A$477,0))&amp;"","")</f>
        <v>Yes</v>
      </c>
      <c r="H928" s="10" t="str">
        <f aca="false">IFERROR(INDEX(Section_Master!$F$2:$F$477,MATCH($E928,Section_Master!$A$2:$A$477,0))&amp;"","")</f>
        <v>No</v>
      </c>
      <c r="I928" s="10" t="str">
        <f aca="false">IFERROR(INDEX(Section_Master!$G$2:$G$477,MATCH($E928,Section_Master!$A$2:$A$477,0))&amp;"","")</f>
        <v>No</v>
      </c>
      <c r="J928" s="10" t="s">
        <v>55</v>
      </c>
      <c r="K928" s="8" t="s">
        <v>2209</v>
      </c>
    </row>
    <row r="929" customFormat="false" ht="34.5" hidden="false" customHeight="true" outlineLevel="0" collapsed="false">
      <c r="A929" s="10" t="s">
        <v>2214</v>
      </c>
      <c r="B929" s="10" t="s">
        <v>45</v>
      </c>
      <c r="C929" s="8" t="s">
        <v>2207</v>
      </c>
      <c r="D929" s="8" t="s">
        <v>2215</v>
      </c>
      <c r="E929" s="11" t="n">
        <v>155</v>
      </c>
      <c r="F929" s="8" t="str">
        <f aca="false">IFERROR(INDEX(Section_Master!$D$2:$D$477,MATCH($E929,Section_Master!$A$2:$A$477,0))&amp;"","")</f>
        <v>Imprisonment up to 7 years, fine and forfeiture of property</v>
      </c>
      <c r="G929" s="10" t="str">
        <f aca="false">IFERROR(INDEX(Section_Master!$E$2:$E$477,MATCH($E929,Section_Master!$A$2:$A$477,0))&amp;"","")</f>
        <v>Yes</v>
      </c>
      <c r="H929" s="10" t="str">
        <f aca="false">IFERROR(INDEX(Section_Master!$F$2:$F$477,MATCH($E929,Section_Master!$A$2:$A$477,0))&amp;"","")</f>
        <v>No</v>
      </c>
      <c r="I929" s="10" t="str">
        <f aca="false">IFERROR(INDEX(Section_Master!$G$2:$G$477,MATCH($E929,Section_Master!$A$2:$A$477,0))&amp;"","")</f>
        <v>No</v>
      </c>
      <c r="J929" s="10" t="s">
        <v>58</v>
      </c>
      <c r="K929" s="8" t="s">
        <v>2209</v>
      </c>
    </row>
    <row r="930" customFormat="false" ht="34.5" hidden="false" customHeight="true" outlineLevel="0" collapsed="false">
      <c r="A930" s="10" t="s">
        <v>2216</v>
      </c>
      <c r="B930" s="10" t="s">
        <v>45</v>
      </c>
      <c r="C930" s="8" t="s">
        <v>2207</v>
      </c>
      <c r="D930" s="8" t="s">
        <v>2217</v>
      </c>
      <c r="E930" s="11" t="n">
        <v>155</v>
      </c>
      <c r="F930" s="8" t="str">
        <f aca="false">IFERROR(INDEX(Section_Master!$D$2:$D$477,MATCH($E930,Section_Master!$A$2:$A$477,0))&amp;"","")</f>
        <v>Imprisonment up to 7 years, fine and forfeiture of property</v>
      </c>
      <c r="G930" s="10" t="str">
        <f aca="false">IFERROR(INDEX(Section_Master!$E$2:$E$477,MATCH($E930,Section_Master!$A$2:$A$477,0))&amp;"","")</f>
        <v>Yes</v>
      </c>
      <c r="H930" s="10" t="str">
        <f aca="false">IFERROR(INDEX(Section_Master!$F$2:$F$477,MATCH($E930,Section_Master!$A$2:$A$477,0))&amp;"","")</f>
        <v>No</v>
      </c>
      <c r="I930" s="10" t="str">
        <f aca="false">IFERROR(INDEX(Section_Master!$G$2:$G$477,MATCH($E930,Section_Master!$A$2:$A$477,0))&amp;"","")</f>
        <v>No</v>
      </c>
      <c r="J930" s="10" t="s">
        <v>61</v>
      </c>
      <c r="K930" s="8" t="s">
        <v>2209</v>
      </c>
    </row>
    <row r="931" customFormat="false" ht="34.5" hidden="false" customHeight="true" outlineLevel="0" collapsed="false">
      <c r="A931" s="10" t="s">
        <v>2218</v>
      </c>
      <c r="B931" s="10" t="s">
        <v>45</v>
      </c>
      <c r="C931" s="8" t="s">
        <v>2207</v>
      </c>
      <c r="D931" s="8" t="s">
        <v>2219</v>
      </c>
      <c r="E931" s="11" t="n">
        <v>155</v>
      </c>
      <c r="F931" s="8" t="str">
        <f aca="false">IFERROR(INDEX(Section_Master!$D$2:$D$477,MATCH($E931,Section_Master!$A$2:$A$477,0))&amp;"","")</f>
        <v>Imprisonment up to 7 years, fine and forfeiture of property</v>
      </c>
      <c r="G931" s="10" t="str">
        <f aca="false">IFERROR(INDEX(Section_Master!$E$2:$E$477,MATCH($E931,Section_Master!$A$2:$A$477,0))&amp;"","")</f>
        <v>Yes</v>
      </c>
      <c r="H931" s="10" t="str">
        <f aca="false">IFERROR(INDEX(Section_Master!$F$2:$F$477,MATCH($E931,Section_Master!$A$2:$A$477,0))&amp;"","")</f>
        <v>No</v>
      </c>
      <c r="I931" s="10" t="str">
        <f aca="false">IFERROR(INDEX(Section_Master!$G$2:$G$477,MATCH($E931,Section_Master!$A$2:$A$477,0))&amp;"","")</f>
        <v>No</v>
      </c>
      <c r="J931" s="10" t="s">
        <v>64</v>
      </c>
      <c r="K931" s="8" t="s">
        <v>2209</v>
      </c>
    </row>
    <row r="932" customFormat="false" ht="34.5" hidden="false" customHeight="true" outlineLevel="0" collapsed="false">
      <c r="A932" s="10" t="s">
        <v>2220</v>
      </c>
      <c r="B932" s="10" t="s">
        <v>45</v>
      </c>
      <c r="C932" s="8" t="s">
        <v>2221</v>
      </c>
      <c r="D932" s="8" t="s">
        <v>2222</v>
      </c>
      <c r="E932" s="11" t="n">
        <v>156</v>
      </c>
      <c r="F932" s="8" t="str">
        <f aca="false">IFERROR(INDEX(Section_Master!$D$2:$D$477,MATCH($E932,Section_Master!$A$2:$A$477,0))&amp;"","")</f>
        <v>Imprisonment for life, or up to 10 years, and fine</v>
      </c>
      <c r="G932" s="10" t="str">
        <f aca="false">IFERROR(INDEX(Section_Master!$E$2:$E$477,MATCH($E932,Section_Master!$A$2:$A$477,0))&amp;"","")</f>
        <v>Yes</v>
      </c>
      <c r="H932" s="10" t="str">
        <f aca="false">IFERROR(INDEX(Section_Master!$F$2:$F$477,MATCH($E932,Section_Master!$A$2:$A$477,0))&amp;"","")</f>
        <v>No</v>
      </c>
      <c r="I932" s="10" t="str">
        <f aca="false">IFERROR(INDEX(Section_Master!$G$2:$G$477,MATCH($E932,Section_Master!$A$2:$A$477,0))&amp;"","")</f>
        <v>No</v>
      </c>
      <c r="J932" s="10" t="s">
        <v>48</v>
      </c>
      <c r="K932" s="8" t="s">
        <v>2223</v>
      </c>
    </row>
    <row r="933" customFormat="false" ht="34.5" hidden="false" customHeight="true" outlineLevel="0" collapsed="false">
      <c r="A933" s="10" t="s">
        <v>2224</v>
      </c>
      <c r="B933" s="10" t="s">
        <v>45</v>
      </c>
      <c r="C933" s="8" t="s">
        <v>2221</v>
      </c>
      <c r="D933" s="8" t="s">
        <v>2225</v>
      </c>
      <c r="E933" s="11" t="n">
        <v>156</v>
      </c>
      <c r="F933" s="8" t="str">
        <f aca="false">IFERROR(INDEX(Section_Master!$D$2:$D$477,MATCH($E933,Section_Master!$A$2:$A$477,0))&amp;"","")</f>
        <v>Imprisonment for life, or up to 10 years, and fine</v>
      </c>
      <c r="G933" s="10" t="str">
        <f aca="false">IFERROR(INDEX(Section_Master!$E$2:$E$477,MATCH($E933,Section_Master!$A$2:$A$477,0))&amp;"","")</f>
        <v>Yes</v>
      </c>
      <c r="H933" s="10" t="str">
        <f aca="false">IFERROR(INDEX(Section_Master!$F$2:$F$477,MATCH($E933,Section_Master!$A$2:$A$477,0))&amp;"","")</f>
        <v>No</v>
      </c>
      <c r="I933" s="10" t="str">
        <f aca="false">IFERROR(INDEX(Section_Master!$G$2:$G$477,MATCH($E933,Section_Master!$A$2:$A$477,0))&amp;"","")</f>
        <v>No</v>
      </c>
      <c r="J933" s="10" t="s">
        <v>52</v>
      </c>
      <c r="K933" s="8" t="s">
        <v>2223</v>
      </c>
    </row>
    <row r="934" customFormat="false" ht="34.5" hidden="false" customHeight="true" outlineLevel="0" collapsed="false">
      <c r="A934" s="10" t="s">
        <v>2226</v>
      </c>
      <c r="B934" s="10" t="s">
        <v>45</v>
      </c>
      <c r="C934" s="8" t="s">
        <v>2221</v>
      </c>
      <c r="D934" s="8" t="s">
        <v>2227</v>
      </c>
      <c r="E934" s="11" t="n">
        <v>156</v>
      </c>
      <c r="F934" s="8" t="str">
        <f aca="false">IFERROR(INDEX(Section_Master!$D$2:$D$477,MATCH($E934,Section_Master!$A$2:$A$477,0))&amp;"","")</f>
        <v>Imprisonment for life, or up to 10 years, and fine</v>
      </c>
      <c r="G934" s="10" t="str">
        <f aca="false">IFERROR(INDEX(Section_Master!$E$2:$E$477,MATCH($E934,Section_Master!$A$2:$A$477,0))&amp;"","")</f>
        <v>Yes</v>
      </c>
      <c r="H934" s="10" t="str">
        <f aca="false">IFERROR(INDEX(Section_Master!$F$2:$F$477,MATCH($E934,Section_Master!$A$2:$A$477,0))&amp;"","")</f>
        <v>No</v>
      </c>
      <c r="I934" s="10" t="str">
        <f aca="false">IFERROR(INDEX(Section_Master!$G$2:$G$477,MATCH($E934,Section_Master!$A$2:$A$477,0))&amp;"","")</f>
        <v>No</v>
      </c>
      <c r="J934" s="10" t="s">
        <v>55</v>
      </c>
      <c r="K934" s="8" t="s">
        <v>2223</v>
      </c>
    </row>
    <row r="935" customFormat="false" ht="23.25" hidden="false" customHeight="true" outlineLevel="0" collapsed="false">
      <c r="A935" s="10" t="s">
        <v>2228</v>
      </c>
      <c r="B935" s="10" t="s">
        <v>45</v>
      </c>
      <c r="C935" s="8" t="s">
        <v>2221</v>
      </c>
      <c r="D935" s="8" t="s">
        <v>2229</v>
      </c>
      <c r="E935" s="11" t="n">
        <v>156</v>
      </c>
      <c r="F935" s="8" t="str">
        <f aca="false">IFERROR(INDEX(Section_Master!$D$2:$D$477,MATCH($E935,Section_Master!$A$2:$A$477,0))&amp;"","")</f>
        <v>Imprisonment for life, or up to 10 years, and fine</v>
      </c>
      <c r="G935" s="10" t="str">
        <f aca="false">IFERROR(INDEX(Section_Master!$E$2:$E$477,MATCH($E935,Section_Master!$A$2:$A$477,0))&amp;"","")</f>
        <v>Yes</v>
      </c>
      <c r="H935" s="10" t="str">
        <f aca="false">IFERROR(INDEX(Section_Master!$F$2:$F$477,MATCH($E935,Section_Master!$A$2:$A$477,0))&amp;"","")</f>
        <v>No</v>
      </c>
      <c r="I935" s="10" t="str">
        <f aca="false">IFERROR(INDEX(Section_Master!$G$2:$G$477,MATCH($E935,Section_Master!$A$2:$A$477,0))&amp;"","")</f>
        <v>No</v>
      </c>
      <c r="J935" s="10" t="s">
        <v>58</v>
      </c>
      <c r="K935" s="8" t="s">
        <v>2223</v>
      </c>
    </row>
    <row r="936" customFormat="false" ht="34.5" hidden="false" customHeight="true" outlineLevel="0" collapsed="false">
      <c r="A936" s="10" t="s">
        <v>2230</v>
      </c>
      <c r="B936" s="10" t="s">
        <v>45</v>
      </c>
      <c r="C936" s="8" t="s">
        <v>2221</v>
      </c>
      <c r="D936" s="8" t="s">
        <v>2231</v>
      </c>
      <c r="E936" s="11" t="n">
        <v>156</v>
      </c>
      <c r="F936" s="8" t="str">
        <f aca="false">IFERROR(INDEX(Section_Master!$D$2:$D$477,MATCH($E936,Section_Master!$A$2:$A$477,0))&amp;"","")</f>
        <v>Imprisonment for life, or up to 10 years, and fine</v>
      </c>
      <c r="G936" s="10" t="str">
        <f aca="false">IFERROR(INDEX(Section_Master!$E$2:$E$477,MATCH($E936,Section_Master!$A$2:$A$477,0))&amp;"","")</f>
        <v>Yes</v>
      </c>
      <c r="H936" s="10" t="str">
        <f aca="false">IFERROR(INDEX(Section_Master!$F$2:$F$477,MATCH($E936,Section_Master!$A$2:$A$477,0))&amp;"","")</f>
        <v>No</v>
      </c>
      <c r="I936" s="10" t="str">
        <f aca="false">IFERROR(INDEX(Section_Master!$G$2:$G$477,MATCH($E936,Section_Master!$A$2:$A$477,0))&amp;"","")</f>
        <v>No</v>
      </c>
      <c r="J936" s="10" t="s">
        <v>61</v>
      </c>
      <c r="K936" s="8" t="s">
        <v>2223</v>
      </c>
    </row>
    <row r="937" customFormat="false" ht="34.5" hidden="false" customHeight="true" outlineLevel="0" collapsed="false">
      <c r="A937" s="10" t="s">
        <v>2232</v>
      </c>
      <c r="B937" s="10" t="s">
        <v>45</v>
      </c>
      <c r="C937" s="8" t="s">
        <v>2221</v>
      </c>
      <c r="D937" s="8" t="s">
        <v>2233</v>
      </c>
      <c r="E937" s="11" t="n">
        <v>156</v>
      </c>
      <c r="F937" s="8" t="str">
        <f aca="false">IFERROR(INDEX(Section_Master!$D$2:$D$477,MATCH($E937,Section_Master!$A$2:$A$477,0))&amp;"","")</f>
        <v>Imprisonment for life, or up to 10 years, and fine</v>
      </c>
      <c r="G937" s="10" t="str">
        <f aca="false">IFERROR(INDEX(Section_Master!$E$2:$E$477,MATCH($E937,Section_Master!$A$2:$A$477,0))&amp;"","")</f>
        <v>Yes</v>
      </c>
      <c r="H937" s="10" t="str">
        <f aca="false">IFERROR(INDEX(Section_Master!$F$2:$F$477,MATCH($E937,Section_Master!$A$2:$A$477,0))&amp;"","")</f>
        <v>No</v>
      </c>
      <c r="I937" s="10" t="str">
        <f aca="false">IFERROR(INDEX(Section_Master!$G$2:$G$477,MATCH($E937,Section_Master!$A$2:$A$477,0))&amp;"","")</f>
        <v>No</v>
      </c>
      <c r="J937" s="10" t="s">
        <v>64</v>
      </c>
      <c r="K937" s="8" t="s">
        <v>2223</v>
      </c>
    </row>
    <row r="938" customFormat="false" ht="34.5" hidden="false" customHeight="true" outlineLevel="0" collapsed="false">
      <c r="A938" s="10" t="s">
        <v>2234</v>
      </c>
      <c r="B938" s="10" t="s">
        <v>45</v>
      </c>
      <c r="C938" s="8" t="s">
        <v>2235</v>
      </c>
      <c r="D938" s="8" t="s">
        <v>2236</v>
      </c>
      <c r="E938" s="11" t="n">
        <v>157</v>
      </c>
      <c r="F938" s="8" t="str">
        <f aca="false">IFERROR(INDEX(Section_Master!$D$2:$D$477,MATCH($E938,Section_Master!$A$2:$A$477,0))&amp;"","")</f>
        <v>Simple imprisonment up to 3 years and fine</v>
      </c>
      <c r="G938" s="10" t="str">
        <f aca="false">IFERROR(INDEX(Section_Master!$E$2:$E$477,MATCH($E938,Section_Master!$A$2:$A$477,0))&amp;"","")</f>
        <v>Yes</v>
      </c>
      <c r="H938" s="10" t="str">
        <f aca="false">IFERROR(INDEX(Section_Master!$F$2:$F$477,MATCH($E938,Section_Master!$A$2:$A$477,0))&amp;"","")</f>
        <v>No</v>
      </c>
      <c r="I938" s="10" t="str">
        <f aca="false">IFERROR(INDEX(Section_Master!$G$2:$G$477,MATCH($E938,Section_Master!$A$2:$A$477,0))&amp;"","")</f>
        <v>No</v>
      </c>
      <c r="J938" s="10" t="s">
        <v>48</v>
      </c>
      <c r="K938" s="8" t="s">
        <v>2237</v>
      </c>
    </row>
    <row r="939" customFormat="false" ht="34.5" hidden="false" customHeight="true" outlineLevel="0" collapsed="false">
      <c r="A939" s="10" t="s">
        <v>2238</v>
      </c>
      <c r="B939" s="10" t="s">
        <v>45</v>
      </c>
      <c r="C939" s="8" t="s">
        <v>2235</v>
      </c>
      <c r="D939" s="8" t="s">
        <v>2239</v>
      </c>
      <c r="E939" s="11" t="n">
        <v>157</v>
      </c>
      <c r="F939" s="8" t="str">
        <f aca="false">IFERROR(INDEX(Section_Master!$D$2:$D$477,MATCH($E939,Section_Master!$A$2:$A$477,0))&amp;"","")</f>
        <v>Simple imprisonment up to 3 years and fine</v>
      </c>
      <c r="G939" s="10" t="str">
        <f aca="false">IFERROR(INDEX(Section_Master!$E$2:$E$477,MATCH($E939,Section_Master!$A$2:$A$477,0))&amp;"","")</f>
        <v>Yes</v>
      </c>
      <c r="H939" s="10" t="str">
        <f aca="false">IFERROR(INDEX(Section_Master!$F$2:$F$477,MATCH($E939,Section_Master!$A$2:$A$477,0))&amp;"","")</f>
        <v>No</v>
      </c>
      <c r="I939" s="10" t="str">
        <f aca="false">IFERROR(INDEX(Section_Master!$G$2:$G$477,MATCH($E939,Section_Master!$A$2:$A$477,0))&amp;"","")</f>
        <v>No</v>
      </c>
      <c r="J939" s="10" t="s">
        <v>52</v>
      </c>
      <c r="K939" s="8" t="s">
        <v>2237</v>
      </c>
    </row>
    <row r="940" customFormat="false" ht="34.5" hidden="false" customHeight="true" outlineLevel="0" collapsed="false">
      <c r="A940" s="10" t="s">
        <v>2240</v>
      </c>
      <c r="B940" s="10" t="s">
        <v>45</v>
      </c>
      <c r="C940" s="8" t="s">
        <v>2235</v>
      </c>
      <c r="D940" s="8" t="s">
        <v>2241</v>
      </c>
      <c r="E940" s="11" t="n">
        <v>157</v>
      </c>
      <c r="F940" s="8" t="str">
        <f aca="false">IFERROR(INDEX(Section_Master!$D$2:$D$477,MATCH($E940,Section_Master!$A$2:$A$477,0))&amp;"","")</f>
        <v>Simple imprisonment up to 3 years and fine</v>
      </c>
      <c r="G940" s="10" t="str">
        <f aca="false">IFERROR(INDEX(Section_Master!$E$2:$E$477,MATCH($E940,Section_Master!$A$2:$A$477,0))&amp;"","")</f>
        <v>Yes</v>
      </c>
      <c r="H940" s="10" t="str">
        <f aca="false">IFERROR(INDEX(Section_Master!$F$2:$F$477,MATCH($E940,Section_Master!$A$2:$A$477,0))&amp;"","")</f>
        <v>No</v>
      </c>
      <c r="I940" s="10" t="str">
        <f aca="false">IFERROR(INDEX(Section_Master!$G$2:$G$477,MATCH($E940,Section_Master!$A$2:$A$477,0))&amp;"","")</f>
        <v>No</v>
      </c>
      <c r="J940" s="10" t="s">
        <v>55</v>
      </c>
      <c r="K940" s="8" t="s">
        <v>2237</v>
      </c>
    </row>
    <row r="941" customFormat="false" ht="34.5" hidden="false" customHeight="true" outlineLevel="0" collapsed="false">
      <c r="A941" s="10" t="s">
        <v>2242</v>
      </c>
      <c r="B941" s="10" t="s">
        <v>45</v>
      </c>
      <c r="C941" s="8" t="s">
        <v>2235</v>
      </c>
      <c r="D941" s="8" t="s">
        <v>2243</v>
      </c>
      <c r="E941" s="11" t="n">
        <v>157</v>
      </c>
      <c r="F941" s="8" t="str">
        <f aca="false">IFERROR(INDEX(Section_Master!$D$2:$D$477,MATCH($E941,Section_Master!$A$2:$A$477,0))&amp;"","")</f>
        <v>Simple imprisonment up to 3 years and fine</v>
      </c>
      <c r="G941" s="10" t="str">
        <f aca="false">IFERROR(INDEX(Section_Master!$E$2:$E$477,MATCH($E941,Section_Master!$A$2:$A$477,0))&amp;"","")</f>
        <v>Yes</v>
      </c>
      <c r="H941" s="10" t="str">
        <f aca="false">IFERROR(INDEX(Section_Master!$F$2:$F$477,MATCH($E941,Section_Master!$A$2:$A$477,0))&amp;"","")</f>
        <v>No</v>
      </c>
      <c r="I941" s="10" t="str">
        <f aca="false">IFERROR(INDEX(Section_Master!$G$2:$G$477,MATCH($E941,Section_Master!$A$2:$A$477,0))&amp;"","")</f>
        <v>No</v>
      </c>
      <c r="J941" s="10" t="s">
        <v>58</v>
      </c>
      <c r="K941" s="8" t="s">
        <v>2237</v>
      </c>
    </row>
    <row r="942" customFormat="false" ht="34.5" hidden="false" customHeight="true" outlineLevel="0" collapsed="false">
      <c r="A942" s="10" t="s">
        <v>2244</v>
      </c>
      <c r="B942" s="10" t="s">
        <v>45</v>
      </c>
      <c r="C942" s="8" t="s">
        <v>2235</v>
      </c>
      <c r="D942" s="8" t="s">
        <v>2245</v>
      </c>
      <c r="E942" s="11" t="n">
        <v>157</v>
      </c>
      <c r="F942" s="8" t="str">
        <f aca="false">IFERROR(INDEX(Section_Master!$D$2:$D$477,MATCH($E942,Section_Master!$A$2:$A$477,0))&amp;"","")</f>
        <v>Simple imprisonment up to 3 years and fine</v>
      </c>
      <c r="G942" s="10" t="str">
        <f aca="false">IFERROR(INDEX(Section_Master!$E$2:$E$477,MATCH($E942,Section_Master!$A$2:$A$477,0))&amp;"","")</f>
        <v>Yes</v>
      </c>
      <c r="H942" s="10" t="str">
        <f aca="false">IFERROR(INDEX(Section_Master!$F$2:$F$477,MATCH($E942,Section_Master!$A$2:$A$477,0))&amp;"","")</f>
        <v>No</v>
      </c>
      <c r="I942" s="10" t="str">
        <f aca="false">IFERROR(INDEX(Section_Master!$G$2:$G$477,MATCH($E942,Section_Master!$A$2:$A$477,0))&amp;"","")</f>
        <v>No</v>
      </c>
      <c r="J942" s="10" t="s">
        <v>61</v>
      </c>
      <c r="K942" s="8" t="s">
        <v>2237</v>
      </c>
    </row>
    <row r="943" customFormat="false" ht="34.5" hidden="false" customHeight="true" outlineLevel="0" collapsed="false">
      <c r="A943" s="10" t="s">
        <v>2246</v>
      </c>
      <c r="B943" s="10" t="s">
        <v>45</v>
      </c>
      <c r="C943" s="8" t="s">
        <v>2235</v>
      </c>
      <c r="D943" s="8" t="s">
        <v>2247</v>
      </c>
      <c r="E943" s="11" t="n">
        <v>157</v>
      </c>
      <c r="F943" s="8" t="str">
        <f aca="false">IFERROR(INDEX(Section_Master!$D$2:$D$477,MATCH($E943,Section_Master!$A$2:$A$477,0))&amp;"","")</f>
        <v>Simple imprisonment up to 3 years and fine</v>
      </c>
      <c r="G943" s="10" t="str">
        <f aca="false">IFERROR(INDEX(Section_Master!$E$2:$E$477,MATCH($E943,Section_Master!$A$2:$A$477,0))&amp;"","")</f>
        <v>Yes</v>
      </c>
      <c r="H943" s="10" t="str">
        <f aca="false">IFERROR(INDEX(Section_Master!$F$2:$F$477,MATCH($E943,Section_Master!$A$2:$A$477,0))&amp;"","")</f>
        <v>No</v>
      </c>
      <c r="I943" s="10" t="str">
        <f aca="false">IFERROR(INDEX(Section_Master!$G$2:$G$477,MATCH($E943,Section_Master!$A$2:$A$477,0))&amp;"","")</f>
        <v>No</v>
      </c>
      <c r="J943" s="10" t="s">
        <v>64</v>
      </c>
      <c r="K943" s="8" t="s">
        <v>2237</v>
      </c>
    </row>
    <row r="944" customFormat="false" ht="34.5" hidden="false" customHeight="true" outlineLevel="0" collapsed="false">
      <c r="A944" s="10" t="s">
        <v>2248</v>
      </c>
      <c r="B944" s="10" t="s">
        <v>45</v>
      </c>
      <c r="C944" s="8" t="s">
        <v>2249</v>
      </c>
      <c r="D944" s="8" t="s">
        <v>2250</v>
      </c>
      <c r="E944" s="11" t="n">
        <v>158</v>
      </c>
      <c r="F944" s="8" t="str">
        <f aca="false">IFERROR(INDEX(Section_Master!$D$2:$D$477,MATCH($E944,Section_Master!$A$2:$A$477,0))&amp;"","")</f>
        <v>Imprisonment for life, or up to 10 years, and fine</v>
      </c>
      <c r="G944" s="10" t="str">
        <f aca="false">IFERROR(INDEX(Section_Master!$E$2:$E$477,MATCH($E944,Section_Master!$A$2:$A$477,0))&amp;"","")</f>
        <v>Yes</v>
      </c>
      <c r="H944" s="10" t="str">
        <f aca="false">IFERROR(INDEX(Section_Master!$F$2:$F$477,MATCH($E944,Section_Master!$A$2:$A$477,0))&amp;"","")</f>
        <v>No</v>
      </c>
      <c r="I944" s="10" t="str">
        <f aca="false">IFERROR(INDEX(Section_Master!$G$2:$G$477,MATCH($E944,Section_Master!$A$2:$A$477,0))&amp;"","")</f>
        <v>No</v>
      </c>
      <c r="J944" s="10" t="s">
        <v>48</v>
      </c>
      <c r="K944" s="8" t="s">
        <v>2251</v>
      </c>
    </row>
    <row r="945" customFormat="false" ht="34.5" hidden="false" customHeight="true" outlineLevel="0" collapsed="false">
      <c r="A945" s="10" t="s">
        <v>2252</v>
      </c>
      <c r="B945" s="10" t="s">
        <v>45</v>
      </c>
      <c r="C945" s="8" t="s">
        <v>2249</v>
      </c>
      <c r="D945" s="8" t="s">
        <v>2253</v>
      </c>
      <c r="E945" s="11" t="n">
        <v>158</v>
      </c>
      <c r="F945" s="8" t="str">
        <f aca="false">IFERROR(INDEX(Section_Master!$D$2:$D$477,MATCH($E945,Section_Master!$A$2:$A$477,0))&amp;"","")</f>
        <v>Imprisonment for life, or up to 10 years, and fine</v>
      </c>
      <c r="G945" s="10" t="str">
        <f aca="false">IFERROR(INDEX(Section_Master!$E$2:$E$477,MATCH($E945,Section_Master!$A$2:$A$477,0))&amp;"","")</f>
        <v>Yes</v>
      </c>
      <c r="H945" s="10" t="str">
        <f aca="false">IFERROR(INDEX(Section_Master!$F$2:$F$477,MATCH($E945,Section_Master!$A$2:$A$477,0))&amp;"","")</f>
        <v>No</v>
      </c>
      <c r="I945" s="10" t="str">
        <f aca="false">IFERROR(INDEX(Section_Master!$G$2:$G$477,MATCH($E945,Section_Master!$A$2:$A$477,0))&amp;"","")</f>
        <v>No</v>
      </c>
      <c r="J945" s="10" t="s">
        <v>52</v>
      </c>
      <c r="K945" s="8" t="s">
        <v>2251</v>
      </c>
    </row>
    <row r="946" customFormat="false" ht="34.5" hidden="false" customHeight="true" outlineLevel="0" collapsed="false">
      <c r="A946" s="10" t="s">
        <v>2254</v>
      </c>
      <c r="B946" s="10" t="s">
        <v>45</v>
      </c>
      <c r="C946" s="8" t="s">
        <v>2249</v>
      </c>
      <c r="D946" s="8" t="s">
        <v>2255</v>
      </c>
      <c r="E946" s="11" t="n">
        <v>158</v>
      </c>
      <c r="F946" s="8" t="str">
        <f aca="false">IFERROR(INDEX(Section_Master!$D$2:$D$477,MATCH($E946,Section_Master!$A$2:$A$477,0))&amp;"","")</f>
        <v>Imprisonment for life, or up to 10 years, and fine</v>
      </c>
      <c r="G946" s="10" t="str">
        <f aca="false">IFERROR(INDEX(Section_Master!$E$2:$E$477,MATCH($E946,Section_Master!$A$2:$A$477,0))&amp;"","")</f>
        <v>Yes</v>
      </c>
      <c r="H946" s="10" t="str">
        <f aca="false">IFERROR(INDEX(Section_Master!$F$2:$F$477,MATCH($E946,Section_Master!$A$2:$A$477,0))&amp;"","")</f>
        <v>No</v>
      </c>
      <c r="I946" s="10" t="str">
        <f aca="false">IFERROR(INDEX(Section_Master!$G$2:$G$477,MATCH($E946,Section_Master!$A$2:$A$477,0))&amp;"","")</f>
        <v>No</v>
      </c>
      <c r="J946" s="10" t="s">
        <v>55</v>
      </c>
      <c r="K946" s="8" t="s">
        <v>2251</v>
      </c>
    </row>
    <row r="947" customFormat="false" ht="23.25" hidden="false" customHeight="true" outlineLevel="0" collapsed="false">
      <c r="A947" s="10" t="s">
        <v>2256</v>
      </c>
      <c r="B947" s="10" t="s">
        <v>45</v>
      </c>
      <c r="C947" s="8" t="s">
        <v>2249</v>
      </c>
      <c r="D947" s="8" t="s">
        <v>2257</v>
      </c>
      <c r="E947" s="11" t="n">
        <v>158</v>
      </c>
      <c r="F947" s="8" t="str">
        <f aca="false">IFERROR(INDEX(Section_Master!$D$2:$D$477,MATCH($E947,Section_Master!$A$2:$A$477,0))&amp;"","")</f>
        <v>Imprisonment for life, or up to 10 years, and fine</v>
      </c>
      <c r="G947" s="10" t="str">
        <f aca="false">IFERROR(INDEX(Section_Master!$E$2:$E$477,MATCH($E947,Section_Master!$A$2:$A$477,0))&amp;"","")</f>
        <v>Yes</v>
      </c>
      <c r="H947" s="10" t="str">
        <f aca="false">IFERROR(INDEX(Section_Master!$F$2:$F$477,MATCH($E947,Section_Master!$A$2:$A$477,0))&amp;"","")</f>
        <v>No</v>
      </c>
      <c r="I947" s="10" t="str">
        <f aca="false">IFERROR(INDEX(Section_Master!$G$2:$G$477,MATCH($E947,Section_Master!$A$2:$A$477,0))&amp;"","")</f>
        <v>No</v>
      </c>
      <c r="J947" s="10" t="s">
        <v>58</v>
      </c>
      <c r="K947" s="8" t="s">
        <v>2251</v>
      </c>
    </row>
    <row r="948" customFormat="false" ht="34.5" hidden="false" customHeight="true" outlineLevel="0" collapsed="false">
      <c r="A948" s="10" t="s">
        <v>2258</v>
      </c>
      <c r="B948" s="10" t="s">
        <v>45</v>
      </c>
      <c r="C948" s="8" t="s">
        <v>2249</v>
      </c>
      <c r="D948" s="8" t="s">
        <v>2259</v>
      </c>
      <c r="E948" s="11" t="n">
        <v>158</v>
      </c>
      <c r="F948" s="8" t="str">
        <f aca="false">IFERROR(INDEX(Section_Master!$D$2:$D$477,MATCH($E948,Section_Master!$A$2:$A$477,0))&amp;"","")</f>
        <v>Imprisonment for life, or up to 10 years, and fine</v>
      </c>
      <c r="G948" s="10" t="str">
        <f aca="false">IFERROR(INDEX(Section_Master!$E$2:$E$477,MATCH($E948,Section_Master!$A$2:$A$477,0))&amp;"","")</f>
        <v>Yes</v>
      </c>
      <c r="H948" s="10" t="str">
        <f aca="false">IFERROR(INDEX(Section_Master!$F$2:$F$477,MATCH($E948,Section_Master!$A$2:$A$477,0))&amp;"","")</f>
        <v>No</v>
      </c>
      <c r="I948" s="10" t="str">
        <f aca="false">IFERROR(INDEX(Section_Master!$G$2:$G$477,MATCH($E948,Section_Master!$A$2:$A$477,0))&amp;"","")</f>
        <v>No</v>
      </c>
      <c r="J948" s="10" t="s">
        <v>61</v>
      </c>
      <c r="K948" s="8" t="s">
        <v>2251</v>
      </c>
    </row>
    <row r="949" customFormat="false" ht="34.5" hidden="false" customHeight="true" outlineLevel="0" collapsed="false">
      <c r="A949" s="10" t="s">
        <v>2260</v>
      </c>
      <c r="B949" s="10" t="s">
        <v>45</v>
      </c>
      <c r="C949" s="8" t="s">
        <v>2249</v>
      </c>
      <c r="D949" s="8" t="s">
        <v>2261</v>
      </c>
      <c r="E949" s="11" t="n">
        <v>158</v>
      </c>
      <c r="F949" s="8" t="str">
        <f aca="false">IFERROR(INDEX(Section_Master!$D$2:$D$477,MATCH($E949,Section_Master!$A$2:$A$477,0))&amp;"","")</f>
        <v>Imprisonment for life, or up to 10 years, and fine</v>
      </c>
      <c r="G949" s="10" t="str">
        <f aca="false">IFERROR(INDEX(Section_Master!$E$2:$E$477,MATCH($E949,Section_Master!$A$2:$A$477,0))&amp;"","")</f>
        <v>Yes</v>
      </c>
      <c r="H949" s="10" t="str">
        <f aca="false">IFERROR(INDEX(Section_Master!$F$2:$F$477,MATCH($E949,Section_Master!$A$2:$A$477,0))&amp;"","")</f>
        <v>No</v>
      </c>
      <c r="I949" s="10" t="str">
        <f aca="false">IFERROR(INDEX(Section_Master!$G$2:$G$477,MATCH($E949,Section_Master!$A$2:$A$477,0))&amp;"","")</f>
        <v>No</v>
      </c>
      <c r="J949" s="10" t="s">
        <v>64</v>
      </c>
      <c r="K949" s="8" t="s">
        <v>2251</v>
      </c>
    </row>
    <row r="950" customFormat="false" ht="34.5" hidden="false" customHeight="true" outlineLevel="0" collapsed="false">
      <c r="A950" s="10" t="s">
        <v>2262</v>
      </c>
      <c r="B950" s="10" t="s">
        <v>45</v>
      </c>
      <c r="C950" s="8" t="s">
        <v>2263</v>
      </c>
      <c r="D950" s="8" t="s">
        <v>2264</v>
      </c>
      <c r="E950" s="11" t="n">
        <v>159</v>
      </c>
      <c r="F950" s="8" t="str">
        <f aca="false">IFERROR(INDEX(Section_Master!$D$2:$D$477,MATCH($E950,Section_Master!$A$2:$A$477,0))&amp;"","")</f>
        <v>Imprisonment for life, or up to 10 years, and fine</v>
      </c>
      <c r="G950" s="10" t="str">
        <f aca="false">IFERROR(INDEX(Section_Master!$E$2:$E$477,MATCH($E950,Section_Master!$A$2:$A$477,0))&amp;"","")</f>
        <v>Yes</v>
      </c>
      <c r="H950" s="10" t="str">
        <f aca="false">IFERROR(INDEX(Section_Master!$F$2:$F$477,MATCH($E950,Section_Master!$A$2:$A$477,0))&amp;"","")</f>
        <v>No</v>
      </c>
      <c r="I950" s="10" t="str">
        <f aca="false">IFERROR(INDEX(Section_Master!$G$2:$G$477,MATCH($E950,Section_Master!$A$2:$A$477,0))&amp;"","")</f>
        <v>No</v>
      </c>
      <c r="J950" s="10" t="s">
        <v>48</v>
      </c>
      <c r="K950" s="8" t="s">
        <v>2265</v>
      </c>
    </row>
    <row r="951" customFormat="false" ht="34.5" hidden="false" customHeight="true" outlineLevel="0" collapsed="false">
      <c r="A951" s="10" t="s">
        <v>2266</v>
      </c>
      <c r="B951" s="10" t="s">
        <v>45</v>
      </c>
      <c r="C951" s="8" t="s">
        <v>2263</v>
      </c>
      <c r="D951" s="8" t="s">
        <v>2267</v>
      </c>
      <c r="E951" s="11" t="n">
        <v>159</v>
      </c>
      <c r="F951" s="8" t="str">
        <f aca="false">IFERROR(INDEX(Section_Master!$D$2:$D$477,MATCH($E951,Section_Master!$A$2:$A$477,0))&amp;"","")</f>
        <v>Imprisonment for life, or up to 10 years, and fine</v>
      </c>
      <c r="G951" s="10" t="str">
        <f aca="false">IFERROR(INDEX(Section_Master!$E$2:$E$477,MATCH($E951,Section_Master!$A$2:$A$477,0))&amp;"","")</f>
        <v>Yes</v>
      </c>
      <c r="H951" s="10" t="str">
        <f aca="false">IFERROR(INDEX(Section_Master!$F$2:$F$477,MATCH($E951,Section_Master!$A$2:$A$477,0))&amp;"","")</f>
        <v>No</v>
      </c>
      <c r="I951" s="10" t="str">
        <f aca="false">IFERROR(INDEX(Section_Master!$G$2:$G$477,MATCH($E951,Section_Master!$A$2:$A$477,0))&amp;"","")</f>
        <v>No</v>
      </c>
      <c r="J951" s="10" t="s">
        <v>52</v>
      </c>
      <c r="K951" s="8" t="s">
        <v>2265</v>
      </c>
    </row>
    <row r="952" customFormat="false" ht="34.5" hidden="false" customHeight="true" outlineLevel="0" collapsed="false">
      <c r="A952" s="10" t="s">
        <v>2268</v>
      </c>
      <c r="B952" s="10" t="s">
        <v>45</v>
      </c>
      <c r="C952" s="8" t="s">
        <v>2263</v>
      </c>
      <c r="D952" s="8" t="s">
        <v>2269</v>
      </c>
      <c r="E952" s="11" t="n">
        <v>159</v>
      </c>
      <c r="F952" s="8" t="str">
        <f aca="false">IFERROR(INDEX(Section_Master!$D$2:$D$477,MATCH($E952,Section_Master!$A$2:$A$477,0))&amp;"","")</f>
        <v>Imprisonment for life, or up to 10 years, and fine</v>
      </c>
      <c r="G952" s="10" t="str">
        <f aca="false">IFERROR(INDEX(Section_Master!$E$2:$E$477,MATCH($E952,Section_Master!$A$2:$A$477,0))&amp;"","")</f>
        <v>Yes</v>
      </c>
      <c r="H952" s="10" t="str">
        <f aca="false">IFERROR(INDEX(Section_Master!$F$2:$F$477,MATCH($E952,Section_Master!$A$2:$A$477,0))&amp;"","")</f>
        <v>No</v>
      </c>
      <c r="I952" s="10" t="str">
        <f aca="false">IFERROR(INDEX(Section_Master!$G$2:$G$477,MATCH($E952,Section_Master!$A$2:$A$477,0))&amp;"","")</f>
        <v>No</v>
      </c>
      <c r="J952" s="10" t="s">
        <v>55</v>
      </c>
      <c r="K952" s="8" t="s">
        <v>2265</v>
      </c>
    </row>
    <row r="953" customFormat="false" ht="34.5" hidden="false" customHeight="true" outlineLevel="0" collapsed="false">
      <c r="A953" s="10" t="s">
        <v>2270</v>
      </c>
      <c r="B953" s="10" t="s">
        <v>45</v>
      </c>
      <c r="C953" s="8" t="s">
        <v>2263</v>
      </c>
      <c r="D953" s="8" t="s">
        <v>2271</v>
      </c>
      <c r="E953" s="11" t="n">
        <v>159</v>
      </c>
      <c r="F953" s="8" t="str">
        <f aca="false">IFERROR(INDEX(Section_Master!$D$2:$D$477,MATCH($E953,Section_Master!$A$2:$A$477,0))&amp;"","")</f>
        <v>Imprisonment for life, or up to 10 years, and fine</v>
      </c>
      <c r="G953" s="10" t="str">
        <f aca="false">IFERROR(INDEX(Section_Master!$E$2:$E$477,MATCH($E953,Section_Master!$A$2:$A$477,0))&amp;"","")</f>
        <v>Yes</v>
      </c>
      <c r="H953" s="10" t="str">
        <f aca="false">IFERROR(INDEX(Section_Master!$F$2:$F$477,MATCH($E953,Section_Master!$A$2:$A$477,0))&amp;"","")</f>
        <v>No</v>
      </c>
      <c r="I953" s="10" t="str">
        <f aca="false">IFERROR(INDEX(Section_Master!$G$2:$G$477,MATCH($E953,Section_Master!$A$2:$A$477,0))&amp;"","")</f>
        <v>No</v>
      </c>
      <c r="J953" s="10" t="s">
        <v>58</v>
      </c>
      <c r="K953" s="8" t="s">
        <v>2265</v>
      </c>
    </row>
    <row r="954" customFormat="false" ht="34.5" hidden="false" customHeight="true" outlineLevel="0" collapsed="false">
      <c r="A954" s="10" t="s">
        <v>2272</v>
      </c>
      <c r="B954" s="10" t="s">
        <v>45</v>
      </c>
      <c r="C954" s="8" t="s">
        <v>2263</v>
      </c>
      <c r="D954" s="8" t="s">
        <v>2273</v>
      </c>
      <c r="E954" s="11" t="n">
        <v>159</v>
      </c>
      <c r="F954" s="8" t="str">
        <f aca="false">IFERROR(INDEX(Section_Master!$D$2:$D$477,MATCH($E954,Section_Master!$A$2:$A$477,0))&amp;"","")</f>
        <v>Imprisonment for life, or up to 10 years, and fine</v>
      </c>
      <c r="G954" s="10" t="str">
        <f aca="false">IFERROR(INDEX(Section_Master!$E$2:$E$477,MATCH($E954,Section_Master!$A$2:$A$477,0))&amp;"","")</f>
        <v>Yes</v>
      </c>
      <c r="H954" s="10" t="str">
        <f aca="false">IFERROR(INDEX(Section_Master!$F$2:$F$477,MATCH($E954,Section_Master!$A$2:$A$477,0))&amp;"","")</f>
        <v>No</v>
      </c>
      <c r="I954" s="10" t="str">
        <f aca="false">IFERROR(INDEX(Section_Master!$G$2:$G$477,MATCH($E954,Section_Master!$A$2:$A$477,0))&amp;"","")</f>
        <v>No</v>
      </c>
      <c r="J954" s="10" t="s">
        <v>61</v>
      </c>
      <c r="K954" s="8" t="s">
        <v>2265</v>
      </c>
    </row>
    <row r="955" customFormat="false" ht="34.5" hidden="false" customHeight="true" outlineLevel="0" collapsed="false">
      <c r="A955" s="10" t="s">
        <v>2274</v>
      </c>
      <c r="B955" s="10" t="s">
        <v>45</v>
      </c>
      <c r="C955" s="8" t="s">
        <v>2263</v>
      </c>
      <c r="D955" s="8" t="s">
        <v>2275</v>
      </c>
      <c r="E955" s="11" t="n">
        <v>159</v>
      </c>
      <c r="F955" s="8" t="str">
        <f aca="false">IFERROR(INDEX(Section_Master!$D$2:$D$477,MATCH($E955,Section_Master!$A$2:$A$477,0))&amp;"","")</f>
        <v>Imprisonment for life, or up to 10 years, and fine</v>
      </c>
      <c r="G955" s="10" t="str">
        <f aca="false">IFERROR(INDEX(Section_Master!$E$2:$E$477,MATCH($E955,Section_Master!$A$2:$A$477,0))&amp;"","")</f>
        <v>Yes</v>
      </c>
      <c r="H955" s="10" t="str">
        <f aca="false">IFERROR(INDEX(Section_Master!$F$2:$F$477,MATCH($E955,Section_Master!$A$2:$A$477,0))&amp;"","")</f>
        <v>No</v>
      </c>
      <c r="I955" s="10" t="str">
        <f aca="false">IFERROR(INDEX(Section_Master!$G$2:$G$477,MATCH($E955,Section_Master!$A$2:$A$477,0))&amp;"","")</f>
        <v>No</v>
      </c>
      <c r="J955" s="10" t="s">
        <v>64</v>
      </c>
      <c r="K955" s="8" t="s">
        <v>2265</v>
      </c>
    </row>
    <row r="956" customFormat="false" ht="34.5" hidden="false" customHeight="true" outlineLevel="0" collapsed="false">
      <c r="A956" s="10" t="s">
        <v>2276</v>
      </c>
      <c r="B956" s="10" t="s">
        <v>45</v>
      </c>
      <c r="C956" s="8" t="s">
        <v>2277</v>
      </c>
      <c r="D956" s="8" t="s">
        <v>2278</v>
      </c>
      <c r="E956" s="11" t="n">
        <v>160</v>
      </c>
      <c r="F956" s="8" t="str">
        <f aca="false">IFERROR(INDEX(Section_Master!$D$2:$D$477,MATCH($E956,Section_Master!$A$2:$A$477,0))&amp;"","")</f>
        <v>Death, or life imprisonment, or up to 10 years, and fine</v>
      </c>
      <c r="G956" s="10" t="str">
        <f aca="false">IFERROR(INDEX(Section_Master!$E$2:$E$477,MATCH($E956,Section_Master!$A$2:$A$477,0))&amp;"","")</f>
        <v>Yes</v>
      </c>
      <c r="H956" s="10" t="str">
        <f aca="false">IFERROR(INDEX(Section_Master!$F$2:$F$477,MATCH($E956,Section_Master!$A$2:$A$477,0))&amp;"","")</f>
        <v>No</v>
      </c>
      <c r="I956" s="10" t="str">
        <f aca="false">IFERROR(INDEX(Section_Master!$G$2:$G$477,MATCH($E956,Section_Master!$A$2:$A$477,0))&amp;"","")</f>
        <v>No</v>
      </c>
      <c r="J956" s="10" t="s">
        <v>48</v>
      </c>
      <c r="K956" s="8" t="s">
        <v>2279</v>
      </c>
    </row>
    <row r="957" customFormat="false" ht="34.5" hidden="false" customHeight="true" outlineLevel="0" collapsed="false">
      <c r="A957" s="10" t="s">
        <v>2280</v>
      </c>
      <c r="B957" s="10" t="s">
        <v>45</v>
      </c>
      <c r="C957" s="8" t="s">
        <v>2277</v>
      </c>
      <c r="D957" s="8" t="s">
        <v>2281</v>
      </c>
      <c r="E957" s="11" t="n">
        <v>160</v>
      </c>
      <c r="F957" s="8" t="str">
        <f aca="false">IFERROR(INDEX(Section_Master!$D$2:$D$477,MATCH($E957,Section_Master!$A$2:$A$477,0))&amp;"","")</f>
        <v>Death, or life imprisonment, or up to 10 years, and fine</v>
      </c>
      <c r="G957" s="10" t="str">
        <f aca="false">IFERROR(INDEX(Section_Master!$E$2:$E$477,MATCH($E957,Section_Master!$A$2:$A$477,0))&amp;"","")</f>
        <v>Yes</v>
      </c>
      <c r="H957" s="10" t="str">
        <f aca="false">IFERROR(INDEX(Section_Master!$F$2:$F$477,MATCH($E957,Section_Master!$A$2:$A$477,0))&amp;"","")</f>
        <v>No</v>
      </c>
      <c r="I957" s="10" t="str">
        <f aca="false">IFERROR(INDEX(Section_Master!$G$2:$G$477,MATCH($E957,Section_Master!$A$2:$A$477,0))&amp;"","")</f>
        <v>No</v>
      </c>
      <c r="J957" s="10" t="s">
        <v>52</v>
      </c>
      <c r="K957" s="8" t="s">
        <v>2279</v>
      </c>
    </row>
    <row r="958" customFormat="false" ht="34.5" hidden="false" customHeight="true" outlineLevel="0" collapsed="false">
      <c r="A958" s="10" t="s">
        <v>2282</v>
      </c>
      <c r="B958" s="10" t="s">
        <v>45</v>
      </c>
      <c r="C958" s="8" t="s">
        <v>2277</v>
      </c>
      <c r="D958" s="8" t="s">
        <v>2283</v>
      </c>
      <c r="E958" s="11" t="n">
        <v>160</v>
      </c>
      <c r="F958" s="8" t="str">
        <f aca="false">IFERROR(INDEX(Section_Master!$D$2:$D$477,MATCH($E958,Section_Master!$A$2:$A$477,0))&amp;"","")</f>
        <v>Death, or life imprisonment, or up to 10 years, and fine</v>
      </c>
      <c r="G958" s="10" t="str">
        <f aca="false">IFERROR(INDEX(Section_Master!$E$2:$E$477,MATCH($E958,Section_Master!$A$2:$A$477,0))&amp;"","")</f>
        <v>Yes</v>
      </c>
      <c r="H958" s="10" t="str">
        <f aca="false">IFERROR(INDEX(Section_Master!$F$2:$F$477,MATCH($E958,Section_Master!$A$2:$A$477,0))&amp;"","")</f>
        <v>No</v>
      </c>
      <c r="I958" s="10" t="str">
        <f aca="false">IFERROR(INDEX(Section_Master!$G$2:$G$477,MATCH($E958,Section_Master!$A$2:$A$477,0))&amp;"","")</f>
        <v>No</v>
      </c>
      <c r="J958" s="10" t="s">
        <v>55</v>
      </c>
      <c r="K958" s="8" t="s">
        <v>2279</v>
      </c>
    </row>
    <row r="959" customFormat="false" ht="23.25" hidden="false" customHeight="true" outlineLevel="0" collapsed="false">
      <c r="A959" s="10" t="s">
        <v>2284</v>
      </c>
      <c r="B959" s="10" t="s">
        <v>45</v>
      </c>
      <c r="C959" s="8" t="s">
        <v>2277</v>
      </c>
      <c r="D959" s="8" t="s">
        <v>2285</v>
      </c>
      <c r="E959" s="11" t="n">
        <v>160</v>
      </c>
      <c r="F959" s="8" t="str">
        <f aca="false">IFERROR(INDEX(Section_Master!$D$2:$D$477,MATCH($E959,Section_Master!$A$2:$A$477,0))&amp;"","")</f>
        <v>Death, or life imprisonment, or up to 10 years, and fine</v>
      </c>
      <c r="G959" s="10" t="str">
        <f aca="false">IFERROR(INDEX(Section_Master!$E$2:$E$477,MATCH($E959,Section_Master!$A$2:$A$477,0))&amp;"","")</f>
        <v>Yes</v>
      </c>
      <c r="H959" s="10" t="str">
        <f aca="false">IFERROR(INDEX(Section_Master!$F$2:$F$477,MATCH($E959,Section_Master!$A$2:$A$477,0))&amp;"","")</f>
        <v>No</v>
      </c>
      <c r="I959" s="10" t="str">
        <f aca="false">IFERROR(INDEX(Section_Master!$G$2:$G$477,MATCH($E959,Section_Master!$A$2:$A$477,0))&amp;"","")</f>
        <v>No</v>
      </c>
      <c r="J959" s="10" t="s">
        <v>58</v>
      </c>
      <c r="K959" s="8" t="s">
        <v>2279</v>
      </c>
    </row>
    <row r="960" customFormat="false" ht="34.5" hidden="false" customHeight="true" outlineLevel="0" collapsed="false">
      <c r="A960" s="10" t="s">
        <v>2286</v>
      </c>
      <c r="B960" s="10" t="s">
        <v>45</v>
      </c>
      <c r="C960" s="8" t="s">
        <v>2277</v>
      </c>
      <c r="D960" s="8" t="s">
        <v>2287</v>
      </c>
      <c r="E960" s="11" t="n">
        <v>160</v>
      </c>
      <c r="F960" s="8" t="str">
        <f aca="false">IFERROR(INDEX(Section_Master!$D$2:$D$477,MATCH($E960,Section_Master!$A$2:$A$477,0))&amp;"","")</f>
        <v>Death, or life imprisonment, or up to 10 years, and fine</v>
      </c>
      <c r="G960" s="10" t="str">
        <f aca="false">IFERROR(INDEX(Section_Master!$E$2:$E$477,MATCH($E960,Section_Master!$A$2:$A$477,0))&amp;"","")</f>
        <v>Yes</v>
      </c>
      <c r="H960" s="10" t="str">
        <f aca="false">IFERROR(INDEX(Section_Master!$F$2:$F$477,MATCH($E960,Section_Master!$A$2:$A$477,0))&amp;"","")</f>
        <v>No</v>
      </c>
      <c r="I960" s="10" t="str">
        <f aca="false">IFERROR(INDEX(Section_Master!$G$2:$G$477,MATCH($E960,Section_Master!$A$2:$A$477,0))&amp;"","")</f>
        <v>No</v>
      </c>
      <c r="J960" s="10" t="s">
        <v>61</v>
      </c>
      <c r="K960" s="8" t="s">
        <v>2279</v>
      </c>
    </row>
    <row r="961" customFormat="false" ht="34.5" hidden="false" customHeight="true" outlineLevel="0" collapsed="false">
      <c r="A961" s="10" t="s">
        <v>2288</v>
      </c>
      <c r="B961" s="10" t="s">
        <v>45</v>
      </c>
      <c r="C961" s="8" t="s">
        <v>2277</v>
      </c>
      <c r="D961" s="8" t="s">
        <v>2289</v>
      </c>
      <c r="E961" s="11" t="n">
        <v>160</v>
      </c>
      <c r="F961" s="8" t="str">
        <f aca="false">IFERROR(INDEX(Section_Master!$D$2:$D$477,MATCH($E961,Section_Master!$A$2:$A$477,0))&amp;"","")</f>
        <v>Death, or life imprisonment, or up to 10 years, and fine</v>
      </c>
      <c r="G961" s="10" t="str">
        <f aca="false">IFERROR(INDEX(Section_Master!$E$2:$E$477,MATCH($E961,Section_Master!$A$2:$A$477,0))&amp;"","")</f>
        <v>Yes</v>
      </c>
      <c r="H961" s="10" t="str">
        <f aca="false">IFERROR(INDEX(Section_Master!$F$2:$F$477,MATCH($E961,Section_Master!$A$2:$A$477,0))&amp;"","")</f>
        <v>No</v>
      </c>
      <c r="I961" s="10" t="str">
        <f aca="false">IFERROR(INDEX(Section_Master!$G$2:$G$477,MATCH($E961,Section_Master!$A$2:$A$477,0))&amp;"","")</f>
        <v>No</v>
      </c>
      <c r="J961" s="10" t="s">
        <v>64</v>
      </c>
      <c r="K961" s="8" t="s">
        <v>2279</v>
      </c>
    </row>
    <row r="962" customFormat="false" ht="34.5" hidden="false" customHeight="true" outlineLevel="0" collapsed="false">
      <c r="A962" s="10" t="s">
        <v>2290</v>
      </c>
      <c r="B962" s="10" t="s">
        <v>45</v>
      </c>
      <c r="C962" s="8" t="s">
        <v>2291</v>
      </c>
      <c r="D962" s="8" t="s">
        <v>2292</v>
      </c>
      <c r="E962" s="11" t="n">
        <v>161</v>
      </c>
      <c r="F962" s="8" t="str">
        <f aca="false">IFERROR(INDEX(Section_Master!$D$2:$D$477,MATCH($E962,Section_Master!$A$2:$A$477,0))&amp;"","")</f>
        <v>Imprisonment up to 3 years and fine</v>
      </c>
      <c r="G962" s="10" t="str">
        <f aca="false">IFERROR(INDEX(Section_Master!$E$2:$E$477,MATCH($E962,Section_Master!$A$2:$A$477,0))&amp;"","")</f>
        <v>Yes</v>
      </c>
      <c r="H962" s="10" t="str">
        <f aca="false">IFERROR(INDEX(Section_Master!$F$2:$F$477,MATCH($E962,Section_Master!$A$2:$A$477,0))&amp;"","")</f>
        <v>No</v>
      </c>
      <c r="I962" s="10" t="str">
        <f aca="false">IFERROR(INDEX(Section_Master!$G$2:$G$477,MATCH($E962,Section_Master!$A$2:$A$477,0))&amp;"","")</f>
        <v>No</v>
      </c>
      <c r="J962" s="10" t="s">
        <v>48</v>
      </c>
      <c r="K962" s="8" t="s">
        <v>2293</v>
      </c>
    </row>
    <row r="963" customFormat="false" ht="34.5" hidden="false" customHeight="true" outlineLevel="0" collapsed="false">
      <c r="A963" s="10" t="s">
        <v>2294</v>
      </c>
      <c r="B963" s="10" t="s">
        <v>45</v>
      </c>
      <c r="C963" s="8" t="s">
        <v>2291</v>
      </c>
      <c r="D963" s="8" t="s">
        <v>2295</v>
      </c>
      <c r="E963" s="11" t="n">
        <v>161</v>
      </c>
      <c r="F963" s="8" t="str">
        <f aca="false">IFERROR(INDEX(Section_Master!$D$2:$D$477,MATCH($E963,Section_Master!$A$2:$A$477,0))&amp;"","")</f>
        <v>Imprisonment up to 3 years and fine</v>
      </c>
      <c r="G963" s="10" t="str">
        <f aca="false">IFERROR(INDEX(Section_Master!$E$2:$E$477,MATCH($E963,Section_Master!$A$2:$A$477,0))&amp;"","")</f>
        <v>Yes</v>
      </c>
      <c r="H963" s="10" t="str">
        <f aca="false">IFERROR(INDEX(Section_Master!$F$2:$F$477,MATCH($E963,Section_Master!$A$2:$A$477,0))&amp;"","")</f>
        <v>No</v>
      </c>
      <c r="I963" s="10" t="str">
        <f aca="false">IFERROR(INDEX(Section_Master!$G$2:$G$477,MATCH($E963,Section_Master!$A$2:$A$477,0))&amp;"","")</f>
        <v>No</v>
      </c>
      <c r="J963" s="10" t="s">
        <v>52</v>
      </c>
      <c r="K963" s="8" t="s">
        <v>2293</v>
      </c>
    </row>
    <row r="964" customFormat="false" ht="34.5" hidden="false" customHeight="true" outlineLevel="0" collapsed="false">
      <c r="A964" s="10" t="s">
        <v>2296</v>
      </c>
      <c r="B964" s="10" t="s">
        <v>45</v>
      </c>
      <c r="C964" s="8" t="s">
        <v>2291</v>
      </c>
      <c r="D964" s="8" t="s">
        <v>2297</v>
      </c>
      <c r="E964" s="11" t="n">
        <v>161</v>
      </c>
      <c r="F964" s="8" t="str">
        <f aca="false">IFERROR(INDEX(Section_Master!$D$2:$D$477,MATCH($E964,Section_Master!$A$2:$A$477,0))&amp;"","")</f>
        <v>Imprisonment up to 3 years and fine</v>
      </c>
      <c r="G964" s="10" t="str">
        <f aca="false">IFERROR(INDEX(Section_Master!$E$2:$E$477,MATCH($E964,Section_Master!$A$2:$A$477,0))&amp;"","")</f>
        <v>Yes</v>
      </c>
      <c r="H964" s="10" t="str">
        <f aca="false">IFERROR(INDEX(Section_Master!$F$2:$F$477,MATCH($E964,Section_Master!$A$2:$A$477,0))&amp;"","")</f>
        <v>No</v>
      </c>
      <c r="I964" s="10" t="str">
        <f aca="false">IFERROR(INDEX(Section_Master!$G$2:$G$477,MATCH($E964,Section_Master!$A$2:$A$477,0))&amp;"","")</f>
        <v>No</v>
      </c>
      <c r="J964" s="10" t="s">
        <v>55</v>
      </c>
      <c r="K964" s="8" t="s">
        <v>2293</v>
      </c>
    </row>
    <row r="965" customFormat="false" ht="34.5" hidden="false" customHeight="true" outlineLevel="0" collapsed="false">
      <c r="A965" s="10" t="s">
        <v>2298</v>
      </c>
      <c r="B965" s="10" t="s">
        <v>45</v>
      </c>
      <c r="C965" s="8" t="s">
        <v>2291</v>
      </c>
      <c r="D965" s="8" t="s">
        <v>2299</v>
      </c>
      <c r="E965" s="11" t="n">
        <v>161</v>
      </c>
      <c r="F965" s="8" t="str">
        <f aca="false">IFERROR(INDEX(Section_Master!$D$2:$D$477,MATCH($E965,Section_Master!$A$2:$A$477,0))&amp;"","")</f>
        <v>Imprisonment up to 3 years and fine</v>
      </c>
      <c r="G965" s="10" t="str">
        <f aca="false">IFERROR(INDEX(Section_Master!$E$2:$E$477,MATCH($E965,Section_Master!$A$2:$A$477,0))&amp;"","")</f>
        <v>Yes</v>
      </c>
      <c r="H965" s="10" t="str">
        <f aca="false">IFERROR(INDEX(Section_Master!$F$2:$F$477,MATCH($E965,Section_Master!$A$2:$A$477,0))&amp;"","")</f>
        <v>No</v>
      </c>
      <c r="I965" s="10" t="str">
        <f aca="false">IFERROR(INDEX(Section_Master!$G$2:$G$477,MATCH($E965,Section_Master!$A$2:$A$477,0))&amp;"","")</f>
        <v>No</v>
      </c>
      <c r="J965" s="10" t="s">
        <v>58</v>
      </c>
      <c r="K965" s="8" t="s">
        <v>2293</v>
      </c>
    </row>
    <row r="966" customFormat="false" ht="34.5" hidden="false" customHeight="true" outlineLevel="0" collapsed="false">
      <c r="A966" s="10" t="s">
        <v>2300</v>
      </c>
      <c r="B966" s="10" t="s">
        <v>45</v>
      </c>
      <c r="C966" s="8" t="s">
        <v>2291</v>
      </c>
      <c r="D966" s="8" t="s">
        <v>2301</v>
      </c>
      <c r="E966" s="11" t="n">
        <v>161</v>
      </c>
      <c r="F966" s="8" t="str">
        <f aca="false">IFERROR(INDEX(Section_Master!$D$2:$D$477,MATCH($E966,Section_Master!$A$2:$A$477,0))&amp;"","")</f>
        <v>Imprisonment up to 3 years and fine</v>
      </c>
      <c r="G966" s="10" t="str">
        <f aca="false">IFERROR(INDEX(Section_Master!$E$2:$E$477,MATCH($E966,Section_Master!$A$2:$A$477,0))&amp;"","")</f>
        <v>Yes</v>
      </c>
      <c r="H966" s="10" t="str">
        <f aca="false">IFERROR(INDEX(Section_Master!$F$2:$F$477,MATCH($E966,Section_Master!$A$2:$A$477,0))&amp;"","")</f>
        <v>No</v>
      </c>
      <c r="I966" s="10" t="str">
        <f aca="false">IFERROR(INDEX(Section_Master!$G$2:$G$477,MATCH($E966,Section_Master!$A$2:$A$477,0))&amp;"","")</f>
        <v>No</v>
      </c>
      <c r="J966" s="10" t="s">
        <v>61</v>
      </c>
      <c r="K966" s="8" t="s">
        <v>2293</v>
      </c>
    </row>
    <row r="967" customFormat="false" ht="45.75" hidden="false" customHeight="true" outlineLevel="0" collapsed="false">
      <c r="A967" s="10" t="s">
        <v>2302</v>
      </c>
      <c r="B967" s="10" t="s">
        <v>45</v>
      </c>
      <c r="C967" s="8" t="s">
        <v>2291</v>
      </c>
      <c r="D967" s="8" t="s">
        <v>2303</v>
      </c>
      <c r="E967" s="11" t="n">
        <v>161</v>
      </c>
      <c r="F967" s="8" t="str">
        <f aca="false">IFERROR(INDEX(Section_Master!$D$2:$D$477,MATCH($E967,Section_Master!$A$2:$A$477,0))&amp;"","")</f>
        <v>Imprisonment up to 3 years and fine</v>
      </c>
      <c r="G967" s="10" t="str">
        <f aca="false">IFERROR(INDEX(Section_Master!$E$2:$E$477,MATCH($E967,Section_Master!$A$2:$A$477,0))&amp;"","")</f>
        <v>Yes</v>
      </c>
      <c r="H967" s="10" t="str">
        <f aca="false">IFERROR(INDEX(Section_Master!$F$2:$F$477,MATCH($E967,Section_Master!$A$2:$A$477,0))&amp;"","")</f>
        <v>No</v>
      </c>
      <c r="I967" s="10" t="str">
        <f aca="false">IFERROR(INDEX(Section_Master!$G$2:$G$477,MATCH($E967,Section_Master!$A$2:$A$477,0))&amp;"","")</f>
        <v>No</v>
      </c>
      <c r="J967" s="10" t="s">
        <v>64</v>
      </c>
      <c r="K967" s="8" t="s">
        <v>2293</v>
      </c>
    </row>
    <row r="968" customFormat="false" ht="34.5" hidden="false" customHeight="true" outlineLevel="0" collapsed="false">
      <c r="A968" s="10" t="s">
        <v>2304</v>
      </c>
      <c r="B968" s="10" t="s">
        <v>45</v>
      </c>
      <c r="C968" s="8" t="s">
        <v>2305</v>
      </c>
      <c r="D968" s="8" t="s">
        <v>2306</v>
      </c>
      <c r="E968" s="11" t="n">
        <v>162</v>
      </c>
      <c r="F968" s="8" t="str">
        <f aca="false">IFERROR(INDEX(Section_Master!$D$2:$D$477,MATCH($E968,Section_Master!$A$2:$A$477,0))&amp;"","")</f>
        <v>Imprisonment up to 7 years and fine</v>
      </c>
      <c r="G968" s="10" t="str">
        <f aca="false">IFERROR(INDEX(Section_Master!$E$2:$E$477,MATCH($E968,Section_Master!$A$2:$A$477,0))&amp;"","")</f>
        <v>Yes</v>
      </c>
      <c r="H968" s="10" t="str">
        <f aca="false">IFERROR(INDEX(Section_Master!$F$2:$F$477,MATCH($E968,Section_Master!$A$2:$A$477,0))&amp;"","")</f>
        <v>No</v>
      </c>
      <c r="I968" s="10" t="str">
        <f aca="false">IFERROR(INDEX(Section_Master!$G$2:$G$477,MATCH($E968,Section_Master!$A$2:$A$477,0))&amp;"","")</f>
        <v>No</v>
      </c>
      <c r="J968" s="10" t="s">
        <v>48</v>
      </c>
      <c r="K968" s="8" t="s">
        <v>2307</v>
      </c>
    </row>
    <row r="969" customFormat="false" ht="34.5" hidden="false" customHeight="true" outlineLevel="0" collapsed="false">
      <c r="A969" s="10" t="s">
        <v>2308</v>
      </c>
      <c r="B969" s="10" t="s">
        <v>45</v>
      </c>
      <c r="C969" s="8" t="s">
        <v>2305</v>
      </c>
      <c r="D969" s="8" t="s">
        <v>2309</v>
      </c>
      <c r="E969" s="11" t="n">
        <v>162</v>
      </c>
      <c r="F969" s="8" t="str">
        <f aca="false">IFERROR(INDEX(Section_Master!$D$2:$D$477,MATCH($E969,Section_Master!$A$2:$A$477,0))&amp;"","")</f>
        <v>Imprisonment up to 7 years and fine</v>
      </c>
      <c r="G969" s="10" t="str">
        <f aca="false">IFERROR(INDEX(Section_Master!$E$2:$E$477,MATCH($E969,Section_Master!$A$2:$A$477,0))&amp;"","")</f>
        <v>Yes</v>
      </c>
      <c r="H969" s="10" t="str">
        <f aca="false">IFERROR(INDEX(Section_Master!$F$2:$F$477,MATCH($E969,Section_Master!$A$2:$A$477,0))&amp;"","")</f>
        <v>No</v>
      </c>
      <c r="I969" s="10" t="str">
        <f aca="false">IFERROR(INDEX(Section_Master!$G$2:$G$477,MATCH($E969,Section_Master!$A$2:$A$477,0))&amp;"","")</f>
        <v>No</v>
      </c>
      <c r="J969" s="10" t="s">
        <v>52</v>
      </c>
      <c r="K969" s="8" t="s">
        <v>2307</v>
      </c>
    </row>
    <row r="970" customFormat="false" ht="34.5" hidden="false" customHeight="true" outlineLevel="0" collapsed="false">
      <c r="A970" s="10" t="s">
        <v>2310</v>
      </c>
      <c r="B970" s="10" t="s">
        <v>45</v>
      </c>
      <c r="C970" s="8" t="s">
        <v>2305</v>
      </c>
      <c r="D970" s="8" t="s">
        <v>2311</v>
      </c>
      <c r="E970" s="11" t="n">
        <v>162</v>
      </c>
      <c r="F970" s="8" t="str">
        <f aca="false">IFERROR(INDEX(Section_Master!$D$2:$D$477,MATCH($E970,Section_Master!$A$2:$A$477,0))&amp;"","")</f>
        <v>Imprisonment up to 7 years and fine</v>
      </c>
      <c r="G970" s="10" t="str">
        <f aca="false">IFERROR(INDEX(Section_Master!$E$2:$E$477,MATCH($E970,Section_Master!$A$2:$A$477,0))&amp;"","")</f>
        <v>Yes</v>
      </c>
      <c r="H970" s="10" t="str">
        <f aca="false">IFERROR(INDEX(Section_Master!$F$2:$F$477,MATCH($E970,Section_Master!$A$2:$A$477,0))&amp;"","")</f>
        <v>No</v>
      </c>
      <c r="I970" s="10" t="str">
        <f aca="false">IFERROR(INDEX(Section_Master!$G$2:$G$477,MATCH($E970,Section_Master!$A$2:$A$477,0))&amp;"","")</f>
        <v>No</v>
      </c>
      <c r="J970" s="10" t="s">
        <v>55</v>
      </c>
      <c r="K970" s="8" t="s">
        <v>2307</v>
      </c>
    </row>
    <row r="971" customFormat="false" ht="34.5" hidden="false" customHeight="true" outlineLevel="0" collapsed="false">
      <c r="A971" s="10" t="s">
        <v>2312</v>
      </c>
      <c r="B971" s="10" t="s">
        <v>45</v>
      </c>
      <c r="C971" s="8" t="s">
        <v>2305</v>
      </c>
      <c r="D971" s="8" t="s">
        <v>2313</v>
      </c>
      <c r="E971" s="11" t="n">
        <v>162</v>
      </c>
      <c r="F971" s="8" t="str">
        <f aca="false">IFERROR(INDEX(Section_Master!$D$2:$D$477,MATCH($E971,Section_Master!$A$2:$A$477,0))&amp;"","")</f>
        <v>Imprisonment up to 7 years and fine</v>
      </c>
      <c r="G971" s="10" t="str">
        <f aca="false">IFERROR(INDEX(Section_Master!$E$2:$E$477,MATCH($E971,Section_Master!$A$2:$A$477,0))&amp;"","")</f>
        <v>Yes</v>
      </c>
      <c r="H971" s="10" t="str">
        <f aca="false">IFERROR(INDEX(Section_Master!$F$2:$F$477,MATCH($E971,Section_Master!$A$2:$A$477,0))&amp;"","")</f>
        <v>No</v>
      </c>
      <c r="I971" s="10" t="str">
        <f aca="false">IFERROR(INDEX(Section_Master!$G$2:$G$477,MATCH($E971,Section_Master!$A$2:$A$477,0))&amp;"","")</f>
        <v>No</v>
      </c>
      <c r="J971" s="10" t="s">
        <v>58</v>
      </c>
      <c r="K971" s="8" t="s">
        <v>2307</v>
      </c>
    </row>
    <row r="972" customFormat="false" ht="34.5" hidden="false" customHeight="true" outlineLevel="0" collapsed="false">
      <c r="A972" s="10" t="s">
        <v>2314</v>
      </c>
      <c r="B972" s="10" t="s">
        <v>45</v>
      </c>
      <c r="C972" s="8" t="s">
        <v>2305</v>
      </c>
      <c r="D972" s="8" t="s">
        <v>2315</v>
      </c>
      <c r="E972" s="11" t="n">
        <v>162</v>
      </c>
      <c r="F972" s="8" t="str">
        <f aca="false">IFERROR(INDEX(Section_Master!$D$2:$D$477,MATCH($E972,Section_Master!$A$2:$A$477,0))&amp;"","")</f>
        <v>Imprisonment up to 7 years and fine</v>
      </c>
      <c r="G972" s="10" t="str">
        <f aca="false">IFERROR(INDEX(Section_Master!$E$2:$E$477,MATCH($E972,Section_Master!$A$2:$A$477,0))&amp;"","")</f>
        <v>Yes</v>
      </c>
      <c r="H972" s="10" t="str">
        <f aca="false">IFERROR(INDEX(Section_Master!$F$2:$F$477,MATCH($E972,Section_Master!$A$2:$A$477,0))&amp;"","")</f>
        <v>No</v>
      </c>
      <c r="I972" s="10" t="str">
        <f aca="false">IFERROR(INDEX(Section_Master!$G$2:$G$477,MATCH($E972,Section_Master!$A$2:$A$477,0))&amp;"","")</f>
        <v>No</v>
      </c>
      <c r="J972" s="10" t="s">
        <v>61</v>
      </c>
      <c r="K972" s="8" t="s">
        <v>2307</v>
      </c>
    </row>
    <row r="973" customFormat="false" ht="34.5" hidden="false" customHeight="true" outlineLevel="0" collapsed="false">
      <c r="A973" s="10" t="s">
        <v>2316</v>
      </c>
      <c r="B973" s="10" t="s">
        <v>45</v>
      </c>
      <c r="C973" s="8" t="s">
        <v>2305</v>
      </c>
      <c r="D973" s="8" t="s">
        <v>2317</v>
      </c>
      <c r="E973" s="11" t="n">
        <v>162</v>
      </c>
      <c r="F973" s="8" t="str">
        <f aca="false">IFERROR(INDEX(Section_Master!$D$2:$D$477,MATCH($E973,Section_Master!$A$2:$A$477,0))&amp;"","")</f>
        <v>Imprisonment up to 7 years and fine</v>
      </c>
      <c r="G973" s="10" t="str">
        <f aca="false">IFERROR(INDEX(Section_Master!$E$2:$E$477,MATCH($E973,Section_Master!$A$2:$A$477,0))&amp;"","")</f>
        <v>Yes</v>
      </c>
      <c r="H973" s="10" t="str">
        <f aca="false">IFERROR(INDEX(Section_Master!$F$2:$F$477,MATCH($E973,Section_Master!$A$2:$A$477,0))&amp;"","")</f>
        <v>No</v>
      </c>
      <c r="I973" s="10" t="str">
        <f aca="false">IFERROR(INDEX(Section_Master!$G$2:$G$477,MATCH($E973,Section_Master!$A$2:$A$477,0))&amp;"","")</f>
        <v>No</v>
      </c>
      <c r="J973" s="10" t="s">
        <v>64</v>
      </c>
      <c r="K973" s="8" t="s">
        <v>2307</v>
      </c>
    </row>
    <row r="974" customFormat="false" ht="23.25" hidden="false" customHeight="true" outlineLevel="0" collapsed="false">
      <c r="A974" s="10" t="s">
        <v>2318</v>
      </c>
      <c r="B974" s="10" t="s">
        <v>45</v>
      </c>
      <c r="C974" s="8" t="s">
        <v>2319</v>
      </c>
      <c r="D974" s="8" t="s">
        <v>2320</v>
      </c>
      <c r="E974" s="11" t="n">
        <v>163</v>
      </c>
      <c r="F974" s="8" t="str">
        <f aca="false">IFERROR(INDEX(Section_Master!$D$2:$D$477,MATCH($E974,Section_Master!$A$2:$A$477,0))&amp;"","")</f>
        <v>Imprisonment up to 2 years, or fine, or both</v>
      </c>
      <c r="G974" s="10" t="str">
        <f aca="false">IFERROR(INDEX(Section_Master!$E$2:$E$477,MATCH($E974,Section_Master!$A$2:$A$477,0))&amp;"","")</f>
        <v>Yes</v>
      </c>
      <c r="H974" s="10" t="str">
        <f aca="false">IFERROR(INDEX(Section_Master!$F$2:$F$477,MATCH($E974,Section_Master!$A$2:$A$477,0))&amp;"","")</f>
        <v>Yes</v>
      </c>
      <c r="I974" s="10" t="str">
        <f aca="false">IFERROR(INDEX(Section_Master!$G$2:$G$477,MATCH($E974,Section_Master!$A$2:$A$477,0))&amp;"","")</f>
        <v>No</v>
      </c>
      <c r="J974" s="10" t="s">
        <v>48</v>
      </c>
      <c r="K974" s="8" t="s">
        <v>2321</v>
      </c>
    </row>
    <row r="975" customFormat="false" ht="34.5" hidden="false" customHeight="true" outlineLevel="0" collapsed="false">
      <c r="A975" s="10" t="s">
        <v>2322</v>
      </c>
      <c r="B975" s="10" t="s">
        <v>45</v>
      </c>
      <c r="C975" s="8" t="s">
        <v>2319</v>
      </c>
      <c r="D975" s="8" t="s">
        <v>2323</v>
      </c>
      <c r="E975" s="11" t="n">
        <v>163</v>
      </c>
      <c r="F975" s="8" t="str">
        <f aca="false">IFERROR(INDEX(Section_Master!$D$2:$D$477,MATCH($E975,Section_Master!$A$2:$A$477,0))&amp;"","")</f>
        <v>Imprisonment up to 2 years, or fine, or both</v>
      </c>
      <c r="G975" s="10" t="str">
        <f aca="false">IFERROR(INDEX(Section_Master!$E$2:$E$477,MATCH($E975,Section_Master!$A$2:$A$477,0))&amp;"","")</f>
        <v>Yes</v>
      </c>
      <c r="H975" s="10" t="str">
        <f aca="false">IFERROR(INDEX(Section_Master!$F$2:$F$477,MATCH($E975,Section_Master!$A$2:$A$477,0))&amp;"","")</f>
        <v>Yes</v>
      </c>
      <c r="I975" s="10" t="str">
        <f aca="false">IFERROR(INDEX(Section_Master!$G$2:$G$477,MATCH($E975,Section_Master!$A$2:$A$477,0))&amp;"","")</f>
        <v>No</v>
      </c>
      <c r="J975" s="10" t="s">
        <v>52</v>
      </c>
      <c r="K975" s="8" t="s">
        <v>2321</v>
      </c>
    </row>
    <row r="976" customFormat="false" ht="23.25" hidden="false" customHeight="true" outlineLevel="0" collapsed="false">
      <c r="A976" s="10" t="s">
        <v>2324</v>
      </c>
      <c r="B976" s="10" t="s">
        <v>45</v>
      </c>
      <c r="C976" s="8" t="s">
        <v>2319</v>
      </c>
      <c r="D976" s="8" t="s">
        <v>2325</v>
      </c>
      <c r="E976" s="11" t="n">
        <v>163</v>
      </c>
      <c r="F976" s="8" t="str">
        <f aca="false">IFERROR(INDEX(Section_Master!$D$2:$D$477,MATCH($E976,Section_Master!$A$2:$A$477,0))&amp;"","")</f>
        <v>Imprisonment up to 2 years, or fine, or both</v>
      </c>
      <c r="G976" s="10" t="str">
        <f aca="false">IFERROR(INDEX(Section_Master!$E$2:$E$477,MATCH($E976,Section_Master!$A$2:$A$477,0))&amp;"","")</f>
        <v>Yes</v>
      </c>
      <c r="H976" s="10" t="str">
        <f aca="false">IFERROR(INDEX(Section_Master!$F$2:$F$477,MATCH($E976,Section_Master!$A$2:$A$477,0))&amp;"","")</f>
        <v>Yes</v>
      </c>
      <c r="I976" s="10" t="str">
        <f aca="false">IFERROR(INDEX(Section_Master!$G$2:$G$477,MATCH($E976,Section_Master!$A$2:$A$477,0))&amp;"","")</f>
        <v>No</v>
      </c>
      <c r="J976" s="10" t="s">
        <v>55</v>
      </c>
      <c r="K976" s="8" t="s">
        <v>2321</v>
      </c>
    </row>
    <row r="977" customFormat="false" ht="34.5" hidden="false" customHeight="true" outlineLevel="0" collapsed="false">
      <c r="A977" s="10" t="s">
        <v>2326</v>
      </c>
      <c r="B977" s="10" t="s">
        <v>45</v>
      </c>
      <c r="C977" s="8" t="s">
        <v>2319</v>
      </c>
      <c r="D977" s="8" t="s">
        <v>2327</v>
      </c>
      <c r="E977" s="11" t="n">
        <v>163</v>
      </c>
      <c r="F977" s="8" t="str">
        <f aca="false">IFERROR(INDEX(Section_Master!$D$2:$D$477,MATCH($E977,Section_Master!$A$2:$A$477,0))&amp;"","")</f>
        <v>Imprisonment up to 2 years, or fine, or both</v>
      </c>
      <c r="G977" s="10" t="str">
        <f aca="false">IFERROR(INDEX(Section_Master!$E$2:$E$477,MATCH($E977,Section_Master!$A$2:$A$477,0))&amp;"","")</f>
        <v>Yes</v>
      </c>
      <c r="H977" s="10" t="str">
        <f aca="false">IFERROR(INDEX(Section_Master!$F$2:$F$477,MATCH($E977,Section_Master!$A$2:$A$477,0))&amp;"","")</f>
        <v>Yes</v>
      </c>
      <c r="I977" s="10" t="str">
        <f aca="false">IFERROR(INDEX(Section_Master!$G$2:$G$477,MATCH($E977,Section_Master!$A$2:$A$477,0))&amp;"","")</f>
        <v>No</v>
      </c>
      <c r="J977" s="10" t="s">
        <v>58</v>
      </c>
      <c r="K977" s="8" t="s">
        <v>2321</v>
      </c>
    </row>
    <row r="978" customFormat="false" ht="23.25" hidden="false" customHeight="true" outlineLevel="0" collapsed="false">
      <c r="A978" s="10" t="s">
        <v>2328</v>
      </c>
      <c r="B978" s="10" t="s">
        <v>45</v>
      </c>
      <c r="C978" s="8" t="s">
        <v>2319</v>
      </c>
      <c r="D978" s="8" t="s">
        <v>2329</v>
      </c>
      <c r="E978" s="11" t="n">
        <v>163</v>
      </c>
      <c r="F978" s="8" t="str">
        <f aca="false">IFERROR(INDEX(Section_Master!$D$2:$D$477,MATCH($E978,Section_Master!$A$2:$A$477,0))&amp;"","")</f>
        <v>Imprisonment up to 2 years, or fine, or both</v>
      </c>
      <c r="G978" s="10" t="str">
        <f aca="false">IFERROR(INDEX(Section_Master!$E$2:$E$477,MATCH($E978,Section_Master!$A$2:$A$477,0))&amp;"","")</f>
        <v>Yes</v>
      </c>
      <c r="H978" s="10" t="str">
        <f aca="false">IFERROR(INDEX(Section_Master!$F$2:$F$477,MATCH($E978,Section_Master!$A$2:$A$477,0))&amp;"","")</f>
        <v>Yes</v>
      </c>
      <c r="I978" s="10" t="str">
        <f aca="false">IFERROR(INDEX(Section_Master!$G$2:$G$477,MATCH($E978,Section_Master!$A$2:$A$477,0))&amp;"","")</f>
        <v>No</v>
      </c>
      <c r="J978" s="10" t="s">
        <v>61</v>
      </c>
      <c r="K978" s="8" t="s">
        <v>2321</v>
      </c>
    </row>
    <row r="979" customFormat="false" ht="45.75" hidden="false" customHeight="true" outlineLevel="0" collapsed="false">
      <c r="A979" s="10" t="s">
        <v>2330</v>
      </c>
      <c r="B979" s="10" t="s">
        <v>45</v>
      </c>
      <c r="C979" s="8" t="s">
        <v>2319</v>
      </c>
      <c r="D979" s="8" t="s">
        <v>2331</v>
      </c>
      <c r="E979" s="11" t="n">
        <v>163</v>
      </c>
      <c r="F979" s="8" t="str">
        <f aca="false">IFERROR(INDEX(Section_Master!$D$2:$D$477,MATCH($E979,Section_Master!$A$2:$A$477,0))&amp;"","")</f>
        <v>Imprisonment up to 2 years, or fine, or both</v>
      </c>
      <c r="G979" s="10" t="str">
        <f aca="false">IFERROR(INDEX(Section_Master!$E$2:$E$477,MATCH($E979,Section_Master!$A$2:$A$477,0))&amp;"","")</f>
        <v>Yes</v>
      </c>
      <c r="H979" s="10" t="str">
        <f aca="false">IFERROR(INDEX(Section_Master!$F$2:$F$477,MATCH($E979,Section_Master!$A$2:$A$477,0))&amp;"","")</f>
        <v>Yes</v>
      </c>
      <c r="I979" s="10" t="str">
        <f aca="false">IFERROR(INDEX(Section_Master!$G$2:$G$477,MATCH($E979,Section_Master!$A$2:$A$477,0))&amp;"","")</f>
        <v>No</v>
      </c>
      <c r="J979" s="10" t="s">
        <v>64</v>
      </c>
      <c r="K979" s="8" t="s">
        <v>2321</v>
      </c>
    </row>
    <row r="980" customFormat="false" ht="23.25" hidden="false" customHeight="true" outlineLevel="0" collapsed="false">
      <c r="A980" s="10" t="s">
        <v>2332</v>
      </c>
      <c r="B980" s="10" t="s">
        <v>45</v>
      </c>
      <c r="C980" s="8" t="s">
        <v>2333</v>
      </c>
      <c r="D980" s="8" t="s">
        <v>2334</v>
      </c>
      <c r="E980" s="11" t="n">
        <v>164</v>
      </c>
      <c r="F980" s="8" t="str">
        <f aca="false">IFERROR(INDEX(Section_Master!$D$2:$D$477,MATCH($E980,Section_Master!$A$2:$A$477,0))&amp;"","")</f>
        <v>Imprisonment up to 2 years, or fine, or both</v>
      </c>
      <c r="G980" s="10" t="str">
        <f aca="false">IFERROR(INDEX(Section_Master!$E$2:$E$477,MATCH($E980,Section_Master!$A$2:$A$477,0))&amp;"","")</f>
        <v>Yes</v>
      </c>
      <c r="H980" s="10" t="str">
        <f aca="false">IFERROR(INDEX(Section_Master!$F$2:$F$477,MATCH($E980,Section_Master!$A$2:$A$477,0))&amp;"","")</f>
        <v>Yes</v>
      </c>
      <c r="I980" s="10" t="str">
        <f aca="false">IFERROR(INDEX(Section_Master!$G$2:$G$477,MATCH($E980,Section_Master!$A$2:$A$477,0))&amp;"","")</f>
        <v>No</v>
      </c>
      <c r="J980" s="10" t="s">
        <v>48</v>
      </c>
      <c r="K980" s="8" t="s">
        <v>2335</v>
      </c>
    </row>
    <row r="981" customFormat="false" ht="34.5" hidden="false" customHeight="true" outlineLevel="0" collapsed="false">
      <c r="A981" s="10" t="s">
        <v>2336</v>
      </c>
      <c r="B981" s="10" t="s">
        <v>45</v>
      </c>
      <c r="C981" s="8" t="s">
        <v>2333</v>
      </c>
      <c r="D981" s="8" t="s">
        <v>2337</v>
      </c>
      <c r="E981" s="11" t="n">
        <v>164</v>
      </c>
      <c r="F981" s="8" t="str">
        <f aca="false">IFERROR(INDEX(Section_Master!$D$2:$D$477,MATCH($E981,Section_Master!$A$2:$A$477,0))&amp;"","")</f>
        <v>Imprisonment up to 2 years, or fine, or both</v>
      </c>
      <c r="G981" s="10" t="str">
        <f aca="false">IFERROR(INDEX(Section_Master!$E$2:$E$477,MATCH($E981,Section_Master!$A$2:$A$477,0))&amp;"","")</f>
        <v>Yes</v>
      </c>
      <c r="H981" s="10" t="str">
        <f aca="false">IFERROR(INDEX(Section_Master!$F$2:$F$477,MATCH($E981,Section_Master!$A$2:$A$477,0))&amp;"","")</f>
        <v>Yes</v>
      </c>
      <c r="I981" s="10" t="str">
        <f aca="false">IFERROR(INDEX(Section_Master!$G$2:$G$477,MATCH($E981,Section_Master!$A$2:$A$477,0))&amp;"","")</f>
        <v>No</v>
      </c>
      <c r="J981" s="10" t="s">
        <v>52</v>
      </c>
      <c r="K981" s="8" t="s">
        <v>2335</v>
      </c>
    </row>
    <row r="982" customFormat="false" ht="23.25" hidden="false" customHeight="true" outlineLevel="0" collapsed="false">
      <c r="A982" s="10" t="s">
        <v>2338</v>
      </c>
      <c r="B982" s="10" t="s">
        <v>45</v>
      </c>
      <c r="C982" s="8" t="s">
        <v>2333</v>
      </c>
      <c r="D982" s="8" t="s">
        <v>2339</v>
      </c>
      <c r="E982" s="11" t="n">
        <v>164</v>
      </c>
      <c r="F982" s="8" t="str">
        <f aca="false">IFERROR(INDEX(Section_Master!$D$2:$D$477,MATCH($E982,Section_Master!$A$2:$A$477,0))&amp;"","")</f>
        <v>Imprisonment up to 2 years, or fine, or both</v>
      </c>
      <c r="G982" s="10" t="str">
        <f aca="false">IFERROR(INDEX(Section_Master!$E$2:$E$477,MATCH($E982,Section_Master!$A$2:$A$477,0))&amp;"","")</f>
        <v>Yes</v>
      </c>
      <c r="H982" s="10" t="str">
        <f aca="false">IFERROR(INDEX(Section_Master!$F$2:$F$477,MATCH($E982,Section_Master!$A$2:$A$477,0))&amp;"","")</f>
        <v>Yes</v>
      </c>
      <c r="I982" s="10" t="str">
        <f aca="false">IFERROR(INDEX(Section_Master!$G$2:$G$477,MATCH($E982,Section_Master!$A$2:$A$477,0))&amp;"","")</f>
        <v>No</v>
      </c>
      <c r="J982" s="10" t="s">
        <v>55</v>
      </c>
      <c r="K982" s="8" t="s">
        <v>2335</v>
      </c>
    </row>
    <row r="983" customFormat="false" ht="23.25" hidden="false" customHeight="true" outlineLevel="0" collapsed="false">
      <c r="A983" s="10" t="s">
        <v>2340</v>
      </c>
      <c r="B983" s="10" t="s">
        <v>45</v>
      </c>
      <c r="C983" s="8" t="s">
        <v>2333</v>
      </c>
      <c r="D983" s="8" t="s">
        <v>2341</v>
      </c>
      <c r="E983" s="11" t="n">
        <v>164</v>
      </c>
      <c r="F983" s="8" t="str">
        <f aca="false">IFERROR(INDEX(Section_Master!$D$2:$D$477,MATCH($E983,Section_Master!$A$2:$A$477,0))&amp;"","")</f>
        <v>Imprisonment up to 2 years, or fine, or both</v>
      </c>
      <c r="G983" s="10" t="str">
        <f aca="false">IFERROR(INDEX(Section_Master!$E$2:$E$477,MATCH($E983,Section_Master!$A$2:$A$477,0))&amp;"","")</f>
        <v>Yes</v>
      </c>
      <c r="H983" s="10" t="str">
        <f aca="false">IFERROR(INDEX(Section_Master!$F$2:$F$477,MATCH($E983,Section_Master!$A$2:$A$477,0))&amp;"","")</f>
        <v>Yes</v>
      </c>
      <c r="I983" s="10" t="str">
        <f aca="false">IFERROR(INDEX(Section_Master!$G$2:$G$477,MATCH($E983,Section_Master!$A$2:$A$477,0))&amp;"","")</f>
        <v>No</v>
      </c>
      <c r="J983" s="10" t="s">
        <v>58</v>
      </c>
      <c r="K983" s="8" t="s">
        <v>2335</v>
      </c>
    </row>
    <row r="984" customFormat="false" ht="34.5" hidden="false" customHeight="true" outlineLevel="0" collapsed="false">
      <c r="A984" s="10" t="s">
        <v>2342</v>
      </c>
      <c r="B984" s="10" t="s">
        <v>45</v>
      </c>
      <c r="C984" s="8" t="s">
        <v>2333</v>
      </c>
      <c r="D984" s="8" t="s">
        <v>2343</v>
      </c>
      <c r="E984" s="11" t="n">
        <v>164</v>
      </c>
      <c r="F984" s="8" t="str">
        <f aca="false">IFERROR(INDEX(Section_Master!$D$2:$D$477,MATCH($E984,Section_Master!$A$2:$A$477,0))&amp;"","")</f>
        <v>Imprisonment up to 2 years, or fine, or both</v>
      </c>
      <c r="G984" s="10" t="str">
        <f aca="false">IFERROR(INDEX(Section_Master!$E$2:$E$477,MATCH($E984,Section_Master!$A$2:$A$477,0))&amp;"","")</f>
        <v>Yes</v>
      </c>
      <c r="H984" s="10" t="str">
        <f aca="false">IFERROR(INDEX(Section_Master!$F$2:$F$477,MATCH($E984,Section_Master!$A$2:$A$477,0))&amp;"","")</f>
        <v>Yes</v>
      </c>
      <c r="I984" s="10" t="str">
        <f aca="false">IFERROR(INDEX(Section_Master!$G$2:$G$477,MATCH($E984,Section_Master!$A$2:$A$477,0))&amp;"","")</f>
        <v>No</v>
      </c>
      <c r="J984" s="10" t="s">
        <v>61</v>
      </c>
      <c r="K984" s="8" t="s">
        <v>2335</v>
      </c>
    </row>
    <row r="985" customFormat="false" ht="45.75" hidden="false" customHeight="true" outlineLevel="0" collapsed="false">
      <c r="A985" s="10" t="s">
        <v>2344</v>
      </c>
      <c r="B985" s="10" t="s">
        <v>45</v>
      </c>
      <c r="C985" s="8" t="s">
        <v>2333</v>
      </c>
      <c r="D985" s="8" t="s">
        <v>2345</v>
      </c>
      <c r="E985" s="11" t="n">
        <v>164</v>
      </c>
      <c r="F985" s="8" t="str">
        <f aca="false">IFERROR(INDEX(Section_Master!$D$2:$D$477,MATCH($E985,Section_Master!$A$2:$A$477,0))&amp;"","")</f>
        <v>Imprisonment up to 2 years, or fine, or both</v>
      </c>
      <c r="G985" s="10" t="str">
        <f aca="false">IFERROR(INDEX(Section_Master!$E$2:$E$477,MATCH($E985,Section_Master!$A$2:$A$477,0))&amp;"","")</f>
        <v>Yes</v>
      </c>
      <c r="H985" s="10" t="str">
        <f aca="false">IFERROR(INDEX(Section_Master!$F$2:$F$477,MATCH($E985,Section_Master!$A$2:$A$477,0))&amp;"","")</f>
        <v>Yes</v>
      </c>
      <c r="I985" s="10" t="str">
        <f aca="false">IFERROR(INDEX(Section_Master!$G$2:$G$477,MATCH($E985,Section_Master!$A$2:$A$477,0))&amp;"","")</f>
        <v>No</v>
      </c>
      <c r="J985" s="10" t="s">
        <v>64</v>
      </c>
      <c r="K985" s="8" t="s">
        <v>2335</v>
      </c>
    </row>
    <row r="986" customFormat="false" ht="34.5" hidden="false" customHeight="true" outlineLevel="0" collapsed="false">
      <c r="A986" s="10" t="s">
        <v>2346</v>
      </c>
      <c r="B986" s="10" t="s">
        <v>45</v>
      </c>
      <c r="C986" s="8" t="s">
        <v>2347</v>
      </c>
      <c r="D986" s="8" t="s">
        <v>2348</v>
      </c>
      <c r="E986" s="11" t="n">
        <v>165</v>
      </c>
      <c r="F986" s="8" t="str">
        <f aca="false">IFERROR(INDEX(Section_Master!$D$2:$D$477,MATCH($E986,Section_Master!$A$2:$A$477,0))&amp;"","")</f>
        <v>Fine</v>
      </c>
      <c r="G986" s="10" t="str">
        <f aca="false">IFERROR(INDEX(Section_Master!$E$2:$E$477,MATCH($E986,Section_Master!$A$2:$A$477,0))&amp;"","")</f>
        <v>No</v>
      </c>
      <c r="H986" s="10" t="str">
        <f aca="false">IFERROR(INDEX(Section_Master!$F$2:$F$477,MATCH($E986,Section_Master!$A$2:$A$477,0))&amp;"","")</f>
        <v>Yes</v>
      </c>
      <c r="I986" s="10" t="str">
        <f aca="false">IFERROR(INDEX(Section_Master!$G$2:$G$477,MATCH($E986,Section_Master!$A$2:$A$477,0))&amp;"","")</f>
        <v>No</v>
      </c>
      <c r="J986" s="10" t="s">
        <v>48</v>
      </c>
      <c r="K986" s="8" t="s">
        <v>2349</v>
      </c>
    </row>
    <row r="987" customFormat="false" ht="34.5" hidden="false" customHeight="true" outlineLevel="0" collapsed="false">
      <c r="A987" s="10" t="s">
        <v>2350</v>
      </c>
      <c r="B987" s="10" t="s">
        <v>45</v>
      </c>
      <c r="C987" s="8" t="s">
        <v>2347</v>
      </c>
      <c r="D987" s="8" t="s">
        <v>2351</v>
      </c>
      <c r="E987" s="11" t="n">
        <v>165</v>
      </c>
      <c r="F987" s="8" t="str">
        <f aca="false">IFERROR(INDEX(Section_Master!$D$2:$D$477,MATCH($E987,Section_Master!$A$2:$A$477,0))&amp;"","")</f>
        <v>Fine</v>
      </c>
      <c r="G987" s="10" t="str">
        <f aca="false">IFERROR(INDEX(Section_Master!$E$2:$E$477,MATCH($E987,Section_Master!$A$2:$A$477,0))&amp;"","")</f>
        <v>No</v>
      </c>
      <c r="H987" s="10" t="str">
        <f aca="false">IFERROR(INDEX(Section_Master!$F$2:$F$477,MATCH($E987,Section_Master!$A$2:$A$477,0))&amp;"","")</f>
        <v>Yes</v>
      </c>
      <c r="I987" s="10" t="str">
        <f aca="false">IFERROR(INDEX(Section_Master!$G$2:$G$477,MATCH($E987,Section_Master!$A$2:$A$477,0))&amp;"","")</f>
        <v>No</v>
      </c>
      <c r="J987" s="10" t="s">
        <v>52</v>
      </c>
      <c r="K987" s="8" t="s">
        <v>2349</v>
      </c>
    </row>
    <row r="988" customFormat="false" ht="23.25" hidden="false" customHeight="true" outlineLevel="0" collapsed="false">
      <c r="A988" s="10" t="s">
        <v>2352</v>
      </c>
      <c r="B988" s="10" t="s">
        <v>45</v>
      </c>
      <c r="C988" s="8" t="s">
        <v>2347</v>
      </c>
      <c r="D988" s="8" t="s">
        <v>2353</v>
      </c>
      <c r="E988" s="11" t="n">
        <v>165</v>
      </c>
      <c r="F988" s="8" t="str">
        <f aca="false">IFERROR(INDEX(Section_Master!$D$2:$D$477,MATCH($E988,Section_Master!$A$2:$A$477,0))&amp;"","")</f>
        <v>Fine</v>
      </c>
      <c r="G988" s="10" t="str">
        <f aca="false">IFERROR(INDEX(Section_Master!$E$2:$E$477,MATCH($E988,Section_Master!$A$2:$A$477,0))&amp;"","")</f>
        <v>No</v>
      </c>
      <c r="H988" s="10" t="str">
        <f aca="false">IFERROR(INDEX(Section_Master!$F$2:$F$477,MATCH($E988,Section_Master!$A$2:$A$477,0))&amp;"","")</f>
        <v>Yes</v>
      </c>
      <c r="I988" s="10" t="str">
        <f aca="false">IFERROR(INDEX(Section_Master!$G$2:$G$477,MATCH($E988,Section_Master!$A$2:$A$477,0))&amp;"","")</f>
        <v>No</v>
      </c>
      <c r="J988" s="10" t="s">
        <v>55</v>
      </c>
      <c r="K988" s="8" t="s">
        <v>2349</v>
      </c>
    </row>
    <row r="989" customFormat="false" ht="23.25" hidden="false" customHeight="true" outlineLevel="0" collapsed="false">
      <c r="A989" s="10" t="s">
        <v>2354</v>
      </c>
      <c r="B989" s="10" t="s">
        <v>45</v>
      </c>
      <c r="C989" s="8" t="s">
        <v>2347</v>
      </c>
      <c r="D989" s="8" t="s">
        <v>2355</v>
      </c>
      <c r="E989" s="11" t="n">
        <v>165</v>
      </c>
      <c r="F989" s="8" t="str">
        <f aca="false">IFERROR(INDEX(Section_Master!$D$2:$D$477,MATCH($E989,Section_Master!$A$2:$A$477,0))&amp;"","")</f>
        <v>Fine</v>
      </c>
      <c r="G989" s="10" t="str">
        <f aca="false">IFERROR(INDEX(Section_Master!$E$2:$E$477,MATCH($E989,Section_Master!$A$2:$A$477,0))&amp;"","")</f>
        <v>No</v>
      </c>
      <c r="H989" s="10" t="str">
        <f aca="false">IFERROR(INDEX(Section_Master!$F$2:$F$477,MATCH($E989,Section_Master!$A$2:$A$477,0))&amp;"","")</f>
        <v>Yes</v>
      </c>
      <c r="I989" s="10" t="str">
        <f aca="false">IFERROR(INDEX(Section_Master!$G$2:$G$477,MATCH($E989,Section_Master!$A$2:$A$477,0))&amp;"","")</f>
        <v>No</v>
      </c>
      <c r="J989" s="10" t="s">
        <v>58</v>
      </c>
      <c r="K989" s="8" t="s">
        <v>2349</v>
      </c>
    </row>
    <row r="990" customFormat="false" ht="34.5" hidden="false" customHeight="true" outlineLevel="0" collapsed="false">
      <c r="A990" s="10" t="s">
        <v>2356</v>
      </c>
      <c r="B990" s="10" t="s">
        <v>45</v>
      </c>
      <c r="C990" s="8" t="s">
        <v>2347</v>
      </c>
      <c r="D990" s="8" t="s">
        <v>2357</v>
      </c>
      <c r="E990" s="11" t="n">
        <v>165</v>
      </c>
      <c r="F990" s="8" t="str">
        <f aca="false">IFERROR(INDEX(Section_Master!$D$2:$D$477,MATCH($E990,Section_Master!$A$2:$A$477,0))&amp;"","")</f>
        <v>Fine</v>
      </c>
      <c r="G990" s="10" t="str">
        <f aca="false">IFERROR(INDEX(Section_Master!$E$2:$E$477,MATCH($E990,Section_Master!$A$2:$A$477,0))&amp;"","")</f>
        <v>No</v>
      </c>
      <c r="H990" s="10" t="str">
        <f aca="false">IFERROR(INDEX(Section_Master!$F$2:$F$477,MATCH($E990,Section_Master!$A$2:$A$477,0))&amp;"","")</f>
        <v>Yes</v>
      </c>
      <c r="I990" s="10" t="str">
        <f aca="false">IFERROR(INDEX(Section_Master!$G$2:$G$477,MATCH($E990,Section_Master!$A$2:$A$477,0))&amp;"","")</f>
        <v>No</v>
      </c>
      <c r="J990" s="10" t="s">
        <v>61</v>
      </c>
      <c r="K990" s="8" t="s">
        <v>2349</v>
      </c>
    </row>
    <row r="991" customFormat="false" ht="34.5" hidden="false" customHeight="true" outlineLevel="0" collapsed="false">
      <c r="A991" s="10" t="s">
        <v>2358</v>
      </c>
      <c r="B991" s="10" t="s">
        <v>45</v>
      </c>
      <c r="C991" s="8" t="s">
        <v>2347</v>
      </c>
      <c r="D991" s="8" t="s">
        <v>2359</v>
      </c>
      <c r="E991" s="11" t="n">
        <v>165</v>
      </c>
      <c r="F991" s="8" t="str">
        <f aca="false">IFERROR(INDEX(Section_Master!$D$2:$D$477,MATCH($E991,Section_Master!$A$2:$A$477,0))&amp;"","")</f>
        <v>Fine</v>
      </c>
      <c r="G991" s="10" t="str">
        <f aca="false">IFERROR(INDEX(Section_Master!$E$2:$E$477,MATCH($E991,Section_Master!$A$2:$A$477,0))&amp;"","")</f>
        <v>No</v>
      </c>
      <c r="H991" s="10" t="str">
        <f aca="false">IFERROR(INDEX(Section_Master!$F$2:$F$477,MATCH($E991,Section_Master!$A$2:$A$477,0))&amp;"","")</f>
        <v>Yes</v>
      </c>
      <c r="I991" s="10" t="str">
        <f aca="false">IFERROR(INDEX(Section_Master!$G$2:$G$477,MATCH($E991,Section_Master!$A$2:$A$477,0))&amp;"","")</f>
        <v>No</v>
      </c>
      <c r="J991" s="10" t="s">
        <v>64</v>
      </c>
      <c r="K991" s="8" t="s">
        <v>2349</v>
      </c>
    </row>
    <row r="992" customFormat="false" ht="34.5" hidden="false" customHeight="true" outlineLevel="0" collapsed="false">
      <c r="A992" s="10" t="s">
        <v>2360</v>
      </c>
      <c r="B992" s="10" t="s">
        <v>45</v>
      </c>
      <c r="C992" s="8" t="s">
        <v>2361</v>
      </c>
      <c r="D992" s="8" t="s">
        <v>2362</v>
      </c>
      <c r="E992" s="11" t="n">
        <v>166</v>
      </c>
      <c r="F992" s="8" t="str">
        <f aca="false">IFERROR(INDEX(Section_Master!$D$2:$D$477,MATCH($E992,Section_Master!$A$2:$A$477,0))&amp;"","")</f>
        <v>Imprisonment up to 6 months, or fine, or both</v>
      </c>
      <c r="G992" s="10" t="str">
        <f aca="false">IFERROR(INDEX(Section_Master!$E$2:$E$477,MATCH($E992,Section_Master!$A$2:$A$477,0))&amp;"","")</f>
        <v>Yes</v>
      </c>
      <c r="H992" s="10" t="str">
        <f aca="false">IFERROR(INDEX(Section_Master!$F$2:$F$477,MATCH($E992,Section_Master!$A$2:$A$477,0))&amp;"","")</f>
        <v>Yes</v>
      </c>
      <c r="I992" s="10" t="str">
        <f aca="false">IFERROR(INDEX(Section_Master!$G$2:$G$477,MATCH($E992,Section_Master!$A$2:$A$477,0))&amp;"","")</f>
        <v>No</v>
      </c>
      <c r="J992" s="10" t="s">
        <v>48</v>
      </c>
      <c r="K992" s="8" t="s">
        <v>2363</v>
      </c>
    </row>
    <row r="993" customFormat="false" ht="34.5" hidden="false" customHeight="true" outlineLevel="0" collapsed="false">
      <c r="A993" s="10" t="s">
        <v>2364</v>
      </c>
      <c r="B993" s="10" t="s">
        <v>45</v>
      </c>
      <c r="C993" s="8" t="s">
        <v>2361</v>
      </c>
      <c r="D993" s="8" t="s">
        <v>2365</v>
      </c>
      <c r="E993" s="11" t="n">
        <v>166</v>
      </c>
      <c r="F993" s="8" t="str">
        <f aca="false">IFERROR(INDEX(Section_Master!$D$2:$D$477,MATCH($E993,Section_Master!$A$2:$A$477,0))&amp;"","")</f>
        <v>Imprisonment up to 6 months, or fine, or both</v>
      </c>
      <c r="G993" s="10" t="str">
        <f aca="false">IFERROR(INDEX(Section_Master!$E$2:$E$477,MATCH($E993,Section_Master!$A$2:$A$477,0))&amp;"","")</f>
        <v>Yes</v>
      </c>
      <c r="H993" s="10" t="str">
        <f aca="false">IFERROR(INDEX(Section_Master!$F$2:$F$477,MATCH($E993,Section_Master!$A$2:$A$477,0))&amp;"","")</f>
        <v>Yes</v>
      </c>
      <c r="I993" s="10" t="str">
        <f aca="false">IFERROR(INDEX(Section_Master!$G$2:$G$477,MATCH($E993,Section_Master!$A$2:$A$477,0))&amp;"","")</f>
        <v>No</v>
      </c>
      <c r="J993" s="10" t="s">
        <v>52</v>
      </c>
      <c r="K993" s="8" t="s">
        <v>2363</v>
      </c>
    </row>
    <row r="994" customFormat="false" ht="34.5" hidden="false" customHeight="true" outlineLevel="0" collapsed="false">
      <c r="A994" s="10" t="s">
        <v>2366</v>
      </c>
      <c r="B994" s="10" t="s">
        <v>45</v>
      </c>
      <c r="C994" s="8" t="s">
        <v>2361</v>
      </c>
      <c r="D994" s="8" t="s">
        <v>2367</v>
      </c>
      <c r="E994" s="11" t="n">
        <v>166</v>
      </c>
      <c r="F994" s="8" t="str">
        <f aca="false">IFERROR(INDEX(Section_Master!$D$2:$D$477,MATCH($E994,Section_Master!$A$2:$A$477,0))&amp;"","")</f>
        <v>Imprisonment up to 6 months, or fine, or both</v>
      </c>
      <c r="G994" s="10" t="str">
        <f aca="false">IFERROR(INDEX(Section_Master!$E$2:$E$477,MATCH($E994,Section_Master!$A$2:$A$477,0))&amp;"","")</f>
        <v>Yes</v>
      </c>
      <c r="H994" s="10" t="str">
        <f aca="false">IFERROR(INDEX(Section_Master!$F$2:$F$477,MATCH($E994,Section_Master!$A$2:$A$477,0))&amp;"","")</f>
        <v>Yes</v>
      </c>
      <c r="I994" s="10" t="str">
        <f aca="false">IFERROR(INDEX(Section_Master!$G$2:$G$477,MATCH($E994,Section_Master!$A$2:$A$477,0))&amp;"","")</f>
        <v>No</v>
      </c>
      <c r="J994" s="10" t="s">
        <v>55</v>
      </c>
      <c r="K994" s="8" t="s">
        <v>2363</v>
      </c>
    </row>
    <row r="995" customFormat="false" ht="23.25" hidden="false" customHeight="true" outlineLevel="0" collapsed="false">
      <c r="A995" s="10" t="s">
        <v>2368</v>
      </c>
      <c r="B995" s="10" t="s">
        <v>45</v>
      </c>
      <c r="C995" s="8" t="s">
        <v>2361</v>
      </c>
      <c r="D995" s="8" t="s">
        <v>2369</v>
      </c>
      <c r="E995" s="11" t="n">
        <v>166</v>
      </c>
      <c r="F995" s="8" t="str">
        <f aca="false">IFERROR(INDEX(Section_Master!$D$2:$D$477,MATCH($E995,Section_Master!$A$2:$A$477,0))&amp;"","")</f>
        <v>Imprisonment up to 6 months, or fine, or both</v>
      </c>
      <c r="G995" s="10" t="str">
        <f aca="false">IFERROR(INDEX(Section_Master!$E$2:$E$477,MATCH($E995,Section_Master!$A$2:$A$477,0))&amp;"","")</f>
        <v>Yes</v>
      </c>
      <c r="H995" s="10" t="str">
        <f aca="false">IFERROR(INDEX(Section_Master!$F$2:$F$477,MATCH($E995,Section_Master!$A$2:$A$477,0))&amp;"","")</f>
        <v>Yes</v>
      </c>
      <c r="I995" s="10" t="str">
        <f aca="false">IFERROR(INDEX(Section_Master!$G$2:$G$477,MATCH($E995,Section_Master!$A$2:$A$477,0))&amp;"","")</f>
        <v>No</v>
      </c>
      <c r="J995" s="10" t="s">
        <v>58</v>
      </c>
      <c r="K995" s="8" t="s">
        <v>2363</v>
      </c>
    </row>
    <row r="996" customFormat="false" ht="34.5" hidden="false" customHeight="true" outlineLevel="0" collapsed="false">
      <c r="A996" s="10" t="s">
        <v>2370</v>
      </c>
      <c r="B996" s="10" t="s">
        <v>45</v>
      </c>
      <c r="C996" s="8" t="s">
        <v>2361</v>
      </c>
      <c r="D996" s="8" t="s">
        <v>2371</v>
      </c>
      <c r="E996" s="11" t="n">
        <v>166</v>
      </c>
      <c r="F996" s="8" t="str">
        <f aca="false">IFERROR(INDEX(Section_Master!$D$2:$D$477,MATCH($E996,Section_Master!$A$2:$A$477,0))&amp;"","")</f>
        <v>Imprisonment up to 6 months, or fine, or both</v>
      </c>
      <c r="G996" s="10" t="str">
        <f aca="false">IFERROR(INDEX(Section_Master!$E$2:$E$477,MATCH($E996,Section_Master!$A$2:$A$477,0))&amp;"","")</f>
        <v>Yes</v>
      </c>
      <c r="H996" s="10" t="str">
        <f aca="false">IFERROR(INDEX(Section_Master!$F$2:$F$477,MATCH($E996,Section_Master!$A$2:$A$477,0))&amp;"","")</f>
        <v>Yes</v>
      </c>
      <c r="I996" s="10" t="str">
        <f aca="false">IFERROR(INDEX(Section_Master!$G$2:$G$477,MATCH($E996,Section_Master!$A$2:$A$477,0))&amp;"","")</f>
        <v>No</v>
      </c>
      <c r="J996" s="10" t="s">
        <v>61</v>
      </c>
      <c r="K996" s="8" t="s">
        <v>2363</v>
      </c>
    </row>
    <row r="997" customFormat="false" ht="34.5" hidden="false" customHeight="true" outlineLevel="0" collapsed="false">
      <c r="A997" s="10" t="s">
        <v>2372</v>
      </c>
      <c r="B997" s="10" t="s">
        <v>45</v>
      </c>
      <c r="C997" s="8" t="s">
        <v>2361</v>
      </c>
      <c r="D997" s="8" t="s">
        <v>2373</v>
      </c>
      <c r="E997" s="11" t="n">
        <v>166</v>
      </c>
      <c r="F997" s="8" t="str">
        <f aca="false">IFERROR(INDEX(Section_Master!$D$2:$D$477,MATCH($E997,Section_Master!$A$2:$A$477,0))&amp;"","")</f>
        <v>Imprisonment up to 6 months, or fine, or both</v>
      </c>
      <c r="G997" s="10" t="str">
        <f aca="false">IFERROR(INDEX(Section_Master!$E$2:$E$477,MATCH($E997,Section_Master!$A$2:$A$477,0))&amp;"","")</f>
        <v>Yes</v>
      </c>
      <c r="H997" s="10" t="str">
        <f aca="false">IFERROR(INDEX(Section_Master!$F$2:$F$477,MATCH($E997,Section_Master!$A$2:$A$477,0))&amp;"","")</f>
        <v>Yes</v>
      </c>
      <c r="I997" s="10" t="str">
        <f aca="false">IFERROR(INDEX(Section_Master!$G$2:$G$477,MATCH($E997,Section_Master!$A$2:$A$477,0))&amp;"","")</f>
        <v>No</v>
      </c>
      <c r="J997" s="10" t="s">
        <v>64</v>
      </c>
      <c r="K997" s="8" t="s">
        <v>2363</v>
      </c>
    </row>
    <row r="998" customFormat="false" ht="34.5" hidden="false" customHeight="true" outlineLevel="0" collapsed="false">
      <c r="A998" s="10" t="s">
        <v>2374</v>
      </c>
      <c r="B998" s="10" t="s">
        <v>45</v>
      </c>
      <c r="C998" s="8" t="s">
        <v>2375</v>
      </c>
      <c r="D998" s="8" t="s">
        <v>2376</v>
      </c>
      <c r="E998" s="11" t="n">
        <v>167</v>
      </c>
      <c r="F998" s="8" t="str">
        <f aca="false">IFERROR(INDEX(Section_Master!$D$2:$D$477,MATCH($E998,Section_Master!$A$2:$A$477,0))&amp;"","")</f>
        <v>Not applicable - no offence or penalty defined here (definition, exception or general provision)</v>
      </c>
      <c r="G998" s="10" t="str">
        <f aca="false">IFERROR(INDEX(Section_Master!$E$2:$E$477,MATCH($E998,Section_Master!$A$2:$A$477,0))&amp;"","")</f>
        <v>N/A</v>
      </c>
      <c r="H998" s="10" t="str">
        <f aca="false">IFERROR(INDEX(Section_Master!$F$2:$F$477,MATCH($E998,Section_Master!$A$2:$A$477,0))&amp;"","")</f>
        <v>N/A</v>
      </c>
      <c r="I998" s="10" t="str">
        <f aca="false">IFERROR(INDEX(Section_Master!$G$2:$G$477,MATCH($E998,Section_Master!$A$2:$A$477,0))&amp;"","")</f>
        <v>N/A</v>
      </c>
      <c r="J998" s="10" t="s">
        <v>48</v>
      </c>
      <c r="K998" s="8" t="s">
        <v>2377</v>
      </c>
    </row>
    <row r="999" customFormat="false" ht="34.5" hidden="false" customHeight="true" outlineLevel="0" collapsed="false">
      <c r="A999" s="10" t="s">
        <v>2378</v>
      </c>
      <c r="B999" s="10" t="s">
        <v>45</v>
      </c>
      <c r="C999" s="8" t="s">
        <v>2375</v>
      </c>
      <c r="D999" s="8" t="s">
        <v>2379</v>
      </c>
      <c r="E999" s="11" t="n">
        <v>167</v>
      </c>
      <c r="F999" s="8" t="str">
        <f aca="false">IFERROR(INDEX(Section_Master!$D$2:$D$477,MATCH($E999,Section_Master!$A$2:$A$477,0))&amp;"","")</f>
        <v>Not applicable - no offence or penalty defined here (definition, exception or general provision)</v>
      </c>
      <c r="G999" s="10" t="str">
        <f aca="false">IFERROR(INDEX(Section_Master!$E$2:$E$477,MATCH($E999,Section_Master!$A$2:$A$477,0))&amp;"","")</f>
        <v>N/A</v>
      </c>
      <c r="H999" s="10" t="str">
        <f aca="false">IFERROR(INDEX(Section_Master!$F$2:$F$477,MATCH($E999,Section_Master!$A$2:$A$477,0))&amp;"","")</f>
        <v>N/A</v>
      </c>
      <c r="I999" s="10" t="str">
        <f aca="false">IFERROR(INDEX(Section_Master!$G$2:$G$477,MATCH($E999,Section_Master!$A$2:$A$477,0))&amp;"","")</f>
        <v>N/A</v>
      </c>
      <c r="J999" s="10" t="s">
        <v>52</v>
      </c>
      <c r="K999" s="8" t="s">
        <v>2377</v>
      </c>
    </row>
    <row r="1000" customFormat="false" ht="34.5" hidden="false" customHeight="true" outlineLevel="0" collapsed="false">
      <c r="A1000" s="10" t="s">
        <v>2380</v>
      </c>
      <c r="B1000" s="10" t="s">
        <v>45</v>
      </c>
      <c r="C1000" s="8" t="s">
        <v>2375</v>
      </c>
      <c r="D1000" s="8" t="s">
        <v>2381</v>
      </c>
      <c r="E1000" s="11" t="n">
        <v>167</v>
      </c>
      <c r="F1000" s="8" t="str">
        <f aca="false">IFERROR(INDEX(Section_Master!$D$2:$D$477,MATCH($E1000,Section_Master!$A$2:$A$477,0))&amp;"","")</f>
        <v>Not applicable - no offence or penalty defined here (definition, exception or general provision)</v>
      </c>
      <c r="G1000" s="10" t="str">
        <f aca="false">IFERROR(INDEX(Section_Master!$E$2:$E$477,MATCH($E1000,Section_Master!$A$2:$A$477,0))&amp;"","")</f>
        <v>N/A</v>
      </c>
      <c r="H1000" s="10" t="str">
        <f aca="false">IFERROR(INDEX(Section_Master!$F$2:$F$477,MATCH($E1000,Section_Master!$A$2:$A$477,0))&amp;"","")</f>
        <v>N/A</v>
      </c>
      <c r="I1000" s="10" t="str">
        <f aca="false">IFERROR(INDEX(Section_Master!$G$2:$G$477,MATCH($E1000,Section_Master!$A$2:$A$477,0))&amp;"","")</f>
        <v>N/A</v>
      </c>
      <c r="J1000" s="10" t="s">
        <v>55</v>
      </c>
      <c r="K1000" s="8" t="s">
        <v>2377</v>
      </c>
    </row>
    <row r="1001" customFormat="false" ht="23.25" hidden="false" customHeight="true" outlineLevel="0" collapsed="false">
      <c r="A1001" s="10" t="s">
        <v>2382</v>
      </c>
      <c r="B1001" s="10" t="s">
        <v>45</v>
      </c>
      <c r="C1001" s="8" t="s">
        <v>2375</v>
      </c>
      <c r="D1001" s="8" t="s">
        <v>2383</v>
      </c>
      <c r="E1001" s="11" t="n">
        <v>167</v>
      </c>
      <c r="F1001" s="8" t="str">
        <f aca="false">IFERROR(INDEX(Section_Master!$D$2:$D$477,MATCH($E1001,Section_Master!$A$2:$A$477,0))&amp;"","")</f>
        <v>Not applicable - no offence or penalty defined here (definition, exception or general provision)</v>
      </c>
      <c r="G1001" s="10" t="str">
        <f aca="false">IFERROR(INDEX(Section_Master!$E$2:$E$477,MATCH($E1001,Section_Master!$A$2:$A$477,0))&amp;"","")</f>
        <v>N/A</v>
      </c>
      <c r="H1001" s="10" t="str">
        <f aca="false">IFERROR(INDEX(Section_Master!$F$2:$F$477,MATCH($E1001,Section_Master!$A$2:$A$477,0))&amp;"","")</f>
        <v>N/A</v>
      </c>
      <c r="I1001" s="10" t="str">
        <f aca="false">IFERROR(INDEX(Section_Master!$G$2:$G$477,MATCH($E1001,Section_Master!$A$2:$A$477,0))&amp;"","")</f>
        <v>N/A</v>
      </c>
      <c r="J1001" s="10" t="s">
        <v>58</v>
      </c>
      <c r="K1001" s="8" t="s">
        <v>2377</v>
      </c>
    </row>
    <row r="1002" customFormat="false" ht="23.25" hidden="false" customHeight="true" outlineLevel="0" collapsed="false">
      <c r="A1002" s="10" t="s">
        <v>2384</v>
      </c>
      <c r="B1002" s="10" t="s">
        <v>45</v>
      </c>
      <c r="C1002" s="8" t="s">
        <v>2375</v>
      </c>
      <c r="D1002" s="8" t="s">
        <v>2385</v>
      </c>
      <c r="E1002" s="11" t="n">
        <v>167</v>
      </c>
      <c r="F1002" s="8" t="str">
        <f aca="false">IFERROR(INDEX(Section_Master!$D$2:$D$477,MATCH($E1002,Section_Master!$A$2:$A$477,0))&amp;"","")</f>
        <v>Not applicable - no offence or penalty defined here (definition, exception or general provision)</v>
      </c>
      <c r="G1002" s="10" t="str">
        <f aca="false">IFERROR(INDEX(Section_Master!$E$2:$E$477,MATCH($E1002,Section_Master!$A$2:$A$477,0))&amp;"","")</f>
        <v>N/A</v>
      </c>
      <c r="H1002" s="10" t="str">
        <f aca="false">IFERROR(INDEX(Section_Master!$F$2:$F$477,MATCH($E1002,Section_Master!$A$2:$A$477,0))&amp;"","")</f>
        <v>N/A</v>
      </c>
      <c r="I1002" s="10" t="str">
        <f aca="false">IFERROR(INDEX(Section_Master!$G$2:$G$477,MATCH($E1002,Section_Master!$A$2:$A$477,0))&amp;"","")</f>
        <v>N/A</v>
      </c>
      <c r="J1002" s="10" t="s">
        <v>61</v>
      </c>
      <c r="K1002" s="8" t="s">
        <v>2377</v>
      </c>
    </row>
    <row r="1003" customFormat="false" ht="45.75" hidden="false" customHeight="true" outlineLevel="0" collapsed="false">
      <c r="A1003" s="10" t="s">
        <v>2386</v>
      </c>
      <c r="B1003" s="10" t="s">
        <v>45</v>
      </c>
      <c r="C1003" s="8" t="s">
        <v>2375</v>
      </c>
      <c r="D1003" s="8" t="s">
        <v>2387</v>
      </c>
      <c r="E1003" s="11" t="n">
        <v>167</v>
      </c>
      <c r="F1003" s="8" t="str">
        <f aca="false">IFERROR(INDEX(Section_Master!$D$2:$D$477,MATCH($E1003,Section_Master!$A$2:$A$477,0))&amp;"","")</f>
        <v>Not applicable - no offence or penalty defined here (definition, exception or general provision)</v>
      </c>
      <c r="G1003" s="10" t="str">
        <f aca="false">IFERROR(INDEX(Section_Master!$E$2:$E$477,MATCH($E1003,Section_Master!$A$2:$A$477,0))&amp;"","")</f>
        <v>N/A</v>
      </c>
      <c r="H1003" s="10" t="str">
        <f aca="false">IFERROR(INDEX(Section_Master!$F$2:$F$477,MATCH($E1003,Section_Master!$A$2:$A$477,0))&amp;"","")</f>
        <v>N/A</v>
      </c>
      <c r="I1003" s="10" t="str">
        <f aca="false">IFERROR(INDEX(Section_Master!$G$2:$G$477,MATCH($E1003,Section_Master!$A$2:$A$477,0))&amp;"","")</f>
        <v>N/A</v>
      </c>
      <c r="J1003" s="10" t="s">
        <v>64</v>
      </c>
      <c r="K1003" s="8" t="s">
        <v>2377</v>
      </c>
    </row>
    <row r="1004" customFormat="false" ht="34.5" hidden="false" customHeight="true" outlineLevel="0" collapsed="false">
      <c r="A1004" s="10" t="s">
        <v>2388</v>
      </c>
      <c r="B1004" s="10" t="s">
        <v>45</v>
      </c>
      <c r="C1004" s="8" t="s">
        <v>2389</v>
      </c>
      <c r="D1004" s="8" t="s">
        <v>2390</v>
      </c>
      <c r="E1004" s="11" t="n">
        <v>168</v>
      </c>
      <c r="F1004" s="8" t="str">
        <f aca="false">IFERROR(INDEX(Section_Master!$D$2:$D$477,MATCH($E1004,Section_Master!$A$2:$A$477,0))&amp;"","")</f>
        <v>Imprisonment up to 3 months, or fine, or both</v>
      </c>
      <c r="G1004" s="10" t="str">
        <f aca="false">IFERROR(INDEX(Section_Master!$E$2:$E$477,MATCH($E1004,Section_Master!$A$2:$A$477,0))&amp;"","")</f>
        <v>Yes</v>
      </c>
      <c r="H1004" s="10" t="str">
        <f aca="false">IFERROR(INDEX(Section_Master!$F$2:$F$477,MATCH($E1004,Section_Master!$A$2:$A$477,0))&amp;"","")</f>
        <v>Yes</v>
      </c>
      <c r="I1004" s="10" t="str">
        <f aca="false">IFERROR(INDEX(Section_Master!$G$2:$G$477,MATCH($E1004,Section_Master!$A$2:$A$477,0))&amp;"","")</f>
        <v>No</v>
      </c>
      <c r="J1004" s="10" t="s">
        <v>48</v>
      </c>
      <c r="K1004" s="8" t="s">
        <v>2391</v>
      </c>
    </row>
    <row r="1005" customFormat="false" ht="45.75" hidden="false" customHeight="true" outlineLevel="0" collapsed="false">
      <c r="A1005" s="10" t="s">
        <v>2392</v>
      </c>
      <c r="B1005" s="10" t="s">
        <v>45</v>
      </c>
      <c r="C1005" s="8" t="s">
        <v>2389</v>
      </c>
      <c r="D1005" s="8" t="s">
        <v>2393</v>
      </c>
      <c r="E1005" s="11" t="n">
        <v>168</v>
      </c>
      <c r="F1005" s="8" t="str">
        <f aca="false">IFERROR(INDEX(Section_Master!$D$2:$D$477,MATCH($E1005,Section_Master!$A$2:$A$477,0))&amp;"","")</f>
        <v>Imprisonment up to 3 months, or fine, or both</v>
      </c>
      <c r="G1005" s="10" t="str">
        <f aca="false">IFERROR(INDEX(Section_Master!$E$2:$E$477,MATCH($E1005,Section_Master!$A$2:$A$477,0))&amp;"","")</f>
        <v>Yes</v>
      </c>
      <c r="H1005" s="10" t="str">
        <f aca="false">IFERROR(INDEX(Section_Master!$F$2:$F$477,MATCH($E1005,Section_Master!$A$2:$A$477,0))&amp;"","")</f>
        <v>Yes</v>
      </c>
      <c r="I1005" s="10" t="str">
        <f aca="false">IFERROR(INDEX(Section_Master!$G$2:$G$477,MATCH($E1005,Section_Master!$A$2:$A$477,0))&amp;"","")</f>
        <v>No</v>
      </c>
      <c r="J1005" s="10" t="s">
        <v>52</v>
      </c>
      <c r="K1005" s="8" t="s">
        <v>2391</v>
      </c>
    </row>
    <row r="1006" customFormat="false" ht="34.5" hidden="false" customHeight="true" outlineLevel="0" collapsed="false">
      <c r="A1006" s="10" t="s">
        <v>2394</v>
      </c>
      <c r="B1006" s="10" t="s">
        <v>45</v>
      </c>
      <c r="C1006" s="8" t="s">
        <v>2389</v>
      </c>
      <c r="D1006" s="8" t="s">
        <v>2395</v>
      </c>
      <c r="E1006" s="11" t="n">
        <v>168</v>
      </c>
      <c r="F1006" s="8" t="str">
        <f aca="false">IFERROR(INDEX(Section_Master!$D$2:$D$477,MATCH($E1006,Section_Master!$A$2:$A$477,0))&amp;"","")</f>
        <v>Imprisonment up to 3 months, or fine, or both</v>
      </c>
      <c r="G1006" s="10" t="str">
        <f aca="false">IFERROR(INDEX(Section_Master!$E$2:$E$477,MATCH($E1006,Section_Master!$A$2:$A$477,0))&amp;"","")</f>
        <v>Yes</v>
      </c>
      <c r="H1006" s="10" t="str">
        <f aca="false">IFERROR(INDEX(Section_Master!$F$2:$F$477,MATCH($E1006,Section_Master!$A$2:$A$477,0))&amp;"","")</f>
        <v>Yes</v>
      </c>
      <c r="I1006" s="10" t="str">
        <f aca="false">IFERROR(INDEX(Section_Master!$G$2:$G$477,MATCH($E1006,Section_Master!$A$2:$A$477,0))&amp;"","")</f>
        <v>No</v>
      </c>
      <c r="J1006" s="10" t="s">
        <v>55</v>
      </c>
      <c r="K1006" s="8" t="s">
        <v>2391</v>
      </c>
    </row>
    <row r="1007" customFormat="false" ht="23.25" hidden="false" customHeight="true" outlineLevel="0" collapsed="false">
      <c r="A1007" s="10" t="s">
        <v>2396</v>
      </c>
      <c r="B1007" s="10" t="s">
        <v>45</v>
      </c>
      <c r="C1007" s="8" t="s">
        <v>2389</v>
      </c>
      <c r="D1007" s="8" t="s">
        <v>2397</v>
      </c>
      <c r="E1007" s="11" t="n">
        <v>168</v>
      </c>
      <c r="F1007" s="8" t="str">
        <f aca="false">IFERROR(INDEX(Section_Master!$D$2:$D$477,MATCH($E1007,Section_Master!$A$2:$A$477,0))&amp;"","")</f>
        <v>Imprisonment up to 3 months, or fine, or both</v>
      </c>
      <c r="G1007" s="10" t="str">
        <f aca="false">IFERROR(INDEX(Section_Master!$E$2:$E$477,MATCH($E1007,Section_Master!$A$2:$A$477,0))&amp;"","")</f>
        <v>Yes</v>
      </c>
      <c r="H1007" s="10" t="str">
        <f aca="false">IFERROR(INDEX(Section_Master!$F$2:$F$477,MATCH($E1007,Section_Master!$A$2:$A$477,0))&amp;"","")</f>
        <v>Yes</v>
      </c>
      <c r="I1007" s="10" t="str">
        <f aca="false">IFERROR(INDEX(Section_Master!$G$2:$G$477,MATCH($E1007,Section_Master!$A$2:$A$477,0))&amp;"","")</f>
        <v>No</v>
      </c>
      <c r="J1007" s="10" t="s">
        <v>58</v>
      </c>
      <c r="K1007" s="8" t="s">
        <v>2391</v>
      </c>
    </row>
    <row r="1008" customFormat="false" ht="34.5" hidden="false" customHeight="true" outlineLevel="0" collapsed="false">
      <c r="A1008" s="10" t="s">
        <v>2398</v>
      </c>
      <c r="B1008" s="10" t="s">
        <v>45</v>
      </c>
      <c r="C1008" s="8" t="s">
        <v>2389</v>
      </c>
      <c r="D1008" s="8" t="s">
        <v>2399</v>
      </c>
      <c r="E1008" s="11" t="n">
        <v>168</v>
      </c>
      <c r="F1008" s="8" t="str">
        <f aca="false">IFERROR(INDEX(Section_Master!$D$2:$D$477,MATCH($E1008,Section_Master!$A$2:$A$477,0))&amp;"","")</f>
        <v>Imprisonment up to 3 months, or fine, or both</v>
      </c>
      <c r="G1008" s="10" t="str">
        <f aca="false">IFERROR(INDEX(Section_Master!$E$2:$E$477,MATCH($E1008,Section_Master!$A$2:$A$477,0))&amp;"","")</f>
        <v>Yes</v>
      </c>
      <c r="H1008" s="10" t="str">
        <f aca="false">IFERROR(INDEX(Section_Master!$F$2:$F$477,MATCH($E1008,Section_Master!$A$2:$A$477,0))&amp;"","")</f>
        <v>Yes</v>
      </c>
      <c r="I1008" s="10" t="str">
        <f aca="false">IFERROR(INDEX(Section_Master!$G$2:$G$477,MATCH($E1008,Section_Master!$A$2:$A$477,0))&amp;"","")</f>
        <v>No</v>
      </c>
      <c r="J1008" s="10" t="s">
        <v>61</v>
      </c>
      <c r="K1008" s="8" t="s">
        <v>2391</v>
      </c>
    </row>
    <row r="1009" customFormat="false" ht="34.5" hidden="false" customHeight="true" outlineLevel="0" collapsed="false">
      <c r="A1009" s="10" t="s">
        <v>2400</v>
      </c>
      <c r="B1009" s="10" t="s">
        <v>45</v>
      </c>
      <c r="C1009" s="8" t="s">
        <v>2389</v>
      </c>
      <c r="D1009" s="8" t="s">
        <v>2401</v>
      </c>
      <c r="E1009" s="11" t="n">
        <v>168</v>
      </c>
      <c r="F1009" s="8" t="str">
        <f aca="false">IFERROR(INDEX(Section_Master!$D$2:$D$477,MATCH($E1009,Section_Master!$A$2:$A$477,0))&amp;"","")</f>
        <v>Imprisonment up to 3 months, or fine, or both</v>
      </c>
      <c r="G1009" s="10" t="str">
        <f aca="false">IFERROR(INDEX(Section_Master!$E$2:$E$477,MATCH($E1009,Section_Master!$A$2:$A$477,0))&amp;"","")</f>
        <v>Yes</v>
      </c>
      <c r="H1009" s="10" t="str">
        <f aca="false">IFERROR(INDEX(Section_Master!$F$2:$F$477,MATCH($E1009,Section_Master!$A$2:$A$477,0))&amp;"","")</f>
        <v>Yes</v>
      </c>
      <c r="I1009" s="10" t="str">
        <f aca="false">IFERROR(INDEX(Section_Master!$G$2:$G$477,MATCH($E1009,Section_Master!$A$2:$A$477,0))&amp;"","")</f>
        <v>No</v>
      </c>
      <c r="J1009" s="10" t="s">
        <v>64</v>
      </c>
      <c r="K1009" s="8" t="s">
        <v>2391</v>
      </c>
    </row>
    <row r="1010" customFormat="false" ht="34.5" hidden="false" customHeight="true" outlineLevel="0" collapsed="false">
      <c r="A1010" s="10" t="s">
        <v>2402</v>
      </c>
      <c r="B1010" s="10" t="s">
        <v>45</v>
      </c>
      <c r="C1010" s="8" t="s">
        <v>2403</v>
      </c>
      <c r="D1010" s="8" t="s">
        <v>2404</v>
      </c>
      <c r="E1010" s="11" t="n">
        <v>169</v>
      </c>
      <c r="F1010" s="8" t="str">
        <f aca="false">IFERROR(INDEX(Section_Master!$D$2:$D$477,MATCH($E1010,Section_Master!$A$2:$A$477,0))&amp;"","")</f>
        <v>Not applicable - no offence or penalty defined here (definition, exception or general provision)</v>
      </c>
      <c r="G1010" s="10" t="str">
        <f aca="false">IFERROR(INDEX(Section_Master!$E$2:$E$477,MATCH($E1010,Section_Master!$A$2:$A$477,0))&amp;"","")</f>
        <v>N/A</v>
      </c>
      <c r="H1010" s="10" t="str">
        <f aca="false">IFERROR(INDEX(Section_Master!$F$2:$F$477,MATCH($E1010,Section_Master!$A$2:$A$477,0))&amp;"","")</f>
        <v>N/A</v>
      </c>
      <c r="I1010" s="10" t="str">
        <f aca="false">IFERROR(INDEX(Section_Master!$G$2:$G$477,MATCH($E1010,Section_Master!$A$2:$A$477,0))&amp;"","")</f>
        <v>N/A</v>
      </c>
      <c r="J1010" s="10" t="s">
        <v>48</v>
      </c>
      <c r="K1010" s="8" t="s">
        <v>2405</v>
      </c>
    </row>
    <row r="1011" customFormat="false" ht="34.5" hidden="false" customHeight="true" outlineLevel="0" collapsed="false">
      <c r="A1011" s="10" t="s">
        <v>2406</v>
      </c>
      <c r="B1011" s="10" t="s">
        <v>45</v>
      </c>
      <c r="C1011" s="8" t="s">
        <v>2403</v>
      </c>
      <c r="D1011" s="8" t="s">
        <v>2407</v>
      </c>
      <c r="E1011" s="11" t="n">
        <v>169</v>
      </c>
      <c r="F1011" s="8" t="str">
        <f aca="false">IFERROR(INDEX(Section_Master!$D$2:$D$477,MATCH($E1011,Section_Master!$A$2:$A$477,0))&amp;"","")</f>
        <v>Not applicable - no offence or penalty defined here (definition, exception or general provision)</v>
      </c>
      <c r="G1011" s="10" t="str">
        <f aca="false">IFERROR(INDEX(Section_Master!$E$2:$E$477,MATCH($E1011,Section_Master!$A$2:$A$477,0))&amp;"","")</f>
        <v>N/A</v>
      </c>
      <c r="H1011" s="10" t="str">
        <f aca="false">IFERROR(INDEX(Section_Master!$F$2:$F$477,MATCH($E1011,Section_Master!$A$2:$A$477,0))&amp;"","")</f>
        <v>N/A</v>
      </c>
      <c r="I1011" s="10" t="str">
        <f aca="false">IFERROR(INDEX(Section_Master!$G$2:$G$477,MATCH($E1011,Section_Master!$A$2:$A$477,0))&amp;"","")</f>
        <v>N/A</v>
      </c>
      <c r="J1011" s="10" t="s">
        <v>52</v>
      </c>
      <c r="K1011" s="8" t="s">
        <v>2405</v>
      </c>
    </row>
    <row r="1012" customFormat="false" ht="23.25" hidden="false" customHeight="true" outlineLevel="0" collapsed="false">
      <c r="A1012" s="10" t="s">
        <v>2408</v>
      </c>
      <c r="B1012" s="10" t="s">
        <v>45</v>
      </c>
      <c r="C1012" s="8" t="s">
        <v>2403</v>
      </c>
      <c r="D1012" s="8" t="s">
        <v>2409</v>
      </c>
      <c r="E1012" s="11" t="n">
        <v>169</v>
      </c>
      <c r="F1012" s="8" t="str">
        <f aca="false">IFERROR(INDEX(Section_Master!$D$2:$D$477,MATCH($E1012,Section_Master!$A$2:$A$477,0))&amp;"","")</f>
        <v>Not applicable - no offence or penalty defined here (definition, exception or general provision)</v>
      </c>
      <c r="G1012" s="10" t="str">
        <f aca="false">IFERROR(INDEX(Section_Master!$E$2:$E$477,MATCH($E1012,Section_Master!$A$2:$A$477,0))&amp;"","")</f>
        <v>N/A</v>
      </c>
      <c r="H1012" s="10" t="str">
        <f aca="false">IFERROR(INDEX(Section_Master!$F$2:$F$477,MATCH($E1012,Section_Master!$A$2:$A$477,0))&amp;"","")</f>
        <v>N/A</v>
      </c>
      <c r="I1012" s="10" t="str">
        <f aca="false">IFERROR(INDEX(Section_Master!$G$2:$G$477,MATCH($E1012,Section_Master!$A$2:$A$477,0))&amp;"","")</f>
        <v>N/A</v>
      </c>
      <c r="J1012" s="10" t="s">
        <v>55</v>
      </c>
      <c r="K1012" s="8" t="s">
        <v>2405</v>
      </c>
    </row>
    <row r="1013" customFormat="false" ht="23.25" hidden="false" customHeight="true" outlineLevel="0" collapsed="false">
      <c r="A1013" s="10" t="s">
        <v>2410</v>
      </c>
      <c r="B1013" s="10" t="s">
        <v>45</v>
      </c>
      <c r="C1013" s="8" t="s">
        <v>2403</v>
      </c>
      <c r="D1013" s="8" t="s">
        <v>2411</v>
      </c>
      <c r="E1013" s="11" t="n">
        <v>169</v>
      </c>
      <c r="F1013" s="8" t="str">
        <f aca="false">IFERROR(INDEX(Section_Master!$D$2:$D$477,MATCH($E1013,Section_Master!$A$2:$A$477,0))&amp;"","")</f>
        <v>Not applicable - no offence or penalty defined here (definition, exception or general provision)</v>
      </c>
      <c r="G1013" s="10" t="str">
        <f aca="false">IFERROR(INDEX(Section_Master!$E$2:$E$477,MATCH($E1013,Section_Master!$A$2:$A$477,0))&amp;"","")</f>
        <v>N/A</v>
      </c>
      <c r="H1013" s="10" t="str">
        <f aca="false">IFERROR(INDEX(Section_Master!$F$2:$F$477,MATCH($E1013,Section_Master!$A$2:$A$477,0))&amp;"","")</f>
        <v>N/A</v>
      </c>
      <c r="I1013" s="10" t="str">
        <f aca="false">IFERROR(INDEX(Section_Master!$G$2:$G$477,MATCH($E1013,Section_Master!$A$2:$A$477,0))&amp;"","")</f>
        <v>N/A</v>
      </c>
      <c r="J1013" s="10" t="s">
        <v>58</v>
      </c>
      <c r="K1013" s="8" t="s">
        <v>2405</v>
      </c>
    </row>
    <row r="1014" customFormat="false" ht="34.5" hidden="false" customHeight="true" outlineLevel="0" collapsed="false">
      <c r="A1014" s="10" t="s">
        <v>2412</v>
      </c>
      <c r="B1014" s="10" t="s">
        <v>45</v>
      </c>
      <c r="C1014" s="8" t="s">
        <v>2403</v>
      </c>
      <c r="D1014" s="8" t="s">
        <v>2413</v>
      </c>
      <c r="E1014" s="11" t="n">
        <v>169</v>
      </c>
      <c r="F1014" s="8" t="str">
        <f aca="false">IFERROR(INDEX(Section_Master!$D$2:$D$477,MATCH($E1014,Section_Master!$A$2:$A$477,0))&amp;"","")</f>
        <v>Not applicable - no offence or penalty defined here (definition, exception or general provision)</v>
      </c>
      <c r="G1014" s="10" t="str">
        <f aca="false">IFERROR(INDEX(Section_Master!$E$2:$E$477,MATCH($E1014,Section_Master!$A$2:$A$477,0))&amp;"","")</f>
        <v>N/A</v>
      </c>
      <c r="H1014" s="10" t="str">
        <f aca="false">IFERROR(INDEX(Section_Master!$F$2:$F$477,MATCH($E1014,Section_Master!$A$2:$A$477,0))&amp;"","")</f>
        <v>N/A</v>
      </c>
      <c r="I1014" s="10" t="str">
        <f aca="false">IFERROR(INDEX(Section_Master!$G$2:$G$477,MATCH($E1014,Section_Master!$A$2:$A$477,0))&amp;"","")</f>
        <v>N/A</v>
      </c>
      <c r="J1014" s="10" t="s">
        <v>61</v>
      </c>
      <c r="K1014" s="8" t="s">
        <v>2405</v>
      </c>
    </row>
    <row r="1015" customFormat="false" ht="34.5" hidden="false" customHeight="true" outlineLevel="0" collapsed="false">
      <c r="A1015" s="10" t="s">
        <v>2414</v>
      </c>
      <c r="B1015" s="10" t="s">
        <v>45</v>
      </c>
      <c r="C1015" s="8" t="s">
        <v>2403</v>
      </c>
      <c r="D1015" s="8" t="s">
        <v>2415</v>
      </c>
      <c r="E1015" s="11" t="n">
        <v>169</v>
      </c>
      <c r="F1015" s="8" t="str">
        <f aca="false">IFERROR(INDEX(Section_Master!$D$2:$D$477,MATCH($E1015,Section_Master!$A$2:$A$477,0))&amp;"","")</f>
        <v>Not applicable - no offence or penalty defined here (definition, exception or general provision)</v>
      </c>
      <c r="G1015" s="10" t="str">
        <f aca="false">IFERROR(INDEX(Section_Master!$E$2:$E$477,MATCH($E1015,Section_Master!$A$2:$A$477,0))&amp;"","")</f>
        <v>N/A</v>
      </c>
      <c r="H1015" s="10" t="str">
        <f aca="false">IFERROR(INDEX(Section_Master!$F$2:$F$477,MATCH($E1015,Section_Master!$A$2:$A$477,0))&amp;"","")</f>
        <v>N/A</v>
      </c>
      <c r="I1015" s="10" t="str">
        <f aca="false">IFERROR(INDEX(Section_Master!$G$2:$G$477,MATCH($E1015,Section_Master!$A$2:$A$477,0))&amp;"","")</f>
        <v>N/A</v>
      </c>
      <c r="J1015" s="10" t="s">
        <v>64</v>
      </c>
      <c r="K1015" s="8" t="s">
        <v>2405</v>
      </c>
    </row>
    <row r="1016" customFormat="false" ht="23.25" hidden="false" customHeight="true" outlineLevel="0" collapsed="false">
      <c r="A1016" s="10" t="s">
        <v>2416</v>
      </c>
      <c r="B1016" s="10" t="s">
        <v>45</v>
      </c>
      <c r="C1016" s="8" t="s">
        <v>2417</v>
      </c>
      <c r="D1016" s="8" t="s">
        <v>2418</v>
      </c>
      <c r="E1016" s="11" t="n">
        <v>170</v>
      </c>
      <c r="F1016" s="8" t="str">
        <f aca="false">IFERROR(INDEX(Section_Master!$D$2:$D$477,MATCH($E1016,Section_Master!$A$2:$A$477,0))&amp;"","")</f>
        <v>Not applicable - no offence or penalty defined here (definition, exception or general provision)</v>
      </c>
      <c r="G1016" s="10" t="str">
        <f aca="false">IFERROR(INDEX(Section_Master!$E$2:$E$477,MATCH($E1016,Section_Master!$A$2:$A$477,0))&amp;"","")</f>
        <v>N/A</v>
      </c>
      <c r="H1016" s="10" t="str">
        <f aca="false">IFERROR(INDEX(Section_Master!$F$2:$F$477,MATCH($E1016,Section_Master!$A$2:$A$477,0))&amp;"","")</f>
        <v>N/A</v>
      </c>
      <c r="I1016" s="10" t="str">
        <f aca="false">IFERROR(INDEX(Section_Master!$G$2:$G$477,MATCH($E1016,Section_Master!$A$2:$A$477,0))&amp;"","")</f>
        <v>N/A</v>
      </c>
      <c r="J1016" s="10" t="s">
        <v>48</v>
      </c>
      <c r="K1016" s="8" t="s">
        <v>2419</v>
      </c>
    </row>
    <row r="1017" customFormat="false" ht="34.5" hidden="false" customHeight="true" outlineLevel="0" collapsed="false">
      <c r="A1017" s="10" t="s">
        <v>2420</v>
      </c>
      <c r="B1017" s="10" t="s">
        <v>45</v>
      </c>
      <c r="C1017" s="8" t="s">
        <v>2417</v>
      </c>
      <c r="D1017" s="8" t="s">
        <v>2421</v>
      </c>
      <c r="E1017" s="11" t="n">
        <v>170</v>
      </c>
      <c r="F1017" s="8" t="str">
        <f aca="false">IFERROR(INDEX(Section_Master!$D$2:$D$477,MATCH($E1017,Section_Master!$A$2:$A$477,0))&amp;"","")</f>
        <v>Not applicable - no offence or penalty defined here (definition, exception or general provision)</v>
      </c>
      <c r="G1017" s="10" t="str">
        <f aca="false">IFERROR(INDEX(Section_Master!$E$2:$E$477,MATCH($E1017,Section_Master!$A$2:$A$477,0))&amp;"","")</f>
        <v>N/A</v>
      </c>
      <c r="H1017" s="10" t="str">
        <f aca="false">IFERROR(INDEX(Section_Master!$F$2:$F$477,MATCH($E1017,Section_Master!$A$2:$A$477,0))&amp;"","")</f>
        <v>N/A</v>
      </c>
      <c r="I1017" s="10" t="str">
        <f aca="false">IFERROR(INDEX(Section_Master!$G$2:$G$477,MATCH($E1017,Section_Master!$A$2:$A$477,0))&amp;"","")</f>
        <v>N/A</v>
      </c>
      <c r="J1017" s="10" t="s">
        <v>52</v>
      </c>
      <c r="K1017" s="8" t="s">
        <v>2419</v>
      </c>
    </row>
    <row r="1018" customFormat="false" ht="23.25" hidden="false" customHeight="true" outlineLevel="0" collapsed="false">
      <c r="A1018" s="10" t="s">
        <v>2422</v>
      </c>
      <c r="B1018" s="10" t="s">
        <v>45</v>
      </c>
      <c r="C1018" s="8" t="s">
        <v>2417</v>
      </c>
      <c r="D1018" s="8" t="s">
        <v>2423</v>
      </c>
      <c r="E1018" s="11" t="n">
        <v>170</v>
      </c>
      <c r="F1018" s="8" t="str">
        <f aca="false">IFERROR(INDEX(Section_Master!$D$2:$D$477,MATCH($E1018,Section_Master!$A$2:$A$477,0))&amp;"","")</f>
        <v>Not applicable - no offence or penalty defined here (definition, exception or general provision)</v>
      </c>
      <c r="G1018" s="10" t="str">
        <f aca="false">IFERROR(INDEX(Section_Master!$E$2:$E$477,MATCH($E1018,Section_Master!$A$2:$A$477,0))&amp;"","")</f>
        <v>N/A</v>
      </c>
      <c r="H1018" s="10" t="str">
        <f aca="false">IFERROR(INDEX(Section_Master!$F$2:$F$477,MATCH($E1018,Section_Master!$A$2:$A$477,0))&amp;"","")</f>
        <v>N/A</v>
      </c>
      <c r="I1018" s="10" t="str">
        <f aca="false">IFERROR(INDEX(Section_Master!$G$2:$G$477,MATCH($E1018,Section_Master!$A$2:$A$477,0))&amp;"","")</f>
        <v>N/A</v>
      </c>
      <c r="J1018" s="10" t="s">
        <v>55</v>
      </c>
      <c r="K1018" s="8" t="s">
        <v>2419</v>
      </c>
    </row>
    <row r="1019" customFormat="false" ht="34.5" hidden="false" customHeight="true" outlineLevel="0" collapsed="false">
      <c r="A1019" s="10" t="s">
        <v>2424</v>
      </c>
      <c r="B1019" s="10" t="s">
        <v>45</v>
      </c>
      <c r="C1019" s="8" t="s">
        <v>2417</v>
      </c>
      <c r="D1019" s="8" t="s">
        <v>2425</v>
      </c>
      <c r="E1019" s="11" t="n">
        <v>170</v>
      </c>
      <c r="F1019" s="8" t="str">
        <f aca="false">IFERROR(INDEX(Section_Master!$D$2:$D$477,MATCH($E1019,Section_Master!$A$2:$A$477,0))&amp;"","")</f>
        <v>Not applicable - no offence or penalty defined here (definition, exception or general provision)</v>
      </c>
      <c r="G1019" s="10" t="str">
        <f aca="false">IFERROR(INDEX(Section_Master!$E$2:$E$477,MATCH($E1019,Section_Master!$A$2:$A$477,0))&amp;"","")</f>
        <v>N/A</v>
      </c>
      <c r="H1019" s="10" t="str">
        <f aca="false">IFERROR(INDEX(Section_Master!$F$2:$F$477,MATCH($E1019,Section_Master!$A$2:$A$477,0))&amp;"","")</f>
        <v>N/A</v>
      </c>
      <c r="I1019" s="10" t="str">
        <f aca="false">IFERROR(INDEX(Section_Master!$G$2:$G$477,MATCH($E1019,Section_Master!$A$2:$A$477,0))&amp;"","")</f>
        <v>N/A</v>
      </c>
      <c r="J1019" s="10" t="s">
        <v>58</v>
      </c>
      <c r="K1019" s="8" t="s">
        <v>2419</v>
      </c>
    </row>
    <row r="1020" customFormat="false" ht="23.25" hidden="false" customHeight="true" outlineLevel="0" collapsed="false">
      <c r="A1020" s="10" t="s">
        <v>2426</v>
      </c>
      <c r="B1020" s="10" t="s">
        <v>45</v>
      </c>
      <c r="C1020" s="8" t="s">
        <v>2417</v>
      </c>
      <c r="D1020" s="8" t="s">
        <v>2427</v>
      </c>
      <c r="E1020" s="11" t="n">
        <v>170</v>
      </c>
      <c r="F1020" s="8" t="str">
        <f aca="false">IFERROR(INDEX(Section_Master!$D$2:$D$477,MATCH($E1020,Section_Master!$A$2:$A$477,0))&amp;"","")</f>
        <v>Not applicable - no offence or penalty defined here (definition, exception or general provision)</v>
      </c>
      <c r="G1020" s="10" t="str">
        <f aca="false">IFERROR(INDEX(Section_Master!$E$2:$E$477,MATCH($E1020,Section_Master!$A$2:$A$477,0))&amp;"","")</f>
        <v>N/A</v>
      </c>
      <c r="H1020" s="10" t="str">
        <f aca="false">IFERROR(INDEX(Section_Master!$F$2:$F$477,MATCH($E1020,Section_Master!$A$2:$A$477,0))&amp;"","")</f>
        <v>N/A</v>
      </c>
      <c r="I1020" s="10" t="str">
        <f aca="false">IFERROR(INDEX(Section_Master!$G$2:$G$477,MATCH($E1020,Section_Master!$A$2:$A$477,0))&amp;"","")</f>
        <v>N/A</v>
      </c>
      <c r="J1020" s="10" t="s">
        <v>61</v>
      </c>
      <c r="K1020" s="8" t="s">
        <v>2419</v>
      </c>
    </row>
    <row r="1021" customFormat="false" ht="34.5" hidden="false" customHeight="true" outlineLevel="0" collapsed="false">
      <c r="A1021" s="10" t="s">
        <v>2428</v>
      </c>
      <c r="B1021" s="10" t="s">
        <v>45</v>
      </c>
      <c r="C1021" s="8" t="s">
        <v>2417</v>
      </c>
      <c r="D1021" s="8" t="s">
        <v>2429</v>
      </c>
      <c r="E1021" s="11" t="n">
        <v>170</v>
      </c>
      <c r="F1021" s="8" t="str">
        <f aca="false">IFERROR(INDEX(Section_Master!$D$2:$D$477,MATCH($E1021,Section_Master!$A$2:$A$477,0))&amp;"","")</f>
        <v>Not applicable - no offence or penalty defined here (definition, exception or general provision)</v>
      </c>
      <c r="G1021" s="10" t="str">
        <f aca="false">IFERROR(INDEX(Section_Master!$E$2:$E$477,MATCH($E1021,Section_Master!$A$2:$A$477,0))&amp;"","")</f>
        <v>N/A</v>
      </c>
      <c r="H1021" s="10" t="str">
        <f aca="false">IFERROR(INDEX(Section_Master!$F$2:$F$477,MATCH($E1021,Section_Master!$A$2:$A$477,0))&amp;"","")</f>
        <v>N/A</v>
      </c>
      <c r="I1021" s="10" t="str">
        <f aca="false">IFERROR(INDEX(Section_Master!$G$2:$G$477,MATCH($E1021,Section_Master!$A$2:$A$477,0))&amp;"","")</f>
        <v>N/A</v>
      </c>
      <c r="J1021" s="10" t="s">
        <v>64</v>
      </c>
      <c r="K1021" s="8" t="s">
        <v>2419</v>
      </c>
    </row>
    <row r="1022" customFormat="false" ht="34.5" hidden="false" customHeight="true" outlineLevel="0" collapsed="false">
      <c r="A1022" s="10" t="s">
        <v>2430</v>
      </c>
      <c r="B1022" s="10" t="s">
        <v>45</v>
      </c>
      <c r="C1022" s="8" t="s">
        <v>2431</v>
      </c>
      <c r="D1022" s="8" t="s">
        <v>2432</v>
      </c>
      <c r="E1022" s="11" t="n">
        <v>171</v>
      </c>
      <c r="F1022" s="8" t="str">
        <f aca="false">IFERROR(INDEX(Section_Master!$D$2:$D$477,MATCH($E1022,Section_Master!$A$2:$A$477,0))&amp;"","")</f>
        <v>Not applicable - no offence or penalty defined here (definition, exception or general provision)</v>
      </c>
      <c r="G1022" s="10" t="str">
        <f aca="false">IFERROR(INDEX(Section_Master!$E$2:$E$477,MATCH($E1022,Section_Master!$A$2:$A$477,0))&amp;"","")</f>
        <v>N/A</v>
      </c>
      <c r="H1022" s="10" t="str">
        <f aca="false">IFERROR(INDEX(Section_Master!$F$2:$F$477,MATCH($E1022,Section_Master!$A$2:$A$477,0))&amp;"","")</f>
        <v>N/A</v>
      </c>
      <c r="I1022" s="10" t="str">
        <f aca="false">IFERROR(INDEX(Section_Master!$G$2:$G$477,MATCH($E1022,Section_Master!$A$2:$A$477,0))&amp;"","")</f>
        <v>N/A</v>
      </c>
      <c r="J1022" s="10" t="s">
        <v>48</v>
      </c>
      <c r="K1022" s="8" t="s">
        <v>2433</v>
      </c>
    </row>
    <row r="1023" customFormat="false" ht="34.5" hidden="false" customHeight="true" outlineLevel="0" collapsed="false">
      <c r="A1023" s="10" t="s">
        <v>2434</v>
      </c>
      <c r="B1023" s="10" t="s">
        <v>45</v>
      </c>
      <c r="C1023" s="8" t="s">
        <v>2431</v>
      </c>
      <c r="D1023" s="8" t="s">
        <v>2435</v>
      </c>
      <c r="E1023" s="11" t="n">
        <v>171</v>
      </c>
      <c r="F1023" s="8" t="str">
        <f aca="false">IFERROR(INDEX(Section_Master!$D$2:$D$477,MATCH($E1023,Section_Master!$A$2:$A$477,0))&amp;"","")</f>
        <v>Not applicable - no offence or penalty defined here (definition, exception or general provision)</v>
      </c>
      <c r="G1023" s="10" t="str">
        <f aca="false">IFERROR(INDEX(Section_Master!$E$2:$E$477,MATCH($E1023,Section_Master!$A$2:$A$477,0))&amp;"","")</f>
        <v>N/A</v>
      </c>
      <c r="H1023" s="10" t="str">
        <f aca="false">IFERROR(INDEX(Section_Master!$F$2:$F$477,MATCH($E1023,Section_Master!$A$2:$A$477,0))&amp;"","")</f>
        <v>N/A</v>
      </c>
      <c r="I1023" s="10" t="str">
        <f aca="false">IFERROR(INDEX(Section_Master!$G$2:$G$477,MATCH($E1023,Section_Master!$A$2:$A$477,0))&amp;"","")</f>
        <v>N/A</v>
      </c>
      <c r="J1023" s="10" t="s">
        <v>52</v>
      </c>
      <c r="K1023" s="8" t="s">
        <v>2433</v>
      </c>
    </row>
    <row r="1024" customFormat="false" ht="34.5" hidden="false" customHeight="true" outlineLevel="0" collapsed="false">
      <c r="A1024" s="10" t="s">
        <v>2436</v>
      </c>
      <c r="B1024" s="10" t="s">
        <v>45</v>
      </c>
      <c r="C1024" s="8" t="s">
        <v>2431</v>
      </c>
      <c r="D1024" s="8" t="s">
        <v>2437</v>
      </c>
      <c r="E1024" s="11" t="n">
        <v>171</v>
      </c>
      <c r="F1024" s="8" t="str">
        <f aca="false">IFERROR(INDEX(Section_Master!$D$2:$D$477,MATCH($E1024,Section_Master!$A$2:$A$477,0))&amp;"","")</f>
        <v>Not applicable - no offence or penalty defined here (definition, exception or general provision)</v>
      </c>
      <c r="G1024" s="10" t="str">
        <f aca="false">IFERROR(INDEX(Section_Master!$E$2:$E$477,MATCH($E1024,Section_Master!$A$2:$A$477,0))&amp;"","")</f>
        <v>N/A</v>
      </c>
      <c r="H1024" s="10" t="str">
        <f aca="false">IFERROR(INDEX(Section_Master!$F$2:$F$477,MATCH($E1024,Section_Master!$A$2:$A$477,0))&amp;"","")</f>
        <v>N/A</v>
      </c>
      <c r="I1024" s="10" t="str">
        <f aca="false">IFERROR(INDEX(Section_Master!$G$2:$G$477,MATCH($E1024,Section_Master!$A$2:$A$477,0))&amp;"","")</f>
        <v>N/A</v>
      </c>
      <c r="J1024" s="10" t="s">
        <v>55</v>
      </c>
      <c r="K1024" s="8" t="s">
        <v>2433</v>
      </c>
    </row>
    <row r="1025" customFormat="false" ht="23.25" hidden="false" customHeight="true" outlineLevel="0" collapsed="false">
      <c r="A1025" s="10" t="s">
        <v>2438</v>
      </c>
      <c r="B1025" s="10" t="s">
        <v>45</v>
      </c>
      <c r="C1025" s="8" t="s">
        <v>2431</v>
      </c>
      <c r="D1025" s="8" t="s">
        <v>2439</v>
      </c>
      <c r="E1025" s="11" t="n">
        <v>171</v>
      </c>
      <c r="F1025" s="8" t="str">
        <f aca="false">IFERROR(INDEX(Section_Master!$D$2:$D$477,MATCH($E1025,Section_Master!$A$2:$A$477,0))&amp;"","")</f>
        <v>Not applicable - no offence or penalty defined here (definition, exception or general provision)</v>
      </c>
      <c r="G1025" s="10" t="str">
        <f aca="false">IFERROR(INDEX(Section_Master!$E$2:$E$477,MATCH($E1025,Section_Master!$A$2:$A$477,0))&amp;"","")</f>
        <v>N/A</v>
      </c>
      <c r="H1025" s="10" t="str">
        <f aca="false">IFERROR(INDEX(Section_Master!$F$2:$F$477,MATCH($E1025,Section_Master!$A$2:$A$477,0))&amp;"","")</f>
        <v>N/A</v>
      </c>
      <c r="I1025" s="10" t="str">
        <f aca="false">IFERROR(INDEX(Section_Master!$G$2:$G$477,MATCH($E1025,Section_Master!$A$2:$A$477,0))&amp;"","")</f>
        <v>N/A</v>
      </c>
      <c r="J1025" s="10" t="s">
        <v>58</v>
      </c>
      <c r="K1025" s="8" t="s">
        <v>2433</v>
      </c>
    </row>
    <row r="1026" customFormat="false" ht="23.25" hidden="false" customHeight="true" outlineLevel="0" collapsed="false">
      <c r="A1026" s="10" t="s">
        <v>2440</v>
      </c>
      <c r="B1026" s="10" t="s">
        <v>45</v>
      </c>
      <c r="C1026" s="8" t="s">
        <v>2431</v>
      </c>
      <c r="D1026" s="8" t="s">
        <v>2441</v>
      </c>
      <c r="E1026" s="11" t="n">
        <v>171</v>
      </c>
      <c r="F1026" s="8" t="str">
        <f aca="false">IFERROR(INDEX(Section_Master!$D$2:$D$477,MATCH($E1026,Section_Master!$A$2:$A$477,0))&amp;"","")</f>
        <v>Not applicable - no offence or penalty defined here (definition, exception or general provision)</v>
      </c>
      <c r="G1026" s="10" t="str">
        <f aca="false">IFERROR(INDEX(Section_Master!$E$2:$E$477,MATCH($E1026,Section_Master!$A$2:$A$477,0))&amp;"","")</f>
        <v>N/A</v>
      </c>
      <c r="H1026" s="10" t="str">
        <f aca="false">IFERROR(INDEX(Section_Master!$F$2:$F$477,MATCH($E1026,Section_Master!$A$2:$A$477,0))&amp;"","")</f>
        <v>N/A</v>
      </c>
      <c r="I1026" s="10" t="str">
        <f aca="false">IFERROR(INDEX(Section_Master!$G$2:$G$477,MATCH($E1026,Section_Master!$A$2:$A$477,0))&amp;"","")</f>
        <v>N/A</v>
      </c>
      <c r="J1026" s="10" t="s">
        <v>61</v>
      </c>
      <c r="K1026" s="8" t="s">
        <v>2433</v>
      </c>
    </row>
    <row r="1027" customFormat="false" ht="34.5" hidden="false" customHeight="true" outlineLevel="0" collapsed="false">
      <c r="A1027" s="10" t="s">
        <v>2442</v>
      </c>
      <c r="B1027" s="10" t="s">
        <v>45</v>
      </c>
      <c r="C1027" s="8" t="s">
        <v>2431</v>
      </c>
      <c r="D1027" s="8" t="s">
        <v>2443</v>
      </c>
      <c r="E1027" s="11" t="n">
        <v>171</v>
      </c>
      <c r="F1027" s="8" t="str">
        <f aca="false">IFERROR(INDEX(Section_Master!$D$2:$D$477,MATCH($E1027,Section_Master!$A$2:$A$477,0))&amp;"","")</f>
        <v>Not applicable - no offence or penalty defined here (definition, exception or general provision)</v>
      </c>
      <c r="G1027" s="10" t="str">
        <f aca="false">IFERROR(INDEX(Section_Master!$E$2:$E$477,MATCH($E1027,Section_Master!$A$2:$A$477,0))&amp;"","")</f>
        <v>N/A</v>
      </c>
      <c r="H1027" s="10" t="str">
        <f aca="false">IFERROR(INDEX(Section_Master!$F$2:$F$477,MATCH($E1027,Section_Master!$A$2:$A$477,0))&amp;"","")</f>
        <v>N/A</v>
      </c>
      <c r="I1027" s="10" t="str">
        <f aca="false">IFERROR(INDEX(Section_Master!$G$2:$G$477,MATCH($E1027,Section_Master!$A$2:$A$477,0))&amp;"","")</f>
        <v>N/A</v>
      </c>
      <c r="J1027" s="10" t="s">
        <v>64</v>
      </c>
      <c r="K1027" s="8" t="s">
        <v>2433</v>
      </c>
    </row>
    <row r="1028" customFormat="false" ht="23.25" hidden="false" customHeight="true" outlineLevel="0" collapsed="false">
      <c r="A1028" s="10" t="s">
        <v>2444</v>
      </c>
      <c r="B1028" s="10" t="s">
        <v>45</v>
      </c>
      <c r="C1028" s="8" t="s">
        <v>2445</v>
      </c>
      <c r="D1028" s="8" t="s">
        <v>2446</v>
      </c>
      <c r="E1028" s="11" t="n">
        <v>172</v>
      </c>
      <c r="F1028" s="8" t="str">
        <f aca="false">IFERROR(INDEX(Section_Master!$D$2:$D$477,MATCH($E1028,Section_Master!$A$2:$A$477,0))&amp;"","")</f>
        <v>Not applicable - no offence or penalty defined here (definition, exception or general provision)</v>
      </c>
      <c r="G1028" s="10" t="str">
        <f aca="false">IFERROR(INDEX(Section_Master!$E$2:$E$477,MATCH($E1028,Section_Master!$A$2:$A$477,0))&amp;"","")</f>
        <v>N/A</v>
      </c>
      <c r="H1028" s="10" t="str">
        <f aca="false">IFERROR(INDEX(Section_Master!$F$2:$F$477,MATCH($E1028,Section_Master!$A$2:$A$477,0))&amp;"","")</f>
        <v>N/A</v>
      </c>
      <c r="I1028" s="10" t="str">
        <f aca="false">IFERROR(INDEX(Section_Master!$G$2:$G$477,MATCH($E1028,Section_Master!$A$2:$A$477,0))&amp;"","")</f>
        <v>N/A</v>
      </c>
      <c r="J1028" s="10" t="s">
        <v>48</v>
      </c>
      <c r="K1028" s="8" t="s">
        <v>2447</v>
      </c>
    </row>
    <row r="1029" customFormat="false" ht="34.5" hidden="false" customHeight="true" outlineLevel="0" collapsed="false">
      <c r="A1029" s="10" t="s">
        <v>2448</v>
      </c>
      <c r="B1029" s="10" t="s">
        <v>45</v>
      </c>
      <c r="C1029" s="8" t="s">
        <v>2445</v>
      </c>
      <c r="D1029" s="8" t="s">
        <v>2449</v>
      </c>
      <c r="E1029" s="11" t="n">
        <v>172</v>
      </c>
      <c r="F1029" s="8" t="str">
        <f aca="false">IFERROR(INDEX(Section_Master!$D$2:$D$477,MATCH($E1029,Section_Master!$A$2:$A$477,0))&amp;"","")</f>
        <v>Not applicable - no offence or penalty defined here (definition, exception or general provision)</v>
      </c>
      <c r="G1029" s="10" t="str">
        <f aca="false">IFERROR(INDEX(Section_Master!$E$2:$E$477,MATCH($E1029,Section_Master!$A$2:$A$477,0))&amp;"","")</f>
        <v>N/A</v>
      </c>
      <c r="H1029" s="10" t="str">
        <f aca="false">IFERROR(INDEX(Section_Master!$F$2:$F$477,MATCH($E1029,Section_Master!$A$2:$A$477,0))&amp;"","")</f>
        <v>N/A</v>
      </c>
      <c r="I1029" s="10" t="str">
        <f aca="false">IFERROR(INDEX(Section_Master!$G$2:$G$477,MATCH($E1029,Section_Master!$A$2:$A$477,0))&amp;"","")</f>
        <v>N/A</v>
      </c>
      <c r="J1029" s="10" t="s">
        <v>52</v>
      </c>
      <c r="K1029" s="8" t="s">
        <v>2447</v>
      </c>
    </row>
    <row r="1030" customFormat="false" ht="23.25" hidden="false" customHeight="true" outlineLevel="0" collapsed="false">
      <c r="A1030" s="10" t="s">
        <v>2450</v>
      </c>
      <c r="B1030" s="10" t="s">
        <v>45</v>
      </c>
      <c r="C1030" s="8" t="s">
        <v>2445</v>
      </c>
      <c r="D1030" s="8" t="s">
        <v>2451</v>
      </c>
      <c r="E1030" s="11" t="n">
        <v>172</v>
      </c>
      <c r="F1030" s="8" t="str">
        <f aca="false">IFERROR(INDEX(Section_Master!$D$2:$D$477,MATCH($E1030,Section_Master!$A$2:$A$477,0))&amp;"","")</f>
        <v>Not applicable - no offence or penalty defined here (definition, exception or general provision)</v>
      </c>
      <c r="G1030" s="10" t="str">
        <f aca="false">IFERROR(INDEX(Section_Master!$E$2:$E$477,MATCH($E1030,Section_Master!$A$2:$A$477,0))&amp;"","")</f>
        <v>N/A</v>
      </c>
      <c r="H1030" s="10" t="str">
        <f aca="false">IFERROR(INDEX(Section_Master!$F$2:$F$477,MATCH($E1030,Section_Master!$A$2:$A$477,0))&amp;"","")</f>
        <v>N/A</v>
      </c>
      <c r="I1030" s="10" t="str">
        <f aca="false">IFERROR(INDEX(Section_Master!$G$2:$G$477,MATCH($E1030,Section_Master!$A$2:$A$477,0))&amp;"","")</f>
        <v>N/A</v>
      </c>
      <c r="J1030" s="10" t="s">
        <v>55</v>
      </c>
      <c r="K1030" s="8" t="s">
        <v>2447</v>
      </c>
    </row>
    <row r="1031" customFormat="false" ht="23.25" hidden="false" customHeight="true" outlineLevel="0" collapsed="false">
      <c r="A1031" s="10" t="s">
        <v>2452</v>
      </c>
      <c r="B1031" s="10" t="s">
        <v>45</v>
      </c>
      <c r="C1031" s="8" t="s">
        <v>2445</v>
      </c>
      <c r="D1031" s="8" t="s">
        <v>2453</v>
      </c>
      <c r="E1031" s="11" t="n">
        <v>172</v>
      </c>
      <c r="F1031" s="8" t="str">
        <f aca="false">IFERROR(INDEX(Section_Master!$D$2:$D$477,MATCH($E1031,Section_Master!$A$2:$A$477,0))&amp;"","")</f>
        <v>Not applicable - no offence or penalty defined here (definition, exception or general provision)</v>
      </c>
      <c r="G1031" s="10" t="str">
        <f aca="false">IFERROR(INDEX(Section_Master!$E$2:$E$477,MATCH($E1031,Section_Master!$A$2:$A$477,0))&amp;"","")</f>
        <v>N/A</v>
      </c>
      <c r="H1031" s="10" t="str">
        <f aca="false">IFERROR(INDEX(Section_Master!$F$2:$F$477,MATCH($E1031,Section_Master!$A$2:$A$477,0))&amp;"","")</f>
        <v>N/A</v>
      </c>
      <c r="I1031" s="10" t="str">
        <f aca="false">IFERROR(INDEX(Section_Master!$G$2:$G$477,MATCH($E1031,Section_Master!$A$2:$A$477,0))&amp;"","")</f>
        <v>N/A</v>
      </c>
      <c r="J1031" s="10" t="s">
        <v>58</v>
      </c>
      <c r="K1031" s="8" t="s">
        <v>2447</v>
      </c>
    </row>
    <row r="1032" customFormat="false" ht="34.5" hidden="false" customHeight="true" outlineLevel="0" collapsed="false">
      <c r="A1032" s="10" t="s">
        <v>2454</v>
      </c>
      <c r="B1032" s="10" t="s">
        <v>45</v>
      </c>
      <c r="C1032" s="8" t="s">
        <v>2445</v>
      </c>
      <c r="D1032" s="8" t="s">
        <v>2455</v>
      </c>
      <c r="E1032" s="11" t="n">
        <v>172</v>
      </c>
      <c r="F1032" s="8" t="str">
        <f aca="false">IFERROR(INDEX(Section_Master!$D$2:$D$477,MATCH($E1032,Section_Master!$A$2:$A$477,0))&amp;"","")</f>
        <v>Not applicable - no offence or penalty defined here (definition, exception or general provision)</v>
      </c>
      <c r="G1032" s="10" t="str">
        <f aca="false">IFERROR(INDEX(Section_Master!$E$2:$E$477,MATCH($E1032,Section_Master!$A$2:$A$477,0))&amp;"","")</f>
        <v>N/A</v>
      </c>
      <c r="H1032" s="10" t="str">
        <f aca="false">IFERROR(INDEX(Section_Master!$F$2:$F$477,MATCH($E1032,Section_Master!$A$2:$A$477,0))&amp;"","")</f>
        <v>N/A</v>
      </c>
      <c r="I1032" s="10" t="str">
        <f aca="false">IFERROR(INDEX(Section_Master!$G$2:$G$477,MATCH($E1032,Section_Master!$A$2:$A$477,0))&amp;"","")</f>
        <v>N/A</v>
      </c>
      <c r="J1032" s="10" t="s">
        <v>61</v>
      </c>
      <c r="K1032" s="8" t="s">
        <v>2447</v>
      </c>
    </row>
    <row r="1033" customFormat="false" ht="34.5" hidden="false" customHeight="true" outlineLevel="0" collapsed="false">
      <c r="A1033" s="10" t="s">
        <v>2456</v>
      </c>
      <c r="B1033" s="10" t="s">
        <v>45</v>
      </c>
      <c r="C1033" s="8" t="s">
        <v>2445</v>
      </c>
      <c r="D1033" s="8" t="s">
        <v>2457</v>
      </c>
      <c r="E1033" s="11" t="n">
        <v>172</v>
      </c>
      <c r="F1033" s="8" t="str">
        <f aca="false">IFERROR(INDEX(Section_Master!$D$2:$D$477,MATCH($E1033,Section_Master!$A$2:$A$477,0))&amp;"","")</f>
        <v>Not applicable - no offence or penalty defined here (definition, exception or general provision)</v>
      </c>
      <c r="G1033" s="10" t="str">
        <f aca="false">IFERROR(INDEX(Section_Master!$E$2:$E$477,MATCH($E1033,Section_Master!$A$2:$A$477,0))&amp;"","")</f>
        <v>N/A</v>
      </c>
      <c r="H1033" s="10" t="str">
        <f aca="false">IFERROR(INDEX(Section_Master!$F$2:$F$477,MATCH($E1033,Section_Master!$A$2:$A$477,0))&amp;"","")</f>
        <v>N/A</v>
      </c>
      <c r="I1033" s="10" t="str">
        <f aca="false">IFERROR(INDEX(Section_Master!$G$2:$G$477,MATCH($E1033,Section_Master!$A$2:$A$477,0))&amp;"","")</f>
        <v>N/A</v>
      </c>
      <c r="J1033" s="10" t="s">
        <v>64</v>
      </c>
      <c r="K1033" s="8" t="s">
        <v>2447</v>
      </c>
    </row>
    <row r="1034" customFormat="false" ht="34.5" hidden="false" customHeight="true" outlineLevel="0" collapsed="false">
      <c r="A1034" s="10" t="s">
        <v>2458</v>
      </c>
      <c r="B1034" s="10" t="s">
        <v>45</v>
      </c>
      <c r="C1034" s="8" t="s">
        <v>2459</v>
      </c>
      <c r="D1034" s="8" t="s">
        <v>2460</v>
      </c>
      <c r="E1034" s="11" t="n">
        <v>173</v>
      </c>
      <c r="F1034" s="8" t="str">
        <f aca="false">IFERROR(INDEX(Section_Master!$D$2:$D$477,MATCH($E1034,Section_Master!$A$2:$A$477,0))&amp;"","")</f>
        <v>Imprisonment up to 1 year, or fine, or both; fine only for treating [s.173]</v>
      </c>
      <c r="G1034" s="10" t="str">
        <f aca="false">IFERROR(INDEX(Section_Master!$E$2:$E$477,MATCH($E1034,Section_Master!$A$2:$A$477,0))&amp;"","")</f>
        <v>No</v>
      </c>
      <c r="H1034" s="10" t="str">
        <f aca="false">IFERROR(INDEX(Section_Master!$F$2:$F$477,MATCH($E1034,Section_Master!$A$2:$A$477,0))&amp;"","")</f>
        <v>Yes</v>
      </c>
      <c r="I1034" s="10" t="str">
        <f aca="false">IFERROR(INDEX(Section_Master!$G$2:$G$477,MATCH($E1034,Section_Master!$A$2:$A$477,0))&amp;"","")</f>
        <v>No</v>
      </c>
      <c r="J1034" s="10" t="s">
        <v>48</v>
      </c>
      <c r="K1034" s="8" t="s">
        <v>2461</v>
      </c>
    </row>
    <row r="1035" customFormat="false" ht="34.5" hidden="false" customHeight="true" outlineLevel="0" collapsed="false">
      <c r="A1035" s="10" t="s">
        <v>2462</v>
      </c>
      <c r="B1035" s="10" t="s">
        <v>45</v>
      </c>
      <c r="C1035" s="8" t="s">
        <v>2459</v>
      </c>
      <c r="D1035" s="8" t="s">
        <v>2463</v>
      </c>
      <c r="E1035" s="11" t="n">
        <v>173</v>
      </c>
      <c r="F1035" s="8" t="str">
        <f aca="false">IFERROR(INDEX(Section_Master!$D$2:$D$477,MATCH($E1035,Section_Master!$A$2:$A$477,0))&amp;"","")</f>
        <v>Imprisonment up to 1 year, or fine, or both; fine only for treating [s.173]</v>
      </c>
      <c r="G1035" s="10" t="str">
        <f aca="false">IFERROR(INDEX(Section_Master!$E$2:$E$477,MATCH($E1035,Section_Master!$A$2:$A$477,0))&amp;"","")</f>
        <v>No</v>
      </c>
      <c r="H1035" s="10" t="str">
        <f aca="false">IFERROR(INDEX(Section_Master!$F$2:$F$477,MATCH($E1035,Section_Master!$A$2:$A$477,0))&amp;"","")</f>
        <v>Yes</v>
      </c>
      <c r="I1035" s="10" t="str">
        <f aca="false">IFERROR(INDEX(Section_Master!$G$2:$G$477,MATCH($E1035,Section_Master!$A$2:$A$477,0))&amp;"","")</f>
        <v>No</v>
      </c>
      <c r="J1035" s="10" t="s">
        <v>52</v>
      </c>
      <c r="K1035" s="8" t="s">
        <v>2461</v>
      </c>
    </row>
    <row r="1036" customFormat="false" ht="34.5" hidden="false" customHeight="true" outlineLevel="0" collapsed="false">
      <c r="A1036" s="10" t="s">
        <v>2464</v>
      </c>
      <c r="B1036" s="10" t="s">
        <v>45</v>
      </c>
      <c r="C1036" s="8" t="s">
        <v>2459</v>
      </c>
      <c r="D1036" s="8" t="s">
        <v>2465</v>
      </c>
      <c r="E1036" s="11" t="n">
        <v>173</v>
      </c>
      <c r="F1036" s="8" t="str">
        <f aca="false">IFERROR(INDEX(Section_Master!$D$2:$D$477,MATCH($E1036,Section_Master!$A$2:$A$477,0))&amp;"","")</f>
        <v>Imprisonment up to 1 year, or fine, or both; fine only for treating [s.173]</v>
      </c>
      <c r="G1036" s="10" t="str">
        <f aca="false">IFERROR(INDEX(Section_Master!$E$2:$E$477,MATCH($E1036,Section_Master!$A$2:$A$477,0))&amp;"","")</f>
        <v>No</v>
      </c>
      <c r="H1036" s="10" t="str">
        <f aca="false">IFERROR(INDEX(Section_Master!$F$2:$F$477,MATCH($E1036,Section_Master!$A$2:$A$477,0))&amp;"","")</f>
        <v>Yes</v>
      </c>
      <c r="I1036" s="10" t="str">
        <f aca="false">IFERROR(INDEX(Section_Master!$G$2:$G$477,MATCH($E1036,Section_Master!$A$2:$A$477,0))&amp;"","")</f>
        <v>No</v>
      </c>
      <c r="J1036" s="10" t="s">
        <v>55</v>
      </c>
      <c r="K1036" s="8" t="s">
        <v>2461</v>
      </c>
    </row>
    <row r="1037" customFormat="false" ht="15" hidden="false" customHeight="true" outlineLevel="0" collapsed="false">
      <c r="A1037" s="10" t="s">
        <v>2466</v>
      </c>
      <c r="B1037" s="10" t="s">
        <v>45</v>
      </c>
      <c r="C1037" s="8" t="s">
        <v>2459</v>
      </c>
      <c r="D1037" s="8" t="s">
        <v>2467</v>
      </c>
      <c r="E1037" s="11" t="n">
        <v>173</v>
      </c>
      <c r="F1037" s="8" t="str">
        <f aca="false">IFERROR(INDEX(Section_Master!$D$2:$D$477,MATCH($E1037,Section_Master!$A$2:$A$477,0))&amp;"","")</f>
        <v>Imprisonment up to 1 year, or fine, or both; fine only for treating [s.173]</v>
      </c>
      <c r="G1037" s="10" t="str">
        <f aca="false">IFERROR(INDEX(Section_Master!$E$2:$E$477,MATCH($E1037,Section_Master!$A$2:$A$477,0))&amp;"","")</f>
        <v>No</v>
      </c>
      <c r="H1037" s="10" t="str">
        <f aca="false">IFERROR(INDEX(Section_Master!$F$2:$F$477,MATCH($E1037,Section_Master!$A$2:$A$477,0))&amp;"","")</f>
        <v>Yes</v>
      </c>
      <c r="I1037" s="10" t="str">
        <f aca="false">IFERROR(INDEX(Section_Master!$G$2:$G$477,MATCH($E1037,Section_Master!$A$2:$A$477,0))&amp;"","")</f>
        <v>No</v>
      </c>
      <c r="J1037" s="10" t="s">
        <v>58</v>
      </c>
      <c r="K1037" s="8" t="s">
        <v>2461</v>
      </c>
    </row>
    <row r="1038" customFormat="false" ht="34.5" hidden="false" customHeight="true" outlineLevel="0" collapsed="false">
      <c r="A1038" s="10" t="s">
        <v>2468</v>
      </c>
      <c r="B1038" s="10" t="s">
        <v>45</v>
      </c>
      <c r="C1038" s="8" t="s">
        <v>2459</v>
      </c>
      <c r="D1038" s="8" t="s">
        <v>2469</v>
      </c>
      <c r="E1038" s="11" t="n">
        <v>173</v>
      </c>
      <c r="F1038" s="8" t="str">
        <f aca="false">IFERROR(INDEX(Section_Master!$D$2:$D$477,MATCH($E1038,Section_Master!$A$2:$A$477,0))&amp;"","")</f>
        <v>Imprisonment up to 1 year, or fine, or both; fine only for treating [s.173]</v>
      </c>
      <c r="G1038" s="10" t="str">
        <f aca="false">IFERROR(INDEX(Section_Master!$E$2:$E$477,MATCH($E1038,Section_Master!$A$2:$A$477,0))&amp;"","")</f>
        <v>No</v>
      </c>
      <c r="H1038" s="10" t="str">
        <f aca="false">IFERROR(INDEX(Section_Master!$F$2:$F$477,MATCH($E1038,Section_Master!$A$2:$A$477,0))&amp;"","")</f>
        <v>Yes</v>
      </c>
      <c r="I1038" s="10" t="str">
        <f aca="false">IFERROR(INDEX(Section_Master!$G$2:$G$477,MATCH($E1038,Section_Master!$A$2:$A$477,0))&amp;"","")</f>
        <v>No</v>
      </c>
      <c r="J1038" s="10" t="s">
        <v>61</v>
      </c>
      <c r="K1038" s="8" t="s">
        <v>2461</v>
      </c>
    </row>
    <row r="1039" customFormat="false" ht="45.75" hidden="false" customHeight="true" outlineLevel="0" collapsed="false">
      <c r="A1039" s="10" t="s">
        <v>2470</v>
      </c>
      <c r="B1039" s="10" t="s">
        <v>45</v>
      </c>
      <c r="C1039" s="8" t="s">
        <v>2459</v>
      </c>
      <c r="D1039" s="8" t="s">
        <v>2471</v>
      </c>
      <c r="E1039" s="11" t="n">
        <v>173</v>
      </c>
      <c r="F1039" s="8" t="str">
        <f aca="false">IFERROR(INDEX(Section_Master!$D$2:$D$477,MATCH($E1039,Section_Master!$A$2:$A$477,0))&amp;"","")</f>
        <v>Imprisonment up to 1 year, or fine, or both; fine only for treating [s.173]</v>
      </c>
      <c r="G1039" s="10" t="str">
        <f aca="false">IFERROR(INDEX(Section_Master!$E$2:$E$477,MATCH($E1039,Section_Master!$A$2:$A$477,0))&amp;"","")</f>
        <v>No</v>
      </c>
      <c r="H1039" s="10" t="str">
        <f aca="false">IFERROR(INDEX(Section_Master!$F$2:$F$477,MATCH($E1039,Section_Master!$A$2:$A$477,0))&amp;"","")</f>
        <v>Yes</v>
      </c>
      <c r="I1039" s="10" t="str">
        <f aca="false">IFERROR(INDEX(Section_Master!$G$2:$G$477,MATCH($E1039,Section_Master!$A$2:$A$477,0))&amp;"","")</f>
        <v>No</v>
      </c>
      <c r="J1039" s="10" t="s">
        <v>64</v>
      </c>
      <c r="K1039" s="8" t="s">
        <v>2461</v>
      </c>
    </row>
    <row r="1040" customFormat="false" ht="23.25" hidden="false" customHeight="true" outlineLevel="0" collapsed="false">
      <c r="A1040" s="10" t="s">
        <v>2472</v>
      </c>
      <c r="B1040" s="10" t="s">
        <v>45</v>
      </c>
      <c r="C1040" s="8" t="s">
        <v>2473</v>
      </c>
      <c r="D1040" s="8" t="s">
        <v>2474</v>
      </c>
      <c r="E1040" s="11" t="n">
        <v>174</v>
      </c>
      <c r="F1040" s="8" t="str">
        <f aca="false">IFERROR(INDEX(Section_Master!$D$2:$D$477,MATCH($E1040,Section_Master!$A$2:$A$477,0))&amp;"","")</f>
        <v>Imprisonment up to 1 year, or fine, or both; up to 2 years for personation [s.174]</v>
      </c>
      <c r="G1040" s="10" t="str">
        <f aca="false">IFERROR(INDEX(Section_Master!$E$2:$E$477,MATCH($E1040,Section_Master!$A$2:$A$477,0))&amp;"","")</f>
        <v>No</v>
      </c>
      <c r="H1040" s="10" t="str">
        <f aca="false">IFERROR(INDEX(Section_Master!$F$2:$F$477,MATCH($E1040,Section_Master!$A$2:$A$477,0))&amp;"","")</f>
        <v>Yes</v>
      </c>
      <c r="I1040" s="10" t="str">
        <f aca="false">IFERROR(INDEX(Section_Master!$G$2:$G$477,MATCH($E1040,Section_Master!$A$2:$A$477,0))&amp;"","")</f>
        <v>No</v>
      </c>
      <c r="J1040" s="10" t="s">
        <v>48</v>
      </c>
      <c r="K1040" s="8" t="s">
        <v>2475</v>
      </c>
    </row>
    <row r="1041" customFormat="false" ht="34.5" hidden="false" customHeight="true" outlineLevel="0" collapsed="false">
      <c r="A1041" s="10" t="s">
        <v>2476</v>
      </c>
      <c r="B1041" s="10" t="s">
        <v>45</v>
      </c>
      <c r="C1041" s="8" t="s">
        <v>2473</v>
      </c>
      <c r="D1041" s="8" t="s">
        <v>2477</v>
      </c>
      <c r="E1041" s="11" t="n">
        <v>174</v>
      </c>
      <c r="F1041" s="8" t="str">
        <f aca="false">IFERROR(INDEX(Section_Master!$D$2:$D$477,MATCH($E1041,Section_Master!$A$2:$A$477,0))&amp;"","")</f>
        <v>Imprisonment up to 1 year, or fine, or both; up to 2 years for personation [s.174]</v>
      </c>
      <c r="G1041" s="10" t="str">
        <f aca="false">IFERROR(INDEX(Section_Master!$E$2:$E$477,MATCH($E1041,Section_Master!$A$2:$A$477,0))&amp;"","")</f>
        <v>No</v>
      </c>
      <c r="H1041" s="10" t="str">
        <f aca="false">IFERROR(INDEX(Section_Master!$F$2:$F$477,MATCH($E1041,Section_Master!$A$2:$A$477,0))&amp;"","")</f>
        <v>Yes</v>
      </c>
      <c r="I1041" s="10" t="str">
        <f aca="false">IFERROR(INDEX(Section_Master!$G$2:$G$477,MATCH($E1041,Section_Master!$A$2:$A$477,0))&amp;"","")</f>
        <v>No</v>
      </c>
      <c r="J1041" s="10" t="s">
        <v>52</v>
      </c>
      <c r="K1041" s="8" t="s">
        <v>2475</v>
      </c>
    </row>
    <row r="1042" customFormat="false" ht="34.5" hidden="false" customHeight="true" outlineLevel="0" collapsed="false">
      <c r="A1042" s="10" t="s">
        <v>2478</v>
      </c>
      <c r="B1042" s="10" t="s">
        <v>45</v>
      </c>
      <c r="C1042" s="8" t="s">
        <v>2473</v>
      </c>
      <c r="D1042" s="8" t="s">
        <v>2479</v>
      </c>
      <c r="E1042" s="11" t="n">
        <v>174</v>
      </c>
      <c r="F1042" s="8" t="str">
        <f aca="false">IFERROR(INDEX(Section_Master!$D$2:$D$477,MATCH($E1042,Section_Master!$A$2:$A$477,0))&amp;"","")</f>
        <v>Imprisonment up to 1 year, or fine, or both; up to 2 years for personation [s.174]</v>
      </c>
      <c r="G1042" s="10" t="str">
        <f aca="false">IFERROR(INDEX(Section_Master!$E$2:$E$477,MATCH($E1042,Section_Master!$A$2:$A$477,0))&amp;"","")</f>
        <v>No</v>
      </c>
      <c r="H1042" s="10" t="str">
        <f aca="false">IFERROR(INDEX(Section_Master!$F$2:$F$477,MATCH($E1042,Section_Master!$A$2:$A$477,0))&amp;"","")</f>
        <v>Yes</v>
      </c>
      <c r="I1042" s="10" t="str">
        <f aca="false">IFERROR(INDEX(Section_Master!$G$2:$G$477,MATCH($E1042,Section_Master!$A$2:$A$477,0))&amp;"","")</f>
        <v>No</v>
      </c>
      <c r="J1042" s="10" t="s">
        <v>55</v>
      </c>
      <c r="K1042" s="8" t="s">
        <v>2475</v>
      </c>
    </row>
    <row r="1043" customFormat="false" ht="23.25" hidden="false" customHeight="true" outlineLevel="0" collapsed="false">
      <c r="A1043" s="10" t="s">
        <v>2480</v>
      </c>
      <c r="B1043" s="10" t="s">
        <v>45</v>
      </c>
      <c r="C1043" s="8" t="s">
        <v>2473</v>
      </c>
      <c r="D1043" s="8" t="s">
        <v>2481</v>
      </c>
      <c r="E1043" s="11" t="n">
        <v>174</v>
      </c>
      <c r="F1043" s="8" t="str">
        <f aca="false">IFERROR(INDEX(Section_Master!$D$2:$D$477,MATCH($E1043,Section_Master!$A$2:$A$477,0))&amp;"","")</f>
        <v>Imprisonment up to 1 year, or fine, or both; up to 2 years for personation [s.174]</v>
      </c>
      <c r="G1043" s="10" t="str">
        <f aca="false">IFERROR(INDEX(Section_Master!$E$2:$E$477,MATCH($E1043,Section_Master!$A$2:$A$477,0))&amp;"","")</f>
        <v>No</v>
      </c>
      <c r="H1043" s="10" t="str">
        <f aca="false">IFERROR(INDEX(Section_Master!$F$2:$F$477,MATCH($E1043,Section_Master!$A$2:$A$477,0))&amp;"","")</f>
        <v>Yes</v>
      </c>
      <c r="I1043" s="10" t="str">
        <f aca="false">IFERROR(INDEX(Section_Master!$G$2:$G$477,MATCH($E1043,Section_Master!$A$2:$A$477,0))&amp;"","")</f>
        <v>No</v>
      </c>
      <c r="J1043" s="10" t="s">
        <v>58</v>
      </c>
      <c r="K1043" s="8" t="s">
        <v>2475</v>
      </c>
    </row>
    <row r="1044" customFormat="false" ht="23.25" hidden="false" customHeight="true" outlineLevel="0" collapsed="false">
      <c r="A1044" s="10" t="s">
        <v>2482</v>
      </c>
      <c r="B1044" s="10" t="s">
        <v>45</v>
      </c>
      <c r="C1044" s="8" t="s">
        <v>2473</v>
      </c>
      <c r="D1044" s="8" t="s">
        <v>2483</v>
      </c>
      <c r="E1044" s="11" t="n">
        <v>174</v>
      </c>
      <c r="F1044" s="8" t="str">
        <f aca="false">IFERROR(INDEX(Section_Master!$D$2:$D$477,MATCH($E1044,Section_Master!$A$2:$A$477,0))&amp;"","")</f>
        <v>Imprisonment up to 1 year, or fine, or both; up to 2 years for personation [s.174]</v>
      </c>
      <c r="G1044" s="10" t="str">
        <f aca="false">IFERROR(INDEX(Section_Master!$E$2:$E$477,MATCH($E1044,Section_Master!$A$2:$A$477,0))&amp;"","")</f>
        <v>No</v>
      </c>
      <c r="H1044" s="10" t="str">
        <f aca="false">IFERROR(INDEX(Section_Master!$F$2:$F$477,MATCH($E1044,Section_Master!$A$2:$A$477,0))&amp;"","")</f>
        <v>Yes</v>
      </c>
      <c r="I1044" s="10" t="str">
        <f aca="false">IFERROR(INDEX(Section_Master!$G$2:$G$477,MATCH($E1044,Section_Master!$A$2:$A$477,0))&amp;"","")</f>
        <v>No</v>
      </c>
      <c r="J1044" s="10" t="s">
        <v>61</v>
      </c>
      <c r="K1044" s="8" t="s">
        <v>2475</v>
      </c>
    </row>
    <row r="1045" customFormat="false" ht="34.5" hidden="false" customHeight="true" outlineLevel="0" collapsed="false">
      <c r="A1045" s="10" t="s">
        <v>2484</v>
      </c>
      <c r="B1045" s="10" t="s">
        <v>45</v>
      </c>
      <c r="C1045" s="8" t="s">
        <v>2473</v>
      </c>
      <c r="D1045" s="8" t="s">
        <v>2485</v>
      </c>
      <c r="E1045" s="11" t="n">
        <v>174</v>
      </c>
      <c r="F1045" s="8" t="str">
        <f aca="false">IFERROR(INDEX(Section_Master!$D$2:$D$477,MATCH($E1045,Section_Master!$A$2:$A$477,0))&amp;"","")</f>
        <v>Imprisonment up to 1 year, or fine, or both; up to 2 years for personation [s.174]</v>
      </c>
      <c r="G1045" s="10" t="str">
        <f aca="false">IFERROR(INDEX(Section_Master!$E$2:$E$477,MATCH($E1045,Section_Master!$A$2:$A$477,0))&amp;"","")</f>
        <v>No</v>
      </c>
      <c r="H1045" s="10" t="str">
        <f aca="false">IFERROR(INDEX(Section_Master!$F$2:$F$477,MATCH($E1045,Section_Master!$A$2:$A$477,0))&amp;"","")</f>
        <v>Yes</v>
      </c>
      <c r="I1045" s="10" t="str">
        <f aca="false">IFERROR(INDEX(Section_Master!$G$2:$G$477,MATCH($E1045,Section_Master!$A$2:$A$477,0))&amp;"","")</f>
        <v>No</v>
      </c>
      <c r="J1045" s="10" t="s">
        <v>64</v>
      </c>
      <c r="K1045" s="8" t="s">
        <v>2475</v>
      </c>
    </row>
    <row r="1046" customFormat="false" ht="34.5" hidden="false" customHeight="true" outlineLevel="0" collapsed="false">
      <c r="A1046" s="10" t="s">
        <v>2486</v>
      </c>
      <c r="B1046" s="10" t="s">
        <v>45</v>
      </c>
      <c r="C1046" s="8" t="s">
        <v>2487</v>
      </c>
      <c r="D1046" s="8" t="s">
        <v>2488</v>
      </c>
      <c r="E1046" s="11" t="n">
        <v>175</v>
      </c>
      <c r="F1046" s="8" t="str">
        <f aca="false">IFERROR(INDEX(Section_Master!$D$2:$D$477,MATCH($E1046,Section_Master!$A$2:$A$477,0))&amp;"","")</f>
        <v>Fine</v>
      </c>
      <c r="G1046" s="10" t="str">
        <f aca="false">IFERROR(INDEX(Section_Master!$E$2:$E$477,MATCH($E1046,Section_Master!$A$2:$A$477,0))&amp;"","")</f>
        <v>No</v>
      </c>
      <c r="H1046" s="10" t="str">
        <f aca="false">IFERROR(INDEX(Section_Master!$F$2:$F$477,MATCH($E1046,Section_Master!$A$2:$A$477,0))&amp;"","")</f>
        <v>Yes</v>
      </c>
      <c r="I1046" s="10" t="str">
        <f aca="false">IFERROR(INDEX(Section_Master!$G$2:$G$477,MATCH($E1046,Section_Master!$A$2:$A$477,0))&amp;"","")</f>
        <v>No</v>
      </c>
      <c r="J1046" s="10" t="s">
        <v>48</v>
      </c>
      <c r="K1046" s="8" t="s">
        <v>2489</v>
      </c>
    </row>
    <row r="1047" customFormat="false" ht="34.5" hidden="false" customHeight="true" outlineLevel="0" collapsed="false">
      <c r="A1047" s="10" t="s">
        <v>2490</v>
      </c>
      <c r="B1047" s="10" t="s">
        <v>45</v>
      </c>
      <c r="C1047" s="8" t="s">
        <v>2487</v>
      </c>
      <c r="D1047" s="8" t="s">
        <v>2491</v>
      </c>
      <c r="E1047" s="11" t="n">
        <v>175</v>
      </c>
      <c r="F1047" s="8" t="str">
        <f aca="false">IFERROR(INDEX(Section_Master!$D$2:$D$477,MATCH($E1047,Section_Master!$A$2:$A$477,0))&amp;"","")</f>
        <v>Fine</v>
      </c>
      <c r="G1047" s="10" t="str">
        <f aca="false">IFERROR(INDEX(Section_Master!$E$2:$E$477,MATCH($E1047,Section_Master!$A$2:$A$477,0))&amp;"","")</f>
        <v>No</v>
      </c>
      <c r="H1047" s="10" t="str">
        <f aca="false">IFERROR(INDEX(Section_Master!$F$2:$F$477,MATCH($E1047,Section_Master!$A$2:$A$477,0))&amp;"","")</f>
        <v>Yes</v>
      </c>
      <c r="I1047" s="10" t="str">
        <f aca="false">IFERROR(INDEX(Section_Master!$G$2:$G$477,MATCH($E1047,Section_Master!$A$2:$A$477,0))&amp;"","")</f>
        <v>No</v>
      </c>
      <c r="J1047" s="10" t="s">
        <v>52</v>
      </c>
      <c r="K1047" s="8" t="s">
        <v>2489</v>
      </c>
    </row>
    <row r="1048" customFormat="false" ht="34.5" hidden="false" customHeight="true" outlineLevel="0" collapsed="false">
      <c r="A1048" s="10" t="s">
        <v>2492</v>
      </c>
      <c r="B1048" s="10" t="s">
        <v>45</v>
      </c>
      <c r="C1048" s="8" t="s">
        <v>2487</v>
      </c>
      <c r="D1048" s="8" t="s">
        <v>2493</v>
      </c>
      <c r="E1048" s="11" t="n">
        <v>175</v>
      </c>
      <c r="F1048" s="8" t="str">
        <f aca="false">IFERROR(INDEX(Section_Master!$D$2:$D$477,MATCH($E1048,Section_Master!$A$2:$A$477,0))&amp;"","")</f>
        <v>Fine</v>
      </c>
      <c r="G1048" s="10" t="str">
        <f aca="false">IFERROR(INDEX(Section_Master!$E$2:$E$477,MATCH($E1048,Section_Master!$A$2:$A$477,0))&amp;"","")</f>
        <v>No</v>
      </c>
      <c r="H1048" s="10" t="str">
        <f aca="false">IFERROR(INDEX(Section_Master!$F$2:$F$477,MATCH($E1048,Section_Master!$A$2:$A$477,0))&amp;"","")</f>
        <v>Yes</v>
      </c>
      <c r="I1048" s="10" t="str">
        <f aca="false">IFERROR(INDEX(Section_Master!$G$2:$G$477,MATCH($E1048,Section_Master!$A$2:$A$477,0))&amp;"","")</f>
        <v>No</v>
      </c>
      <c r="J1048" s="10" t="s">
        <v>55</v>
      </c>
      <c r="K1048" s="8" t="s">
        <v>2489</v>
      </c>
    </row>
    <row r="1049" customFormat="false" ht="23.25" hidden="false" customHeight="true" outlineLevel="0" collapsed="false">
      <c r="A1049" s="10" t="s">
        <v>2494</v>
      </c>
      <c r="B1049" s="10" t="s">
        <v>45</v>
      </c>
      <c r="C1049" s="8" t="s">
        <v>2487</v>
      </c>
      <c r="D1049" s="8" t="s">
        <v>2495</v>
      </c>
      <c r="E1049" s="11" t="n">
        <v>175</v>
      </c>
      <c r="F1049" s="8" t="str">
        <f aca="false">IFERROR(INDEX(Section_Master!$D$2:$D$477,MATCH($E1049,Section_Master!$A$2:$A$477,0))&amp;"","")</f>
        <v>Fine</v>
      </c>
      <c r="G1049" s="10" t="str">
        <f aca="false">IFERROR(INDEX(Section_Master!$E$2:$E$477,MATCH($E1049,Section_Master!$A$2:$A$477,0))&amp;"","")</f>
        <v>No</v>
      </c>
      <c r="H1049" s="10" t="str">
        <f aca="false">IFERROR(INDEX(Section_Master!$F$2:$F$477,MATCH($E1049,Section_Master!$A$2:$A$477,0))&amp;"","")</f>
        <v>Yes</v>
      </c>
      <c r="I1049" s="10" t="str">
        <f aca="false">IFERROR(INDEX(Section_Master!$G$2:$G$477,MATCH($E1049,Section_Master!$A$2:$A$477,0))&amp;"","")</f>
        <v>No</v>
      </c>
      <c r="J1049" s="10" t="s">
        <v>58</v>
      </c>
      <c r="K1049" s="8" t="s">
        <v>2489</v>
      </c>
    </row>
    <row r="1050" customFormat="false" ht="34.5" hidden="false" customHeight="true" outlineLevel="0" collapsed="false">
      <c r="A1050" s="10" t="s">
        <v>2496</v>
      </c>
      <c r="B1050" s="10" t="s">
        <v>45</v>
      </c>
      <c r="C1050" s="8" t="s">
        <v>2487</v>
      </c>
      <c r="D1050" s="8" t="s">
        <v>2497</v>
      </c>
      <c r="E1050" s="11" t="n">
        <v>175</v>
      </c>
      <c r="F1050" s="8" t="str">
        <f aca="false">IFERROR(INDEX(Section_Master!$D$2:$D$477,MATCH($E1050,Section_Master!$A$2:$A$477,0))&amp;"","")</f>
        <v>Fine</v>
      </c>
      <c r="G1050" s="10" t="str">
        <f aca="false">IFERROR(INDEX(Section_Master!$E$2:$E$477,MATCH($E1050,Section_Master!$A$2:$A$477,0))&amp;"","")</f>
        <v>No</v>
      </c>
      <c r="H1050" s="10" t="str">
        <f aca="false">IFERROR(INDEX(Section_Master!$F$2:$F$477,MATCH($E1050,Section_Master!$A$2:$A$477,0))&amp;"","")</f>
        <v>Yes</v>
      </c>
      <c r="I1050" s="10" t="str">
        <f aca="false">IFERROR(INDEX(Section_Master!$G$2:$G$477,MATCH($E1050,Section_Master!$A$2:$A$477,0))&amp;"","")</f>
        <v>No</v>
      </c>
      <c r="J1050" s="10" t="s">
        <v>61</v>
      </c>
      <c r="K1050" s="8" t="s">
        <v>2489</v>
      </c>
    </row>
    <row r="1051" customFormat="false" ht="34.5" hidden="false" customHeight="true" outlineLevel="0" collapsed="false">
      <c r="A1051" s="10" t="s">
        <v>2498</v>
      </c>
      <c r="B1051" s="10" t="s">
        <v>45</v>
      </c>
      <c r="C1051" s="8" t="s">
        <v>2487</v>
      </c>
      <c r="D1051" s="8" t="s">
        <v>2499</v>
      </c>
      <c r="E1051" s="11" t="n">
        <v>175</v>
      </c>
      <c r="F1051" s="8" t="str">
        <f aca="false">IFERROR(INDEX(Section_Master!$D$2:$D$477,MATCH($E1051,Section_Master!$A$2:$A$477,0))&amp;"","")</f>
        <v>Fine</v>
      </c>
      <c r="G1051" s="10" t="str">
        <f aca="false">IFERROR(INDEX(Section_Master!$E$2:$E$477,MATCH($E1051,Section_Master!$A$2:$A$477,0))&amp;"","")</f>
        <v>No</v>
      </c>
      <c r="H1051" s="10" t="str">
        <f aca="false">IFERROR(INDEX(Section_Master!$F$2:$F$477,MATCH($E1051,Section_Master!$A$2:$A$477,0))&amp;"","")</f>
        <v>Yes</v>
      </c>
      <c r="I1051" s="10" t="str">
        <f aca="false">IFERROR(INDEX(Section_Master!$G$2:$G$477,MATCH($E1051,Section_Master!$A$2:$A$477,0))&amp;"","")</f>
        <v>No</v>
      </c>
      <c r="J1051" s="10" t="s">
        <v>64</v>
      </c>
      <c r="K1051" s="8" t="s">
        <v>2489</v>
      </c>
    </row>
    <row r="1052" customFormat="false" ht="23.25" hidden="false" customHeight="true" outlineLevel="0" collapsed="false">
      <c r="A1052" s="10" t="s">
        <v>2500</v>
      </c>
      <c r="B1052" s="10" t="s">
        <v>45</v>
      </c>
      <c r="C1052" s="8" t="s">
        <v>2501</v>
      </c>
      <c r="D1052" s="8" t="s">
        <v>2502</v>
      </c>
      <c r="E1052" s="11" t="n">
        <v>176</v>
      </c>
      <c r="F1052" s="8" t="str">
        <f aca="false">IFERROR(INDEX(Section_Master!$D$2:$D$477,MATCH($E1052,Section_Master!$A$2:$A$477,0))&amp;"","")</f>
        <v>Fine</v>
      </c>
      <c r="G1052" s="10" t="str">
        <f aca="false">IFERROR(INDEX(Section_Master!$E$2:$E$477,MATCH($E1052,Section_Master!$A$2:$A$477,0))&amp;"","")</f>
        <v>No</v>
      </c>
      <c r="H1052" s="10" t="str">
        <f aca="false">IFERROR(INDEX(Section_Master!$F$2:$F$477,MATCH($E1052,Section_Master!$A$2:$A$477,0))&amp;"","")</f>
        <v>Yes</v>
      </c>
      <c r="I1052" s="10" t="str">
        <f aca="false">IFERROR(INDEX(Section_Master!$G$2:$G$477,MATCH($E1052,Section_Master!$A$2:$A$477,0))&amp;"","")</f>
        <v>No</v>
      </c>
      <c r="J1052" s="10" t="s">
        <v>48</v>
      </c>
      <c r="K1052" s="8" t="s">
        <v>2503</v>
      </c>
    </row>
    <row r="1053" customFormat="false" ht="34.5" hidden="false" customHeight="true" outlineLevel="0" collapsed="false">
      <c r="A1053" s="10" t="s">
        <v>2504</v>
      </c>
      <c r="B1053" s="10" t="s">
        <v>45</v>
      </c>
      <c r="C1053" s="8" t="s">
        <v>2501</v>
      </c>
      <c r="D1053" s="8" t="s">
        <v>2505</v>
      </c>
      <c r="E1053" s="11" t="n">
        <v>176</v>
      </c>
      <c r="F1053" s="8" t="str">
        <f aca="false">IFERROR(INDEX(Section_Master!$D$2:$D$477,MATCH($E1053,Section_Master!$A$2:$A$477,0))&amp;"","")</f>
        <v>Fine</v>
      </c>
      <c r="G1053" s="10" t="str">
        <f aca="false">IFERROR(INDEX(Section_Master!$E$2:$E$477,MATCH($E1053,Section_Master!$A$2:$A$477,0))&amp;"","")</f>
        <v>No</v>
      </c>
      <c r="H1053" s="10" t="str">
        <f aca="false">IFERROR(INDEX(Section_Master!$F$2:$F$477,MATCH($E1053,Section_Master!$A$2:$A$477,0))&amp;"","")</f>
        <v>Yes</v>
      </c>
      <c r="I1053" s="10" t="str">
        <f aca="false">IFERROR(INDEX(Section_Master!$G$2:$G$477,MATCH($E1053,Section_Master!$A$2:$A$477,0))&amp;"","")</f>
        <v>No</v>
      </c>
      <c r="J1053" s="10" t="s">
        <v>52</v>
      </c>
      <c r="K1053" s="8" t="s">
        <v>2503</v>
      </c>
    </row>
    <row r="1054" customFormat="false" ht="34.5" hidden="false" customHeight="true" outlineLevel="0" collapsed="false">
      <c r="A1054" s="10" t="s">
        <v>2506</v>
      </c>
      <c r="B1054" s="10" t="s">
        <v>45</v>
      </c>
      <c r="C1054" s="8" t="s">
        <v>2501</v>
      </c>
      <c r="D1054" s="8" t="s">
        <v>2507</v>
      </c>
      <c r="E1054" s="11" t="n">
        <v>176</v>
      </c>
      <c r="F1054" s="8" t="str">
        <f aca="false">IFERROR(INDEX(Section_Master!$D$2:$D$477,MATCH($E1054,Section_Master!$A$2:$A$477,0))&amp;"","")</f>
        <v>Fine</v>
      </c>
      <c r="G1054" s="10" t="str">
        <f aca="false">IFERROR(INDEX(Section_Master!$E$2:$E$477,MATCH($E1054,Section_Master!$A$2:$A$477,0))&amp;"","")</f>
        <v>No</v>
      </c>
      <c r="H1054" s="10" t="str">
        <f aca="false">IFERROR(INDEX(Section_Master!$F$2:$F$477,MATCH($E1054,Section_Master!$A$2:$A$477,0))&amp;"","")</f>
        <v>Yes</v>
      </c>
      <c r="I1054" s="10" t="str">
        <f aca="false">IFERROR(INDEX(Section_Master!$G$2:$G$477,MATCH($E1054,Section_Master!$A$2:$A$477,0))&amp;"","")</f>
        <v>No</v>
      </c>
      <c r="J1054" s="10" t="s">
        <v>55</v>
      </c>
      <c r="K1054" s="8" t="s">
        <v>2503</v>
      </c>
    </row>
    <row r="1055" customFormat="false" ht="23.25" hidden="false" customHeight="true" outlineLevel="0" collapsed="false">
      <c r="A1055" s="10" t="s">
        <v>2508</v>
      </c>
      <c r="B1055" s="10" t="s">
        <v>45</v>
      </c>
      <c r="C1055" s="8" t="s">
        <v>2501</v>
      </c>
      <c r="D1055" s="8" t="s">
        <v>2509</v>
      </c>
      <c r="E1055" s="11" t="n">
        <v>176</v>
      </c>
      <c r="F1055" s="8" t="str">
        <f aca="false">IFERROR(INDEX(Section_Master!$D$2:$D$477,MATCH($E1055,Section_Master!$A$2:$A$477,0))&amp;"","")</f>
        <v>Fine</v>
      </c>
      <c r="G1055" s="10" t="str">
        <f aca="false">IFERROR(INDEX(Section_Master!$E$2:$E$477,MATCH($E1055,Section_Master!$A$2:$A$477,0))&amp;"","")</f>
        <v>No</v>
      </c>
      <c r="H1055" s="10" t="str">
        <f aca="false">IFERROR(INDEX(Section_Master!$F$2:$F$477,MATCH($E1055,Section_Master!$A$2:$A$477,0))&amp;"","")</f>
        <v>Yes</v>
      </c>
      <c r="I1055" s="10" t="str">
        <f aca="false">IFERROR(INDEX(Section_Master!$G$2:$G$477,MATCH($E1055,Section_Master!$A$2:$A$477,0))&amp;"","")</f>
        <v>No</v>
      </c>
      <c r="J1055" s="10" t="s">
        <v>58</v>
      </c>
      <c r="K1055" s="8" t="s">
        <v>2503</v>
      </c>
    </row>
    <row r="1056" customFormat="false" ht="34.5" hidden="false" customHeight="true" outlineLevel="0" collapsed="false">
      <c r="A1056" s="10" t="s">
        <v>2510</v>
      </c>
      <c r="B1056" s="10" t="s">
        <v>45</v>
      </c>
      <c r="C1056" s="8" t="s">
        <v>2501</v>
      </c>
      <c r="D1056" s="8" t="s">
        <v>2511</v>
      </c>
      <c r="E1056" s="11" t="n">
        <v>176</v>
      </c>
      <c r="F1056" s="8" t="str">
        <f aca="false">IFERROR(INDEX(Section_Master!$D$2:$D$477,MATCH($E1056,Section_Master!$A$2:$A$477,0))&amp;"","")</f>
        <v>Fine</v>
      </c>
      <c r="G1056" s="10" t="str">
        <f aca="false">IFERROR(INDEX(Section_Master!$E$2:$E$477,MATCH($E1056,Section_Master!$A$2:$A$477,0))&amp;"","")</f>
        <v>No</v>
      </c>
      <c r="H1056" s="10" t="str">
        <f aca="false">IFERROR(INDEX(Section_Master!$F$2:$F$477,MATCH($E1056,Section_Master!$A$2:$A$477,0))&amp;"","")</f>
        <v>Yes</v>
      </c>
      <c r="I1056" s="10" t="str">
        <f aca="false">IFERROR(INDEX(Section_Master!$G$2:$G$477,MATCH($E1056,Section_Master!$A$2:$A$477,0))&amp;"","")</f>
        <v>No</v>
      </c>
      <c r="J1056" s="10" t="s">
        <v>61</v>
      </c>
      <c r="K1056" s="8" t="s">
        <v>2503</v>
      </c>
    </row>
    <row r="1057" customFormat="false" ht="34.5" hidden="false" customHeight="true" outlineLevel="0" collapsed="false">
      <c r="A1057" s="10" t="s">
        <v>2512</v>
      </c>
      <c r="B1057" s="10" t="s">
        <v>45</v>
      </c>
      <c r="C1057" s="8" t="s">
        <v>2501</v>
      </c>
      <c r="D1057" s="8" t="s">
        <v>2513</v>
      </c>
      <c r="E1057" s="11" t="n">
        <v>176</v>
      </c>
      <c r="F1057" s="8" t="str">
        <f aca="false">IFERROR(INDEX(Section_Master!$D$2:$D$477,MATCH($E1057,Section_Master!$A$2:$A$477,0))&amp;"","")</f>
        <v>Fine</v>
      </c>
      <c r="G1057" s="10" t="str">
        <f aca="false">IFERROR(INDEX(Section_Master!$E$2:$E$477,MATCH($E1057,Section_Master!$A$2:$A$477,0))&amp;"","")</f>
        <v>No</v>
      </c>
      <c r="H1057" s="10" t="str">
        <f aca="false">IFERROR(INDEX(Section_Master!$F$2:$F$477,MATCH($E1057,Section_Master!$A$2:$A$477,0))&amp;"","")</f>
        <v>Yes</v>
      </c>
      <c r="I1057" s="10" t="str">
        <f aca="false">IFERROR(INDEX(Section_Master!$G$2:$G$477,MATCH($E1057,Section_Master!$A$2:$A$477,0))&amp;"","")</f>
        <v>No</v>
      </c>
      <c r="J1057" s="10" t="s">
        <v>64</v>
      </c>
      <c r="K1057" s="8" t="s">
        <v>2503</v>
      </c>
    </row>
    <row r="1058" customFormat="false" ht="23.25" hidden="false" customHeight="true" outlineLevel="0" collapsed="false">
      <c r="A1058" s="10" t="s">
        <v>2514</v>
      </c>
      <c r="B1058" s="10" t="s">
        <v>45</v>
      </c>
      <c r="C1058" s="8" t="s">
        <v>2515</v>
      </c>
      <c r="D1058" s="8" t="s">
        <v>2516</v>
      </c>
      <c r="E1058" s="11" t="n">
        <v>177</v>
      </c>
      <c r="F1058" s="8" t="str">
        <f aca="false">IFERROR(INDEX(Section_Master!$D$2:$D$477,MATCH($E1058,Section_Master!$A$2:$A$477,0))&amp;"","")</f>
        <v>Fine</v>
      </c>
      <c r="G1058" s="10" t="str">
        <f aca="false">IFERROR(INDEX(Section_Master!$E$2:$E$477,MATCH($E1058,Section_Master!$A$2:$A$477,0))&amp;"","")</f>
        <v>No</v>
      </c>
      <c r="H1058" s="10" t="str">
        <f aca="false">IFERROR(INDEX(Section_Master!$F$2:$F$477,MATCH($E1058,Section_Master!$A$2:$A$477,0))&amp;"","")</f>
        <v>Yes</v>
      </c>
      <c r="I1058" s="10" t="str">
        <f aca="false">IFERROR(INDEX(Section_Master!$G$2:$G$477,MATCH($E1058,Section_Master!$A$2:$A$477,0))&amp;"","")</f>
        <v>No</v>
      </c>
      <c r="J1058" s="10" t="s">
        <v>48</v>
      </c>
      <c r="K1058" s="8" t="s">
        <v>2517</v>
      </c>
    </row>
    <row r="1059" customFormat="false" ht="34.5" hidden="false" customHeight="true" outlineLevel="0" collapsed="false">
      <c r="A1059" s="10" t="s">
        <v>2518</v>
      </c>
      <c r="B1059" s="10" t="s">
        <v>45</v>
      </c>
      <c r="C1059" s="8" t="s">
        <v>2515</v>
      </c>
      <c r="D1059" s="8" t="s">
        <v>2519</v>
      </c>
      <c r="E1059" s="11" t="n">
        <v>177</v>
      </c>
      <c r="F1059" s="8" t="str">
        <f aca="false">IFERROR(INDEX(Section_Master!$D$2:$D$477,MATCH($E1059,Section_Master!$A$2:$A$477,0))&amp;"","")</f>
        <v>Fine</v>
      </c>
      <c r="G1059" s="10" t="str">
        <f aca="false">IFERROR(INDEX(Section_Master!$E$2:$E$477,MATCH($E1059,Section_Master!$A$2:$A$477,0))&amp;"","")</f>
        <v>No</v>
      </c>
      <c r="H1059" s="10" t="str">
        <f aca="false">IFERROR(INDEX(Section_Master!$F$2:$F$477,MATCH($E1059,Section_Master!$A$2:$A$477,0))&amp;"","")</f>
        <v>Yes</v>
      </c>
      <c r="I1059" s="10" t="str">
        <f aca="false">IFERROR(INDEX(Section_Master!$G$2:$G$477,MATCH($E1059,Section_Master!$A$2:$A$477,0))&amp;"","")</f>
        <v>No</v>
      </c>
      <c r="J1059" s="10" t="s">
        <v>52</v>
      </c>
      <c r="K1059" s="8" t="s">
        <v>2517</v>
      </c>
    </row>
    <row r="1060" customFormat="false" ht="34.5" hidden="false" customHeight="true" outlineLevel="0" collapsed="false">
      <c r="A1060" s="10" t="s">
        <v>2520</v>
      </c>
      <c r="B1060" s="10" t="s">
        <v>45</v>
      </c>
      <c r="C1060" s="8" t="s">
        <v>2515</v>
      </c>
      <c r="D1060" s="8" t="s">
        <v>2521</v>
      </c>
      <c r="E1060" s="11" t="n">
        <v>177</v>
      </c>
      <c r="F1060" s="8" t="str">
        <f aca="false">IFERROR(INDEX(Section_Master!$D$2:$D$477,MATCH($E1060,Section_Master!$A$2:$A$477,0))&amp;"","")</f>
        <v>Fine</v>
      </c>
      <c r="G1060" s="10" t="str">
        <f aca="false">IFERROR(INDEX(Section_Master!$E$2:$E$477,MATCH($E1060,Section_Master!$A$2:$A$477,0))&amp;"","")</f>
        <v>No</v>
      </c>
      <c r="H1060" s="10" t="str">
        <f aca="false">IFERROR(INDEX(Section_Master!$F$2:$F$477,MATCH($E1060,Section_Master!$A$2:$A$477,0))&amp;"","")</f>
        <v>Yes</v>
      </c>
      <c r="I1060" s="10" t="str">
        <f aca="false">IFERROR(INDEX(Section_Master!$G$2:$G$477,MATCH($E1060,Section_Master!$A$2:$A$477,0))&amp;"","")</f>
        <v>No</v>
      </c>
      <c r="J1060" s="10" t="s">
        <v>55</v>
      </c>
      <c r="K1060" s="8" t="s">
        <v>2517</v>
      </c>
    </row>
    <row r="1061" customFormat="false" ht="23.25" hidden="false" customHeight="true" outlineLevel="0" collapsed="false">
      <c r="A1061" s="10" t="s">
        <v>2522</v>
      </c>
      <c r="B1061" s="10" t="s">
        <v>45</v>
      </c>
      <c r="C1061" s="8" t="s">
        <v>2515</v>
      </c>
      <c r="D1061" s="8" t="s">
        <v>2523</v>
      </c>
      <c r="E1061" s="11" t="n">
        <v>177</v>
      </c>
      <c r="F1061" s="8" t="str">
        <f aca="false">IFERROR(INDEX(Section_Master!$D$2:$D$477,MATCH($E1061,Section_Master!$A$2:$A$477,0))&amp;"","")</f>
        <v>Fine</v>
      </c>
      <c r="G1061" s="10" t="str">
        <f aca="false">IFERROR(INDEX(Section_Master!$E$2:$E$477,MATCH($E1061,Section_Master!$A$2:$A$477,0))&amp;"","")</f>
        <v>No</v>
      </c>
      <c r="H1061" s="10" t="str">
        <f aca="false">IFERROR(INDEX(Section_Master!$F$2:$F$477,MATCH($E1061,Section_Master!$A$2:$A$477,0))&amp;"","")</f>
        <v>Yes</v>
      </c>
      <c r="I1061" s="10" t="str">
        <f aca="false">IFERROR(INDEX(Section_Master!$G$2:$G$477,MATCH($E1061,Section_Master!$A$2:$A$477,0))&amp;"","")</f>
        <v>No</v>
      </c>
      <c r="J1061" s="10" t="s">
        <v>58</v>
      </c>
      <c r="K1061" s="8" t="s">
        <v>2517</v>
      </c>
    </row>
    <row r="1062" customFormat="false" ht="34.5" hidden="false" customHeight="true" outlineLevel="0" collapsed="false">
      <c r="A1062" s="10" t="s">
        <v>2524</v>
      </c>
      <c r="B1062" s="10" t="s">
        <v>45</v>
      </c>
      <c r="C1062" s="8" t="s">
        <v>2515</v>
      </c>
      <c r="D1062" s="8" t="s">
        <v>2525</v>
      </c>
      <c r="E1062" s="11" t="n">
        <v>177</v>
      </c>
      <c r="F1062" s="8" t="str">
        <f aca="false">IFERROR(INDEX(Section_Master!$D$2:$D$477,MATCH($E1062,Section_Master!$A$2:$A$477,0))&amp;"","")</f>
        <v>Fine</v>
      </c>
      <c r="G1062" s="10" t="str">
        <f aca="false">IFERROR(INDEX(Section_Master!$E$2:$E$477,MATCH($E1062,Section_Master!$A$2:$A$477,0))&amp;"","")</f>
        <v>No</v>
      </c>
      <c r="H1062" s="10" t="str">
        <f aca="false">IFERROR(INDEX(Section_Master!$F$2:$F$477,MATCH($E1062,Section_Master!$A$2:$A$477,0))&amp;"","")</f>
        <v>Yes</v>
      </c>
      <c r="I1062" s="10" t="str">
        <f aca="false">IFERROR(INDEX(Section_Master!$G$2:$G$477,MATCH($E1062,Section_Master!$A$2:$A$477,0))&amp;"","")</f>
        <v>No</v>
      </c>
      <c r="J1062" s="10" t="s">
        <v>61</v>
      </c>
      <c r="K1062" s="8" t="s">
        <v>2517</v>
      </c>
    </row>
    <row r="1063" customFormat="false" ht="34.5" hidden="false" customHeight="true" outlineLevel="0" collapsed="false">
      <c r="A1063" s="10" t="s">
        <v>2526</v>
      </c>
      <c r="B1063" s="10" t="s">
        <v>45</v>
      </c>
      <c r="C1063" s="8" t="s">
        <v>2515</v>
      </c>
      <c r="D1063" s="8" t="s">
        <v>2527</v>
      </c>
      <c r="E1063" s="11" t="n">
        <v>177</v>
      </c>
      <c r="F1063" s="8" t="str">
        <f aca="false">IFERROR(INDEX(Section_Master!$D$2:$D$477,MATCH($E1063,Section_Master!$A$2:$A$477,0))&amp;"","")</f>
        <v>Fine</v>
      </c>
      <c r="G1063" s="10" t="str">
        <f aca="false">IFERROR(INDEX(Section_Master!$E$2:$E$477,MATCH($E1063,Section_Master!$A$2:$A$477,0))&amp;"","")</f>
        <v>No</v>
      </c>
      <c r="H1063" s="10" t="str">
        <f aca="false">IFERROR(INDEX(Section_Master!$F$2:$F$477,MATCH($E1063,Section_Master!$A$2:$A$477,0))&amp;"","")</f>
        <v>Yes</v>
      </c>
      <c r="I1063" s="10" t="str">
        <f aca="false">IFERROR(INDEX(Section_Master!$G$2:$G$477,MATCH($E1063,Section_Master!$A$2:$A$477,0))&amp;"","")</f>
        <v>No</v>
      </c>
      <c r="J1063" s="10" t="s">
        <v>64</v>
      </c>
      <c r="K1063" s="8" t="s">
        <v>2517</v>
      </c>
    </row>
    <row r="1064" customFormat="false" ht="23.25" hidden="false" customHeight="true" outlineLevel="0" collapsed="false">
      <c r="A1064" s="10" t="s">
        <v>2528</v>
      </c>
      <c r="B1064" s="10" t="s">
        <v>45</v>
      </c>
      <c r="C1064" s="8" t="s">
        <v>2529</v>
      </c>
      <c r="D1064" s="8" t="s">
        <v>2530</v>
      </c>
      <c r="E1064" s="11" t="n">
        <v>178</v>
      </c>
      <c r="F1064" s="8" t="str">
        <f aca="false">IFERROR(INDEX(Section_Master!$D$2:$D$477,MATCH($E1064,Section_Master!$A$2:$A$477,0))&amp;"","")</f>
        <v>Imprisonment for life, or up to 10 years, and fine (currency notes/bank notes); up to 7 years and fine (coin, stamps) [s.178]</v>
      </c>
      <c r="G1064" s="10" t="str">
        <f aca="false">IFERROR(INDEX(Section_Master!$E$2:$E$477,MATCH($E1064,Section_Master!$A$2:$A$477,0))&amp;"","")</f>
        <v>Yes</v>
      </c>
      <c r="H1064" s="10" t="str">
        <f aca="false">IFERROR(INDEX(Section_Master!$F$2:$F$477,MATCH($E1064,Section_Master!$A$2:$A$477,0))&amp;"","")</f>
        <v>No</v>
      </c>
      <c r="I1064" s="10" t="str">
        <f aca="false">IFERROR(INDEX(Section_Master!$G$2:$G$477,MATCH($E1064,Section_Master!$A$2:$A$477,0))&amp;"","")</f>
        <v>No</v>
      </c>
      <c r="J1064" s="10" t="s">
        <v>48</v>
      </c>
      <c r="K1064" s="8" t="s">
        <v>2531</v>
      </c>
    </row>
    <row r="1065" customFormat="false" ht="34.5" hidden="false" customHeight="true" outlineLevel="0" collapsed="false">
      <c r="A1065" s="10" t="s">
        <v>2532</v>
      </c>
      <c r="B1065" s="10" t="s">
        <v>45</v>
      </c>
      <c r="C1065" s="8" t="s">
        <v>2529</v>
      </c>
      <c r="D1065" s="8" t="s">
        <v>2533</v>
      </c>
      <c r="E1065" s="11" t="n">
        <v>178</v>
      </c>
      <c r="F1065" s="8" t="str">
        <f aca="false">IFERROR(INDEX(Section_Master!$D$2:$D$477,MATCH($E1065,Section_Master!$A$2:$A$477,0))&amp;"","")</f>
        <v>Imprisonment for life, or up to 10 years, and fine (currency notes/bank notes); up to 7 years and fine (coin, stamps) [s.178]</v>
      </c>
      <c r="G1065" s="10" t="str">
        <f aca="false">IFERROR(INDEX(Section_Master!$E$2:$E$477,MATCH($E1065,Section_Master!$A$2:$A$477,0))&amp;"","")</f>
        <v>Yes</v>
      </c>
      <c r="H1065" s="10" t="str">
        <f aca="false">IFERROR(INDEX(Section_Master!$F$2:$F$477,MATCH($E1065,Section_Master!$A$2:$A$477,0))&amp;"","")</f>
        <v>No</v>
      </c>
      <c r="I1065" s="10" t="str">
        <f aca="false">IFERROR(INDEX(Section_Master!$G$2:$G$477,MATCH($E1065,Section_Master!$A$2:$A$477,0))&amp;"","")</f>
        <v>No</v>
      </c>
      <c r="J1065" s="10" t="s">
        <v>52</v>
      </c>
      <c r="K1065" s="8" t="s">
        <v>2531</v>
      </c>
    </row>
    <row r="1066" customFormat="false" ht="23.25" hidden="false" customHeight="true" outlineLevel="0" collapsed="false">
      <c r="A1066" s="10" t="s">
        <v>2534</v>
      </c>
      <c r="B1066" s="10" t="s">
        <v>45</v>
      </c>
      <c r="C1066" s="8" t="s">
        <v>2529</v>
      </c>
      <c r="D1066" s="8" t="s">
        <v>2535</v>
      </c>
      <c r="E1066" s="11" t="n">
        <v>178</v>
      </c>
      <c r="F1066" s="8" t="str">
        <f aca="false">IFERROR(INDEX(Section_Master!$D$2:$D$477,MATCH($E1066,Section_Master!$A$2:$A$477,0))&amp;"","")</f>
        <v>Imprisonment for life, or up to 10 years, and fine (currency notes/bank notes); up to 7 years and fine (coin, stamps) [s.178]</v>
      </c>
      <c r="G1066" s="10" t="str">
        <f aca="false">IFERROR(INDEX(Section_Master!$E$2:$E$477,MATCH($E1066,Section_Master!$A$2:$A$477,0))&amp;"","")</f>
        <v>Yes</v>
      </c>
      <c r="H1066" s="10" t="str">
        <f aca="false">IFERROR(INDEX(Section_Master!$F$2:$F$477,MATCH($E1066,Section_Master!$A$2:$A$477,0))&amp;"","")</f>
        <v>No</v>
      </c>
      <c r="I1066" s="10" t="str">
        <f aca="false">IFERROR(INDEX(Section_Master!$G$2:$G$477,MATCH($E1066,Section_Master!$A$2:$A$477,0))&amp;"","")</f>
        <v>No</v>
      </c>
      <c r="J1066" s="10" t="s">
        <v>55</v>
      </c>
      <c r="K1066" s="8" t="s">
        <v>2531</v>
      </c>
    </row>
    <row r="1067" customFormat="false" ht="34.5" hidden="false" customHeight="true" outlineLevel="0" collapsed="false">
      <c r="A1067" s="10" t="s">
        <v>2536</v>
      </c>
      <c r="B1067" s="10" t="s">
        <v>45</v>
      </c>
      <c r="C1067" s="8" t="s">
        <v>2529</v>
      </c>
      <c r="D1067" s="8" t="s">
        <v>2537</v>
      </c>
      <c r="E1067" s="11" t="n">
        <v>178</v>
      </c>
      <c r="F1067" s="8" t="str">
        <f aca="false">IFERROR(INDEX(Section_Master!$D$2:$D$477,MATCH($E1067,Section_Master!$A$2:$A$477,0))&amp;"","")</f>
        <v>Imprisonment for life, or up to 10 years, and fine (currency notes/bank notes); up to 7 years and fine (coin, stamps) [s.178]</v>
      </c>
      <c r="G1067" s="10" t="str">
        <f aca="false">IFERROR(INDEX(Section_Master!$E$2:$E$477,MATCH($E1067,Section_Master!$A$2:$A$477,0))&amp;"","")</f>
        <v>Yes</v>
      </c>
      <c r="H1067" s="10" t="str">
        <f aca="false">IFERROR(INDEX(Section_Master!$F$2:$F$477,MATCH($E1067,Section_Master!$A$2:$A$477,0))&amp;"","")</f>
        <v>No</v>
      </c>
      <c r="I1067" s="10" t="str">
        <f aca="false">IFERROR(INDEX(Section_Master!$G$2:$G$477,MATCH($E1067,Section_Master!$A$2:$A$477,0))&amp;"","")</f>
        <v>No</v>
      </c>
      <c r="J1067" s="10" t="s">
        <v>58</v>
      </c>
      <c r="K1067" s="8" t="s">
        <v>2531</v>
      </c>
    </row>
    <row r="1068" customFormat="false" ht="34.5" hidden="false" customHeight="true" outlineLevel="0" collapsed="false">
      <c r="A1068" s="10" t="s">
        <v>2538</v>
      </c>
      <c r="B1068" s="10" t="s">
        <v>45</v>
      </c>
      <c r="C1068" s="8" t="s">
        <v>2529</v>
      </c>
      <c r="D1068" s="8" t="s">
        <v>2539</v>
      </c>
      <c r="E1068" s="11" t="n">
        <v>178</v>
      </c>
      <c r="F1068" s="8" t="str">
        <f aca="false">IFERROR(INDEX(Section_Master!$D$2:$D$477,MATCH($E1068,Section_Master!$A$2:$A$477,0))&amp;"","")</f>
        <v>Imprisonment for life, or up to 10 years, and fine (currency notes/bank notes); up to 7 years and fine (coin, stamps) [s.178]</v>
      </c>
      <c r="G1068" s="10" t="str">
        <f aca="false">IFERROR(INDEX(Section_Master!$E$2:$E$477,MATCH($E1068,Section_Master!$A$2:$A$477,0))&amp;"","")</f>
        <v>Yes</v>
      </c>
      <c r="H1068" s="10" t="str">
        <f aca="false">IFERROR(INDEX(Section_Master!$F$2:$F$477,MATCH($E1068,Section_Master!$A$2:$A$477,0))&amp;"","")</f>
        <v>No</v>
      </c>
      <c r="I1068" s="10" t="str">
        <f aca="false">IFERROR(INDEX(Section_Master!$G$2:$G$477,MATCH($E1068,Section_Master!$A$2:$A$477,0))&amp;"","")</f>
        <v>No</v>
      </c>
      <c r="J1068" s="10" t="s">
        <v>61</v>
      </c>
      <c r="K1068" s="8" t="s">
        <v>2531</v>
      </c>
    </row>
    <row r="1069" customFormat="false" ht="34.5" hidden="false" customHeight="true" outlineLevel="0" collapsed="false">
      <c r="A1069" s="10" t="s">
        <v>2540</v>
      </c>
      <c r="B1069" s="10" t="s">
        <v>45</v>
      </c>
      <c r="C1069" s="8" t="s">
        <v>2529</v>
      </c>
      <c r="D1069" s="8" t="s">
        <v>2541</v>
      </c>
      <c r="E1069" s="11" t="n">
        <v>178</v>
      </c>
      <c r="F1069" s="8" t="str">
        <f aca="false">IFERROR(INDEX(Section_Master!$D$2:$D$477,MATCH($E1069,Section_Master!$A$2:$A$477,0))&amp;"","")</f>
        <v>Imprisonment for life, or up to 10 years, and fine (currency notes/bank notes); up to 7 years and fine (coin, stamps) [s.178]</v>
      </c>
      <c r="G1069" s="10" t="str">
        <f aca="false">IFERROR(INDEX(Section_Master!$E$2:$E$477,MATCH($E1069,Section_Master!$A$2:$A$477,0))&amp;"","")</f>
        <v>Yes</v>
      </c>
      <c r="H1069" s="10" t="str">
        <f aca="false">IFERROR(INDEX(Section_Master!$F$2:$F$477,MATCH($E1069,Section_Master!$A$2:$A$477,0))&amp;"","")</f>
        <v>No</v>
      </c>
      <c r="I1069" s="10" t="str">
        <f aca="false">IFERROR(INDEX(Section_Master!$G$2:$G$477,MATCH($E1069,Section_Master!$A$2:$A$477,0))&amp;"","")</f>
        <v>No</v>
      </c>
      <c r="J1069" s="10" t="s">
        <v>64</v>
      </c>
      <c r="K1069" s="8" t="s">
        <v>2531</v>
      </c>
    </row>
    <row r="1070" customFormat="false" ht="34.5" hidden="false" customHeight="true" outlineLevel="0" collapsed="false">
      <c r="A1070" s="10" t="s">
        <v>2542</v>
      </c>
      <c r="B1070" s="10" t="s">
        <v>45</v>
      </c>
      <c r="C1070" s="8" t="s">
        <v>2543</v>
      </c>
      <c r="D1070" s="8" t="s">
        <v>2544</v>
      </c>
      <c r="E1070" s="11" t="n">
        <v>179</v>
      </c>
      <c r="F1070" s="8" t="str">
        <f aca="false">IFERROR(INDEX(Section_Master!$D$2:$D$477,MATCH($E1070,Section_Master!$A$2:$A$477,0))&amp;"","")</f>
        <v>Imprisonment for life, or up to 10 years, and fine</v>
      </c>
      <c r="G1070" s="10" t="str">
        <f aca="false">IFERROR(INDEX(Section_Master!$E$2:$E$477,MATCH($E1070,Section_Master!$A$2:$A$477,0))&amp;"","")</f>
        <v>Yes</v>
      </c>
      <c r="H1070" s="10" t="str">
        <f aca="false">IFERROR(INDEX(Section_Master!$F$2:$F$477,MATCH($E1070,Section_Master!$A$2:$A$477,0))&amp;"","")</f>
        <v>No</v>
      </c>
      <c r="I1070" s="10" t="str">
        <f aca="false">IFERROR(INDEX(Section_Master!$G$2:$G$477,MATCH($E1070,Section_Master!$A$2:$A$477,0))&amp;"","")</f>
        <v>No</v>
      </c>
      <c r="J1070" s="10" t="s">
        <v>48</v>
      </c>
      <c r="K1070" s="8" t="s">
        <v>2545</v>
      </c>
    </row>
    <row r="1071" customFormat="false" ht="45.75" hidden="false" customHeight="true" outlineLevel="0" collapsed="false">
      <c r="A1071" s="10" t="s">
        <v>2546</v>
      </c>
      <c r="B1071" s="10" t="s">
        <v>45</v>
      </c>
      <c r="C1071" s="8" t="s">
        <v>2543</v>
      </c>
      <c r="D1071" s="8" t="s">
        <v>2547</v>
      </c>
      <c r="E1071" s="11" t="n">
        <v>179</v>
      </c>
      <c r="F1071" s="8" t="str">
        <f aca="false">IFERROR(INDEX(Section_Master!$D$2:$D$477,MATCH($E1071,Section_Master!$A$2:$A$477,0))&amp;"","")</f>
        <v>Imprisonment for life, or up to 10 years, and fine</v>
      </c>
      <c r="G1071" s="10" t="str">
        <f aca="false">IFERROR(INDEX(Section_Master!$E$2:$E$477,MATCH($E1071,Section_Master!$A$2:$A$477,0))&amp;"","")</f>
        <v>Yes</v>
      </c>
      <c r="H1071" s="10" t="str">
        <f aca="false">IFERROR(INDEX(Section_Master!$F$2:$F$477,MATCH($E1071,Section_Master!$A$2:$A$477,0))&amp;"","")</f>
        <v>No</v>
      </c>
      <c r="I1071" s="10" t="str">
        <f aca="false">IFERROR(INDEX(Section_Master!$G$2:$G$477,MATCH($E1071,Section_Master!$A$2:$A$477,0))&amp;"","")</f>
        <v>No</v>
      </c>
      <c r="J1071" s="10" t="s">
        <v>52</v>
      </c>
      <c r="K1071" s="8" t="s">
        <v>2545</v>
      </c>
    </row>
    <row r="1072" customFormat="false" ht="34.5" hidden="false" customHeight="true" outlineLevel="0" collapsed="false">
      <c r="A1072" s="10" t="s">
        <v>2548</v>
      </c>
      <c r="B1072" s="10" t="s">
        <v>45</v>
      </c>
      <c r="C1072" s="8" t="s">
        <v>2543</v>
      </c>
      <c r="D1072" s="8" t="s">
        <v>2549</v>
      </c>
      <c r="E1072" s="11" t="n">
        <v>179</v>
      </c>
      <c r="F1072" s="8" t="str">
        <f aca="false">IFERROR(INDEX(Section_Master!$D$2:$D$477,MATCH($E1072,Section_Master!$A$2:$A$477,0))&amp;"","")</f>
        <v>Imprisonment for life, or up to 10 years, and fine</v>
      </c>
      <c r="G1072" s="10" t="str">
        <f aca="false">IFERROR(INDEX(Section_Master!$E$2:$E$477,MATCH($E1072,Section_Master!$A$2:$A$477,0))&amp;"","")</f>
        <v>Yes</v>
      </c>
      <c r="H1072" s="10" t="str">
        <f aca="false">IFERROR(INDEX(Section_Master!$F$2:$F$477,MATCH($E1072,Section_Master!$A$2:$A$477,0))&amp;"","")</f>
        <v>No</v>
      </c>
      <c r="I1072" s="10" t="str">
        <f aca="false">IFERROR(INDEX(Section_Master!$G$2:$G$477,MATCH($E1072,Section_Master!$A$2:$A$477,0))&amp;"","")</f>
        <v>No</v>
      </c>
      <c r="J1072" s="10" t="s">
        <v>55</v>
      </c>
      <c r="K1072" s="8" t="s">
        <v>2545</v>
      </c>
    </row>
    <row r="1073" customFormat="false" ht="34.5" hidden="false" customHeight="true" outlineLevel="0" collapsed="false">
      <c r="A1073" s="10" t="s">
        <v>2550</v>
      </c>
      <c r="B1073" s="10" t="s">
        <v>45</v>
      </c>
      <c r="C1073" s="8" t="s">
        <v>2543</v>
      </c>
      <c r="D1073" s="8" t="s">
        <v>2551</v>
      </c>
      <c r="E1073" s="11" t="n">
        <v>179</v>
      </c>
      <c r="F1073" s="8" t="str">
        <f aca="false">IFERROR(INDEX(Section_Master!$D$2:$D$477,MATCH($E1073,Section_Master!$A$2:$A$477,0))&amp;"","")</f>
        <v>Imprisonment for life, or up to 10 years, and fine</v>
      </c>
      <c r="G1073" s="10" t="str">
        <f aca="false">IFERROR(INDEX(Section_Master!$E$2:$E$477,MATCH($E1073,Section_Master!$A$2:$A$477,0))&amp;"","")</f>
        <v>Yes</v>
      </c>
      <c r="H1073" s="10" t="str">
        <f aca="false">IFERROR(INDEX(Section_Master!$F$2:$F$477,MATCH($E1073,Section_Master!$A$2:$A$477,0))&amp;"","")</f>
        <v>No</v>
      </c>
      <c r="I1073" s="10" t="str">
        <f aca="false">IFERROR(INDEX(Section_Master!$G$2:$G$477,MATCH($E1073,Section_Master!$A$2:$A$477,0))&amp;"","")</f>
        <v>No</v>
      </c>
      <c r="J1073" s="10" t="s">
        <v>58</v>
      </c>
      <c r="K1073" s="8" t="s">
        <v>2545</v>
      </c>
    </row>
    <row r="1074" customFormat="false" ht="34.5" hidden="false" customHeight="true" outlineLevel="0" collapsed="false">
      <c r="A1074" s="10" t="s">
        <v>2552</v>
      </c>
      <c r="B1074" s="10" t="s">
        <v>45</v>
      </c>
      <c r="C1074" s="8" t="s">
        <v>2543</v>
      </c>
      <c r="D1074" s="8" t="s">
        <v>2553</v>
      </c>
      <c r="E1074" s="11" t="n">
        <v>179</v>
      </c>
      <c r="F1074" s="8" t="str">
        <f aca="false">IFERROR(INDEX(Section_Master!$D$2:$D$477,MATCH($E1074,Section_Master!$A$2:$A$477,0))&amp;"","")</f>
        <v>Imprisonment for life, or up to 10 years, and fine</v>
      </c>
      <c r="G1074" s="10" t="str">
        <f aca="false">IFERROR(INDEX(Section_Master!$E$2:$E$477,MATCH($E1074,Section_Master!$A$2:$A$477,0))&amp;"","")</f>
        <v>Yes</v>
      </c>
      <c r="H1074" s="10" t="str">
        <f aca="false">IFERROR(INDEX(Section_Master!$F$2:$F$477,MATCH($E1074,Section_Master!$A$2:$A$477,0))&amp;"","")</f>
        <v>No</v>
      </c>
      <c r="I1074" s="10" t="str">
        <f aca="false">IFERROR(INDEX(Section_Master!$G$2:$G$477,MATCH($E1074,Section_Master!$A$2:$A$477,0))&amp;"","")</f>
        <v>No</v>
      </c>
      <c r="J1074" s="10" t="s">
        <v>61</v>
      </c>
      <c r="K1074" s="8" t="s">
        <v>2545</v>
      </c>
    </row>
    <row r="1075" customFormat="false" ht="34.5" hidden="false" customHeight="true" outlineLevel="0" collapsed="false">
      <c r="A1075" s="10" t="s">
        <v>2554</v>
      </c>
      <c r="B1075" s="10" t="s">
        <v>45</v>
      </c>
      <c r="C1075" s="8" t="s">
        <v>2543</v>
      </c>
      <c r="D1075" s="8" t="s">
        <v>2555</v>
      </c>
      <c r="E1075" s="11" t="n">
        <v>179</v>
      </c>
      <c r="F1075" s="8" t="str">
        <f aca="false">IFERROR(INDEX(Section_Master!$D$2:$D$477,MATCH($E1075,Section_Master!$A$2:$A$477,0))&amp;"","")</f>
        <v>Imprisonment for life, or up to 10 years, and fine</v>
      </c>
      <c r="G1075" s="10" t="str">
        <f aca="false">IFERROR(INDEX(Section_Master!$E$2:$E$477,MATCH($E1075,Section_Master!$A$2:$A$477,0))&amp;"","")</f>
        <v>Yes</v>
      </c>
      <c r="H1075" s="10" t="str">
        <f aca="false">IFERROR(INDEX(Section_Master!$F$2:$F$477,MATCH($E1075,Section_Master!$A$2:$A$477,0))&amp;"","")</f>
        <v>No</v>
      </c>
      <c r="I1075" s="10" t="str">
        <f aca="false">IFERROR(INDEX(Section_Master!$G$2:$G$477,MATCH($E1075,Section_Master!$A$2:$A$477,0))&amp;"","")</f>
        <v>No</v>
      </c>
      <c r="J1075" s="10" t="s">
        <v>64</v>
      </c>
      <c r="K1075" s="8" t="s">
        <v>2545</v>
      </c>
    </row>
    <row r="1076" customFormat="false" ht="34.5" hidden="false" customHeight="true" outlineLevel="0" collapsed="false">
      <c r="A1076" s="10" t="s">
        <v>2556</v>
      </c>
      <c r="B1076" s="10" t="s">
        <v>45</v>
      </c>
      <c r="C1076" s="8" t="s">
        <v>2557</v>
      </c>
      <c r="D1076" s="8" t="s">
        <v>2558</v>
      </c>
      <c r="E1076" s="11" t="n">
        <v>180</v>
      </c>
      <c r="F1076" s="8" t="str">
        <f aca="false">IFERROR(INDEX(Section_Master!$D$2:$D$477,MATCH($E1076,Section_Master!$A$2:$A$477,0))&amp;"","")</f>
        <v>Imprisonment up to 7 years, or fine, or both</v>
      </c>
      <c r="G1076" s="10" t="str">
        <f aca="false">IFERROR(INDEX(Section_Master!$E$2:$E$477,MATCH($E1076,Section_Master!$A$2:$A$477,0))&amp;"","")</f>
        <v>Yes</v>
      </c>
      <c r="H1076" s="10" t="str">
        <f aca="false">IFERROR(INDEX(Section_Master!$F$2:$F$477,MATCH($E1076,Section_Master!$A$2:$A$477,0))&amp;"","")</f>
        <v>No</v>
      </c>
      <c r="I1076" s="10" t="str">
        <f aca="false">IFERROR(INDEX(Section_Master!$G$2:$G$477,MATCH($E1076,Section_Master!$A$2:$A$477,0))&amp;"","")</f>
        <v>No</v>
      </c>
      <c r="J1076" s="10" t="s">
        <v>48</v>
      </c>
      <c r="K1076" s="8" t="s">
        <v>2559</v>
      </c>
    </row>
    <row r="1077" customFormat="false" ht="34.5" hidden="false" customHeight="true" outlineLevel="0" collapsed="false">
      <c r="A1077" s="10" t="s">
        <v>2560</v>
      </c>
      <c r="B1077" s="10" t="s">
        <v>45</v>
      </c>
      <c r="C1077" s="8" t="s">
        <v>2557</v>
      </c>
      <c r="D1077" s="8" t="s">
        <v>2561</v>
      </c>
      <c r="E1077" s="11" t="n">
        <v>180</v>
      </c>
      <c r="F1077" s="8" t="str">
        <f aca="false">IFERROR(INDEX(Section_Master!$D$2:$D$477,MATCH($E1077,Section_Master!$A$2:$A$477,0))&amp;"","")</f>
        <v>Imprisonment up to 7 years, or fine, or both</v>
      </c>
      <c r="G1077" s="10" t="str">
        <f aca="false">IFERROR(INDEX(Section_Master!$E$2:$E$477,MATCH($E1077,Section_Master!$A$2:$A$477,0))&amp;"","")</f>
        <v>Yes</v>
      </c>
      <c r="H1077" s="10" t="str">
        <f aca="false">IFERROR(INDEX(Section_Master!$F$2:$F$477,MATCH($E1077,Section_Master!$A$2:$A$477,0))&amp;"","")</f>
        <v>No</v>
      </c>
      <c r="I1077" s="10" t="str">
        <f aca="false">IFERROR(INDEX(Section_Master!$G$2:$G$477,MATCH($E1077,Section_Master!$A$2:$A$477,0))&amp;"","")</f>
        <v>No</v>
      </c>
      <c r="J1077" s="10" t="s">
        <v>52</v>
      </c>
      <c r="K1077" s="8" t="s">
        <v>2559</v>
      </c>
    </row>
    <row r="1078" customFormat="false" ht="34.5" hidden="false" customHeight="true" outlineLevel="0" collapsed="false">
      <c r="A1078" s="10" t="s">
        <v>2562</v>
      </c>
      <c r="B1078" s="10" t="s">
        <v>45</v>
      </c>
      <c r="C1078" s="8" t="s">
        <v>2557</v>
      </c>
      <c r="D1078" s="8" t="s">
        <v>2563</v>
      </c>
      <c r="E1078" s="11" t="n">
        <v>180</v>
      </c>
      <c r="F1078" s="8" t="str">
        <f aca="false">IFERROR(INDEX(Section_Master!$D$2:$D$477,MATCH($E1078,Section_Master!$A$2:$A$477,0))&amp;"","")</f>
        <v>Imprisonment up to 7 years, or fine, or both</v>
      </c>
      <c r="G1078" s="10" t="str">
        <f aca="false">IFERROR(INDEX(Section_Master!$E$2:$E$477,MATCH($E1078,Section_Master!$A$2:$A$477,0))&amp;"","")</f>
        <v>Yes</v>
      </c>
      <c r="H1078" s="10" t="str">
        <f aca="false">IFERROR(INDEX(Section_Master!$F$2:$F$477,MATCH($E1078,Section_Master!$A$2:$A$477,0))&amp;"","")</f>
        <v>No</v>
      </c>
      <c r="I1078" s="10" t="str">
        <f aca="false">IFERROR(INDEX(Section_Master!$G$2:$G$477,MATCH($E1078,Section_Master!$A$2:$A$477,0))&amp;"","")</f>
        <v>No</v>
      </c>
      <c r="J1078" s="10" t="s">
        <v>55</v>
      </c>
      <c r="K1078" s="8" t="s">
        <v>2559</v>
      </c>
    </row>
    <row r="1079" customFormat="false" ht="34.5" hidden="false" customHeight="true" outlineLevel="0" collapsed="false">
      <c r="A1079" s="10" t="s">
        <v>2564</v>
      </c>
      <c r="B1079" s="10" t="s">
        <v>45</v>
      </c>
      <c r="C1079" s="8" t="s">
        <v>2557</v>
      </c>
      <c r="D1079" s="8" t="s">
        <v>2565</v>
      </c>
      <c r="E1079" s="11" t="n">
        <v>180</v>
      </c>
      <c r="F1079" s="8" t="str">
        <f aca="false">IFERROR(INDEX(Section_Master!$D$2:$D$477,MATCH($E1079,Section_Master!$A$2:$A$477,0))&amp;"","")</f>
        <v>Imprisonment up to 7 years, or fine, or both</v>
      </c>
      <c r="G1079" s="10" t="str">
        <f aca="false">IFERROR(INDEX(Section_Master!$E$2:$E$477,MATCH($E1079,Section_Master!$A$2:$A$477,0))&amp;"","")</f>
        <v>Yes</v>
      </c>
      <c r="H1079" s="10" t="str">
        <f aca="false">IFERROR(INDEX(Section_Master!$F$2:$F$477,MATCH($E1079,Section_Master!$A$2:$A$477,0))&amp;"","")</f>
        <v>No</v>
      </c>
      <c r="I1079" s="10" t="str">
        <f aca="false">IFERROR(INDEX(Section_Master!$G$2:$G$477,MATCH($E1079,Section_Master!$A$2:$A$477,0))&amp;"","")</f>
        <v>No</v>
      </c>
      <c r="J1079" s="10" t="s">
        <v>58</v>
      </c>
      <c r="K1079" s="8" t="s">
        <v>2559</v>
      </c>
    </row>
    <row r="1080" customFormat="false" ht="34.5" hidden="false" customHeight="true" outlineLevel="0" collapsed="false">
      <c r="A1080" s="10" t="s">
        <v>2566</v>
      </c>
      <c r="B1080" s="10" t="s">
        <v>45</v>
      </c>
      <c r="C1080" s="8" t="s">
        <v>2557</v>
      </c>
      <c r="D1080" s="8" t="s">
        <v>2567</v>
      </c>
      <c r="E1080" s="11" t="n">
        <v>180</v>
      </c>
      <c r="F1080" s="8" t="str">
        <f aca="false">IFERROR(INDEX(Section_Master!$D$2:$D$477,MATCH($E1080,Section_Master!$A$2:$A$477,0))&amp;"","")</f>
        <v>Imprisonment up to 7 years, or fine, or both</v>
      </c>
      <c r="G1080" s="10" t="str">
        <f aca="false">IFERROR(INDEX(Section_Master!$E$2:$E$477,MATCH($E1080,Section_Master!$A$2:$A$477,0))&amp;"","")</f>
        <v>Yes</v>
      </c>
      <c r="H1080" s="10" t="str">
        <f aca="false">IFERROR(INDEX(Section_Master!$F$2:$F$477,MATCH($E1080,Section_Master!$A$2:$A$477,0))&amp;"","")</f>
        <v>No</v>
      </c>
      <c r="I1080" s="10" t="str">
        <f aca="false">IFERROR(INDEX(Section_Master!$G$2:$G$477,MATCH($E1080,Section_Master!$A$2:$A$477,0))&amp;"","")</f>
        <v>No</v>
      </c>
      <c r="J1080" s="10" t="s">
        <v>61</v>
      </c>
      <c r="K1080" s="8" t="s">
        <v>2559</v>
      </c>
    </row>
    <row r="1081" customFormat="false" ht="34.5" hidden="false" customHeight="true" outlineLevel="0" collapsed="false">
      <c r="A1081" s="10" t="s">
        <v>2568</v>
      </c>
      <c r="B1081" s="10" t="s">
        <v>45</v>
      </c>
      <c r="C1081" s="8" t="s">
        <v>2557</v>
      </c>
      <c r="D1081" s="8" t="s">
        <v>2569</v>
      </c>
      <c r="E1081" s="11" t="n">
        <v>180</v>
      </c>
      <c r="F1081" s="8" t="str">
        <f aca="false">IFERROR(INDEX(Section_Master!$D$2:$D$477,MATCH($E1081,Section_Master!$A$2:$A$477,0))&amp;"","")</f>
        <v>Imprisonment up to 7 years, or fine, or both</v>
      </c>
      <c r="G1081" s="10" t="str">
        <f aca="false">IFERROR(INDEX(Section_Master!$E$2:$E$477,MATCH($E1081,Section_Master!$A$2:$A$477,0))&amp;"","")</f>
        <v>Yes</v>
      </c>
      <c r="H1081" s="10" t="str">
        <f aca="false">IFERROR(INDEX(Section_Master!$F$2:$F$477,MATCH($E1081,Section_Master!$A$2:$A$477,0))&amp;"","")</f>
        <v>No</v>
      </c>
      <c r="I1081" s="10" t="str">
        <f aca="false">IFERROR(INDEX(Section_Master!$G$2:$G$477,MATCH($E1081,Section_Master!$A$2:$A$477,0))&amp;"","")</f>
        <v>No</v>
      </c>
      <c r="J1081" s="10" t="s">
        <v>64</v>
      </c>
      <c r="K1081" s="8" t="s">
        <v>2559</v>
      </c>
    </row>
    <row r="1082" customFormat="false" ht="45.75" hidden="false" customHeight="true" outlineLevel="0" collapsed="false">
      <c r="A1082" s="10" t="s">
        <v>2570</v>
      </c>
      <c r="B1082" s="10" t="s">
        <v>45</v>
      </c>
      <c r="C1082" s="8" t="s">
        <v>2571</v>
      </c>
      <c r="D1082" s="8" t="s">
        <v>2572</v>
      </c>
      <c r="E1082" s="11" t="n">
        <v>181</v>
      </c>
      <c r="F1082" s="8" t="str">
        <f aca="false">IFERROR(INDEX(Section_Master!$D$2:$D$477,MATCH($E1082,Section_Master!$A$2:$A$477,0))&amp;"","")</f>
        <v>Imprisonment for life, or up to 10 years, and fine</v>
      </c>
      <c r="G1082" s="10" t="str">
        <f aca="false">IFERROR(INDEX(Section_Master!$E$2:$E$477,MATCH($E1082,Section_Master!$A$2:$A$477,0))&amp;"","")</f>
        <v>Yes</v>
      </c>
      <c r="H1082" s="10" t="str">
        <f aca="false">IFERROR(INDEX(Section_Master!$F$2:$F$477,MATCH($E1082,Section_Master!$A$2:$A$477,0))&amp;"","")</f>
        <v>No</v>
      </c>
      <c r="I1082" s="10" t="str">
        <f aca="false">IFERROR(INDEX(Section_Master!$G$2:$G$477,MATCH($E1082,Section_Master!$A$2:$A$477,0))&amp;"","")</f>
        <v>No</v>
      </c>
      <c r="J1082" s="10" t="s">
        <v>48</v>
      </c>
      <c r="K1082" s="8" t="s">
        <v>2573</v>
      </c>
    </row>
    <row r="1083" customFormat="false" ht="45.75" hidden="false" customHeight="true" outlineLevel="0" collapsed="false">
      <c r="A1083" s="10" t="s">
        <v>2574</v>
      </c>
      <c r="B1083" s="10" t="s">
        <v>45</v>
      </c>
      <c r="C1083" s="8" t="s">
        <v>2571</v>
      </c>
      <c r="D1083" s="8" t="s">
        <v>2575</v>
      </c>
      <c r="E1083" s="11" t="n">
        <v>181</v>
      </c>
      <c r="F1083" s="8" t="str">
        <f aca="false">IFERROR(INDEX(Section_Master!$D$2:$D$477,MATCH($E1083,Section_Master!$A$2:$A$477,0))&amp;"","")</f>
        <v>Imprisonment for life, or up to 10 years, and fine</v>
      </c>
      <c r="G1083" s="10" t="str">
        <f aca="false">IFERROR(INDEX(Section_Master!$E$2:$E$477,MATCH($E1083,Section_Master!$A$2:$A$477,0))&amp;"","")</f>
        <v>Yes</v>
      </c>
      <c r="H1083" s="10" t="str">
        <f aca="false">IFERROR(INDEX(Section_Master!$F$2:$F$477,MATCH($E1083,Section_Master!$A$2:$A$477,0))&amp;"","")</f>
        <v>No</v>
      </c>
      <c r="I1083" s="10" t="str">
        <f aca="false">IFERROR(INDEX(Section_Master!$G$2:$G$477,MATCH($E1083,Section_Master!$A$2:$A$477,0))&amp;"","")</f>
        <v>No</v>
      </c>
      <c r="J1083" s="10" t="s">
        <v>52</v>
      </c>
      <c r="K1083" s="8" t="s">
        <v>2573</v>
      </c>
    </row>
    <row r="1084" customFormat="false" ht="45.75" hidden="false" customHeight="true" outlineLevel="0" collapsed="false">
      <c r="A1084" s="10" t="s">
        <v>2576</v>
      </c>
      <c r="B1084" s="10" t="s">
        <v>45</v>
      </c>
      <c r="C1084" s="8" t="s">
        <v>2571</v>
      </c>
      <c r="D1084" s="8" t="s">
        <v>2577</v>
      </c>
      <c r="E1084" s="11" t="n">
        <v>181</v>
      </c>
      <c r="F1084" s="8" t="str">
        <f aca="false">IFERROR(INDEX(Section_Master!$D$2:$D$477,MATCH($E1084,Section_Master!$A$2:$A$477,0))&amp;"","")</f>
        <v>Imprisonment for life, or up to 10 years, and fine</v>
      </c>
      <c r="G1084" s="10" t="str">
        <f aca="false">IFERROR(INDEX(Section_Master!$E$2:$E$477,MATCH($E1084,Section_Master!$A$2:$A$477,0))&amp;"","")</f>
        <v>Yes</v>
      </c>
      <c r="H1084" s="10" t="str">
        <f aca="false">IFERROR(INDEX(Section_Master!$F$2:$F$477,MATCH($E1084,Section_Master!$A$2:$A$477,0))&amp;"","")</f>
        <v>No</v>
      </c>
      <c r="I1084" s="10" t="str">
        <f aca="false">IFERROR(INDEX(Section_Master!$G$2:$G$477,MATCH($E1084,Section_Master!$A$2:$A$477,0))&amp;"","")</f>
        <v>No</v>
      </c>
      <c r="J1084" s="10" t="s">
        <v>55</v>
      </c>
      <c r="K1084" s="8" t="s">
        <v>2573</v>
      </c>
    </row>
    <row r="1085" customFormat="false" ht="45.75" hidden="false" customHeight="true" outlineLevel="0" collapsed="false">
      <c r="A1085" s="10" t="s">
        <v>2578</v>
      </c>
      <c r="B1085" s="10" t="s">
        <v>45</v>
      </c>
      <c r="C1085" s="8" t="s">
        <v>2571</v>
      </c>
      <c r="D1085" s="8" t="s">
        <v>2579</v>
      </c>
      <c r="E1085" s="11" t="n">
        <v>181</v>
      </c>
      <c r="F1085" s="8" t="str">
        <f aca="false">IFERROR(INDEX(Section_Master!$D$2:$D$477,MATCH($E1085,Section_Master!$A$2:$A$477,0))&amp;"","")</f>
        <v>Imprisonment for life, or up to 10 years, and fine</v>
      </c>
      <c r="G1085" s="10" t="str">
        <f aca="false">IFERROR(INDEX(Section_Master!$E$2:$E$477,MATCH($E1085,Section_Master!$A$2:$A$477,0))&amp;"","")</f>
        <v>Yes</v>
      </c>
      <c r="H1085" s="10" t="str">
        <f aca="false">IFERROR(INDEX(Section_Master!$F$2:$F$477,MATCH($E1085,Section_Master!$A$2:$A$477,0))&amp;"","")</f>
        <v>No</v>
      </c>
      <c r="I1085" s="10" t="str">
        <f aca="false">IFERROR(INDEX(Section_Master!$G$2:$G$477,MATCH($E1085,Section_Master!$A$2:$A$477,0))&amp;"","")</f>
        <v>No</v>
      </c>
      <c r="J1085" s="10" t="s">
        <v>58</v>
      </c>
      <c r="K1085" s="8" t="s">
        <v>2573</v>
      </c>
    </row>
    <row r="1086" customFormat="false" ht="45.75" hidden="false" customHeight="true" outlineLevel="0" collapsed="false">
      <c r="A1086" s="10" t="s">
        <v>2580</v>
      </c>
      <c r="B1086" s="10" t="s">
        <v>45</v>
      </c>
      <c r="C1086" s="8" t="s">
        <v>2571</v>
      </c>
      <c r="D1086" s="8" t="s">
        <v>2581</v>
      </c>
      <c r="E1086" s="11" t="n">
        <v>181</v>
      </c>
      <c r="F1086" s="8" t="str">
        <f aca="false">IFERROR(INDEX(Section_Master!$D$2:$D$477,MATCH($E1086,Section_Master!$A$2:$A$477,0))&amp;"","")</f>
        <v>Imprisonment for life, or up to 10 years, and fine</v>
      </c>
      <c r="G1086" s="10" t="str">
        <f aca="false">IFERROR(INDEX(Section_Master!$E$2:$E$477,MATCH($E1086,Section_Master!$A$2:$A$477,0))&amp;"","")</f>
        <v>Yes</v>
      </c>
      <c r="H1086" s="10" t="str">
        <f aca="false">IFERROR(INDEX(Section_Master!$F$2:$F$477,MATCH($E1086,Section_Master!$A$2:$A$477,0))&amp;"","")</f>
        <v>No</v>
      </c>
      <c r="I1086" s="10" t="str">
        <f aca="false">IFERROR(INDEX(Section_Master!$G$2:$G$477,MATCH($E1086,Section_Master!$A$2:$A$477,0))&amp;"","")</f>
        <v>No</v>
      </c>
      <c r="J1086" s="10" t="s">
        <v>61</v>
      </c>
      <c r="K1086" s="8" t="s">
        <v>2573</v>
      </c>
    </row>
    <row r="1087" customFormat="false" ht="45.75" hidden="false" customHeight="true" outlineLevel="0" collapsed="false">
      <c r="A1087" s="10" t="s">
        <v>2582</v>
      </c>
      <c r="B1087" s="10" t="s">
        <v>45</v>
      </c>
      <c r="C1087" s="8" t="s">
        <v>2571</v>
      </c>
      <c r="D1087" s="8" t="s">
        <v>2583</v>
      </c>
      <c r="E1087" s="11" t="n">
        <v>181</v>
      </c>
      <c r="F1087" s="8" t="str">
        <f aca="false">IFERROR(INDEX(Section_Master!$D$2:$D$477,MATCH($E1087,Section_Master!$A$2:$A$477,0))&amp;"","")</f>
        <v>Imprisonment for life, or up to 10 years, and fine</v>
      </c>
      <c r="G1087" s="10" t="str">
        <f aca="false">IFERROR(INDEX(Section_Master!$E$2:$E$477,MATCH($E1087,Section_Master!$A$2:$A$477,0))&amp;"","")</f>
        <v>Yes</v>
      </c>
      <c r="H1087" s="10" t="str">
        <f aca="false">IFERROR(INDEX(Section_Master!$F$2:$F$477,MATCH($E1087,Section_Master!$A$2:$A$477,0))&amp;"","")</f>
        <v>No</v>
      </c>
      <c r="I1087" s="10" t="str">
        <f aca="false">IFERROR(INDEX(Section_Master!$G$2:$G$477,MATCH($E1087,Section_Master!$A$2:$A$477,0))&amp;"","")</f>
        <v>No</v>
      </c>
      <c r="J1087" s="10" t="s">
        <v>64</v>
      </c>
      <c r="K1087" s="8" t="s">
        <v>2573</v>
      </c>
    </row>
    <row r="1088" customFormat="false" ht="23.25" hidden="false" customHeight="true" outlineLevel="0" collapsed="false">
      <c r="A1088" s="10" t="s">
        <v>2584</v>
      </c>
      <c r="B1088" s="10" t="s">
        <v>45</v>
      </c>
      <c r="C1088" s="8" t="s">
        <v>2585</v>
      </c>
      <c r="D1088" s="8" t="s">
        <v>2586</v>
      </c>
      <c r="E1088" s="11" t="n">
        <v>182</v>
      </c>
      <c r="F1088" s="8" t="str">
        <f aca="false">IFERROR(INDEX(Section_Master!$D$2:$D$477,MATCH($E1088,Section_Master!$A$2:$A$477,0))&amp;"","")</f>
        <v>Fine</v>
      </c>
      <c r="G1088" s="10" t="str">
        <f aca="false">IFERROR(INDEX(Section_Master!$E$2:$E$477,MATCH($E1088,Section_Master!$A$2:$A$477,0))&amp;"","")</f>
        <v>No</v>
      </c>
      <c r="H1088" s="10" t="str">
        <f aca="false">IFERROR(INDEX(Section_Master!$F$2:$F$477,MATCH($E1088,Section_Master!$A$2:$A$477,0))&amp;"","")</f>
        <v>Yes</v>
      </c>
      <c r="I1088" s="10" t="str">
        <f aca="false">IFERROR(INDEX(Section_Master!$G$2:$G$477,MATCH($E1088,Section_Master!$A$2:$A$477,0))&amp;"","")</f>
        <v>No</v>
      </c>
      <c r="J1088" s="10" t="s">
        <v>48</v>
      </c>
      <c r="K1088" s="8" t="s">
        <v>2587</v>
      </c>
    </row>
    <row r="1089" customFormat="false" ht="34.5" hidden="false" customHeight="true" outlineLevel="0" collapsed="false">
      <c r="A1089" s="10" t="s">
        <v>2588</v>
      </c>
      <c r="B1089" s="10" t="s">
        <v>45</v>
      </c>
      <c r="C1089" s="8" t="s">
        <v>2585</v>
      </c>
      <c r="D1089" s="8" t="s">
        <v>2589</v>
      </c>
      <c r="E1089" s="11" t="n">
        <v>182</v>
      </c>
      <c r="F1089" s="8" t="str">
        <f aca="false">IFERROR(INDEX(Section_Master!$D$2:$D$477,MATCH($E1089,Section_Master!$A$2:$A$477,0))&amp;"","")</f>
        <v>Fine</v>
      </c>
      <c r="G1089" s="10" t="str">
        <f aca="false">IFERROR(INDEX(Section_Master!$E$2:$E$477,MATCH($E1089,Section_Master!$A$2:$A$477,0))&amp;"","")</f>
        <v>No</v>
      </c>
      <c r="H1089" s="10" t="str">
        <f aca="false">IFERROR(INDEX(Section_Master!$F$2:$F$477,MATCH($E1089,Section_Master!$A$2:$A$477,0))&amp;"","")</f>
        <v>Yes</v>
      </c>
      <c r="I1089" s="10" t="str">
        <f aca="false">IFERROR(INDEX(Section_Master!$G$2:$G$477,MATCH($E1089,Section_Master!$A$2:$A$477,0))&amp;"","")</f>
        <v>No</v>
      </c>
      <c r="J1089" s="10" t="s">
        <v>52</v>
      </c>
      <c r="K1089" s="8" t="s">
        <v>2587</v>
      </c>
    </row>
    <row r="1090" customFormat="false" ht="34.5" hidden="false" customHeight="true" outlineLevel="0" collapsed="false">
      <c r="A1090" s="10" t="s">
        <v>2590</v>
      </c>
      <c r="B1090" s="10" t="s">
        <v>45</v>
      </c>
      <c r="C1090" s="8" t="s">
        <v>2585</v>
      </c>
      <c r="D1090" s="8" t="s">
        <v>2591</v>
      </c>
      <c r="E1090" s="11" t="n">
        <v>182</v>
      </c>
      <c r="F1090" s="8" t="str">
        <f aca="false">IFERROR(INDEX(Section_Master!$D$2:$D$477,MATCH($E1090,Section_Master!$A$2:$A$477,0))&amp;"","")</f>
        <v>Fine</v>
      </c>
      <c r="G1090" s="10" t="str">
        <f aca="false">IFERROR(INDEX(Section_Master!$E$2:$E$477,MATCH($E1090,Section_Master!$A$2:$A$477,0))&amp;"","")</f>
        <v>No</v>
      </c>
      <c r="H1090" s="10" t="str">
        <f aca="false">IFERROR(INDEX(Section_Master!$F$2:$F$477,MATCH($E1090,Section_Master!$A$2:$A$477,0))&amp;"","")</f>
        <v>Yes</v>
      </c>
      <c r="I1090" s="10" t="str">
        <f aca="false">IFERROR(INDEX(Section_Master!$G$2:$G$477,MATCH($E1090,Section_Master!$A$2:$A$477,0))&amp;"","")</f>
        <v>No</v>
      </c>
      <c r="J1090" s="10" t="s">
        <v>55</v>
      </c>
      <c r="K1090" s="8" t="s">
        <v>2587</v>
      </c>
    </row>
    <row r="1091" customFormat="false" ht="34.5" hidden="false" customHeight="true" outlineLevel="0" collapsed="false">
      <c r="A1091" s="10" t="s">
        <v>2592</v>
      </c>
      <c r="B1091" s="10" t="s">
        <v>45</v>
      </c>
      <c r="C1091" s="8" t="s">
        <v>2585</v>
      </c>
      <c r="D1091" s="8" t="s">
        <v>2593</v>
      </c>
      <c r="E1091" s="11" t="n">
        <v>182</v>
      </c>
      <c r="F1091" s="8" t="str">
        <f aca="false">IFERROR(INDEX(Section_Master!$D$2:$D$477,MATCH($E1091,Section_Master!$A$2:$A$477,0))&amp;"","")</f>
        <v>Fine</v>
      </c>
      <c r="G1091" s="10" t="str">
        <f aca="false">IFERROR(INDEX(Section_Master!$E$2:$E$477,MATCH($E1091,Section_Master!$A$2:$A$477,0))&amp;"","")</f>
        <v>No</v>
      </c>
      <c r="H1091" s="10" t="str">
        <f aca="false">IFERROR(INDEX(Section_Master!$F$2:$F$477,MATCH($E1091,Section_Master!$A$2:$A$477,0))&amp;"","")</f>
        <v>Yes</v>
      </c>
      <c r="I1091" s="10" t="str">
        <f aca="false">IFERROR(INDEX(Section_Master!$G$2:$G$477,MATCH($E1091,Section_Master!$A$2:$A$477,0))&amp;"","")</f>
        <v>No</v>
      </c>
      <c r="J1091" s="10" t="s">
        <v>58</v>
      </c>
      <c r="K1091" s="8" t="s">
        <v>2587</v>
      </c>
    </row>
    <row r="1092" customFormat="false" ht="34.5" hidden="false" customHeight="true" outlineLevel="0" collapsed="false">
      <c r="A1092" s="10" t="s">
        <v>2594</v>
      </c>
      <c r="B1092" s="10" t="s">
        <v>45</v>
      </c>
      <c r="C1092" s="8" t="s">
        <v>2585</v>
      </c>
      <c r="D1092" s="8" t="s">
        <v>2595</v>
      </c>
      <c r="E1092" s="11" t="n">
        <v>182</v>
      </c>
      <c r="F1092" s="8" t="str">
        <f aca="false">IFERROR(INDEX(Section_Master!$D$2:$D$477,MATCH($E1092,Section_Master!$A$2:$A$477,0))&amp;"","")</f>
        <v>Fine</v>
      </c>
      <c r="G1092" s="10" t="str">
        <f aca="false">IFERROR(INDEX(Section_Master!$E$2:$E$477,MATCH($E1092,Section_Master!$A$2:$A$477,0))&amp;"","")</f>
        <v>No</v>
      </c>
      <c r="H1092" s="10" t="str">
        <f aca="false">IFERROR(INDEX(Section_Master!$F$2:$F$477,MATCH($E1092,Section_Master!$A$2:$A$477,0))&amp;"","")</f>
        <v>Yes</v>
      </c>
      <c r="I1092" s="10" t="str">
        <f aca="false">IFERROR(INDEX(Section_Master!$G$2:$G$477,MATCH($E1092,Section_Master!$A$2:$A$477,0))&amp;"","")</f>
        <v>No</v>
      </c>
      <c r="J1092" s="10" t="s">
        <v>61</v>
      </c>
      <c r="K1092" s="8" t="s">
        <v>2587</v>
      </c>
    </row>
    <row r="1093" customFormat="false" ht="45.75" hidden="false" customHeight="true" outlineLevel="0" collapsed="false">
      <c r="A1093" s="10" t="s">
        <v>2596</v>
      </c>
      <c r="B1093" s="10" t="s">
        <v>45</v>
      </c>
      <c r="C1093" s="8" t="s">
        <v>2585</v>
      </c>
      <c r="D1093" s="8" t="s">
        <v>2597</v>
      </c>
      <c r="E1093" s="11" t="n">
        <v>182</v>
      </c>
      <c r="F1093" s="8" t="str">
        <f aca="false">IFERROR(INDEX(Section_Master!$D$2:$D$477,MATCH($E1093,Section_Master!$A$2:$A$477,0))&amp;"","")</f>
        <v>Fine</v>
      </c>
      <c r="G1093" s="10" t="str">
        <f aca="false">IFERROR(INDEX(Section_Master!$E$2:$E$477,MATCH($E1093,Section_Master!$A$2:$A$477,0))&amp;"","")</f>
        <v>No</v>
      </c>
      <c r="H1093" s="10" t="str">
        <f aca="false">IFERROR(INDEX(Section_Master!$F$2:$F$477,MATCH($E1093,Section_Master!$A$2:$A$477,0))&amp;"","")</f>
        <v>Yes</v>
      </c>
      <c r="I1093" s="10" t="str">
        <f aca="false">IFERROR(INDEX(Section_Master!$G$2:$G$477,MATCH($E1093,Section_Master!$A$2:$A$477,0))&amp;"","")</f>
        <v>No</v>
      </c>
      <c r="J1093" s="10" t="s">
        <v>64</v>
      </c>
      <c r="K1093" s="8" t="s">
        <v>2587</v>
      </c>
    </row>
    <row r="1094" customFormat="false" ht="57" hidden="false" customHeight="true" outlineLevel="0" collapsed="false">
      <c r="A1094" s="10" t="s">
        <v>2598</v>
      </c>
      <c r="B1094" s="10" t="s">
        <v>45</v>
      </c>
      <c r="C1094" s="8" t="s">
        <v>2599</v>
      </c>
      <c r="D1094" s="8" t="s">
        <v>2600</v>
      </c>
      <c r="E1094" s="11" t="n">
        <v>183</v>
      </c>
      <c r="F1094" s="8" t="str">
        <f aca="false">IFERROR(INDEX(Section_Master!$D$2:$D$477,MATCH($E1094,Section_Master!$A$2:$A$477,0))&amp;"","")</f>
        <v>Imprisonment up to 3 years, or fine, or both</v>
      </c>
      <c r="G1094" s="10" t="str">
        <f aca="false">IFERROR(INDEX(Section_Master!$E$2:$E$477,MATCH($E1094,Section_Master!$A$2:$A$477,0))&amp;"","")</f>
        <v>No</v>
      </c>
      <c r="H1094" s="10" t="str">
        <f aca="false">IFERROR(INDEX(Section_Master!$F$2:$F$477,MATCH($E1094,Section_Master!$A$2:$A$477,0))&amp;"","")</f>
        <v>Yes</v>
      </c>
      <c r="I1094" s="10" t="str">
        <f aca="false">IFERROR(INDEX(Section_Master!$G$2:$G$477,MATCH($E1094,Section_Master!$A$2:$A$477,0))&amp;"","")</f>
        <v>No</v>
      </c>
      <c r="J1094" s="10" t="s">
        <v>48</v>
      </c>
      <c r="K1094" s="8" t="s">
        <v>2601</v>
      </c>
    </row>
    <row r="1095" customFormat="false" ht="57" hidden="false" customHeight="true" outlineLevel="0" collapsed="false">
      <c r="A1095" s="10" t="s">
        <v>2602</v>
      </c>
      <c r="B1095" s="10" t="s">
        <v>45</v>
      </c>
      <c r="C1095" s="8" t="s">
        <v>2599</v>
      </c>
      <c r="D1095" s="8" t="s">
        <v>2603</v>
      </c>
      <c r="E1095" s="11" t="n">
        <v>183</v>
      </c>
      <c r="F1095" s="8" t="str">
        <f aca="false">IFERROR(INDEX(Section_Master!$D$2:$D$477,MATCH($E1095,Section_Master!$A$2:$A$477,0))&amp;"","")</f>
        <v>Imprisonment up to 3 years, or fine, or both</v>
      </c>
      <c r="G1095" s="10" t="str">
        <f aca="false">IFERROR(INDEX(Section_Master!$E$2:$E$477,MATCH($E1095,Section_Master!$A$2:$A$477,0))&amp;"","")</f>
        <v>No</v>
      </c>
      <c r="H1095" s="10" t="str">
        <f aca="false">IFERROR(INDEX(Section_Master!$F$2:$F$477,MATCH($E1095,Section_Master!$A$2:$A$477,0))&amp;"","")</f>
        <v>Yes</v>
      </c>
      <c r="I1095" s="10" t="str">
        <f aca="false">IFERROR(INDEX(Section_Master!$G$2:$G$477,MATCH($E1095,Section_Master!$A$2:$A$477,0))&amp;"","")</f>
        <v>No</v>
      </c>
      <c r="J1095" s="10" t="s">
        <v>52</v>
      </c>
      <c r="K1095" s="8" t="s">
        <v>2601</v>
      </c>
    </row>
    <row r="1096" customFormat="false" ht="57" hidden="false" customHeight="true" outlineLevel="0" collapsed="false">
      <c r="A1096" s="10" t="s">
        <v>2604</v>
      </c>
      <c r="B1096" s="10" t="s">
        <v>45</v>
      </c>
      <c r="C1096" s="8" t="s">
        <v>2599</v>
      </c>
      <c r="D1096" s="8" t="s">
        <v>2605</v>
      </c>
      <c r="E1096" s="11" t="n">
        <v>183</v>
      </c>
      <c r="F1096" s="8" t="str">
        <f aca="false">IFERROR(INDEX(Section_Master!$D$2:$D$477,MATCH($E1096,Section_Master!$A$2:$A$477,0))&amp;"","")</f>
        <v>Imprisonment up to 3 years, or fine, or both</v>
      </c>
      <c r="G1096" s="10" t="str">
        <f aca="false">IFERROR(INDEX(Section_Master!$E$2:$E$477,MATCH($E1096,Section_Master!$A$2:$A$477,0))&amp;"","")</f>
        <v>No</v>
      </c>
      <c r="H1096" s="10" t="str">
        <f aca="false">IFERROR(INDEX(Section_Master!$F$2:$F$477,MATCH($E1096,Section_Master!$A$2:$A$477,0))&amp;"","")</f>
        <v>Yes</v>
      </c>
      <c r="I1096" s="10" t="str">
        <f aca="false">IFERROR(INDEX(Section_Master!$G$2:$G$477,MATCH($E1096,Section_Master!$A$2:$A$477,0))&amp;"","")</f>
        <v>No</v>
      </c>
      <c r="J1096" s="10" t="s">
        <v>55</v>
      </c>
      <c r="K1096" s="8" t="s">
        <v>2601</v>
      </c>
    </row>
    <row r="1097" customFormat="false" ht="57" hidden="false" customHeight="true" outlineLevel="0" collapsed="false">
      <c r="A1097" s="10" t="s">
        <v>2606</v>
      </c>
      <c r="B1097" s="10" t="s">
        <v>45</v>
      </c>
      <c r="C1097" s="8" t="s">
        <v>2599</v>
      </c>
      <c r="D1097" s="8" t="s">
        <v>2607</v>
      </c>
      <c r="E1097" s="11" t="n">
        <v>183</v>
      </c>
      <c r="F1097" s="8" t="str">
        <f aca="false">IFERROR(INDEX(Section_Master!$D$2:$D$477,MATCH($E1097,Section_Master!$A$2:$A$477,0))&amp;"","")</f>
        <v>Imprisonment up to 3 years, or fine, or both</v>
      </c>
      <c r="G1097" s="10" t="str">
        <f aca="false">IFERROR(INDEX(Section_Master!$E$2:$E$477,MATCH($E1097,Section_Master!$A$2:$A$477,0))&amp;"","")</f>
        <v>No</v>
      </c>
      <c r="H1097" s="10" t="str">
        <f aca="false">IFERROR(INDEX(Section_Master!$F$2:$F$477,MATCH($E1097,Section_Master!$A$2:$A$477,0))&amp;"","")</f>
        <v>Yes</v>
      </c>
      <c r="I1097" s="10" t="str">
        <f aca="false">IFERROR(INDEX(Section_Master!$G$2:$G$477,MATCH($E1097,Section_Master!$A$2:$A$477,0))&amp;"","")</f>
        <v>No</v>
      </c>
      <c r="J1097" s="10" t="s">
        <v>58</v>
      </c>
      <c r="K1097" s="8" t="s">
        <v>2601</v>
      </c>
    </row>
    <row r="1098" customFormat="false" ht="57" hidden="false" customHeight="true" outlineLevel="0" collapsed="false">
      <c r="A1098" s="10" t="s">
        <v>2608</v>
      </c>
      <c r="B1098" s="10" t="s">
        <v>45</v>
      </c>
      <c r="C1098" s="8" t="s">
        <v>2599</v>
      </c>
      <c r="D1098" s="8" t="s">
        <v>2609</v>
      </c>
      <c r="E1098" s="11" t="n">
        <v>183</v>
      </c>
      <c r="F1098" s="8" t="str">
        <f aca="false">IFERROR(INDEX(Section_Master!$D$2:$D$477,MATCH($E1098,Section_Master!$A$2:$A$477,0))&amp;"","")</f>
        <v>Imprisonment up to 3 years, or fine, or both</v>
      </c>
      <c r="G1098" s="10" t="str">
        <f aca="false">IFERROR(INDEX(Section_Master!$E$2:$E$477,MATCH($E1098,Section_Master!$A$2:$A$477,0))&amp;"","")</f>
        <v>No</v>
      </c>
      <c r="H1098" s="10" t="str">
        <f aca="false">IFERROR(INDEX(Section_Master!$F$2:$F$477,MATCH($E1098,Section_Master!$A$2:$A$477,0))&amp;"","")</f>
        <v>Yes</v>
      </c>
      <c r="I1098" s="10" t="str">
        <f aca="false">IFERROR(INDEX(Section_Master!$G$2:$G$477,MATCH($E1098,Section_Master!$A$2:$A$477,0))&amp;"","")</f>
        <v>No</v>
      </c>
      <c r="J1098" s="10" t="s">
        <v>61</v>
      </c>
      <c r="K1098" s="8" t="s">
        <v>2601</v>
      </c>
    </row>
    <row r="1099" customFormat="false" ht="57" hidden="false" customHeight="true" outlineLevel="0" collapsed="false">
      <c r="A1099" s="10" t="s">
        <v>2610</v>
      </c>
      <c r="B1099" s="10" t="s">
        <v>45</v>
      </c>
      <c r="C1099" s="8" t="s">
        <v>2599</v>
      </c>
      <c r="D1099" s="8" t="s">
        <v>2611</v>
      </c>
      <c r="E1099" s="11" t="n">
        <v>183</v>
      </c>
      <c r="F1099" s="8" t="str">
        <f aca="false">IFERROR(INDEX(Section_Master!$D$2:$D$477,MATCH($E1099,Section_Master!$A$2:$A$477,0))&amp;"","")</f>
        <v>Imprisonment up to 3 years, or fine, or both</v>
      </c>
      <c r="G1099" s="10" t="str">
        <f aca="false">IFERROR(INDEX(Section_Master!$E$2:$E$477,MATCH($E1099,Section_Master!$A$2:$A$477,0))&amp;"","")</f>
        <v>No</v>
      </c>
      <c r="H1099" s="10" t="str">
        <f aca="false">IFERROR(INDEX(Section_Master!$F$2:$F$477,MATCH($E1099,Section_Master!$A$2:$A$477,0))&amp;"","")</f>
        <v>Yes</v>
      </c>
      <c r="I1099" s="10" t="str">
        <f aca="false">IFERROR(INDEX(Section_Master!$G$2:$G$477,MATCH($E1099,Section_Master!$A$2:$A$477,0))&amp;"","")</f>
        <v>No</v>
      </c>
      <c r="J1099" s="10" t="s">
        <v>64</v>
      </c>
      <c r="K1099" s="8" t="s">
        <v>2601</v>
      </c>
    </row>
    <row r="1100" customFormat="false" ht="34.5" hidden="false" customHeight="true" outlineLevel="0" collapsed="false">
      <c r="A1100" s="10" t="s">
        <v>2612</v>
      </c>
      <c r="B1100" s="10" t="s">
        <v>45</v>
      </c>
      <c r="C1100" s="8" t="s">
        <v>2613</v>
      </c>
      <c r="D1100" s="8" t="s">
        <v>2614</v>
      </c>
      <c r="E1100" s="11" t="n">
        <v>184</v>
      </c>
      <c r="F1100" s="8" t="str">
        <f aca="false">IFERROR(INDEX(Section_Master!$D$2:$D$477,MATCH($E1100,Section_Master!$A$2:$A$477,0))&amp;"","")</f>
        <v>Imprisonment up to 2 years, or fine, or both</v>
      </c>
      <c r="G1100" s="10" t="str">
        <f aca="false">IFERROR(INDEX(Section_Master!$E$2:$E$477,MATCH($E1100,Section_Master!$A$2:$A$477,0))&amp;"","")</f>
        <v>No</v>
      </c>
      <c r="H1100" s="10" t="str">
        <f aca="false">IFERROR(INDEX(Section_Master!$F$2:$F$477,MATCH($E1100,Section_Master!$A$2:$A$477,0))&amp;"","")</f>
        <v>Yes</v>
      </c>
      <c r="I1100" s="10" t="str">
        <f aca="false">IFERROR(INDEX(Section_Master!$G$2:$G$477,MATCH($E1100,Section_Master!$A$2:$A$477,0))&amp;"","")</f>
        <v>No</v>
      </c>
      <c r="J1100" s="10" t="s">
        <v>48</v>
      </c>
      <c r="K1100" s="8" t="s">
        <v>2615</v>
      </c>
    </row>
    <row r="1101" customFormat="false" ht="34.5" hidden="false" customHeight="true" outlineLevel="0" collapsed="false">
      <c r="A1101" s="10" t="s">
        <v>2616</v>
      </c>
      <c r="B1101" s="10" t="s">
        <v>45</v>
      </c>
      <c r="C1101" s="8" t="s">
        <v>2613</v>
      </c>
      <c r="D1101" s="8" t="s">
        <v>2617</v>
      </c>
      <c r="E1101" s="11" t="n">
        <v>184</v>
      </c>
      <c r="F1101" s="8" t="str">
        <f aca="false">IFERROR(INDEX(Section_Master!$D$2:$D$477,MATCH($E1101,Section_Master!$A$2:$A$477,0))&amp;"","")</f>
        <v>Imprisonment up to 2 years, or fine, or both</v>
      </c>
      <c r="G1101" s="10" t="str">
        <f aca="false">IFERROR(INDEX(Section_Master!$E$2:$E$477,MATCH($E1101,Section_Master!$A$2:$A$477,0))&amp;"","")</f>
        <v>No</v>
      </c>
      <c r="H1101" s="10" t="str">
        <f aca="false">IFERROR(INDEX(Section_Master!$F$2:$F$477,MATCH($E1101,Section_Master!$A$2:$A$477,0))&amp;"","")</f>
        <v>Yes</v>
      </c>
      <c r="I1101" s="10" t="str">
        <f aca="false">IFERROR(INDEX(Section_Master!$G$2:$G$477,MATCH($E1101,Section_Master!$A$2:$A$477,0))&amp;"","")</f>
        <v>No</v>
      </c>
      <c r="J1101" s="10" t="s">
        <v>52</v>
      </c>
      <c r="K1101" s="8" t="s">
        <v>2615</v>
      </c>
    </row>
    <row r="1102" customFormat="false" ht="23.25" hidden="false" customHeight="true" outlineLevel="0" collapsed="false">
      <c r="A1102" s="10" t="s">
        <v>2618</v>
      </c>
      <c r="B1102" s="10" t="s">
        <v>45</v>
      </c>
      <c r="C1102" s="8" t="s">
        <v>2613</v>
      </c>
      <c r="D1102" s="8" t="s">
        <v>2619</v>
      </c>
      <c r="E1102" s="11" t="n">
        <v>184</v>
      </c>
      <c r="F1102" s="8" t="str">
        <f aca="false">IFERROR(INDEX(Section_Master!$D$2:$D$477,MATCH($E1102,Section_Master!$A$2:$A$477,0))&amp;"","")</f>
        <v>Imprisonment up to 2 years, or fine, or both</v>
      </c>
      <c r="G1102" s="10" t="str">
        <f aca="false">IFERROR(INDEX(Section_Master!$E$2:$E$477,MATCH($E1102,Section_Master!$A$2:$A$477,0))&amp;"","")</f>
        <v>No</v>
      </c>
      <c r="H1102" s="10" t="str">
        <f aca="false">IFERROR(INDEX(Section_Master!$F$2:$F$477,MATCH($E1102,Section_Master!$A$2:$A$477,0))&amp;"","")</f>
        <v>Yes</v>
      </c>
      <c r="I1102" s="10" t="str">
        <f aca="false">IFERROR(INDEX(Section_Master!$G$2:$G$477,MATCH($E1102,Section_Master!$A$2:$A$477,0))&amp;"","")</f>
        <v>No</v>
      </c>
      <c r="J1102" s="10" t="s">
        <v>55</v>
      </c>
      <c r="K1102" s="8" t="s">
        <v>2615</v>
      </c>
    </row>
    <row r="1103" customFormat="false" ht="34.5" hidden="false" customHeight="true" outlineLevel="0" collapsed="false">
      <c r="A1103" s="10" t="s">
        <v>2620</v>
      </c>
      <c r="B1103" s="10" t="s">
        <v>45</v>
      </c>
      <c r="C1103" s="8" t="s">
        <v>2613</v>
      </c>
      <c r="D1103" s="8" t="s">
        <v>2621</v>
      </c>
      <c r="E1103" s="11" t="n">
        <v>184</v>
      </c>
      <c r="F1103" s="8" t="str">
        <f aca="false">IFERROR(INDEX(Section_Master!$D$2:$D$477,MATCH($E1103,Section_Master!$A$2:$A$477,0))&amp;"","")</f>
        <v>Imprisonment up to 2 years, or fine, or both</v>
      </c>
      <c r="G1103" s="10" t="str">
        <f aca="false">IFERROR(INDEX(Section_Master!$E$2:$E$477,MATCH($E1103,Section_Master!$A$2:$A$477,0))&amp;"","")</f>
        <v>No</v>
      </c>
      <c r="H1103" s="10" t="str">
        <f aca="false">IFERROR(INDEX(Section_Master!$F$2:$F$477,MATCH($E1103,Section_Master!$A$2:$A$477,0))&amp;"","")</f>
        <v>Yes</v>
      </c>
      <c r="I1103" s="10" t="str">
        <f aca="false">IFERROR(INDEX(Section_Master!$G$2:$G$477,MATCH($E1103,Section_Master!$A$2:$A$477,0))&amp;"","")</f>
        <v>No</v>
      </c>
      <c r="J1103" s="10" t="s">
        <v>58</v>
      </c>
      <c r="K1103" s="8" t="s">
        <v>2615</v>
      </c>
    </row>
    <row r="1104" customFormat="false" ht="34.5" hidden="false" customHeight="true" outlineLevel="0" collapsed="false">
      <c r="A1104" s="10" t="s">
        <v>2622</v>
      </c>
      <c r="B1104" s="10" t="s">
        <v>45</v>
      </c>
      <c r="C1104" s="8" t="s">
        <v>2613</v>
      </c>
      <c r="D1104" s="8" t="s">
        <v>2623</v>
      </c>
      <c r="E1104" s="11" t="n">
        <v>184</v>
      </c>
      <c r="F1104" s="8" t="str">
        <f aca="false">IFERROR(INDEX(Section_Master!$D$2:$D$477,MATCH($E1104,Section_Master!$A$2:$A$477,0))&amp;"","")</f>
        <v>Imprisonment up to 2 years, or fine, or both</v>
      </c>
      <c r="G1104" s="10" t="str">
        <f aca="false">IFERROR(INDEX(Section_Master!$E$2:$E$477,MATCH($E1104,Section_Master!$A$2:$A$477,0))&amp;"","")</f>
        <v>No</v>
      </c>
      <c r="H1104" s="10" t="str">
        <f aca="false">IFERROR(INDEX(Section_Master!$F$2:$F$477,MATCH($E1104,Section_Master!$A$2:$A$477,0))&amp;"","")</f>
        <v>Yes</v>
      </c>
      <c r="I1104" s="10" t="str">
        <f aca="false">IFERROR(INDEX(Section_Master!$G$2:$G$477,MATCH($E1104,Section_Master!$A$2:$A$477,0))&amp;"","")</f>
        <v>No</v>
      </c>
      <c r="J1104" s="10" t="s">
        <v>61</v>
      </c>
      <c r="K1104" s="8" t="s">
        <v>2615</v>
      </c>
    </row>
    <row r="1105" customFormat="false" ht="34.5" hidden="false" customHeight="true" outlineLevel="0" collapsed="false">
      <c r="A1105" s="10" t="s">
        <v>2624</v>
      </c>
      <c r="B1105" s="10" t="s">
        <v>45</v>
      </c>
      <c r="C1105" s="8" t="s">
        <v>2613</v>
      </c>
      <c r="D1105" s="8" t="s">
        <v>2625</v>
      </c>
      <c r="E1105" s="11" t="n">
        <v>184</v>
      </c>
      <c r="F1105" s="8" t="str">
        <f aca="false">IFERROR(INDEX(Section_Master!$D$2:$D$477,MATCH($E1105,Section_Master!$A$2:$A$477,0))&amp;"","")</f>
        <v>Imprisonment up to 2 years, or fine, or both</v>
      </c>
      <c r="G1105" s="10" t="str">
        <f aca="false">IFERROR(INDEX(Section_Master!$E$2:$E$477,MATCH($E1105,Section_Master!$A$2:$A$477,0))&amp;"","")</f>
        <v>No</v>
      </c>
      <c r="H1105" s="10" t="str">
        <f aca="false">IFERROR(INDEX(Section_Master!$F$2:$F$477,MATCH($E1105,Section_Master!$A$2:$A$477,0))&amp;"","")</f>
        <v>Yes</v>
      </c>
      <c r="I1105" s="10" t="str">
        <f aca="false">IFERROR(INDEX(Section_Master!$G$2:$G$477,MATCH($E1105,Section_Master!$A$2:$A$477,0))&amp;"","")</f>
        <v>No</v>
      </c>
      <c r="J1105" s="10" t="s">
        <v>64</v>
      </c>
      <c r="K1105" s="8" t="s">
        <v>2615</v>
      </c>
    </row>
    <row r="1106" customFormat="false" ht="34.5" hidden="false" customHeight="true" outlineLevel="0" collapsed="false">
      <c r="A1106" s="10" t="s">
        <v>2626</v>
      </c>
      <c r="B1106" s="10" t="s">
        <v>45</v>
      </c>
      <c r="C1106" s="8" t="s">
        <v>2627</v>
      </c>
      <c r="D1106" s="8" t="s">
        <v>2628</v>
      </c>
      <c r="E1106" s="11" t="n">
        <v>185</v>
      </c>
      <c r="F1106" s="8" t="str">
        <f aca="false">IFERROR(INDEX(Section_Master!$D$2:$D$477,MATCH($E1106,Section_Master!$A$2:$A$477,0))&amp;"","")</f>
        <v>Imprisonment up to 6 months, or fine, or both</v>
      </c>
      <c r="G1106" s="10" t="str">
        <f aca="false">IFERROR(INDEX(Section_Master!$E$2:$E$477,MATCH($E1106,Section_Master!$A$2:$A$477,0))&amp;"","")</f>
        <v>No</v>
      </c>
      <c r="H1106" s="10" t="str">
        <f aca="false">IFERROR(INDEX(Section_Master!$F$2:$F$477,MATCH($E1106,Section_Master!$A$2:$A$477,0))&amp;"","")</f>
        <v>Yes</v>
      </c>
      <c r="I1106" s="10" t="str">
        <f aca="false">IFERROR(INDEX(Section_Master!$G$2:$G$477,MATCH($E1106,Section_Master!$A$2:$A$477,0))&amp;"","")</f>
        <v>No</v>
      </c>
      <c r="J1106" s="10" t="s">
        <v>48</v>
      </c>
      <c r="K1106" s="8" t="s">
        <v>2629</v>
      </c>
    </row>
    <row r="1107" customFormat="false" ht="45.75" hidden="false" customHeight="true" outlineLevel="0" collapsed="false">
      <c r="A1107" s="10" t="s">
        <v>2630</v>
      </c>
      <c r="B1107" s="10" t="s">
        <v>45</v>
      </c>
      <c r="C1107" s="8" t="s">
        <v>2627</v>
      </c>
      <c r="D1107" s="8" t="s">
        <v>2631</v>
      </c>
      <c r="E1107" s="11" t="n">
        <v>185</v>
      </c>
      <c r="F1107" s="8" t="str">
        <f aca="false">IFERROR(INDEX(Section_Master!$D$2:$D$477,MATCH($E1107,Section_Master!$A$2:$A$477,0))&amp;"","")</f>
        <v>Imprisonment up to 6 months, or fine, or both</v>
      </c>
      <c r="G1107" s="10" t="str">
        <f aca="false">IFERROR(INDEX(Section_Master!$E$2:$E$477,MATCH($E1107,Section_Master!$A$2:$A$477,0))&amp;"","")</f>
        <v>No</v>
      </c>
      <c r="H1107" s="10" t="str">
        <f aca="false">IFERROR(INDEX(Section_Master!$F$2:$F$477,MATCH($E1107,Section_Master!$A$2:$A$477,0))&amp;"","")</f>
        <v>Yes</v>
      </c>
      <c r="I1107" s="10" t="str">
        <f aca="false">IFERROR(INDEX(Section_Master!$G$2:$G$477,MATCH($E1107,Section_Master!$A$2:$A$477,0))&amp;"","")</f>
        <v>No</v>
      </c>
      <c r="J1107" s="10" t="s">
        <v>52</v>
      </c>
      <c r="K1107" s="8" t="s">
        <v>2629</v>
      </c>
    </row>
    <row r="1108" customFormat="false" ht="34.5" hidden="false" customHeight="true" outlineLevel="0" collapsed="false">
      <c r="A1108" s="10" t="s">
        <v>2632</v>
      </c>
      <c r="B1108" s="10" t="s">
        <v>45</v>
      </c>
      <c r="C1108" s="8" t="s">
        <v>2627</v>
      </c>
      <c r="D1108" s="8" t="s">
        <v>2633</v>
      </c>
      <c r="E1108" s="11" t="n">
        <v>185</v>
      </c>
      <c r="F1108" s="8" t="str">
        <f aca="false">IFERROR(INDEX(Section_Master!$D$2:$D$477,MATCH($E1108,Section_Master!$A$2:$A$477,0))&amp;"","")</f>
        <v>Imprisonment up to 6 months, or fine, or both</v>
      </c>
      <c r="G1108" s="10" t="str">
        <f aca="false">IFERROR(INDEX(Section_Master!$E$2:$E$477,MATCH($E1108,Section_Master!$A$2:$A$477,0))&amp;"","")</f>
        <v>No</v>
      </c>
      <c r="H1108" s="10" t="str">
        <f aca="false">IFERROR(INDEX(Section_Master!$F$2:$F$477,MATCH($E1108,Section_Master!$A$2:$A$477,0))&amp;"","")</f>
        <v>Yes</v>
      </c>
      <c r="I1108" s="10" t="str">
        <f aca="false">IFERROR(INDEX(Section_Master!$G$2:$G$477,MATCH($E1108,Section_Master!$A$2:$A$477,0))&amp;"","")</f>
        <v>No</v>
      </c>
      <c r="J1108" s="10" t="s">
        <v>55</v>
      </c>
      <c r="K1108" s="8" t="s">
        <v>2629</v>
      </c>
    </row>
    <row r="1109" customFormat="false" ht="34.5" hidden="false" customHeight="true" outlineLevel="0" collapsed="false">
      <c r="A1109" s="10" t="s">
        <v>2634</v>
      </c>
      <c r="B1109" s="10" t="s">
        <v>45</v>
      </c>
      <c r="C1109" s="8" t="s">
        <v>2627</v>
      </c>
      <c r="D1109" s="8" t="s">
        <v>2635</v>
      </c>
      <c r="E1109" s="11" t="n">
        <v>185</v>
      </c>
      <c r="F1109" s="8" t="str">
        <f aca="false">IFERROR(INDEX(Section_Master!$D$2:$D$477,MATCH($E1109,Section_Master!$A$2:$A$477,0))&amp;"","")</f>
        <v>Imprisonment up to 6 months, or fine, or both</v>
      </c>
      <c r="G1109" s="10" t="str">
        <f aca="false">IFERROR(INDEX(Section_Master!$E$2:$E$477,MATCH($E1109,Section_Master!$A$2:$A$477,0))&amp;"","")</f>
        <v>No</v>
      </c>
      <c r="H1109" s="10" t="str">
        <f aca="false">IFERROR(INDEX(Section_Master!$F$2:$F$477,MATCH($E1109,Section_Master!$A$2:$A$477,0))&amp;"","")</f>
        <v>Yes</v>
      </c>
      <c r="I1109" s="10" t="str">
        <f aca="false">IFERROR(INDEX(Section_Master!$G$2:$G$477,MATCH($E1109,Section_Master!$A$2:$A$477,0))&amp;"","")</f>
        <v>No</v>
      </c>
      <c r="J1109" s="10" t="s">
        <v>58</v>
      </c>
      <c r="K1109" s="8" t="s">
        <v>2629</v>
      </c>
    </row>
    <row r="1110" customFormat="false" ht="34.5" hidden="false" customHeight="true" outlineLevel="0" collapsed="false">
      <c r="A1110" s="10" t="s">
        <v>2636</v>
      </c>
      <c r="B1110" s="10" t="s">
        <v>45</v>
      </c>
      <c r="C1110" s="8" t="s">
        <v>2627</v>
      </c>
      <c r="D1110" s="8" t="s">
        <v>2637</v>
      </c>
      <c r="E1110" s="11" t="n">
        <v>185</v>
      </c>
      <c r="F1110" s="8" t="str">
        <f aca="false">IFERROR(INDEX(Section_Master!$D$2:$D$477,MATCH($E1110,Section_Master!$A$2:$A$477,0))&amp;"","")</f>
        <v>Imprisonment up to 6 months, or fine, or both</v>
      </c>
      <c r="G1110" s="10" t="str">
        <f aca="false">IFERROR(INDEX(Section_Master!$E$2:$E$477,MATCH($E1110,Section_Master!$A$2:$A$477,0))&amp;"","")</f>
        <v>No</v>
      </c>
      <c r="H1110" s="10" t="str">
        <f aca="false">IFERROR(INDEX(Section_Master!$F$2:$F$477,MATCH($E1110,Section_Master!$A$2:$A$477,0))&amp;"","")</f>
        <v>Yes</v>
      </c>
      <c r="I1110" s="10" t="str">
        <f aca="false">IFERROR(INDEX(Section_Master!$G$2:$G$477,MATCH($E1110,Section_Master!$A$2:$A$477,0))&amp;"","")</f>
        <v>No</v>
      </c>
      <c r="J1110" s="10" t="s">
        <v>61</v>
      </c>
      <c r="K1110" s="8" t="s">
        <v>2629</v>
      </c>
    </row>
    <row r="1111" customFormat="false" ht="34.5" hidden="false" customHeight="true" outlineLevel="0" collapsed="false">
      <c r="A1111" s="10" t="s">
        <v>2638</v>
      </c>
      <c r="B1111" s="10" t="s">
        <v>45</v>
      </c>
      <c r="C1111" s="8" t="s">
        <v>2627</v>
      </c>
      <c r="D1111" s="8" t="s">
        <v>2639</v>
      </c>
      <c r="E1111" s="11" t="n">
        <v>185</v>
      </c>
      <c r="F1111" s="8" t="str">
        <f aca="false">IFERROR(INDEX(Section_Master!$D$2:$D$477,MATCH($E1111,Section_Master!$A$2:$A$477,0))&amp;"","")</f>
        <v>Imprisonment up to 6 months, or fine, or both</v>
      </c>
      <c r="G1111" s="10" t="str">
        <f aca="false">IFERROR(INDEX(Section_Master!$E$2:$E$477,MATCH($E1111,Section_Master!$A$2:$A$477,0))&amp;"","")</f>
        <v>No</v>
      </c>
      <c r="H1111" s="10" t="str">
        <f aca="false">IFERROR(INDEX(Section_Master!$F$2:$F$477,MATCH($E1111,Section_Master!$A$2:$A$477,0))&amp;"","")</f>
        <v>Yes</v>
      </c>
      <c r="I1111" s="10" t="str">
        <f aca="false">IFERROR(INDEX(Section_Master!$G$2:$G$477,MATCH($E1111,Section_Master!$A$2:$A$477,0))&amp;"","")</f>
        <v>No</v>
      </c>
      <c r="J1111" s="10" t="s">
        <v>64</v>
      </c>
      <c r="K1111" s="8" t="s">
        <v>2629</v>
      </c>
    </row>
    <row r="1112" customFormat="false" ht="23.25" hidden="false" customHeight="true" outlineLevel="0" collapsed="false">
      <c r="A1112" s="10" t="s">
        <v>2640</v>
      </c>
      <c r="B1112" s="10" t="s">
        <v>45</v>
      </c>
      <c r="C1112" s="8" t="s">
        <v>2641</v>
      </c>
      <c r="D1112" s="8" t="s">
        <v>2642</v>
      </c>
      <c r="E1112" s="11" t="n">
        <v>186</v>
      </c>
      <c r="F1112" s="8" t="str">
        <f aca="false">IFERROR(INDEX(Section_Master!$D$2:$D$477,MATCH($E1112,Section_Master!$A$2:$A$477,0))&amp;"","")</f>
        <v>Fine</v>
      </c>
      <c r="G1112" s="10" t="str">
        <f aca="false">IFERROR(INDEX(Section_Master!$E$2:$E$477,MATCH($E1112,Section_Master!$A$2:$A$477,0))&amp;"","")</f>
        <v>No</v>
      </c>
      <c r="H1112" s="10" t="str">
        <f aca="false">IFERROR(INDEX(Section_Master!$F$2:$F$477,MATCH($E1112,Section_Master!$A$2:$A$477,0))&amp;"","")</f>
        <v>Yes</v>
      </c>
      <c r="I1112" s="10" t="str">
        <f aca="false">IFERROR(INDEX(Section_Master!$G$2:$G$477,MATCH($E1112,Section_Master!$A$2:$A$477,0))&amp;"","")</f>
        <v>No</v>
      </c>
      <c r="J1112" s="10" t="s">
        <v>48</v>
      </c>
      <c r="K1112" s="8" t="s">
        <v>2643</v>
      </c>
    </row>
    <row r="1113" customFormat="false" ht="34.5" hidden="false" customHeight="true" outlineLevel="0" collapsed="false">
      <c r="A1113" s="10" t="s">
        <v>2644</v>
      </c>
      <c r="B1113" s="10" t="s">
        <v>45</v>
      </c>
      <c r="C1113" s="8" t="s">
        <v>2641</v>
      </c>
      <c r="D1113" s="8" t="s">
        <v>2645</v>
      </c>
      <c r="E1113" s="11" t="n">
        <v>186</v>
      </c>
      <c r="F1113" s="8" t="str">
        <f aca="false">IFERROR(INDEX(Section_Master!$D$2:$D$477,MATCH($E1113,Section_Master!$A$2:$A$477,0))&amp;"","")</f>
        <v>Fine</v>
      </c>
      <c r="G1113" s="10" t="str">
        <f aca="false">IFERROR(INDEX(Section_Master!$E$2:$E$477,MATCH($E1113,Section_Master!$A$2:$A$477,0))&amp;"","")</f>
        <v>No</v>
      </c>
      <c r="H1113" s="10" t="str">
        <f aca="false">IFERROR(INDEX(Section_Master!$F$2:$F$477,MATCH($E1113,Section_Master!$A$2:$A$477,0))&amp;"","")</f>
        <v>Yes</v>
      </c>
      <c r="I1113" s="10" t="str">
        <f aca="false">IFERROR(INDEX(Section_Master!$G$2:$G$477,MATCH($E1113,Section_Master!$A$2:$A$477,0))&amp;"","")</f>
        <v>No</v>
      </c>
      <c r="J1113" s="10" t="s">
        <v>52</v>
      </c>
      <c r="K1113" s="8" t="s">
        <v>2643</v>
      </c>
    </row>
    <row r="1114" customFormat="false" ht="34.5" hidden="false" customHeight="true" outlineLevel="0" collapsed="false">
      <c r="A1114" s="10" t="s">
        <v>2646</v>
      </c>
      <c r="B1114" s="10" t="s">
        <v>45</v>
      </c>
      <c r="C1114" s="8" t="s">
        <v>2641</v>
      </c>
      <c r="D1114" s="8" t="s">
        <v>2647</v>
      </c>
      <c r="E1114" s="11" t="n">
        <v>186</v>
      </c>
      <c r="F1114" s="8" t="str">
        <f aca="false">IFERROR(INDEX(Section_Master!$D$2:$D$477,MATCH($E1114,Section_Master!$A$2:$A$477,0))&amp;"","")</f>
        <v>Fine</v>
      </c>
      <c r="G1114" s="10" t="str">
        <f aca="false">IFERROR(INDEX(Section_Master!$E$2:$E$477,MATCH($E1114,Section_Master!$A$2:$A$477,0))&amp;"","")</f>
        <v>No</v>
      </c>
      <c r="H1114" s="10" t="str">
        <f aca="false">IFERROR(INDEX(Section_Master!$F$2:$F$477,MATCH($E1114,Section_Master!$A$2:$A$477,0))&amp;"","")</f>
        <v>Yes</v>
      </c>
      <c r="I1114" s="10" t="str">
        <f aca="false">IFERROR(INDEX(Section_Master!$G$2:$G$477,MATCH($E1114,Section_Master!$A$2:$A$477,0))&amp;"","")</f>
        <v>No</v>
      </c>
      <c r="J1114" s="10" t="s">
        <v>55</v>
      </c>
      <c r="K1114" s="8" t="s">
        <v>2643</v>
      </c>
    </row>
    <row r="1115" customFormat="false" ht="34.5" hidden="false" customHeight="true" outlineLevel="0" collapsed="false">
      <c r="A1115" s="10" t="s">
        <v>2648</v>
      </c>
      <c r="B1115" s="10" t="s">
        <v>45</v>
      </c>
      <c r="C1115" s="8" t="s">
        <v>2641</v>
      </c>
      <c r="D1115" s="8" t="s">
        <v>2649</v>
      </c>
      <c r="E1115" s="11" t="n">
        <v>186</v>
      </c>
      <c r="F1115" s="8" t="str">
        <f aca="false">IFERROR(INDEX(Section_Master!$D$2:$D$477,MATCH($E1115,Section_Master!$A$2:$A$477,0))&amp;"","")</f>
        <v>Fine</v>
      </c>
      <c r="G1115" s="10" t="str">
        <f aca="false">IFERROR(INDEX(Section_Master!$E$2:$E$477,MATCH($E1115,Section_Master!$A$2:$A$477,0))&amp;"","")</f>
        <v>No</v>
      </c>
      <c r="H1115" s="10" t="str">
        <f aca="false">IFERROR(INDEX(Section_Master!$F$2:$F$477,MATCH($E1115,Section_Master!$A$2:$A$477,0))&amp;"","")</f>
        <v>Yes</v>
      </c>
      <c r="I1115" s="10" t="str">
        <f aca="false">IFERROR(INDEX(Section_Master!$G$2:$G$477,MATCH($E1115,Section_Master!$A$2:$A$477,0))&amp;"","")</f>
        <v>No</v>
      </c>
      <c r="J1115" s="10" t="s">
        <v>58</v>
      </c>
      <c r="K1115" s="8" t="s">
        <v>2643</v>
      </c>
    </row>
    <row r="1116" customFormat="false" ht="34.5" hidden="false" customHeight="true" outlineLevel="0" collapsed="false">
      <c r="A1116" s="10" t="s">
        <v>2650</v>
      </c>
      <c r="B1116" s="10" t="s">
        <v>45</v>
      </c>
      <c r="C1116" s="8" t="s">
        <v>2641</v>
      </c>
      <c r="D1116" s="8" t="s">
        <v>2651</v>
      </c>
      <c r="E1116" s="11" t="n">
        <v>186</v>
      </c>
      <c r="F1116" s="8" t="str">
        <f aca="false">IFERROR(INDEX(Section_Master!$D$2:$D$477,MATCH($E1116,Section_Master!$A$2:$A$477,0))&amp;"","")</f>
        <v>Fine</v>
      </c>
      <c r="G1116" s="10" t="str">
        <f aca="false">IFERROR(INDEX(Section_Master!$E$2:$E$477,MATCH($E1116,Section_Master!$A$2:$A$477,0))&amp;"","")</f>
        <v>No</v>
      </c>
      <c r="H1116" s="10" t="str">
        <f aca="false">IFERROR(INDEX(Section_Master!$F$2:$F$477,MATCH($E1116,Section_Master!$A$2:$A$477,0))&amp;"","")</f>
        <v>Yes</v>
      </c>
      <c r="I1116" s="10" t="str">
        <f aca="false">IFERROR(INDEX(Section_Master!$G$2:$G$477,MATCH($E1116,Section_Master!$A$2:$A$477,0))&amp;"","")</f>
        <v>No</v>
      </c>
      <c r="J1116" s="10" t="s">
        <v>61</v>
      </c>
      <c r="K1116" s="8" t="s">
        <v>2643</v>
      </c>
    </row>
    <row r="1117" customFormat="false" ht="34.5" hidden="false" customHeight="true" outlineLevel="0" collapsed="false">
      <c r="A1117" s="10" t="s">
        <v>2652</v>
      </c>
      <c r="B1117" s="10" t="s">
        <v>45</v>
      </c>
      <c r="C1117" s="8" t="s">
        <v>2641</v>
      </c>
      <c r="D1117" s="8" t="s">
        <v>2653</v>
      </c>
      <c r="E1117" s="11" t="n">
        <v>186</v>
      </c>
      <c r="F1117" s="8" t="str">
        <f aca="false">IFERROR(INDEX(Section_Master!$D$2:$D$477,MATCH($E1117,Section_Master!$A$2:$A$477,0))&amp;"","")</f>
        <v>Fine</v>
      </c>
      <c r="G1117" s="10" t="str">
        <f aca="false">IFERROR(INDEX(Section_Master!$E$2:$E$477,MATCH($E1117,Section_Master!$A$2:$A$477,0))&amp;"","")</f>
        <v>No</v>
      </c>
      <c r="H1117" s="10" t="str">
        <f aca="false">IFERROR(INDEX(Section_Master!$F$2:$F$477,MATCH($E1117,Section_Master!$A$2:$A$477,0))&amp;"","")</f>
        <v>Yes</v>
      </c>
      <c r="I1117" s="10" t="str">
        <f aca="false">IFERROR(INDEX(Section_Master!$G$2:$G$477,MATCH($E1117,Section_Master!$A$2:$A$477,0))&amp;"","")</f>
        <v>No</v>
      </c>
      <c r="J1117" s="10" t="s">
        <v>64</v>
      </c>
      <c r="K1117" s="8" t="s">
        <v>2643</v>
      </c>
    </row>
    <row r="1118" customFormat="false" ht="34.5" hidden="false" customHeight="true" outlineLevel="0" collapsed="false">
      <c r="A1118" s="10" t="s">
        <v>2654</v>
      </c>
      <c r="B1118" s="10" t="s">
        <v>45</v>
      </c>
      <c r="C1118" s="8" t="s">
        <v>2655</v>
      </c>
      <c r="D1118" s="8" t="s">
        <v>2656</v>
      </c>
      <c r="E1118" s="11" t="n">
        <v>187</v>
      </c>
      <c r="F1118" s="8" t="str">
        <f aca="false">IFERROR(INDEX(Section_Master!$D$2:$D$477,MATCH($E1118,Section_Master!$A$2:$A$477,0))&amp;"","")</f>
        <v>Imprisonment up to 7 years and fine</v>
      </c>
      <c r="G1118" s="10" t="str">
        <f aca="false">IFERROR(INDEX(Section_Master!$E$2:$E$477,MATCH($E1118,Section_Master!$A$2:$A$477,0))&amp;"","")</f>
        <v>Yes</v>
      </c>
      <c r="H1118" s="10" t="str">
        <f aca="false">IFERROR(INDEX(Section_Master!$F$2:$F$477,MATCH($E1118,Section_Master!$A$2:$A$477,0))&amp;"","")</f>
        <v>No</v>
      </c>
      <c r="I1118" s="10" t="str">
        <f aca="false">IFERROR(INDEX(Section_Master!$G$2:$G$477,MATCH($E1118,Section_Master!$A$2:$A$477,0))&amp;"","")</f>
        <v>No</v>
      </c>
      <c r="J1118" s="10" t="s">
        <v>48</v>
      </c>
      <c r="K1118" s="8" t="s">
        <v>2657</v>
      </c>
    </row>
    <row r="1119" customFormat="false" ht="34.5" hidden="false" customHeight="true" outlineLevel="0" collapsed="false">
      <c r="A1119" s="10" t="s">
        <v>2658</v>
      </c>
      <c r="B1119" s="10" t="s">
        <v>45</v>
      </c>
      <c r="C1119" s="8" t="s">
        <v>2655</v>
      </c>
      <c r="D1119" s="8" t="s">
        <v>2659</v>
      </c>
      <c r="E1119" s="11" t="n">
        <v>187</v>
      </c>
      <c r="F1119" s="8" t="str">
        <f aca="false">IFERROR(INDEX(Section_Master!$D$2:$D$477,MATCH($E1119,Section_Master!$A$2:$A$477,0))&amp;"","")</f>
        <v>Imprisonment up to 7 years and fine</v>
      </c>
      <c r="G1119" s="10" t="str">
        <f aca="false">IFERROR(INDEX(Section_Master!$E$2:$E$477,MATCH($E1119,Section_Master!$A$2:$A$477,0))&amp;"","")</f>
        <v>Yes</v>
      </c>
      <c r="H1119" s="10" t="str">
        <f aca="false">IFERROR(INDEX(Section_Master!$F$2:$F$477,MATCH($E1119,Section_Master!$A$2:$A$477,0))&amp;"","")</f>
        <v>No</v>
      </c>
      <c r="I1119" s="10" t="str">
        <f aca="false">IFERROR(INDEX(Section_Master!$G$2:$G$477,MATCH($E1119,Section_Master!$A$2:$A$477,0))&amp;"","")</f>
        <v>No</v>
      </c>
      <c r="J1119" s="10" t="s">
        <v>52</v>
      </c>
      <c r="K1119" s="8" t="s">
        <v>2657</v>
      </c>
    </row>
    <row r="1120" customFormat="false" ht="34.5" hidden="false" customHeight="true" outlineLevel="0" collapsed="false">
      <c r="A1120" s="10" t="s">
        <v>2660</v>
      </c>
      <c r="B1120" s="10" t="s">
        <v>45</v>
      </c>
      <c r="C1120" s="8" t="s">
        <v>2655</v>
      </c>
      <c r="D1120" s="8" t="s">
        <v>2661</v>
      </c>
      <c r="E1120" s="11" t="n">
        <v>187</v>
      </c>
      <c r="F1120" s="8" t="str">
        <f aca="false">IFERROR(INDEX(Section_Master!$D$2:$D$477,MATCH($E1120,Section_Master!$A$2:$A$477,0))&amp;"","")</f>
        <v>Imprisonment up to 7 years and fine</v>
      </c>
      <c r="G1120" s="10" t="str">
        <f aca="false">IFERROR(INDEX(Section_Master!$E$2:$E$477,MATCH($E1120,Section_Master!$A$2:$A$477,0))&amp;"","")</f>
        <v>Yes</v>
      </c>
      <c r="H1120" s="10" t="str">
        <f aca="false">IFERROR(INDEX(Section_Master!$F$2:$F$477,MATCH($E1120,Section_Master!$A$2:$A$477,0))&amp;"","")</f>
        <v>No</v>
      </c>
      <c r="I1120" s="10" t="str">
        <f aca="false">IFERROR(INDEX(Section_Master!$G$2:$G$477,MATCH($E1120,Section_Master!$A$2:$A$477,0))&amp;"","")</f>
        <v>No</v>
      </c>
      <c r="J1120" s="10" t="s">
        <v>55</v>
      </c>
      <c r="K1120" s="8" t="s">
        <v>2657</v>
      </c>
    </row>
    <row r="1121" customFormat="false" ht="34.5" hidden="false" customHeight="true" outlineLevel="0" collapsed="false">
      <c r="A1121" s="10" t="s">
        <v>2662</v>
      </c>
      <c r="B1121" s="10" t="s">
        <v>45</v>
      </c>
      <c r="C1121" s="8" t="s">
        <v>2655</v>
      </c>
      <c r="D1121" s="8" t="s">
        <v>2663</v>
      </c>
      <c r="E1121" s="11" t="n">
        <v>187</v>
      </c>
      <c r="F1121" s="8" t="str">
        <f aca="false">IFERROR(INDEX(Section_Master!$D$2:$D$477,MATCH($E1121,Section_Master!$A$2:$A$477,0))&amp;"","")</f>
        <v>Imprisonment up to 7 years and fine</v>
      </c>
      <c r="G1121" s="10" t="str">
        <f aca="false">IFERROR(INDEX(Section_Master!$E$2:$E$477,MATCH($E1121,Section_Master!$A$2:$A$477,0))&amp;"","")</f>
        <v>Yes</v>
      </c>
      <c r="H1121" s="10" t="str">
        <f aca="false">IFERROR(INDEX(Section_Master!$F$2:$F$477,MATCH($E1121,Section_Master!$A$2:$A$477,0))&amp;"","")</f>
        <v>No</v>
      </c>
      <c r="I1121" s="10" t="str">
        <f aca="false">IFERROR(INDEX(Section_Master!$G$2:$G$477,MATCH($E1121,Section_Master!$A$2:$A$477,0))&amp;"","")</f>
        <v>No</v>
      </c>
      <c r="J1121" s="10" t="s">
        <v>58</v>
      </c>
      <c r="K1121" s="8" t="s">
        <v>2657</v>
      </c>
    </row>
    <row r="1122" customFormat="false" ht="34.5" hidden="false" customHeight="true" outlineLevel="0" collapsed="false">
      <c r="A1122" s="10" t="s">
        <v>2664</v>
      </c>
      <c r="B1122" s="10" t="s">
        <v>45</v>
      </c>
      <c r="C1122" s="8" t="s">
        <v>2655</v>
      </c>
      <c r="D1122" s="8" t="s">
        <v>2665</v>
      </c>
      <c r="E1122" s="11" t="n">
        <v>187</v>
      </c>
      <c r="F1122" s="8" t="str">
        <f aca="false">IFERROR(INDEX(Section_Master!$D$2:$D$477,MATCH($E1122,Section_Master!$A$2:$A$477,0))&amp;"","")</f>
        <v>Imprisonment up to 7 years and fine</v>
      </c>
      <c r="G1122" s="10" t="str">
        <f aca="false">IFERROR(INDEX(Section_Master!$E$2:$E$477,MATCH($E1122,Section_Master!$A$2:$A$477,0))&amp;"","")</f>
        <v>Yes</v>
      </c>
      <c r="H1122" s="10" t="str">
        <f aca="false">IFERROR(INDEX(Section_Master!$F$2:$F$477,MATCH($E1122,Section_Master!$A$2:$A$477,0))&amp;"","")</f>
        <v>No</v>
      </c>
      <c r="I1122" s="10" t="str">
        <f aca="false">IFERROR(INDEX(Section_Master!$G$2:$G$477,MATCH($E1122,Section_Master!$A$2:$A$477,0))&amp;"","")</f>
        <v>No</v>
      </c>
      <c r="J1122" s="10" t="s">
        <v>61</v>
      </c>
      <c r="K1122" s="8" t="s">
        <v>2657</v>
      </c>
    </row>
    <row r="1123" customFormat="false" ht="34.5" hidden="false" customHeight="true" outlineLevel="0" collapsed="false">
      <c r="A1123" s="10" t="s">
        <v>2666</v>
      </c>
      <c r="B1123" s="10" t="s">
        <v>45</v>
      </c>
      <c r="C1123" s="8" t="s">
        <v>2655</v>
      </c>
      <c r="D1123" s="8" t="s">
        <v>2667</v>
      </c>
      <c r="E1123" s="11" t="n">
        <v>187</v>
      </c>
      <c r="F1123" s="8" t="str">
        <f aca="false">IFERROR(INDEX(Section_Master!$D$2:$D$477,MATCH($E1123,Section_Master!$A$2:$A$477,0))&amp;"","")</f>
        <v>Imprisonment up to 7 years and fine</v>
      </c>
      <c r="G1123" s="10" t="str">
        <f aca="false">IFERROR(INDEX(Section_Master!$E$2:$E$477,MATCH($E1123,Section_Master!$A$2:$A$477,0))&amp;"","")</f>
        <v>Yes</v>
      </c>
      <c r="H1123" s="10" t="str">
        <f aca="false">IFERROR(INDEX(Section_Master!$F$2:$F$477,MATCH($E1123,Section_Master!$A$2:$A$477,0))&amp;"","")</f>
        <v>No</v>
      </c>
      <c r="I1123" s="10" t="str">
        <f aca="false">IFERROR(INDEX(Section_Master!$G$2:$G$477,MATCH($E1123,Section_Master!$A$2:$A$477,0))&amp;"","")</f>
        <v>No</v>
      </c>
      <c r="J1123" s="10" t="s">
        <v>64</v>
      </c>
      <c r="K1123" s="8" t="s">
        <v>2657</v>
      </c>
    </row>
    <row r="1124" customFormat="false" ht="23.25" hidden="false" customHeight="true" outlineLevel="0" collapsed="false">
      <c r="A1124" s="10" t="s">
        <v>2668</v>
      </c>
      <c r="B1124" s="10" t="s">
        <v>45</v>
      </c>
      <c r="C1124" s="8" t="s">
        <v>2669</v>
      </c>
      <c r="D1124" s="8" t="s">
        <v>2670</v>
      </c>
      <c r="E1124" s="11" t="n">
        <v>188</v>
      </c>
      <c r="F1124" s="8" t="str">
        <f aca="false">IFERROR(INDEX(Section_Master!$D$2:$D$477,MATCH($E1124,Section_Master!$A$2:$A$477,0))&amp;"","")</f>
        <v>Imprisonment up to 7 years and fine</v>
      </c>
      <c r="G1124" s="10" t="str">
        <f aca="false">IFERROR(INDEX(Section_Master!$E$2:$E$477,MATCH($E1124,Section_Master!$A$2:$A$477,0))&amp;"","")</f>
        <v>Yes</v>
      </c>
      <c r="H1124" s="10" t="str">
        <f aca="false">IFERROR(INDEX(Section_Master!$F$2:$F$477,MATCH($E1124,Section_Master!$A$2:$A$477,0))&amp;"","")</f>
        <v>No</v>
      </c>
      <c r="I1124" s="10" t="str">
        <f aca="false">IFERROR(INDEX(Section_Master!$G$2:$G$477,MATCH($E1124,Section_Master!$A$2:$A$477,0))&amp;"","")</f>
        <v>No</v>
      </c>
      <c r="J1124" s="10" t="s">
        <v>48</v>
      </c>
      <c r="K1124" s="8" t="s">
        <v>2671</v>
      </c>
    </row>
    <row r="1125" customFormat="false" ht="34.5" hidden="false" customHeight="true" outlineLevel="0" collapsed="false">
      <c r="A1125" s="10" t="s">
        <v>2672</v>
      </c>
      <c r="B1125" s="10" t="s">
        <v>45</v>
      </c>
      <c r="C1125" s="8" t="s">
        <v>2669</v>
      </c>
      <c r="D1125" s="8" t="s">
        <v>2673</v>
      </c>
      <c r="E1125" s="11" t="n">
        <v>188</v>
      </c>
      <c r="F1125" s="8" t="str">
        <f aca="false">IFERROR(INDEX(Section_Master!$D$2:$D$477,MATCH($E1125,Section_Master!$A$2:$A$477,0))&amp;"","")</f>
        <v>Imprisonment up to 7 years and fine</v>
      </c>
      <c r="G1125" s="10" t="str">
        <f aca="false">IFERROR(INDEX(Section_Master!$E$2:$E$477,MATCH($E1125,Section_Master!$A$2:$A$477,0))&amp;"","")</f>
        <v>Yes</v>
      </c>
      <c r="H1125" s="10" t="str">
        <f aca="false">IFERROR(INDEX(Section_Master!$F$2:$F$477,MATCH($E1125,Section_Master!$A$2:$A$477,0))&amp;"","")</f>
        <v>No</v>
      </c>
      <c r="I1125" s="10" t="str">
        <f aca="false">IFERROR(INDEX(Section_Master!$G$2:$G$477,MATCH($E1125,Section_Master!$A$2:$A$477,0))&amp;"","")</f>
        <v>No</v>
      </c>
      <c r="J1125" s="10" t="s">
        <v>52</v>
      </c>
      <c r="K1125" s="8" t="s">
        <v>2671</v>
      </c>
    </row>
    <row r="1126" customFormat="false" ht="23.25" hidden="false" customHeight="true" outlineLevel="0" collapsed="false">
      <c r="A1126" s="10" t="s">
        <v>2674</v>
      </c>
      <c r="B1126" s="10" t="s">
        <v>45</v>
      </c>
      <c r="C1126" s="8" t="s">
        <v>2669</v>
      </c>
      <c r="D1126" s="8" t="s">
        <v>2675</v>
      </c>
      <c r="E1126" s="11" t="n">
        <v>188</v>
      </c>
      <c r="F1126" s="8" t="str">
        <f aca="false">IFERROR(INDEX(Section_Master!$D$2:$D$477,MATCH($E1126,Section_Master!$A$2:$A$477,0))&amp;"","")</f>
        <v>Imprisonment up to 7 years and fine</v>
      </c>
      <c r="G1126" s="10" t="str">
        <f aca="false">IFERROR(INDEX(Section_Master!$E$2:$E$477,MATCH($E1126,Section_Master!$A$2:$A$477,0))&amp;"","")</f>
        <v>Yes</v>
      </c>
      <c r="H1126" s="10" t="str">
        <f aca="false">IFERROR(INDEX(Section_Master!$F$2:$F$477,MATCH($E1126,Section_Master!$A$2:$A$477,0))&amp;"","")</f>
        <v>No</v>
      </c>
      <c r="I1126" s="10" t="str">
        <f aca="false">IFERROR(INDEX(Section_Master!$G$2:$G$477,MATCH($E1126,Section_Master!$A$2:$A$477,0))&amp;"","")</f>
        <v>No</v>
      </c>
      <c r="J1126" s="10" t="s">
        <v>55</v>
      </c>
      <c r="K1126" s="8" t="s">
        <v>2671</v>
      </c>
    </row>
    <row r="1127" customFormat="false" ht="34.5" hidden="false" customHeight="true" outlineLevel="0" collapsed="false">
      <c r="A1127" s="10" t="s">
        <v>2676</v>
      </c>
      <c r="B1127" s="10" t="s">
        <v>45</v>
      </c>
      <c r="C1127" s="8" t="s">
        <v>2669</v>
      </c>
      <c r="D1127" s="8" t="s">
        <v>2677</v>
      </c>
      <c r="E1127" s="11" t="n">
        <v>188</v>
      </c>
      <c r="F1127" s="8" t="str">
        <f aca="false">IFERROR(INDEX(Section_Master!$D$2:$D$477,MATCH($E1127,Section_Master!$A$2:$A$477,0))&amp;"","")</f>
        <v>Imprisonment up to 7 years and fine</v>
      </c>
      <c r="G1127" s="10" t="str">
        <f aca="false">IFERROR(INDEX(Section_Master!$E$2:$E$477,MATCH($E1127,Section_Master!$A$2:$A$477,0))&amp;"","")</f>
        <v>Yes</v>
      </c>
      <c r="H1127" s="10" t="str">
        <f aca="false">IFERROR(INDEX(Section_Master!$F$2:$F$477,MATCH($E1127,Section_Master!$A$2:$A$477,0))&amp;"","")</f>
        <v>No</v>
      </c>
      <c r="I1127" s="10" t="str">
        <f aca="false">IFERROR(INDEX(Section_Master!$G$2:$G$477,MATCH($E1127,Section_Master!$A$2:$A$477,0))&amp;"","")</f>
        <v>No</v>
      </c>
      <c r="J1127" s="10" t="s">
        <v>58</v>
      </c>
      <c r="K1127" s="8" t="s">
        <v>2671</v>
      </c>
    </row>
    <row r="1128" customFormat="false" ht="23.25" hidden="false" customHeight="true" outlineLevel="0" collapsed="false">
      <c r="A1128" s="10" t="s">
        <v>2678</v>
      </c>
      <c r="B1128" s="10" t="s">
        <v>45</v>
      </c>
      <c r="C1128" s="8" t="s">
        <v>2669</v>
      </c>
      <c r="D1128" s="8" t="s">
        <v>2679</v>
      </c>
      <c r="E1128" s="11" t="n">
        <v>188</v>
      </c>
      <c r="F1128" s="8" t="str">
        <f aca="false">IFERROR(INDEX(Section_Master!$D$2:$D$477,MATCH($E1128,Section_Master!$A$2:$A$477,0))&amp;"","")</f>
        <v>Imprisonment up to 7 years and fine</v>
      </c>
      <c r="G1128" s="10" t="str">
        <f aca="false">IFERROR(INDEX(Section_Master!$E$2:$E$477,MATCH($E1128,Section_Master!$A$2:$A$477,0))&amp;"","")</f>
        <v>Yes</v>
      </c>
      <c r="H1128" s="10" t="str">
        <f aca="false">IFERROR(INDEX(Section_Master!$F$2:$F$477,MATCH($E1128,Section_Master!$A$2:$A$477,0))&amp;"","")</f>
        <v>No</v>
      </c>
      <c r="I1128" s="10" t="str">
        <f aca="false">IFERROR(INDEX(Section_Master!$G$2:$G$477,MATCH($E1128,Section_Master!$A$2:$A$477,0))&amp;"","")</f>
        <v>No</v>
      </c>
      <c r="J1128" s="10" t="s">
        <v>61</v>
      </c>
      <c r="K1128" s="8" t="s">
        <v>2671</v>
      </c>
    </row>
    <row r="1129" customFormat="false" ht="34.5" hidden="false" customHeight="true" outlineLevel="0" collapsed="false">
      <c r="A1129" s="10" t="s">
        <v>2680</v>
      </c>
      <c r="B1129" s="10" t="s">
        <v>45</v>
      </c>
      <c r="C1129" s="8" t="s">
        <v>2669</v>
      </c>
      <c r="D1129" s="8" t="s">
        <v>2681</v>
      </c>
      <c r="E1129" s="11" t="n">
        <v>188</v>
      </c>
      <c r="F1129" s="8" t="str">
        <f aca="false">IFERROR(INDEX(Section_Master!$D$2:$D$477,MATCH($E1129,Section_Master!$A$2:$A$477,0))&amp;"","")</f>
        <v>Imprisonment up to 7 years and fine</v>
      </c>
      <c r="G1129" s="10" t="str">
        <f aca="false">IFERROR(INDEX(Section_Master!$E$2:$E$477,MATCH($E1129,Section_Master!$A$2:$A$477,0))&amp;"","")</f>
        <v>Yes</v>
      </c>
      <c r="H1129" s="10" t="str">
        <f aca="false">IFERROR(INDEX(Section_Master!$F$2:$F$477,MATCH($E1129,Section_Master!$A$2:$A$477,0))&amp;"","")</f>
        <v>No</v>
      </c>
      <c r="I1129" s="10" t="str">
        <f aca="false">IFERROR(INDEX(Section_Master!$G$2:$G$477,MATCH($E1129,Section_Master!$A$2:$A$477,0))&amp;"","")</f>
        <v>No</v>
      </c>
      <c r="J1129" s="10" t="s">
        <v>64</v>
      </c>
      <c r="K1129" s="8" t="s">
        <v>2671</v>
      </c>
    </row>
    <row r="1130" customFormat="false" ht="34.5" hidden="false" customHeight="true" outlineLevel="0" collapsed="false">
      <c r="A1130" s="10" t="s">
        <v>2682</v>
      </c>
      <c r="B1130" s="10" t="s">
        <v>45</v>
      </c>
      <c r="C1130" s="8" t="s">
        <v>2683</v>
      </c>
      <c r="D1130" s="8" t="s">
        <v>2684</v>
      </c>
      <c r="E1130" s="11" t="n">
        <v>189</v>
      </c>
      <c r="F1130" s="8" t="str">
        <f aca="false">IFERROR(INDEX(Section_Master!$D$2:$D$477,MATCH($E1130,Section_Master!$A$2:$A$477,0))&amp;"","")</f>
        <v>Imprisonment up to 6 months, or fine, or both [s.189(2)]</v>
      </c>
      <c r="G1130" s="10" t="str">
        <f aca="false">IFERROR(INDEX(Section_Master!$E$2:$E$477,MATCH($E1130,Section_Master!$A$2:$A$477,0))&amp;"","")</f>
        <v>Yes</v>
      </c>
      <c r="H1130" s="10" t="str">
        <f aca="false">IFERROR(INDEX(Section_Master!$F$2:$F$477,MATCH($E1130,Section_Master!$A$2:$A$477,0))&amp;"","")</f>
        <v>Yes</v>
      </c>
      <c r="I1130" s="10" t="str">
        <f aca="false">IFERROR(INDEX(Section_Master!$G$2:$G$477,MATCH($E1130,Section_Master!$A$2:$A$477,0))&amp;"","")</f>
        <v>No</v>
      </c>
      <c r="J1130" s="10" t="s">
        <v>48</v>
      </c>
      <c r="K1130" s="8" t="s">
        <v>2685</v>
      </c>
    </row>
    <row r="1131" customFormat="false" ht="45.75" hidden="false" customHeight="true" outlineLevel="0" collapsed="false">
      <c r="A1131" s="10" t="s">
        <v>2686</v>
      </c>
      <c r="B1131" s="10" t="s">
        <v>45</v>
      </c>
      <c r="C1131" s="8" t="s">
        <v>2683</v>
      </c>
      <c r="D1131" s="8" t="s">
        <v>2687</v>
      </c>
      <c r="E1131" s="11" t="n">
        <v>189</v>
      </c>
      <c r="F1131" s="8" t="str">
        <f aca="false">IFERROR(INDEX(Section_Master!$D$2:$D$477,MATCH($E1131,Section_Master!$A$2:$A$477,0))&amp;"","")</f>
        <v>Imprisonment up to 6 months, or fine, or both [s.189(2)]</v>
      </c>
      <c r="G1131" s="10" t="str">
        <f aca="false">IFERROR(INDEX(Section_Master!$E$2:$E$477,MATCH($E1131,Section_Master!$A$2:$A$477,0))&amp;"","")</f>
        <v>Yes</v>
      </c>
      <c r="H1131" s="10" t="str">
        <f aca="false">IFERROR(INDEX(Section_Master!$F$2:$F$477,MATCH($E1131,Section_Master!$A$2:$A$477,0))&amp;"","")</f>
        <v>Yes</v>
      </c>
      <c r="I1131" s="10" t="str">
        <f aca="false">IFERROR(INDEX(Section_Master!$G$2:$G$477,MATCH($E1131,Section_Master!$A$2:$A$477,0))&amp;"","")</f>
        <v>No</v>
      </c>
      <c r="J1131" s="10" t="s">
        <v>52</v>
      </c>
      <c r="K1131" s="8" t="s">
        <v>2685</v>
      </c>
    </row>
    <row r="1132" customFormat="false" ht="34.5" hidden="false" customHeight="true" outlineLevel="0" collapsed="false">
      <c r="A1132" s="10" t="s">
        <v>2688</v>
      </c>
      <c r="B1132" s="10" t="s">
        <v>45</v>
      </c>
      <c r="C1132" s="8" t="s">
        <v>2683</v>
      </c>
      <c r="D1132" s="8" t="s">
        <v>2689</v>
      </c>
      <c r="E1132" s="11" t="n">
        <v>189</v>
      </c>
      <c r="F1132" s="8" t="str">
        <f aca="false">IFERROR(INDEX(Section_Master!$D$2:$D$477,MATCH($E1132,Section_Master!$A$2:$A$477,0))&amp;"","")</f>
        <v>Imprisonment up to 6 months, or fine, or both [s.189(2)]</v>
      </c>
      <c r="G1132" s="10" t="str">
        <f aca="false">IFERROR(INDEX(Section_Master!$E$2:$E$477,MATCH($E1132,Section_Master!$A$2:$A$477,0))&amp;"","")</f>
        <v>Yes</v>
      </c>
      <c r="H1132" s="10" t="str">
        <f aca="false">IFERROR(INDEX(Section_Master!$F$2:$F$477,MATCH($E1132,Section_Master!$A$2:$A$477,0))&amp;"","")</f>
        <v>Yes</v>
      </c>
      <c r="I1132" s="10" t="str">
        <f aca="false">IFERROR(INDEX(Section_Master!$G$2:$G$477,MATCH($E1132,Section_Master!$A$2:$A$477,0))&amp;"","")</f>
        <v>No</v>
      </c>
      <c r="J1132" s="10" t="s">
        <v>55</v>
      </c>
      <c r="K1132" s="8" t="s">
        <v>2685</v>
      </c>
    </row>
    <row r="1133" customFormat="false" ht="23.25" hidden="false" customHeight="true" outlineLevel="0" collapsed="false">
      <c r="A1133" s="10" t="s">
        <v>2690</v>
      </c>
      <c r="B1133" s="10" t="s">
        <v>45</v>
      </c>
      <c r="C1133" s="8" t="s">
        <v>2683</v>
      </c>
      <c r="D1133" s="8" t="s">
        <v>2691</v>
      </c>
      <c r="E1133" s="11" t="n">
        <v>189</v>
      </c>
      <c r="F1133" s="8" t="str">
        <f aca="false">IFERROR(INDEX(Section_Master!$D$2:$D$477,MATCH($E1133,Section_Master!$A$2:$A$477,0))&amp;"","")</f>
        <v>Imprisonment up to 6 months, or fine, or both [s.189(2)]</v>
      </c>
      <c r="G1133" s="10" t="str">
        <f aca="false">IFERROR(INDEX(Section_Master!$E$2:$E$477,MATCH($E1133,Section_Master!$A$2:$A$477,0))&amp;"","")</f>
        <v>Yes</v>
      </c>
      <c r="H1133" s="10" t="str">
        <f aca="false">IFERROR(INDEX(Section_Master!$F$2:$F$477,MATCH($E1133,Section_Master!$A$2:$A$477,0))&amp;"","")</f>
        <v>Yes</v>
      </c>
      <c r="I1133" s="10" t="str">
        <f aca="false">IFERROR(INDEX(Section_Master!$G$2:$G$477,MATCH($E1133,Section_Master!$A$2:$A$477,0))&amp;"","")</f>
        <v>No</v>
      </c>
      <c r="J1133" s="10" t="s">
        <v>58</v>
      </c>
      <c r="K1133" s="8" t="s">
        <v>2685</v>
      </c>
    </row>
    <row r="1134" customFormat="false" ht="34.5" hidden="false" customHeight="true" outlineLevel="0" collapsed="false">
      <c r="A1134" s="10" t="s">
        <v>2692</v>
      </c>
      <c r="B1134" s="10" t="s">
        <v>45</v>
      </c>
      <c r="C1134" s="8" t="s">
        <v>2683</v>
      </c>
      <c r="D1134" s="8" t="s">
        <v>2693</v>
      </c>
      <c r="E1134" s="11" t="n">
        <v>189</v>
      </c>
      <c r="F1134" s="8" t="str">
        <f aca="false">IFERROR(INDEX(Section_Master!$D$2:$D$477,MATCH($E1134,Section_Master!$A$2:$A$477,0))&amp;"","")</f>
        <v>Imprisonment up to 6 months, or fine, or both [s.189(2)]</v>
      </c>
      <c r="G1134" s="10" t="str">
        <f aca="false">IFERROR(INDEX(Section_Master!$E$2:$E$477,MATCH($E1134,Section_Master!$A$2:$A$477,0))&amp;"","")</f>
        <v>Yes</v>
      </c>
      <c r="H1134" s="10" t="str">
        <f aca="false">IFERROR(INDEX(Section_Master!$F$2:$F$477,MATCH($E1134,Section_Master!$A$2:$A$477,0))&amp;"","")</f>
        <v>Yes</v>
      </c>
      <c r="I1134" s="10" t="str">
        <f aca="false">IFERROR(INDEX(Section_Master!$G$2:$G$477,MATCH($E1134,Section_Master!$A$2:$A$477,0))&amp;"","")</f>
        <v>No</v>
      </c>
      <c r="J1134" s="10" t="s">
        <v>61</v>
      </c>
      <c r="K1134" s="8" t="s">
        <v>2685</v>
      </c>
    </row>
    <row r="1135" customFormat="false" ht="34.5" hidden="false" customHeight="true" outlineLevel="0" collapsed="false">
      <c r="A1135" s="10" t="s">
        <v>2694</v>
      </c>
      <c r="B1135" s="10" t="s">
        <v>45</v>
      </c>
      <c r="C1135" s="8" t="s">
        <v>2683</v>
      </c>
      <c r="D1135" s="8" t="s">
        <v>2695</v>
      </c>
      <c r="E1135" s="11" t="n">
        <v>189</v>
      </c>
      <c r="F1135" s="8" t="str">
        <f aca="false">IFERROR(INDEX(Section_Master!$D$2:$D$477,MATCH($E1135,Section_Master!$A$2:$A$477,0))&amp;"","")</f>
        <v>Imprisonment up to 6 months, or fine, or both [s.189(2)]</v>
      </c>
      <c r="G1135" s="10" t="str">
        <f aca="false">IFERROR(INDEX(Section_Master!$E$2:$E$477,MATCH($E1135,Section_Master!$A$2:$A$477,0))&amp;"","")</f>
        <v>Yes</v>
      </c>
      <c r="H1135" s="10" t="str">
        <f aca="false">IFERROR(INDEX(Section_Master!$F$2:$F$477,MATCH($E1135,Section_Master!$A$2:$A$477,0))&amp;"","")</f>
        <v>Yes</v>
      </c>
      <c r="I1135" s="10" t="str">
        <f aca="false">IFERROR(INDEX(Section_Master!$G$2:$G$477,MATCH($E1135,Section_Master!$A$2:$A$477,0))&amp;"","")</f>
        <v>No</v>
      </c>
      <c r="J1135" s="10" t="s">
        <v>64</v>
      </c>
      <c r="K1135" s="8" t="s">
        <v>2685</v>
      </c>
    </row>
    <row r="1136" customFormat="false" ht="34.5" hidden="false" customHeight="true" outlineLevel="0" collapsed="false">
      <c r="A1136" s="10" t="s">
        <v>2696</v>
      </c>
      <c r="B1136" s="10" t="s">
        <v>45</v>
      </c>
      <c r="C1136" s="8" t="s">
        <v>2697</v>
      </c>
      <c r="D1136" s="8" t="s">
        <v>2698</v>
      </c>
      <c r="E1136" s="11" t="n">
        <v>190</v>
      </c>
      <c r="F1136" s="8" t="str">
        <f aca="false">IFERROR(INDEX(Section_Master!$D$2:$D$477,MATCH($E1136,Section_Master!$A$2:$A$477,0))&amp;"","")</f>
        <v>Same punishment as for the offence committed in prosecution of the common object</v>
      </c>
      <c r="G1136" s="10" t="str">
        <f aca="false">IFERROR(INDEX(Section_Master!$E$2:$E$477,MATCH($E1136,Section_Master!$A$2:$A$477,0))&amp;"","")</f>
        <v>Same as underlying offence</v>
      </c>
      <c r="H1136" s="10" t="str">
        <f aca="false">IFERROR(INDEX(Section_Master!$F$2:$F$477,MATCH($E1136,Section_Master!$A$2:$A$477,0))&amp;"","")</f>
        <v>Same as underlying offence</v>
      </c>
      <c r="I1136" s="10" t="str">
        <f aca="false">IFERROR(INDEX(Section_Master!$G$2:$G$477,MATCH($E1136,Section_Master!$A$2:$A$477,0))&amp;"","")</f>
        <v>Same as underlying offence</v>
      </c>
      <c r="J1136" s="10" t="s">
        <v>48</v>
      </c>
      <c r="K1136" s="8" t="s">
        <v>2699</v>
      </c>
    </row>
    <row r="1137" customFormat="false" ht="45.75" hidden="false" customHeight="true" outlineLevel="0" collapsed="false">
      <c r="A1137" s="10" t="s">
        <v>2700</v>
      </c>
      <c r="B1137" s="10" t="s">
        <v>45</v>
      </c>
      <c r="C1137" s="8" t="s">
        <v>2697</v>
      </c>
      <c r="D1137" s="8" t="s">
        <v>2701</v>
      </c>
      <c r="E1137" s="11" t="n">
        <v>190</v>
      </c>
      <c r="F1137" s="8" t="str">
        <f aca="false">IFERROR(INDEX(Section_Master!$D$2:$D$477,MATCH($E1137,Section_Master!$A$2:$A$477,0))&amp;"","")</f>
        <v>Same punishment as for the offence committed in prosecution of the common object</v>
      </c>
      <c r="G1137" s="10" t="str">
        <f aca="false">IFERROR(INDEX(Section_Master!$E$2:$E$477,MATCH($E1137,Section_Master!$A$2:$A$477,0))&amp;"","")</f>
        <v>Same as underlying offence</v>
      </c>
      <c r="H1137" s="10" t="str">
        <f aca="false">IFERROR(INDEX(Section_Master!$F$2:$F$477,MATCH($E1137,Section_Master!$A$2:$A$477,0))&amp;"","")</f>
        <v>Same as underlying offence</v>
      </c>
      <c r="I1137" s="10" t="str">
        <f aca="false">IFERROR(INDEX(Section_Master!$G$2:$G$477,MATCH($E1137,Section_Master!$A$2:$A$477,0))&amp;"","")</f>
        <v>Same as underlying offence</v>
      </c>
      <c r="J1137" s="10" t="s">
        <v>52</v>
      </c>
      <c r="K1137" s="8" t="s">
        <v>2699</v>
      </c>
    </row>
    <row r="1138" customFormat="false" ht="34.5" hidden="false" customHeight="true" outlineLevel="0" collapsed="false">
      <c r="A1138" s="10" t="s">
        <v>2702</v>
      </c>
      <c r="B1138" s="10" t="s">
        <v>45</v>
      </c>
      <c r="C1138" s="8" t="s">
        <v>2697</v>
      </c>
      <c r="D1138" s="8" t="s">
        <v>2703</v>
      </c>
      <c r="E1138" s="11" t="n">
        <v>190</v>
      </c>
      <c r="F1138" s="8" t="str">
        <f aca="false">IFERROR(INDEX(Section_Master!$D$2:$D$477,MATCH($E1138,Section_Master!$A$2:$A$477,0))&amp;"","")</f>
        <v>Same punishment as for the offence committed in prosecution of the common object</v>
      </c>
      <c r="G1138" s="10" t="str">
        <f aca="false">IFERROR(INDEX(Section_Master!$E$2:$E$477,MATCH($E1138,Section_Master!$A$2:$A$477,0))&amp;"","")</f>
        <v>Same as underlying offence</v>
      </c>
      <c r="H1138" s="10" t="str">
        <f aca="false">IFERROR(INDEX(Section_Master!$F$2:$F$477,MATCH($E1138,Section_Master!$A$2:$A$477,0))&amp;"","")</f>
        <v>Same as underlying offence</v>
      </c>
      <c r="I1138" s="10" t="str">
        <f aca="false">IFERROR(INDEX(Section_Master!$G$2:$G$477,MATCH($E1138,Section_Master!$A$2:$A$477,0))&amp;"","")</f>
        <v>Same as underlying offence</v>
      </c>
      <c r="J1138" s="10" t="s">
        <v>55</v>
      </c>
      <c r="K1138" s="8" t="s">
        <v>2699</v>
      </c>
    </row>
    <row r="1139" customFormat="false" ht="34.5" hidden="false" customHeight="true" outlineLevel="0" collapsed="false">
      <c r="A1139" s="10" t="s">
        <v>2704</v>
      </c>
      <c r="B1139" s="10" t="s">
        <v>45</v>
      </c>
      <c r="C1139" s="8" t="s">
        <v>2697</v>
      </c>
      <c r="D1139" s="8" t="s">
        <v>2705</v>
      </c>
      <c r="E1139" s="11" t="n">
        <v>190</v>
      </c>
      <c r="F1139" s="8" t="str">
        <f aca="false">IFERROR(INDEX(Section_Master!$D$2:$D$477,MATCH($E1139,Section_Master!$A$2:$A$477,0))&amp;"","")</f>
        <v>Same punishment as for the offence committed in prosecution of the common object</v>
      </c>
      <c r="G1139" s="10" t="str">
        <f aca="false">IFERROR(INDEX(Section_Master!$E$2:$E$477,MATCH($E1139,Section_Master!$A$2:$A$477,0))&amp;"","")</f>
        <v>Same as underlying offence</v>
      </c>
      <c r="H1139" s="10" t="str">
        <f aca="false">IFERROR(INDEX(Section_Master!$F$2:$F$477,MATCH($E1139,Section_Master!$A$2:$A$477,0))&amp;"","")</f>
        <v>Same as underlying offence</v>
      </c>
      <c r="I1139" s="10" t="str">
        <f aca="false">IFERROR(INDEX(Section_Master!$G$2:$G$477,MATCH($E1139,Section_Master!$A$2:$A$477,0))&amp;"","")</f>
        <v>Same as underlying offence</v>
      </c>
      <c r="J1139" s="10" t="s">
        <v>58</v>
      </c>
      <c r="K1139" s="8" t="s">
        <v>2699</v>
      </c>
    </row>
    <row r="1140" customFormat="false" ht="34.5" hidden="false" customHeight="true" outlineLevel="0" collapsed="false">
      <c r="A1140" s="10" t="s">
        <v>2706</v>
      </c>
      <c r="B1140" s="10" t="s">
        <v>45</v>
      </c>
      <c r="C1140" s="8" t="s">
        <v>2697</v>
      </c>
      <c r="D1140" s="8" t="s">
        <v>2707</v>
      </c>
      <c r="E1140" s="11" t="n">
        <v>190</v>
      </c>
      <c r="F1140" s="8" t="str">
        <f aca="false">IFERROR(INDEX(Section_Master!$D$2:$D$477,MATCH($E1140,Section_Master!$A$2:$A$477,0))&amp;"","")</f>
        <v>Same punishment as for the offence committed in prosecution of the common object</v>
      </c>
      <c r="G1140" s="10" t="str">
        <f aca="false">IFERROR(INDEX(Section_Master!$E$2:$E$477,MATCH($E1140,Section_Master!$A$2:$A$477,0))&amp;"","")</f>
        <v>Same as underlying offence</v>
      </c>
      <c r="H1140" s="10" t="str">
        <f aca="false">IFERROR(INDEX(Section_Master!$F$2:$F$477,MATCH($E1140,Section_Master!$A$2:$A$477,0))&amp;"","")</f>
        <v>Same as underlying offence</v>
      </c>
      <c r="I1140" s="10" t="str">
        <f aca="false">IFERROR(INDEX(Section_Master!$G$2:$G$477,MATCH($E1140,Section_Master!$A$2:$A$477,0))&amp;"","")</f>
        <v>Same as underlying offence</v>
      </c>
      <c r="J1140" s="10" t="s">
        <v>61</v>
      </c>
      <c r="K1140" s="8" t="s">
        <v>2699</v>
      </c>
    </row>
    <row r="1141" customFormat="false" ht="34.5" hidden="false" customHeight="true" outlineLevel="0" collapsed="false">
      <c r="A1141" s="10" t="s">
        <v>2708</v>
      </c>
      <c r="B1141" s="10" t="s">
        <v>45</v>
      </c>
      <c r="C1141" s="8" t="s">
        <v>2697</v>
      </c>
      <c r="D1141" s="8" t="s">
        <v>2709</v>
      </c>
      <c r="E1141" s="11" t="n">
        <v>190</v>
      </c>
      <c r="F1141" s="8" t="str">
        <f aca="false">IFERROR(INDEX(Section_Master!$D$2:$D$477,MATCH($E1141,Section_Master!$A$2:$A$477,0))&amp;"","")</f>
        <v>Same punishment as for the offence committed in prosecution of the common object</v>
      </c>
      <c r="G1141" s="10" t="str">
        <f aca="false">IFERROR(INDEX(Section_Master!$E$2:$E$477,MATCH($E1141,Section_Master!$A$2:$A$477,0))&amp;"","")</f>
        <v>Same as underlying offence</v>
      </c>
      <c r="H1141" s="10" t="str">
        <f aca="false">IFERROR(INDEX(Section_Master!$F$2:$F$477,MATCH($E1141,Section_Master!$A$2:$A$477,0))&amp;"","")</f>
        <v>Same as underlying offence</v>
      </c>
      <c r="I1141" s="10" t="str">
        <f aca="false">IFERROR(INDEX(Section_Master!$G$2:$G$477,MATCH($E1141,Section_Master!$A$2:$A$477,0))&amp;"","")</f>
        <v>Same as underlying offence</v>
      </c>
      <c r="J1141" s="10" t="s">
        <v>64</v>
      </c>
      <c r="K1141" s="8" t="s">
        <v>2699</v>
      </c>
    </row>
    <row r="1142" customFormat="false" ht="23.25" hidden="false" customHeight="true" outlineLevel="0" collapsed="false">
      <c r="A1142" s="10" t="s">
        <v>2710</v>
      </c>
      <c r="B1142" s="10" t="s">
        <v>45</v>
      </c>
      <c r="C1142" s="8" t="s">
        <v>2711</v>
      </c>
      <c r="D1142" s="8" t="s">
        <v>2712</v>
      </c>
      <c r="E1142" s="11" t="n">
        <v>191</v>
      </c>
      <c r="F1142" s="8" t="str">
        <f aca="false">IFERROR(INDEX(Section_Master!$D$2:$D$477,MATCH($E1142,Section_Master!$A$2:$A$477,0))&amp;"","")</f>
        <v>Imprisonment up to 2 years, or fine, or both [s.191(2)]</v>
      </c>
      <c r="G1142" s="10" t="str">
        <f aca="false">IFERROR(INDEX(Section_Master!$E$2:$E$477,MATCH($E1142,Section_Master!$A$2:$A$477,0))&amp;"","")</f>
        <v>Yes</v>
      </c>
      <c r="H1142" s="10" t="str">
        <f aca="false">IFERROR(INDEX(Section_Master!$F$2:$F$477,MATCH($E1142,Section_Master!$A$2:$A$477,0))&amp;"","")</f>
        <v>Yes</v>
      </c>
      <c r="I1142" s="10" t="str">
        <f aca="false">IFERROR(INDEX(Section_Master!$G$2:$G$477,MATCH($E1142,Section_Master!$A$2:$A$477,0))&amp;"","")</f>
        <v>No</v>
      </c>
      <c r="J1142" s="10" t="s">
        <v>48</v>
      </c>
      <c r="K1142" s="8" t="s">
        <v>2713</v>
      </c>
    </row>
    <row r="1143" customFormat="false" ht="45.75" hidden="false" customHeight="true" outlineLevel="0" collapsed="false">
      <c r="A1143" s="10" t="s">
        <v>2714</v>
      </c>
      <c r="B1143" s="10" t="s">
        <v>45</v>
      </c>
      <c r="C1143" s="8" t="s">
        <v>2711</v>
      </c>
      <c r="D1143" s="8" t="s">
        <v>2715</v>
      </c>
      <c r="E1143" s="11" t="n">
        <v>191</v>
      </c>
      <c r="F1143" s="8" t="str">
        <f aca="false">IFERROR(INDEX(Section_Master!$D$2:$D$477,MATCH($E1143,Section_Master!$A$2:$A$477,0))&amp;"","")</f>
        <v>Imprisonment up to 2 years, or fine, or both [s.191(2)]</v>
      </c>
      <c r="G1143" s="10" t="str">
        <f aca="false">IFERROR(INDEX(Section_Master!$E$2:$E$477,MATCH($E1143,Section_Master!$A$2:$A$477,0))&amp;"","")</f>
        <v>Yes</v>
      </c>
      <c r="H1143" s="10" t="str">
        <f aca="false">IFERROR(INDEX(Section_Master!$F$2:$F$477,MATCH($E1143,Section_Master!$A$2:$A$477,0))&amp;"","")</f>
        <v>Yes</v>
      </c>
      <c r="I1143" s="10" t="str">
        <f aca="false">IFERROR(INDEX(Section_Master!$G$2:$G$477,MATCH($E1143,Section_Master!$A$2:$A$477,0))&amp;"","")</f>
        <v>No</v>
      </c>
      <c r="J1143" s="10" t="s">
        <v>52</v>
      </c>
      <c r="K1143" s="8" t="s">
        <v>2713</v>
      </c>
    </row>
    <row r="1144" customFormat="false" ht="34.5" hidden="false" customHeight="true" outlineLevel="0" collapsed="false">
      <c r="A1144" s="10" t="s">
        <v>2716</v>
      </c>
      <c r="B1144" s="10" t="s">
        <v>45</v>
      </c>
      <c r="C1144" s="8" t="s">
        <v>2711</v>
      </c>
      <c r="D1144" s="8" t="s">
        <v>2717</v>
      </c>
      <c r="E1144" s="11" t="n">
        <v>191</v>
      </c>
      <c r="F1144" s="8" t="str">
        <f aca="false">IFERROR(INDEX(Section_Master!$D$2:$D$477,MATCH($E1144,Section_Master!$A$2:$A$477,0))&amp;"","")</f>
        <v>Imprisonment up to 2 years, or fine, or both [s.191(2)]</v>
      </c>
      <c r="G1144" s="10" t="str">
        <f aca="false">IFERROR(INDEX(Section_Master!$E$2:$E$477,MATCH($E1144,Section_Master!$A$2:$A$477,0))&amp;"","")</f>
        <v>Yes</v>
      </c>
      <c r="H1144" s="10" t="str">
        <f aca="false">IFERROR(INDEX(Section_Master!$F$2:$F$477,MATCH($E1144,Section_Master!$A$2:$A$477,0))&amp;"","")</f>
        <v>Yes</v>
      </c>
      <c r="I1144" s="10" t="str">
        <f aca="false">IFERROR(INDEX(Section_Master!$G$2:$G$477,MATCH($E1144,Section_Master!$A$2:$A$477,0))&amp;"","")</f>
        <v>No</v>
      </c>
      <c r="J1144" s="10" t="s">
        <v>55</v>
      </c>
      <c r="K1144" s="8" t="s">
        <v>2713</v>
      </c>
    </row>
    <row r="1145" customFormat="false" ht="34.5" hidden="false" customHeight="true" outlineLevel="0" collapsed="false">
      <c r="A1145" s="10" t="s">
        <v>2718</v>
      </c>
      <c r="B1145" s="10" t="s">
        <v>45</v>
      </c>
      <c r="C1145" s="8" t="s">
        <v>2711</v>
      </c>
      <c r="D1145" s="8" t="s">
        <v>2719</v>
      </c>
      <c r="E1145" s="11" t="n">
        <v>191</v>
      </c>
      <c r="F1145" s="8" t="str">
        <f aca="false">IFERROR(INDEX(Section_Master!$D$2:$D$477,MATCH($E1145,Section_Master!$A$2:$A$477,0))&amp;"","")</f>
        <v>Imprisonment up to 2 years, or fine, or both [s.191(2)]</v>
      </c>
      <c r="G1145" s="10" t="str">
        <f aca="false">IFERROR(INDEX(Section_Master!$E$2:$E$477,MATCH($E1145,Section_Master!$A$2:$A$477,0))&amp;"","")</f>
        <v>Yes</v>
      </c>
      <c r="H1145" s="10" t="str">
        <f aca="false">IFERROR(INDEX(Section_Master!$F$2:$F$477,MATCH($E1145,Section_Master!$A$2:$A$477,0))&amp;"","")</f>
        <v>Yes</v>
      </c>
      <c r="I1145" s="10" t="str">
        <f aca="false">IFERROR(INDEX(Section_Master!$G$2:$G$477,MATCH($E1145,Section_Master!$A$2:$A$477,0))&amp;"","")</f>
        <v>No</v>
      </c>
      <c r="J1145" s="10" t="s">
        <v>58</v>
      </c>
      <c r="K1145" s="8" t="s">
        <v>2713</v>
      </c>
    </row>
    <row r="1146" customFormat="false" ht="34.5" hidden="false" customHeight="true" outlineLevel="0" collapsed="false">
      <c r="A1146" s="10" t="s">
        <v>2720</v>
      </c>
      <c r="B1146" s="10" t="s">
        <v>45</v>
      </c>
      <c r="C1146" s="8" t="s">
        <v>2711</v>
      </c>
      <c r="D1146" s="8" t="s">
        <v>2721</v>
      </c>
      <c r="E1146" s="11" t="n">
        <v>191</v>
      </c>
      <c r="F1146" s="8" t="str">
        <f aca="false">IFERROR(INDEX(Section_Master!$D$2:$D$477,MATCH($E1146,Section_Master!$A$2:$A$477,0))&amp;"","")</f>
        <v>Imprisonment up to 2 years, or fine, or both [s.191(2)]</v>
      </c>
      <c r="G1146" s="10" t="str">
        <f aca="false">IFERROR(INDEX(Section_Master!$E$2:$E$477,MATCH($E1146,Section_Master!$A$2:$A$477,0))&amp;"","")</f>
        <v>Yes</v>
      </c>
      <c r="H1146" s="10" t="str">
        <f aca="false">IFERROR(INDEX(Section_Master!$F$2:$F$477,MATCH($E1146,Section_Master!$A$2:$A$477,0))&amp;"","")</f>
        <v>Yes</v>
      </c>
      <c r="I1146" s="10" t="str">
        <f aca="false">IFERROR(INDEX(Section_Master!$G$2:$G$477,MATCH($E1146,Section_Master!$A$2:$A$477,0))&amp;"","")</f>
        <v>No</v>
      </c>
      <c r="J1146" s="10" t="s">
        <v>61</v>
      </c>
      <c r="K1146" s="8" t="s">
        <v>2713</v>
      </c>
    </row>
    <row r="1147" customFormat="false" ht="34.5" hidden="false" customHeight="true" outlineLevel="0" collapsed="false">
      <c r="A1147" s="10" t="s">
        <v>2722</v>
      </c>
      <c r="B1147" s="10" t="s">
        <v>45</v>
      </c>
      <c r="C1147" s="8" t="s">
        <v>2711</v>
      </c>
      <c r="D1147" s="8" t="s">
        <v>2723</v>
      </c>
      <c r="E1147" s="11" t="n">
        <v>191</v>
      </c>
      <c r="F1147" s="8" t="str">
        <f aca="false">IFERROR(INDEX(Section_Master!$D$2:$D$477,MATCH($E1147,Section_Master!$A$2:$A$477,0))&amp;"","")</f>
        <v>Imprisonment up to 2 years, or fine, or both [s.191(2)]</v>
      </c>
      <c r="G1147" s="10" t="str">
        <f aca="false">IFERROR(INDEX(Section_Master!$E$2:$E$477,MATCH($E1147,Section_Master!$A$2:$A$477,0))&amp;"","")</f>
        <v>Yes</v>
      </c>
      <c r="H1147" s="10" t="str">
        <f aca="false">IFERROR(INDEX(Section_Master!$F$2:$F$477,MATCH($E1147,Section_Master!$A$2:$A$477,0))&amp;"","")</f>
        <v>Yes</v>
      </c>
      <c r="I1147" s="10" t="str">
        <f aca="false">IFERROR(INDEX(Section_Master!$G$2:$G$477,MATCH($E1147,Section_Master!$A$2:$A$477,0))&amp;"","")</f>
        <v>No</v>
      </c>
      <c r="J1147" s="10" t="s">
        <v>64</v>
      </c>
      <c r="K1147" s="8" t="s">
        <v>2713</v>
      </c>
    </row>
    <row r="1148" customFormat="false" ht="34.5" hidden="false" customHeight="true" outlineLevel="0" collapsed="false">
      <c r="A1148" s="10" t="s">
        <v>2724</v>
      </c>
      <c r="B1148" s="10" t="s">
        <v>45</v>
      </c>
      <c r="C1148" s="8" t="s">
        <v>2725</v>
      </c>
      <c r="D1148" s="8" t="s">
        <v>2726</v>
      </c>
      <c r="E1148" s="11" t="n">
        <v>192</v>
      </c>
      <c r="F1148" s="8" t="str">
        <f aca="false">IFERROR(INDEX(Section_Master!$D$2:$D$477,MATCH($E1148,Section_Master!$A$2:$A$477,0))&amp;"","")</f>
        <v>Imprisonment up to 1 year, or fine, or both if riot is committed; up to 6 months, or fine, or both if not [s.192]</v>
      </c>
      <c r="G1148" s="10" t="str">
        <f aca="false">IFERROR(INDEX(Section_Master!$E$2:$E$477,MATCH($E1148,Section_Master!$A$2:$A$477,0))&amp;"","")</f>
        <v>No</v>
      </c>
      <c r="H1148" s="10" t="str">
        <f aca="false">IFERROR(INDEX(Section_Master!$F$2:$F$477,MATCH($E1148,Section_Master!$A$2:$A$477,0))&amp;"","")</f>
        <v>Yes</v>
      </c>
      <c r="I1148" s="10" t="str">
        <f aca="false">IFERROR(INDEX(Section_Master!$G$2:$G$477,MATCH($E1148,Section_Master!$A$2:$A$477,0))&amp;"","")</f>
        <v>No</v>
      </c>
      <c r="J1148" s="10" t="s">
        <v>48</v>
      </c>
      <c r="K1148" s="8" t="s">
        <v>2727</v>
      </c>
    </row>
    <row r="1149" customFormat="false" ht="34.5" hidden="false" customHeight="true" outlineLevel="0" collapsed="false">
      <c r="A1149" s="10" t="s">
        <v>2728</v>
      </c>
      <c r="B1149" s="10" t="s">
        <v>45</v>
      </c>
      <c r="C1149" s="8" t="s">
        <v>2725</v>
      </c>
      <c r="D1149" s="8" t="s">
        <v>2729</v>
      </c>
      <c r="E1149" s="11" t="n">
        <v>192</v>
      </c>
      <c r="F1149" s="8" t="str">
        <f aca="false">IFERROR(INDEX(Section_Master!$D$2:$D$477,MATCH($E1149,Section_Master!$A$2:$A$477,0))&amp;"","")</f>
        <v>Imprisonment up to 1 year, or fine, or both if riot is committed; up to 6 months, or fine, or both if not [s.192]</v>
      </c>
      <c r="G1149" s="10" t="str">
        <f aca="false">IFERROR(INDEX(Section_Master!$E$2:$E$477,MATCH($E1149,Section_Master!$A$2:$A$477,0))&amp;"","")</f>
        <v>No</v>
      </c>
      <c r="H1149" s="10" t="str">
        <f aca="false">IFERROR(INDEX(Section_Master!$F$2:$F$477,MATCH($E1149,Section_Master!$A$2:$A$477,0))&amp;"","")</f>
        <v>Yes</v>
      </c>
      <c r="I1149" s="10" t="str">
        <f aca="false">IFERROR(INDEX(Section_Master!$G$2:$G$477,MATCH($E1149,Section_Master!$A$2:$A$477,0))&amp;"","")</f>
        <v>No</v>
      </c>
      <c r="J1149" s="10" t="s">
        <v>52</v>
      </c>
      <c r="K1149" s="8" t="s">
        <v>2727</v>
      </c>
    </row>
    <row r="1150" customFormat="false" ht="34.5" hidden="false" customHeight="true" outlineLevel="0" collapsed="false">
      <c r="A1150" s="10" t="s">
        <v>2730</v>
      </c>
      <c r="B1150" s="10" t="s">
        <v>45</v>
      </c>
      <c r="C1150" s="8" t="s">
        <v>2725</v>
      </c>
      <c r="D1150" s="8" t="s">
        <v>2731</v>
      </c>
      <c r="E1150" s="11" t="n">
        <v>192</v>
      </c>
      <c r="F1150" s="8" t="str">
        <f aca="false">IFERROR(INDEX(Section_Master!$D$2:$D$477,MATCH($E1150,Section_Master!$A$2:$A$477,0))&amp;"","")</f>
        <v>Imprisonment up to 1 year, or fine, or both if riot is committed; up to 6 months, or fine, or both if not [s.192]</v>
      </c>
      <c r="G1150" s="10" t="str">
        <f aca="false">IFERROR(INDEX(Section_Master!$E$2:$E$477,MATCH($E1150,Section_Master!$A$2:$A$477,0))&amp;"","")</f>
        <v>No</v>
      </c>
      <c r="H1150" s="10" t="str">
        <f aca="false">IFERROR(INDEX(Section_Master!$F$2:$F$477,MATCH($E1150,Section_Master!$A$2:$A$477,0))&amp;"","")</f>
        <v>Yes</v>
      </c>
      <c r="I1150" s="10" t="str">
        <f aca="false">IFERROR(INDEX(Section_Master!$G$2:$G$477,MATCH($E1150,Section_Master!$A$2:$A$477,0))&amp;"","")</f>
        <v>No</v>
      </c>
      <c r="J1150" s="10" t="s">
        <v>55</v>
      </c>
      <c r="K1150" s="8" t="s">
        <v>2727</v>
      </c>
    </row>
    <row r="1151" customFormat="false" ht="34.5" hidden="false" customHeight="true" outlineLevel="0" collapsed="false">
      <c r="A1151" s="10" t="s">
        <v>2732</v>
      </c>
      <c r="B1151" s="10" t="s">
        <v>45</v>
      </c>
      <c r="C1151" s="8" t="s">
        <v>2725</v>
      </c>
      <c r="D1151" s="8" t="s">
        <v>2733</v>
      </c>
      <c r="E1151" s="11" t="n">
        <v>192</v>
      </c>
      <c r="F1151" s="8" t="str">
        <f aca="false">IFERROR(INDEX(Section_Master!$D$2:$D$477,MATCH($E1151,Section_Master!$A$2:$A$477,0))&amp;"","")</f>
        <v>Imprisonment up to 1 year, or fine, or both if riot is committed; up to 6 months, or fine, or both if not [s.192]</v>
      </c>
      <c r="G1151" s="10" t="str">
        <f aca="false">IFERROR(INDEX(Section_Master!$E$2:$E$477,MATCH($E1151,Section_Master!$A$2:$A$477,0))&amp;"","")</f>
        <v>No</v>
      </c>
      <c r="H1151" s="10" t="str">
        <f aca="false">IFERROR(INDEX(Section_Master!$F$2:$F$477,MATCH($E1151,Section_Master!$A$2:$A$477,0))&amp;"","")</f>
        <v>Yes</v>
      </c>
      <c r="I1151" s="10" t="str">
        <f aca="false">IFERROR(INDEX(Section_Master!$G$2:$G$477,MATCH($E1151,Section_Master!$A$2:$A$477,0))&amp;"","")</f>
        <v>No</v>
      </c>
      <c r="J1151" s="10" t="s">
        <v>58</v>
      </c>
      <c r="K1151" s="8" t="s">
        <v>2727</v>
      </c>
    </row>
    <row r="1152" customFormat="false" ht="34.5" hidden="false" customHeight="true" outlineLevel="0" collapsed="false">
      <c r="A1152" s="10" t="s">
        <v>2734</v>
      </c>
      <c r="B1152" s="10" t="s">
        <v>45</v>
      </c>
      <c r="C1152" s="8" t="s">
        <v>2725</v>
      </c>
      <c r="D1152" s="8" t="s">
        <v>2735</v>
      </c>
      <c r="E1152" s="11" t="n">
        <v>192</v>
      </c>
      <c r="F1152" s="8" t="str">
        <f aca="false">IFERROR(INDEX(Section_Master!$D$2:$D$477,MATCH($E1152,Section_Master!$A$2:$A$477,0))&amp;"","")</f>
        <v>Imprisonment up to 1 year, or fine, or both if riot is committed; up to 6 months, or fine, or both if not [s.192]</v>
      </c>
      <c r="G1152" s="10" t="str">
        <f aca="false">IFERROR(INDEX(Section_Master!$E$2:$E$477,MATCH($E1152,Section_Master!$A$2:$A$477,0))&amp;"","")</f>
        <v>No</v>
      </c>
      <c r="H1152" s="10" t="str">
        <f aca="false">IFERROR(INDEX(Section_Master!$F$2:$F$477,MATCH($E1152,Section_Master!$A$2:$A$477,0))&amp;"","")</f>
        <v>Yes</v>
      </c>
      <c r="I1152" s="10" t="str">
        <f aca="false">IFERROR(INDEX(Section_Master!$G$2:$G$477,MATCH($E1152,Section_Master!$A$2:$A$477,0))&amp;"","")</f>
        <v>No</v>
      </c>
      <c r="J1152" s="10" t="s">
        <v>61</v>
      </c>
      <c r="K1152" s="8" t="s">
        <v>2727</v>
      </c>
    </row>
    <row r="1153" customFormat="false" ht="34.5" hidden="false" customHeight="true" outlineLevel="0" collapsed="false">
      <c r="A1153" s="10" t="s">
        <v>2736</v>
      </c>
      <c r="B1153" s="10" t="s">
        <v>45</v>
      </c>
      <c r="C1153" s="8" t="s">
        <v>2725</v>
      </c>
      <c r="D1153" s="8" t="s">
        <v>2737</v>
      </c>
      <c r="E1153" s="11" t="n">
        <v>192</v>
      </c>
      <c r="F1153" s="8" t="str">
        <f aca="false">IFERROR(INDEX(Section_Master!$D$2:$D$477,MATCH($E1153,Section_Master!$A$2:$A$477,0))&amp;"","")</f>
        <v>Imprisonment up to 1 year, or fine, or both if riot is committed; up to 6 months, or fine, or both if not [s.192]</v>
      </c>
      <c r="G1153" s="10" t="str">
        <f aca="false">IFERROR(INDEX(Section_Master!$E$2:$E$477,MATCH($E1153,Section_Master!$A$2:$A$477,0))&amp;"","")</f>
        <v>No</v>
      </c>
      <c r="H1153" s="10" t="str">
        <f aca="false">IFERROR(INDEX(Section_Master!$F$2:$F$477,MATCH($E1153,Section_Master!$A$2:$A$477,0))&amp;"","")</f>
        <v>Yes</v>
      </c>
      <c r="I1153" s="10" t="str">
        <f aca="false">IFERROR(INDEX(Section_Master!$G$2:$G$477,MATCH($E1153,Section_Master!$A$2:$A$477,0))&amp;"","")</f>
        <v>No</v>
      </c>
      <c r="J1153" s="10" t="s">
        <v>64</v>
      </c>
      <c r="K1153" s="8" t="s">
        <v>2727</v>
      </c>
    </row>
    <row r="1154" customFormat="false" ht="34.5" hidden="false" customHeight="true" outlineLevel="0" collapsed="false">
      <c r="A1154" s="10" t="s">
        <v>2738</v>
      </c>
      <c r="B1154" s="10" t="s">
        <v>45</v>
      </c>
      <c r="C1154" s="8" t="s">
        <v>2739</v>
      </c>
      <c r="D1154" s="8" t="s">
        <v>2740</v>
      </c>
      <c r="E1154" s="11" t="n">
        <v>193</v>
      </c>
      <c r="F1154" s="8" t="str">
        <f aca="false">IFERROR(INDEX(Section_Master!$D$2:$D$477,MATCH($E1154,Section_Master!$A$2:$A$477,0))&amp;"","")</f>
        <v>Fine</v>
      </c>
      <c r="G1154" s="10" t="str">
        <f aca="false">IFERROR(INDEX(Section_Master!$E$2:$E$477,MATCH($E1154,Section_Master!$A$2:$A$477,0))&amp;"","")</f>
        <v>No</v>
      </c>
      <c r="H1154" s="10" t="str">
        <f aca="false">IFERROR(INDEX(Section_Master!$F$2:$F$477,MATCH($E1154,Section_Master!$A$2:$A$477,0))&amp;"","")</f>
        <v>Yes</v>
      </c>
      <c r="I1154" s="10" t="str">
        <f aca="false">IFERROR(INDEX(Section_Master!$G$2:$G$477,MATCH($E1154,Section_Master!$A$2:$A$477,0))&amp;"","")</f>
        <v>No</v>
      </c>
      <c r="J1154" s="10" t="s">
        <v>48</v>
      </c>
      <c r="K1154" s="8" t="s">
        <v>2741</v>
      </c>
    </row>
    <row r="1155" customFormat="false" ht="34.5" hidden="false" customHeight="true" outlineLevel="0" collapsed="false">
      <c r="A1155" s="10" t="s">
        <v>2742</v>
      </c>
      <c r="B1155" s="10" t="s">
        <v>45</v>
      </c>
      <c r="C1155" s="8" t="s">
        <v>2739</v>
      </c>
      <c r="D1155" s="8" t="s">
        <v>2743</v>
      </c>
      <c r="E1155" s="11" t="n">
        <v>193</v>
      </c>
      <c r="F1155" s="8" t="str">
        <f aca="false">IFERROR(INDEX(Section_Master!$D$2:$D$477,MATCH($E1155,Section_Master!$A$2:$A$477,0))&amp;"","")</f>
        <v>Fine</v>
      </c>
      <c r="G1155" s="10" t="str">
        <f aca="false">IFERROR(INDEX(Section_Master!$E$2:$E$477,MATCH($E1155,Section_Master!$A$2:$A$477,0))&amp;"","")</f>
        <v>No</v>
      </c>
      <c r="H1155" s="10" t="str">
        <f aca="false">IFERROR(INDEX(Section_Master!$F$2:$F$477,MATCH($E1155,Section_Master!$A$2:$A$477,0))&amp;"","")</f>
        <v>Yes</v>
      </c>
      <c r="I1155" s="10" t="str">
        <f aca="false">IFERROR(INDEX(Section_Master!$G$2:$G$477,MATCH($E1155,Section_Master!$A$2:$A$477,0))&amp;"","")</f>
        <v>No</v>
      </c>
      <c r="J1155" s="10" t="s">
        <v>52</v>
      </c>
      <c r="K1155" s="8" t="s">
        <v>2741</v>
      </c>
    </row>
    <row r="1156" customFormat="false" ht="34.5" hidden="false" customHeight="true" outlineLevel="0" collapsed="false">
      <c r="A1156" s="10" t="s">
        <v>2744</v>
      </c>
      <c r="B1156" s="10" t="s">
        <v>45</v>
      </c>
      <c r="C1156" s="8" t="s">
        <v>2739</v>
      </c>
      <c r="D1156" s="8" t="s">
        <v>2745</v>
      </c>
      <c r="E1156" s="11" t="n">
        <v>193</v>
      </c>
      <c r="F1156" s="8" t="str">
        <f aca="false">IFERROR(INDEX(Section_Master!$D$2:$D$477,MATCH($E1156,Section_Master!$A$2:$A$477,0))&amp;"","")</f>
        <v>Fine</v>
      </c>
      <c r="G1156" s="10" t="str">
        <f aca="false">IFERROR(INDEX(Section_Master!$E$2:$E$477,MATCH($E1156,Section_Master!$A$2:$A$477,0))&amp;"","")</f>
        <v>No</v>
      </c>
      <c r="H1156" s="10" t="str">
        <f aca="false">IFERROR(INDEX(Section_Master!$F$2:$F$477,MATCH($E1156,Section_Master!$A$2:$A$477,0))&amp;"","")</f>
        <v>Yes</v>
      </c>
      <c r="I1156" s="10" t="str">
        <f aca="false">IFERROR(INDEX(Section_Master!$G$2:$G$477,MATCH($E1156,Section_Master!$A$2:$A$477,0))&amp;"","")</f>
        <v>No</v>
      </c>
      <c r="J1156" s="10" t="s">
        <v>55</v>
      </c>
      <c r="K1156" s="8" t="s">
        <v>2741</v>
      </c>
    </row>
    <row r="1157" customFormat="false" ht="34.5" hidden="false" customHeight="true" outlineLevel="0" collapsed="false">
      <c r="A1157" s="10" t="s">
        <v>2746</v>
      </c>
      <c r="B1157" s="10" t="s">
        <v>45</v>
      </c>
      <c r="C1157" s="8" t="s">
        <v>2739</v>
      </c>
      <c r="D1157" s="8" t="s">
        <v>2747</v>
      </c>
      <c r="E1157" s="11" t="n">
        <v>193</v>
      </c>
      <c r="F1157" s="8" t="str">
        <f aca="false">IFERROR(INDEX(Section_Master!$D$2:$D$477,MATCH($E1157,Section_Master!$A$2:$A$477,0))&amp;"","")</f>
        <v>Fine</v>
      </c>
      <c r="G1157" s="10" t="str">
        <f aca="false">IFERROR(INDEX(Section_Master!$E$2:$E$477,MATCH($E1157,Section_Master!$A$2:$A$477,0))&amp;"","")</f>
        <v>No</v>
      </c>
      <c r="H1157" s="10" t="str">
        <f aca="false">IFERROR(INDEX(Section_Master!$F$2:$F$477,MATCH($E1157,Section_Master!$A$2:$A$477,0))&amp;"","")</f>
        <v>Yes</v>
      </c>
      <c r="I1157" s="10" t="str">
        <f aca="false">IFERROR(INDEX(Section_Master!$G$2:$G$477,MATCH($E1157,Section_Master!$A$2:$A$477,0))&amp;"","")</f>
        <v>No</v>
      </c>
      <c r="J1157" s="10" t="s">
        <v>58</v>
      </c>
      <c r="K1157" s="8" t="s">
        <v>2741</v>
      </c>
    </row>
    <row r="1158" customFormat="false" ht="34.5" hidden="false" customHeight="true" outlineLevel="0" collapsed="false">
      <c r="A1158" s="10" t="s">
        <v>2748</v>
      </c>
      <c r="B1158" s="10" t="s">
        <v>45</v>
      </c>
      <c r="C1158" s="8" t="s">
        <v>2739</v>
      </c>
      <c r="D1158" s="8" t="s">
        <v>2749</v>
      </c>
      <c r="E1158" s="11" t="n">
        <v>193</v>
      </c>
      <c r="F1158" s="8" t="str">
        <f aca="false">IFERROR(INDEX(Section_Master!$D$2:$D$477,MATCH($E1158,Section_Master!$A$2:$A$477,0))&amp;"","")</f>
        <v>Fine</v>
      </c>
      <c r="G1158" s="10" t="str">
        <f aca="false">IFERROR(INDEX(Section_Master!$E$2:$E$477,MATCH($E1158,Section_Master!$A$2:$A$477,0))&amp;"","")</f>
        <v>No</v>
      </c>
      <c r="H1158" s="10" t="str">
        <f aca="false">IFERROR(INDEX(Section_Master!$F$2:$F$477,MATCH($E1158,Section_Master!$A$2:$A$477,0))&amp;"","")</f>
        <v>Yes</v>
      </c>
      <c r="I1158" s="10" t="str">
        <f aca="false">IFERROR(INDEX(Section_Master!$G$2:$G$477,MATCH($E1158,Section_Master!$A$2:$A$477,0))&amp;"","")</f>
        <v>No</v>
      </c>
      <c r="J1158" s="10" t="s">
        <v>61</v>
      </c>
      <c r="K1158" s="8" t="s">
        <v>2741</v>
      </c>
    </row>
    <row r="1159" customFormat="false" ht="34.5" hidden="false" customHeight="true" outlineLevel="0" collapsed="false">
      <c r="A1159" s="10" t="s">
        <v>2750</v>
      </c>
      <c r="B1159" s="10" t="s">
        <v>45</v>
      </c>
      <c r="C1159" s="8" t="s">
        <v>2739</v>
      </c>
      <c r="D1159" s="8" t="s">
        <v>2751</v>
      </c>
      <c r="E1159" s="11" t="n">
        <v>193</v>
      </c>
      <c r="F1159" s="8" t="str">
        <f aca="false">IFERROR(INDEX(Section_Master!$D$2:$D$477,MATCH($E1159,Section_Master!$A$2:$A$477,0))&amp;"","")</f>
        <v>Fine</v>
      </c>
      <c r="G1159" s="10" t="str">
        <f aca="false">IFERROR(INDEX(Section_Master!$E$2:$E$477,MATCH($E1159,Section_Master!$A$2:$A$477,0))&amp;"","")</f>
        <v>No</v>
      </c>
      <c r="H1159" s="10" t="str">
        <f aca="false">IFERROR(INDEX(Section_Master!$F$2:$F$477,MATCH($E1159,Section_Master!$A$2:$A$477,0))&amp;"","")</f>
        <v>Yes</v>
      </c>
      <c r="I1159" s="10" t="str">
        <f aca="false">IFERROR(INDEX(Section_Master!$G$2:$G$477,MATCH($E1159,Section_Master!$A$2:$A$477,0))&amp;"","")</f>
        <v>No</v>
      </c>
      <c r="J1159" s="10" t="s">
        <v>64</v>
      </c>
      <c r="K1159" s="8" t="s">
        <v>2741</v>
      </c>
    </row>
    <row r="1160" customFormat="false" ht="23.25" hidden="false" customHeight="true" outlineLevel="0" collapsed="false">
      <c r="A1160" s="10" t="s">
        <v>2752</v>
      </c>
      <c r="B1160" s="10" t="s">
        <v>45</v>
      </c>
      <c r="C1160" s="8" t="s">
        <v>2753</v>
      </c>
      <c r="D1160" s="8" t="s">
        <v>2754</v>
      </c>
      <c r="E1160" s="11" t="n">
        <v>194</v>
      </c>
      <c r="F1160" s="8" t="str">
        <f aca="false">IFERROR(INDEX(Section_Master!$D$2:$D$477,MATCH($E1160,Section_Master!$A$2:$A$477,0))&amp;"","")</f>
        <v>Imprisonment up to 1 month, or fine, or both</v>
      </c>
      <c r="G1160" s="10" t="str">
        <f aca="false">IFERROR(INDEX(Section_Master!$E$2:$E$477,MATCH($E1160,Section_Master!$A$2:$A$477,0))&amp;"","")</f>
        <v>Yes</v>
      </c>
      <c r="H1160" s="10" t="str">
        <f aca="false">IFERROR(INDEX(Section_Master!$F$2:$F$477,MATCH($E1160,Section_Master!$A$2:$A$477,0))&amp;"","")</f>
        <v>Yes</v>
      </c>
      <c r="I1160" s="10" t="str">
        <f aca="false">IFERROR(INDEX(Section_Master!$G$2:$G$477,MATCH($E1160,Section_Master!$A$2:$A$477,0))&amp;"","")</f>
        <v>No</v>
      </c>
      <c r="J1160" s="10" t="s">
        <v>48</v>
      </c>
      <c r="K1160" s="8" t="s">
        <v>2755</v>
      </c>
    </row>
    <row r="1161" customFormat="false" ht="34.5" hidden="false" customHeight="true" outlineLevel="0" collapsed="false">
      <c r="A1161" s="10" t="s">
        <v>2756</v>
      </c>
      <c r="B1161" s="10" t="s">
        <v>45</v>
      </c>
      <c r="C1161" s="8" t="s">
        <v>2753</v>
      </c>
      <c r="D1161" s="8" t="s">
        <v>2757</v>
      </c>
      <c r="E1161" s="11" t="n">
        <v>194</v>
      </c>
      <c r="F1161" s="8" t="str">
        <f aca="false">IFERROR(INDEX(Section_Master!$D$2:$D$477,MATCH($E1161,Section_Master!$A$2:$A$477,0))&amp;"","")</f>
        <v>Imprisonment up to 1 month, or fine, or both</v>
      </c>
      <c r="G1161" s="10" t="str">
        <f aca="false">IFERROR(INDEX(Section_Master!$E$2:$E$477,MATCH($E1161,Section_Master!$A$2:$A$477,0))&amp;"","")</f>
        <v>Yes</v>
      </c>
      <c r="H1161" s="10" t="str">
        <f aca="false">IFERROR(INDEX(Section_Master!$F$2:$F$477,MATCH($E1161,Section_Master!$A$2:$A$477,0))&amp;"","")</f>
        <v>Yes</v>
      </c>
      <c r="I1161" s="10" t="str">
        <f aca="false">IFERROR(INDEX(Section_Master!$G$2:$G$477,MATCH($E1161,Section_Master!$A$2:$A$477,0))&amp;"","")</f>
        <v>No</v>
      </c>
      <c r="J1161" s="10" t="s">
        <v>52</v>
      </c>
      <c r="K1161" s="8" t="s">
        <v>2755</v>
      </c>
    </row>
    <row r="1162" customFormat="false" ht="34.5" hidden="false" customHeight="true" outlineLevel="0" collapsed="false">
      <c r="A1162" s="10" t="s">
        <v>2758</v>
      </c>
      <c r="B1162" s="10" t="s">
        <v>45</v>
      </c>
      <c r="C1162" s="8" t="s">
        <v>2753</v>
      </c>
      <c r="D1162" s="8" t="s">
        <v>2759</v>
      </c>
      <c r="E1162" s="11" t="n">
        <v>194</v>
      </c>
      <c r="F1162" s="8" t="str">
        <f aca="false">IFERROR(INDEX(Section_Master!$D$2:$D$477,MATCH($E1162,Section_Master!$A$2:$A$477,0))&amp;"","")</f>
        <v>Imprisonment up to 1 month, or fine, or both</v>
      </c>
      <c r="G1162" s="10" t="str">
        <f aca="false">IFERROR(INDEX(Section_Master!$E$2:$E$477,MATCH($E1162,Section_Master!$A$2:$A$477,0))&amp;"","")</f>
        <v>Yes</v>
      </c>
      <c r="H1162" s="10" t="str">
        <f aca="false">IFERROR(INDEX(Section_Master!$F$2:$F$477,MATCH($E1162,Section_Master!$A$2:$A$477,0))&amp;"","")</f>
        <v>Yes</v>
      </c>
      <c r="I1162" s="10" t="str">
        <f aca="false">IFERROR(INDEX(Section_Master!$G$2:$G$477,MATCH($E1162,Section_Master!$A$2:$A$477,0))&amp;"","")</f>
        <v>No</v>
      </c>
      <c r="J1162" s="10" t="s">
        <v>55</v>
      </c>
      <c r="K1162" s="8" t="s">
        <v>2755</v>
      </c>
    </row>
    <row r="1163" customFormat="false" ht="15" hidden="false" customHeight="true" outlineLevel="0" collapsed="false">
      <c r="A1163" s="10" t="s">
        <v>2760</v>
      </c>
      <c r="B1163" s="10" t="s">
        <v>45</v>
      </c>
      <c r="C1163" s="8" t="s">
        <v>2753</v>
      </c>
      <c r="D1163" s="8" t="s">
        <v>2761</v>
      </c>
      <c r="E1163" s="11" t="n">
        <v>194</v>
      </c>
      <c r="F1163" s="8" t="str">
        <f aca="false">IFERROR(INDEX(Section_Master!$D$2:$D$477,MATCH($E1163,Section_Master!$A$2:$A$477,0))&amp;"","")</f>
        <v>Imprisonment up to 1 month, or fine, or both</v>
      </c>
      <c r="G1163" s="10" t="str">
        <f aca="false">IFERROR(INDEX(Section_Master!$E$2:$E$477,MATCH($E1163,Section_Master!$A$2:$A$477,0))&amp;"","")</f>
        <v>Yes</v>
      </c>
      <c r="H1163" s="10" t="str">
        <f aca="false">IFERROR(INDEX(Section_Master!$F$2:$F$477,MATCH($E1163,Section_Master!$A$2:$A$477,0))&amp;"","")</f>
        <v>Yes</v>
      </c>
      <c r="I1163" s="10" t="str">
        <f aca="false">IFERROR(INDEX(Section_Master!$G$2:$G$477,MATCH($E1163,Section_Master!$A$2:$A$477,0))&amp;"","")</f>
        <v>No</v>
      </c>
      <c r="J1163" s="10" t="s">
        <v>58</v>
      </c>
      <c r="K1163" s="8" t="s">
        <v>2755</v>
      </c>
    </row>
    <row r="1164" customFormat="false" ht="23.25" hidden="false" customHeight="true" outlineLevel="0" collapsed="false">
      <c r="A1164" s="10" t="s">
        <v>2762</v>
      </c>
      <c r="B1164" s="10" t="s">
        <v>45</v>
      </c>
      <c r="C1164" s="8" t="s">
        <v>2753</v>
      </c>
      <c r="D1164" s="8" t="s">
        <v>2763</v>
      </c>
      <c r="E1164" s="11" t="n">
        <v>194</v>
      </c>
      <c r="F1164" s="8" t="str">
        <f aca="false">IFERROR(INDEX(Section_Master!$D$2:$D$477,MATCH($E1164,Section_Master!$A$2:$A$477,0))&amp;"","")</f>
        <v>Imprisonment up to 1 month, or fine, or both</v>
      </c>
      <c r="G1164" s="10" t="str">
        <f aca="false">IFERROR(INDEX(Section_Master!$E$2:$E$477,MATCH($E1164,Section_Master!$A$2:$A$477,0))&amp;"","")</f>
        <v>Yes</v>
      </c>
      <c r="H1164" s="10" t="str">
        <f aca="false">IFERROR(INDEX(Section_Master!$F$2:$F$477,MATCH($E1164,Section_Master!$A$2:$A$477,0))&amp;"","")</f>
        <v>Yes</v>
      </c>
      <c r="I1164" s="10" t="str">
        <f aca="false">IFERROR(INDEX(Section_Master!$G$2:$G$477,MATCH($E1164,Section_Master!$A$2:$A$477,0))&amp;"","")</f>
        <v>No</v>
      </c>
      <c r="J1164" s="10" t="s">
        <v>61</v>
      </c>
      <c r="K1164" s="8" t="s">
        <v>2755</v>
      </c>
    </row>
    <row r="1165" customFormat="false" ht="34.5" hidden="false" customHeight="true" outlineLevel="0" collapsed="false">
      <c r="A1165" s="10" t="s">
        <v>2764</v>
      </c>
      <c r="B1165" s="10" t="s">
        <v>45</v>
      </c>
      <c r="C1165" s="8" t="s">
        <v>2753</v>
      </c>
      <c r="D1165" s="8" t="s">
        <v>2765</v>
      </c>
      <c r="E1165" s="11" t="n">
        <v>194</v>
      </c>
      <c r="F1165" s="8" t="str">
        <f aca="false">IFERROR(INDEX(Section_Master!$D$2:$D$477,MATCH($E1165,Section_Master!$A$2:$A$477,0))&amp;"","")</f>
        <v>Imprisonment up to 1 month, or fine, or both</v>
      </c>
      <c r="G1165" s="10" t="str">
        <f aca="false">IFERROR(INDEX(Section_Master!$E$2:$E$477,MATCH($E1165,Section_Master!$A$2:$A$477,0))&amp;"","")</f>
        <v>Yes</v>
      </c>
      <c r="H1165" s="10" t="str">
        <f aca="false">IFERROR(INDEX(Section_Master!$F$2:$F$477,MATCH($E1165,Section_Master!$A$2:$A$477,0))&amp;"","")</f>
        <v>Yes</v>
      </c>
      <c r="I1165" s="10" t="str">
        <f aca="false">IFERROR(INDEX(Section_Master!$G$2:$G$477,MATCH($E1165,Section_Master!$A$2:$A$477,0))&amp;"","")</f>
        <v>No</v>
      </c>
      <c r="J1165" s="10" t="s">
        <v>64</v>
      </c>
      <c r="K1165" s="8" t="s">
        <v>2755</v>
      </c>
    </row>
    <row r="1166" customFormat="false" ht="34.5" hidden="false" customHeight="true" outlineLevel="0" collapsed="false">
      <c r="A1166" s="10" t="s">
        <v>2766</v>
      </c>
      <c r="B1166" s="10" t="s">
        <v>45</v>
      </c>
      <c r="C1166" s="8" t="s">
        <v>2767</v>
      </c>
      <c r="D1166" s="8" t="s">
        <v>2768</v>
      </c>
      <c r="E1166" s="11" t="n">
        <v>195</v>
      </c>
      <c r="F1166" s="8" t="str">
        <f aca="false">IFERROR(INDEX(Section_Master!$D$2:$D$477,MATCH($E1166,Section_Master!$A$2:$A$477,0))&amp;"","")</f>
        <v>Imprisonment up to 3 years, or fine, or both</v>
      </c>
      <c r="G1166" s="10" t="str">
        <f aca="false">IFERROR(INDEX(Section_Master!$E$2:$E$477,MATCH($E1166,Section_Master!$A$2:$A$477,0))&amp;"","")</f>
        <v>Yes</v>
      </c>
      <c r="H1166" s="10" t="str">
        <f aca="false">IFERROR(INDEX(Section_Master!$F$2:$F$477,MATCH($E1166,Section_Master!$A$2:$A$477,0))&amp;"","")</f>
        <v>No</v>
      </c>
      <c r="I1166" s="10" t="str">
        <f aca="false">IFERROR(INDEX(Section_Master!$G$2:$G$477,MATCH($E1166,Section_Master!$A$2:$A$477,0))&amp;"","")</f>
        <v>No</v>
      </c>
      <c r="J1166" s="10" t="s">
        <v>48</v>
      </c>
      <c r="K1166" s="8" t="s">
        <v>2769</v>
      </c>
    </row>
    <row r="1167" customFormat="false" ht="34.5" hidden="false" customHeight="true" outlineLevel="0" collapsed="false">
      <c r="A1167" s="10" t="s">
        <v>2770</v>
      </c>
      <c r="B1167" s="10" t="s">
        <v>45</v>
      </c>
      <c r="C1167" s="8" t="s">
        <v>2767</v>
      </c>
      <c r="D1167" s="8" t="s">
        <v>2771</v>
      </c>
      <c r="E1167" s="11" t="n">
        <v>195</v>
      </c>
      <c r="F1167" s="8" t="str">
        <f aca="false">IFERROR(INDEX(Section_Master!$D$2:$D$477,MATCH($E1167,Section_Master!$A$2:$A$477,0))&amp;"","")</f>
        <v>Imprisonment up to 3 years, or fine, or both</v>
      </c>
      <c r="G1167" s="10" t="str">
        <f aca="false">IFERROR(INDEX(Section_Master!$E$2:$E$477,MATCH($E1167,Section_Master!$A$2:$A$477,0))&amp;"","")</f>
        <v>Yes</v>
      </c>
      <c r="H1167" s="10" t="str">
        <f aca="false">IFERROR(INDEX(Section_Master!$F$2:$F$477,MATCH($E1167,Section_Master!$A$2:$A$477,0))&amp;"","")</f>
        <v>No</v>
      </c>
      <c r="I1167" s="10" t="str">
        <f aca="false">IFERROR(INDEX(Section_Master!$G$2:$G$477,MATCH($E1167,Section_Master!$A$2:$A$477,0))&amp;"","")</f>
        <v>No</v>
      </c>
      <c r="J1167" s="10" t="s">
        <v>52</v>
      </c>
      <c r="K1167" s="8" t="s">
        <v>2769</v>
      </c>
    </row>
    <row r="1168" customFormat="false" ht="34.5" hidden="false" customHeight="true" outlineLevel="0" collapsed="false">
      <c r="A1168" s="10" t="s">
        <v>2772</v>
      </c>
      <c r="B1168" s="10" t="s">
        <v>45</v>
      </c>
      <c r="C1168" s="8" t="s">
        <v>2767</v>
      </c>
      <c r="D1168" s="8" t="s">
        <v>2773</v>
      </c>
      <c r="E1168" s="11" t="n">
        <v>195</v>
      </c>
      <c r="F1168" s="8" t="str">
        <f aca="false">IFERROR(INDEX(Section_Master!$D$2:$D$477,MATCH($E1168,Section_Master!$A$2:$A$477,0))&amp;"","")</f>
        <v>Imprisonment up to 3 years, or fine, or both</v>
      </c>
      <c r="G1168" s="10" t="str">
        <f aca="false">IFERROR(INDEX(Section_Master!$E$2:$E$477,MATCH($E1168,Section_Master!$A$2:$A$477,0))&amp;"","")</f>
        <v>Yes</v>
      </c>
      <c r="H1168" s="10" t="str">
        <f aca="false">IFERROR(INDEX(Section_Master!$F$2:$F$477,MATCH($E1168,Section_Master!$A$2:$A$477,0))&amp;"","")</f>
        <v>No</v>
      </c>
      <c r="I1168" s="10" t="str">
        <f aca="false">IFERROR(INDEX(Section_Master!$G$2:$G$477,MATCH($E1168,Section_Master!$A$2:$A$477,0))&amp;"","")</f>
        <v>No</v>
      </c>
      <c r="J1168" s="10" t="s">
        <v>55</v>
      </c>
      <c r="K1168" s="8" t="s">
        <v>2769</v>
      </c>
    </row>
    <row r="1169" customFormat="false" ht="23.25" hidden="false" customHeight="true" outlineLevel="0" collapsed="false">
      <c r="A1169" s="10" t="s">
        <v>2774</v>
      </c>
      <c r="B1169" s="10" t="s">
        <v>45</v>
      </c>
      <c r="C1169" s="8" t="s">
        <v>2767</v>
      </c>
      <c r="D1169" s="8" t="s">
        <v>2775</v>
      </c>
      <c r="E1169" s="11" t="n">
        <v>195</v>
      </c>
      <c r="F1169" s="8" t="str">
        <f aca="false">IFERROR(INDEX(Section_Master!$D$2:$D$477,MATCH($E1169,Section_Master!$A$2:$A$477,0))&amp;"","")</f>
        <v>Imprisonment up to 3 years, or fine, or both</v>
      </c>
      <c r="G1169" s="10" t="str">
        <f aca="false">IFERROR(INDEX(Section_Master!$E$2:$E$477,MATCH($E1169,Section_Master!$A$2:$A$477,0))&amp;"","")</f>
        <v>Yes</v>
      </c>
      <c r="H1169" s="10" t="str">
        <f aca="false">IFERROR(INDEX(Section_Master!$F$2:$F$477,MATCH($E1169,Section_Master!$A$2:$A$477,0))&amp;"","")</f>
        <v>No</v>
      </c>
      <c r="I1169" s="10" t="str">
        <f aca="false">IFERROR(INDEX(Section_Master!$G$2:$G$477,MATCH($E1169,Section_Master!$A$2:$A$477,0))&amp;"","")</f>
        <v>No</v>
      </c>
      <c r="J1169" s="10" t="s">
        <v>58</v>
      </c>
      <c r="K1169" s="8" t="s">
        <v>2769</v>
      </c>
    </row>
    <row r="1170" customFormat="false" ht="34.5" hidden="false" customHeight="true" outlineLevel="0" collapsed="false">
      <c r="A1170" s="10" t="s">
        <v>2776</v>
      </c>
      <c r="B1170" s="10" t="s">
        <v>45</v>
      </c>
      <c r="C1170" s="8" t="s">
        <v>2767</v>
      </c>
      <c r="D1170" s="8" t="s">
        <v>2777</v>
      </c>
      <c r="E1170" s="11" t="n">
        <v>195</v>
      </c>
      <c r="F1170" s="8" t="str">
        <f aca="false">IFERROR(INDEX(Section_Master!$D$2:$D$477,MATCH($E1170,Section_Master!$A$2:$A$477,0))&amp;"","")</f>
        <v>Imprisonment up to 3 years, or fine, or both</v>
      </c>
      <c r="G1170" s="10" t="str">
        <f aca="false">IFERROR(INDEX(Section_Master!$E$2:$E$477,MATCH($E1170,Section_Master!$A$2:$A$477,0))&amp;"","")</f>
        <v>Yes</v>
      </c>
      <c r="H1170" s="10" t="str">
        <f aca="false">IFERROR(INDEX(Section_Master!$F$2:$F$477,MATCH($E1170,Section_Master!$A$2:$A$477,0))&amp;"","")</f>
        <v>No</v>
      </c>
      <c r="I1170" s="10" t="str">
        <f aca="false">IFERROR(INDEX(Section_Master!$G$2:$G$477,MATCH($E1170,Section_Master!$A$2:$A$477,0))&amp;"","")</f>
        <v>No</v>
      </c>
      <c r="J1170" s="10" t="s">
        <v>61</v>
      </c>
      <c r="K1170" s="8" t="s">
        <v>2769</v>
      </c>
    </row>
    <row r="1171" customFormat="false" ht="34.5" hidden="false" customHeight="true" outlineLevel="0" collapsed="false">
      <c r="A1171" s="10" t="s">
        <v>2778</v>
      </c>
      <c r="B1171" s="10" t="s">
        <v>45</v>
      </c>
      <c r="C1171" s="8" t="s">
        <v>2767</v>
      </c>
      <c r="D1171" s="8" t="s">
        <v>2779</v>
      </c>
      <c r="E1171" s="11" t="n">
        <v>195</v>
      </c>
      <c r="F1171" s="8" t="str">
        <f aca="false">IFERROR(INDEX(Section_Master!$D$2:$D$477,MATCH($E1171,Section_Master!$A$2:$A$477,0))&amp;"","")</f>
        <v>Imprisonment up to 3 years, or fine, or both</v>
      </c>
      <c r="G1171" s="10" t="str">
        <f aca="false">IFERROR(INDEX(Section_Master!$E$2:$E$477,MATCH($E1171,Section_Master!$A$2:$A$477,0))&amp;"","")</f>
        <v>Yes</v>
      </c>
      <c r="H1171" s="10" t="str">
        <f aca="false">IFERROR(INDEX(Section_Master!$F$2:$F$477,MATCH($E1171,Section_Master!$A$2:$A$477,0))&amp;"","")</f>
        <v>No</v>
      </c>
      <c r="I1171" s="10" t="str">
        <f aca="false">IFERROR(INDEX(Section_Master!$G$2:$G$477,MATCH($E1171,Section_Master!$A$2:$A$477,0))&amp;"","")</f>
        <v>No</v>
      </c>
      <c r="J1171" s="10" t="s">
        <v>64</v>
      </c>
      <c r="K1171" s="8" t="s">
        <v>2769</v>
      </c>
    </row>
    <row r="1172" customFormat="false" ht="57" hidden="false" customHeight="true" outlineLevel="0" collapsed="false">
      <c r="A1172" s="10" t="s">
        <v>2780</v>
      </c>
      <c r="B1172" s="10" t="s">
        <v>45</v>
      </c>
      <c r="C1172" s="8" t="s">
        <v>2781</v>
      </c>
      <c r="D1172" s="8" t="s">
        <v>2782</v>
      </c>
      <c r="E1172" s="11" t="n">
        <v>196</v>
      </c>
      <c r="F1172" s="8" t="str">
        <f aca="false">IFERROR(INDEX(Section_Master!$D$2:$D$477,MATCH($E1172,Section_Master!$A$2:$A$477,0))&amp;"","")</f>
        <v>Imprisonment up to 3 years, or fine, or both; up to 5 years and fine if committed in a place of worship [s.196]</v>
      </c>
      <c r="G1172" s="10" t="str">
        <f aca="false">IFERROR(INDEX(Section_Master!$E$2:$E$477,MATCH($E1172,Section_Master!$A$2:$A$477,0))&amp;"","")</f>
        <v>Yes</v>
      </c>
      <c r="H1172" s="10" t="str">
        <f aca="false">IFERROR(INDEX(Section_Master!$F$2:$F$477,MATCH($E1172,Section_Master!$A$2:$A$477,0))&amp;"","")</f>
        <v>No</v>
      </c>
      <c r="I1172" s="10" t="str">
        <f aca="false">IFERROR(INDEX(Section_Master!$G$2:$G$477,MATCH($E1172,Section_Master!$A$2:$A$477,0))&amp;"","")</f>
        <v>No</v>
      </c>
      <c r="J1172" s="10" t="s">
        <v>48</v>
      </c>
      <c r="K1172" s="8" t="s">
        <v>2783</v>
      </c>
    </row>
    <row r="1173" customFormat="false" ht="57" hidden="false" customHeight="true" outlineLevel="0" collapsed="false">
      <c r="A1173" s="10" t="s">
        <v>2784</v>
      </c>
      <c r="B1173" s="10" t="s">
        <v>45</v>
      </c>
      <c r="C1173" s="8" t="s">
        <v>2781</v>
      </c>
      <c r="D1173" s="8" t="s">
        <v>2785</v>
      </c>
      <c r="E1173" s="11" t="n">
        <v>196</v>
      </c>
      <c r="F1173" s="8" t="str">
        <f aca="false">IFERROR(INDEX(Section_Master!$D$2:$D$477,MATCH($E1173,Section_Master!$A$2:$A$477,0))&amp;"","")</f>
        <v>Imprisonment up to 3 years, or fine, or both; up to 5 years and fine if committed in a place of worship [s.196]</v>
      </c>
      <c r="G1173" s="10" t="str">
        <f aca="false">IFERROR(INDEX(Section_Master!$E$2:$E$477,MATCH($E1173,Section_Master!$A$2:$A$477,0))&amp;"","")</f>
        <v>Yes</v>
      </c>
      <c r="H1173" s="10" t="str">
        <f aca="false">IFERROR(INDEX(Section_Master!$F$2:$F$477,MATCH($E1173,Section_Master!$A$2:$A$477,0))&amp;"","")</f>
        <v>No</v>
      </c>
      <c r="I1173" s="10" t="str">
        <f aca="false">IFERROR(INDEX(Section_Master!$G$2:$G$477,MATCH($E1173,Section_Master!$A$2:$A$477,0))&amp;"","")</f>
        <v>No</v>
      </c>
      <c r="J1173" s="10" t="s">
        <v>52</v>
      </c>
      <c r="K1173" s="8" t="s">
        <v>2783</v>
      </c>
    </row>
    <row r="1174" customFormat="false" ht="57" hidden="false" customHeight="true" outlineLevel="0" collapsed="false">
      <c r="A1174" s="10" t="s">
        <v>2786</v>
      </c>
      <c r="B1174" s="10" t="s">
        <v>45</v>
      </c>
      <c r="C1174" s="8" t="s">
        <v>2781</v>
      </c>
      <c r="D1174" s="8" t="s">
        <v>2787</v>
      </c>
      <c r="E1174" s="11" t="n">
        <v>196</v>
      </c>
      <c r="F1174" s="8" t="str">
        <f aca="false">IFERROR(INDEX(Section_Master!$D$2:$D$477,MATCH($E1174,Section_Master!$A$2:$A$477,0))&amp;"","")</f>
        <v>Imprisonment up to 3 years, or fine, or both; up to 5 years and fine if committed in a place of worship [s.196]</v>
      </c>
      <c r="G1174" s="10" t="str">
        <f aca="false">IFERROR(INDEX(Section_Master!$E$2:$E$477,MATCH($E1174,Section_Master!$A$2:$A$477,0))&amp;"","")</f>
        <v>Yes</v>
      </c>
      <c r="H1174" s="10" t="str">
        <f aca="false">IFERROR(INDEX(Section_Master!$F$2:$F$477,MATCH($E1174,Section_Master!$A$2:$A$477,0))&amp;"","")</f>
        <v>No</v>
      </c>
      <c r="I1174" s="10" t="str">
        <f aca="false">IFERROR(INDEX(Section_Master!$G$2:$G$477,MATCH($E1174,Section_Master!$A$2:$A$477,0))&amp;"","")</f>
        <v>No</v>
      </c>
      <c r="J1174" s="10" t="s">
        <v>55</v>
      </c>
      <c r="K1174" s="8" t="s">
        <v>2783</v>
      </c>
    </row>
    <row r="1175" customFormat="false" ht="57" hidden="false" customHeight="true" outlineLevel="0" collapsed="false">
      <c r="A1175" s="10" t="s">
        <v>2788</v>
      </c>
      <c r="B1175" s="10" t="s">
        <v>45</v>
      </c>
      <c r="C1175" s="8" t="s">
        <v>2781</v>
      </c>
      <c r="D1175" s="8" t="s">
        <v>2789</v>
      </c>
      <c r="E1175" s="11" t="n">
        <v>196</v>
      </c>
      <c r="F1175" s="8" t="str">
        <f aca="false">IFERROR(INDEX(Section_Master!$D$2:$D$477,MATCH($E1175,Section_Master!$A$2:$A$477,0))&amp;"","")</f>
        <v>Imprisonment up to 3 years, or fine, or both; up to 5 years and fine if committed in a place of worship [s.196]</v>
      </c>
      <c r="G1175" s="10" t="str">
        <f aca="false">IFERROR(INDEX(Section_Master!$E$2:$E$477,MATCH($E1175,Section_Master!$A$2:$A$477,0))&amp;"","")</f>
        <v>Yes</v>
      </c>
      <c r="H1175" s="10" t="str">
        <f aca="false">IFERROR(INDEX(Section_Master!$F$2:$F$477,MATCH($E1175,Section_Master!$A$2:$A$477,0))&amp;"","")</f>
        <v>No</v>
      </c>
      <c r="I1175" s="10" t="str">
        <f aca="false">IFERROR(INDEX(Section_Master!$G$2:$G$477,MATCH($E1175,Section_Master!$A$2:$A$477,0))&amp;"","")</f>
        <v>No</v>
      </c>
      <c r="J1175" s="10" t="s">
        <v>58</v>
      </c>
      <c r="K1175" s="8" t="s">
        <v>2783</v>
      </c>
    </row>
    <row r="1176" customFormat="false" ht="57" hidden="false" customHeight="true" outlineLevel="0" collapsed="false">
      <c r="A1176" s="10" t="s">
        <v>2790</v>
      </c>
      <c r="B1176" s="10" t="s">
        <v>45</v>
      </c>
      <c r="C1176" s="8" t="s">
        <v>2781</v>
      </c>
      <c r="D1176" s="8" t="s">
        <v>2791</v>
      </c>
      <c r="E1176" s="11" t="n">
        <v>196</v>
      </c>
      <c r="F1176" s="8" t="str">
        <f aca="false">IFERROR(INDEX(Section_Master!$D$2:$D$477,MATCH($E1176,Section_Master!$A$2:$A$477,0))&amp;"","")</f>
        <v>Imprisonment up to 3 years, or fine, or both; up to 5 years and fine if committed in a place of worship [s.196]</v>
      </c>
      <c r="G1176" s="10" t="str">
        <f aca="false">IFERROR(INDEX(Section_Master!$E$2:$E$477,MATCH($E1176,Section_Master!$A$2:$A$477,0))&amp;"","")</f>
        <v>Yes</v>
      </c>
      <c r="H1176" s="10" t="str">
        <f aca="false">IFERROR(INDEX(Section_Master!$F$2:$F$477,MATCH($E1176,Section_Master!$A$2:$A$477,0))&amp;"","")</f>
        <v>No</v>
      </c>
      <c r="I1176" s="10" t="str">
        <f aca="false">IFERROR(INDEX(Section_Master!$G$2:$G$477,MATCH($E1176,Section_Master!$A$2:$A$477,0))&amp;"","")</f>
        <v>No</v>
      </c>
      <c r="J1176" s="10" t="s">
        <v>61</v>
      </c>
      <c r="K1176" s="8" t="s">
        <v>2783</v>
      </c>
    </row>
    <row r="1177" customFormat="false" ht="57" hidden="false" customHeight="true" outlineLevel="0" collapsed="false">
      <c r="A1177" s="10" t="s">
        <v>2792</v>
      </c>
      <c r="B1177" s="10" t="s">
        <v>45</v>
      </c>
      <c r="C1177" s="8" t="s">
        <v>2781</v>
      </c>
      <c r="D1177" s="8" t="s">
        <v>2793</v>
      </c>
      <c r="E1177" s="11" t="n">
        <v>196</v>
      </c>
      <c r="F1177" s="8" t="str">
        <f aca="false">IFERROR(INDEX(Section_Master!$D$2:$D$477,MATCH($E1177,Section_Master!$A$2:$A$477,0))&amp;"","")</f>
        <v>Imprisonment up to 3 years, or fine, or both; up to 5 years and fine if committed in a place of worship [s.196]</v>
      </c>
      <c r="G1177" s="10" t="str">
        <f aca="false">IFERROR(INDEX(Section_Master!$E$2:$E$477,MATCH($E1177,Section_Master!$A$2:$A$477,0))&amp;"","")</f>
        <v>Yes</v>
      </c>
      <c r="H1177" s="10" t="str">
        <f aca="false">IFERROR(INDEX(Section_Master!$F$2:$F$477,MATCH($E1177,Section_Master!$A$2:$A$477,0))&amp;"","")</f>
        <v>No</v>
      </c>
      <c r="I1177" s="10" t="str">
        <f aca="false">IFERROR(INDEX(Section_Master!$G$2:$G$477,MATCH($E1177,Section_Master!$A$2:$A$477,0))&amp;"","")</f>
        <v>No</v>
      </c>
      <c r="J1177" s="10" t="s">
        <v>64</v>
      </c>
      <c r="K1177" s="8" t="s">
        <v>2783</v>
      </c>
    </row>
    <row r="1178" customFormat="false" ht="34.5" hidden="false" customHeight="true" outlineLevel="0" collapsed="false">
      <c r="A1178" s="10" t="s">
        <v>2794</v>
      </c>
      <c r="B1178" s="10" t="s">
        <v>45</v>
      </c>
      <c r="C1178" s="8" t="s">
        <v>2795</v>
      </c>
      <c r="D1178" s="8" t="s">
        <v>2796</v>
      </c>
      <c r="E1178" s="11" t="n">
        <v>197</v>
      </c>
      <c r="F1178" s="8" t="str">
        <f aca="false">IFERROR(INDEX(Section_Master!$D$2:$D$477,MATCH($E1178,Section_Master!$A$2:$A$477,0))&amp;"","")</f>
        <v>Imprisonment up to 3 years, or fine, or both; up to 5 years and fine if committed in a place of worship [s.197]</v>
      </c>
      <c r="G1178" s="10" t="str">
        <f aca="false">IFERROR(INDEX(Section_Master!$E$2:$E$477,MATCH($E1178,Section_Master!$A$2:$A$477,0))&amp;"","")</f>
        <v>Yes</v>
      </c>
      <c r="H1178" s="10" t="str">
        <f aca="false">IFERROR(INDEX(Section_Master!$F$2:$F$477,MATCH($E1178,Section_Master!$A$2:$A$477,0))&amp;"","")</f>
        <v>No</v>
      </c>
      <c r="I1178" s="10" t="str">
        <f aca="false">IFERROR(INDEX(Section_Master!$G$2:$G$477,MATCH($E1178,Section_Master!$A$2:$A$477,0))&amp;"","")</f>
        <v>No</v>
      </c>
      <c r="J1178" s="10" t="s">
        <v>48</v>
      </c>
      <c r="K1178" s="8" t="s">
        <v>2797</v>
      </c>
    </row>
    <row r="1179" customFormat="false" ht="45.75" hidden="false" customHeight="true" outlineLevel="0" collapsed="false">
      <c r="A1179" s="10" t="s">
        <v>2798</v>
      </c>
      <c r="B1179" s="10" t="s">
        <v>45</v>
      </c>
      <c r="C1179" s="8" t="s">
        <v>2795</v>
      </c>
      <c r="D1179" s="8" t="s">
        <v>2799</v>
      </c>
      <c r="E1179" s="11" t="n">
        <v>197</v>
      </c>
      <c r="F1179" s="8" t="str">
        <f aca="false">IFERROR(INDEX(Section_Master!$D$2:$D$477,MATCH($E1179,Section_Master!$A$2:$A$477,0))&amp;"","")</f>
        <v>Imprisonment up to 3 years, or fine, or both; up to 5 years and fine if committed in a place of worship [s.197]</v>
      </c>
      <c r="G1179" s="10" t="str">
        <f aca="false">IFERROR(INDEX(Section_Master!$E$2:$E$477,MATCH($E1179,Section_Master!$A$2:$A$477,0))&amp;"","")</f>
        <v>Yes</v>
      </c>
      <c r="H1179" s="10" t="str">
        <f aca="false">IFERROR(INDEX(Section_Master!$F$2:$F$477,MATCH($E1179,Section_Master!$A$2:$A$477,0))&amp;"","")</f>
        <v>No</v>
      </c>
      <c r="I1179" s="10" t="str">
        <f aca="false">IFERROR(INDEX(Section_Master!$G$2:$G$477,MATCH($E1179,Section_Master!$A$2:$A$477,0))&amp;"","")</f>
        <v>No</v>
      </c>
      <c r="J1179" s="10" t="s">
        <v>52</v>
      </c>
      <c r="K1179" s="8" t="s">
        <v>2797</v>
      </c>
    </row>
    <row r="1180" customFormat="false" ht="34.5" hidden="false" customHeight="true" outlineLevel="0" collapsed="false">
      <c r="A1180" s="10" t="s">
        <v>2800</v>
      </c>
      <c r="B1180" s="10" t="s">
        <v>45</v>
      </c>
      <c r="C1180" s="8" t="s">
        <v>2795</v>
      </c>
      <c r="D1180" s="8" t="s">
        <v>2801</v>
      </c>
      <c r="E1180" s="11" t="n">
        <v>197</v>
      </c>
      <c r="F1180" s="8" t="str">
        <f aca="false">IFERROR(INDEX(Section_Master!$D$2:$D$477,MATCH($E1180,Section_Master!$A$2:$A$477,0))&amp;"","")</f>
        <v>Imprisonment up to 3 years, or fine, or both; up to 5 years and fine if committed in a place of worship [s.197]</v>
      </c>
      <c r="G1180" s="10" t="str">
        <f aca="false">IFERROR(INDEX(Section_Master!$E$2:$E$477,MATCH($E1180,Section_Master!$A$2:$A$477,0))&amp;"","")</f>
        <v>Yes</v>
      </c>
      <c r="H1180" s="10" t="str">
        <f aca="false">IFERROR(INDEX(Section_Master!$F$2:$F$477,MATCH($E1180,Section_Master!$A$2:$A$477,0))&amp;"","")</f>
        <v>No</v>
      </c>
      <c r="I1180" s="10" t="str">
        <f aca="false">IFERROR(INDEX(Section_Master!$G$2:$G$477,MATCH($E1180,Section_Master!$A$2:$A$477,0))&amp;"","")</f>
        <v>No</v>
      </c>
      <c r="J1180" s="10" t="s">
        <v>55</v>
      </c>
      <c r="K1180" s="8" t="s">
        <v>2797</v>
      </c>
    </row>
    <row r="1181" customFormat="false" ht="23.25" hidden="false" customHeight="true" outlineLevel="0" collapsed="false">
      <c r="A1181" s="10" t="s">
        <v>2802</v>
      </c>
      <c r="B1181" s="10" t="s">
        <v>45</v>
      </c>
      <c r="C1181" s="8" t="s">
        <v>2795</v>
      </c>
      <c r="D1181" s="8" t="s">
        <v>2803</v>
      </c>
      <c r="E1181" s="11" t="n">
        <v>197</v>
      </c>
      <c r="F1181" s="8" t="str">
        <f aca="false">IFERROR(INDEX(Section_Master!$D$2:$D$477,MATCH($E1181,Section_Master!$A$2:$A$477,0))&amp;"","")</f>
        <v>Imprisonment up to 3 years, or fine, or both; up to 5 years and fine if committed in a place of worship [s.197]</v>
      </c>
      <c r="G1181" s="10" t="str">
        <f aca="false">IFERROR(INDEX(Section_Master!$E$2:$E$477,MATCH($E1181,Section_Master!$A$2:$A$477,0))&amp;"","")</f>
        <v>Yes</v>
      </c>
      <c r="H1181" s="10" t="str">
        <f aca="false">IFERROR(INDEX(Section_Master!$F$2:$F$477,MATCH($E1181,Section_Master!$A$2:$A$477,0))&amp;"","")</f>
        <v>No</v>
      </c>
      <c r="I1181" s="10" t="str">
        <f aca="false">IFERROR(INDEX(Section_Master!$G$2:$G$477,MATCH($E1181,Section_Master!$A$2:$A$477,0))&amp;"","")</f>
        <v>No</v>
      </c>
      <c r="J1181" s="10" t="s">
        <v>58</v>
      </c>
      <c r="K1181" s="8" t="s">
        <v>2797</v>
      </c>
    </row>
    <row r="1182" customFormat="false" ht="23.25" hidden="false" customHeight="true" outlineLevel="0" collapsed="false">
      <c r="A1182" s="10" t="s">
        <v>2804</v>
      </c>
      <c r="B1182" s="10" t="s">
        <v>45</v>
      </c>
      <c r="C1182" s="8" t="s">
        <v>2795</v>
      </c>
      <c r="D1182" s="8" t="s">
        <v>2805</v>
      </c>
      <c r="E1182" s="11" t="n">
        <v>197</v>
      </c>
      <c r="F1182" s="8" t="str">
        <f aca="false">IFERROR(INDEX(Section_Master!$D$2:$D$477,MATCH($E1182,Section_Master!$A$2:$A$477,0))&amp;"","")</f>
        <v>Imprisonment up to 3 years, or fine, or both; up to 5 years and fine if committed in a place of worship [s.197]</v>
      </c>
      <c r="G1182" s="10" t="str">
        <f aca="false">IFERROR(INDEX(Section_Master!$E$2:$E$477,MATCH($E1182,Section_Master!$A$2:$A$477,0))&amp;"","")</f>
        <v>Yes</v>
      </c>
      <c r="H1182" s="10" t="str">
        <f aca="false">IFERROR(INDEX(Section_Master!$F$2:$F$477,MATCH($E1182,Section_Master!$A$2:$A$477,0))&amp;"","")</f>
        <v>No</v>
      </c>
      <c r="I1182" s="10" t="str">
        <f aca="false">IFERROR(INDEX(Section_Master!$G$2:$G$477,MATCH($E1182,Section_Master!$A$2:$A$477,0))&amp;"","")</f>
        <v>No</v>
      </c>
      <c r="J1182" s="10" t="s">
        <v>61</v>
      </c>
      <c r="K1182" s="8" t="s">
        <v>2797</v>
      </c>
    </row>
    <row r="1183" customFormat="false" ht="34.5" hidden="false" customHeight="true" outlineLevel="0" collapsed="false">
      <c r="A1183" s="10" t="s">
        <v>2806</v>
      </c>
      <c r="B1183" s="10" t="s">
        <v>45</v>
      </c>
      <c r="C1183" s="8" t="s">
        <v>2795</v>
      </c>
      <c r="D1183" s="8" t="s">
        <v>2807</v>
      </c>
      <c r="E1183" s="11" t="n">
        <v>197</v>
      </c>
      <c r="F1183" s="8" t="str">
        <f aca="false">IFERROR(INDEX(Section_Master!$D$2:$D$477,MATCH($E1183,Section_Master!$A$2:$A$477,0))&amp;"","")</f>
        <v>Imprisonment up to 3 years, or fine, or both; up to 5 years and fine if committed in a place of worship [s.197]</v>
      </c>
      <c r="G1183" s="10" t="str">
        <f aca="false">IFERROR(INDEX(Section_Master!$E$2:$E$477,MATCH($E1183,Section_Master!$A$2:$A$477,0))&amp;"","")</f>
        <v>Yes</v>
      </c>
      <c r="H1183" s="10" t="str">
        <f aca="false">IFERROR(INDEX(Section_Master!$F$2:$F$477,MATCH($E1183,Section_Master!$A$2:$A$477,0))&amp;"","")</f>
        <v>No</v>
      </c>
      <c r="I1183" s="10" t="str">
        <f aca="false">IFERROR(INDEX(Section_Master!$G$2:$G$477,MATCH($E1183,Section_Master!$A$2:$A$477,0))&amp;"","")</f>
        <v>No</v>
      </c>
      <c r="J1183" s="10" t="s">
        <v>64</v>
      </c>
      <c r="K1183" s="8" t="s">
        <v>2797</v>
      </c>
    </row>
    <row r="1184" customFormat="false" ht="34.5" hidden="false" customHeight="true" outlineLevel="0" collapsed="false">
      <c r="A1184" s="10" t="s">
        <v>2808</v>
      </c>
      <c r="B1184" s="10" t="s">
        <v>45</v>
      </c>
      <c r="C1184" s="8" t="s">
        <v>2809</v>
      </c>
      <c r="D1184" s="8" t="s">
        <v>2810</v>
      </c>
      <c r="E1184" s="11" t="n">
        <v>198</v>
      </c>
      <c r="F1184" s="8" t="str">
        <f aca="false">IFERROR(INDEX(Section_Master!$D$2:$D$477,MATCH($E1184,Section_Master!$A$2:$A$477,0))&amp;"","")</f>
        <v>Simple imprisonment up to 1 year, or fine, or both</v>
      </c>
      <c r="G1184" s="10" t="str">
        <f aca="false">IFERROR(INDEX(Section_Master!$E$2:$E$477,MATCH($E1184,Section_Master!$A$2:$A$477,0))&amp;"","")</f>
        <v>No</v>
      </c>
      <c r="H1184" s="10" t="str">
        <f aca="false">IFERROR(INDEX(Section_Master!$F$2:$F$477,MATCH($E1184,Section_Master!$A$2:$A$477,0))&amp;"","")</f>
        <v>Yes</v>
      </c>
      <c r="I1184" s="10" t="str">
        <f aca="false">IFERROR(INDEX(Section_Master!$G$2:$G$477,MATCH($E1184,Section_Master!$A$2:$A$477,0))&amp;"","")</f>
        <v>No</v>
      </c>
      <c r="J1184" s="10" t="s">
        <v>48</v>
      </c>
      <c r="K1184" s="8" t="s">
        <v>2811</v>
      </c>
    </row>
    <row r="1185" customFormat="false" ht="34.5" hidden="false" customHeight="true" outlineLevel="0" collapsed="false">
      <c r="A1185" s="10" t="s">
        <v>2812</v>
      </c>
      <c r="B1185" s="10" t="s">
        <v>45</v>
      </c>
      <c r="C1185" s="8" t="s">
        <v>2809</v>
      </c>
      <c r="D1185" s="8" t="s">
        <v>2813</v>
      </c>
      <c r="E1185" s="11" t="n">
        <v>198</v>
      </c>
      <c r="F1185" s="8" t="str">
        <f aca="false">IFERROR(INDEX(Section_Master!$D$2:$D$477,MATCH($E1185,Section_Master!$A$2:$A$477,0))&amp;"","")</f>
        <v>Simple imprisonment up to 1 year, or fine, or both</v>
      </c>
      <c r="G1185" s="10" t="str">
        <f aca="false">IFERROR(INDEX(Section_Master!$E$2:$E$477,MATCH($E1185,Section_Master!$A$2:$A$477,0))&amp;"","")</f>
        <v>No</v>
      </c>
      <c r="H1185" s="10" t="str">
        <f aca="false">IFERROR(INDEX(Section_Master!$F$2:$F$477,MATCH($E1185,Section_Master!$A$2:$A$477,0))&amp;"","")</f>
        <v>Yes</v>
      </c>
      <c r="I1185" s="10" t="str">
        <f aca="false">IFERROR(INDEX(Section_Master!$G$2:$G$477,MATCH($E1185,Section_Master!$A$2:$A$477,0))&amp;"","")</f>
        <v>No</v>
      </c>
      <c r="J1185" s="10" t="s">
        <v>52</v>
      </c>
      <c r="K1185" s="8" t="s">
        <v>2811</v>
      </c>
    </row>
    <row r="1186" customFormat="false" ht="34.5" hidden="false" customHeight="true" outlineLevel="0" collapsed="false">
      <c r="A1186" s="10" t="s">
        <v>2814</v>
      </c>
      <c r="B1186" s="10" t="s">
        <v>45</v>
      </c>
      <c r="C1186" s="8" t="s">
        <v>2809</v>
      </c>
      <c r="D1186" s="8" t="s">
        <v>2815</v>
      </c>
      <c r="E1186" s="11" t="n">
        <v>198</v>
      </c>
      <c r="F1186" s="8" t="str">
        <f aca="false">IFERROR(INDEX(Section_Master!$D$2:$D$477,MATCH($E1186,Section_Master!$A$2:$A$477,0))&amp;"","")</f>
        <v>Simple imprisonment up to 1 year, or fine, or both</v>
      </c>
      <c r="G1186" s="10" t="str">
        <f aca="false">IFERROR(INDEX(Section_Master!$E$2:$E$477,MATCH($E1186,Section_Master!$A$2:$A$477,0))&amp;"","")</f>
        <v>No</v>
      </c>
      <c r="H1186" s="10" t="str">
        <f aca="false">IFERROR(INDEX(Section_Master!$F$2:$F$477,MATCH($E1186,Section_Master!$A$2:$A$477,0))&amp;"","")</f>
        <v>Yes</v>
      </c>
      <c r="I1186" s="10" t="str">
        <f aca="false">IFERROR(INDEX(Section_Master!$G$2:$G$477,MATCH($E1186,Section_Master!$A$2:$A$477,0))&amp;"","")</f>
        <v>No</v>
      </c>
      <c r="J1186" s="10" t="s">
        <v>55</v>
      </c>
      <c r="K1186" s="8" t="s">
        <v>2811</v>
      </c>
    </row>
    <row r="1187" customFormat="false" ht="23.25" hidden="false" customHeight="true" outlineLevel="0" collapsed="false">
      <c r="A1187" s="10" t="s">
        <v>2816</v>
      </c>
      <c r="B1187" s="10" t="s">
        <v>45</v>
      </c>
      <c r="C1187" s="8" t="s">
        <v>2809</v>
      </c>
      <c r="D1187" s="8" t="s">
        <v>2817</v>
      </c>
      <c r="E1187" s="11" t="n">
        <v>198</v>
      </c>
      <c r="F1187" s="8" t="str">
        <f aca="false">IFERROR(INDEX(Section_Master!$D$2:$D$477,MATCH($E1187,Section_Master!$A$2:$A$477,0))&amp;"","")</f>
        <v>Simple imprisonment up to 1 year, or fine, or both</v>
      </c>
      <c r="G1187" s="10" t="str">
        <f aca="false">IFERROR(INDEX(Section_Master!$E$2:$E$477,MATCH($E1187,Section_Master!$A$2:$A$477,0))&amp;"","")</f>
        <v>No</v>
      </c>
      <c r="H1187" s="10" t="str">
        <f aca="false">IFERROR(INDEX(Section_Master!$F$2:$F$477,MATCH($E1187,Section_Master!$A$2:$A$477,0))&amp;"","")</f>
        <v>Yes</v>
      </c>
      <c r="I1187" s="10" t="str">
        <f aca="false">IFERROR(INDEX(Section_Master!$G$2:$G$477,MATCH($E1187,Section_Master!$A$2:$A$477,0))&amp;"","")</f>
        <v>No</v>
      </c>
      <c r="J1187" s="10" t="s">
        <v>58</v>
      </c>
      <c r="K1187" s="8" t="s">
        <v>2811</v>
      </c>
    </row>
    <row r="1188" customFormat="false" ht="34.5" hidden="false" customHeight="true" outlineLevel="0" collapsed="false">
      <c r="A1188" s="10" t="s">
        <v>2818</v>
      </c>
      <c r="B1188" s="10" t="s">
        <v>45</v>
      </c>
      <c r="C1188" s="8" t="s">
        <v>2809</v>
      </c>
      <c r="D1188" s="8" t="s">
        <v>2819</v>
      </c>
      <c r="E1188" s="11" t="n">
        <v>198</v>
      </c>
      <c r="F1188" s="8" t="str">
        <f aca="false">IFERROR(INDEX(Section_Master!$D$2:$D$477,MATCH($E1188,Section_Master!$A$2:$A$477,0))&amp;"","")</f>
        <v>Simple imprisonment up to 1 year, or fine, or both</v>
      </c>
      <c r="G1188" s="10" t="str">
        <f aca="false">IFERROR(INDEX(Section_Master!$E$2:$E$477,MATCH($E1188,Section_Master!$A$2:$A$477,0))&amp;"","")</f>
        <v>No</v>
      </c>
      <c r="H1188" s="10" t="str">
        <f aca="false">IFERROR(INDEX(Section_Master!$F$2:$F$477,MATCH($E1188,Section_Master!$A$2:$A$477,0))&amp;"","")</f>
        <v>Yes</v>
      </c>
      <c r="I1188" s="10" t="str">
        <f aca="false">IFERROR(INDEX(Section_Master!$G$2:$G$477,MATCH($E1188,Section_Master!$A$2:$A$477,0))&amp;"","")</f>
        <v>No</v>
      </c>
      <c r="J1188" s="10" t="s">
        <v>61</v>
      </c>
      <c r="K1188" s="8" t="s">
        <v>2811</v>
      </c>
    </row>
    <row r="1189" customFormat="false" ht="45.75" hidden="false" customHeight="true" outlineLevel="0" collapsed="false">
      <c r="A1189" s="10" t="s">
        <v>2820</v>
      </c>
      <c r="B1189" s="10" t="s">
        <v>45</v>
      </c>
      <c r="C1189" s="8" t="s">
        <v>2809</v>
      </c>
      <c r="D1189" s="8" t="s">
        <v>2821</v>
      </c>
      <c r="E1189" s="11" t="n">
        <v>198</v>
      </c>
      <c r="F1189" s="8" t="str">
        <f aca="false">IFERROR(INDEX(Section_Master!$D$2:$D$477,MATCH($E1189,Section_Master!$A$2:$A$477,0))&amp;"","")</f>
        <v>Simple imprisonment up to 1 year, or fine, or both</v>
      </c>
      <c r="G1189" s="10" t="str">
        <f aca="false">IFERROR(INDEX(Section_Master!$E$2:$E$477,MATCH($E1189,Section_Master!$A$2:$A$477,0))&amp;"","")</f>
        <v>No</v>
      </c>
      <c r="H1189" s="10" t="str">
        <f aca="false">IFERROR(INDEX(Section_Master!$F$2:$F$477,MATCH($E1189,Section_Master!$A$2:$A$477,0))&amp;"","")</f>
        <v>Yes</v>
      </c>
      <c r="I1189" s="10" t="str">
        <f aca="false">IFERROR(INDEX(Section_Master!$G$2:$G$477,MATCH($E1189,Section_Master!$A$2:$A$477,0))&amp;"","")</f>
        <v>No</v>
      </c>
      <c r="J1189" s="10" t="s">
        <v>64</v>
      </c>
      <c r="K1189" s="8" t="s">
        <v>2811</v>
      </c>
    </row>
    <row r="1190" customFormat="false" ht="34.5" hidden="false" customHeight="true" outlineLevel="0" collapsed="false">
      <c r="A1190" s="10" t="s">
        <v>2822</v>
      </c>
      <c r="B1190" s="10" t="s">
        <v>45</v>
      </c>
      <c r="C1190" s="8" t="s">
        <v>2823</v>
      </c>
      <c r="D1190" s="8" t="s">
        <v>2824</v>
      </c>
      <c r="E1190" s="11" t="n">
        <v>199</v>
      </c>
      <c r="F1190" s="8" t="str">
        <f aca="false">IFERROR(INDEX(Section_Master!$D$2:$D$477,MATCH($E1190,Section_Master!$A$2:$A$477,0))&amp;"","")</f>
        <v>Rigorous imprisonment 6 months to 2 years and fine</v>
      </c>
      <c r="G1190" s="10" t="str">
        <f aca="false">IFERROR(INDEX(Section_Master!$E$2:$E$477,MATCH($E1190,Section_Master!$A$2:$A$477,0))&amp;"","")</f>
        <v>Yes</v>
      </c>
      <c r="H1190" s="10" t="str">
        <f aca="false">IFERROR(INDEX(Section_Master!$F$2:$F$477,MATCH($E1190,Section_Master!$A$2:$A$477,0))&amp;"","")</f>
        <v>Yes</v>
      </c>
      <c r="I1190" s="10" t="str">
        <f aca="false">IFERROR(INDEX(Section_Master!$G$2:$G$477,MATCH($E1190,Section_Master!$A$2:$A$477,0))&amp;"","")</f>
        <v>No</v>
      </c>
      <c r="J1190" s="10" t="s">
        <v>48</v>
      </c>
      <c r="K1190" s="8" t="s">
        <v>2825</v>
      </c>
    </row>
    <row r="1191" customFormat="false" ht="45.75" hidden="false" customHeight="true" outlineLevel="0" collapsed="false">
      <c r="A1191" s="10" t="s">
        <v>2826</v>
      </c>
      <c r="B1191" s="10" t="s">
        <v>45</v>
      </c>
      <c r="C1191" s="8" t="s">
        <v>2823</v>
      </c>
      <c r="D1191" s="8" t="s">
        <v>2827</v>
      </c>
      <c r="E1191" s="11" t="n">
        <v>199</v>
      </c>
      <c r="F1191" s="8" t="str">
        <f aca="false">IFERROR(INDEX(Section_Master!$D$2:$D$477,MATCH($E1191,Section_Master!$A$2:$A$477,0))&amp;"","")</f>
        <v>Rigorous imprisonment 6 months to 2 years and fine</v>
      </c>
      <c r="G1191" s="10" t="str">
        <f aca="false">IFERROR(INDEX(Section_Master!$E$2:$E$477,MATCH($E1191,Section_Master!$A$2:$A$477,0))&amp;"","")</f>
        <v>Yes</v>
      </c>
      <c r="H1191" s="10" t="str">
        <f aca="false">IFERROR(INDEX(Section_Master!$F$2:$F$477,MATCH($E1191,Section_Master!$A$2:$A$477,0))&amp;"","")</f>
        <v>Yes</v>
      </c>
      <c r="I1191" s="10" t="str">
        <f aca="false">IFERROR(INDEX(Section_Master!$G$2:$G$477,MATCH($E1191,Section_Master!$A$2:$A$477,0))&amp;"","")</f>
        <v>No</v>
      </c>
      <c r="J1191" s="10" t="s">
        <v>52</v>
      </c>
      <c r="K1191" s="8" t="s">
        <v>2825</v>
      </c>
    </row>
    <row r="1192" customFormat="false" ht="34.5" hidden="false" customHeight="true" outlineLevel="0" collapsed="false">
      <c r="A1192" s="10" t="s">
        <v>2828</v>
      </c>
      <c r="B1192" s="10" t="s">
        <v>45</v>
      </c>
      <c r="C1192" s="8" t="s">
        <v>2823</v>
      </c>
      <c r="D1192" s="8" t="s">
        <v>2829</v>
      </c>
      <c r="E1192" s="11" t="n">
        <v>199</v>
      </c>
      <c r="F1192" s="8" t="str">
        <f aca="false">IFERROR(INDEX(Section_Master!$D$2:$D$477,MATCH($E1192,Section_Master!$A$2:$A$477,0))&amp;"","")</f>
        <v>Rigorous imprisonment 6 months to 2 years and fine</v>
      </c>
      <c r="G1192" s="10" t="str">
        <f aca="false">IFERROR(INDEX(Section_Master!$E$2:$E$477,MATCH($E1192,Section_Master!$A$2:$A$477,0))&amp;"","")</f>
        <v>Yes</v>
      </c>
      <c r="H1192" s="10" t="str">
        <f aca="false">IFERROR(INDEX(Section_Master!$F$2:$F$477,MATCH($E1192,Section_Master!$A$2:$A$477,0))&amp;"","")</f>
        <v>Yes</v>
      </c>
      <c r="I1192" s="10" t="str">
        <f aca="false">IFERROR(INDEX(Section_Master!$G$2:$G$477,MATCH($E1192,Section_Master!$A$2:$A$477,0))&amp;"","")</f>
        <v>No</v>
      </c>
      <c r="J1192" s="10" t="s">
        <v>55</v>
      </c>
      <c r="K1192" s="8" t="s">
        <v>2825</v>
      </c>
    </row>
    <row r="1193" customFormat="false" ht="34.5" hidden="false" customHeight="true" outlineLevel="0" collapsed="false">
      <c r="A1193" s="10" t="s">
        <v>2830</v>
      </c>
      <c r="B1193" s="10" t="s">
        <v>45</v>
      </c>
      <c r="C1193" s="8" t="s">
        <v>2823</v>
      </c>
      <c r="D1193" s="8" t="s">
        <v>2831</v>
      </c>
      <c r="E1193" s="11" t="n">
        <v>199</v>
      </c>
      <c r="F1193" s="8" t="str">
        <f aca="false">IFERROR(INDEX(Section_Master!$D$2:$D$477,MATCH($E1193,Section_Master!$A$2:$A$477,0))&amp;"","")</f>
        <v>Rigorous imprisonment 6 months to 2 years and fine</v>
      </c>
      <c r="G1193" s="10" t="str">
        <f aca="false">IFERROR(INDEX(Section_Master!$E$2:$E$477,MATCH($E1193,Section_Master!$A$2:$A$477,0))&amp;"","")</f>
        <v>Yes</v>
      </c>
      <c r="H1193" s="10" t="str">
        <f aca="false">IFERROR(INDEX(Section_Master!$F$2:$F$477,MATCH($E1193,Section_Master!$A$2:$A$477,0))&amp;"","")</f>
        <v>Yes</v>
      </c>
      <c r="I1193" s="10" t="str">
        <f aca="false">IFERROR(INDEX(Section_Master!$G$2:$G$477,MATCH($E1193,Section_Master!$A$2:$A$477,0))&amp;"","")</f>
        <v>No</v>
      </c>
      <c r="J1193" s="10" t="s">
        <v>58</v>
      </c>
      <c r="K1193" s="8" t="s">
        <v>2825</v>
      </c>
    </row>
    <row r="1194" customFormat="false" ht="34.5" hidden="false" customHeight="true" outlineLevel="0" collapsed="false">
      <c r="A1194" s="10" t="s">
        <v>2832</v>
      </c>
      <c r="B1194" s="10" t="s">
        <v>45</v>
      </c>
      <c r="C1194" s="8" t="s">
        <v>2823</v>
      </c>
      <c r="D1194" s="8" t="s">
        <v>2833</v>
      </c>
      <c r="E1194" s="11" t="n">
        <v>199</v>
      </c>
      <c r="F1194" s="8" t="str">
        <f aca="false">IFERROR(INDEX(Section_Master!$D$2:$D$477,MATCH($E1194,Section_Master!$A$2:$A$477,0))&amp;"","")</f>
        <v>Rigorous imprisonment 6 months to 2 years and fine</v>
      </c>
      <c r="G1194" s="10" t="str">
        <f aca="false">IFERROR(INDEX(Section_Master!$E$2:$E$477,MATCH($E1194,Section_Master!$A$2:$A$477,0))&amp;"","")</f>
        <v>Yes</v>
      </c>
      <c r="H1194" s="10" t="str">
        <f aca="false">IFERROR(INDEX(Section_Master!$F$2:$F$477,MATCH($E1194,Section_Master!$A$2:$A$477,0))&amp;"","")</f>
        <v>Yes</v>
      </c>
      <c r="I1194" s="10" t="str">
        <f aca="false">IFERROR(INDEX(Section_Master!$G$2:$G$477,MATCH($E1194,Section_Master!$A$2:$A$477,0))&amp;"","")</f>
        <v>No</v>
      </c>
      <c r="J1194" s="10" t="s">
        <v>61</v>
      </c>
      <c r="K1194" s="8" t="s">
        <v>2825</v>
      </c>
    </row>
    <row r="1195" customFormat="false" ht="45.75" hidden="false" customHeight="true" outlineLevel="0" collapsed="false">
      <c r="A1195" s="10" t="s">
        <v>2834</v>
      </c>
      <c r="B1195" s="10" t="s">
        <v>45</v>
      </c>
      <c r="C1195" s="8" t="s">
        <v>2823</v>
      </c>
      <c r="D1195" s="8" t="s">
        <v>2835</v>
      </c>
      <c r="E1195" s="11" t="n">
        <v>199</v>
      </c>
      <c r="F1195" s="8" t="str">
        <f aca="false">IFERROR(INDEX(Section_Master!$D$2:$D$477,MATCH($E1195,Section_Master!$A$2:$A$477,0))&amp;"","")</f>
        <v>Rigorous imprisonment 6 months to 2 years and fine</v>
      </c>
      <c r="G1195" s="10" t="str">
        <f aca="false">IFERROR(INDEX(Section_Master!$E$2:$E$477,MATCH($E1195,Section_Master!$A$2:$A$477,0))&amp;"","")</f>
        <v>Yes</v>
      </c>
      <c r="H1195" s="10" t="str">
        <f aca="false">IFERROR(INDEX(Section_Master!$F$2:$F$477,MATCH($E1195,Section_Master!$A$2:$A$477,0))&amp;"","")</f>
        <v>Yes</v>
      </c>
      <c r="I1195" s="10" t="str">
        <f aca="false">IFERROR(INDEX(Section_Master!$G$2:$G$477,MATCH($E1195,Section_Master!$A$2:$A$477,0))&amp;"","")</f>
        <v>No</v>
      </c>
      <c r="J1195" s="10" t="s">
        <v>64</v>
      </c>
      <c r="K1195" s="8" t="s">
        <v>2825</v>
      </c>
    </row>
    <row r="1196" customFormat="false" ht="34.5" hidden="false" customHeight="true" outlineLevel="0" collapsed="false">
      <c r="A1196" s="10" t="s">
        <v>2836</v>
      </c>
      <c r="B1196" s="10" t="s">
        <v>45</v>
      </c>
      <c r="C1196" s="8" t="s">
        <v>2837</v>
      </c>
      <c r="D1196" s="8" t="s">
        <v>2838</v>
      </c>
      <c r="E1196" s="11" t="n">
        <v>200</v>
      </c>
      <c r="F1196" s="8" t="str">
        <f aca="false">IFERROR(INDEX(Section_Master!$D$2:$D$477,MATCH($E1196,Section_Master!$A$2:$A$477,0))&amp;"","")</f>
        <v>Imprisonment up to 1 year, or fine, or both</v>
      </c>
      <c r="G1196" s="10" t="str">
        <f aca="false">IFERROR(INDEX(Section_Master!$E$2:$E$477,MATCH($E1196,Section_Master!$A$2:$A$477,0))&amp;"","")</f>
        <v>No</v>
      </c>
      <c r="H1196" s="10" t="str">
        <f aca="false">IFERROR(INDEX(Section_Master!$F$2:$F$477,MATCH($E1196,Section_Master!$A$2:$A$477,0))&amp;"","")</f>
        <v>Yes</v>
      </c>
      <c r="I1196" s="10" t="str">
        <f aca="false">IFERROR(INDEX(Section_Master!$G$2:$G$477,MATCH($E1196,Section_Master!$A$2:$A$477,0))&amp;"","")</f>
        <v>No</v>
      </c>
      <c r="J1196" s="10" t="s">
        <v>48</v>
      </c>
      <c r="K1196" s="8" t="s">
        <v>2839</v>
      </c>
    </row>
    <row r="1197" customFormat="false" ht="45.75" hidden="false" customHeight="true" outlineLevel="0" collapsed="false">
      <c r="A1197" s="10" t="s">
        <v>2840</v>
      </c>
      <c r="B1197" s="10" t="s">
        <v>45</v>
      </c>
      <c r="C1197" s="8" t="s">
        <v>2837</v>
      </c>
      <c r="D1197" s="8" t="s">
        <v>2841</v>
      </c>
      <c r="E1197" s="11" t="n">
        <v>200</v>
      </c>
      <c r="F1197" s="8" t="str">
        <f aca="false">IFERROR(INDEX(Section_Master!$D$2:$D$477,MATCH($E1197,Section_Master!$A$2:$A$477,0))&amp;"","")</f>
        <v>Imprisonment up to 1 year, or fine, or both</v>
      </c>
      <c r="G1197" s="10" t="str">
        <f aca="false">IFERROR(INDEX(Section_Master!$E$2:$E$477,MATCH($E1197,Section_Master!$A$2:$A$477,0))&amp;"","")</f>
        <v>No</v>
      </c>
      <c r="H1197" s="10" t="str">
        <f aca="false">IFERROR(INDEX(Section_Master!$F$2:$F$477,MATCH($E1197,Section_Master!$A$2:$A$477,0))&amp;"","")</f>
        <v>Yes</v>
      </c>
      <c r="I1197" s="10" t="str">
        <f aca="false">IFERROR(INDEX(Section_Master!$G$2:$G$477,MATCH($E1197,Section_Master!$A$2:$A$477,0))&amp;"","")</f>
        <v>No</v>
      </c>
      <c r="J1197" s="10" t="s">
        <v>52</v>
      </c>
      <c r="K1197" s="8" t="s">
        <v>2839</v>
      </c>
    </row>
    <row r="1198" customFormat="false" ht="34.5" hidden="false" customHeight="true" outlineLevel="0" collapsed="false">
      <c r="A1198" s="10" t="s">
        <v>2842</v>
      </c>
      <c r="B1198" s="10" t="s">
        <v>45</v>
      </c>
      <c r="C1198" s="8" t="s">
        <v>2837</v>
      </c>
      <c r="D1198" s="8" t="s">
        <v>2843</v>
      </c>
      <c r="E1198" s="11" t="n">
        <v>200</v>
      </c>
      <c r="F1198" s="8" t="str">
        <f aca="false">IFERROR(INDEX(Section_Master!$D$2:$D$477,MATCH($E1198,Section_Master!$A$2:$A$477,0))&amp;"","")</f>
        <v>Imprisonment up to 1 year, or fine, or both</v>
      </c>
      <c r="G1198" s="10" t="str">
        <f aca="false">IFERROR(INDEX(Section_Master!$E$2:$E$477,MATCH($E1198,Section_Master!$A$2:$A$477,0))&amp;"","")</f>
        <v>No</v>
      </c>
      <c r="H1198" s="10" t="str">
        <f aca="false">IFERROR(INDEX(Section_Master!$F$2:$F$477,MATCH($E1198,Section_Master!$A$2:$A$477,0))&amp;"","")</f>
        <v>Yes</v>
      </c>
      <c r="I1198" s="10" t="str">
        <f aca="false">IFERROR(INDEX(Section_Master!$G$2:$G$477,MATCH($E1198,Section_Master!$A$2:$A$477,0))&amp;"","")</f>
        <v>No</v>
      </c>
      <c r="J1198" s="10" t="s">
        <v>55</v>
      </c>
      <c r="K1198" s="8" t="s">
        <v>2839</v>
      </c>
    </row>
    <row r="1199" customFormat="false" ht="34.5" hidden="false" customHeight="true" outlineLevel="0" collapsed="false">
      <c r="A1199" s="10" t="s">
        <v>2844</v>
      </c>
      <c r="B1199" s="10" t="s">
        <v>45</v>
      </c>
      <c r="C1199" s="8" t="s">
        <v>2837</v>
      </c>
      <c r="D1199" s="8" t="s">
        <v>2845</v>
      </c>
      <c r="E1199" s="11" t="n">
        <v>200</v>
      </c>
      <c r="F1199" s="8" t="str">
        <f aca="false">IFERROR(INDEX(Section_Master!$D$2:$D$477,MATCH($E1199,Section_Master!$A$2:$A$477,0))&amp;"","")</f>
        <v>Imprisonment up to 1 year, or fine, or both</v>
      </c>
      <c r="G1199" s="10" t="str">
        <f aca="false">IFERROR(INDEX(Section_Master!$E$2:$E$477,MATCH($E1199,Section_Master!$A$2:$A$477,0))&amp;"","")</f>
        <v>No</v>
      </c>
      <c r="H1199" s="10" t="str">
        <f aca="false">IFERROR(INDEX(Section_Master!$F$2:$F$477,MATCH($E1199,Section_Master!$A$2:$A$477,0))&amp;"","")</f>
        <v>Yes</v>
      </c>
      <c r="I1199" s="10" t="str">
        <f aca="false">IFERROR(INDEX(Section_Master!$G$2:$G$477,MATCH($E1199,Section_Master!$A$2:$A$477,0))&amp;"","")</f>
        <v>No</v>
      </c>
      <c r="J1199" s="10" t="s">
        <v>58</v>
      </c>
      <c r="K1199" s="8" t="s">
        <v>2839</v>
      </c>
    </row>
    <row r="1200" customFormat="false" ht="34.5" hidden="false" customHeight="true" outlineLevel="0" collapsed="false">
      <c r="A1200" s="10" t="s">
        <v>2846</v>
      </c>
      <c r="B1200" s="10" t="s">
        <v>45</v>
      </c>
      <c r="C1200" s="8" t="s">
        <v>2837</v>
      </c>
      <c r="D1200" s="8" t="s">
        <v>2847</v>
      </c>
      <c r="E1200" s="11" t="n">
        <v>200</v>
      </c>
      <c r="F1200" s="8" t="str">
        <f aca="false">IFERROR(INDEX(Section_Master!$D$2:$D$477,MATCH($E1200,Section_Master!$A$2:$A$477,0))&amp;"","")</f>
        <v>Imprisonment up to 1 year, or fine, or both</v>
      </c>
      <c r="G1200" s="10" t="str">
        <f aca="false">IFERROR(INDEX(Section_Master!$E$2:$E$477,MATCH($E1200,Section_Master!$A$2:$A$477,0))&amp;"","")</f>
        <v>No</v>
      </c>
      <c r="H1200" s="10" t="str">
        <f aca="false">IFERROR(INDEX(Section_Master!$F$2:$F$477,MATCH($E1200,Section_Master!$A$2:$A$477,0))&amp;"","")</f>
        <v>Yes</v>
      </c>
      <c r="I1200" s="10" t="str">
        <f aca="false">IFERROR(INDEX(Section_Master!$G$2:$G$477,MATCH($E1200,Section_Master!$A$2:$A$477,0))&amp;"","")</f>
        <v>No</v>
      </c>
      <c r="J1200" s="10" t="s">
        <v>61</v>
      </c>
      <c r="K1200" s="8" t="s">
        <v>2839</v>
      </c>
    </row>
    <row r="1201" customFormat="false" ht="34.5" hidden="false" customHeight="true" outlineLevel="0" collapsed="false">
      <c r="A1201" s="10" t="s">
        <v>2848</v>
      </c>
      <c r="B1201" s="10" t="s">
        <v>45</v>
      </c>
      <c r="C1201" s="8" t="s">
        <v>2837</v>
      </c>
      <c r="D1201" s="8" t="s">
        <v>2849</v>
      </c>
      <c r="E1201" s="11" t="n">
        <v>200</v>
      </c>
      <c r="F1201" s="8" t="str">
        <f aca="false">IFERROR(INDEX(Section_Master!$D$2:$D$477,MATCH($E1201,Section_Master!$A$2:$A$477,0))&amp;"","")</f>
        <v>Imprisonment up to 1 year, or fine, or both</v>
      </c>
      <c r="G1201" s="10" t="str">
        <f aca="false">IFERROR(INDEX(Section_Master!$E$2:$E$477,MATCH($E1201,Section_Master!$A$2:$A$477,0))&amp;"","")</f>
        <v>No</v>
      </c>
      <c r="H1201" s="10" t="str">
        <f aca="false">IFERROR(INDEX(Section_Master!$F$2:$F$477,MATCH($E1201,Section_Master!$A$2:$A$477,0))&amp;"","")</f>
        <v>Yes</v>
      </c>
      <c r="I1201" s="10" t="str">
        <f aca="false">IFERROR(INDEX(Section_Master!$G$2:$G$477,MATCH($E1201,Section_Master!$A$2:$A$477,0))&amp;"","")</f>
        <v>No</v>
      </c>
      <c r="J1201" s="10" t="s">
        <v>64</v>
      </c>
      <c r="K1201" s="8" t="s">
        <v>2839</v>
      </c>
    </row>
    <row r="1202" customFormat="false" ht="34.5" hidden="false" customHeight="true" outlineLevel="0" collapsed="false">
      <c r="A1202" s="10" t="s">
        <v>2850</v>
      </c>
      <c r="B1202" s="10" t="s">
        <v>45</v>
      </c>
      <c r="C1202" s="8" t="s">
        <v>2851</v>
      </c>
      <c r="D1202" s="8" t="s">
        <v>2852</v>
      </c>
      <c r="E1202" s="11" t="n">
        <v>201</v>
      </c>
      <c r="F1202" s="8" t="str">
        <f aca="false">IFERROR(INDEX(Section_Master!$D$2:$D$477,MATCH($E1202,Section_Master!$A$2:$A$477,0))&amp;"","")</f>
        <v>Imprisonment up to 3 years, or fine, or both</v>
      </c>
      <c r="G1202" s="10" t="str">
        <f aca="false">IFERROR(INDEX(Section_Master!$E$2:$E$477,MATCH($E1202,Section_Master!$A$2:$A$477,0))&amp;"","")</f>
        <v>No</v>
      </c>
      <c r="H1202" s="10" t="str">
        <f aca="false">IFERROR(INDEX(Section_Master!$F$2:$F$477,MATCH($E1202,Section_Master!$A$2:$A$477,0))&amp;"","")</f>
        <v>Yes</v>
      </c>
      <c r="I1202" s="10" t="str">
        <f aca="false">IFERROR(INDEX(Section_Master!$G$2:$G$477,MATCH($E1202,Section_Master!$A$2:$A$477,0))&amp;"","")</f>
        <v>No</v>
      </c>
      <c r="J1202" s="10" t="s">
        <v>48</v>
      </c>
      <c r="K1202" s="8" t="s">
        <v>2853</v>
      </c>
    </row>
    <row r="1203" customFormat="false" ht="34.5" hidden="false" customHeight="true" outlineLevel="0" collapsed="false">
      <c r="A1203" s="10" t="s">
        <v>2854</v>
      </c>
      <c r="B1203" s="10" t="s">
        <v>45</v>
      </c>
      <c r="C1203" s="8" t="s">
        <v>2851</v>
      </c>
      <c r="D1203" s="8" t="s">
        <v>2855</v>
      </c>
      <c r="E1203" s="11" t="n">
        <v>201</v>
      </c>
      <c r="F1203" s="8" t="str">
        <f aca="false">IFERROR(INDEX(Section_Master!$D$2:$D$477,MATCH($E1203,Section_Master!$A$2:$A$477,0))&amp;"","")</f>
        <v>Imprisonment up to 3 years, or fine, or both</v>
      </c>
      <c r="G1203" s="10" t="str">
        <f aca="false">IFERROR(INDEX(Section_Master!$E$2:$E$477,MATCH($E1203,Section_Master!$A$2:$A$477,0))&amp;"","")</f>
        <v>No</v>
      </c>
      <c r="H1203" s="10" t="str">
        <f aca="false">IFERROR(INDEX(Section_Master!$F$2:$F$477,MATCH($E1203,Section_Master!$A$2:$A$477,0))&amp;"","")</f>
        <v>Yes</v>
      </c>
      <c r="I1203" s="10" t="str">
        <f aca="false">IFERROR(INDEX(Section_Master!$G$2:$G$477,MATCH($E1203,Section_Master!$A$2:$A$477,0))&amp;"","")</f>
        <v>No</v>
      </c>
      <c r="J1203" s="10" t="s">
        <v>52</v>
      </c>
      <c r="K1203" s="8" t="s">
        <v>2853</v>
      </c>
    </row>
    <row r="1204" customFormat="false" ht="34.5" hidden="false" customHeight="true" outlineLevel="0" collapsed="false">
      <c r="A1204" s="10" t="s">
        <v>2856</v>
      </c>
      <c r="B1204" s="10" t="s">
        <v>45</v>
      </c>
      <c r="C1204" s="8" t="s">
        <v>2851</v>
      </c>
      <c r="D1204" s="8" t="s">
        <v>2857</v>
      </c>
      <c r="E1204" s="11" t="n">
        <v>201</v>
      </c>
      <c r="F1204" s="8" t="str">
        <f aca="false">IFERROR(INDEX(Section_Master!$D$2:$D$477,MATCH($E1204,Section_Master!$A$2:$A$477,0))&amp;"","")</f>
        <v>Imprisonment up to 3 years, or fine, or both</v>
      </c>
      <c r="G1204" s="10" t="str">
        <f aca="false">IFERROR(INDEX(Section_Master!$E$2:$E$477,MATCH($E1204,Section_Master!$A$2:$A$477,0))&amp;"","")</f>
        <v>No</v>
      </c>
      <c r="H1204" s="10" t="str">
        <f aca="false">IFERROR(INDEX(Section_Master!$F$2:$F$477,MATCH($E1204,Section_Master!$A$2:$A$477,0))&amp;"","")</f>
        <v>Yes</v>
      </c>
      <c r="I1204" s="10" t="str">
        <f aca="false">IFERROR(INDEX(Section_Master!$G$2:$G$477,MATCH($E1204,Section_Master!$A$2:$A$477,0))&amp;"","")</f>
        <v>No</v>
      </c>
      <c r="J1204" s="10" t="s">
        <v>55</v>
      </c>
      <c r="K1204" s="8" t="s">
        <v>2853</v>
      </c>
    </row>
    <row r="1205" customFormat="false" ht="34.5" hidden="false" customHeight="true" outlineLevel="0" collapsed="false">
      <c r="A1205" s="10" t="s">
        <v>2858</v>
      </c>
      <c r="B1205" s="10" t="s">
        <v>45</v>
      </c>
      <c r="C1205" s="8" t="s">
        <v>2851</v>
      </c>
      <c r="D1205" s="8" t="s">
        <v>2859</v>
      </c>
      <c r="E1205" s="11" t="n">
        <v>201</v>
      </c>
      <c r="F1205" s="8" t="str">
        <f aca="false">IFERROR(INDEX(Section_Master!$D$2:$D$477,MATCH($E1205,Section_Master!$A$2:$A$477,0))&amp;"","")</f>
        <v>Imprisonment up to 3 years, or fine, or both</v>
      </c>
      <c r="G1205" s="10" t="str">
        <f aca="false">IFERROR(INDEX(Section_Master!$E$2:$E$477,MATCH($E1205,Section_Master!$A$2:$A$477,0))&amp;"","")</f>
        <v>No</v>
      </c>
      <c r="H1205" s="10" t="str">
        <f aca="false">IFERROR(INDEX(Section_Master!$F$2:$F$477,MATCH($E1205,Section_Master!$A$2:$A$477,0))&amp;"","")</f>
        <v>Yes</v>
      </c>
      <c r="I1205" s="10" t="str">
        <f aca="false">IFERROR(INDEX(Section_Master!$G$2:$G$477,MATCH($E1205,Section_Master!$A$2:$A$477,0))&amp;"","")</f>
        <v>No</v>
      </c>
      <c r="J1205" s="10" t="s">
        <v>58</v>
      </c>
      <c r="K1205" s="8" t="s">
        <v>2853</v>
      </c>
    </row>
    <row r="1206" customFormat="false" ht="34.5" hidden="false" customHeight="true" outlineLevel="0" collapsed="false">
      <c r="A1206" s="10" t="s">
        <v>2860</v>
      </c>
      <c r="B1206" s="10" t="s">
        <v>45</v>
      </c>
      <c r="C1206" s="8" t="s">
        <v>2851</v>
      </c>
      <c r="D1206" s="8" t="s">
        <v>2861</v>
      </c>
      <c r="E1206" s="11" t="n">
        <v>201</v>
      </c>
      <c r="F1206" s="8" t="str">
        <f aca="false">IFERROR(INDEX(Section_Master!$D$2:$D$477,MATCH($E1206,Section_Master!$A$2:$A$477,0))&amp;"","")</f>
        <v>Imprisonment up to 3 years, or fine, or both</v>
      </c>
      <c r="G1206" s="10" t="str">
        <f aca="false">IFERROR(INDEX(Section_Master!$E$2:$E$477,MATCH($E1206,Section_Master!$A$2:$A$477,0))&amp;"","")</f>
        <v>No</v>
      </c>
      <c r="H1206" s="10" t="str">
        <f aca="false">IFERROR(INDEX(Section_Master!$F$2:$F$477,MATCH($E1206,Section_Master!$A$2:$A$477,0))&amp;"","")</f>
        <v>Yes</v>
      </c>
      <c r="I1206" s="10" t="str">
        <f aca="false">IFERROR(INDEX(Section_Master!$G$2:$G$477,MATCH($E1206,Section_Master!$A$2:$A$477,0))&amp;"","")</f>
        <v>No</v>
      </c>
      <c r="J1206" s="10" t="s">
        <v>61</v>
      </c>
      <c r="K1206" s="8" t="s">
        <v>2853</v>
      </c>
    </row>
    <row r="1207" customFormat="false" ht="34.5" hidden="false" customHeight="true" outlineLevel="0" collapsed="false">
      <c r="A1207" s="10" t="s">
        <v>2862</v>
      </c>
      <c r="B1207" s="10" t="s">
        <v>45</v>
      </c>
      <c r="C1207" s="8" t="s">
        <v>2851</v>
      </c>
      <c r="D1207" s="8" t="s">
        <v>2863</v>
      </c>
      <c r="E1207" s="11" t="n">
        <v>201</v>
      </c>
      <c r="F1207" s="8" t="str">
        <f aca="false">IFERROR(INDEX(Section_Master!$D$2:$D$477,MATCH($E1207,Section_Master!$A$2:$A$477,0))&amp;"","")</f>
        <v>Imprisonment up to 3 years, or fine, or both</v>
      </c>
      <c r="G1207" s="10" t="str">
        <f aca="false">IFERROR(INDEX(Section_Master!$E$2:$E$477,MATCH($E1207,Section_Master!$A$2:$A$477,0))&amp;"","")</f>
        <v>No</v>
      </c>
      <c r="H1207" s="10" t="str">
        <f aca="false">IFERROR(INDEX(Section_Master!$F$2:$F$477,MATCH($E1207,Section_Master!$A$2:$A$477,0))&amp;"","")</f>
        <v>Yes</v>
      </c>
      <c r="I1207" s="10" t="str">
        <f aca="false">IFERROR(INDEX(Section_Master!$G$2:$G$477,MATCH($E1207,Section_Master!$A$2:$A$477,0))&amp;"","")</f>
        <v>No</v>
      </c>
      <c r="J1207" s="10" t="s">
        <v>64</v>
      </c>
      <c r="K1207" s="8" t="s">
        <v>2853</v>
      </c>
    </row>
    <row r="1208" customFormat="false" ht="34.5" hidden="false" customHeight="true" outlineLevel="0" collapsed="false">
      <c r="A1208" s="10" t="s">
        <v>2864</v>
      </c>
      <c r="B1208" s="10" t="s">
        <v>45</v>
      </c>
      <c r="C1208" s="8" t="s">
        <v>2865</v>
      </c>
      <c r="D1208" s="8" t="s">
        <v>2866</v>
      </c>
      <c r="E1208" s="11" t="n">
        <v>202</v>
      </c>
      <c r="F1208" s="8" t="str">
        <f aca="false">IFERROR(INDEX(Section_Master!$D$2:$D$477,MATCH($E1208,Section_Master!$A$2:$A$477,0))&amp;"","")</f>
        <v>Simple imprisonment up to 1 year, or fine, or both</v>
      </c>
      <c r="G1208" s="10" t="str">
        <f aca="false">IFERROR(INDEX(Section_Master!$E$2:$E$477,MATCH($E1208,Section_Master!$A$2:$A$477,0))&amp;"","")</f>
        <v>No</v>
      </c>
      <c r="H1208" s="10" t="str">
        <f aca="false">IFERROR(INDEX(Section_Master!$F$2:$F$477,MATCH($E1208,Section_Master!$A$2:$A$477,0))&amp;"","")</f>
        <v>Yes</v>
      </c>
      <c r="I1208" s="10" t="str">
        <f aca="false">IFERROR(INDEX(Section_Master!$G$2:$G$477,MATCH($E1208,Section_Master!$A$2:$A$477,0))&amp;"","")</f>
        <v>No</v>
      </c>
      <c r="J1208" s="10" t="s">
        <v>48</v>
      </c>
      <c r="K1208" s="8" t="s">
        <v>2867</v>
      </c>
    </row>
    <row r="1209" customFormat="false" ht="34.5" hidden="false" customHeight="true" outlineLevel="0" collapsed="false">
      <c r="A1209" s="10" t="s">
        <v>2868</v>
      </c>
      <c r="B1209" s="10" t="s">
        <v>45</v>
      </c>
      <c r="C1209" s="8" t="s">
        <v>2865</v>
      </c>
      <c r="D1209" s="8" t="s">
        <v>2869</v>
      </c>
      <c r="E1209" s="11" t="n">
        <v>202</v>
      </c>
      <c r="F1209" s="8" t="str">
        <f aca="false">IFERROR(INDEX(Section_Master!$D$2:$D$477,MATCH($E1209,Section_Master!$A$2:$A$477,0))&amp;"","")</f>
        <v>Simple imprisonment up to 1 year, or fine, or both</v>
      </c>
      <c r="G1209" s="10" t="str">
        <f aca="false">IFERROR(INDEX(Section_Master!$E$2:$E$477,MATCH($E1209,Section_Master!$A$2:$A$477,0))&amp;"","")</f>
        <v>No</v>
      </c>
      <c r="H1209" s="10" t="str">
        <f aca="false">IFERROR(INDEX(Section_Master!$F$2:$F$477,MATCH($E1209,Section_Master!$A$2:$A$477,0))&amp;"","")</f>
        <v>Yes</v>
      </c>
      <c r="I1209" s="10" t="str">
        <f aca="false">IFERROR(INDEX(Section_Master!$G$2:$G$477,MATCH($E1209,Section_Master!$A$2:$A$477,0))&amp;"","")</f>
        <v>No</v>
      </c>
      <c r="J1209" s="10" t="s">
        <v>52</v>
      </c>
      <c r="K1209" s="8" t="s">
        <v>2867</v>
      </c>
    </row>
    <row r="1210" customFormat="false" ht="34.5" hidden="false" customHeight="true" outlineLevel="0" collapsed="false">
      <c r="A1210" s="10" t="s">
        <v>2870</v>
      </c>
      <c r="B1210" s="10" t="s">
        <v>45</v>
      </c>
      <c r="C1210" s="8" t="s">
        <v>2865</v>
      </c>
      <c r="D1210" s="8" t="s">
        <v>2871</v>
      </c>
      <c r="E1210" s="11" t="n">
        <v>202</v>
      </c>
      <c r="F1210" s="8" t="str">
        <f aca="false">IFERROR(INDEX(Section_Master!$D$2:$D$477,MATCH($E1210,Section_Master!$A$2:$A$477,0))&amp;"","")</f>
        <v>Simple imprisonment up to 1 year, or fine, or both</v>
      </c>
      <c r="G1210" s="10" t="str">
        <f aca="false">IFERROR(INDEX(Section_Master!$E$2:$E$477,MATCH($E1210,Section_Master!$A$2:$A$477,0))&amp;"","")</f>
        <v>No</v>
      </c>
      <c r="H1210" s="10" t="str">
        <f aca="false">IFERROR(INDEX(Section_Master!$F$2:$F$477,MATCH($E1210,Section_Master!$A$2:$A$477,0))&amp;"","")</f>
        <v>Yes</v>
      </c>
      <c r="I1210" s="10" t="str">
        <f aca="false">IFERROR(INDEX(Section_Master!$G$2:$G$477,MATCH($E1210,Section_Master!$A$2:$A$477,0))&amp;"","")</f>
        <v>No</v>
      </c>
      <c r="J1210" s="10" t="s">
        <v>55</v>
      </c>
      <c r="K1210" s="8" t="s">
        <v>2867</v>
      </c>
    </row>
    <row r="1211" customFormat="false" ht="23.25" hidden="false" customHeight="true" outlineLevel="0" collapsed="false">
      <c r="A1211" s="10" t="s">
        <v>2872</v>
      </c>
      <c r="B1211" s="10" t="s">
        <v>45</v>
      </c>
      <c r="C1211" s="8" t="s">
        <v>2865</v>
      </c>
      <c r="D1211" s="8" t="s">
        <v>2873</v>
      </c>
      <c r="E1211" s="11" t="n">
        <v>202</v>
      </c>
      <c r="F1211" s="8" t="str">
        <f aca="false">IFERROR(INDEX(Section_Master!$D$2:$D$477,MATCH($E1211,Section_Master!$A$2:$A$477,0))&amp;"","")</f>
        <v>Simple imprisonment up to 1 year, or fine, or both</v>
      </c>
      <c r="G1211" s="10" t="str">
        <f aca="false">IFERROR(INDEX(Section_Master!$E$2:$E$477,MATCH($E1211,Section_Master!$A$2:$A$477,0))&amp;"","")</f>
        <v>No</v>
      </c>
      <c r="H1211" s="10" t="str">
        <f aca="false">IFERROR(INDEX(Section_Master!$F$2:$F$477,MATCH($E1211,Section_Master!$A$2:$A$477,0))&amp;"","")</f>
        <v>Yes</v>
      </c>
      <c r="I1211" s="10" t="str">
        <f aca="false">IFERROR(INDEX(Section_Master!$G$2:$G$477,MATCH($E1211,Section_Master!$A$2:$A$477,0))&amp;"","")</f>
        <v>No</v>
      </c>
      <c r="J1211" s="10" t="s">
        <v>58</v>
      </c>
      <c r="K1211" s="8" t="s">
        <v>2867</v>
      </c>
    </row>
    <row r="1212" customFormat="false" ht="23.25" hidden="false" customHeight="true" outlineLevel="0" collapsed="false">
      <c r="A1212" s="10" t="s">
        <v>2874</v>
      </c>
      <c r="B1212" s="10" t="s">
        <v>45</v>
      </c>
      <c r="C1212" s="8" t="s">
        <v>2865</v>
      </c>
      <c r="D1212" s="8" t="s">
        <v>2875</v>
      </c>
      <c r="E1212" s="11" t="n">
        <v>202</v>
      </c>
      <c r="F1212" s="8" t="str">
        <f aca="false">IFERROR(INDEX(Section_Master!$D$2:$D$477,MATCH($E1212,Section_Master!$A$2:$A$477,0))&amp;"","")</f>
        <v>Simple imprisonment up to 1 year, or fine, or both</v>
      </c>
      <c r="G1212" s="10" t="str">
        <f aca="false">IFERROR(INDEX(Section_Master!$E$2:$E$477,MATCH($E1212,Section_Master!$A$2:$A$477,0))&amp;"","")</f>
        <v>No</v>
      </c>
      <c r="H1212" s="10" t="str">
        <f aca="false">IFERROR(INDEX(Section_Master!$F$2:$F$477,MATCH($E1212,Section_Master!$A$2:$A$477,0))&amp;"","")</f>
        <v>Yes</v>
      </c>
      <c r="I1212" s="10" t="str">
        <f aca="false">IFERROR(INDEX(Section_Master!$G$2:$G$477,MATCH($E1212,Section_Master!$A$2:$A$477,0))&amp;"","")</f>
        <v>No</v>
      </c>
      <c r="J1212" s="10" t="s">
        <v>61</v>
      </c>
      <c r="K1212" s="8" t="s">
        <v>2867</v>
      </c>
    </row>
    <row r="1213" customFormat="false" ht="34.5" hidden="false" customHeight="true" outlineLevel="0" collapsed="false">
      <c r="A1213" s="10" t="s">
        <v>2876</v>
      </c>
      <c r="B1213" s="10" t="s">
        <v>45</v>
      </c>
      <c r="C1213" s="8" t="s">
        <v>2865</v>
      </c>
      <c r="D1213" s="8" t="s">
        <v>2877</v>
      </c>
      <c r="E1213" s="11" t="n">
        <v>202</v>
      </c>
      <c r="F1213" s="8" t="str">
        <f aca="false">IFERROR(INDEX(Section_Master!$D$2:$D$477,MATCH($E1213,Section_Master!$A$2:$A$477,0))&amp;"","")</f>
        <v>Simple imprisonment up to 1 year, or fine, or both</v>
      </c>
      <c r="G1213" s="10" t="str">
        <f aca="false">IFERROR(INDEX(Section_Master!$E$2:$E$477,MATCH($E1213,Section_Master!$A$2:$A$477,0))&amp;"","")</f>
        <v>No</v>
      </c>
      <c r="H1213" s="10" t="str">
        <f aca="false">IFERROR(INDEX(Section_Master!$F$2:$F$477,MATCH($E1213,Section_Master!$A$2:$A$477,0))&amp;"","")</f>
        <v>Yes</v>
      </c>
      <c r="I1213" s="10" t="str">
        <f aca="false">IFERROR(INDEX(Section_Master!$G$2:$G$477,MATCH($E1213,Section_Master!$A$2:$A$477,0))&amp;"","")</f>
        <v>No</v>
      </c>
      <c r="J1213" s="10" t="s">
        <v>64</v>
      </c>
      <c r="K1213" s="8" t="s">
        <v>2867</v>
      </c>
    </row>
    <row r="1214" customFormat="false" ht="34.5" hidden="false" customHeight="true" outlineLevel="0" collapsed="false">
      <c r="A1214" s="10" t="s">
        <v>2878</v>
      </c>
      <c r="B1214" s="10" t="s">
        <v>45</v>
      </c>
      <c r="C1214" s="8" t="s">
        <v>2879</v>
      </c>
      <c r="D1214" s="8" t="s">
        <v>2880</v>
      </c>
      <c r="E1214" s="11" t="n">
        <v>203</v>
      </c>
      <c r="F1214" s="8" t="str">
        <f aca="false">IFERROR(INDEX(Section_Master!$D$2:$D$477,MATCH($E1214,Section_Master!$A$2:$A$477,0))&amp;"","")</f>
        <v>Simple imprisonment up to 2 years, or fine, or both; property confiscated</v>
      </c>
      <c r="G1214" s="10" t="str">
        <f aca="false">IFERROR(INDEX(Section_Master!$E$2:$E$477,MATCH($E1214,Section_Master!$A$2:$A$477,0))&amp;"","")</f>
        <v>No</v>
      </c>
      <c r="H1214" s="10" t="str">
        <f aca="false">IFERROR(INDEX(Section_Master!$F$2:$F$477,MATCH($E1214,Section_Master!$A$2:$A$477,0))&amp;"","")</f>
        <v>Yes</v>
      </c>
      <c r="I1214" s="10" t="str">
        <f aca="false">IFERROR(INDEX(Section_Master!$G$2:$G$477,MATCH($E1214,Section_Master!$A$2:$A$477,0))&amp;"","")</f>
        <v>No</v>
      </c>
      <c r="J1214" s="10" t="s">
        <v>48</v>
      </c>
      <c r="K1214" s="8" t="s">
        <v>2881</v>
      </c>
    </row>
    <row r="1215" customFormat="false" ht="34.5" hidden="false" customHeight="true" outlineLevel="0" collapsed="false">
      <c r="A1215" s="10" t="s">
        <v>2882</v>
      </c>
      <c r="B1215" s="10" t="s">
        <v>45</v>
      </c>
      <c r="C1215" s="8" t="s">
        <v>2879</v>
      </c>
      <c r="D1215" s="8" t="s">
        <v>2883</v>
      </c>
      <c r="E1215" s="11" t="n">
        <v>203</v>
      </c>
      <c r="F1215" s="8" t="str">
        <f aca="false">IFERROR(INDEX(Section_Master!$D$2:$D$477,MATCH($E1215,Section_Master!$A$2:$A$477,0))&amp;"","")</f>
        <v>Simple imprisonment up to 2 years, or fine, or both; property confiscated</v>
      </c>
      <c r="G1215" s="10" t="str">
        <f aca="false">IFERROR(INDEX(Section_Master!$E$2:$E$477,MATCH($E1215,Section_Master!$A$2:$A$477,0))&amp;"","")</f>
        <v>No</v>
      </c>
      <c r="H1215" s="10" t="str">
        <f aca="false">IFERROR(INDEX(Section_Master!$F$2:$F$477,MATCH($E1215,Section_Master!$A$2:$A$477,0))&amp;"","")</f>
        <v>Yes</v>
      </c>
      <c r="I1215" s="10" t="str">
        <f aca="false">IFERROR(INDEX(Section_Master!$G$2:$G$477,MATCH($E1215,Section_Master!$A$2:$A$477,0))&amp;"","")</f>
        <v>No</v>
      </c>
      <c r="J1215" s="10" t="s">
        <v>52</v>
      </c>
      <c r="K1215" s="8" t="s">
        <v>2881</v>
      </c>
    </row>
    <row r="1216" customFormat="false" ht="34.5" hidden="false" customHeight="true" outlineLevel="0" collapsed="false">
      <c r="A1216" s="10" t="s">
        <v>2884</v>
      </c>
      <c r="B1216" s="10" t="s">
        <v>45</v>
      </c>
      <c r="C1216" s="8" t="s">
        <v>2879</v>
      </c>
      <c r="D1216" s="8" t="s">
        <v>2885</v>
      </c>
      <c r="E1216" s="11" t="n">
        <v>203</v>
      </c>
      <c r="F1216" s="8" t="str">
        <f aca="false">IFERROR(INDEX(Section_Master!$D$2:$D$477,MATCH($E1216,Section_Master!$A$2:$A$477,0))&amp;"","")</f>
        <v>Simple imprisonment up to 2 years, or fine, or both; property confiscated</v>
      </c>
      <c r="G1216" s="10" t="str">
        <f aca="false">IFERROR(INDEX(Section_Master!$E$2:$E$477,MATCH($E1216,Section_Master!$A$2:$A$477,0))&amp;"","")</f>
        <v>No</v>
      </c>
      <c r="H1216" s="10" t="str">
        <f aca="false">IFERROR(INDEX(Section_Master!$F$2:$F$477,MATCH($E1216,Section_Master!$A$2:$A$477,0))&amp;"","")</f>
        <v>Yes</v>
      </c>
      <c r="I1216" s="10" t="str">
        <f aca="false">IFERROR(INDEX(Section_Master!$G$2:$G$477,MATCH($E1216,Section_Master!$A$2:$A$477,0))&amp;"","")</f>
        <v>No</v>
      </c>
      <c r="J1216" s="10" t="s">
        <v>55</v>
      </c>
      <c r="K1216" s="8" t="s">
        <v>2881</v>
      </c>
    </row>
    <row r="1217" customFormat="false" ht="23.25" hidden="false" customHeight="true" outlineLevel="0" collapsed="false">
      <c r="A1217" s="10" t="s">
        <v>2886</v>
      </c>
      <c r="B1217" s="10" t="s">
        <v>45</v>
      </c>
      <c r="C1217" s="8" t="s">
        <v>2879</v>
      </c>
      <c r="D1217" s="8" t="s">
        <v>2887</v>
      </c>
      <c r="E1217" s="11" t="n">
        <v>203</v>
      </c>
      <c r="F1217" s="8" t="str">
        <f aca="false">IFERROR(INDEX(Section_Master!$D$2:$D$477,MATCH($E1217,Section_Master!$A$2:$A$477,0))&amp;"","")</f>
        <v>Simple imprisonment up to 2 years, or fine, or both; property confiscated</v>
      </c>
      <c r="G1217" s="10" t="str">
        <f aca="false">IFERROR(INDEX(Section_Master!$E$2:$E$477,MATCH($E1217,Section_Master!$A$2:$A$477,0))&amp;"","")</f>
        <v>No</v>
      </c>
      <c r="H1217" s="10" t="str">
        <f aca="false">IFERROR(INDEX(Section_Master!$F$2:$F$477,MATCH($E1217,Section_Master!$A$2:$A$477,0))&amp;"","")</f>
        <v>Yes</v>
      </c>
      <c r="I1217" s="10" t="str">
        <f aca="false">IFERROR(INDEX(Section_Master!$G$2:$G$477,MATCH($E1217,Section_Master!$A$2:$A$477,0))&amp;"","")</f>
        <v>No</v>
      </c>
      <c r="J1217" s="10" t="s">
        <v>58</v>
      </c>
      <c r="K1217" s="8" t="s">
        <v>2881</v>
      </c>
    </row>
    <row r="1218" customFormat="false" ht="34.5" hidden="false" customHeight="true" outlineLevel="0" collapsed="false">
      <c r="A1218" s="10" t="s">
        <v>2888</v>
      </c>
      <c r="B1218" s="10" t="s">
        <v>45</v>
      </c>
      <c r="C1218" s="8" t="s">
        <v>2879</v>
      </c>
      <c r="D1218" s="8" t="s">
        <v>2889</v>
      </c>
      <c r="E1218" s="11" t="n">
        <v>203</v>
      </c>
      <c r="F1218" s="8" t="str">
        <f aca="false">IFERROR(INDEX(Section_Master!$D$2:$D$477,MATCH($E1218,Section_Master!$A$2:$A$477,0))&amp;"","")</f>
        <v>Simple imprisonment up to 2 years, or fine, or both; property confiscated</v>
      </c>
      <c r="G1218" s="10" t="str">
        <f aca="false">IFERROR(INDEX(Section_Master!$E$2:$E$477,MATCH($E1218,Section_Master!$A$2:$A$477,0))&amp;"","")</f>
        <v>No</v>
      </c>
      <c r="H1218" s="10" t="str">
        <f aca="false">IFERROR(INDEX(Section_Master!$F$2:$F$477,MATCH($E1218,Section_Master!$A$2:$A$477,0))&amp;"","")</f>
        <v>Yes</v>
      </c>
      <c r="I1218" s="10" t="str">
        <f aca="false">IFERROR(INDEX(Section_Master!$G$2:$G$477,MATCH($E1218,Section_Master!$A$2:$A$477,0))&amp;"","")</f>
        <v>No</v>
      </c>
      <c r="J1218" s="10" t="s">
        <v>61</v>
      </c>
      <c r="K1218" s="8" t="s">
        <v>2881</v>
      </c>
    </row>
    <row r="1219" customFormat="false" ht="34.5" hidden="false" customHeight="true" outlineLevel="0" collapsed="false">
      <c r="A1219" s="10" t="s">
        <v>2890</v>
      </c>
      <c r="B1219" s="10" t="s">
        <v>45</v>
      </c>
      <c r="C1219" s="8" t="s">
        <v>2879</v>
      </c>
      <c r="D1219" s="8" t="s">
        <v>2891</v>
      </c>
      <c r="E1219" s="11" t="n">
        <v>203</v>
      </c>
      <c r="F1219" s="8" t="str">
        <f aca="false">IFERROR(INDEX(Section_Master!$D$2:$D$477,MATCH($E1219,Section_Master!$A$2:$A$477,0))&amp;"","")</f>
        <v>Simple imprisonment up to 2 years, or fine, or both; property confiscated</v>
      </c>
      <c r="G1219" s="10" t="str">
        <f aca="false">IFERROR(INDEX(Section_Master!$E$2:$E$477,MATCH($E1219,Section_Master!$A$2:$A$477,0))&amp;"","")</f>
        <v>No</v>
      </c>
      <c r="H1219" s="10" t="str">
        <f aca="false">IFERROR(INDEX(Section_Master!$F$2:$F$477,MATCH($E1219,Section_Master!$A$2:$A$477,0))&amp;"","")</f>
        <v>Yes</v>
      </c>
      <c r="I1219" s="10" t="str">
        <f aca="false">IFERROR(INDEX(Section_Master!$G$2:$G$477,MATCH($E1219,Section_Master!$A$2:$A$477,0))&amp;"","")</f>
        <v>No</v>
      </c>
      <c r="J1219" s="10" t="s">
        <v>64</v>
      </c>
      <c r="K1219" s="8" t="s">
        <v>2881</v>
      </c>
    </row>
    <row r="1220" customFormat="false" ht="34.5" hidden="false" customHeight="true" outlineLevel="0" collapsed="false">
      <c r="A1220" s="10" t="s">
        <v>2892</v>
      </c>
      <c r="B1220" s="10" t="s">
        <v>45</v>
      </c>
      <c r="C1220" s="8" t="s">
        <v>2893</v>
      </c>
      <c r="D1220" s="8" t="s">
        <v>2894</v>
      </c>
      <c r="E1220" s="11" t="n">
        <v>204</v>
      </c>
      <c r="F1220" s="8" t="str">
        <f aca="false">IFERROR(INDEX(Section_Master!$D$2:$D$477,MATCH($E1220,Section_Master!$A$2:$A$477,0))&amp;"","")</f>
        <v>Imprisonment up to 2 years, or fine, or both</v>
      </c>
      <c r="G1220" s="10" t="str">
        <f aca="false">IFERROR(INDEX(Section_Master!$E$2:$E$477,MATCH($E1220,Section_Master!$A$2:$A$477,0))&amp;"","")</f>
        <v>Yes</v>
      </c>
      <c r="H1220" s="10" t="str">
        <f aca="false">IFERROR(INDEX(Section_Master!$F$2:$F$477,MATCH($E1220,Section_Master!$A$2:$A$477,0))&amp;"","")</f>
        <v>No</v>
      </c>
      <c r="I1220" s="10" t="str">
        <f aca="false">IFERROR(INDEX(Section_Master!$G$2:$G$477,MATCH($E1220,Section_Master!$A$2:$A$477,0))&amp;"","")</f>
        <v>No</v>
      </c>
      <c r="J1220" s="10" t="s">
        <v>48</v>
      </c>
      <c r="K1220" s="8" t="s">
        <v>2895</v>
      </c>
    </row>
    <row r="1221" customFormat="false" ht="34.5" hidden="false" customHeight="true" outlineLevel="0" collapsed="false">
      <c r="A1221" s="10" t="s">
        <v>2896</v>
      </c>
      <c r="B1221" s="10" t="s">
        <v>45</v>
      </c>
      <c r="C1221" s="8" t="s">
        <v>2893</v>
      </c>
      <c r="D1221" s="8" t="s">
        <v>2897</v>
      </c>
      <c r="E1221" s="11" t="n">
        <v>204</v>
      </c>
      <c r="F1221" s="8" t="str">
        <f aca="false">IFERROR(INDEX(Section_Master!$D$2:$D$477,MATCH($E1221,Section_Master!$A$2:$A$477,0))&amp;"","")</f>
        <v>Imprisonment up to 2 years, or fine, or both</v>
      </c>
      <c r="G1221" s="10" t="str">
        <f aca="false">IFERROR(INDEX(Section_Master!$E$2:$E$477,MATCH($E1221,Section_Master!$A$2:$A$477,0))&amp;"","")</f>
        <v>Yes</v>
      </c>
      <c r="H1221" s="10" t="str">
        <f aca="false">IFERROR(INDEX(Section_Master!$F$2:$F$477,MATCH($E1221,Section_Master!$A$2:$A$477,0))&amp;"","")</f>
        <v>No</v>
      </c>
      <c r="I1221" s="10" t="str">
        <f aca="false">IFERROR(INDEX(Section_Master!$G$2:$G$477,MATCH($E1221,Section_Master!$A$2:$A$477,0))&amp;"","")</f>
        <v>No</v>
      </c>
      <c r="J1221" s="10" t="s">
        <v>52</v>
      </c>
      <c r="K1221" s="8" t="s">
        <v>2895</v>
      </c>
    </row>
    <row r="1222" customFormat="false" ht="34.5" hidden="false" customHeight="true" outlineLevel="0" collapsed="false">
      <c r="A1222" s="10" t="s">
        <v>2898</v>
      </c>
      <c r="B1222" s="10" t="s">
        <v>45</v>
      </c>
      <c r="C1222" s="8" t="s">
        <v>2893</v>
      </c>
      <c r="D1222" s="8" t="s">
        <v>2899</v>
      </c>
      <c r="E1222" s="11" t="n">
        <v>204</v>
      </c>
      <c r="F1222" s="8" t="str">
        <f aca="false">IFERROR(INDEX(Section_Master!$D$2:$D$477,MATCH($E1222,Section_Master!$A$2:$A$477,0))&amp;"","")</f>
        <v>Imprisonment up to 2 years, or fine, or both</v>
      </c>
      <c r="G1222" s="10" t="str">
        <f aca="false">IFERROR(INDEX(Section_Master!$E$2:$E$477,MATCH($E1222,Section_Master!$A$2:$A$477,0))&amp;"","")</f>
        <v>Yes</v>
      </c>
      <c r="H1222" s="10" t="str">
        <f aca="false">IFERROR(INDEX(Section_Master!$F$2:$F$477,MATCH($E1222,Section_Master!$A$2:$A$477,0))&amp;"","")</f>
        <v>No</v>
      </c>
      <c r="I1222" s="10" t="str">
        <f aca="false">IFERROR(INDEX(Section_Master!$G$2:$G$477,MATCH($E1222,Section_Master!$A$2:$A$477,0))&amp;"","")</f>
        <v>No</v>
      </c>
      <c r="J1222" s="10" t="s">
        <v>55</v>
      </c>
      <c r="K1222" s="8" t="s">
        <v>2895</v>
      </c>
    </row>
    <row r="1223" customFormat="false" ht="34.5" hidden="false" customHeight="true" outlineLevel="0" collapsed="false">
      <c r="A1223" s="10" t="s">
        <v>2900</v>
      </c>
      <c r="B1223" s="10" t="s">
        <v>45</v>
      </c>
      <c r="C1223" s="8" t="s">
        <v>2893</v>
      </c>
      <c r="D1223" s="8" t="s">
        <v>2901</v>
      </c>
      <c r="E1223" s="11" t="n">
        <v>204</v>
      </c>
      <c r="F1223" s="8" t="str">
        <f aca="false">IFERROR(INDEX(Section_Master!$D$2:$D$477,MATCH($E1223,Section_Master!$A$2:$A$477,0))&amp;"","")</f>
        <v>Imprisonment up to 2 years, or fine, or both</v>
      </c>
      <c r="G1223" s="10" t="str">
        <f aca="false">IFERROR(INDEX(Section_Master!$E$2:$E$477,MATCH($E1223,Section_Master!$A$2:$A$477,0))&amp;"","")</f>
        <v>Yes</v>
      </c>
      <c r="H1223" s="10" t="str">
        <f aca="false">IFERROR(INDEX(Section_Master!$F$2:$F$477,MATCH($E1223,Section_Master!$A$2:$A$477,0))&amp;"","")</f>
        <v>No</v>
      </c>
      <c r="I1223" s="10" t="str">
        <f aca="false">IFERROR(INDEX(Section_Master!$G$2:$G$477,MATCH($E1223,Section_Master!$A$2:$A$477,0))&amp;"","")</f>
        <v>No</v>
      </c>
      <c r="J1223" s="10" t="s">
        <v>58</v>
      </c>
      <c r="K1223" s="8" t="s">
        <v>2895</v>
      </c>
    </row>
    <row r="1224" customFormat="false" ht="34.5" hidden="false" customHeight="true" outlineLevel="0" collapsed="false">
      <c r="A1224" s="10" t="s">
        <v>2902</v>
      </c>
      <c r="B1224" s="10" t="s">
        <v>45</v>
      </c>
      <c r="C1224" s="8" t="s">
        <v>2893</v>
      </c>
      <c r="D1224" s="8" t="s">
        <v>2903</v>
      </c>
      <c r="E1224" s="11" t="n">
        <v>204</v>
      </c>
      <c r="F1224" s="8" t="str">
        <f aca="false">IFERROR(INDEX(Section_Master!$D$2:$D$477,MATCH($E1224,Section_Master!$A$2:$A$477,0))&amp;"","")</f>
        <v>Imprisonment up to 2 years, or fine, or both</v>
      </c>
      <c r="G1224" s="10" t="str">
        <f aca="false">IFERROR(INDEX(Section_Master!$E$2:$E$477,MATCH($E1224,Section_Master!$A$2:$A$477,0))&amp;"","")</f>
        <v>Yes</v>
      </c>
      <c r="H1224" s="10" t="str">
        <f aca="false">IFERROR(INDEX(Section_Master!$F$2:$F$477,MATCH($E1224,Section_Master!$A$2:$A$477,0))&amp;"","")</f>
        <v>No</v>
      </c>
      <c r="I1224" s="10" t="str">
        <f aca="false">IFERROR(INDEX(Section_Master!$G$2:$G$477,MATCH($E1224,Section_Master!$A$2:$A$477,0))&amp;"","")</f>
        <v>No</v>
      </c>
      <c r="J1224" s="10" t="s">
        <v>61</v>
      </c>
      <c r="K1224" s="8" t="s">
        <v>2895</v>
      </c>
    </row>
    <row r="1225" customFormat="false" ht="34.5" hidden="false" customHeight="true" outlineLevel="0" collapsed="false">
      <c r="A1225" s="10" t="s">
        <v>2904</v>
      </c>
      <c r="B1225" s="10" t="s">
        <v>45</v>
      </c>
      <c r="C1225" s="8" t="s">
        <v>2893</v>
      </c>
      <c r="D1225" s="8" t="s">
        <v>2905</v>
      </c>
      <c r="E1225" s="11" t="n">
        <v>204</v>
      </c>
      <c r="F1225" s="8" t="str">
        <f aca="false">IFERROR(INDEX(Section_Master!$D$2:$D$477,MATCH($E1225,Section_Master!$A$2:$A$477,0))&amp;"","")</f>
        <v>Imprisonment up to 2 years, or fine, or both</v>
      </c>
      <c r="G1225" s="10" t="str">
        <f aca="false">IFERROR(INDEX(Section_Master!$E$2:$E$477,MATCH($E1225,Section_Master!$A$2:$A$477,0))&amp;"","")</f>
        <v>Yes</v>
      </c>
      <c r="H1225" s="10" t="str">
        <f aca="false">IFERROR(INDEX(Section_Master!$F$2:$F$477,MATCH($E1225,Section_Master!$A$2:$A$477,0))&amp;"","")</f>
        <v>No</v>
      </c>
      <c r="I1225" s="10" t="str">
        <f aca="false">IFERROR(INDEX(Section_Master!$G$2:$G$477,MATCH($E1225,Section_Master!$A$2:$A$477,0))&amp;"","")</f>
        <v>No</v>
      </c>
      <c r="J1225" s="10" t="s">
        <v>64</v>
      </c>
      <c r="K1225" s="8" t="s">
        <v>2895</v>
      </c>
    </row>
    <row r="1226" customFormat="false" ht="34.5" hidden="false" customHeight="true" outlineLevel="0" collapsed="false">
      <c r="A1226" s="10" t="s">
        <v>2906</v>
      </c>
      <c r="B1226" s="10" t="s">
        <v>45</v>
      </c>
      <c r="C1226" s="8" t="s">
        <v>2907</v>
      </c>
      <c r="D1226" s="8" t="s">
        <v>2908</v>
      </c>
      <c r="E1226" s="11" t="n">
        <v>205</v>
      </c>
      <c r="F1226" s="8" t="str">
        <f aca="false">IFERROR(INDEX(Section_Master!$D$2:$D$477,MATCH($E1226,Section_Master!$A$2:$A$477,0))&amp;"","")</f>
        <v>Imprisonment up to 3 months, or fine, or both</v>
      </c>
      <c r="G1226" s="10" t="str">
        <f aca="false">IFERROR(INDEX(Section_Master!$E$2:$E$477,MATCH($E1226,Section_Master!$A$2:$A$477,0))&amp;"","")</f>
        <v>No</v>
      </c>
      <c r="H1226" s="10" t="str">
        <f aca="false">IFERROR(INDEX(Section_Master!$F$2:$F$477,MATCH($E1226,Section_Master!$A$2:$A$477,0))&amp;"","")</f>
        <v>Yes</v>
      </c>
      <c r="I1226" s="10" t="str">
        <f aca="false">IFERROR(INDEX(Section_Master!$G$2:$G$477,MATCH($E1226,Section_Master!$A$2:$A$477,0))&amp;"","")</f>
        <v>No</v>
      </c>
      <c r="J1226" s="10" t="s">
        <v>48</v>
      </c>
      <c r="K1226" s="8" t="s">
        <v>2909</v>
      </c>
    </row>
    <row r="1227" customFormat="false" ht="34.5" hidden="false" customHeight="true" outlineLevel="0" collapsed="false">
      <c r="A1227" s="10" t="s">
        <v>2910</v>
      </c>
      <c r="B1227" s="10" t="s">
        <v>45</v>
      </c>
      <c r="C1227" s="8" t="s">
        <v>2907</v>
      </c>
      <c r="D1227" s="8" t="s">
        <v>2911</v>
      </c>
      <c r="E1227" s="11" t="n">
        <v>205</v>
      </c>
      <c r="F1227" s="8" t="str">
        <f aca="false">IFERROR(INDEX(Section_Master!$D$2:$D$477,MATCH($E1227,Section_Master!$A$2:$A$477,0))&amp;"","")</f>
        <v>Imprisonment up to 3 months, or fine, or both</v>
      </c>
      <c r="G1227" s="10" t="str">
        <f aca="false">IFERROR(INDEX(Section_Master!$E$2:$E$477,MATCH($E1227,Section_Master!$A$2:$A$477,0))&amp;"","")</f>
        <v>No</v>
      </c>
      <c r="H1227" s="10" t="str">
        <f aca="false">IFERROR(INDEX(Section_Master!$F$2:$F$477,MATCH($E1227,Section_Master!$A$2:$A$477,0))&amp;"","")</f>
        <v>Yes</v>
      </c>
      <c r="I1227" s="10" t="str">
        <f aca="false">IFERROR(INDEX(Section_Master!$G$2:$G$477,MATCH($E1227,Section_Master!$A$2:$A$477,0))&amp;"","")</f>
        <v>No</v>
      </c>
      <c r="J1227" s="10" t="s">
        <v>52</v>
      </c>
      <c r="K1227" s="8" t="s">
        <v>2909</v>
      </c>
    </row>
    <row r="1228" customFormat="false" ht="34.5" hidden="false" customHeight="true" outlineLevel="0" collapsed="false">
      <c r="A1228" s="10" t="s">
        <v>2912</v>
      </c>
      <c r="B1228" s="10" t="s">
        <v>45</v>
      </c>
      <c r="C1228" s="8" t="s">
        <v>2907</v>
      </c>
      <c r="D1228" s="8" t="s">
        <v>2913</v>
      </c>
      <c r="E1228" s="11" t="n">
        <v>205</v>
      </c>
      <c r="F1228" s="8" t="str">
        <f aca="false">IFERROR(INDEX(Section_Master!$D$2:$D$477,MATCH($E1228,Section_Master!$A$2:$A$477,0))&amp;"","")</f>
        <v>Imprisonment up to 3 months, or fine, or both</v>
      </c>
      <c r="G1228" s="10" t="str">
        <f aca="false">IFERROR(INDEX(Section_Master!$E$2:$E$477,MATCH($E1228,Section_Master!$A$2:$A$477,0))&amp;"","")</f>
        <v>No</v>
      </c>
      <c r="H1228" s="10" t="str">
        <f aca="false">IFERROR(INDEX(Section_Master!$F$2:$F$477,MATCH($E1228,Section_Master!$A$2:$A$477,0))&amp;"","")</f>
        <v>Yes</v>
      </c>
      <c r="I1228" s="10" t="str">
        <f aca="false">IFERROR(INDEX(Section_Master!$G$2:$G$477,MATCH($E1228,Section_Master!$A$2:$A$477,0))&amp;"","")</f>
        <v>No</v>
      </c>
      <c r="J1228" s="10" t="s">
        <v>55</v>
      </c>
      <c r="K1228" s="8" t="s">
        <v>2909</v>
      </c>
    </row>
    <row r="1229" customFormat="false" ht="34.5" hidden="false" customHeight="true" outlineLevel="0" collapsed="false">
      <c r="A1229" s="10" t="s">
        <v>2914</v>
      </c>
      <c r="B1229" s="10" t="s">
        <v>45</v>
      </c>
      <c r="C1229" s="8" t="s">
        <v>2907</v>
      </c>
      <c r="D1229" s="8" t="s">
        <v>2915</v>
      </c>
      <c r="E1229" s="11" t="n">
        <v>205</v>
      </c>
      <c r="F1229" s="8" t="str">
        <f aca="false">IFERROR(INDEX(Section_Master!$D$2:$D$477,MATCH($E1229,Section_Master!$A$2:$A$477,0))&amp;"","")</f>
        <v>Imprisonment up to 3 months, or fine, or both</v>
      </c>
      <c r="G1229" s="10" t="str">
        <f aca="false">IFERROR(INDEX(Section_Master!$E$2:$E$477,MATCH($E1229,Section_Master!$A$2:$A$477,0))&amp;"","")</f>
        <v>No</v>
      </c>
      <c r="H1229" s="10" t="str">
        <f aca="false">IFERROR(INDEX(Section_Master!$F$2:$F$477,MATCH($E1229,Section_Master!$A$2:$A$477,0))&amp;"","")</f>
        <v>Yes</v>
      </c>
      <c r="I1229" s="10" t="str">
        <f aca="false">IFERROR(INDEX(Section_Master!$G$2:$G$477,MATCH($E1229,Section_Master!$A$2:$A$477,0))&amp;"","")</f>
        <v>No</v>
      </c>
      <c r="J1229" s="10" t="s">
        <v>58</v>
      </c>
      <c r="K1229" s="8" t="s">
        <v>2909</v>
      </c>
    </row>
    <row r="1230" customFormat="false" ht="34.5" hidden="false" customHeight="true" outlineLevel="0" collapsed="false">
      <c r="A1230" s="10" t="s">
        <v>2916</v>
      </c>
      <c r="B1230" s="10" t="s">
        <v>45</v>
      </c>
      <c r="C1230" s="8" t="s">
        <v>2907</v>
      </c>
      <c r="D1230" s="8" t="s">
        <v>2917</v>
      </c>
      <c r="E1230" s="11" t="n">
        <v>205</v>
      </c>
      <c r="F1230" s="8" t="str">
        <f aca="false">IFERROR(INDEX(Section_Master!$D$2:$D$477,MATCH($E1230,Section_Master!$A$2:$A$477,0))&amp;"","")</f>
        <v>Imprisonment up to 3 months, or fine, or both</v>
      </c>
      <c r="G1230" s="10" t="str">
        <f aca="false">IFERROR(INDEX(Section_Master!$E$2:$E$477,MATCH($E1230,Section_Master!$A$2:$A$477,0))&amp;"","")</f>
        <v>No</v>
      </c>
      <c r="H1230" s="10" t="str">
        <f aca="false">IFERROR(INDEX(Section_Master!$F$2:$F$477,MATCH($E1230,Section_Master!$A$2:$A$477,0))&amp;"","")</f>
        <v>Yes</v>
      </c>
      <c r="I1230" s="10" t="str">
        <f aca="false">IFERROR(INDEX(Section_Master!$G$2:$G$477,MATCH($E1230,Section_Master!$A$2:$A$477,0))&amp;"","")</f>
        <v>No</v>
      </c>
      <c r="J1230" s="10" t="s">
        <v>61</v>
      </c>
      <c r="K1230" s="8" t="s">
        <v>2909</v>
      </c>
    </row>
    <row r="1231" customFormat="false" ht="34.5" hidden="false" customHeight="true" outlineLevel="0" collapsed="false">
      <c r="A1231" s="10" t="s">
        <v>2918</v>
      </c>
      <c r="B1231" s="10" t="s">
        <v>45</v>
      </c>
      <c r="C1231" s="8" t="s">
        <v>2907</v>
      </c>
      <c r="D1231" s="8" t="s">
        <v>2919</v>
      </c>
      <c r="E1231" s="11" t="n">
        <v>205</v>
      </c>
      <c r="F1231" s="8" t="str">
        <f aca="false">IFERROR(INDEX(Section_Master!$D$2:$D$477,MATCH($E1231,Section_Master!$A$2:$A$477,0))&amp;"","")</f>
        <v>Imprisonment up to 3 months, or fine, or both</v>
      </c>
      <c r="G1231" s="10" t="str">
        <f aca="false">IFERROR(INDEX(Section_Master!$E$2:$E$477,MATCH($E1231,Section_Master!$A$2:$A$477,0))&amp;"","")</f>
        <v>No</v>
      </c>
      <c r="H1231" s="10" t="str">
        <f aca="false">IFERROR(INDEX(Section_Master!$F$2:$F$477,MATCH($E1231,Section_Master!$A$2:$A$477,0))&amp;"","")</f>
        <v>Yes</v>
      </c>
      <c r="I1231" s="10" t="str">
        <f aca="false">IFERROR(INDEX(Section_Master!$G$2:$G$477,MATCH($E1231,Section_Master!$A$2:$A$477,0))&amp;"","")</f>
        <v>No</v>
      </c>
      <c r="J1231" s="10" t="s">
        <v>64</v>
      </c>
      <c r="K1231" s="8" t="s">
        <v>2909</v>
      </c>
    </row>
    <row r="1232" customFormat="false" ht="34.5" hidden="false" customHeight="true" outlineLevel="0" collapsed="false">
      <c r="A1232" s="10" t="s">
        <v>2920</v>
      </c>
      <c r="B1232" s="10" t="s">
        <v>45</v>
      </c>
      <c r="C1232" s="8" t="s">
        <v>2921</v>
      </c>
      <c r="D1232" s="8" t="s">
        <v>2922</v>
      </c>
      <c r="E1232" s="11" t="n">
        <v>206</v>
      </c>
      <c r="F1232" s="8" t="str">
        <f aca="false">IFERROR(INDEX(Section_Master!$D$2:$D$477,MATCH($E1232,Section_Master!$A$2:$A$477,0))&amp;"","")</f>
        <v>Simple imprisonment up to 1 month, or fine, or both; up to 6 months, or fine, or both if summons requires attendance in Court [s.206]</v>
      </c>
      <c r="G1232" s="10" t="str">
        <f aca="false">IFERROR(INDEX(Section_Master!$E$2:$E$477,MATCH($E1232,Section_Master!$A$2:$A$477,0))&amp;"","")</f>
        <v>No</v>
      </c>
      <c r="H1232" s="10" t="str">
        <f aca="false">IFERROR(INDEX(Section_Master!$F$2:$F$477,MATCH($E1232,Section_Master!$A$2:$A$477,0))&amp;"","")</f>
        <v>Yes</v>
      </c>
      <c r="I1232" s="10" t="str">
        <f aca="false">IFERROR(INDEX(Section_Master!$G$2:$G$477,MATCH($E1232,Section_Master!$A$2:$A$477,0))&amp;"","")</f>
        <v>No</v>
      </c>
      <c r="J1232" s="10" t="s">
        <v>48</v>
      </c>
      <c r="K1232" s="8" t="s">
        <v>2923</v>
      </c>
    </row>
    <row r="1233" customFormat="false" ht="34.5" hidden="false" customHeight="true" outlineLevel="0" collapsed="false">
      <c r="A1233" s="10" t="s">
        <v>2924</v>
      </c>
      <c r="B1233" s="10" t="s">
        <v>45</v>
      </c>
      <c r="C1233" s="8" t="s">
        <v>2921</v>
      </c>
      <c r="D1233" s="8" t="s">
        <v>2925</v>
      </c>
      <c r="E1233" s="11" t="n">
        <v>206</v>
      </c>
      <c r="F1233" s="8" t="str">
        <f aca="false">IFERROR(INDEX(Section_Master!$D$2:$D$477,MATCH($E1233,Section_Master!$A$2:$A$477,0))&amp;"","")</f>
        <v>Simple imprisonment up to 1 month, or fine, or both; up to 6 months, or fine, or both if summons requires attendance in Court [s.206]</v>
      </c>
      <c r="G1233" s="10" t="str">
        <f aca="false">IFERROR(INDEX(Section_Master!$E$2:$E$477,MATCH($E1233,Section_Master!$A$2:$A$477,0))&amp;"","")</f>
        <v>No</v>
      </c>
      <c r="H1233" s="10" t="str">
        <f aca="false">IFERROR(INDEX(Section_Master!$F$2:$F$477,MATCH($E1233,Section_Master!$A$2:$A$477,0))&amp;"","")</f>
        <v>Yes</v>
      </c>
      <c r="I1233" s="10" t="str">
        <f aca="false">IFERROR(INDEX(Section_Master!$G$2:$G$477,MATCH($E1233,Section_Master!$A$2:$A$477,0))&amp;"","")</f>
        <v>No</v>
      </c>
      <c r="J1233" s="10" t="s">
        <v>52</v>
      </c>
      <c r="K1233" s="8" t="s">
        <v>2923</v>
      </c>
    </row>
    <row r="1234" customFormat="false" ht="34.5" hidden="false" customHeight="true" outlineLevel="0" collapsed="false">
      <c r="A1234" s="10" t="s">
        <v>2926</v>
      </c>
      <c r="B1234" s="10" t="s">
        <v>45</v>
      </c>
      <c r="C1234" s="8" t="s">
        <v>2921</v>
      </c>
      <c r="D1234" s="8" t="s">
        <v>2927</v>
      </c>
      <c r="E1234" s="11" t="n">
        <v>206</v>
      </c>
      <c r="F1234" s="8" t="str">
        <f aca="false">IFERROR(INDEX(Section_Master!$D$2:$D$477,MATCH($E1234,Section_Master!$A$2:$A$477,0))&amp;"","")</f>
        <v>Simple imprisonment up to 1 month, or fine, or both; up to 6 months, or fine, or both if summons requires attendance in Court [s.206]</v>
      </c>
      <c r="G1234" s="10" t="str">
        <f aca="false">IFERROR(INDEX(Section_Master!$E$2:$E$477,MATCH($E1234,Section_Master!$A$2:$A$477,0))&amp;"","")</f>
        <v>No</v>
      </c>
      <c r="H1234" s="10" t="str">
        <f aca="false">IFERROR(INDEX(Section_Master!$F$2:$F$477,MATCH($E1234,Section_Master!$A$2:$A$477,0))&amp;"","")</f>
        <v>Yes</v>
      </c>
      <c r="I1234" s="10" t="str">
        <f aca="false">IFERROR(INDEX(Section_Master!$G$2:$G$477,MATCH($E1234,Section_Master!$A$2:$A$477,0))&amp;"","")</f>
        <v>No</v>
      </c>
      <c r="J1234" s="10" t="s">
        <v>55</v>
      </c>
      <c r="K1234" s="8" t="s">
        <v>2923</v>
      </c>
    </row>
    <row r="1235" customFormat="false" ht="23.25" hidden="false" customHeight="true" outlineLevel="0" collapsed="false">
      <c r="A1235" s="10" t="s">
        <v>2928</v>
      </c>
      <c r="B1235" s="10" t="s">
        <v>45</v>
      </c>
      <c r="C1235" s="8" t="s">
        <v>2921</v>
      </c>
      <c r="D1235" s="8" t="s">
        <v>2929</v>
      </c>
      <c r="E1235" s="11" t="n">
        <v>206</v>
      </c>
      <c r="F1235" s="8" t="str">
        <f aca="false">IFERROR(INDEX(Section_Master!$D$2:$D$477,MATCH($E1235,Section_Master!$A$2:$A$477,0))&amp;"","")</f>
        <v>Simple imprisonment up to 1 month, or fine, or both; up to 6 months, or fine, or both if summons requires attendance in Court [s.206]</v>
      </c>
      <c r="G1235" s="10" t="str">
        <f aca="false">IFERROR(INDEX(Section_Master!$E$2:$E$477,MATCH($E1235,Section_Master!$A$2:$A$477,0))&amp;"","")</f>
        <v>No</v>
      </c>
      <c r="H1235" s="10" t="str">
        <f aca="false">IFERROR(INDEX(Section_Master!$F$2:$F$477,MATCH($E1235,Section_Master!$A$2:$A$477,0))&amp;"","")</f>
        <v>Yes</v>
      </c>
      <c r="I1235" s="10" t="str">
        <f aca="false">IFERROR(INDEX(Section_Master!$G$2:$G$477,MATCH($E1235,Section_Master!$A$2:$A$477,0))&amp;"","")</f>
        <v>No</v>
      </c>
      <c r="J1235" s="10" t="s">
        <v>58</v>
      </c>
      <c r="K1235" s="8" t="s">
        <v>2923</v>
      </c>
    </row>
    <row r="1236" customFormat="false" ht="23.25" hidden="false" customHeight="true" outlineLevel="0" collapsed="false">
      <c r="A1236" s="10" t="s">
        <v>2930</v>
      </c>
      <c r="B1236" s="10" t="s">
        <v>45</v>
      </c>
      <c r="C1236" s="8" t="s">
        <v>2921</v>
      </c>
      <c r="D1236" s="8" t="s">
        <v>2931</v>
      </c>
      <c r="E1236" s="11" t="n">
        <v>206</v>
      </c>
      <c r="F1236" s="8" t="str">
        <f aca="false">IFERROR(INDEX(Section_Master!$D$2:$D$477,MATCH($E1236,Section_Master!$A$2:$A$477,0))&amp;"","")</f>
        <v>Simple imprisonment up to 1 month, or fine, or both; up to 6 months, or fine, or both if summons requires attendance in Court [s.206]</v>
      </c>
      <c r="G1236" s="10" t="str">
        <f aca="false">IFERROR(INDEX(Section_Master!$E$2:$E$477,MATCH($E1236,Section_Master!$A$2:$A$477,0))&amp;"","")</f>
        <v>No</v>
      </c>
      <c r="H1236" s="10" t="str">
        <f aca="false">IFERROR(INDEX(Section_Master!$F$2:$F$477,MATCH($E1236,Section_Master!$A$2:$A$477,0))&amp;"","")</f>
        <v>Yes</v>
      </c>
      <c r="I1236" s="10" t="str">
        <f aca="false">IFERROR(INDEX(Section_Master!$G$2:$G$477,MATCH($E1236,Section_Master!$A$2:$A$477,0))&amp;"","")</f>
        <v>No</v>
      </c>
      <c r="J1236" s="10" t="s">
        <v>61</v>
      </c>
      <c r="K1236" s="8" t="s">
        <v>2923</v>
      </c>
    </row>
    <row r="1237" customFormat="false" ht="34.5" hidden="false" customHeight="true" outlineLevel="0" collapsed="false">
      <c r="A1237" s="10" t="s">
        <v>2932</v>
      </c>
      <c r="B1237" s="10" t="s">
        <v>45</v>
      </c>
      <c r="C1237" s="8" t="s">
        <v>2921</v>
      </c>
      <c r="D1237" s="8" t="s">
        <v>2933</v>
      </c>
      <c r="E1237" s="11" t="n">
        <v>206</v>
      </c>
      <c r="F1237" s="8" t="str">
        <f aca="false">IFERROR(INDEX(Section_Master!$D$2:$D$477,MATCH($E1237,Section_Master!$A$2:$A$477,0))&amp;"","")</f>
        <v>Simple imprisonment up to 1 month, or fine, or both; up to 6 months, or fine, or both if summons requires attendance in Court [s.206]</v>
      </c>
      <c r="G1237" s="10" t="str">
        <f aca="false">IFERROR(INDEX(Section_Master!$E$2:$E$477,MATCH($E1237,Section_Master!$A$2:$A$477,0))&amp;"","")</f>
        <v>No</v>
      </c>
      <c r="H1237" s="10" t="str">
        <f aca="false">IFERROR(INDEX(Section_Master!$F$2:$F$477,MATCH($E1237,Section_Master!$A$2:$A$477,0))&amp;"","")</f>
        <v>Yes</v>
      </c>
      <c r="I1237" s="10" t="str">
        <f aca="false">IFERROR(INDEX(Section_Master!$G$2:$G$477,MATCH($E1237,Section_Master!$A$2:$A$477,0))&amp;"","")</f>
        <v>No</v>
      </c>
      <c r="J1237" s="10" t="s">
        <v>64</v>
      </c>
      <c r="K1237" s="8" t="s">
        <v>2923</v>
      </c>
    </row>
    <row r="1238" customFormat="false" ht="34.5" hidden="false" customHeight="true" outlineLevel="0" collapsed="false">
      <c r="A1238" s="10" t="s">
        <v>2934</v>
      </c>
      <c r="B1238" s="10" t="s">
        <v>45</v>
      </c>
      <c r="C1238" s="8" t="s">
        <v>2935</v>
      </c>
      <c r="D1238" s="8" t="s">
        <v>2936</v>
      </c>
      <c r="E1238" s="11" t="n">
        <v>207</v>
      </c>
      <c r="F1238" s="8" t="str">
        <f aca="false">IFERROR(INDEX(Section_Master!$D$2:$D$477,MATCH($E1238,Section_Master!$A$2:$A$477,0))&amp;"","")</f>
        <v>Simple imprisonment up to 1 month, or fine, or both; up to 6 months, or fine, or both if summons requires attendance in Court [s.207]</v>
      </c>
      <c r="G1238" s="10" t="str">
        <f aca="false">IFERROR(INDEX(Section_Master!$E$2:$E$477,MATCH($E1238,Section_Master!$A$2:$A$477,0))&amp;"","")</f>
        <v>No</v>
      </c>
      <c r="H1238" s="10" t="str">
        <f aca="false">IFERROR(INDEX(Section_Master!$F$2:$F$477,MATCH($E1238,Section_Master!$A$2:$A$477,0))&amp;"","")</f>
        <v>Yes</v>
      </c>
      <c r="I1238" s="10" t="str">
        <f aca="false">IFERROR(INDEX(Section_Master!$G$2:$G$477,MATCH($E1238,Section_Master!$A$2:$A$477,0))&amp;"","")</f>
        <v>No</v>
      </c>
      <c r="J1238" s="10" t="s">
        <v>48</v>
      </c>
      <c r="K1238" s="8" t="s">
        <v>2937</v>
      </c>
    </row>
    <row r="1239" customFormat="false" ht="45.75" hidden="false" customHeight="true" outlineLevel="0" collapsed="false">
      <c r="A1239" s="10" t="s">
        <v>2938</v>
      </c>
      <c r="B1239" s="10" t="s">
        <v>45</v>
      </c>
      <c r="C1239" s="8" t="s">
        <v>2935</v>
      </c>
      <c r="D1239" s="8" t="s">
        <v>2939</v>
      </c>
      <c r="E1239" s="11" t="n">
        <v>207</v>
      </c>
      <c r="F1239" s="8" t="str">
        <f aca="false">IFERROR(INDEX(Section_Master!$D$2:$D$477,MATCH($E1239,Section_Master!$A$2:$A$477,0))&amp;"","")</f>
        <v>Simple imprisonment up to 1 month, or fine, or both; up to 6 months, or fine, or both if summons requires attendance in Court [s.207]</v>
      </c>
      <c r="G1239" s="10" t="str">
        <f aca="false">IFERROR(INDEX(Section_Master!$E$2:$E$477,MATCH($E1239,Section_Master!$A$2:$A$477,0))&amp;"","")</f>
        <v>No</v>
      </c>
      <c r="H1239" s="10" t="str">
        <f aca="false">IFERROR(INDEX(Section_Master!$F$2:$F$477,MATCH($E1239,Section_Master!$A$2:$A$477,0))&amp;"","")</f>
        <v>Yes</v>
      </c>
      <c r="I1239" s="10" t="str">
        <f aca="false">IFERROR(INDEX(Section_Master!$G$2:$G$477,MATCH($E1239,Section_Master!$A$2:$A$477,0))&amp;"","")</f>
        <v>No</v>
      </c>
      <c r="J1239" s="10" t="s">
        <v>52</v>
      </c>
      <c r="K1239" s="8" t="s">
        <v>2937</v>
      </c>
    </row>
    <row r="1240" customFormat="false" ht="34.5" hidden="false" customHeight="true" outlineLevel="0" collapsed="false">
      <c r="A1240" s="10" t="s">
        <v>2940</v>
      </c>
      <c r="B1240" s="10" t="s">
        <v>45</v>
      </c>
      <c r="C1240" s="8" t="s">
        <v>2935</v>
      </c>
      <c r="D1240" s="8" t="s">
        <v>2941</v>
      </c>
      <c r="E1240" s="11" t="n">
        <v>207</v>
      </c>
      <c r="F1240" s="8" t="str">
        <f aca="false">IFERROR(INDEX(Section_Master!$D$2:$D$477,MATCH($E1240,Section_Master!$A$2:$A$477,0))&amp;"","")</f>
        <v>Simple imprisonment up to 1 month, or fine, or both; up to 6 months, or fine, or both if summons requires attendance in Court [s.207]</v>
      </c>
      <c r="G1240" s="10" t="str">
        <f aca="false">IFERROR(INDEX(Section_Master!$E$2:$E$477,MATCH($E1240,Section_Master!$A$2:$A$477,0))&amp;"","")</f>
        <v>No</v>
      </c>
      <c r="H1240" s="10" t="str">
        <f aca="false">IFERROR(INDEX(Section_Master!$F$2:$F$477,MATCH($E1240,Section_Master!$A$2:$A$477,0))&amp;"","")</f>
        <v>Yes</v>
      </c>
      <c r="I1240" s="10" t="str">
        <f aca="false">IFERROR(INDEX(Section_Master!$G$2:$G$477,MATCH($E1240,Section_Master!$A$2:$A$477,0))&amp;"","")</f>
        <v>No</v>
      </c>
      <c r="J1240" s="10" t="s">
        <v>55</v>
      </c>
      <c r="K1240" s="8" t="s">
        <v>2937</v>
      </c>
    </row>
    <row r="1241" customFormat="false" ht="34.5" hidden="false" customHeight="true" outlineLevel="0" collapsed="false">
      <c r="A1241" s="10" t="s">
        <v>2942</v>
      </c>
      <c r="B1241" s="10" t="s">
        <v>45</v>
      </c>
      <c r="C1241" s="8" t="s">
        <v>2935</v>
      </c>
      <c r="D1241" s="8" t="s">
        <v>2943</v>
      </c>
      <c r="E1241" s="11" t="n">
        <v>207</v>
      </c>
      <c r="F1241" s="8" t="str">
        <f aca="false">IFERROR(INDEX(Section_Master!$D$2:$D$477,MATCH($E1241,Section_Master!$A$2:$A$477,0))&amp;"","")</f>
        <v>Simple imprisonment up to 1 month, or fine, or both; up to 6 months, or fine, or both if summons requires attendance in Court [s.207]</v>
      </c>
      <c r="G1241" s="10" t="str">
        <f aca="false">IFERROR(INDEX(Section_Master!$E$2:$E$477,MATCH($E1241,Section_Master!$A$2:$A$477,0))&amp;"","")</f>
        <v>No</v>
      </c>
      <c r="H1241" s="10" t="str">
        <f aca="false">IFERROR(INDEX(Section_Master!$F$2:$F$477,MATCH($E1241,Section_Master!$A$2:$A$477,0))&amp;"","")</f>
        <v>Yes</v>
      </c>
      <c r="I1241" s="10" t="str">
        <f aca="false">IFERROR(INDEX(Section_Master!$G$2:$G$477,MATCH($E1241,Section_Master!$A$2:$A$477,0))&amp;"","")</f>
        <v>No</v>
      </c>
      <c r="J1241" s="10" t="s">
        <v>58</v>
      </c>
      <c r="K1241" s="8" t="s">
        <v>2937</v>
      </c>
    </row>
    <row r="1242" customFormat="false" ht="34.5" hidden="false" customHeight="true" outlineLevel="0" collapsed="false">
      <c r="A1242" s="10" t="s">
        <v>2944</v>
      </c>
      <c r="B1242" s="10" t="s">
        <v>45</v>
      </c>
      <c r="C1242" s="8" t="s">
        <v>2935</v>
      </c>
      <c r="D1242" s="8" t="s">
        <v>2945</v>
      </c>
      <c r="E1242" s="11" t="n">
        <v>207</v>
      </c>
      <c r="F1242" s="8" t="str">
        <f aca="false">IFERROR(INDEX(Section_Master!$D$2:$D$477,MATCH($E1242,Section_Master!$A$2:$A$477,0))&amp;"","")</f>
        <v>Simple imprisonment up to 1 month, or fine, or both; up to 6 months, or fine, or both if summons requires attendance in Court [s.207]</v>
      </c>
      <c r="G1242" s="10" t="str">
        <f aca="false">IFERROR(INDEX(Section_Master!$E$2:$E$477,MATCH($E1242,Section_Master!$A$2:$A$477,0))&amp;"","")</f>
        <v>No</v>
      </c>
      <c r="H1242" s="10" t="str">
        <f aca="false">IFERROR(INDEX(Section_Master!$F$2:$F$477,MATCH($E1242,Section_Master!$A$2:$A$477,0))&amp;"","")</f>
        <v>Yes</v>
      </c>
      <c r="I1242" s="10" t="str">
        <f aca="false">IFERROR(INDEX(Section_Master!$G$2:$G$477,MATCH($E1242,Section_Master!$A$2:$A$477,0))&amp;"","")</f>
        <v>No</v>
      </c>
      <c r="J1242" s="10" t="s">
        <v>61</v>
      </c>
      <c r="K1242" s="8" t="s">
        <v>2937</v>
      </c>
    </row>
    <row r="1243" customFormat="false" ht="34.5" hidden="false" customHeight="true" outlineLevel="0" collapsed="false">
      <c r="A1243" s="10" t="s">
        <v>2946</v>
      </c>
      <c r="B1243" s="10" t="s">
        <v>45</v>
      </c>
      <c r="C1243" s="8" t="s">
        <v>2935</v>
      </c>
      <c r="D1243" s="8" t="s">
        <v>2947</v>
      </c>
      <c r="E1243" s="11" t="n">
        <v>207</v>
      </c>
      <c r="F1243" s="8" t="str">
        <f aca="false">IFERROR(INDEX(Section_Master!$D$2:$D$477,MATCH($E1243,Section_Master!$A$2:$A$477,0))&amp;"","")</f>
        <v>Simple imprisonment up to 1 month, or fine, or both; up to 6 months, or fine, or both if summons requires attendance in Court [s.207]</v>
      </c>
      <c r="G1243" s="10" t="str">
        <f aca="false">IFERROR(INDEX(Section_Master!$E$2:$E$477,MATCH($E1243,Section_Master!$A$2:$A$477,0))&amp;"","")</f>
        <v>No</v>
      </c>
      <c r="H1243" s="10" t="str">
        <f aca="false">IFERROR(INDEX(Section_Master!$F$2:$F$477,MATCH($E1243,Section_Master!$A$2:$A$477,0))&amp;"","")</f>
        <v>Yes</v>
      </c>
      <c r="I1243" s="10" t="str">
        <f aca="false">IFERROR(INDEX(Section_Master!$G$2:$G$477,MATCH($E1243,Section_Master!$A$2:$A$477,0))&amp;"","")</f>
        <v>No</v>
      </c>
      <c r="J1243" s="10" t="s">
        <v>64</v>
      </c>
      <c r="K1243" s="8" t="s">
        <v>2937</v>
      </c>
    </row>
    <row r="1244" customFormat="false" ht="34.5" hidden="false" customHeight="true" outlineLevel="0" collapsed="false">
      <c r="A1244" s="10" t="s">
        <v>2948</v>
      </c>
      <c r="B1244" s="10" t="s">
        <v>45</v>
      </c>
      <c r="C1244" s="8" t="s">
        <v>2949</v>
      </c>
      <c r="D1244" s="8" t="s">
        <v>2950</v>
      </c>
      <c r="E1244" s="11" t="n">
        <v>208</v>
      </c>
      <c r="F1244" s="8" t="str">
        <f aca="false">IFERROR(INDEX(Section_Master!$D$2:$D$477,MATCH($E1244,Section_Master!$A$2:$A$477,0))&amp;"","")</f>
        <v>Simple imprisonment up to 1 month, or fine, or both; up to 6 months, or fine, or both if attendance in Court is required [s.208]</v>
      </c>
      <c r="G1244" s="10" t="str">
        <f aca="false">IFERROR(INDEX(Section_Master!$E$2:$E$477,MATCH($E1244,Section_Master!$A$2:$A$477,0))&amp;"","")</f>
        <v>No</v>
      </c>
      <c r="H1244" s="10" t="str">
        <f aca="false">IFERROR(INDEX(Section_Master!$F$2:$F$477,MATCH($E1244,Section_Master!$A$2:$A$477,0))&amp;"","")</f>
        <v>Yes</v>
      </c>
      <c r="I1244" s="10" t="str">
        <f aca="false">IFERROR(INDEX(Section_Master!$G$2:$G$477,MATCH($E1244,Section_Master!$A$2:$A$477,0))&amp;"","")</f>
        <v>No</v>
      </c>
      <c r="J1244" s="10" t="s">
        <v>48</v>
      </c>
      <c r="K1244" s="8" t="s">
        <v>2951</v>
      </c>
    </row>
    <row r="1245" customFormat="false" ht="34.5" hidden="false" customHeight="true" outlineLevel="0" collapsed="false">
      <c r="A1245" s="10" t="s">
        <v>2952</v>
      </c>
      <c r="B1245" s="10" t="s">
        <v>45</v>
      </c>
      <c r="C1245" s="8" t="s">
        <v>2949</v>
      </c>
      <c r="D1245" s="8" t="s">
        <v>2953</v>
      </c>
      <c r="E1245" s="11" t="n">
        <v>208</v>
      </c>
      <c r="F1245" s="8" t="str">
        <f aca="false">IFERROR(INDEX(Section_Master!$D$2:$D$477,MATCH($E1245,Section_Master!$A$2:$A$477,0))&amp;"","")</f>
        <v>Simple imprisonment up to 1 month, or fine, or both; up to 6 months, or fine, or both if attendance in Court is required [s.208]</v>
      </c>
      <c r="G1245" s="10" t="str">
        <f aca="false">IFERROR(INDEX(Section_Master!$E$2:$E$477,MATCH($E1245,Section_Master!$A$2:$A$477,0))&amp;"","")</f>
        <v>No</v>
      </c>
      <c r="H1245" s="10" t="str">
        <f aca="false">IFERROR(INDEX(Section_Master!$F$2:$F$477,MATCH($E1245,Section_Master!$A$2:$A$477,0))&amp;"","")</f>
        <v>Yes</v>
      </c>
      <c r="I1245" s="10" t="str">
        <f aca="false">IFERROR(INDEX(Section_Master!$G$2:$G$477,MATCH($E1245,Section_Master!$A$2:$A$477,0))&amp;"","")</f>
        <v>No</v>
      </c>
      <c r="J1245" s="10" t="s">
        <v>52</v>
      </c>
      <c r="K1245" s="8" t="s">
        <v>2951</v>
      </c>
    </row>
    <row r="1246" customFormat="false" ht="34.5" hidden="false" customHeight="true" outlineLevel="0" collapsed="false">
      <c r="A1246" s="10" t="s">
        <v>2954</v>
      </c>
      <c r="B1246" s="10" t="s">
        <v>45</v>
      </c>
      <c r="C1246" s="8" t="s">
        <v>2949</v>
      </c>
      <c r="D1246" s="8" t="s">
        <v>2955</v>
      </c>
      <c r="E1246" s="11" t="n">
        <v>208</v>
      </c>
      <c r="F1246" s="8" t="str">
        <f aca="false">IFERROR(INDEX(Section_Master!$D$2:$D$477,MATCH($E1246,Section_Master!$A$2:$A$477,0))&amp;"","")</f>
        <v>Simple imprisonment up to 1 month, or fine, or both; up to 6 months, or fine, or both if attendance in Court is required [s.208]</v>
      </c>
      <c r="G1246" s="10" t="str">
        <f aca="false">IFERROR(INDEX(Section_Master!$E$2:$E$477,MATCH($E1246,Section_Master!$A$2:$A$477,0))&amp;"","")</f>
        <v>No</v>
      </c>
      <c r="H1246" s="10" t="str">
        <f aca="false">IFERROR(INDEX(Section_Master!$F$2:$F$477,MATCH($E1246,Section_Master!$A$2:$A$477,0))&amp;"","")</f>
        <v>Yes</v>
      </c>
      <c r="I1246" s="10" t="str">
        <f aca="false">IFERROR(INDEX(Section_Master!$G$2:$G$477,MATCH($E1246,Section_Master!$A$2:$A$477,0))&amp;"","")</f>
        <v>No</v>
      </c>
      <c r="J1246" s="10" t="s">
        <v>55</v>
      </c>
      <c r="K1246" s="8" t="s">
        <v>2951</v>
      </c>
    </row>
    <row r="1247" customFormat="false" ht="23.25" hidden="false" customHeight="true" outlineLevel="0" collapsed="false">
      <c r="A1247" s="10" t="s">
        <v>2956</v>
      </c>
      <c r="B1247" s="10" t="s">
        <v>45</v>
      </c>
      <c r="C1247" s="8" t="s">
        <v>2949</v>
      </c>
      <c r="D1247" s="8" t="s">
        <v>2957</v>
      </c>
      <c r="E1247" s="11" t="n">
        <v>208</v>
      </c>
      <c r="F1247" s="8" t="str">
        <f aca="false">IFERROR(INDEX(Section_Master!$D$2:$D$477,MATCH($E1247,Section_Master!$A$2:$A$477,0))&amp;"","")</f>
        <v>Simple imprisonment up to 1 month, or fine, or both; up to 6 months, or fine, or both if attendance in Court is required [s.208]</v>
      </c>
      <c r="G1247" s="10" t="str">
        <f aca="false">IFERROR(INDEX(Section_Master!$E$2:$E$477,MATCH($E1247,Section_Master!$A$2:$A$477,0))&amp;"","")</f>
        <v>No</v>
      </c>
      <c r="H1247" s="10" t="str">
        <f aca="false">IFERROR(INDEX(Section_Master!$F$2:$F$477,MATCH($E1247,Section_Master!$A$2:$A$477,0))&amp;"","")</f>
        <v>Yes</v>
      </c>
      <c r="I1247" s="10" t="str">
        <f aca="false">IFERROR(INDEX(Section_Master!$G$2:$G$477,MATCH($E1247,Section_Master!$A$2:$A$477,0))&amp;"","")</f>
        <v>No</v>
      </c>
      <c r="J1247" s="10" t="s">
        <v>58</v>
      </c>
      <c r="K1247" s="8" t="s">
        <v>2951</v>
      </c>
    </row>
    <row r="1248" customFormat="false" ht="34.5" hidden="false" customHeight="true" outlineLevel="0" collapsed="false">
      <c r="A1248" s="10" t="s">
        <v>2958</v>
      </c>
      <c r="B1248" s="10" t="s">
        <v>45</v>
      </c>
      <c r="C1248" s="8" t="s">
        <v>2949</v>
      </c>
      <c r="D1248" s="8" t="s">
        <v>2959</v>
      </c>
      <c r="E1248" s="11" t="n">
        <v>208</v>
      </c>
      <c r="F1248" s="8" t="str">
        <f aca="false">IFERROR(INDEX(Section_Master!$D$2:$D$477,MATCH($E1248,Section_Master!$A$2:$A$477,0))&amp;"","")</f>
        <v>Simple imprisonment up to 1 month, or fine, or both; up to 6 months, or fine, or both if attendance in Court is required [s.208]</v>
      </c>
      <c r="G1248" s="10" t="str">
        <f aca="false">IFERROR(INDEX(Section_Master!$E$2:$E$477,MATCH($E1248,Section_Master!$A$2:$A$477,0))&amp;"","")</f>
        <v>No</v>
      </c>
      <c r="H1248" s="10" t="str">
        <f aca="false">IFERROR(INDEX(Section_Master!$F$2:$F$477,MATCH($E1248,Section_Master!$A$2:$A$477,0))&amp;"","")</f>
        <v>Yes</v>
      </c>
      <c r="I1248" s="10" t="str">
        <f aca="false">IFERROR(INDEX(Section_Master!$G$2:$G$477,MATCH($E1248,Section_Master!$A$2:$A$477,0))&amp;"","")</f>
        <v>No</v>
      </c>
      <c r="J1248" s="10" t="s">
        <v>61</v>
      </c>
      <c r="K1248" s="8" t="s">
        <v>2951</v>
      </c>
    </row>
    <row r="1249" customFormat="false" ht="34.5" hidden="false" customHeight="true" outlineLevel="0" collapsed="false">
      <c r="A1249" s="10" t="s">
        <v>2960</v>
      </c>
      <c r="B1249" s="10" t="s">
        <v>45</v>
      </c>
      <c r="C1249" s="8" t="s">
        <v>2949</v>
      </c>
      <c r="D1249" s="8" t="s">
        <v>2961</v>
      </c>
      <c r="E1249" s="11" t="n">
        <v>208</v>
      </c>
      <c r="F1249" s="8" t="str">
        <f aca="false">IFERROR(INDEX(Section_Master!$D$2:$D$477,MATCH($E1249,Section_Master!$A$2:$A$477,0))&amp;"","")</f>
        <v>Simple imprisonment up to 1 month, or fine, or both; up to 6 months, or fine, or both if attendance in Court is required [s.208]</v>
      </c>
      <c r="G1249" s="10" t="str">
        <f aca="false">IFERROR(INDEX(Section_Master!$E$2:$E$477,MATCH($E1249,Section_Master!$A$2:$A$477,0))&amp;"","")</f>
        <v>No</v>
      </c>
      <c r="H1249" s="10" t="str">
        <f aca="false">IFERROR(INDEX(Section_Master!$F$2:$F$477,MATCH($E1249,Section_Master!$A$2:$A$477,0))&amp;"","")</f>
        <v>Yes</v>
      </c>
      <c r="I1249" s="10" t="str">
        <f aca="false">IFERROR(INDEX(Section_Master!$G$2:$G$477,MATCH($E1249,Section_Master!$A$2:$A$477,0))&amp;"","")</f>
        <v>No</v>
      </c>
      <c r="J1249" s="10" t="s">
        <v>64</v>
      </c>
      <c r="K1249" s="8" t="s">
        <v>2951</v>
      </c>
    </row>
    <row r="1250" customFormat="false" ht="34.5" hidden="false" customHeight="true" outlineLevel="0" collapsed="false">
      <c r="A1250" s="10" t="s">
        <v>2962</v>
      </c>
      <c r="B1250" s="10" t="s">
        <v>45</v>
      </c>
      <c r="C1250" s="8" t="s">
        <v>2963</v>
      </c>
      <c r="D1250" s="8" t="s">
        <v>2964</v>
      </c>
      <c r="E1250" s="11" t="n">
        <v>209</v>
      </c>
      <c r="F1250" s="8" t="str">
        <f aca="false">IFERROR(INDEX(Section_Master!$D$2:$D$477,MATCH($E1250,Section_Master!$A$2:$A$477,0))&amp;"","")</f>
        <v>Imprisonment up to 3 years, or fine, or both; up to 7 years and fine if declared a proclaimed offender [s.209]</v>
      </c>
      <c r="G1250" s="10" t="str">
        <f aca="false">IFERROR(INDEX(Section_Master!$E$2:$E$477,MATCH($E1250,Section_Master!$A$2:$A$477,0))&amp;"","")</f>
        <v>Yes</v>
      </c>
      <c r="H1250" s="10" t="str">
        <f aca="false">IFERROR(INDEX(Section_Master!$F$2:$F$477,MATCH($E1250,Section_Master!$A$2:$A$477,0))&amp;"","")</f>
        <v>No</v>
      </c>
      <c r="I1250" s="10" t="str">
        <f aca="false">IFERROR(INDEX(Section_Master!$G$2:$G$477,MATCH($E1250,Section_Master!$A$2:$A$477,0))&amp;"","")</f>
        <v>No</v>
      </c>
      <c r="J1250" s="10" t="s">
        <v>48</v>
      </c>
      <c r="K1250" s="8" t="s">
        <v>2965</v>
      </c>
    </row>
    <row r="1251" customFormat="false" ht="34.5" hidden="false" customHeight="true" outlineLevel="0" collapsed="false">
      <c r="A1251" s="10" t="s">
        <v>2966</v>
      </c>
      <c r="B1251" s="10" t="s">
        <v>45</v>
      </c>
      <c r="C1251" s="8" t="s">
        <v>2963</v>
      </c>
      <c r="D1251" s="8" t="s">
        <v>2967</v>
      </c>
      <c r="E1251" s="11" t="n">
        <v>209</v>
      </c>
      <c r="F1251" s="8" t="str">
        <f aca="false">IFERROR(INDEX(Section_Master!$D$2:$D$477,MATCH($E1251,Section_Master!$A$2:$A$477,0))&amp;"","")</f>
        <v>Imprisonment up to 3 years, or fine, or both; up to 7 years and fine if declared a proclaimed offender [s.209]</v>
      </c>
      <c r="G1251" s="10" t="str">
        <f aca="false">IFERROR(INDEX(Section_Master!$E$2:$E$477,MATCH($E1251,Section_Master!$A$2:$A$477,0))&amp;"","")</f>
        <v>Yes</v>
      </c>
      <c r="H1251" s="10" t="str">
        <f aca="false">IFERROR(INDEX(Section_Master!$F$2:$F$477,MATCH($E1251,Section_Master!$A$2:$A$477,0))&amp;"","")</f>
        <v>No</v>
      </c>
      <c r="I1251" s="10" t="str">
        <f aca="false">IFERROR(INDEX(Section_Master!$G$2:$G$477,MATCH($E1251,Section_Master!$A$2:$A$477,0))&amp;"","")</f>
        <v>No</v>
      </c>
      <c r="J1251" s="10" t="s">
        <v>52</v>
      </c>
      <c r="K1251" s="8" t="s">
        <v>2965</v>
      </c>
    </row>
    <row r="1252" customFormat="false" ht="34.5" hidden="false" customHeight="true" outlineLevel="0" collapsed="false">
      <c r="A1252" s="10" t="s">
        <v>2968</v>
      </c>
      <c r="B1252" s="10" t="s">
        <v>45</v>
      </c>
      <c r="C1252" s="8" t="s">
        <v>2963</v>
      </c>
      <c r="D1252" s="8" t="s">
        <v>2969</v>
      </c>
      <c r="E1252" s="11" t="n">
        <v>209</v>
      </c>
      <c r="F1252" s="8" t="str">
        <f aca="false">IFERROR(INDEX(Section_Master!$D$2:$D$477,MATCH($E1252,Section_Master!$A$2:$A$477,0))&amp;"","")</f>
        <v>Imprisonment up to 3 years, or fine, or both; up to 7 years and fine if declared a proclaimed offender [s.209]</v>
      </c>
      <c r="G1252" s="10" t="str">
        <f aca="false">IFERROR(INDEX(Section_Master!$E$2:$E$477,MATCH($E1252,Section_Master!$A$2:$A$477,0))&amp;"","")</f>
        <v>Yes</v>
      </c>
      <c r="H1252" s="10" t="str">
        <f aca="false">IFERROR(INDEX(Section_Master!$F$2:$F$477,MATCH($E1252,Section_Master!$A$2:$A$477,0))&amp;"","")</f>
        <v>No</v>
      </c>
      <c r="I1252" s="10" t="str">
        <f aca="false">IFERROR(INDEX(Section_Master!$G$2:$G$477,MATCH($E1252,Section_Master!$A$2:$A$477,0))&amp;"","")</f>
        <v>No</v>
      </c>
      <c r="J1252" s="10" t="s">
        <v>55</v>
      </c>
      <c r="K1252" s="8" t="s">
        <v>2965</v>
      </c>
    </row>
    <row r="1253" customFormat="false" ht="34.5" hidden="false" customHeight="true" outlineLevel="0" collapsed="false">
      <c r="A1253" s="10" t="s">
        <v>2970</v>
      </c>
      <c r="B1253" s="10" t="s">
        <v>45</v>
      </c>
      <c r="C1253" s="8" t="s">
        <v>2963</v>
      </c>
      <c r="D1253" s="8" t="s">
        <v>2971</v>
      </c>
      <c r="E1253" s="11" t="n">
        <v>209</v>
      </c>
      <c r="F1253" s="8" t="str">
        <f aca="false">IFERROR(INDEX(Section_Master!$D$2:$D$477,MATCH($E1253,Section_Master!$A$2:$A$477,0))&amp;"","")</f>
        <v>Imprisonment up to 3 years, or fine, or both; up to 7 years and fine if declared a proclaimed offender [s.209]</v>
      </c>
      <c r="G1253" s="10" t="str">
        <f aca="false">IFERROR(INDEX(Section_Master!$E$2:$E$477,MATCH($E1253,Section_Master!$A$2:$A$477,0))&amp;"","")</f>
        <v>Yes</v>
      </c>
      <c r="H1253" s="10" t="str">
        <f aca="false">IFERROR(INDEX(Section_Master!$F$2:$F$477,MATCH($E1253,Section_Master!$A$2:$A$477,0))&amp;"","")</f>
        <v>No</v>
      </c>
      <c r="I1253" s="10" t="str">
        <f aca="false">IFERROR(INDEX(Section_Master!$G$2:$G$477,MATCH($E1253,Section_Master!$A$2:$A$477,0))&amp;"","")</f>
        <v>No</v>
      </c>
      <c r="J1253" s="10" t="s">
        <v>58</v>
      </c>
      <c r="K1253" s="8" t="s">
        <v>2965</v>
      </c>
    </row>
    <row r="1254" customFormat="false" ht="34.5" hidden="false" customHeight="true" outlineLevel="0" collapsed="false">
      <c r="A1254" s="10" t="s">
        <v>2972</v>
      </c>
      <c r="B1254" s="10" t="s">
        <v>45</v>
      </c>
      <c r="C1254" s="8" t="s">
        <v>2963</v>
      </c>
      <c r="D1254" s="8" t="s">
        <v>2973</v>
      </c>
      <c r="E1254" s="11" t="n">
        <v>209</v>
      </c>
      <c r="F1254" s="8" t="str">
        <f aca="false">IFERROR(INDEX(Section_Master!$D$2:$D$477,MATCH($E1254,Section_Master!$A$2:$A$477,0))&amp;"","")</f>
        <v>Imprisonment up to 3 years, or fine, or both; up to 7 years and fine if declared a proclaimed offender [s.209]</v>
      </c>
      <c r="G1254" s="10" t="str">
        <f aca="false">IFERROR(INDEX(Section_Master!$E$2:$E$477,MATCH($E1254,Section_Master!$A$2:$A$477,0))&amp;"","")</f>
        <v>Yes</v>
      </c>
      <c r="H1254" s="10" t="str">
        <f aca="false">IFERROR(INDEX(Section_Master!$F$2:$F$477,MATCH($E1254,Section_Master!$A$2:$A$477,0))&amp;"","")</f>
        <v>No</v>
      </c>
      <c r="I1254" s="10" t="str">
        <f aca="false">IFERROR(INDEX(Section_Master!$G$2:$G$477,MATCH($E1254,Section_Master!$A$2:$A$477,0))&amp;"","")</f>
        <v>No</v>
      </c>
      <c r="J1254" s="10" t="s">
        <v>61</v>
      </c>
      <c r="K1254" s="8" t="s">
        <v>2965</v>
      </c>
    </row>
    <row r="1255" customFormat="false" ht="34.5" hidden="false" customHeight="true" outlineLevel="0" collapsed="false">
      <c r="A1255" s="10" t="s">
        <v>2974</v>
      </c>
      <c r="B1255" s="10" t="s">
        <v>45</v>
      </c>
      <c r="C1255" s="8" t="s">
        <v>2963</v>
      </c>
      <c r="D1255" s="8" t="s">
        <v>2975</v>
      </c>
      <c r="E1255" s="11" t="n">
        <v>209</v>
      </c>
      <c r="F1255" s="8" t="str">
        <f aca="false">IFERROR(INDEX(Section_Master!$D$2:$D$477,MATCH($E1255,Section_Master!$A$2:$A$477,0))&amp;"","")</f>
        <v>Imprisonment up to 3 years, or fine, or both; up to 7 years and fine if declared a proclaimed offender [s.209]</v>
      </c>
      <c r="G1255" s="10" t="str">
        <f aca="false">IFERROR(INDEX(Section_Master!$E$2:$E$477,MATCH($E1255,Section_Master!$A$2:$A$477,0))&amp;"","")</f>
        <v>Yes</v>
      </c>
      <c r="H1255" s="10" t="str">
        <f aca="false">IFERROR(INDEX(Section_Master!$F$2:$F$477,MATCH($E1255,Section_Master!$A$2:$A$477,0))&amp;"","")</f>
        <v>No</v>
      </c>
      <c r="I1255" s="10" t="str">
        <f aca="false">IFERROR(INDEX(Section_Master!$G$2:$G$477,MATCH($E1255,Section_Master!$A$2:$A$477,0))&amp;"","")</f>
        <v>No</v>
      </c>
      <c r="J1255" s="10" t="s">
        <v>64</v>
      </c>
      <c r="K1255" s="8" t="s">
        <v>2965</v>
      </c>
    </row>
    <row r="1256" customFormat="false" ht="34.5" hidden="false" customHeight="true" outlineLevel="0" collapsed="false">
      <c r="A1256" s="10" t="s">
        <v>2976</v>
      </c>
      <c r="B1256" s="10" t="s">
        <v>45</v>
      </c>
      <c r="C1256" s="8" t="s">
        <v>2977</v>
      </c>
      <c r="D1256" s="8" t="s">
        <v>2978</v>
      </c>
      <c r="E1256" s="11" t="n">
        <v>210</v>
      </c>
      <c r="F1256" s="8" t="str">
        <f aca="false">IFERROR(INDEX(Section_Master!$D$2:$D$477,MATCH($E1256,Section_Master!$A$2:$A$477,0))&amp;"","")</f>
        <v>Simple imprisonment up to 1 month, or fine, or both; up to 6 months, or fine, or both if production in Court is required [s.210]</v>
      </c>
      <c r="G1256" s="10" t="str">
        <f aca="false">IFERROR(INDEX(Section_Master!$E$2:$E$477,MATCH($E1256,Section_Master!$A$2:$A$477,0))&amp;"","")</f>
        <v>No</v>
      </c>
      <c r="H1256" s="10" t="str">
        <f aca="false">IFERROR(INDEX(Section_Master!$F$2:$F$477,MATCH($E1256,Section_Master!$A$2:$A$477,0))&amp;"","")</f>
        <v>Yes</v>
      </c>
      <c r="I1256" s="10" t="str">
        <f aca="false">IFERROR(INDEX(Section_Master!$G$2:$G$477,MATCH($E1256,Section_Master!$A$2:$A$477,0))&amp;"","")</f>
        <v>No</v>
      </c>
      <c r="J1256" s="10" t="s">
        <v>48</v>
      </c>
      <c r="K1256" s="8" t="s">
        <v>2979</v>
      </c>
    </row>
    <row r="1257" customFormat="false" ht="34.5" hidden="false" customHeight="true" outlineLevel="0" collapsed="false">
      <c r="A1257" s="10" t="s">
        <v>2980</v>
      </c>
      <c r="B1257" s="10" t="s">
        <v>45</v>
      </c>
      <c r="C1257" s="8" t="s">
        <v>2977</v>
      </c>
      <c r="D1257" s="8" t="s">
        <v>2981</v>
      </c>
      <c r="E1257" s="11" t="n">
        <v>210</v>
      </c>
      <c r="F1257" s="8" t="str">
        <f aca="false">IFERROR(INDEX(Section_Master!$D$2:$D$477,MATCH($E1257,Section_Master!$A$2:$A$477,0))&amp;"","")</f>
        <v>Simple imprisonment up to 1 month, or fine, or both; up to 6 months, or fine, or both if production in Court is required [s.210]</v>
      </c>
      <c r="G1257" s="10" t="str">
        <f aca="false">IFERROR(INDEX(Section_Master!$E$2:$E$477,MATCH($E1257,Section_Master!$A$2:$A$477,0))&amp;"","")</f>
        <v>No</v>
      </c>
      <c r="H1257" s="10" t="str">
        <f aca="false">IFERROR(INDEX(Section_Master!$F$2:$F$477,MATCH($E1257,Section_Master!$A$2:$A$477,0))&amp;"","")</f>
        <v>Yes</v>
      </c>
      <c r="I1257" s="10" t="str">
        <f aca="false">IFERROR(INDEX(Section_Master!$G$2:$G$477,MATCH($E1257,Section_Master!$A$2:$A$477,0))&amp;"","")</f>
        <v>No</v>
      </c>
      <c r="J1257" s="10" t="s">
        <v>52</v>
      </c>
      <c r="K1257" s="8" t="s">
        <v>2979</v>
      </c>
    </row>
    <row r="1258" customFormat="false" ht="34.5" hidden="false" customHeight="true" outlineLevel="0" collapsed="false">
      <c r="A1258" s="10" t="s">
        <v>2982</v>
      </c>
      <c r="B1258" s="10" t="s">
        <v>45</v>
      </c>
      <c r="C1258" s="8" t="s">
        <v>2977</v>
      </c>
      <c r="D1258" s="8" t="s">
        <v>2983</v>
      </c>
      <c r="E1258" s="11" t="n">
        <v>210</v>
      </c>
      <c r="F1258" s="8" t="str">
        <f aca="false">IFERROR(INDEX(Section_Master!$D$2:$D$477,MATCH($E1258,Section_Master!$A$2:$A$477,0))&amp;"","")</f>
        <v>Simple imprisonment up to 1 month, or fine, or both; up to 6 months, or fine, or both if production in Court is required [s.210]</v>
      </c>
      <c r="G1258" s="10" t="str">
        <f aca="false">IFERROR(INDEX(Section_Master!$E$2:$E$477,MATCH($E1258,Section_Master!$A$2:$A$477,0))&amp;"","")</f>
        <v>No</v>
      </c>
      <c r="H1258" s="10" t="str">
        <f aca="false">IFERROR(INDEX(Section_Master!$F$2:$F$477,MATCH($E1258,Section_Master!$A$2:$A$477,0))&amp;"","")</f>
        <v>Yes</v>
      </c>
      <c r="I1258" s="10" t="str">
        <f aca="false">IFERROR(INDEX(Section_Master!$G$2:$G$477,MATCH($E1258,Section_Master!$A$2:$A$477,0))&amp;"","")</f>
        <v>No</v>
      </c>
      <c r="J1258" s="10" t="s">
        <v>55</v>
      </c>
      <c r="K1258" s="8" t="s">
        <v>2979</v>
      </c>
    </row>
    <row r="1259" customFormat="false" ht="34.5" hidden="false" customHeight="true" outlineLevel="0" collapsed="false">
      <c r="A1259" s="10" t="s">
        <v>2984</v>
      </c>
      <c r="B1259" s="10" t="s">
        <v>45</v>
      </c>
      <c r="C1259" s="8" t="s">
        <v>2977</v>
      </c>
      <c r="D1259" s="8" t="s">
        <v>2985</v>
      </c>
      <c r="E1259" s="11" t="n">
        <v>210</v>
      </c>
      <c r="F1259" s="8" t="str">
        <f aca="false">IFERROR(INDEX(Section_Master!$D$2:$D$477,MATCH($E1259,Section_Master!$A$2:$A$477,0))&amp;"","")</f>
        <v>Simple imprisonment up to 1 month, or fine, or both; up to 6 months, or fine, or both if production in Court is required [s.210]</v>
      </c>
      <c r="G1259" s="10" t="str">
        <f aca="false">IFERROR(INDEX(Section_Master!$E$2:$E$477,MATCH($E1259,Section_Master!$A$2:$A$477,0))&amp;"","")</f>
        <v>No</v>
      </c>
      <c r="H1259" s="10" t="str">
        <f aca="false">IFERROR(INDEX(Section_Master!$F$2:$F$477,MATCH($E1259,Section_Master!$A$2:$A$477,0))&amp;"","")</f>
        <v>Yes</v>
      </c>
      <c r="I1259" s="10" t="str">
        <f aca="false">IFERROR(INDEX(Section_Master!$G$2:$G$477,MATCH($E1259,Section_Master!$A$2:$A$477,0))&amp;"","")</f>
        <v>No</v>
      </c>
      <c r="J1259" s="10" t="s">
        <v>58</v>
      </c>
      <c r="K1259" s="8" t="s">
        <v>2979</v>
      </c>
    </row>
    <row r="1260" customFormat="false" ht="34.5" hidden="false" customHeight="true" outlineLevel="0" collapsed="false">
      <c r="A1260" s="10" t="s">
        <v>2986</v>
      </c>
      <c r="B1260" s="10" t="s">
        <v>45</v>
      </c>
      <c r="C1260" s="8" t="s">
        <v>2977</v>
      </c>
      <c r="D1260" s="8" t="s">
        <v>2987</v>
      </c>
      <c r="E1260" s="11" t="n">
        <v>210</v>
      </c>
      <c r="F1260" s="8" t="str">
        <f aca="false">IFERROR(INDEX(Section_Master!$D$2:$D$477,MATCH($E1260,Section_Master!$A$2:$A$477,0))&amp;"","")</f>
        <v>Simple imprisonment up to 1 month, or fine, or both; up to 6 months, or fine, or both if production in Court is required [s.210]</v>
      </c>
      <c r="G1260" s="10" t="str">
        <f aca="false">IFERROR(INDEX(Section_Master!$E$2:$E$477,MATCH($E1260,Section_Master!$A$2:$A$477,0))&amp;"","")</f>
        <v>No</v>
      </c>
      <c r="H1260" s="10" t="str">
        <f aca="false">IFERROR(INDEX(Section_Master!$F$2:$F$477,MATCH($E1260,Section_Master!$A$2:$A$477,0))&amp;"","")</f>
        <v>Yes</v>
      </c>
      <c r="I1260" s="10" t="str">
        <f aca="false">IFERROR(INDEX(Section_Master!$G$2:$G$477,MATCH($E1260,Section_Master!$A$2:$A$477,0))&amp;"","")</f>
        <v>No</v>
      </c>
      <c r="J1260" s="10" t="s">
        <v>61</v>
      </c>
      <c r="K1260" s="8" t="s">
        <v>2979</v>
      </c>
    </row>
    <row r="1261" customFormat="false" ht="34.5" hidden="false" customHeight="true" outlineLevel="0" collapsed="false">
      <c r="A1261" s="10" t="s">
        <v>2988</v>
      </c>
      <c r="B1261" s="10" t="s">
        <v>45</v>
      </c>
      <c r="C1261" s="8" t="s">
        <v>2977</v>
      </c>
      <c r="D1261" s="8" t="s">
        <v>2989</v>
      </c>
      <c r="E1261" s="11" t="n">
        <v>210</v>
      </c>
      <c r="F1261" s="8" t="str">
        <f aca="false">IFERROR(INDEX(Section_Master!$D$2:$D$477,MATCH($E1261,Section_Master!$A$2:$A$477,0))&amp;"","")</f>
        <v>Simple imprisonment up to 1 month, or fine, or both; up to 6 months, or fine, or both if production in Court is required [s.210]</v>
      </c>
      <c r="G1261" s="10" t="str">
        <f aca="false">IFERROR(INDEX(Section_Master!$E$2:$E$477,MATCH($E1261,Section_Master!$A$2:$A$477,0))&amp;"","")</f>
        <v>No</v>
      </c>
      <c r="H1261" s="10" t="str">
        <f aca="false">IFERROR(INDEX(Section_Master!$F$2:$F$477,MATCH($E1261,Section_Master!$A$2:$A$477,0))&amp;"","")</f>
        <v>Yes</v>
      </c>
      <c r="I1261" s="10" t="str">
        <f aca="false">IFERROR(INDEX(Section_Master!$G$2:$G$477,MATCH($E1261,Section_Master!$A$2:$A$477,0))&amp;"","")</f>
        <v>No</v>
      </c>
      <c r="J1261" s="10" t="s">
        <v>64</v>
      </c>
      <c r="K1261" s="8" t="s">
        <v>2979</v>
      </c>
    </row>
    <row r="1262" customFormat="false" ht="34.5" hidden="false" customHeight="true" outlineLevel="0" collapsed="false">
      <c r="A1262" s="10" t="s">
        <v>2990</v>
      </c>
      <c r="B1262" s="10" t="s">
        <v>45</v>
      </c>
      <c r="C1262" s="8" t="s">
        <v>2991</v>
      </c>
      <c r="D1262" s="8" t="s">
        <v>2992</v>
      </c>
      <c r="E1262" s="11" t="n">
        <v>211</v>
      </c>
      <c r="F1262" s="8" t="str">
        <f aca="false">IFERROR(INDEX(Section_Master!$D$2:$D$477,MATCH($E1262,Section_Master!$A$2:$A$477,0))&amp;"","")</f>
        <v>Simple imprisonment up to 1 month, or fine, or both; up to 6 months, or fine, or both in graver cases [s.211]</v>
      </c>
      <c r="G1262" s="10" t="str">
        <f aca="false">IFERROR(INDEX(Section_Master!$E$2:$E$477,MATCH($E1262,Section_Master!$A$2:$A$477,0))&amp;"","")</f>
        <v>No</v>
      </c>
      <c r="H1262" s="10" t="str">
        <f aca="false">IFERROR(INDEX(Section_Master!$F$2:$F$477,MATCH($E1262,Section_Master!$A$2:$A$477,0))&amp;"","")</f>
        <v>Yes</v>
      </c>
      <c r="I1262" s="10" t="str">
        <f aca="false">IFERROR(INDEX(Section_Master!$G$2:$G$477,MATCH($E1262,Section_Master!$A$2:$A$477,0))&amp;"","")</f>
        <v>No</v>
      </c>
      <c r="J1262" s="10" t="s">
        <v>48</v>
      </c>
      <c r="K1262" s="8" t="s">
        <v>2993</v>
      </c>
    </row>
    <row r="1263" customFormat="false" ht="45.75" hidden="false" customHeight="true" outlineLevel="0" collapsed="false">
      <c r="A1263" s="10" t="s">
        <v>2994</v>
      </c>
      <c r="B1263" s="10" t="s">
        <v>45</v>
      </c>
      <c r="C1263" s="8" t="s">
        <v>2991</v>
      </c>
      <c r="D1263" s="8" t="s">
        <v>2995</v>
      </c>
      <c r="E1263" s="11" t="n">
        <v>211</v>
      </c>
      <c r="F1263" s="8" t="str">
        <f aca="false">IFERROR(INDEX(Section_Master!$D$2:$D$477,MATCH($E1263,Section_Master!$A$2:$A$477,0))&amp;"","")</f>
        <v>Simple imprisonment up to 1 month, or fine, or both; up to 6 months, or fine, or both in graver cases [s.211]</v>
      </c>
      <c r="G1263" s="10" t="str">
        <f aca="false">IFERROR(INDEX(Section_Master!$E$2:$E$477,MATCH($E1263,Section_Master!$A$2:$A$477,0))&amp;"","")</f>
        <v>No</v>
      </c>
      <c r="H1263" s="10" t="str">
        <f aca="false">IFERROR(INDEX(Section_Master!$F$2:$F$477,MATCH($E1263,Section_Master!$A$2:$A$477,0))&amp;"","")</f>
        <v>Yes</v>
      </c>
      <c r="I1263" s="10" t="str">
        <f aca="false">IFERROR(INDEX(Section_Master!$G$2:$G$477,MATCH($E1263,Section_Master!$A$2:$A$477,0))&amp;"","")</f>
        <v>No</v>
      </c>
      <c r="J1263" s="10" t="s">
        <v>52</v>
      </c>
      <c r="K1263" s="8" t="s">
        <v>2993</v>
      </c>
    </row>
    <row r="1264" customFormat="false" ht="34.5" hidden="false" customHeight="true" outlineLevel="0" collapsed="false">
      <c r="A1264" s="10" t="s">
        <v>2996</v>
      </c>
      <c r="B1264" s="10" t="s">
        <v>45</v>
      </c>
      <c r="C1264" s="8" t="s">
        <v>2991</v>
      </c>
      <c r="D1264" s="8" t="s">
        <v>2997</v>
      </c>
      <c r="E1264" s="11" t="n">
        <v>211</v>
      </c>
      <c r="F1264" s="8" t="str">
        <f aca="false">IFERROR(INDEX(Section_Master!$D$2:$D$477,MATCH($E1264,Section_Master!$A$2:$A$477,0))&amp;"","")</f>
        <v>Simple imprisonment up to 1 month, or fine, or both; up to 6 months, or fine, or both in graver cases [s.211]</v>
      </c>
      <c r="G1264" s="10" t="str">
        <f aca="false">IFERROR(INDEX(Section_Master!$E$2:$E$477,MATCH($E1264,Section_Master!$A$2:$A$477,0))&amp;"","")</f>
        <v>No</v>
      </c>
      <c r="H1264" s="10" t="str">
        <f aca="false">IFERROR(INDEX(Section_Master!$F$2:$F$477,MATCH($E1264,Section_Master!$A$2:$A$477,0))&amp;"","")</f>
        <v>Yes</v>
      </c>
      <c r="I1264" s="10" t="str">
        <f aca="false">IFERROR(INDEX(Section_Master!$G$2:$G$477,MATCH($E1264,Section_Master!$A$2:$A$477,0))&amp;"","")</f>
        <v>No</v>
      </c>
      <c r="J1264" s="10" t="s">
        <v>55</v>
      </c>
      <c r="K1264" s="8" t="s">
        <v>2993</v>
      </c>
    </row>
    <row r="1265" customFormat="false" ht="34.5" hidden="false" customHeight="true" outlineLevel="0" collapsed="false">
      <c r="A1265" s="10" t="s">
        <v>2998</v>
      </c>
      <c r="B1265" s="10" t="s">
        <v>45</v>
      </c>
      <c r="C1265" s="8" t="s">
        <v>2991</v>
      </c>
      <c r="D1265" s="8" t="s">
        <v>2999</v>
      </c>
      <c r="E1265" s="11" t="n">
        <v>211</v>
      </c>
      <c r="F1265" s="8" t="str">
        <f aca="false">IFERROR(INDEX(Section_Master!$D$2:$D$477,MATCH($E1265,Section_Master!$A$2:$A$477,0))&amp;"","")</f>
        <v>Simple imprisonment up to 1 month, or fine, or both; up to 6 months, or fine, or both in graver cases [s.211]</v>
      </c>
      <c r="G1265" s="10" t="str">
        <f aca="false">IFERROR(INDEX(Section_Master!$E$2:$E$477,MATCH($E1265,Section_Master!$A$2:$A$477,0))&amp;"","")</f>
        <v>No</v>
      </c>
      <c r="H1265" s="10" t="str">
        <f aca="false">IFERROR(INDEX(Section_Master!$F$2:$F$477,MATCH($E1265,Section_Master!$A$2:$A$477,0))&amp;"","")</f>
        <v>Yes</v>
      </c>
      <c r="I1265" s="10" t="str">
        <f aca="false">IFERROR(INDEX(Section_Master!$G$2:$G$477,MATCH($E1265,Section_Master!$A$2:$A$477,0))&amp;"","")</f>
        <v>No</v>
      </c>
      <c r="J1265" s="10" t="s">
        <v>58</v>
      </c>
      <c r="K1265" s="8" t="s">
        <v>2993</v>
      </c>
    </row>
    <row r="1266" customFormat="false" ht="34.5" hidden="false" customHeight="true" outlineLevel="0" collapsed="false">
      <c r="A1266" s="10" t="s">
        <v>3000</v>
      </c>
      <c r="B1266" s="10" t="s">
        <v>45</v>
      </c>
      <c r="C1266" s="8" t="s">
        <v>2991</v>
      </c>
      <c r="D1266" s="8" t="s">
        <v>3001</v>
      </c>
      <c r="E1266" s="11" t="n">
        <v>211</v>
      </c>
      <c r="F1266" s="8" t="str">
        <f aca="false">IFERROR(INDEX(Section_Master!$D$2:$D$477,MATCH($E1266,Section_Master!$A$2:$A$477,0))&amp;"","")</f>
        <v>Simple imprisonment up to 1 month, or fine, or both; up to 6 months, or fine, or both in graver cases [s.211]</v>
      </c>
      <c r="G1266" s="10" t="str">
        <f aca="false">IFERROR(INDEX(Section_Master!$E$2:$E$477,MATCH($E1266,Section_Master!$A$2:$A$477,0))&amp;"","")</f>
        <v>No</v>
      </c>
      <c r="H1266" s="10" t="str">
        <f aca="false">IFERROR(INDEX(Section_Master!$F$2:$F$477,MATCH($E1266,Section_Master!$A$2:$A$477,0))&amp;"","")</f>
        <v>Yes</v>
      </c>
      <c r="I1266" s="10" t="str">
        <f aca="false">IFERROR(INDEX(Section_Master!$G$2:$G$477,MATCH($E1266,Section_Master!$A$2:$A$477,0))&amp;"","")</f>
        <v>No</v>
      </c>
      <c r="J1266" s="10" t="s">
        <v>61</v>
      </c>
      <c r="K1266" s="8" t="s">
        <v>2993</v>
      </c>
    </row>
    <row r="1267" customFormat="false" ht="34.5" hidden="false" customHeight="true" outlineLevel="0" collapsed="false">
      <c r="A1267" s="10" t="s">
        <v>3002</v>
      </c>
      <c r="B1267" s="10" t="s">
        <v>45</v>
      </c>
      <c r="C1267" s="8" t="s">
        <v>2991</v>
      </c>
      <c r="D1267" s="8" t="s">
        <v>3003</v>
      </c>
      <c r="E1267" s="11" t="n">
        <v>211</v>
      </c>
      <c r="F1267" s="8" t="str">
        <f aca="false">IFERROR(INDEX(Section_Master!$D$2:$D$477,MATCH($E1267,Section_Master!$A$2:$A$477,0))&amp;"","")</f>
        <v>Simple imprisonment up to 1 month, or fine, or both; up to 6 months, or fine, or both in graver cases [s.211]</v>
      </c>
      <c r="G1267" s="10" t="str">
        <f aca="false">IFERROR(INDEX(Section_Master!$E$2:$E$477,MATCH($E1267,Section_Master!$A$2:$A$477,0))&amp;"","")</f>
        <v>No</v>
      </c>
      <c r="H1267" s="10" t="str">
        <f aca="false">IFERROR(INDEX(Section_Master!$F$2:$F$477,MATCH($E1267,Section_Master!$A$2:$A$477,0))&amp;"","")</f>
        <v>Yes</v>
      </c>
      <c r="I1267" s="10" t="str">
        <f aca="false">IFERROR(INDEX(Section_Master!$G$2:$G$477,MATCH($E1267,Section_Master!$A$2:$A$477,0))&amp;"","")</f>
        <v>No</v>
      </c>
      <c r="J1267" s="10" t="s">
        <v>64</v>
      </c>
      <c r="K1267" s="8" t="s">
        <v>2993</v>
      </c>
    </row>
    <row r="1268" customFormat="false" ht="34.5" hidden="false" customHeight="true" outlineLevel="0" collapsed="false">
      <c r="A1268" s="10" t="s">
        <v>3004</v>
      </c>
      <c r="B1268" s="10" t="s">
        <v>45</v>
      </c>
      <c r="C1268" s="8" t="s">
        <v>3005</v>
      </c>
      <c r="D1268" s="8" t="s">
        <v>3006</v>
      </c>
      <c r="E1268" s="11" t="n">
        <v>212</v>
      </c>
      <c r="F1268" s="8" t="str">
        <f aca="false">IFERROR(INDEX(Section_Master!$D$2:$D$477,MATCH($E1268,Section_Master!$A$2:$A$477,0))&amp;"","")</f>
        <v>Simple imprisonment up to 6 months, or fine, or both; up to 2 years, or fine, or both if information relates to an offence [s.212]</v>
      </c>
      <c r="G1268" s="10" t="str">
        <f aca="false">IFERROR(INDEX(Section_Master!$E$2:$E$477,MATCH($E1268,Section_Master!$A$2:$A$477,0))&amp;"","")</f>
        <v>No</v>
      </c>
      <c r="H1268" s="10" t="str">
        <f aca="false">IFERROR(INDEX(Section_Master!$F$2:$F$477,MATCH($E1268,Section_Master!$A$2:$A$477,0))&amp;"","")</f>
        <v>Yes</v>
      </c>
      <c r="I1268" s="10" t="str">
        <f aca="false">IFERROR(INDEX(Section_Master!$G$2:$G$477,MATCH($E1268,Section_Master!$A$2:$A$477,0))&amp;"","")</f>
        <v>No</v>
      </c>
      <c r="J1268" s="10" t="s">
        <v>48</v>
      </c>
      <c r="K1268" s="8" t="s">
        <v>3007</v>
      </c>
    </row>
    <row r="1269" customFormat="false" ht="45.75" hidden="false" customHeight="true" outlineLevel="0" collapsed="false">
      <c r="A1269" s="10" t="s">
        <v>3008</v>
      </c>
      <c r="B1269" s="10" t="s">
        <v>45</v>
      </c>
      <c r="C1269" s="8" t="s">
        <v>3005</v>
      </c>
      <c r="D1269" s="8" t="s">
        <v>3009</v>
      </c>
      <c r="E1269" s="11" t="n">
        <v>212</v>
      </c>
      <c r="F1269" s="8" t="str">
        <f aca="false">IFERROR(INDEX(Section_Master!$D$2:$D$477,MATCH($E1269,Section_Master!$A$2:$A$477,0))&amp;"","")</f>
        <v>Simple imprisonment up to 6 months, or fine, or both; up to 2 years, or fine, or both if information relates to an offence [s.212]</v>
      </c>
      <c r="G1269" s="10" t="str">
        <f aca="false">IFERROR(INDEX(Section_Master!$E$2:$E$477,MATCH($E1269,Section_Master!$A$2:$A$477,0))&amp;"","")</f>
        <v>No</v>
      </c>
      <c r="H1269" s="10" t="str">
        <f aca="false">IFERROR(INDEX(Section_Master!$F$2:$F$477,MATCH($E1269,Section_Master!$A$2:$A$477,0))&amp;"","")</f>
        <v>Yes</v>
      </c>
      <c r="I1269" s="10" t="str">
        <f aca="false">IFERROR(INDEX(Section_Master!$G$2:$G$477,MATCH($E1269,Section_Master!$A$2:$A$477,0))&amp;"","")</f>
        <v>No</v>
      </c>
      <c r="J1269" s="10" t="s">
        <v>52</v>
      </c>
      <c r="K1269" s="8" t="s">
        <v>3007</v>
      </c>
    </row>
    <row r="1270" customFormat="false" ht="34.5" hidden="false" customHeight="true" outlineLevel="0" collapsed="false">
      <c r="A1270" s="10" t="s">
        <v>3010</v>
      </c>
      <c r="B1270" s="10" t="s">
        <v>45</v>
      </c>
      <c r="C1270" s="8" t="s">
        <v>3005</v>
      </c>
      <c r="D1270" s="8" t="s">
        <v>3011</v>
      </c>
      <c r="E1270" s="11" t="n">
        <v>212</v>
      </c>
      <c r="F1270" s="8" t="str">
        <f aca="false">IFERROR(INDEX(Section_Master!$D$2:$D$477,MATCH($E1270,Section_Master!$A$2:$A$477,0))&amp;"","")</f>
        <v>Simple imprisonment up to 6 months, or fine, or both; up to 2 years, or fine, or both if information relates to an offence [s.212]</v>
      </c>
      <c r="G1270" s="10" t="str">
        <f aca="false">IFERROR(INDEX(Section_Master!$E$2:$E$477,MATCH($E1270,Section_Master!$A$2:$A$477,0))&amp;"","")</f>
        <v>No</v>
      </c>
      <c r="H1270" s="10" t="str">
        <f aca="false">IFERROR(INDEX(Section_Master!$F$2:$F$477,MATCH($E1270,Section_Master!$A$2:$A$477,0))&amp;"","")</f>
        <v>Yes</v>
      </c>
      <c r="I1270" s="10" t="str">
        <f aca="false">IFERROR(INDEX(Section_Master!$G$2:$G$477,MATCH($E1270,Section_Master!$A$2:$A$477,0))&amp;"","")</f>
        <v>No</v>
      </c>
      <c r="J1270" s="10" t="s">
        <v>55</v>
      </c>
      <c r="K1270" s="8" t="s">
        <v>3007</v>
      </c>
    </row>
    <row r="1271" customFormat="false" ht="34.5" hidden="false" customHeight="true" outlineLevel="0" collapsed="false">
      <c r="A1271" s="10" t="s">
        <v>3012</v>
      </c>
      <c r="B1271" s="10" t="s">
        <v>45</v>
      </c>
      <c r="C1271" s="8" t="s">
        <v>3005</v>
      </c>
      <c r="D1271" s="8" t="s">
        <v>3013</v>
      </c>
      <c r="E1271" s="11" t="n">
        <v>212</v>
      </c>
      <c r="F1271" s="8" t="str">
        <f aca="false">IFERROR(INDEX(Section_Master!$D$2:$D$477,MATCH($E1271,Section_Master!$A$2:$A$477,0))&amp;"","")</f>
        <v>Simple imprisonment up to 6 months, or fine, or both; up to 2 years, or fine, or both if information relates to an offence [s.212]</v>
      </c>
      <c r="G1271" s="10" t="str">
        <f aca="false">IFERROR(INDEX(Section_Master!$E$2:$E$477,MATCH($E1271,Section_Master!$A$2:$A$477,0))&amp;"","")</f>
        <v>No</v>
      </c>
      <c r="H1271" s="10" t="str">
        <f aca="false">IFERROR(INDEX(Section_Master!$F$2:$F$477,MATCH($E1271,Section_Master!$A$2:$A$477,0))&amp;"","")</f>
        <v>Yes</v>
      </c>
      <c r="I1271" s="10" t="str">
        <f aca="false">IFERROR(INDEX(Section_Master!$G$2:$G$477,MATCH($E1271,Section_Master!$A$2:$A$477,0))&amp;"","")</f>
        <v>No</v>
      </c>
      <c r="J1271" s="10" t="s">
        <v>58</v>
      </c>
      <c r="K1271" s="8" t="s">
        <v>3007</v>
      </c>
    </row>
    <row r="1272" customFormat="false" ht="34.5" hidden="false" customHeight="true" outlineLevel="0" collapsed="false">
      <c r="A1272" s="10" t="s">
        <v>3014</v>
      </c>
      <c r="B1272" s="10" t="s">
        <v>45</v>
      </c>
      <c r="C1272" s="8" t="s">
        <v>3005</v>
      </c>
      <c r="D1272" s="8" t="s">
        <v>3015</v>
      </c>
      <c r="E1272" s="11" t="n">
        <v>212</v>
      </c>
      <c r="F1272" s="8" t="str">
        <f aca="false">IFERROR(INDEX(Section_Master!$D$2:$D$477,MATCH($E1272,Section_Master!$A$2:$A$477,0))&amp;"","")</f>
        <v>Simple imprisonment up to 6 months, or fine, or both; up to 2 years, or fine, or both if information relates to an offence [s.212]</v>
      </c>
      <c r="G1272" s="10" t="str">
        <f aca="false">IFERROR(INDEX(Section_Master!$E$2:$E$477,MATCH($E1272,Section_Master!$A$2:$A$477,0))&amp;"","")</f>
        <v>No</v>
      </c>
      <c r="H1272" s="10" t="str">
        <f aca="false">IFERROR(INDEX(Section_Master!$F$2:$F$477,MATCH($E1272,Section_Master!$A$2:$A$477,0))&amp;"","")</f>
        <v>Yes</v>
      </c>
      <c r="I1272" s="10" t="str">
        <f aca="false">IFERROR(INDEX(Section_Master!$G$2:$G$477,MATCH($E1272,Section_Master!$A$2:$A$477,0))&amp;"","")</f>
        <v>No</v>
      </c>
      <c r="J1272" s="10" t="s">
        <v>61</v>
      </c>
      <c r="K1272" s="8" t="s">
        <v>3007</v>
      </c>
    </row>
    <row r="1273" customFormat="false" ht="34.5" hidden="false" customHeight="true" outlineLevel="0" collapsed="false">
      <c r="A1273" s="10" t="s">
        <v>3016</v>
      </c>
      <c r="B1273" s="10" t="s">
        <v>45</v>
      </c>
      <c r="C1273" s="8" t="s">
        <v>3005</v>
      </c>
      <c r="D1273" s="8" t="s">
        <v>3017</v>
      </c>
      <c r="E1273" s="11" t="n">
        <v>212</v>
      </c>
      <c r="F1273" s="8" t="str">
        <f aca="false">IFERROR(INDEX(Section_Master!$D$2:$D$477,MATCH($E1273,Section_Master!$A$2:$A$477,0))&amp;"","")</f>
        <v>Simple imprisonment up to 6 months, or fine, or both; up to 2 years, or fine, or both if information relates to an offence [s.212]</v>
      </c>
      <c r="G1273" s="10" t="str">
        <f aca="false">IFERROR(INDEX(Section_Master!$E$2:$E$477,MATCH($E1273,Section_Master!$A$2:$A$477,0))&amp;"","")</f>
        <v>No</v>
      </c>
      <c r="H1273" s="10" t="str">
        <f aca="false">IFERROR(INDEX(Section_Master!$F$2:$F$477,MATCH($E1273,Section_Master!$A$2:$A$477,0))&amp;"","")</f>
        <v>Yes</v>
      </c>
      <c r="I1273" s="10" t="str">
        <f aca="false">IFERROR(INDEX(Section_Master!$G$2:$G$477,MATCH($E1273,Section_Master!$A$2:$A$477,0))&amp;"","")</f>
        <v>No</v>
      </c>
      <c r="J1273" s="10" t="s">
        <v>64</v>
      </c>
      <c r="K1273" s="8" t="s">
        <v>3007</v>
      </c>
    </row>
    <row r="1274" customFormat="false" ht="34.5" hidden="false" customHeight="true" outlineLevel="0" collapsed="false">
      <c r="A1274" s="10" t="s">
        <v>3018</v>
      </c>
      <c r="B1274" s="10" t="s">
        <v>45</v>
      </c>
      <c r="C1274" s="8" t="s">
        <v>3019</v>
      </c>
      <c r="D1274" s="8" t="s">
        <v>3020</v>
      </c>
      <c r="E1274" s="11" t="n">
        <v>213</v>
      </c>
      <c r="F1274" s="8" t="str">
        <f aca="false">IFERROR(INDEX(Section_Master!$D$2:$D$477,MATCH($E1274,Section_Master!$A$2:$A$477,0))&amp;"","")</f>
        <v>Simple imprisonment up to 6 months, or fine, or both</v>
      </c>
      <c r="G1274" s="10" t="str">
        <f aca="false">IFERROR(INDEX(Section_Master!$E$2:$E$477,MATCH($E1274,Section_Master!$A$2:$A$477,0))&amp;"","")</f>
        <v>No</v>
      </c>
      <c r="H1274" s="10" t="str">
        <f aca="false">IFERROR(INDEX(Section_Master!$F$2:$F$477,MATCH($E1274,Section_Master!$A$2:$A$477,0))&amp;"","")</f>
        <v>Yes</v>
      </c>
      <c r="I1274" s="10" t="str">
        <f aca="false">IFERROR(INDEX(Section_Master!$G$2:$G$477,MATCH($E1274,Section_Master!$A$2:$A$477,0))&amp;"","")</f>
        <v>No</v>
      </c>
      <c r="J1274" s="10" t="s">
        <v>48</v>
      </c>
      <c r="K1274" s="8" t="s">
        <v>3021</v>
      </c>
    </row>
    <row r="1275" customFormat="false" ht="34.5" hidden="false" customHeight="true" outlineLevel="0" collapsed="false">
      <c r="A1275" s="10" t="s">
        <v>3022</v>
      </c>
      <c r="B1275" s="10" t="s">
        <v>45</v>
      </c>
      <c r="C1275" s="8" t="s">
        <v>3019</v>
      </c>
      <c r="D1275" s="8" t="s">
        <v>3023</v>
      </c>
      <c r="E1275" s="11" t="n">
        <v>213</v>
      </c>
      <c r="F1275" s="8" t="str">
        <f aca="false">IFERROR(INDEX(Section_Master!$D$2:$D$477,MATCH($E1275,Section_Master!$A$2:$A$477,0))&amp;"","")</f>
        <v>Simple imprisonment up to 6 months, or fine, or both</v>
      </c>
      <c r="G1275" s="10" t="str">
        <f aca="false">IFERROR(INDEX(Section_Master!$E$2:$E$477,MATCH($E1275,Section_Master!$A$2:$A$477,0))&amp;"","")</f>
        <v>No</v>
      </c>
      <c r="H1275" s="10" t="str">
        <f aca="false">IFERROR(INDEX(Section_Master!$F$2:$F$477,MATCH($E1275,Section_Master!$A$2:$A$477,0))&amp;"","")</f>
        <v>Yes</v>
      </c>
      <c r="I1275" s="10" t="str">
        <f aca="false">IFERROR(INDEX(Section_Master!$G$2:$G$477,MATCH($E1275,Section_Master!$A$2:$A$477,0))&amp;"","")</f>
        <v>No</v>
      </c>
      <c r="J1275" s="10" t="s">
        <v>52</v>
      </c>
      <c r="K1275" s="8" t="s">
        <v>3021</v>
      </c>
    </row>
    <row r="1276" customFormat="false" ht="34.5" hidden="false" customHeight="true" outlineLevel="0" collapsed="false">
      <c r="A1276" s="10" t="s">
        <v>3024</v>
      </c>
      <c r="B1276" s="10" t="s">
        <v>45</v>
      </c>
      <c r="C1276" s="8" t="s">
        <v>3019</v>
      </c>
      <c r="D1276" s="8" t="s">
        <v>3025</v>
      </c>
      <c r="E1276" s="11" t="n">
        <v>213</v>
      </c>
      <c r="F1276" s="8" t="str">
        <f aca="false">IFERROR(INDEX(Section_Master!$D$2:$D$477,MATCH($E1276,Section_Master!$A$2:$A$477,0))&amp;"","")</f>
        <v>Simple imprisonment up to 6 months, or fine, or both</v>
      </c>
      <c r="G1276" s="10" t="str">
        <f aca="false">IFERROR(INDEX(Section_Master!$E$2:$E$477,MATCH($E1276,Section_Master!$A$2:$A$477,0))&amp;"","")</f>
        <v>No</v>
      </c>
      <c r="H1276" s="10" t="str">
        <f aca="false">IFERROR(INDEX(Section_Master!$F$2:$F$477,MATCH($E1276,Section_Master!$A$2:$A$477,0))&amp;"","")</f>
        <v>Yes</v>
      </c>
      <c r="I1276" s="10" t="str">
        <f aca="false">IFERROR(INDEX(Section_Master!$G$2:$G$477,MATCH($E1276,Section_Master!$A$2:$A$477,0))&amp;"","")</f>
        <v>No</v>
      </c>
      <c r="J1276" s="10" t="s">
        <v>55</v>
      </c>
      <c r="K1276" s="8" t="s">
        <v>3021</v>
      </c>
    </row>
    <row r="1277" customFormat="false" ht="23.25" hidden="false" customHeight="true" outlineLevel="0" collapsed="false">
      <c r="A1277" s="10" t="s">
        <v>3026</v>
      </c>
      <c r="B1277" s="10" t="s">
        <v>45</v>
      </c>
      <c r="C1277" s="8" t="s">
        <v>3019</v>
      </c>
      <c r="D1277" s="8" t="s">
        <v>3027</v>
      </c>
      <c r="E1277" s="11" t="n">
        <v>213</v>
      </c>
      <c r="F1277" s="8" t="str">
        <f aca="false">IFERROR(INDEX(Section_Master!$D$2:$D$477,MATCH($E1277,Section_Master!$A$2:$A$477,0))&amp;"","")</f>
        <v>Simple imprisonment up to 6 months, or fine, or both</v>
      </c>
      <c r="G1277" s="10" t="str">
        <f aca="false">IFERROR(INDEX(Section_Master!$E$2:$E$477,MATCH($E1277,Section_Master!$A$2:$A$477,0))&amp;"","")</f>
        <v>No</v>
      </c>
      <c r="H1277" s="10" t="str">
        <f aca="false">IFERROR(INDEX(Section_Master!$F$2:$F$477,MATCH($E1277,Section_Master!$A$2:$A$477,0))&amp;"","")</f>
        <v>Yes</v>
      </c>
      <c r="I1277" s="10" t="str">
        <f aca="false">IFERROR(INDEX(Section_Master!$G$2:$G$477,MATCH($E1277,Section_Master!$A$2:$A$477,0))&amp;"","")</f>
        <v>No</v>
      </c>
      <c r="J1277" s="10" t="s">
        <v>58</v>
      </c>
      <c r="K1277" s="8" t="s">
        <v>3021</v>
      </c>
    </row>
    <row r="1278" customFormat="false" ht="23.25" hidden="false" customHeight="true" outlineLevel="0" collapsed="false">
      <c r="A1278" s="10" t="s">
        <v>3028</v>
      </c>
      <c r="B1278" s="10" t="s">
        <v>45</v>
      </c>
      <c r="C1278" s="8" t="s">
        <v>3019</v>
      </c>
      <c r="D1278" s="8" t="s">
        <v>3029</v>
      </c>
      <c r="E1278" s="11" t="n">
        <v>213</v>
      </c>
      <c r="F1278" s="8" t="str">
        <f aca="false">IFERROR(INDEX(Section_Master!$D$2:$D$477,MATCH($E1278,Section_Master!$A$2:$A$477,0))&amp;"","")</f>
        <v>Simple imprisonment up to 6 months, or fine, or both</v>
      </c>
      <c r="G1278" s="10" t="str">
        <f aca="false">IFERROR(INDEX(Section_Master!$E$2:$E$477,MATCH($E1278,Section_Master!$A$2:$A$477,0))&amp;"","")</f>
        <v>No</v>
      </c>
      <c r="H1278" s="10" t="str">
        <f aca="false">IFERROR(INDEX(Section_Master!$F$2:$F$477,MATCH($E1278,Section_Master!$A$2:$A$477,0))&amp;"","")</f>
        <v>Yes</v>
      </c>
      <c r="I1278" s="10" t="str">
        <f aca="false">IFERROR(INDEX(Section_Master!$G$2:$G$477,MATCH($E1278,Section_Master!$A$2:$A$477,0))&amp;"","")</f>
        <v>No</v>
      </c>
      <c r="J1278" s="10" t="s">
        <v>61</v>
      </c>
      <c r="K1278" s="8" t="s">
        <v>3021</v>
      </c>
    </row>
    <row r="1279" customFormat="false" ht="34.5" hidden="false" customHeight="true" outlineLevel="0" collapsed="false">
      <c r="A1279" s="10" t="s">
        <v>3030</v>
      </c>
      <c r="B1279" s="10" t="s">
        <v>45</v>
      </c>
      <c r="C1279" s="8" t="s">
        <v>3019</v>
      </c>
      <c r="D1279" s="8" t="s">
        <v>3031</v>
      </c>
      <c r="E1279" s="11" t="n">
        <v>213</v>
      </c>
      <c r="F1279" s="8" t="str">
        <f aca="false">IFERROR(INDEX(Section_Master!$D$2:$D$477,MATCH($E1279,Section_Master!$A$2:$A$477,0))&amp;"","")</f>
        <v>Simple imprisonment up to 6 months, or fine, or both</v>
      </c>
      <c r="G1279" s="10" t="str">
        <f aca="false">IFERROR(INDEX(Section_Master!$E$2:$E$477,MATCH($E1279,Section_Master!$A$2:$A$477,0))&amp;"","")</f>
        <v>No</v>
      </c>
      <c r="H1279" s="10" t="str">
        <f aca="false">IFERROR(INDEX(Section_Master!$F$2:$F$477,MATCH($E1279,Section_Master!$A$2:$A$477,0))&amp;"","")</f>
        <v>Yes</v>
      </c>
      <c r="I1279" s="10" t="str">
        <f aca="false">IFERROR(INDEX(Section_Master!$G$2:$G$477,MATCH($E1279,Section_Master!$A$2:$A$477,0))&amp;"","")</f>
        <v>No</v>
      </c>
      <c r="J1279" s="10" t="s">
        <v>64</v>
      </c>
      <c r="K1279" s="8" t="s">
        <v>3021</v>
      </c>
    </row>
    <row r="1280" customFormat="false" ht="34.5" hidden="false" customHeight="true" outlineLevel="0" collapsed="false">
      <c r="A1280" s="10" t="s">
        <v>3032</v>
      </c>
      <c r="B1280" s="10" t="s">
        <v>45</v>
      </c>
      <c r="C1280" s="8" t="s">
        <v>3033</v>
      </c>
      <c r="D1280" s="8" t="s">
        <v>3034</v>
      </c>
      <c r="E1280" s="11" t="n">
        <v>214</v>
      </c>
      <c r="F1280" s="8" t="str">
        <f aca="false">IFERROR(INDEX(Section_Master!$D$2:$D$477,MATCH($E1280,Section_Master!$A$2:$A$477,0))&amp;"","")</f>
        <v>Simple imprisonment up to 6 months, or fine, or both</v>
      </c>
      <c r="G1280" s="10" t="str">
        <f aca="false">IFERROR(INDEX(Section_Master!$E$2:$E$477,MATCH($E1280,Section_Master!$A$2:$A$477,0))&amp;"","")</f>
        <v>No</v>
      </c>
      <c r="H1280" s="10" t="str">
        <f aca="false">IFERROR(INDEX(Section_Master!$F$2:$F$477,MATCH($E1280,Section_Master!$A$2:$A$477,0))&amp;"","")</f>
        <v>Yes</v>
      </c>
      <c r="I1280" s="10" t="str">
        <f aca="false">IFERROR(INDEX(Section_Master!$G$2:$G$477,MATCH($E1280,Section_Master!$A$2:$A$477,0))&amp;"","")</f>
        <v>No</v>
      </c>
      <c r="J1280" s="10" t="s">
        <v>48</v>
      </c>
      <c r="K1280" s="8" t="s">
        <v>3035</v>
      </c>
    </row>
    <row r="1281" customFormat="false" ht="34.5" hidden="false" customHeight="true" outlineLevel="0" collapsed="false">
      <c r="A1281" s="10" t="s">
        <v>3036</v>
      </c>
      <c r="B1281" s="10" t="s">
        <v>45</v>
      </c>
      <c r="C1281" s="8" t="s">
        <v>3033</v>
      </c>
      <c r="D1281" s="8" t="s">
        <v>3037</v>
      </c>
      <c r="E1281" s="11" t="n">
        <v>214</v>
      </c>
      <c r="F1281" s="8" t="str">
        <f aca="false">IFERROR(INDEX(Section_Master!$D$2:$D$477,MATCH($E1281,Section_Master!$A$2:$A$477,0))&amp;"","")</f>
        <v>Simple imprisonment up to 6 months, or fine, or both</v>
      </c>
      <c r="G1281" s="10" t="str">
        <f aca="false">IFERROR(INDEX(Section_Master!$E$2:$E$477,MATCH($E1281,Section_Master!$A$2:$A$477,0))&amp;"","")</f>
        <v>No</v>
      </c>
      <c r="H1281" s="10" t="str">
        <f aca="false">IFERROR(INDEX(Section_Master!$F$2:$F$477,MATCH($E1281,Section_Master!$A$2:$A$477,0))&amp;"","")</f>
        <v>Yes</v>
      </c>
      <c r="I1281" s="10" t="str">
        <f aca="false">IFERROR(INDEX(Section_Master!$G$2:$G$477,MATCH($E1281,Section_Master!$A$2:$A$477,0))&amp;"","")</f>
        <v>No</v>
      </c>
      <c r="J1281" s="10" t="s">
        <v>52</v>
      </c>
      <c r="K1281" s="8" t="s">
        <v>3035</v>
      </c>
    </row>
    <row r="1282" customFormat="false" ht="34.5" hidden="false" customHeight="true" outlineLevel="0" collapsed="false">
      <c r="A1282" s="10" t="s">
        <v>3038</v>
      </c>
      <c r="B1282" s="10" t="s">
        <v>45</v>
      </c>
      <c r="C1282" s="8" t="s">
        <v>3033</v>
      </c>
      <c r="D1282" s="8" t="s">
        <v>3039</v>
      </c>
      <c r="E1282" s="11" t="n">
        <v>214</v>
      </c>
      <c r="F1282" s="8" t="str">
        <f aca="false">IFERROR(INDEX(Section_Master!$D$2:$D$477,MATCH($E1282,Section_Master!$A$2:$A$477,0))&amp;"","")</f>
        <v>Simple imprisonment up to 6 months, or fine, or both</v>
      </c>
      <c r="G1282" s="10" t="str">
        <f aca="false">IFERROR(INDEX(Section_Master!$E$2:$E$477,MATCH($E1282,Section_Master!$A$2:$A$477,0))&amp;"","")</f>
        <v>No</v>
      </c>
      <c r="H1282" s="10" t="str">
        <f aca="false">IFERROR(INDEX(Section_Master!$F$2:$F$477,MATCH($E1282,Section_Master!$A$2:$A$477,0))&amp;"","")</f>
        <v>Yes</v>
      </c>
      <c r="I1282" s="10" t="str">
        <f aca="false">IFERROR(INDEX(Section_Master!$G$2:$G$477,MATCH($E1282,Section_Master!$A$2:$A$477,0))&amp;"","")</f>
        <v>No</v>
      </c>
      <c r="J1282" s="10" t="s">
        <v>55</v>
      </c>
      <c r="K1282" s="8" t="s">
        <v>3035</v>
      </c>
    </row>
    <row r="1283" customFormat="false" ht="23.25" hidden="false" customHeight="true" outlineLevel="0" collapsed="false">
      <c r="A1283" s="10" t="s">
        <v>3040</v>
      </c>
      <c r="B1283" s="10" t="s">
        <v>45</v>
      </c>
      <c r="C1283" s="8" t="s">
        <v>3033</v>
      </c>
      <c r="D1283" s="8" t="s">
        <v>3041</v>
      </c>
      <c r="E1283" s="11" t="n">
        <v>214</v>
      </c>
      <c r="F1283" s="8" t="str">
        <f aca="false">IFERROR(INDEX(Section_Master!$D$2:$D$477,MATCH($E1283,Section_Master!$A$2:$A$477,0))&amp;"","")</f>
        <v>Simple imprisonment up to 6 months, or fine, or both</v>
      </c>
      <c r="G1283" s="10" t="str">
        <f aca="false">IFERROR(INDEX(Section_Master!$E$2:$E$477,MATCH($E1283,Section_Master!$A$2:$A$477,0))&amp;"","")</f>
        <v>No</v>
      </c>
      <c r="H1283" s="10" t="str">
        <f aca="false">IFERROR(INDEX(Section_Master!$F$2:$F$477,MATCH($E1283,Section_Master!$A$2:$A$477,0))&amp;"","")</f>
        <v>Yes</v>
      </c>
      <c r="I1283" s="10" t="str">
        <f aca="false">IFERROR(INDEX(Section_Master!$G$2:$G$477,MATCH($E1283,Section_Master!$A$2:$A$477,0))&amp;"","")</f>
        <v>No</v>
      </c>
      <c r="J1283" s="10" t="s">
        <v>58</v>
      </c>
      <c r="K1283" s="8" t="s">
        <v>3035</v>
      </c>
    </row>
    <row r="1284" customFormat="false" ht="34.5" hidden="false" customHeight="true" outlineLevel="0" collapsed="false">
      <c r="A1284" s="10" t="s">
        <v>3042</v>
      </c>
      <c r="B1284" s="10" t="s">
        <v>45</v>
      </c>
      <c r="C1284" s="8" t="s">
        <v>3033</v>
      </c>
      <c r="D1284" s="8" t="s">
        <v>3043</v>
      </c>
      <c r="E1284" s="11" t="n">
        <v>214</v>
      </c>
      <c r="F1284" s="8" t="str">
        <f aca="false">IFERROR(INDEX(Section_Master!$D$2:$D$477,MATCH($E1284,Section_Master!$A$2:$A$477,0))&amp;"","")</f>
        <v>Simple imprisonment up to 6 months, or fine, or both</v>
      </c>
      <c r="G1284" s="10" t="str">
        <f aca="false">IFERROR(INDEX(Section_Master!$E$2:$E$477,MATCH($E1284,Section_Master!$A$2:$A$477,0))&amp;"","")</f>
        <v>No</v>
      </c>
      <c r="H1284" s="10" t="str">
        <f aca="false">IFERROR(INDEX(Section_Master!$F$2:$F$477,MATCH($E1284,Section_Master!$A$2:$A$477,0))&amp;"","")</f>
        <v>Yes</v>
      </c>
      <c r="I1284" s="10" t="str">
        <f aca="false">IFERROR(INDEX(Section_Master!$G$2:$G$477,MATCH($E1284,Section_Master!$A$2:$A$477,0))&amp;"","")</f>
        <v>No</v>
      </c>
      <c r="J1284" s="10" t="s">
        <v>61</v>
      </c>
      <c r="K1284" s="8" t="s">
        <v>3035</v>
      </c>
    </row>
    <row r="1285" customFormat="false" ht="34.5" hidden="false" customHeight="true" outlineLevel="0" collapsed="false">
      <c r="A1285" s="10" t="s">
        <v>3044</v>
      </c>
      <c r="B1285" s="10" t="s">
        <v>45</v>
      </c>
      <c r="C1285" s="8" t="s">
        <v>3033</v>
      </c>
      <c r="D1285" s="8" t="s">
        <v>3045</v>
      </c>
      <c r="E1285" s="11" t="n">
        <v>214</v>
      </c>
      <c r="F1285" s="8" t="str">
        <f aca="false">IFERROR(INDEX(Section_Master!$D$2:$D$477,MATCH($E1285,Section_Master!$A$2:$A$477,0))&amp;"","")</f>
        <v>Simple imprisonment up to 6 months, or fine, or both</v>
      </c>
      <c r="G1285" s="10" t="str">
        <f aca="false">IFERROR(INDEX(Section_Master!$E$2:$E$477,MATCH($E1285,Section_Master!$A$2:$A$477,0))&amp;"","")</f>
        <v>No</v>
      </c>
      <c r="H1285" s="10" t="str">
        <f aca="false">IFERROR(INDEX(Section_Master!$F$2:$F$477,MATCH($E1285,Section_Master!$A$2:$A$477,0))&amp;"","")</f>
        <v>Yes</v>
      </c>
      <c r="I1285" s="10" t="str">
        <f aca="false">IFERROR(INDEX(Section_Master!$G$2:$G$477,MATCH($E1285,Section_Master!$A$2:$A$477,0))&amp;"","")</f>
        <v>No</v>
      </c>
      <c r="J1285" s="10" t="s">
        <v>64</v>
      </c>
      <c r="K1285" s="8" t="s">
        <v>3035</v>
      </c>
    </row>
    <row r="1286" customFormat="false" ht="34.5" hidden="false" customHeight="true" outlineLevel="0" collapsed="false">
      <c r="A1286" s="10" t="s">
        <v>3046</v>
      </c>
      <c r="B1286" s="10" t="s">
        <v>45</v>
      </c>
      <c r="C1286" s="8" t="s">
        <v>3047</v>
      </c>
      <c r="D1286" s="8" t="s">
        <v>3048</v>
      </c>
      <c r="E1286" s="11" t="n">
        <v>215</v>
      </c>
      <c r="F1286" s="8" t="str">
        <f aca="false">IFERROR(INDEX(Section_Master!$D$2:$D$477,MATCH($E1286,Section_Master!$A$2:$A$477,0))&amp;"","")</f>
        <v>Simple imprisonment up to 3 months, or fine, or both</v>
      </c>
      <c r="G1286" s="10" t="str">
        <f aca="false">IFERROR(INDEX(Section_Master!$E$2:$E$477,MATCH($E1286,Section_Master!$A$2:$A$477,0))&amp;"","")</f>
        <v>No</v>
      </c>
      <c r="H1286" s="10" t="str">
        <f aca="false">IFERROR(INDEX(Section_Master!$F$2:$F$477,MATCH($E1286,Section_Master!$A$2:$A$477,0))&amp;"","")</f>
        <v>Yes</v>
      </c>
      <c r="I1286" s="10" t="str">
        <f aca="false">IFERROR(INDEX(Section_Master!$G$2:$G$477,MATCH($E1286,Section_Master!$A$2:$A$477,0))&amp;"","")</f>
        <v>No</v>
      </c>
      <c r="J1286" s="10" t="s">
        <v>48</v>
      </c>
      <c r="K1286" s="8" t="s">
        <v>3049</v>
      </c>
    </row>
    <row r="1287" customFormat="false" ht="34.5" hidden="false" customHeight="true" outlineLevel="0" collapsed="false">
      <c r="A1287" s="10" t="s">
        <v>3050</v>
      </c>
      <c r="B1287" s="10" t="s">
        <v>45</v>
      </c>
      <c r="C1287" s="8" t="s">
        <v>3047</v>
      </c>
      <c r="D1287" s="8" t="s">
        <v>3051</v>
      </c>
      <c r="E1287" s="11" t="n">
        <v>215</v>
      </c>
      <c r="F1287" s="8" t="str">
        <f aca="false">IFERROR(INDEX(Section_Master!$D$2:$D$477,MATCH($E1287,Section_Master!$A$2:$A$477,0))&amp;"","")</f>
        <v>Simple imprisonment up to 3 months, or fine, or both</v>
      </c>
      <c r="G1287" s="10" t="str">
        <f aca="false">IFERROR(INDEX(Section_Master!$E$2:$E$477,MATCH($E1287,Section_Master!$A$2:$A$477,0))&amp;"","")</f>
        <v>No</v>
      </c>
      <c r="H1287" s="10" t="str">
        <f aca="false">IFERROR(INDEX(Section_Master!$F$2:$F$477,MATCH($E1287,Section_Master!$A$2:$A$477,0))&amp;"","")</f>
        <v>Yes</v>
      </c>
      <c r="I1287" s="10" t="str">
        <f aca="false">IFERROR(INDEX(Section_Master!$G$2:$G$477,MATCH($E1287,Section_Master!$A$2:$A$477,0))&amp;"","")</f>
        <v>No</v>
      </c>
      <c r="J1287" s="10" t="s">
        <v>52</v>
      </c>
      <c r="K1287" s="8" t="s">
        <v>3049</v>
      </c>
    </row>
    <row r="1288" customFormat="false" ht="34.5" hidden="false" customHeight="true" outlineLevel="0" collapsed="false">
      <c r="A1288" s="10" t="s">
        <v>3052</v>
      </c>
      <c r="B1288" s="10" t="s">
        <v>45</v>
      </c>
      <c r="C1288" s="8" t="s">
        <v>3047</v>
      </c>
      <c r="D1288" s="8" t="s">
        <v>3053</v>
      </c>
      <c r="E1288" s="11" t="n">
        <v>215</v>
      </c>
      <c r="F1288" s="8" t="str">
        <f aca="false">IFERROR(INDEX(Section_Master!$D$2:$D$477,MATCH($E1288,Section_Master!$A$2:$A$477,0))&amp;"","")</f>
        <v>Simple imprisonment up to 3 months, or fine, or both</v>
      </c>
      <c r="G1288" s="10" t="str">
        <f aca="false">IFERROR(INDEX(Section_Master!$E$2:$E$477,MATCH($E1288,Section_Master!$A$2:$A$477,0))&amp;"","")</f>
        <v>No</v>
      </c>
      <c r="H1288" s="10" t="str">
        <f aca="false">IFERROR(INDEX(Section_Master!$F$2:$F$477,MATCH($E1288,Section_Master!$A$2:$A$477,0))&amp;"","")</f>
        <v>Yes</v>
      </c>
      <c r="I1288" s="10" t="str">
        <f aca="false">IFERROR(INDEX(Section_Master!$G$2:$G$477,MATCH($E1288,Section_Master!$A$2:$A$477,0))&amp;"","")</f>
        <v>No</v>
      </c>
      <c r="J1288" s="10" t="s">
        <v>55</v>
      </c>
      <c r="K1288" s="8" t="s">
        <v>3049</v>
      </c>
    </row>
    <row r="1289" customFormat="false" ht="34.5" hidden="false" customHeight="true" outlineLevel="0" collapsed="false">
      <c r="A1289" s="10" t="s">
        <v>3054</v>
      </c>
      <c r="B1289" s="10" t="s">
        <v>45</v>
      </c>
      <c r="C1289" s="8" t="s">
        <v>3047</v>
      </c>
      <c r="D1289" s="8" t="s">
        <v>3055</v>
      </c>
      <c r="E1289" s="11" t="n">
        <v>215</v>
      </c>
      <c r="F1289" s="8" t="str">
        <f aca="false">IFERROR(INDEX(Section_Master!$D$2:$D$477,MATCH($E1289,Section_Master!$A$2:$A$477,0))&amp;"","")</f>
        <v>Simple imprisonment up to 3 months, or fine, or both</v>
      </c>
      <c r="G1289" s="10" t="str">
        <f aca="false">IFERROR(INDEX(Section_Master!$E$2:$E$477,MATCH($E1289,Section_Master!$A$2:$A$477,0))&amp;"","")</f>
        <v>No</v>
      </c>
      <c r="H1289" s="10" t="str">
        <f aca="false">IFERROR(INDEX(Section_Master!$F$2:$F$477,MATCH($E1289,Section_Master!$A$2:$A$477,0))&amp;"","")</f>
        <v>Yes</v>
      </c>
      <c r="I1289" s="10" t="str">
        <f aca="false">IFERROR(INDEX(Section_Master!$G$2:$G$477,MATCH($E1289,Section_Master!$A$2:$A$477,0))&amp;"","")</f>
        <v>No</v>
      </c>
      <c r="J1289" s="10" t="s">
        <v>58</v>
      </c>
      <c r="K1289" s="8" t="s">
        <v>3049</v>
      </c>
    </row>
    <row r="1290" customFormat="false" ht="23.25" hidden="false" customHeight="true" outlineLevel="0" collapsed="false">
      <c r="A1290" s="10" t="s">
        <v>3056</v>
      </c>
      <c r="B1290" s="10" t="s">
        <v>45</v>
      </c>
      <c r="C1290" s="8" t="s">
        <v>3047</v>
      </c>
      <c r="D1290" s="8" t="s">
        <v>3057</v>
      </c>
      <c r="E1290" s="11" t="n">
        <v>215</v>
      </c>
      <c r="F1290" s="8" t="str">
        <f aca="false">IFERROR(INDEX(Section_Master!$D$2:$D$477,MATCH($E1290,Section_Master!$A$2:$A$477,0))&amp;"","")</f>
        <v>Simple imprisonment up to 3 months, or fine, or both</v>
      </c>
      <c r="G1290" s="10" t="str">
        <f aca="false">IFERROR(INDEX(Section_Master!$E$2:$E$477,MATCH($E1290,Section_Master!$A$2:$A$477,0))&amp;"","")</f>
        <v>No</v>
      </c>
      <c r="H1290" s="10" t="str">
        <f aca="false">IFERROR(INDEX(Section_Master!$F$2:$F$477,MATCH($E1290,Section_Master!$A$2:$A$477,0))&amp;"","")</f>
        <v>Yes</v>
      </c>
      <c r="I1290" s="10" t="str">
        <f aca="false">IFERROR(INDEX(Section_Master!$G$2:$G$477,MATCH($E1290,Section_Master!$A$2:$A$477,0))&amp;"","")</f>
        <v>No</v>
      </c>
      <c r="J1290" s="10" t="s">
        <v>61</v>
      </c>
      <c r="K1290" s="8" t="s">
        <v>3049</v>
      </c>
    </row>
    <row r="1291" customFormat="false" ht="34.5" hidden="false" customHeight="true" outlineLevel="0" collapsed="false">
      <c r="A1291" s="10" t="s">
        <v>3058</v>
      </c>
      <c r="B1291" s="10" t="s">
        <v>45</v>
      </c>
      <c r="C1291" s="8" t="s">
        <v>3047</v>
      </c>
      <c r="D1291" s="8" t="s">
        <v>3059</v>
      </c>
      <c r="E1291" s="11" t="n">
        <v>215</v>
      </c>
      <c r="F1291" s="8" t="str">
        <f aca="false">IFERROR(INDEX(Section_Master!$D$2:$D$477,MATCH($E1291,Section_Master!$A$2:$A$477,0))&amp;"","")</f>
        <v>Simple imprisonment up to 3 months, or fine, or both</v>
      </c>
      <c r="G1291" s="10" t="str">
        <f aca="false">IFERROR(INDEX(Section_Master!$E$2:$E$477,MATCH($E1291,Section_Master!$A$2:$A$477,0))&amp;"","")</f>
        <v>No</v>
      </c>
      <c r="H1291" s="10" t="str">
        <f aca="false">IFERROR(INDEX(Section_Master!$F$2:$F$477,MATCH($E1291,Section_Master!$A$2:$A$477,0))&amp;"","")</f>
        <v>Yes</v>
      </c>
      <c r="I1291" s="10" t="str">
        <f aca="false">IFERROR(INDEX(Section_Master!$G$2:$G$477,MATCH($E1291,Section_Master!$A$2:$A$477,0))&amp;"","")</f>
        <v>No</v>
      </c>
      <c r="J1291" s="10" t="s">
        <v>64</v>
      </c>
      <c r="K1291" s="8" t="s">
        <v>3049</v>
      </c>
    </row>
    <row r="1292" customFormat="false" ht="34.5" hidden="false" customHeight="true" outlineLevel="0" collapsed="false">
      <c r="A1292" s="10" t="s">
        <v>3060</v>
      </c>
      <c r="B1292" s="10" t="s">
        <v>45</v>
      </c>
      <c r="C1292" s="8" t="s">
        <v>3061</v>
      </c>
      <c r="D1292" s="8" t="s">
        <v>3062</v>
      </c>
      <c r="E1292" s="11" t="n">
        <v>216</v>
      </c>
      <c r="F1292" s="8" t="str">
        <f aca="false">IFERROR(INDEX(Section_Master!$D$2:$D$477,MATCH($E1292,Section_Master!$A$2:$A$477,0))&amp;"","")</f>
        <v>Imprisonment up to 3 years and fine</v>
      </c>
      <c r="G1292" s="10" t="str">
        <f aca="false">IFERROR(INDEX(Section_Master!$E$2:$E$477,MATCH($E1292,Section_Master!$A$2:$A$477,0))&amp;"","")</f>
        <v>No</v>
      </c>
      <c r="H1292" s="10" t="str">
        <f aca="false">IFERROR(INDEX(Section_Master!$F$2:$F$477,MATCH($E1292,Section_Master!$A$2:$A$477,0))&amp;"","")</f>
        <v>Yes</v>
      </c>
      <c r="I1292" s="10" t="str">
        <f aca="false">IFERROR(INDEX(Section_Master!$G$2:$G$477,MATCH($E1292,Section_Master!$A$2:$A$477,0))&amp;"","")</f>
        <v>No</v>
      </c>
      <c r="J1292" s="10" t="s">
        <v>48</v>
      </c>
      <c r="K1292" s="8" t="s">
        <v>3063</v>
      </c>
    </row>
    <row r="1293" customFormat="false" ht="34.5" hidden="false" customHeight="true" outlineLevel="0" collapsed="false">
      <c r="A1293" s="10" t="s">
        <v>3064</v>
      </c>
      <c r="B1293" s="10" t="s">
        <v>45</v>
      </c>
      <c r="C1293" s="8" t="s">
        <v>3061</v>
      </c>
      <c r="D1293" s="8" t="s">
        <v>3065</v>
      </c>
      <c r="E1293" s="11" t="n">
        <v>216</v>
      </c>
      <c r="F1293" s="8" t="str">
        <f aca="false">IFERROR(INDEX(Section_Master!$D$2:$D$477,MATCH($E1293,Section_Master!$A$2:$A$477,0))&amp;"","")</f>
        <v>Imprisonment up to 3 years and fine</v>
      </c>
      <c r="G1293" s="10" t="str">
        <f aca="false">IFERROR(INDEX(Section_Master!$E$2:$E$477,MATCH($E1293,Section_Master!$A$2:$A$477,0))&amp;"","")</f>
        <v>No</v>
      </c>
      <c r="H1293" s="10" t="str">
        <f aca="false">IFERROR(INDEX(Section_Master!$F$2:$F$477,MATCH($E1293,Section_Master!$A$2:$A$477,0))&amp;"","")</f>
        <v>Yes</v>
      </c>
      <c r="I1293" s="10" t="str">
        <f aca="false">IFERROR(INDEX(Section_Master!$G$2:$G$477,MATCH($E1293,Section_Master!$A$2:$A$477,0))&amp;"","")</f>
        <v>No</v>
      </c>
      <c r="J1293" s="10" t="s">
        <v>52</v>
      </c>
      <c r="K1293" s="8" t="s">
        <v>3063</v>
      </c>
    </row>
    <row r="1294" customFormat="false" ht="34.5" hidden="false" customHeight="true" outlineLevel="0" collapsed="false">
      <c r="A1294" s="10" t="s">
        <v>3066</v>
      </c>
      <c r="B1294" s="10" t="s">
        <v>45</v>
      </c>
      <c r="C1294" s="8" t="s">
        <v>3061</v>
      </c>
      <c r="D1294" s="8" t="s">
        <v>3067</v>
      </c>
      <c r="E1294" s="11" t="n">
        <v>216</v>
      </c>
      <c r="F1294" s="8" t="str">
        <f aca="false">IFERROR(INDEX(Section_Master!$D$2:$D$477,MATCH($E1294,Section_Master!$A$2:$A$477,0))&amp;"","")</f>
        <v>Imprisonment up to 3 years and fine</v>
      </c>
      <c r="G1294" s="10" t="str">
        <f aca="false">IFERROR(INDEX(Section_Master!$E$2:$E$477,MATCH($E1294,Section_Master!$A$2:$A$477,0))&amp;"","")</f>
        <v>No</v>
      </c>
      <c r="H1294" s="10" t="str">
        <f aca="false">IFERROR(INDEX(Section_Master!$F$2:$F$477,MATCH($E1294,Section_Master!$A$2:$A$477,0))&amp;"","")</f>
        <v>Yes</v>
      </c>
      <c r="I1294" s="10" t="str">
        <f aca="false">IFERROR(INDEX(Section_Master!$G$2:$G$477,MATCH($E1294,Section_Master!$A$2:$A$477,0))&amp;"","")</f>
        <v>No</v>
      </c>
      <c r="J1294" s="10" t="s">
        <v>55</v>
      </c>
      <c r="K1294" s="8" t="s">
        <v>3063</v>
      </c>
    </row>
    <row r="1295" customFormat="false" ht="34.5" hidden="false" customHeight="true" outlineLevel="0" collapsed="false">
      <c r="A1295" s="10" t="s">
        <v>3068</v>
      </c>
      <c r="B1295" s="10" t="s">
        <v>45</v>
      </c>
      <c r="C1295" s="8" t="s">
        <v>3061</v>
      </c>
      <c r="D1295" s="8" t="s">
        <v>3069</v>
      </c>
      <c r="E1295" s="11" t="n">
        <v>216</v>
      </c>
      <c r="F1295" s="8" t="str">
        <f aca="false">IFERROR(INDEX(Section_Master!$D$2:$D$477,MATCH($E1295,Section_Master!$A$2:$A$477,0))&amp;"","")</f>
        <v>Imprisonment up to 3 years and fine</v>
      </c>
      <c r="G1295" s="10" t="str">
        <f aca="false">IFERROR(INDEX(Section_Master!$E$2:$E$477,MATCH($E1295,Section_Master!$A$2:$A$477,0))&amp;"","")</f>
        <v>No</v>
      </c>
      <c r="H1295" s="10" t="str">
        <f aca="false">IFERROR(INDEX(Section_Master!$F$2:$F$477,MATCH($E1295,Section_Master!$A$2:$A$477,0))&amp;"","")</f>
        <v>Yes</v>
      </c>
      <c r="I1295" s="10" t="str">
        <f aca="false">IFERROR(INDEX(Section_Master!$G$2:$G$477,MATCH($E1295,Section_Master!$A$2:$A$477,0))&amp;"","")</f>
        <v>No</v>
      </c>
      <c r="J1295" s="10" t="s">
        <v>58</v>
      </c>
      <c r="K1295" s="8" t="s">
        <v>3063</v>
      </c>
    </row>
    <row r="1296" customFormat="false" ht="34.5" hidden="false" customHeight="true" outlineLevel="0" collapsed="false">
      <c r="A1296" s="10" t="s">
        <v>3070</v>
      </c>
      <c r="B1296" s="10" t="s">
        <v>45</v>
      </c>
      <c r="C1296" s="8" t="s">
        <v>3061</v>
      </c>
      <c r="D1296" s="8" t="s">
        <v>3071</v>
      </c>
      <c r="E1296" s="11" t="n">
        <v>216</v>
      </c>
      <c r="F1296" s="8" t="str">
        <f aca="false">IFERROR(INDEX(Section_Master!$D$2:$D$477,MATCH($E1296,Section_Master!$A$2:$A$477,0))&amp;"","")</f>
        <v>Imprisonment up to 3 years and fine</v>
      </c>
      <c r="G1296" s="10" t="str">
        <f aca="false">IFERROR(INDEX(Section_Master!$E$2:$E$477,MATCH($E1296,Section_Master!$A$2:$A$477,0))&amp;"","")</f>
        <v>No</v>
      </c>
      <c r="H1296" s="10" t="str">
        <f aca="false">IFERROR(INDEX(Section_Master!$F$2:$F$477,MATCH($E1296,Section_Master!$A$2:$A$477,0))&amp;"","")</f>
        <v>Yes</v>
      </c>
      <c r="I1296" s="10" t="str">
        <f aca="false">IFERROR(INDEX(Section_Master!$G$2:$G$477,MATCH($E1296,Section_Master!$A$2:$A$477,0))&amp;"","")</f>
        <v>No</v>
      </c>
      <c r="J1296" s="10" t="s">
        <v>61</v>
      </c>
      <c r="K1296" s="8" t="s">
        <v>3063</v>
      </c>
    </row>
    <row r="1297" customFormat="false" ht="34.5" hidden="false" customHeight="true" outlineLevel="0" collapsed="false">
      <c r="A1297" s="10" t="s">
        <v>3072</v>
      </c>
      <c r="B1297" s="10" t="s">
        <v>45</v>
      </c>
      <c r="C1297" s="8" t="s">
        <v>3061</v>
      </c>
      <c r="D1297" s="8" t="s">
        <v>3073</v>
      </c>
      <c r="E1297" s="11" t="n">
        <v>216</v>
      </c>
      <c r="F1297" s="8" t="str">
        <f aca="false">IFERROR(INDEX(Section_Master!$D$2:$D$477,MATCH($E1297,Section_Master!$A$2:$A$477,0))&amp;"","")</f>
        <v>Imprisonment up to 3 years and fine</v>
      </c>
      <c r="G1297" s="10" t="str">
        <f aca="false">IFERROR(INDEX(Section_Master!$E$2:$E$477,MATCH($E1297,Section_Master!$A$2:$A$477,0))&amp;"","")</f>
        <v>No</v>
      </c>
      <c r="H1297" s="10" t="str">
        <f aca="false">IFERROR(INDEX(Section_Master!$F$2:$F$477,MATCH($E1297,Section_Master!$A$2:$A$477,0))&amp;"","")</f>
        <v>Yes</v>
      </c>
      <c r="I1297" s="10" t="str">
        <f aca="false">IFERROR(INDEX(Section_Master!$G$2:$G$477,MATCH($E1297,Section_Master!$A$2:$A$477,0))&amp;"","")</f>
        <v>No</v>
      </c>
      <c r="J1297" s="10" t="s">
        <v>64</v>
      </c>
      <c r="K1297" s="8" t="s">
        <v>3063</v>
      </c>
    </row>
    <row r="1298" customFormat="false" ht="34.5" hidden="false" customHeight="true" outlineLevel="0" collapsed="false">
      <c r="A1298" s="10" t="s">
        <v>3074</v>
      </c>
      <c r="B1298" s="10" t="s">
        <v>45</v>
      </c>
      <c r="C1298" s="8" t="s">
        <v>3075</v>
      </c>
      <c r="D1298" s="8" t="s">
        <v>3076</v>
      </c>
      <c r="E1298" s="11" t="n">
        <v>217</v>
      </c>
      <c r="F1298" s="8" t="str">
        <f aca="false">IFERROR(INDEX(Section_Master!$D$2:$D$477,MATCH($E1298,Section_Master!$A$2:$A$477,0))&amp;"","")</f>
        <v>Imprisonment up to 6 months, or fine, or both</v>
      </c>
      <c r="G1298" s="10" t="str">
        <f aca="false">IFERROR(INDEX(Section_Master!$E$2:$E$477,MATCH($E1298,Section_Master!$A$2:$A$477,0))&amp;"","")</f>
        <v>No</v>
      </c>
      <c r="H1298" s="10" t="str">
        <f aca="false">IFERROR(INDEX(Section_Master!$F$2:$F$477,MATCH($E1298,Section_Master!$A$2:$A$477,0))&amp;"","")</f>
        <v>Yes</v>
      </c>
      <c r="I1298" s="10" t="str">
        <f aca="false">IFERROR(INDEX(Section_Master!$G$2:$G$477,MATCH($E1298,Section_Master!$A$2:$A$477,0))&amp;"","")</f>
        <v>No</v>
      </c>
      <c r="J1298" s="10" t="s">
        <v>48</v>
      </c>
      <c r="K1298" s="8" t="s">
        <v>3077</v>
      </c>
    </row>
    <row r="1299" customFormat="false" ht="34.5" hidden="false" customHeight="true" outlineLevel="0" collapsed="false">
      <c r="A1299" s="10" t="s">
        <v>3078</v>
      </c>
      <c r="B1299" s="10" t="s">
        <v>45</v>
      </c>
      <c r="C1299" s="8" t="s">
        <v>3075</v>
      </c>
      <c r="D1299" s="8" t="s">
        <v>3079</v>
      </c>
      <c r="E1299" s="11" t="n">
        <v>217</v>
      </c>
      <c r="F1299" s="8" t="str">
        <f aca="false">IFERROR(INDEX(Section_Master!$D$2:$D$477,MATCH($E1299,Section_Master!$A$2:$A$477,0))&amp;"","")</f>
        <v>Imprisonment up to 6 months, or fine, or both</v>
      </c>
      <c r="G1299" s="10" t="str">
        <f aca="false">IFERROR(INDEX(Section_Master!$E$2:$E$477,MATCH($E1299,Section_Master!$A$2:$A$477,0))&amp;"","")</f>
        <v>No</v>
      </c>
      <c r="H1299" s="10" t="str">
        <f aca="false">IFERROR(INDEX(Section_Master!$F$2:$F$477,MATCH($E1299,Section_Master!$A$2:$A$477,0))&amp;"","")</f>
        <v>Yes</v>
      </c>
      <c r="I1299" s="10" t="str">
        <f aca="false">IFERROR(INDEX(Section_Master!$G$2:$G$477,MATCH($E1299,Section_Master!$A$2:$A$477,0))&amp;"","")</f>
        <v>No</v>
      </c>
      <c r="J1299" s="10" t="s">
        <v>52</v>
      </c>
      <c r="K1299" s="8" t="s">
        <v>3077</v>
      </c>
    </row>
    <row r="1300" customFormat="false" ht="34.5" hidden="false" customHeight="true" outlineLevel="0" collapsed="false">
      <c r="A1300" s="10" t="s">
        <v>3080</v>
      </c>
      <c r="B1300" s="10" t="s">
        <v>45</v>
      </c>
      <c r="C1300" s="8" t="s">
        <v>3075</v>
      </c>
      <c r="D1300" s="8" t="s">
        <v>3081</v>
      </c>
      <c r="E1300" s="11" t="n">
        <v>217</v>
      </c>
      <c r="F1300" s="8" t="str">
        <f aca="false">IFERROR(INDEX(Section_Master!$D$2:$D$477,MATCH($E1300,Section_Master!$A$2:$A$477,0))&amp;"","")</f>
        <v>Imprisonment up to 6 months, or fine, or both</v>
      </c>
      <c r="G1300" s="10" t="str">
        <f aca="false">IFERROR(INDEX(Section_Master!$E$2:$E$477,MATCH($E1300,Section_Master!$A$2:$A$477,0))&amp;"","")</f>
        <v>No</v>
      </c>
      <c r="H1300" s="10" t="str">
        <f aca="false">IFERROR(INDEX(Section_Master!$F$2:$F$477,MATCH($E1300,Section_Master!$A$2:$A$477,0))&amp;"","")</f>
        <v>Yes</v>
      </c>
      <c r="I1300" s="10" t="str">
        <f aca="false">IFERROR(INDEX(Section_Master!$G$2:$G$477,MATCH($E1300,Section_Master!$A$2:$A$477,0))&amp;"","")</f>
        <v>No</v>
      </c>
      <c r="J1300" s="10" t="s">
        <v>55</v>
      </c>
      <c r="K1300" s="8" t="s">
        <v>3077</v>
      </c>
    </row>
    <row r="1301" customFormat="false" ht="34.5" hidden="false" customHeight="true" outlineLevel="0" collapsed="false">
      <c r="A1301" s="10" t="s">
        <v>3082</v>
      </c>
      <c r="B1301" s="10" t="s">
        <v>45</v>
      </c>
      <c r="C1301" s="8" t="s">
        <v>3075</v>
      </c>
      <c r="D1301" s="8" t="s">
        <v>3083</v>
      </c>
      <c r="E1301" s="11" t="n">
        <v>217</v>
      </c>
      <c r="F1301" s="8" t="str">
        <f aca="false">IFERROR(INDEX(Section_Master!$D$2:$D$477,MATCH($E1301,Section_Master!$A$2:$A$477,0))&amp;"","")</f>
        <v>Imprisonment up to 6 months, or fine, or both</v>
      </c>
      <c r="G1301" s="10" t="str">
        <f aca="false">IFERROR(INDEX(Section_Master!$E$2:$E$477,MATCH($E1301,Section_Master!$A$2:$A$477,0))&amp;"","")</f>
        <v>No</v>
      </c>
      <c r="H1301" s="10" t="str">
        <f aca="false">IFERROR(INDEX(Section_Master!$F$2:$F$477,MATCH($E1301,Section_Master!$A$2:$A$477,0))&amp;"","")</f>
        <v>Yes</v>
      </c>
      <c r="I1301" s="10" t="str">
        <f aca="false">IFERROR(INDEX(Section_Master!$G$2:$G$477,MATCH($E1301,Section_Master!$A$2:$A$477,0))&amp;"","")</f>
        <v>No</v>
      </c>
      <c r="J1301" s="10" t="s">
        <v>58</v>
      </c>
      <c r="K1301" s="8" t="s">
        <v>3077</v>
      </c>
    </row>
    <row r="1302" customFormat="false" ht="34.5" hidden="false" customHeight="true" outlineLevel="0" collapsed="false">
      <c r="A1302" s="10" t="s">
        <v>3084</v>
      </c>
      <c r="B1302" s="10" t="s">
        <v>45</v>
      </c>
      <c r="C1302" s="8" t="s">
        <v>3075</v>
      </c>
      <c r="D1302" s="8" t="s">
        <v>3085</v>
      </c>
      <c r="E1302" s="11" t="n">
        <v>217</v>
      </c>
      <c r="F1302" s="8" t="str">
        <f aca="false">IFERROR(INDEX(Section_Master!$D$2:$D$477,MATCH($E1302,Section_Master!$A$2:$A$477,0))&amp;"","")</f>
        <v>Imprisonment up to 6 months, or fine, or both</v>
      </c>
      <c r="G1302" s="10" t="str">
        <f aca="false">IFERROR(INDEX(Section_Master!$E$2:$E$477,MATCH($E1302,Section_Master!$A$2:$A$477,0))&amp;"","")</f>
        <v>No</v>
      </c>
      <c r="H1302" s="10" t="str">
        <f aca="false">IFERROR(INDEX(Section_Master!$F$2:$F$477,MATCH($E1302,Section_Master!$A$2:$A$477,0))&amp;"","")</f>
        <v>Yes</v>
      </c>
      <c r="I1302" s="10" t="str">
        <f aca="false">IFERROR(INDEX(Section_Master!$G$2:$G$477,MATCH($E1302,Section_Master!$A$2:$A$477,0))&amp;"","")</f>
        <v>No</v>
      </c>
      <c r="J1302" s="10" t="s">
        <v>61</v>
      </c>
      <c r="K1302" s="8" t="s">
        <v>3077</v>
      </c>
    </row>
    <row r="1303" customFormat="false" ht="34.5" hidden="false" customHeight="true" outlineLevel="0" collapsed="false">
      <c r="A1303" s="10" t="s">
        <v>3086</v>
      </c>
      <c r="B1303" s="10" t="s">
        <v>45</v>
      </c>
      <c r="C1303" s="8" t="s">
        <v>3075</v>
      </c>
      <c r="D1303" s="8" t="s">
        <v>3087</v>
      </c>
      <c r="E1303" s="11" t="n">
        <v>217</v>
      </c>
      <c r="F1303" s="8" t="str">
        <f aca="false">IFERROR(INDEX(Section_Master!$D$2:$D$477,MATCH($E1303,Section_Master!$A$2:$A$477,0))&amp;"","")</f>
        <v>Imprisonment up to 6 months, or fine, or both</v>
      </c>
      <c r="G1303" s="10" t="str">
        <f aca="false">IFERROR(INDEX(Section_Master!$E$2:$E$477,MATCH($E1303,Section_Master!$A$2:$A$477,0))&amp;"","")</f>
        <v>No</v>
      </c>
      <c r="H1303" s="10" t="str">
        <f aca="false">IFERROR(INDEX(Section_Master!$F$2:$F$477,MATCH($E1303,Section_Master!$A$2:$A$477,0))&amp;"","")</f>
        <v>Yes</v>
      </c>
      <c r="I1303" s="10" t="str">
        <f aca="false">IFERROR(INDEX(Section_Master!$G$2:$G$477,MATCH($E1303,Section_Master!$A$2:$A$477,0))&amp;"","")</f>
        <v>No</v>
      </c>
      <c r="J1303" s="10" t="s">
        <v>64</v>
      </c>
      <c r="K1303" s="8" t="s">
        <v>3077</v>
      </c>
    </row>
    <row r="1304" customFormat="false" ht="23.25" hidden="false" customHeight="true" outlineLevel="0" collapsed="false">
      <c r="A1304" s="10" t="s">
        <v>3088</v>
      </c>
      <c r="B1304" s="10" t="s">
        <v>45</v>
      </c>
      <c r="C1304" s="8" t="s">
        <v>3089</v>
      </c>
      <c r="D1304" s="8" t="s">
        <v>3090</v>
      </c>
      <c r="E1304" s="11" t="n">
        <v>218</v>
      </c>
      <c r="F1304" s="8" t="str">
        <f aca="false">IFERROR(INDEX(Section_Master!$D$2:$D$477,MATCH($E1304,Section_Master!$A$2:$A$477,0))&amp;"","")</f>
        <v>Imprisonment up to 6 months, or fine, or both</v>
      </c>
      <c r="G1304" s="10" t="str">
        <f aca="false">IFERROR(INDEX(Section_Master!$E$2:$E$477,MATCH($E1304,Section_Master!$A$2:$A$477,0))&amp;"","")</f>
        <v>No</v>
      </c>
      <c r="H1304" s="10" t="str">
        <f aca="false">IFERROR(INDEX(Section_Master!$F$2:$F$477,MATCH($E1304,Section_Master!$A$2:$A$477,0))&amp;"","")</f>
        <v>Yes</v>
      </c>
      <c r="I1304" s="10" t="str">
        <f aca="false">IFERROR(INDEX(Section_Master!$G$2:$G$477,MATCH($E1304,Section_Master!$A$2:$A$477,0))&amp;"","")</f>
        <v>No</v>
      </c>
      <c r="J1304" s="10" t="s">
        <v>48</v>
      </c>
      <c r="K1304" s="8" t="s">
        <v>3091</v>
      </c>
    </row>
    <row r="1305" customFormat="false" ht="34.5" hidden="false" customHeight="true" outlineLevel="0" collapsed="false">
      <c r="A1305" s="10" t="s">
        <v>3092</v>
      </c>
      <c r="B1305" s="10" t="s">
        <v>45</v>
      </c>
      <c r="C1305" s="8" t="s">
        <v>3089</v>
      </c>
      <c r="D1305" s="8" t="s">
        <v>3093</v>
      </c>
      <c r="E1305" s="11" t="n">
        <v>218</v>
      </c>
      <c r="F1305" s="8" t="str">
        <f aca="false">IFERROR(INDEX(Section_Master!$D$2:$D$477,MATCH($E1305,Section_Master!$A$2:$A$477,0))&amp;"","")</f>
        <v>Imprisonment up to 6 months, or fine, or both</v>
      </c>
      <c r="G1305" s="10" t="str">
        <f aca="false">IFERROR(INDEX(Section_Master!$E$2:$E$477,MATCH($E1305,Section_Master!$A$2:$A$477,0))&amp;"","")</f>
        <v>No</v>
      </c>
      <c r="H1305" s="10" t="str">
        <f aca="false">IFERROR(INDEX(Section_Master!$F$2:$F$477,MATCH($E1305,Section_Master!$A$2:$A$477,0))&amp;"","")</f>
        <v>Yes</v>
      </c>
      <c r="I1305" s="10" t="str">
        <f aca="false">IFERROR(INDEX(Section_Master!$G$2:$G$477,MATCH($E1305,Section_Master!$A$2:$A$477,0))&amp;"","")</f>
        <v>No</v>
      </c>
      <c r="J1305" s="10" t="s">
        <v>52</v>
      </c>
      <c r="K1305" s="8" t="s">
        <v>3091</v>
      </c>
    </row>
    <row r="1306" customFormat="false" ht="34.5" hidden="false" customHeight="true" outlineLevel="0" collapsed="false">
      <c r="A1306" s="10" t="s">
        <v>3094</v>
      </c>
      <c r="B1306" s="10" t="s">
        <v>45</v>
      </c>
      <c r="C1306" s="8" t="s">
        <v>3089</v>
      </c>
      <c r="D1306" s="8" t="s">
        <v>3095</v>
      </c>
      <c r="E1306" s="11" t="n">
        <v>218</v>
      </c>
      <c r="F1306" s="8" t="str">
        <f aca="false">IFERROR(INDEX(Section_Master!$D$2:$D$477,MATCH($E1306,Section_Master!$A$2:$A$477,0))&amp;"","")</f>
        <v>Imprisonment up to 6 months, or fine, or both</v>
      </c>
      <c r="G1306" s="10" t="str">
        <f aca="false">IFERROR(INDEX(Section_Master!$E$2:$E$477,MATCH($E1306,Section_Master!$A$2:$A$477,0))&amp;"","")</f>
        <v>No</v>
      </c>
      <c r="H1306" s="10" t="str">
        <f aca="false">IFERROR(INDEX(Section_Master!$F$2:$F$477,MATCH($E1306,Section_Master!$A$2:$A$477,0))&amp;"","")</f>
        <v>Yes</v>
      </c>
      <c r="I1306" s="10" t="str">
        <f aca="false">IFERROR(INDEX(Section_Master!$G$2:$G$477,MATCH($E1306,Section_Master!$A$2:$A$477,0))&amp;"","")</f>
        <v>No</v>
      </c>
      <c r="J1306" s="10" t="s">
        <v>55</v>
      </c>
      <c r="K1306" s="8" t="s">
        <v>3091</v>
      </c>
    </row>
    <row r="1307" customFormat="false" ht="23.25" hidden="false" customHeight="true" outlineLevel="0" collapsed="false">
      <c r="A1307" s="10" t="s">
        <v>3096</v>
      </c>
      <c r="B1307" s="10" t="s">
        <v>45</v>
      </c>
      <c r="C1307" s="8" t="s">
        <v>3089</v>
      </c>
      <c r="D1307" s="8" t="s">
        <v>3097</v>
      </c>
      <c r="E1307" s="11" t="n">
        <v>218</v>
      </c>
      <c r="F1307" s="8" t="str">
        <f aca="false">IFERROR(INDEX(Section_Master!$D$2:$D$477,MATCH($E1307,Section_Master!$A$2:$A$477,0))&amp;"","")</f>
        <v>Imprisonment up to 6 months, or fine, or both</v>
      </c>
      <c r="G1307" s="10" t="str">
        <f aca="false">IFERROR(INDEX(Section_Master!$E$2:$E$477,MATCH($E1307,Section_Master!$A$2:$A$477,0))&amp;"","")</f>
        <v>No</v>
      </c>
      <c r="H1307" s="10" t="str">
        <f aca="false">IFERROR(INDEX(Section_Master!$F$2:$F$477,MATCH($E1307,Section_Master!$A$2:$A$477,0))&amp;"","")</f>
        <v>Yes</v>
      </c>
      <c r="I1307" s="10" t="str">
        <f aca="false">IFERROR(INDEX(Section_Master!$G$2:$G$477,MATCH($E1307,Section_Master!$A$2:$A$477,0))&amp;"","")</f>
        <v>No</v>
      </c>
      <c r="J1307" s="10" t="s">
        <v>58</v>
      </c>
      <c r="K1307" s="8" t="s">
        <v>3091</v>
      </c>
    </row>
    <row r="1308" customFormat="false" ht="34.5" hidden="false" customHeight="true" outlineLevel="0" collapsed="false">
      <c r="A1308" s="10" t="s">
        <v>3098</v>
      </c>
      <c r="B1308" s="10" t="s">
        <v>45</v>
      </c>
      <c r="C1308" s="8" t="s">
        <v>3089</v>
      </c>
      <c r="D1308" s="8" t="s">
        <v>3099</v>
      </c>
      <c r="E1308" s="11" t="n">
        <v>218</v>
      </c>
      <c r="F1308" s="8" t="str">
        <f aca="false">IFERROR(INDEX(Section_Master!$D$2:$D$477,MATCH($E1308,Section_Master!$A$2:$A$477,0))&amp;"","")</f>
        <v>Imprisonment up to 6 months, or fine, or both</v>
      </c>
      <c r="G1308" s="10" t="str">
        <f aca="false">IFERROR(INDEX(Section_Master!$E$2:$E$477,MATCH($E1308,Section_Master!$A$2:$A$477,0))&amp;"","")</f>
        <v>No</v>
      </c>
      <c r="H1308" s="10" t="str">
        <f aca="false">IFERROR(INDEX(Section_Master!$F$2:$F$477,MATCH($E1308,Section_Master!$A$2:$A$477,0))&amp;"","")</f>
        <v>Yes</v>
      </c>
      <c r="I1308" s="10" t="str">
        <f aca="false">IFERROR(INDEX(Section_Master!$G$2:$G$477,MATCH($E1308,Section_Master!$A$2:$A$477,0))&amp;"","")</f>
        <v>No</v>
      </c>
      <c r="J1308" s="10" t="s">
        <v>61</v>
      </c>
      <c r="K1308" s="8" t="s">
        <v>3091</v>
      </c>
    </row>
    <row r="1309" customFormat="false" ht="34.5" hidden="false" customHeight="true" outlineLevel="0" collapsed="false">
      <c r="A1309" s="10" t="s">
        <v>3100</v>
      </c>
      <c r="B1309" s="10" t="s">
        <v>45</v>
      </c>
      <c r="C1309" s="8" t="s">
        <v>3089</v>
      </c>
      <c r="D1309" s="8" t="s">
        <v>3101</v>
      </c>
      <c r="E1309" s="11" t="n">
        <v>218</v>
      </c>
      <c r="F1309" s="8" t="str">
        <f aca="false">IFERROR(INDEX(Section_Master!$D$2:$D$477,MATCH($E1309,Section_Master!$A$2:$A$477,0))&amp;"","")</f>
        <v>Imprisonment up to 6 months, or fine, or both</v>
      </c>
      <c r="G1309" s="10" t="str">
        <f aca="false">IFERROR(INDEX(Section_Master!$E$2:$E$477,MATCH($E1309,Section_Master!$A$2:$A$477,0))&amp;"","")</f>
        <v>No</v>
      </c>
      <c r="H1309" s="10" t="str">
        <f aca="false">IFERROR(INDEX(Section_Master!$F$2:$F$477,MATCH($E1309,Section_Master!$A$2:$A$477,0))&amp;"","")</f>
        <v>Yes</v>
      </c>
      <c r="I1309" s="10" t="str">
        <f aca="false">IFERROR(INDEX(Section_Master!$G$2:$G$477,MATCH($E1309,Section_Master!$A$2:$A$477,0))&amp;"","")</f>
        <v>No</v>
      </c>
      <c r="J1309" s="10" t="s">
        <v>64</v>
      </c>
      <c r="K1309" s="8" t="s">
        <v>3091</v>
      </c>
    </row>
    <row r="1310" customFormat="false" ht="34.5" hidden="false" customHeight="true" outlineLevel="0" collapsed="false">
      <c r="A1310" s="10" t="s">
        <v>3102</v>
      </c>
      <c r="B1310" s="10" t="s">
        <v>45</v>
      </c>
      <c r="C1310" s="8" t="s">
        <v>3103</v>
      </c>
      <c r="D1310" s="8" t="s">
        <v>3104</v>
      </c>
      <c r="E1310" s="11" t="n">
        <v>219</v>
      </c>
      <c r="F1310" s="8" t="str">
        <f aca="false">IFERROR(INDEX(Section_Master!$D$2:$D$477,MATCH($E1310,Section_Master!$A$2:$A$477,0))&amp;"","")</f>
        <v>Imprisonment up to 1 month, or fine, or both</v>
      </c>
      <c r="G1310" s="10" t="str">
        <f aca="false">IFERROR(INDEX(Section_Master!$E$2:$E$477,MATCH($E1310,Section_Master!$A$2:$A$477,0))&amp;"","")</f>
        <v>No</v>
      </c>
      <c r="H1310" s="10" t="str">
        <f aca="false">IFERROR(INDEX(Section_Master!$F$2:$F$477,MATCH($E1310,Section_Master!$A$2:$A$477,0))&amp;"","")</f>
        <v>Yes</v>
      </c>
      <c r="I1310" s="10" t="str">
        <f aca="false">IFERROR(INDEX(Section_Master!$G$2:$G$477,MATCH($E1310,Section_Master!$A$2:$A$477,0))&amp;"","")</f>
        <v>No</v>
      </c>
      <c r="J1310" s="10" t="s">
        <v>48</v>
      </c>
      <c r="K1310" s="8" t="s">
        <v>3105</v>
      </c>
    </row>
    <row r="1311" customFormat="false" ht="34.5" hidden="false" customHeight="true" outlineLevel="0" collapsed="false">
      <c r="A1311" s="10" t="s">
        <v>3106</v>
      </c>
      <c r="B1311" s="10" t="s">
        <v>45</v>
      </c>
      <c r="C1311" s="8" t="s">
        <v>3103</v>
      </c>
      <c r="D1311" s="8" t="s">
        <v>3107</v>
      </c>
      <c r="E1311" s="11" t="n">
        <v>219</v>
      </c>
      <c r="F1311" s="8" t="str">
        <f aca="false">IFERROR(INDEX(Section_Master!$D$2:$D$477,MATCH($E1311,Section_Master!$A$2:$A$477,0))&amp;"","")</f>
        <v>Imprisonment up to 1 month, or fine, or both</v>
      </c>
      <c r="G1311" s="10" t="str">
        <f aca="false">IFERROR(INDEX(Section_Master!$E$2:$E$477,MATCH($E1311,Section_Master!$A$2:$A$477,0))&amp;"","")</f>
        <v>No</v>
      </c>
      <c r="H1311" s="10" t="str">
        <f aca="false">IFERROR(INDEX(Section_Master!$F$2:$F$477,MATCH($E1311,Section_Master!$A$2:$A$477,0))&amp;"","")</f>
        <v>Yes</v>
      </c>
      <c r="I1311" s="10" t="str">
        <f aca="false">IFERROR(INDEX(Section_Master!$G$2:$G$477,MATCH($E1311,Section_Master!$A$2:$A$477,0))&amp;"","")</f>
        <v>No</v>
      </c>
      <c r="J1311" s="10" t="s">
        <v>52</v>
      </c>
      <c r="K1311" s="8" t="s">
        <v>3105</v>
      </c>
    </row>
    <row r="1312" customFormat="false" ht="34.5" hidden="false" customHeight="true" outlineLevel="0" collapsed="false">
      <c r="A1312" s="10" t="s">
        <v>3108</v>
      </c>
      <c r="B1312" s="10" t="s">
        <v>45</v>
      </c>
      <c r="C1312" s="8" t="s">
        <v>3103</v>
      </c>
      <c r="D1312" s="8" t="s">
        <v>3109</v>
      </c>
      <c r="E1312" s="11" t="n">
        <v>219</v>
      </c>
      <c r="F1312" s="8" t="str">
        <f aca="false">IFERROR(INDEX(Section_Master!$D$2:$D$477,MATCH($E1312,Section_Master!$A$2:$A$477,0))&amp;"","")</f>
        <v>Imprisonment up to 1 month, or fine, or both</v>
      </c>
      <c r="G1312" s="10" t="str">
        <f aca="false">IFERROR(INDEX(Section_Master!$E$2:$E$477,MATCH($E1312,Section_Master!$A$2:$A$477,0))&amp;"","")</f>
        <v>No</v>
      </c>
      <c r="H1312" s="10" t="str">
        <f aca="false">IFERROR(INDEX(Section_Master!$F$2:$F$477,MATCH($E1312,Section_Master!$A$2:$A$477,0))&amp;"","")</f>
        <v>Yes</v>
      </c>
      <c r="I1312" s="10" t="str">
        <f aca="false">IFERROR(INDEX(Section_Master!$G$2:$G$477,MATCH($E1312,Section_Master!$A$2:$A$477,0))&amp;"","")</f>
        <v>No</v>
      </c>
      <c r="J1312" s="10" t="s">
        <v>55</v>
      </c>
      <c r="K1312" s="8" t="s">
        <v>3105</v>
      </c>
    </row>
    <row r="1313" customFormat="false" ht="23.25" hidden="false" customHeight="true" outlineLevel="0" collapsed="false">
      <c r="A1313" s="10" t="s">
        <v>3110</v>
      </c>
      <c r="B1313" s="10" t="s">
        <v>45</v>
      </c>
      <c r="C1313" s="8" t="s">
        <v>3103</v>
      </c>
      <c r="D1313" s="8" t="s">
        <v>3111</v>
      </c>
      <c r="E1313" s="11" t="n">
        <v>219</v>
      </c>
      <c r="F1313" s="8" t="str">
        <f aca="false">IFERROR(INDEX(Section_Master!$D$2:$D$477,MATCH($E1313,Section_Master!$A$2:$A$477,0))&amp;"","")</f>
        <v>Imprisonment up to 1 month, or fine, or both</v>
      </c>
      <c r="G1313" s="10" t="str">
        <f aca="false">IFERROR(INDEX(Section_Master!$E$2:$E$477,MATCH($E1313,Section_Master!$A$2:$A$477,0))&amp;"","")</f>
        <v>No</v>
      </c>
      <c r="H1313" s="10" t="str">
        <f aca="false">IFERROR(INDEX(Section_Master!$F$2:$F$477,MATCH($E1313,Section_Master!$A$2:$A$477,0))&amp;"","")</f>
        <v>Yes</v>
      </c>
      <c r="I1313" s="10" t="str">
        <f aca="false">IFERROR(INDEX(Section_Master!$G$2:$G$477,MATCH($E1313,Section_Master!$A$2:$A$477,0))&amp;"","")</f>
        <v>No</v>
      </c>
      <c r="J1313" s="10" t="s">
        <v>58</v>
      </c>
      <c r="K1313" s="8" t="s">
        <v>3105</v>
      </c>
    </row>
    <row r="1314" customFormat="false" ht="23.25" hidden="false" customHeight="true" outlineLevel="0" collapsed="false">
      <c r="A1314" s="10" t="s">
        <v>3112</v>
      </c>
      <c r="B1314" s="10" t="s">
        <v>45</v>
      </c>
      <c r="C1314" s="8" t="s">
        <v>3103</v>
      </c>
      <c r="D1314" s="8" t="s">
        <v>3113</v>
      </c>
      <c r="E1314" s="11" t="n">
        <v>219</v>
      </c>
      <c r="F1314" s="8" t="str">
        <f aca="false">IFERROR(INDEX(Section_Master!$D$2:$D$477,MATCH($E1314,Section_Master!$A$2:$A$477,0))&amp;"","")</f>
        <v>Imprisonment up to 1 month, or fine, or both</v>
      </c>
      <c r="G1314" s="10" t="str">
        <f aca="false">IFERROR(INDEX(Section_Master!$E$2:$E$477,MATCH($E1314,Section_Master!$A$2:$A$477,0))&amp;"","")</f>
        <v>No</v>
      </c>
      <c r="H1314" s="10" t="str">
        <f aca="false">IFERROR(INDEX(Section_Master!$F$2:$F$477,MATCH($E1314,Section_Master!$A$2:$A$477,0))&amp;"","")</f>
        <v>Yes</v>
      </c>
      <c r="I1314" s="10" t="str">
        <f aca="false">IFERROR(INDEX(Section_Master!$G$2:$G$477,MATCH($E1314,Section_Master!$A$2:$A$477,0))&amp;"","")</f>
        <v>No</v>
      </c>
      <c r="J1314" s="10" t="s">
        <v>61</v>
      </c>
      <c r="K1314" s="8" t="s">
        <v>3105</v>
      </c>
    </row>
    <row r="1315" customFormat="false" ht="34.5" hidden="false" customHeight="true" outlineLevel="0" collapsed="false">
      <c r="A1315" s="10" t="s">
        <v>3114</v>
      </c>
      <c r="B1315" s="10" t="s">
        <v>45</v>
      </c>
      <c r="C1315" s="8" t="s">
        <v>3103</v>
      </c>
      <c r="D1315" s="8" t="s">
        <v>3115</v>
      </c>
      <c r="E1315" s="11" t="n">
        <v>219</v>
      </c>
      <c r="F1315" s="8" t="str">
        <f aca="false">IFERROR(INDEX(Section_Master!$D$2:$D$477,MATCH($E1315,Section_Master!$A$2:$A$477,0))&amp;"","")</f>
        <v>Imprisonment up to 1 month, or fine, or both</v>
      </c>
      <c r="G1315" s="10" t="str">
        <f aca="false">IFERROR(INDEX(Section_Master!$E$2:$E$477,MATCH($E1315,Section_Master!$A$2:$A$477,0))&amp;"","")</f>
        <v>No</v>
      </c>
      <c r="H1315" s="10" t="str">
        <f aca="false">IFERROR(INDEX(Section_Master!$F$2:$F$477,MATCH($E1315,Section_Master!$A$2:$A$477,0))&amp;"","")</f>
        <v>Yes</v>
      </c>
      <c r="I1315" s="10" t="str">
        <f aca="false">IFERROR(INDEX(Section_Master!$G$2:$G$477,MATCH($E1315,Section_Master!$A$2:$A$477,0))&amp;"","")</f>
        <v>No</v>
      </c>
      <c r="J1315" s="10" t="s">
        <v>64</v>
      </c>
      <c r="K1315" s="8" t="s">
        <v>3105</v>
      </c>
    </row>
    <row r="1316" customFormat="false" ht="34.5" hidden="false" customHeight="true" outlineLevel="0" collapsed="false">
      <c r="A1316" s="10" t="s">
        <v>3116</v>
      </c>
      <c r="B1316" s="10" t="s">
        <v>45</v>
      </c>
      <c r="C1316" s="8" t="s">
        <v>3117</v>
      </c>
      <c r="D1316" s="8" t="s">
        <v>3118</v>
      </c>
      <c r="E1316" s="11" t="n">
        <v>220</v>
      </c>
      <c r="F1316" s="8" t="str">
        <f aca="false">IFERROR(INDEX(Section_Master!$D$2:$D$477,MATCH($E1316,Section_Master!$A$2:$A$477,0))&amp;"","")</f>
        <v>Imprisonment up to 1 month, or fine, or both</v>
      </c>
      <c r="G1316" s="10" t="str">
        <f aca="false">IFERROR(INDEX(Section_Master!$E$2:$E$477,MATCH($E1316,Section_Master!$A$2:$A$477,0))&amp;"","")</f>
        <v>No</v>
      </c>
      <c r="H1316" s="10" t="str">
        <f aca="false">IFERROR(INDEX(Section_Master!$F$2:$F$477,MATCH($E1316,Section_Master!$A$2:$A$477,0))&amp;"","")</f>
        <v>Yes</v>
      </c>
      <c r="I1316" s="10" t="str">
        <f aca="false">IFERROR(INDEX(Section_Master!$G$2:$G$477,MATCH($E1316,Section_Master!$A$2:$A$477,0))&amp;"","")</f>
        <v>No</v>
      </c>
      <c r="J1316" s="10" t="s">
        <v>48</v>
      </c>
      <c r="K1316" s="8" t="s">
        <v>3119</v>
      </c>
    </row>
    <row r="1317" customFormat="false" ht="34.5" hidden="false" customHeight="true" outlineLevel="0" collapsed="false">
      <c r="A1317" s="10" t="s">
        <v>3120</v>
      </c>
      <c r="B1317" s="10" t="s">
        <v>45</v>
      </c>
      <c r="C1317" s="8" t="s">
        <v>3117</v>
      </c>
      <c r="D1317" s="8" t="s">
        <v>3121</v>
      </c>
      <c r="E1317" s="11" t="n">
        <v>220</v>
      </c>
      <c r="F1317" s="8" t="str">
        <f aca="false">IFERROR(INDEX(Section_Master!$D$2:$D$477,MATCH($E1317,Section_Master!$A$2:$A$477,0))&amp;"","")</f>
        <v>Imprisonment up to 1 month, or fine, or both</v>
      </c>
      <c r="G1317" s="10" t="str">
        <f aca="false">IFERROR(INDEX(Section_Master!$E$2:$E$477,MATCH($E1317,Section_Master!$A$2:$A$477,0))&amp;"","")</f>
        <v>No</v>
      </c>
      <c r="H1317" s="10" t="str">
        <f aca="false">IFERROR(INDEX(Section_Master!$F$2:$F$477,MATCH($E1317,Section_Master!$A$2:$A$477,0))&amp;"","")</f>
        <v>Yes</v>
      </c>
      <c r="I1317" s="10" t="str">
        <f aca="false">IFERROR(INDEX(Section_Master!$G$2:$G$477,MATCH($E1317,Section_Master!$A$2:$A$477,0))&amp;"","")</f>
        <v>No</v>
      </c>
      <c r="J1317" s="10" t="s">
        <v>52</v>
      </c>
      <c r="K1317" s="8" t="s">
        <v>3119</v>
      </c>
    </row>
    <row r="1318" customFormat="false" ht="34.5" hidden="false" customHeight="true" outlineLevel="0" collapsed="false">
      <c r="A1318" s="10" t="s">
        <v>3122</v>
      </c>
      <c r="B1318" s="10" t="s">
        <v>45</v>
      </c>
      <c r="C1318" s="8" t="s">
        <v>3117</v>
      </c>
      <c r="D1318" s="8" t="s">
        <v>3123</v>
      </c>
      <c r="E1318" s="11" t="n">
        <v>220</v>
      </c>
      <c r="F1318" s="8" t="str">
        <f aca="false">IFERROR(INDEX(Section_Master!$D$2:$D$477,MATCH($E1318,Section_Master!$A$2:$A$477,0))&amp;"","")</f>
        <v>Imprisonment up to 1 month, or fine, or both</v>
      </c>
      <c r="G1318" s="10" t="str">
        <f aca="false">IFERROR(INDEX(Section_Master!$E$2:$E$477,MATCH($E1318,Section_Master!$A$2:$A$477,0))&amp;"","")</f>
        <v>No</v>
      </c>
      <c r="H1318" s="10" t="str">
        <f aca="false">IFERROR(INDEX(Section_Master!$F$2:$F$477,MATCH($E1318,Section_Master!$A$2:$A$477,0))&amp;"","")</f>
        <v>Yes</v>
      </c>
      <c r="I1318" s="10" t="str">
        <f aca="false">IFERROR(INDEX(Section_Master!$G$2:$G$477,MATCH($E1318,Section_Master!$A$2:$A$477,0))&amp;"","")</f>
        <v>No</v>
      </c>
      <c r="J1318" s="10" t="s">
        <v>55</v>
      </c>
      <c r="K1318" s="8" t="s">
        <v>3119</v>
      </c>
    </row>
    <row r="1319" customFormat="false" ht="34.5" hidden="false" customHeight="true" outlineLevel="0" collapsed="false">
      <c r="A1319" s="10" t="s">
        <v>3124</v>
      </c>
      <c r="B1319" s="10" t="s">
        <v>45</v>
      </c>
      <c r="C1319" s="8" t="s">
        <v>3117</v>
      </c>
      <c r="D1319" s="8" t="s">
        <v>3125</v>
      </c>
      <c r="E1319" s="11" t="n">
        <v>220</v>
      </c>
      <c r="F1319" s="8" t="str">
        <f aca="false">IFERROR(INDEX(Section_Master!$D$2:$D$477,MATCH($E1319,Section_Master!$A$2:$A$477,0))&amp;"","")</f>
        <v>Imprisonment up to 1 month, or fine, or both</v>
      </c>
      <c r="G1319" s="10" t="str">
        <f aca="false">IFERROR(INDEX(Section_Master!$E$2:$E$477,MATCH($E1319,Section_Master!$A$2:$A$477,0))&amp;"","")</f>
        <v>No</v>
      </c>
      <c r="H1319" s="10" t="str">
        <f aca="false">IFERROR(INDEX(Section_Master!$F$2:$F$477,MATCH($E1319,Section_Master!$A$2:$A$477,0))&amp;"","")</f>
        <v>Yes</v>
      </c>
      <c r="I1319" s="10" t="str">
        <f aca="false">IFERROR(INDEX(Section_Master!$G$2:$G$477,MATCH($E1319,Section_Master!$A$2:$A$477,0))&amp;"","")</f>
        <v>No</v>
      </c>
      <c r="J1319" s="10" t="s">
        <v>58</v>
      </c>
      <c r="K1319" s="8" t="s">
        <v>3119</v>
      </c>
    </row>
    <row r="1320" customFormat="false" ht="34.5" hidden="false" customHeight="true" outlineLevel="0" collapsed="false">
      <c r="A1320" s="10" t="s">
        <v>3126</v>
      </c>
      <c r="B1320" s="10" t="s">
        <v>45</v>
      </c>
      <c r="C1320" s="8" t="s">
        <v>3117</v>
      </c>
      <c r="D1320" s="8" t="s">
        <v>3127</v>
      </c>
      <c r="E1320" s="11" t="n">
        <v>220</v>
      </c>
      <c r="F1320" s="8" t="str">
        <f aca="false">IFERROR(INDEX(Section_Master!$D$2:$D$477,MATCH($E1320,Section_Master!$A$2:$A$477,0))&amp;"","")</f>
        <v>Imprisonment up to 1 month, or fine, or both</v>
      </c>
      <c r="G1320" s="10" t="str">
        <f aca="false">IFERROR(INDEX(Section_Master!$E$2:$E$477,MATCH($E1320,Section_Master!$A$2:$A$477,0))&amp;"","")</f>
        <v>No</v>
      </c>
      <c r="H1320" s="10" t="str">
        <f aca="false">IFERROR(INDEX(Section_Master!$F$2:$F$477,MATCH($E1320,Section_Master!$A$2:$A$477,0))&amp;"","")</f>
        <v>Yes</v>
      </c>
      <c r="I1320" s="10" t="str">
        <f aca="false">IFERROR(INDEX(Section_Master!$G$2:$G$477,MATCH($E1320,Section_Master!$A$2:$A$477,0))&amp;"","")</f>
        <v>No</v>
      </c>
      <c r="J1320" s="10" t="s">
        <v>61</v>
      </c>
      <c r="K1320" s="8" t="s">
        <v>3119</v>
      </c>
    </row>
    <row r="1321" customFormat="false" ht="34.5" hidden="false" customHeight="true" outlineLevel="0" collapsed="false">
      <c r="A1321" s="10" t="s">
        <v>3128</v>
      </c>
      <c r="B1321" s="10" t="s">
        <v>45</v>
      </c>
      <c r="C1321" s="8" t="s">
        <v>3117</v>
      </c>
      <c r="D1321" s="8" t="s">
        <v>3129</v>
      </c>
      <c r="E1321" s="11" t="n">
        <v>220</v>
      </c>
      <c r="F1321" s="8" t="str">
        <f aca="false">IFERROR(INDEX(Section_Master!$D$2:$D$477,MATCH($E1321,Section_Master!$A$2:$A$477,0))&amp;"","")</f>
        <v>Imprisonment up to 1 month, or fine, or both</v>
      </c>
      <c r="G1321" s="10" t="str">
        <f aca="false">IFERROR(INDEX(Section_Master!$E$2:$E$477,MATCH($E1321,Section_Master!$A$2:$A$477,0))&amp;"","")</f>
        <v>No</v>
      </c>
      <c r="H1321" s="10" t="str">
        <f aca="false">IFERROR(INDEX(Section_Master!$F$2:$F$477,MATCH($E1321,Section_Master!$A$2:$A$477,0))&amp;"","")</f>
        <v>Yes</v>
      </c>
      <c r="I1321" s="10" t="str">
        <f aca="false">IFERROR(INDEX(Section_Master!$G$2:$G$477,MATCH($E1321,Section_Master!$A$2:$A$477,0))&amp;"","")</f>
        <v>No</v>
      </c>
      <c r="J1321" s="10" t="s">
        <v>64</v>
      </c>
      <c r="K1321" s="8" t="s">
        <v>3119</v>
      </c>
    </row>
    <row r="1322" customFormat="false" ht="23.25" hidden="false" customHeight="true" outlineLevel="0" collapsed="false">
      <c r="A1322" s="10" t="s">
        <v>3130</v>
      </c>
      <c r="B1322" s="10" t="s">
        <v>45</v>
      </c>
      <c r="C1322" s="8" t="s">
        <v>3131</v>
      </c>
      <c r="D1322" s="8" t="s">
        <v>3132</v>
      </c>
      <c r="E1322" s="11" t="n">
        <v>221</v>
      </c>
      <c r="F1322" s="8" t="str">
        <f aca="false">IFERROR(INDEX(Section_Master!$D$2:$D$477,MATCH($E1322,Section_Master!$A$2:$A$477,0))&amp;"","")</f>
        <v>Imprisonment up to 3 months, or fine, or both</v>
      </c>
      <c r="G1322" s="10" t="str">
        <f aca="false">IFERROR(INDEX(Section_Master!$E$2:$E$477,MATCH($E1322,Section_Master!$A$2:$A$477,0))&amp;"","")</f>
        <v>No</v>
      </c>
      <c r="H1322" s="10" t="str">
        <f aca="false">IFERROR(INDEX(Section_Master!$F$2:$F$477,MATCH($E1322,Section_Master!$A$2:$A$477,0))&amp;"","")</f>
        <v>Yes</v>
      </c>
      <c r="I1322" s="10" t="str">
        <f aca="false">IFERROR(INDEX(Section_Master!$G$2:$G$477,MATCH($E1322,Section_Master!$A$2:$A$477,0))&amp;"","")</f>
        <v>No</v>
      </c>
      <c r="J1322" s="10" t="s">
        <v>48</v>
      </c>
      <c r="K1322" s="8" t="s">
        <v>3133</v>
      </c>
    </row>
    <row r="1323" customFormat="false" ht="34.5" hidden="false" customHeight="true" outlineLevel="0" collapsed="false">
      <c r="A1323" s="10" t="s">
        <v>3134</v>
      </c>
      <c r="B1323" s="10" t="s">
        <v>45</v>
      </c>
      <c r="C1323" s="8" t="s">
        <v>3131</v>
      </c>
      <c r="D1323" s="8" t="s">
        <v>3135</v>
      </c>
      <c r="E1323" s="11" t="n">
        <v>221</v>
      </c>
      <c r="F1323" s="8" t="str">
        <f aca="false">IFERROR(INDEX(Section_Master!$D$2:$D$477,MATCH($E1323,Section_Master!$A$2:$A$477,0))&amp;"","")</f>
        <v>Imprisonment up to 3 months, or fine, or both</v>
      </c>
      <c r="G1323" s="10" t="str">
        <f aca="false">IFERROR(INDEX(Section_Master!$E$2:$E$477,MATCH($E1323,Section_Master!$A$2:$A$477,0))&amp;"","")</f>
        <v>No</v>
      </c>
      <c r="H1323" s="10" t="str">
        <f aca="false">IFERROR(INDEX(Section_Master!$F$2:$F$477,MATCH($E1323,Section_Master!$A$2:$A$477,0))&amp;"","")</f>
        <v>Yes</v>
      </c>
      <c r="I1323" s="10" t="str">
        <f aca="false">IFERROR(INDEX(Section_Master!$G$2:$G$477,MATCH($E1323,Section_Master!$A$2:$A$477,0))&amp;"","")</f>
        <v>No</v>
      </c>
      <c r="J1323" s="10" t="s">
        <v>52</v>
      </c>
      <c r="K1323" s="8" t="s">
        <v>3133</v>
      </c>
    </row>
    <row r="1324" customFormat="false" ht="34.5" hidden="false" customHeight="true" outlineLevel="0" collapsed="false">
      <c r="A1324" s="10" t="s">
        <v>3136</v>
      </c>
      <c r="B1324" s="10" t="s">
        <v>45</v>
      </c>
      <c r="C1324" s="8" t="s">
        <v>3131</v>
      </c>
      <c r="D1324" s="8" t="s">
        <v>3137</v>
      </c>
      <c r="E1324" s="11" t="n">
        <v>221</v>
      </c>
      <c r="F1324" s="8" t="str">
        <f aca="false">IFERROR(INDEX(Section_Master!$D$2:$D$477,MATCH($E1324,Section_Master!$A$2:$A$477,0))&amp;"","")</f>
        <v>Imprisonment up to 3 months, or fine, or both</v>
      </c>
      <c r="G1324" s="10" t="str">
        <f aca="false">IFERROR(INDEX(Section_Master!$E$2:$E$477,MATCH($E1324,Section_Master!$A$2:$A$477,0))&amp;"","")</f>
        <v>No</v>
      </c>
      <c r="H1324" s="10" t="str">
        <f aca="false">IFERROR(INDEX(Section_Master!$F$2:$F$477,MATCH($E1324,Section_Master!$A$2:$A$477,0))&amp;"","")</f>
        <v>Yes</v>
      </c>
      <c r="I1324" s="10" t="str">
        <f aca="false">IFERROR(INDEX(Section_Master!$G$2:$G$477,MATCH($E1324,Section_Master!$A$2:$A$477,0))&amp;"","")</f>
        <v>No</v>
      </c>
      <c r="J1324" s="10" t="s">
        <v>55</v>
      </c>
      <c r="K1324" s="8" t="s">
        <v>3133</v>
      </c>
    </row>
    <row r="1325" customFormat="false" ht="23.25" hidden="false" customHeight="true" outlineLevel="0" collapsed="false">
      <c r="A1325" s="10" t="s">
        <v>3138</v>
      </c>
      <c r="B1325" s="10" t="s">
        <v>45</v>
      </c>
      <c r="C1325" s="8" t="s">
        <v>3131</v>
      </c>
      <c r="D1325" s="8" t="s">
        <v>3139</v>
      </c>
      <c r="E1325" s="11" t="n">
        <v>221</v>
      </c>
      <c r="F1325" s="8" t="str">
        <f aca="false">IFERROR(INDEX(Section_Master!$D$2:$D$477,MATCH($E1325,Section_Master!$A$2:$A$477,0))&amp;"","")</f>
        <v>Imprisonment up to 3 months, or fine, or both</v>
      </c>
      <c r="G1325" s="10" t="str">
        <f aca="false">IFERROR(INDEX(Section_Master!$E$2:$E$477,MATCH($E1325,Section_Master!$A$2:$A$477,0))&amp;"","")</f>
        <v>No</v>
      </c>
      <c r="H1325" s="10" t="str">
        <f aca="false">IFERROR(INDEX(Section_Master!$F$2:$F$477,MATCH($E1325,Section_Master!$A$2:$A$477,0))&amp;"","")</f>
        <v>Yes</v>
      </c>
      <c r="I1325" s="10" t="str">
        <f aca="false">IFERROR(INDEX(Section_Master!$G$2:$G$477,MATCH($E1325,Section_Master!$A$2:$A$477,0))&amp;"","")</f>
        <v>No</v>
      </c>
      <c r="J1325" s="10" t="s">
        <v>58</v>
      </c>
      <c r="K1325" s="8" t="s">
        <v>3133</v>
      </c>
    </row>
    <row r="1326" customFormat="false" ht="23.25" hidden="false" customHeight="true" outlineLevel="0" collapsed="false">
      <c r="A1326" s="10" t="s">
        <v>3140</v>
      </c>
      <c r="B1326" s="10" t="s">
        <v>45</v>
      </c>
      <c r="C1326" s="8" t="s">
        <v>3131</v>
      </c>
      <c r="D1326" s="8" t="s">
        <v>3141</v>
      </c>
      <c r="E1326" s="11" t="n">
        <v>221</v>
      </c>
      <c r="F1326" s="8" t="str">
        <f aca="false">IFERROR(INDEX(Section_Master!$D$2:$D$477,MATCH($E1326,Section_Master!$A$2:$A$477,0))&amp;"","")</f>
        <v>Imprisonment up to 3 months, or fine, or both</v>
      </c>
      <c r="G1326" s="10" t="str">
        <f aca="false">IFERROR(INDEX(Section_Master!$E$2:$E$477,MATCH($E1326,Section_Master!$A$2:$A$477,0))&amp;"","")</f>
        <v>No</v>
      </c>
      <c r="H1326" s="10" t="str">
        <f aca="false">IFERROR(INDEX(Section_Master!$F$2:$F$477,MATCH($E1326,Section_Master!$A$2:$A$477,0))&amp;"","")</f>
        <v>Yes</v>
      </c>
      <c r="I1326" s="10" t="str">
        <f aca="false">IFERROR(INDEX(Section_Master!$G$2:$G$477,MATCH($E1326,Section_Master!$A$2:$A$477,0))&amp;"","")</f>
        <v>No</v>
      </c>
      <c r="J1326" s="10" t="s">
        <v>61</v>
      </c>
      <c r="K1326" s="8" t="s">
        <v>3133</v>
      </c>
    </row>
    <row r="1327" customFormat="false" ht="34.5" hidden="false" customHeight="true" outlineLevel="0" collapsed="false">
      <c r="A1327" s="10" t="s">
        <v>3142</v>
      </c>
      <c r="B1327" s="10" t="s">
        <v>45</v>
      </c>
      <c r="C1327" s="8" t="s">
        <v>3131</v>
      </c>
      <c r="D1327" s="8" t="s">
        <v>3143</v>
      </c>
      <c r="E1327" s="11" t="n">
        <v>221</v>
      </c>
      <c r="F1327" s="8" t="str">
        <f aca="false">IFERROR(INDEX(Section_Master!$D$2:$D$477,MATCH($E1327,Section_Master!$A$2:$A$477,0))&amp;"","")</f>
        <v>Imprisonment up to 3 months, or fine, or both</v>
      </c>
      <c r="G1327" s="10" t="str">
        <f aca="false">IFERROR(INDEX(Section_Master!$E$2:$E$477,MATCH($E1327,Section_Master!$A$2:$A$477,0))&amp;"","")</f>
        <v>No</v>
      </c>
      <c r="H1327" s="10" t="str">
        <f aca="false">IFERROR(INDEX(Section_Master!$F$2:$F$477,MATCH($E1327,Section_Master!$A$2:$A$477,0))&amp;"","")</f>
        <v>Yes</v>
      </c>
      <c r="I1327" s="10" t="str">
        <f aca="false">IFERROR(INDEX(Section_Master!$G$2:$G$477,MATCH($E1327,Section_Master!$A$2:$A$477,0))&amp;"","")</f>
        <v>No</v>
      </c>
      <c r="J1327" s="10" t="s">
        <v>64</v>
      </c>
      <c r="K1327" s="8" t="s">
        <v>3133</v>
      </c>
    </row>
    <row r="1328" customFormat="false" ht="34.5" hidden="false" customHeight="true" outlineLevel="0" collapsed="false">
      <c r="A1328" s="10" t="s">
        <v>3144</v>
      </c>
      <c r="B1328" s="10" t="s">
        <v>45</v>
      </c>
      <c r="C1328" s="8" t="s">
        <v>3145</v>
      </c>
      <c r="D1328" s="8" t="s">
        <v>3146</v>
      </c>
      <c r="E1328" s="11" t="n">
        <v>222</v>
      </c>
      <c r="F1328" s="8" t="str">
        <f aca="false">IFERROR(INDEX(Section_Master!$D$2:$D$477,MATCH($E1328,Section_Master!$A$2:$A$477,0))&amp;"","")</f>
        <v>Simple imprisonment up to 1 month, or fine, or both; up to 6 months in graver cases [s.222]</v>
      </c>
      <c r="G1328" s="10" t="str">
        <f aca="false">IFERROR(INDEX(Section_Master!$E$2:$E$477,MATCH($E1328,Section_Master!$A$2:$A$477,0))&amp;"","")</f>
        <v>No</v>
      </c>
      <c r="H1328" s="10" t="str">
        <f aca="false">IFERROR(INDEX(Section_Master!$F$2:$F$477,MATCH($E1328,Section_Master!$A$2:$A$477,0))&amp;"","")</f>
        <v>Yes</v>
      </c>
      <c r="I1328" s="10" t="str">
        <f aca="false">IFERROR(INDEX(Section_Master!$G$2:$G$477,MATCH($E1328,Section_Master!$A$2:$A$477,0))&amp;"","")</f>
        <v>No</v>
      </c>
      <c r="J1328" s="10" t="s">
        <v>48</v>
      </c>
      <c r="K1328" s="8" t="s">
        <v>3147</v>
      </c>
    </row>
    <row r="1329" customFormat="false" ht="45.75" hidden="false" customHeight="true" outlineLevel="0" collapsed="false">
      <c r="A1329" s="10" t="s">
        <v>3148</v>
      </c>
      <c r="B1329" s="10" t="s">
        <v>45</v>
      </c>
      <c r="C1329" s="8" t="s">
        <v>3145</v>
      </c>
      <c r="D1329" s="8" t="s">
        <v>3149</v>
      </c>
      <c r="E1329" s="11" t="n">
        <v>222</v>
      </c>
      <c r="F1329" s="8" t="str">
        <f aca="false">IFERROR(INDEX(Section_Master!$D$2:$D$477,MATCH($E1329,Section_Master!$A$2:$A$477,0))&amp;"","")</f>
        <v>Simple imprisonment up to 1 month, or fine, or both; up to 6 months in graver cases [s.222]</v>
      </c>
      <c r="G1329" s="10" t="str">
        <f aca="false">IFERROR(INDEX(Section_Master!$E$2:$E$477,MATCH($E1329,Section_Master!$A$2:$A$477,0))&amp;"","")</f>
        <v>No</v>
      </c>
      <c r="H1329" s="10" t="str">
        <f aca="false">IFERROR(INDEX(Section_Master!$F$2:$F$477,MATCH($E1329,Section_Master!$A$2:$A$477,0))&amp;"","")</f>
        <v>Yes</v>
      </c>
      <c r="I1329" s="10" t="str">
        <f aca="false">IFERROR(INDEX(Section_Master!$G$2:$G$477,MATCH($E1329,Section_Master!$A$2:$A$477,0))&amp;"","")</f>
        <v>No</v>
      </c>
      <c r="J1329" s="10" t="s">
        <v>52</v>
      </c>
      <c r="K1329" s="8" t="s">
        <v>3147</v>
      </c>
    </row>
    <row r="1330" customFormat="false" ht="34.5" hidden="false" customHeight="true" outlineLevel="0" collapsed="false">
      <c r="A1330" s="10" t="s">
        <v>3150</v>
      </c>
      <c r="B1330" s="10" t="s">
        <v>45</v>
      </c>
      <c r="C1330" s="8" t="s">
        <v>3145</v>
      </c>
      <c r="D1330" s="8" t="s">
        <v>3151</v>
      </c>
      <c r="E1330" s="11" t="n">
        <v>222</v>
      </c>
      <c r="F1330" s="8" t="str">
        <f aca="false">IFERROR(INDEX(Section_Master!$D$2:$D$477,MATCH($E1330,Section_Master!$A$2:$A$477,0))&amp;"","")</f>
        <v>Simple imprisonment up to 1 month, or fine, or both; up to 6 months in graver cases [s.222]</v>
      </c>
      <c r="G1330" s="10" t="str">
        <f aca="false">IFERROR(INDEX(Section_Master!$E$2:$E$477,MATCH($E1330,Section_Master!$A$2:$A$477,0))&amp;"","")</f>
        <v>No</v>
      </c>
      <c r="H1330" s="10" t="str">
        <f aca="false">IFERROR(INDEX(Section_Master!$F$2:$F$477,MATCH($E1330,Section_Master!$A$2:$A$477,0))&amp;"","")</f>
        <v>Yes</v>
      </c>
      <c r="I1330" s="10" t="str">
        <f aca="false">IFERROR(INDEX(Section_Master!$G$2:$G$477,MATCH($E1330,Section_Master!$A$2:$A$477,0))&amp;"","")</f>
        <v>No</v>
      </c>
      <c r="J1330" s="10" t="s">
        <v>55</v>
      </c>
      <c r="K1330" s="8" t="s">
        <v>3147</v>
      </c>
    </row>
    <row r="1331" customFormat="false" ht="23.25" hidden="false" customHeight="true" outlineLevel="0" collapsed="false">
      <c r="A1331" s="10" t="s">
        <v>3152</v>
      </c>
      <c r="B1331" s="10" t="s">
        <v>45</v>
      </c>
      <c r="C1331" s="8" t="s">
        <v>3145</v>
      </c>
      <c r="D1331" s="8" t="s">
        <v>3153</v>
      </c>
      <c r="E1331" s="11" t="n">
        <v>222</v>
      </c>
      <c r="F1331" s="8" t="str">
        <f aca="false">IFERROR(INDEX(Section_Master!$D$2:$D$477,MATCH($E1331,Section_Master!$A$2:$A$477,0))&amp;"","")</f>
        <v>Simple imprisonment up to 1 month, or fine, or both; up to 6 months in graver cases [s.222]</v>
      </c>
      <c r="G1331" s="10" t="str">
        <f aca="false">IFERROR(INDEX(Section_Master!$E$2:$E$477,MATCH($E1331,Section_Master!$A$2:$A$477,0))&amp;"","")</f>
        <v>No</v>
      </c>
      <c r="H1331" s="10" t="str">
        <f aca="false">IFERROR(INDEX(Section_Master!$F$2:$F$477,MATCH($E1331,Section_Master!$A$2:$A$477,0))&amp;"","")</f>
        <v>Yes</v>
      </c>
      <c r="I1331" s="10" t="str">
        <f aca="false">IFERROR(INDEX(Section_Master!$G$2:$G$477,MATCH($E1331,Section_Master!$A$2:$A$477,0))&amp;"","")</f>
        <v>No</v>
      </c>
      <c r="J1331" s="10" t="s">
        <v>58</v>
      </c>
      <c r="K1331" s="8" t="s">
        <v>3147</v>
      </c>
    </row>
    <row r="1332" customFormat="false" ht="34.5" hidden="false" customHeight="true" outlineLevel="0" collapsed="false">
      <c r="A1332" s="10" t="s">
        <v>3154</v>
      </c>
      <c r="B1332" s="10" t="s">
        <v>45</v>
      </c>
      <c r="C1332" s="8" t="s">
        <v>3145</v>
      </c>
      <c r="D1332" s="8" t="s">
        <v>3155</v>
      </c>
      <c r="E1332" s="11" t="n">
        <v>222</v>
      </c>
      <c r="F1332" s="8" t="str">
        <f aca="false">IFERROR(INDEX(Section_Master!$D$2:$D$477,MATCH($E1332,Section_Master!$A$2:$A$477,0))&amp;"","")</f>
        <v>Simple imprisonment up to 1 month, or fine, or both; up to 6 months in graver cases [s.222]</v>
      </c>
      <c r="G1332" s="10" t="str">
        <f aca="false">IFERROR(INDEX(Section_Master!$E$2:$E$477,MATCH($E1332,Section_Master!$A$2:$A$477,0))&amp;"","")</f>
        <v>No</v>
      </c>
      <c r="H1332" s="10" t="str">
        <f aca="false">IFERROR(INDEX(Section_Master!$F$2:$F$477,MATCH($E1332,Section_Master!$A$2:$A$477,0))&amp;"","")</f>
        <v>Yes</v>
      </c>
      <c r="I1332" s="10" t="str">
        <f aca="false">IFERROR(INDEX(Section_Master!$G$2:$G$477,MATCH($E1332,Section_Master!$A$2:$A$477,0))&amp;"","")</f>
        <v>No</v>
      </c>
      <c r="J1332" s="10" t="s">
        <v>61</v>
      </c>
      <c r="K1332" s="8" t="s">
        <v>3147</v>
      </c>
    </row>
    <row r="1333" customFormat="false" ht="34.5" hidden="false" customHeight="true" outlineLevel="0" collapsed="false">
      <c r="A1333" s="10" t="s">
        <v>3156</v>
      </c>
      <c r="B1333" s="10" t="s">
        <v>45</v>
      </c>
      <c r="C1333" s="8" t="s">
        <v>3145</v>
      </c>
      <c r="D1333" s="8" t="s">
        <v>3157</v>
      </c>
      <c r="E1333" s="11" t="n">
        <v>222</v>
      </c>
      <c r="F1333" s="8" t="str">
        <f aca="false">IFERROR(INDEX(Section_Master!$D$2:$D$477,MATCH($E1333,Section_Master!$A$2:$A$477,0))&amp;"","")</f>
        <v>Simple imprisonment up to 1 month, or fine, or both; up to 6 months in graver cases [s.222]</v>
      </c>
      <c r="G1333" s="10" t="str">
        <f aca="false">IFERROR(INDEX(Section_Master!$E$2:$E$477,MATCH($E1333,Section_Master!$A$2:$A$477,0))&amp;"","")</f>
        <v>No</v>
      </c>
      <c r="H1333" s="10" t="str">
        <f aca="false">IFERROR(INDEX(Section_Master!$F$2:$F$477,MATCH($E1333,Section_Master!$A$2:$A$477,0))&amp;"","")</f>
        <v>Yes</v>
      </c>
      <c r="I1333" s="10" t="str">
        <f aca="false">IFERROR(INDEX(Section_Master!$G$2:$G$477,MATCH($E1333,Section_Master!$A$2:$A$477,0))&amp;"","")</f>
        <v>No</v>
      </c>
      <c r="J1333" s="10" t="s">
        <v>64</v>
      </c>
      <c r="K1333" s="8" t="s">
        <v>3147</v>
      </c>
    </row>
    <row r="1334" customFormat="false" ht="34.5" hidden="false" customHeight="true" outlineLevel="0" collapsed="false">
      <c r="A1334" s="10" t="s">
        <v>3158</v>
      </c>
      <c r="B1334" s="10" t="s">
        <v>45</v>
      </c>
      <c r="C1334" s="8" t="s">
        <v>3159</v>
      </c>
      <c r="D1334" s="8" t="s">
        <v>3160</v>
      </c>
      <c r="E1334" s="11" t="n">
        <v>223</v>
      </c>
      <c r="F1334" s="8" t="str">
        <f aca="false">IFERROR(INDEX(Section_Master!$D$2:$D$477,MATCH($E1334,Section_Master!$A$2:$A$477,0))&amp;"","")</f>
        <v>Simple imprisonment up to 6 months, or fine, or both; up to 1 year, or fine, or both if danger to human life or safety [s.223]</v>
      </c>
      <c r="G1334" s="10" t="str">
        <f aca="false">IFERROR(INDEX(Section_Master!$E$2:$E$477,MATCH($E1334,Section_Master!$A$2:$A$477,0))&amp;"","")</f>
        <v>Yes</v>
      </c>
      <c r="H1334" s="10" t="str">
        <f aca="false">IFERROR(INDEX(Section_Master!$F$2:$F$477,MATCH($E1334,Section_Master!$A$2:$A$477,0))&amp;"","")</f>
        <v>Yes</v>
      </c>
      <c r="I1334" s="10" t="str">
        <f aca="false">IFERROR(INDEX(Section_Master!$G$2:$G$477,MATCH($E1334,Section_Master!$A$2:$A$477,0))&amp;"","")</f>
        <v>No</v>
      </c>
      <c r="J1334" s="10" t="s">
        <v>48</v>
      </c>
      <c r="K1334" s="8" t="s">
        <v>3161</v>
      </c>
    </row>
    <row r="1335" customFormat="false" ht="34.5" hidden="false" customHeight="true" outlineLevel="0" collapsed="false">
      <c r="A1335" s="10" t="s">
        <v>3162</v>
      </c>
      <c r="B1335" s="10" t="s">
        <v>45</v>
      </c>
      <c r="C1335" s="8" t="s">
        <v>3159</v>
      </c>
      <c r="D1335" s="8" t="s">
        <v>3163</v>
      </c>
      <c r="E1335" s="11" t="n">
        <v>223</v>
      </c>
      <c r="F1335" s="8" t="str">
        <f aca="false">IFERROR(INDEX(Section_Master!$D$2:$D$477,MATCH($E1335,Section_Master!$A$2:$A$477,0))&amp;"","")</f>
        <v>Simple imprisonment up to 6 months, or fine, or both; up to 1 year, or fine, or both if danger to human life or safety [s.223]</v>
      </c>
      <c r="G1335" s="10" t="str">
        <f aca="false">IFERROR(INDEX(Section_Master!$E$2:$E$477,MATCH($E1335,Section_Master!$A$2:$A$477,0))&amp;"","")</f>
        <v>Yes</v>
      </c>
      <c r="H1335" s="10" t="str">
        <f aca="false">IFERROR(INDEX(Section_Master!$F$2:$F$477,MATCH($E1335,Section_Master!$A$2:$A$477,0))&amp;"","")</f>
        <v>Yes</v>
      </c>
      <c r="I1335" s="10" t="str">
        <f aca="false">IFERROR(INDEX(Section_Master!$G$2:$G$477,MATCH($E1335,Section_Master!$A$2:$A$477,0))&amp;"","")</f>
        <v>No</v>
      </c>
      <c r="J1335" s="10" t="s">
        <v>52</v>
      </c>
      <c r="K1335" s="8" t="s">
        <v>3161</v>
      </c>
    </row>
    <row r="1336" customFormat="false" ht="34.5" hidden="false" customHeight="true" outlineLevel="0" collapsed="false">
      <c r="A1336" s="10" t="s">
        <v>3164</v>
      </c>
      <c r="B1336" s="10" t="s">
        <v>45</v>
      </c>
      <c r="C1336" s="8" t="s">
        <v>3159</v>
      </c>
      <c r="D1336" s="8" t="s">
        <v>3165</v>
      </c>
      <c r="E1336" s="11" t="n">
        <v>223</v>
      </c>
      <c r="F1336" s="8" t="str">
        <f aca="false">IFERROR(INDEX(Section_Master!$D$2:$D$477,MATCH($E1336,Section_Master!$A$2:$A$477,0))&amp;"","")</f>
        <v>Simple imprisonment up to 6 months, or fine, or both; up to 1 year, or fine, or both if danger to human life or safety [s.223]</v>
      </c>
      <c r="G1336" s="10" t="str">
        <f aca="false">IFERROR(INDEX(Section_Master!$E$2:$E$477,MATCH($E1336,Section_Master!$A$2:$A$477,0))&amp;"","")</f>
        <v>Yes</v>
      </c>
      <c r="H1336" s="10" t="str">
        <f aca="false">IFERROR(INDEX(Section_Master!$F$2:$F$477,MATCH($E1336,Section_Master!$A$2:$A$477,0))&amp;"","")</f>
        <v>Yes</v>
      </c>
      <c r="I1336" s="10" t="str">
        <f aca="false">IFERROR(INDEX(Section_Master!$G$2:$G$477,MATCH($E1336,Section_Master!$A$2:$A$477,0))&amp;"","")</f>
        <v>No</v>
      </c>
      <c r="J1336" s="10" t="s">
        <v>55</v>
      </c>
      <c r="K1336" s="8" t="s">
        <v>3161</v>
      </c>
    </row>
    <row r="1337" customFormat="false" ht="34.5" hidden="false" customHeight="true" outlineLevel="0" collapsed="false">
      <c r="A1337" s="10" t="s">
        <v>3166</v>
      </c>
      <c r="B1337" s="10" t="s">
        <v>45</v>
      </c>
      <c r="C1337" s="8" t="s">
        <v>3159</v>
      </c>
      <c r="D1337" s="8" t="s">
        <v>3167</v>
      </c>
      <c r="E1337" s="11" t="n">
        <v>223</v>
      </c>
      <c r="F1337" s="8" t="str">
        <f aca="false">IFERROR(INDEX(Section_Master!$D$2:$D$477,MATCH($E1337,Section_Master!$A$2:$A$477,0))&amp;"","")</f>
        <v>Simple imprisonment up to 6 months, or fine, or both; up to 1 year, or fine, or both if danger to human life or safety [s.223]</v>
      </c>
      <c r="G1337" s="10" t="str">
        <f aca="false">IFERROR(INDEX(Section_Master!$E$2:$E$477,MATCH($E1337,Section_Master!$A$2:$A$477,0))&amp;"","")</f>
        <v>Yes</v>
      </c>
      <c r="H1337" s="10" t="str">
        <f aca="false">IFERROR(INDEX(Section_Master!$F$2:$F$477,MATCH($E1337,Section_Master!$A$2:$A$477,0))&amp;"","")</f>
        <v>Yes</v>
      </c>
      <c r="I1337" s="10" t="str">
        <f aca="false">IFERROR(INDEX(Section_Master!$G$2:$G$477,MATCH($E1337,Section_Master!$A$2:$A$477,0))&amp;"","")</f>
        <v>No</v>
      </c>
      <c r="J1337" s="10" t="s">
        <v>58</v>
      </c>
      <c r="K1337" s="8" t="s">
        <v>3161</v>
      </c>
    </row>
    <row r="1338" customFormat="false" ht="34.5" hidden="false" customHeight="true" outlineLevel="0" collapsed="false">
      <c r="A1338" s="10" t="s">
        <v>3168</v>
      </c>
      <c r="B1338" s="10" t="s">
        <v>45</v>
      </c>
      <c r="C1338" s="8" t="s">
        <v>3159</v>
      </c>
      <c r="D1338" s="8" t="s">
        <v>3169</v>
      </c>
      <c r="E1338" s="11" t="n">
        <v>223</v>
      </c>
      <c r="F1338" s="8" t="str">
        <f aca="false">IFERROR(INDEX(Section_Master!$D$2:$D$477,MATCH($E1338,Section_Master!$A$2:$A$477,0))&amp;"","")</f>
        <v>Simple imprisonment up to 6 months, or fine, or both; up to 1 year, or fine, or both if danger to human life or safety [s.223]</v>
      </c>
      <c r="G1338" s="10" t="str">
        <f aca="false">IFERROR(INDEX(Section_Master!$E$2:$E$477,MATCH($E1338,Section_Master!$A$2:$A$477,0))&amp;"","")</f>
        <v>Yes</v>
      </c>
      <c r="H1338" s="10" t="str">
        <f aca="false">IFERROR(INDEX(Section_Master!$F$2:$F$477,MATCH($E1338,Section_Master!$A$2:$A$477,0))&amp;"","")</f>
        <v>Yes</v>
      </c>
      <c r="I1338" s="10" t="str">
        <f aca="false">IFERROR(INDEX(Section_Master!$G$2:$G$477,MATCH($E1338,Section_Master!$A$2:$A$477,0))&amp;"","")</f>
        <v>No</v>
      </c>
      <c r="J1338" s="10" t="s">
        <v>61</v>
      </c>
      <c r="K1338" s="8" t="s">
        <v>3161</v>
      </c>
    </row>
    <row r="1339" customFormat="false" ht="34.5" hidden="false" customHeight="true" outlineLevel="0" collapsed="false">
      <c r="A1339" s="10" t="s">
        <v>3170</v>
      </c>
      <c r="B1339" s="10" t="s">
        <v>45</v>
      </c>
      <c r="C1339" s="8" t="s">
        <v>3159</v>
      </c>
      <c r="D1339" s="8" t="s">
        <v>3171</v>
      </c>
      <c r="E1339" s="11" t="n">
        <v>223</v>
      </c>
      <c r="F1339" s="8" t="str">
        <f aca="false">IFERROR(INDEX(Section_Master!$D$2:$D$477,MATCH($E1339,Section_Master!$A$2:$A$477,0))&amp;"","")</f>
        <v>Simple imprisonment up to 6 months, or fine, or both; up to 1 year, or fine, or both if danger to human life or safety [s.223]</v>
      </c>
      <c r="G1339" s="10" t="str">
        <f aca="false">IFERROR(INDEX(Section_Master!$E$2:$E$477,MATCH($E1339,Section_Master!$A$2:$A$477,0))&amp;"","")</f>
        <v>Yes</v>
      </c>
      <c r="H1339" s="10" t="str">
        <f aca="false">IFERROR(INDEX(Section_Master!$F$2:$F$477,MATCH($E1339,Section_Master!$A$2:$A$477,0))&amp;"","")</f>
        <v>Yes</v>
      </c>
      <c r="I1339" s="10" t="str">
        <f aca="false">IFERROR(INDEX(Section_Master!$G$2:$G$477,MATCH($E1339,Section_Master!$A$2:$A$477,0))&amp;"","")</f>
        <v>No</v>
      </c>
      <c r="J1339" s="10" t="s">
        <v>64</v>
      </c>
      <c r="K1339" s="8" t="s">
        <v>3161</v>
      </c>
    </row>
    <row r="1340" customFormat="false" ht="34.5" hidden="false" customHeight="true" outlineLevel="0" collapsed="false">
      <c r="A1340" s="10" t="s">
        <v>3172</v>
      </c>
      <c r="B1340" s="10" t="s">
        <v>45</v>
      </c>
      <c r="C1340" s="8" t="s">
        <v>3173</v>
      </c>
      <c r="D1340" s="8" t="s">
        <v>3174</v>
      </c>
      <c r="E1340" s="11" t="n">
        <v>224</v>
      </c>
      <c r="F1340" s="8" t="str">
        <f aca="false">IFERROR(INDEX(Section_Master!$D$2:$D$477,MATCH($E1340,Section_Master!$A$2:$A$477,0))&amp;"","")</f>
        <v>Imprisonment up to 2 years, or fine, or both</v>
      </c>
      <c r="G1340" s="10" t="str">
        <f aca="false">IFERROR(INDEX(Section_Master!$E$2:$E$477,MATCH($E1340,Section_Master!$A$2:$A$477,0))&amp;"","")</f>
        <v>No</v>
      </c>
      <c r="H1340" s="10" t="str">
        <f aca="false">IFERROR(INDEX(Section_Master!$F$2:$F$477,MATCH($E1340,Section_Master!$A$2:$A$477,0))&amp;"","")</f>
        <v>Yes</v>
      </c>
      <c r="I1340" s="10" t="str">
        <f aca="false">IFERROR(INDEX(Section_Master!$G$2:$G$477,MATCH($E1340,Section_Master!$A$2:$A$477,0))&amp;"","")</f>
        <v>No</v>
      </c>
      <c r="J1340" s="10" t="s">
        <v>48</v>
      </c>
      <c r="K1340" s="8" t="s">
        <v>3175</v>
      </c>
    </row>
    <row r="1341" customFormat="false" ht="34.5" hidden="false" customHeight="true" outlineLevel="0" collapsed="false">
      <c r="A1341" s="10" t="s">
        <v>3176</v>
      </c>
      <c r="B1341" s="10" t="s">
        <v>45</v>
      </c>
      <c r="C1341" s="8" t="s">
        <v>3173</v>
      </c>
      <c r="D1341" s="8" t="s">
        <v>3177</v>
      </c>
      <c r="E1341" s="11" t="n">
        <v>224</v>
      </c>
      <c r="F1341" s="8" t="str">
        <f aca="false">IFERROR(INDEX(Section_Master!$D$2:$D$477,MATCH($E1341,Section_Master!$A$2:$A$477,0))&amp;"","")</f>
        <v>Imprisonment up to 2 years, or fine, or both</v>
      </c>
      <c r="G1341" s="10" t="str">
        <f aca="false">IFERROR(INDEX(Section_Master!$E$2:$E$477,MATCH($E1341,Section_Master!$A$2:$A$477,0))&amp;"","")</f>
        <v>No</v>
      </c>
      <c r="H1341" s="10" t="str">
        <f aca="false">IFERROR(INDEX(Section_Master!$F$2:$F$477,MATCH($E1341,Section_Master!$A$2:$A$477,0))&amp;"","")</f>
        <v>Yes</v>
      </c>
      <c r="I1341" s="10" t="str">
        <f aca="false">IFERROR(INDEX(Section_Master!$G$2:$G$477,MATCH($E1341,Section_Master!$A$2:$A$477,0))&amp;"","")</f>
        <v>No</v>
      </c>
      <c r="J1341" s="10" t="s">
        <v>52</v>
      </c>
      <c r="K1341" s="8" t="s">
        <v>3175</v>
      </c>
    </row>
    <row r="1342" customFormat="false" ht="34.5" hidden="false" customHeight="true" outlineLevel="0" collapsed="false">
      <c r="A1342" s="10" t="s">
        <v>3178</v>
      </c>
      <c r="B1342" s="10" t="s">
        <v>45</v>
      </c>
      <c r="C1342" s="8" t="s">
        <v>3173</v>
      </c>
      <c r="D1342" s="8" t="s">
        <v>3179</v>
      </c>
      <c r="E1342" s="11" t="n">
        <v>224</v>
      </c>
      <c r="F1342" s="8" t="str">
        <f aca="false">IFERROR(INDEX(Section_Master!$D$2:$D$477,MATCH($E1342,Section_Master!$A$2:$A$477,0))&amp;"","")</f>
        <v>Imprisonment up to 2 years, or fine, or both</v>
      </c>
      <c r="G1342" s="10" t="str">
        <f aca="false">IFERROR(INDEX(Section_Master!$E$2:$E$477,MATCH($E1342,Section_Master!$A$2:$A$477,0))&amp;"","")</f>
        <v>No</v>
      </c>
      <c r="H1342" s="10" t="str">
        <f aca="false">IFERROR(INDEX(Section_Master!$F$2:$F$477,MATCH($E1342,Section_Master!$A$2:$A$477,0))&amp;"","")</f>
        <v>Yes</v>
      </c>
      <c r="I1342" s="10" t="str">
        <f aca="false">IFERROR(INDEX(Section_Master!$G$2:$G$477,MATCH($E1342,Section_Master!$A$2:$A$477,0))&amp;"","")</f>
        <v>No</v>
      </c>
      <c r="J1342" s="10" t="s">
        <v>55</v>
      </c>
      <c r="K1342" s="8" t="s">
        <v>3175</v>
      </c>
    </row>
    <row r="1343" customFormat="false" ht="23.25" hidden="false" customHeight="true" outlineLevel="0" collapsed="false">
      <c r="A1343" s="10" t="s">
        <v>3180</v>
      </c>
      <c r="B1343" s="10" t="s">
        <v>45</v>
      </c>
      <c r="C1343" s="8" t="s">
        <v>3173</v>
      </c>
      <c r="D1343" s="8" t="s">
        <v>3181</v>
      </c>
      <c r="E1343" s="11" t="n">
        <v>224</v>
      </c>
      <c r="F1343" s="8" t="str">
        <f aca="false">IFERROR(INDEX(Section_Master!$D$2:$D$477,MATCH($E1343,Section_Master!$A$2:$A$477,0))&amp;"","")</f>
        <v>Imprisonment up to 2 years, or fine, or both</v>
      </c>
      <c r="G1343" s="10" t="str">
        <f aca="false">IFERROR(INDEX(Section_Master!$E$2:$E$477,MATCH($E1343,Section_Master!$A$2:$A$477,0))&amp;"","")</f>
        <v>No</v>
      </c>
      <c r="H1343" s="10" t="str">
        <f aca="false">IFERROR(INDEX(Section_Master!$F$2:$F$477,MATCH($E1343,Section_Master!$A$2:$A$477,0))&amp;"","")</f>
        <v>Yes</v>
      </c>
      <c r="I1343" s="10" t="str">
        <f aca="false">IFERROR(INDEX(Section_Master!$G$2:$G$477,MATCH($E1343,Section_Master!$A$2:$A$477,0))&amp;"","")</f>
        <v>No</v>
      </c>
      <c r="J1343" s="10" t="s">
        <v>58</v>
      </c>
      <c r="K1343" s="8" t="s">
        <v>3175</v>
      </c>
    </row>
    <row r="1344" customFormat="false" ht="34.5" hidden="false" customHeight="true" outlineLevel="0" collapsed="false">
      <c r="A1344" s="10" t="s">
        <v>3182</v>
      </c>
      <c r="B1344" s="10" t="s">
        <v>45</v>
      </c>
      <c r="C1344" s="8" t="s">
        <v>3173</v>
      </c>
      <c r="D1344" s="8" t="s">
        <v>3183</v>
      </c>
      <c r="E1344" s="11" t="n">
        <v>224</v>
      </c>
      <c r="F1344" s="8" t="str">
        <f aca="false">IFERROR(INDEX(Section_Master!$D$2:$D$477,MATCH($E1344,Section_Master!$A$2:$A$477,0))&amp;"","")</f>
        <v>Imprisonment up to 2 years, or fine, or both</v>
      </c>
      <c r="G1344" s="10" t="str">
        <f aca="false">IFERROR(INDEX(Section_Master!$E$2:$E$477,MATCH($E1344,Section_Master!$A$2:$A$477,0))&amp;"","")</f>
        <v>No</v>
      </c>
      <c r="H1344" s="10" t="str">
        <f aca="false">IFERROR(INDEX(Section_Master!$F$2:$F$477,MATCH($E1344,Section_Master!$A$2:$A$477,0))&amp;"","")</f>
        <v>Yes</v>
      </c>
      <c r="I1344" s="10" t="str">
        <f aca="false">IFERROR(INDEX(Section_Master!$G$2:$G$477,MATCH($E1344,Section_Master!$A$2:$A$477,0))&amp;"","")</f>
        <v>No</v>
      </c>
      <c r="J1344" s="10" t="s">
        <v>61</v>
      </c>
      <c r="K1344" s="8" t="s">
        <v>3175</v>
      </c>
    </row>
    <row r="1345" customFormat="false" ht="34.5" hidden="false" customHeight="true" outlineLevel="0" collapsed="false">
      <c r="A1345" s="10" t="s">
        <v>3184</v>
      </c>
      <c r="B1345" s="10" t="s">
        <v>45</v>
      </c>
      <c r="C1345" s="8" t="s">
        <v>3173</v>
      </c>
      <c r="D1345" s="8" t="s">
        <v>3185</v>
      </c>
      <c r="E1345" s="11" t="n">
        <v>224</v>
      </c>
      <c r="F1345" s="8" t="str">
        <f aca="false">IFERROR(INDEX(Section_Master!$D$2:$D$477,MATCH($E1345,Section_Master!$A$2:$A$477,0))&amp;"","")</f>
        <v>Imprisonment up to 2 years, or fine, or both</v>
      </c>
      <c r="G1345" s="10" t="str">
        <f aca="false">IFERROR(INDEX(Section_Master!$E$2:$E$477,MATCH($E1345,Section_Master!$A$2:$A$477,0))&amp;"","")</f>
        <v>No</v>
      </c>
      <c r="H1345" s="10" t="str">
        <f aca="false">IFERROR(INDEX(Section_Master!$F$2:$F$477,MATCH($E1345,Section_Master!$A$2:$A$477,0))&amp;"","")</f>
        <v>Yes</v>
      </c>
      <c r="I1345" s="10" t="str">
        <f aca="false">IFERROR(INDEX(Section_Master!$G$2:$G$477,MATCH($E1345,Section_Master!$A$2:$A$477,0))&amp;"","")</f>
        <v>No</v>
      </c>
      <c r="J1345" s="10" t="s">
        <v>64</v>
      </c>
      <c r="K1345" s="8" t="s">
        <v>3175</v>
      </c>
    </row>
    <row r="1346" customFormat="false" ht="34.5" hidden="false" customHeight="true" outlineLevel="0" collapsed="false">
      <c r="A1346" s="10" t="s">
        <v>3186</v>
      </c>
      <c r="B1346" s="10" t="s">
        <v>45</v>
      </c>
      <c r="C1346" s="8" t="s">
        <v>3187</v>
      </c>
      <c r="D1346" s="8" t="s">
        <v>3188</v>
      </c>
      <c r="E1346" s="11" t="n">
        <v>225</v>
      </c>
      <c r="F1346" s="8" t="str">
        <f aca="false">IFERROR(INDEX(Section_Master!$D$2:$D$477,MATCH($E1346,Section_Master!$A$2:$A$477,0))&amp;"","")</f>
        <v>Imprisonment up to 1 year, or fine, or both</v>
      </c>
      <c r="G1346" s="10" t="str">
        <f aca="false">IFERROR(INDEX(Section_Master!$E$2:$E$477,MATCH($E1346,Section_Master!$A$2:$A$477,0))&amp;"","")</f>
        <v>No</v>
      </c>
      <c r="H1346" s="10" t="str">
        <f aca="false">IFERROR(INDEX(Section_Master!$F$2:$F$477,MATCH($E1346,Section_Master!$A$2:$A$477,0))&amp;"","")</f>
        <v>Yes</v>
      </c>
      <c r="I1346" s="10" t="str">
        <f aca="false">IFERROR(INDEX(Section_Master!$G$2:$G$477,MATCH($E1346,Section_Master!$A$2:$A$477,0))&amp;"","")</f>
        <v>No</v>
      </c>
      <c r="J1346" s="10" t="s">
        <v>48</v>
      </c>
      <c r="K1346" s="8" t="s">
        <v>3189</v>
      </c>
    </row>
    <row r="1347" customFormat="false" ht="34.5" hidden="false" customHeight="true" outlineLevel="0" collapsed="false">
      <c r="A1347" s="10" t="s">
        <v>3190</v>
      </c>
      <c r="B1347" s="10" t="s">
        <v>45</v>
      </c>
      <c r="C1347" s="8" t="s">
        <v>3187</v>
      </c>
      <c r="D1347" s="8" t="s">
        <v>3191</v>
      </c>
      <c r="E1347" s="11" t="n">
        <v>225</v>
      </c>
      <c r="F1347" s="8" t="str">
        <f aca="false">IFERROR(INDEX(Section_Master!$D$2:$D$477,MATCH($E1347,Section_Master!$A$2:$A$477,0))&amp;"","")</f>
        <v>Imprisonment up to 1 year, or fine, or both</v>
      </c>
      <c r="G1347" s="10" t="str">
        <f aca="false">IFERROR(INDEX(Section_Master!$E$2:$E$477,MATCH($E1347,Section_Master!$A$2:$A$477,0))&amp;"","")</f>
        <v>No</v>
      </c>
      <c r="H1347" s="10" t="str">
        <f aca="false">IFERROR(INDEX(Section_Master!$F$2:$F$477,MATCH($E1347,Section_Master!$A$2:$A$477,0))&amp;"","")</f>
        <v>Yes</v>
      </c>
      <c r="I1347" s="10" t="str">
        <f aca="false">IFERROR(INDEX(Section_Master!$G$2:$G$477,MATCH($E1347,Section_Master!$A$2:$A$477,0))&amp;"","")</f>
        <v>No</v>
      </c>
      <c r="J1347" s="10" t="s">
        <v>52</v>
      </c>
      <c r="K1347" s="8" t="s">
        <v>3189</v>
      </c>
    </row>
    <row r="1348" customFormat="false" ht="34.5" hidden="false" customHeight="true" outlineLevel="0" collapsed="false">
      <c r="A1348" s="10" t="s">
        <v>3192</v>
      </c>
      <c r="B1348" s="10" t="s">
        <v>45</v>
      </c>
      <c r="C1348" s="8" t="s">
        <v>3187</v>
      </c>
      <c r="D1348" s="8" t="s">
        <v>3193</v>
      </c>
      <c r="E1348" s="11" t="n">
        <v>225</v>
      </c>
      <c r="F1348" s="8" t="str">
        <f aca="false">IFERROR(INDEX(Section_Master!$D$2:$D$477,MATCH($E1348,Section_Master!$A$2:$A$477,0))&amp;"","")</f>
        <v>Imprisonment up to 1 year, or fine, or both</v>
      </c>
      <c r="G1348" s="10" t="str">
        <f aca="false">IFERROR(INDEX(Section_Master!$E$2:$E$477,MATCH($E1348,Section_Master!$A$2:$A$477,0))&amp;"","")</f>
        <v>No</v>
      </c>
      <c r="H1348" s="10" t="str">
        <f aca="false">IFERROR(INDEX(Section_Master!$F$2:$F$477,MATCH($E1348,Section_Master!$A$2:$A$477,0))&amp;"","")</f>
        <v>Yes</v>
      </c>
      <c r="I1348" s="10" t="str">
        <f aca="false">IFERROR(INDEX(Section_Master!$G$2:$G$477,MATCH($E1348,Section_Master!$A$2:$A$477,0))&amp;"","")</f>
        <v>No</v>
      </c>
      <c r="J1348" s="10" t="s">
        <v>55</v>
      </c>
      <c r="K1348" s="8" t="s">
        <v>3189</v>
      </c>
    </row>
    <row r="1349" customFormat="false" ht="34.5" hidden="false" customHeight="true" outlineLevel="0" collapsed="false">
      <c r="A1349" s="10" t="s">
        <v>3194</v>
      </c>
      <c r="B1349" s="10" t="s">
        <v>45</v>
      </c>
      <c r="C1349" s="8" t="s">
        <v>3187</v>
      </c>
      <c r="D1349" s="8" t="s">
        <v>3195</v>
      </c>
      <c r="E1349" s="11" t="n">
        <v>225</v>
      </c>
      <c r="F1349" s="8" t="str">
        <f aca="false">IFERROR(INDEX(Section_Master!$D$2:$D$477,MATCH($E1349,Section_Master!$A$2:$A$477,0))&amp;"","")</f>
        <v>Imprisonment up to 1 year, or fine, or both</v>
      </c>
      <c r="G1349" s="10" t="str">
        <f aca="false">IFERROR(INDEX(Section_Master!$E$2:$E$477,MATCH($E1349,Section_Master!$A$2:$A$477,0))&amp;"","")</f>
        <v>No</v>
      </c>
      <c r="H1349" s="10" t="str">
        <f aca="false">IFERROR(INDEX(Section_Master!$F$2:$F$477,MATCH($E1349,Section_Master!$A$2:$A$477,0))&amp;"","")</f>
        <v>Yes</v>
      </c>
      <c r="I1349" s="10" t="str">
        <f aca="false">IFERROR(INDEX(Section_Master!$G$2:$G$477,MATCH($E1349,Section_Master!$A$2:$A$477,0))&amp;"","")</f>
        <v>No</v>
      </c>
      <c r="J1349" s="10" t="s">
        <v>58</v>
      </c>
      <c r="K1349" s="8" t="s">
        <v>3189</v>
      </c>
    </row>
    <row r="1350" customFormat="false" ht="34.5" hidden="false" customHeight="true" outlineLevel="0" collapsed="false">
      <c r="A1350" s="10" t="s">
        <v>3196</v>
      </c>
      <c r="B1350" s="10" t="s">
        <v>45</v>
      </c>
      <c r="C1350" s="8" t="s">
        <v>3187</v>
      </c>
      <c r="D1350" s="8" t="s">
        <v>3197</v>
      </c>
      <c r="E1350" s="11" t="n">
        <v>225</v>
      </c>
      <c r="F1350" s="8" t="str">
        <f aca="false">IFERROR(INDEX(Section_Master!$D$2:$D$477,MATCH($E1350,Section_Master!$A$2:$A$477,0))&amp;"","")</f>
        <v>Imprisonment up to 1 year, or fine, or both</v>
      </c>
      <c r="G1350" s="10" t="str">
        <f aca="false">IFERROR(INDEX(Section_Master!$E$2:$E$477,MATCH($E1350,Section_Master!$A$2:$A$477,0))&amp;"","")</f>
        <v>No</v>
      </c>
      <c r="H1350" s="10" t="str">
        <f aca="false">IFERROR(INDEX(Section_Master!$F$2:$F$477,MATCH($E1350,Section_Master!$A$2:$A$477,0))&amp;"","")</f>
        <v>Yes</v>
      </c>
      <c r="I1350" s="10" t="str">
        <f aca="false">IFERROR(INDEX(Section_Master!$G$2:$G$477,MATCH($E1350,Section_Master!$A$2:$A$477,0))&amp;"","")</f>
        <v>No</v>
      </c>
      <c r="J1350" s="10" t="s">
        <v>61</v>
      </c>
      <c r="K1350" s="8" t="s">
        <v>3189</v>
      </c>
    </row>
    <row r="1351" customFormat="false" ht="34.5" hidden="false" customHeight="true" outlineLevel="0" collapsed="false">
      <c r="A1351" s="10" t="s">
        <v>3198</v>
      </c>
      <c r="B1351" s="10" t="s">
        <v>45</v>
      </c>
      <c r="C1351" s="8" t="s">
        <v>3187</v>
      </c>
      <c r="D1351" s="8" t="s">
        <v>3199</v>
      </c>
      <c r="E1351" s="11" t="n">
        <v>225</v>
      </c>
      <c r="F1351" s="8" t="str">
        <f aca="false">IFERROR(INDEX(Section_Master!$D$2:$D$477,MATCH($E1351,Section_Master!$A$2:$A$477,0))&amp;"","")</f>
        <v>Imprisonment up to 1 year, or fine, or both</v>
      </c>
      <c r="G1351" s="10" t="str">
        <f aca="false">IFERROR(INDEX(Section_Master!$E$2:$E$477,MATCH($E1351,Section_Master!$A$2:$A$477,0))&amp;"","")</f>
        <v>No</v>
      </c>
      <c r="H1351" s="10" t="str">
        <f aca="false">IFERROR(INDEX(Section_Master!$F$2:$F$477,MATCH($E1351,Section_Master!$A$2:$A$477,0))&amp;"","")</f>
        <v>Yes</v>
      </c>
      <c r="I1351" s="10" t="str">
        <f aca="false">IFERROR(INDEX(Section_Master!$G$2:$G$477,MATCH($E1351,Section_Master!$A$2:$A$477,0))&amp;"","")</f>
        <v>No</v>
      </c>
      <c r="J1351" s="10" t="s">
        <v>64</v>
      </c>
      <c r="K1351" s="8" t="s">
        <v>3189</v>
      </c>
    </row>
    <row r="1352" customFormat="false" ht="34.5" hidden="false" customHeight="true" outlineLevel="0" collapsed="false">
      <c r="A1352" s="10" t="s">
        <v>3200</v>
      </c>
      <c r="B1352" s="10" t="s">
        <v>45</v>
      </c>
      <c r="C1352" s="8" t="s">
        <v>3201</v>
      </c>
      <c r="D1352" s="8" t="s">
        <v>3202</v>
      </c>
      <c r="E1352" s="11" t="n">
        <v>226</v>
      </c>
      <c r="F1352" s="8" t="str">
        <f aca="false">IFERROR(INDEX(Section_Master!$D$2:$D$477,MATCH($E1352,Section_Master!$A$2:$A$477,0))&amp;"","")</f>
        <v>Imprisonment up to 1 year, or fine, or both, or community service</v>
      </c>
      <c r="G1352" s="10" t="str">
        <f aca="false">IFERROR(INDEX(Section_Master!$E$2:$E$477,MATCH($E1352,Section_Master!$A$2:$A$477,0))&amp;"","")</f>
        <v>Yes</v>
      </c>
      <c r="H1352" s="10" t="str">
        <f aca="false">IFERROR(INDEX(Section_Master!$F$2:$F$477,MATCH($E1352,Section_Master!$A$2:$A$477,0))&amp;"","")</f>
        <v>Yes</v>
      </c>
      <c r="I1352" s="10" t="str">
        <f aca="false">IFERROR(INDEX(Section_Master!$G$2:$G$477,MATCH($E1352,Section_Master!$A$2:$A$477,0))&amp;"","")</f>
        <v>No</v>
      </c>
      <c r="J1352" s="10" t="s">
        <v>48</v>
      </c>
      <c r="K1352" s="8" t="s">
        <v>3203</v>
      </c>
    </row>
    <row r="1353" customFormat="false" ht="34.5" hidden="false" customHeight="true" outlineLevel="0" collapsed="false">
      <c r="A1353" s="10" t="s">
        <v>3204</v>
      </c>
      <c r="B1353" s="10" t="s">
        <v>45</v>
      </c>
      <c r="C1353" s="8" t="s">
        <v>3201</v>
      </c>
      <c r="D1353" s="8" t="s">
        <v>3205</v>
      </c>
      <c r="E1353" s="11" t="n">
        <v>226</v>
      </c>
      <c r="F1353" s="8" t="str">
        <f aca="false">IFERROR(INDEX(Section_Master!$D$2:$D$477,MATCH($E1353,Section_Master!$A$2:$A$477,0))&amp;"","")</f>
        <v>Imprisonment up to 1 year, or fine, or both, or community service</v>
      </c>
      <c r="G1353" s="10" t="str">
        <f aca="false">IFERROR(INDEX(Section_Master!$E$2:$E$477,MATCH($E1353,Section_Master!$A$2:$A$477,0))&amp;"","")</f>
        <v>Yes</v>
      </c>
      <c r="H1353" s="10" t="str">
        <f aca="false">IFERROR(INDEX(Section_Master!$F$2:$F$477,MATCH($E1353,Section_Master!$A$2:$A$477,0))&amp;"","")</f>
        <v>Yes</v>
      </c>
      <c r="I1353" s="10" t="str">
        <f aca="false">IFERROR(INDEX(Section_Master!$G$2:$G$477,MATCH($E1353,Section_Master!$A$2:$A$477,0))&amp;"","")</f>
        <v>No</v>
      </c>
      <c r="J1353" s="10" t="s">
        <v>52</v>
      </c>
      <c r="K1353" s="8" t="s">
        <v>3203</v>
      </c>
    </row>
    <row r="1354" customFormat="false" ht="34.5" hidden="false" customHeight="true" outlineLevel="0" collapsed="false">
      <c r="A1354" s="10" t="s">
        <v>3206</v>
      </c>
      <c r="B1354" s="10" t="s">
        <v>45</v>
      </c>
      <c r="C1354" s="8" t="s">
        <v>3201</v>
      </c>
      <c r="D1354" s="8" t="s">
        <v>3207</v>
      </c>
      <c r="E1354" s="11" t="n">
        <v>226</v>
      </c>
      <c r="F1354" s="8" t="str">
        <f aca="false">IFERROR(INDEX(Section_Master!$D$2:$D$477,MATCH($E1354,Section_Master!$A$2:$A$477,0))&amp;"","")</f>
        <v>Imprisonment up to 1 year, or fine, or both, or community service</v>
      </c>
      <c r="G1354" s="10" t="str">
        <f aca="false">IFERROR(INDEX(Section_Master!$E$2:$E$477,MATCH($E1354,Section_Master!$A$2:$A$477,0))&amp;"","")</f>
        <v>Yes</v>
      </c>
      <c r="H1354" s="10" t="str">
        <f aca="false">IFERROR(INDEX(Section_Master!$F$2:$F$477,MATCH($E1354,Section_Master!$A$2:$A$477,0))&amp;"","")</f>
        <v>Yes</v>
      </c>
      <c r="I1354" s="10" t="str">
        <f aca="false">IFERROR(INDEX(Section_Master!$G$2:$G$477,MATCH($E1354,Section_Master!$A$2:$A$477,0))&amp;"","")</f>
        <v>No</v>
      </c>
      <c r="J1354" s="10" t="s">
        <v>55</v>
      </c>
      <c r="K1354" s="8" t="s">
        <v>3203</v>
      </c>
    </row>
    <row r="1355" customFormat="false" ht="23.25" hidden="false" customHeight="true" outlineLevel="0" collapsed="false">
      <c r="A1355" s="10" t="s">
        <v>3208</v>
      </c>
      <c r="B1355" s="10" t="s">
        <v>45</v>
      </c>
      <c r="C1355" s="8" t="s">
        <v>3201</v>
      </c>
      <c r="D1355" s="8" t="s">
        <v>3209</v>
      </c>
      <c r="E1355" s="11" t="n">
        <v>226</v>
      </c>
      <c r="F1355" s="8" t="str">
        <f aca="false">IFERROR(INDEX(Section_Master!$D$2:$D$477,MATCH($E1355,Section_Master!$A$2:$A$477,0))&amp;"","")</f>
        <v>Imprisonment up to 1 year, or fine, or both, or community service</v>
      </c>
      <c r="G1355" s="10" t="str">
        <f aca="false">IFERROR(INDEX(Section_Master!$E$2:$E$477,MATCH($E1355,Section_Master!$A$2:$A$477,0))&amp;"","")</f>
        <v>Yes</v>
      </c>
      <c r="H1355" s="10" t="str">
        <f aca="false">IFERROR(INDEX(Section_Master!$F$2:$F$477,MATCH($E1355,Section_Master!$A$2:$A$477,0))&amp;"","")</f>
        <v>Yes</v>
      </c>
      <c r="I1355" s="10" t="str">
        <f aca="false">IFERROR(INDEX(Section_Master!$G$2:$G$477,MATCH($E1355,Section_Master!$A$2:$A$477,0))&amp;"","")</f>
        <v>No</v>
      </c>
      <c r="J1355" s="10" t="s">
        <v>58</v>
      </c>
      <c r="K1355" s="8" t="s">
        <v>3203</v>
      </c>
    </row>
    <row r="1356" customFormat="false" ht="34.5" hidden="false" customHeight="true" outlineLevel="0" collapsed="false">
      <c r="A1356" s="10" t="s">
        <v>3210</v>
      </c>
      <c r="B1356" s="10" t="s">
        <v>45</v>
      </c>
      <c r="C1356" s="8" t="s">
        <v>3201</v>
      </c>
      <c r="D1356" s="8" t="s">
        <v>3211</v>
      </c>
      <c r="E1356" s="11" t="n">
        <v>226</v>
      </c>
      <c r="F1356" s="8" t="str">
        <f aca="false">IFERROR(INDEX(Section_Master!$D$2:$D$477,MATCH($E1356,Section_Master!$A$2:$A$477,0))&amp;"","")</f>
        <v>Imprisonment up to 1 year, or fine, or both, or community service</v>
      </c>
      <c r="G1356" s="10" t="str">
        <f aca="false">IFERROR(INDEX(Section_Master!$E$2:$E$477,MATCH($E1356,Section_Master!$A$2:$A$477,0))&amp;"","")</f>
        <v>Yes</v>
      </c>
      <c r="H1356" s="10" t="str">
        <f aca="false">IFERROR(INDEX(Section_Master!$F$2:$F$477,MATCH($E1356,Section_Master!$A$2:$A$477,0))&amp;"","")</f>
        <v>Yes</v>
      </c>
      <c r="I1356" s="10" t="str">
        <f aca="false">IFERROR(INDEX(Section_Master!$G$2:$G$477,MATCH($E1356,Section_Master!$A$2:$A$477,0))&amp;"","")</f>
        <v>No</v>
      </c>
      <c r="J1356" s="10" t="s">
        <v>61</v>
      </c>
      <c r="K1356" s="8" t="s">
        <v>3203</v>
      </c>
    </row>
    <row r="1357" customFormat="false" ht="34.5" hidden="false" customHeight="true" outlineLevel="0" collapsed="false">
      <c r="A1357" s="10" t="s">
        <v>3212</v>
      </c>
      <c r="B1357" s="10" t="s">
        <v>45</v>
      </c>
      <c r="C1357" s="8" t="s">
        <v>3201</v>
      </c>
      <c r="D1357" s="8" t="s">
        <v>3213</v>
      </c>
      <c r="E1357" s="11" t="n">
        <v>226</v>
      </c>
      <c r="F1357" s="8" t="str">
        <f aca="false">IFERROR(INDEX(Section_Master!$D$2:$D$477,MATCH($E1357,Section_Master!$A$2:$A$477,0))&amp;"","")</f>
        <v>Imprisonment up to 1 year, or fine, or both, or community service</v>
      </c>
      <c r="G1357" s="10" t="str">
        <f aca="false">IFERROR(INDEX(Section_Master!$E$2:$E$477,MATCH($E1357,Section_Master!$A$2:$A$477,0))&amp;"","")</f>
        <v>Yes</v>
      </c>
      <c r="H1357" s="10" t="str">
        <f aca="false">IFERROR(INDEX(Section_Master!$F$2:$F$477,MATCH($E1357,Section_Master!$A$2:$A$477,0))&amp;"","")</f>
        <v>Yes</v>
      </c>
      <c r="I1357" s="10" t="str">
        <f aca="false">IFERROR(INDEX(Section_Master!$G$2:$G$477,MATCH($E1357,Section_Master!$A$2:$A$477,0))&amp;"","")</f>
        <v>No</v>
      </c>
      <c r="J1357" s="10" t="s">
        <v>64</v>
      </c>
      <c r="K1357" s="8" t="s">
        <v>3203</v>
      </c>
    </row>
    <row r="1358" customFormat="false" ht="34.5" hidden="false" customHeight="true" outlineLevel="0" collapsed="false">
      <c r="A1358" s="10" t="s">
        <v>3214</v>
      </c>
      <c r="B1358" s="10" t="s">
        <v>45</v>
      </c>
      <c r="C1358" s="8" t="s">
        <v>3215</v>
      </c>
      <c r="D1358" s="8" t="s">
        <v>3216</v>
      </c>
      <c r="E1358" s="11" t="n">
        <v>227</v>
      </c>
      <c r="F1358" s="8" t="str">
        <f aca="false">IFERROR(INDEX(Section_Master!$D$2:$D$477,MATCH($E1358,Section_Master!$A$2:$A$477,0))&amp;"","")</f>
        <v>Not applicable - no offence or penalty defined here (definition, exception or general provision)</v>
      </c>
      <c r="G1358" s="10" t="str">
        <f aca="false">IFERROR(INDEX(Section_Master!$E$2:$E$477,MATCH($E1358,Section_Master!$A$2:$A$477,0))&amp;"","")</f>
        <v>N/A</v>
      </c>
      <c r="H1358" s="10" t="str">
        <f aca="false">IFERROR(INDEX(Section_Master!$F$2:$F$477,MATCH($E1358,Section_Master!$A$2:$A$477,0))&amp;"","")</f>
        <v>N/A</v>
      </c>
      <c r="I1358" s="10" t="str">
        <f aca="false">IFERROR(INDEX(Section_Master!$G$2:$G$477,MATCH($E1358,Section_Master!$A$2:$A$477,0))&amp;"","")</f>
        <v>N/A</v>
      </c>
      <c r="J1358" s="10" t="s">
        <v>48</v>
      </c>
      <c r="K1358" s="8" t="s">
        <v>3217</v>
      </c>
    </row>
    <row r="1359" customFormat="false" ht="34.5" hidden="false" customHeight="true" outlineLevel="0" collapsed="false">
      <c r="A1359" s="10" t="s">
        <v>3218</v>
      </c>
      <c r="B1359" s="10" t="s">
        <v>45</v>
      </c>
      <c r="C1359" s="8" t="s">
        <v>3215</v>
      </c>
      <c r="D1359" s="8" t="s">
        <v>3219</v>
      </c>
      <c r="E1359" s="11" t="n">
        <v>227</v>
      </c>
      <c r="F1359" s="8" t="str">
        <f aca="false">IFERROR(INDEX(Section_Master!$D$2:$D$477,MATCH($E1359,Section_Master!$A$2:$A$477,0))&amp;"","")</f>
        <v>Not applicable - no offence or penalty defined here (definition, exception or general provision)</v>
      </c>
      <c r="G1359" s="10" t="str">
        <f aca="false">IFERROR(INDEX(Section_Master!$E$2:$E$477,MATCH($E1359,Section_Master!$A$2:$A$477,0))&amp;"","")</f>
        <v>N/A</v>
      </c>
      <c r="H1359" s="10" t="str">
        <f aca="false">IFERROR(INDEX(Section_Master!$F$2:$F$477,MATCH($E1359,Section_Master!$A$2:$A$477,0))&amp;"","")</f>
        <v>N/A</v>
      </c>
      <c r="I1359" s="10" t="str">
        <f aca="false">IFERROR(INDEX(Section_Master!$G$2:$G$477,MATCH($E1359,Section_Master!$A$2:$A$477,0))&amp;"","")</f>
        <v>N/A</v>
      </c>
      <c r="J1359" s="10" t="s">
        <v>52</v>
      </c>
      <c r="K1359" s="8" t="s">
        <v>3217</v>
      </c>
    </row>
    <row r="1360" customFormat="false" ht="34.5" hidden="false" customHeight="true" outlineLevel="0" collapsed="false">
      <c r="A1360" s="10" t="s">
        <v>3220</v>
      </c>
      <c r="B1360" s="10" t="s">
        <v>45</v>
      </c>
      <c r="C1360" s="8" t="s">
        <v>3215</v>
      </c>
      <c r="D1360" s="8" t="s">
        <v>3221</v>
      </c>
      <c r="E1360" s="11" t="n">
        <v>227</v>
      </c>
      <c r="F1360" s="8" t="str">
        <f aca="false">IFERROR(INDEX(Section_Master!$D$2:$D$477,MATCH($E1360,Section_Master!$A$2:$A$477,0))&amp;"","")</f>
        <v>Not applicable - no offence or penalty defined here (definition, exception or general provision)</v>
      </c>
      <c r="G1360" s="10" t="str">
        <f aca="false">IFERROR(INDEX(Section_Master!$E$2:$E$477,MATCH($E1360,Section_Master!$A$2:$A$477,0))&amp;"","")</f>
        <v>N/A</v>
      </c>
      <c r="H1360" s="10" t="str">
        <f aca="false">IFERROR(INDEX(Section_Master!$F$2:$F$477,MATCH($E1360,Section_Master!$A$2:$A$477,0))&amp;"","")</f>
        <v>N/A</v>
      </c>
      <c r="I1360" s="10" t="str">
        <f aca="false">IFERROR(INDEX(Section_Master!$G$2:$G$477,MATCH($E1360,Section_Master!$A$2:$A$477,0))&amp;"","")</f>
        <v>N/A</v>
      </c>
      <c r="J1360" s="10" t="s">
        <v>55</v>
      </c>
      <c r="K1360" s="8" t="s">
        <v>3217</v>
      </c>
    </row>
    <row r="1361" customFormat="false" ht="23.25" hidden="false" customHeight="true" outlineLevel="0" collapsed="false">
      <c r="A1361" s="10" t="s">
        <v>3222</v>
      </c>
      <c r="B1361" s="10" t="s">
        <v>45</v>
      </c>
      <c r="C1361" s="8" t="s">
        <v>3215</v>
      </c>
      <c r="D1361" s="8" t="s">
        <v>3223</v>
      </c>
      <c r="E1361" s="11" t="n">
        <v>227</v>
      </c>
      <c r="F1361" s="8" t="str">
        <f aca="false">IFERROR(INDEX(Section_Master!$D$2:$D$477,MATCH($E1361,Section_Master!$A$2:$A$477,0))&amp;"","")</f>
        <v>Not applicable - no offence or penalty defined here (definition, exception or general provision)</v>
      </c>
      <c r="G1361" s="10" t="str">
        <f aca="false">IFERROR(INDEX(Section_Master!$E$2:$E$477,MATCH($E1361,Section_Master!$A$2:$A$477,0))&amp;"","")</f>
        <v>N/A</v>
      </c>
      <c r="H1361" s="10" t="str">
        <f aca="false">IFERROR(INDEX(Section_Master!$F$2:$F$477,MATCH($E1361,Section_Master!$A$2:$A$477,0))&amp;"","")</f>
        <v>N/A</v>
      </c>
      <c r="I1361" s="10" t="str">
        <f aca="false">IFERROR(INDEX(Section_Master!$G$2:$G$477,MATCH($E1361,Section_Master!$A$2:$A$477,0))&amp;"","")</f>
        <v>N/A</v>
      </c>
      <c r="J1361" s="10" t="s">
        <v>58</v>
      </c>
      <c r="K1361" s="8" t="s">
        <v>3217</v>
      </c>
    </row>
    <row r="1362" customFormat="false" ht="34.5" hidden="false" customHeight="true" outlineLevel="0" collapsed="false">
      <c r="A1362" s="10" t="s">
        <v>3224</v>
      </c>
      <c r="B1362" s="10" t="s">
        <v>45</v>
      </c>
      <c r="C1362" s="8" t="s">
        <v>3215</v>
      </c>
      <c r="D1362" s="8" t="s">
        <v>3225</v>
      </c>
      <c r="E1362" s="11" t="n">
        <v>227</v>
      </c>
      <c r="F1362" s="8" t="str">
        <f aca="false">IFERROR(INDEX(Section_Master!$D$2:$D$477,MATCH($E1362,Section_Master!$A$2:$A$477,0))&amp;"","")</f>
        <v>Not applicable - no offence or penalty defined here (definition, exception or general provision)</v>
      </c>
      <c r="G1362" s="10" t="str">
        <f aca="false">IFERROR(INDEX(Section_Master!$E$2:$E$477,MATCH($E1362,Section_Master!$A$2:$A$477,0))&amp;"","")</f>
        <v>N/A</v>
      </c>
      <c r="H1362" s="10" t="str">
        <f aca="false">IFERROR(INDEX(Section_Master!$F$2:$F$477,MATCH($E1362,Section_Master!$A$2:$A$477,0))&amp;"","")</f>
        <v>N/A</v>
      </c>
      <c r="I1362" s="10" t="str">
        <f aca="false">IFERROR(INDEX(Section_Master!$G$2:$G$477,MATCH($E1362,Section_Master!$A$2:$A$477,0))&amp;"","")</f>
        <v>N/A</v>
      </c>
      <c r="J1362" s="10" t="s">
        <v>61</v>
      </c>
      <c r="K1362" s="8" t="s">
        <v>3217</v>
      </c>
    </row>
    <row r="1363" customFormat="false" ht="34.5" hidden="false" customHeight="true" outlineLevel="0" collapsed="false">
      <c r="A1363" s="10" t="s">
        <v>3226</v>
      </c>
      <c r="B1363" s="10" t="s">
        <v>45</v>
      </c>
      <c r="C1363" s="8" t="s">
        <v>3215</v>
      </c>
      <c r="D1363" s="8" t="s">
        <v>3227</v>
      </c>
      <c r="E1363" s="11" t="n">
        <v>227</v>
      </c>
      <c r="F1363" s="8" t="str">
        <f aca="false">IFERROR(INDEX(Section_Master!$D$2:$D$477,MATCH($E1363,Section_Master!$A$2:$A$477,0))&amp;"","")</f>
        <v>Not applicable - no offence or penalty defined here (definition, exception or general provision)</v>
      </c>
      <c r="G1363" s="10" t="str">
        <f aca="false">IFERROR(INDEX(Section_Master!$E$2:$E$477,MATCH($E1363,Section_Master!$A$2:$A$477,0))&amp;"","")</f>
        <v>N/A</v>
      </c>
      <c r="H1363" s="10" t="str">
        <f aca="false">IFERROR(INDEX(Section_Master!$F$2:$F$477,MATCH($E1363,Section_Master!$A$2:$A$477,0))&amp;"","")</f>
        <v>N/A</v>
      </c>
      <c r="I1363" s="10" t="str">
        <f aca="false">IFERROR(INDEX(Section_Master!$G$2:$G$477,MATCH($E1363,Section_Master!$A$2:$A$477,0))&amp;"","")</f>
        <v>N/A</v>
      </c>
      <c r="J1363" s="10" t="s">
        <v>64</v>
      </c>
      <c r="K1363" s="8" t="s">
        <v>3217</v>
      </c>
    </row>
    <row r="1364" customFormat="false" ht="34.5" hidden="false" customHeight="true" outlineLevel="0" collapsed="false">
      <c r="A1364" s="10" t="s">
        <v>3228</v>
      </c>
      <c r="B1364" s="10" t="s">
        <v>45</v>
      </c>
      <c r="C1364" s="8" t="s">
        <v>3229</v>
      </c>
      <c r="D1364" s="8" t="s">
        <v>3230</v>
      </c>
      <c r="E1364" s="11" t="n">
        <v>228</v>
      </c>
      <c r="F1364" s="8" t="str">
        <f aca="false">IFERROR(INDEX(Section_Master!$D$2:$D$477,MATCH($E1364,Section_Master!$A$2:$A$477,0))&amp;"","")</f>
        <v>Not applicable - no offence or penalty defined here (definition, exception or general provision)</v>
      </c>
      <c r="G1364" s="10" t="str">
        <f aca="false">IFERROR(INDEX(Section_Master!$E$2:$E$477,MATCH($E1364,Section_Master!$A$2:$A$477,0))&amp;"","")</f>
        <v>N/A</v>
      </c>
      <c r="H1364" s="10" t="str">
        <f aca="false">IFERROR(INDEX(Section_Master!$F$2:$F$477,MATCH($E1364,Section_Master!$A$2:$A$477,0))&amp;"","")</f>
        <v>N/A</v>
      </c>
      <c r="I1364" s="10" t="str">
        <f aca="false">IFERROR(INDEX(Section_Master!$G$2:$G$477,MATCH($E1364,Section_Master!$A$2:$A$477,0))&amp;"","")</f>
        <v>N/A</v>
      </c>
      <c r="J1364" s="10" t="s">
        <v>48</v>
      </c>
      <c r="K1364" s="8" t="s">
        <v>3231</v>
      </c>
    </row>
    <row r="1365" customFormat="false" ht="34.5" hidden="false" customHeight="true" outlineLevel="0" collapsed="false">
      <c r="A1365" s="10" t="s">
        <v>3232</v>
      </c>
      <c r="B1365" s="10" t="s">
        <v>45</v>
      </c>
      <c r="C1365" s="8" t="s">
        <v>3229</v>
      </c>
      <c r="D1365" s="8" t="s">
        <v>3233</v>
      </c>
      <c r="E1365" s="11" t="n">
        <v>228</v>
      </c>
      <c r="F1365" s="8" t="str">
        <f aca="false">IFERROR(INDEX(Section_Master!$D$2:$D$477,MATCH($E1365,Section_Master!$A$2:$A$477,0))&amp;"","")</f>
        <v>Not applicable - no offence or penalty defined here (definition, exception or general provision)</v>
      </c>
      <c r="G1365" s="10" t="str">
        <f aca="false">IFERROR(INDEX(Section_Master!$E$2:$E$477,MATCH($E1365,Section_Master!$A$2:$A$477,0))&amp;"","")</f>
        <v>N/A</v>
      </c>
      <c r="H1365" s="10" t="str">
        <f aca="false">IFERROR(INDEX(Section_Master!$F$2:$F$477,MATCH($E1365,Section_Master!$A$2:$A$477,0))&amp;"","")</f>
        <v>N/A</v>
      </c>
      <c r="I1365" s="10" t="str">
        <f aca="false">IFERROR(INDEX(Section_Master!$G$2:$G$477,MATCH($E1365,Section_Master!$A$2:$A$477,0))&amp;"","")</f>
        <v>N/A</v>
      </c>
      <c r="J1365" s="10" t="s">
        <v>52</v>
      </c>
      <c r="K1365" s="8" t="s">
        <v>3231</v>
      </c>
    </row>
    <row r="1366" customFormat="false" ht="34.5" hidden="false" customHeight="true" outlineLevel="0" collapsed="false">
      <c r="A1366" s="10" t="s">
        <v>3234</v>
      </c>
      <c r="B1366" s="10" t="s">
        <v>45</v>
      </c>
      <c r="C1366" s="8" t="s">
        <v>3229</v>
      </c>
      <c r="D1366" s="8" t="s">
        <v>3235</v>
      </c>
      <c r="E1366" s="11" t="n">
        <v>228</v>
      </c>
      <c r="F1366" s="8" t="str">
        <f aca="false">IFERROR(INDEX(Section_Master!$D$2:$D$477,MATCH($E1366,Section_Master!$A$2:$A$477,0))&amp;"","")</f>
        <v>Not applicable - no offence or penalty defined here (definition, exception or general provision)</v>
      </c>
      <c r="G1366" s="10" t="str">
        <f aca="false">IFERROR(INDEX(Section_Master!$E$2:$E$477,MATCH($E1366,Section_Master!$A$2:$A$477,0))&amp;"","")</f>
        <v>N/A</v>
      </c>
      <c r="H1366" s="10" t="str">
        <f aca="false">IFERROR(INDEX(Section_Master!$F$2:$F$477,MATCH($E1366,Section_Master!$A$2:$A$477,0))&amp;"","")</f>
        <v>N/A</v>
      </c>
      <c r="I1366" s="10" t="str">
        <f aca="false">IFERROR(INDEX(Section_Master!$G$2:$G$477,MATCH($E1366,Section_Master!$A$2:$A$477,0))&amp;"","")</f>
        <v>N/A</v>
      </c>
      <c r="J1366" s="10" t="s">
        <v>55</v>
      </c>
      <c r="K1366" s="8" t="s">
        <v>3231</v>
      </c>
    </row>
    <row r="1367" customFormat="false" ht="23.25" hidden="false" customHeight="true" outlineLevel="0" collapsed="false">
      <c r="A1367" s="10" t="s">
        <v>3236</v>
      </c>
      <c r="B1367" s="10" t="s">
        <v>45</v>
      </c>
      <c r="C1367" s="8" t="s">
        <v>3229</v>
      </c>
      <c r="D1367" s="8" t="s">
        <v>3237</v>
      </c>
      <c r="E1367" s="11" t="n">
        <v>228</v>
      </c>
      <c r="F1367" s="8" t="str">
        <f aca="false">IFERROR(INDEX(Section_Master!$D$2:$D$477,MATCH($E1367,Section_Master!$A$2:$A$477,0))&amp;"","")</f>
        <v>Not applicable - no offence or penalty defined here (definition, exception or general provision)</v>
      </c>
      <c r="G1367" s="10" t="str">
        <f aca="false">IFERROR(INDEX(Section_Master!$E$2:$E$477,MATCH($E1367,Section_Master!$A$2:$A$477,0))&amp;"","")</f>
        <v>N/A</v>
      </c>
      <c r="H1367" s="10" t="str">
        <f aca="false">IFERROR(INDEX(Section_Master!$F$2:$F$477,MATCH($E1367,Section_Master!$A$2:$A$477,0))&amp;"","")</f>
        <v>N/A</v>
      </c>
      <c r="I1367" s="10" t="str">
        <f aca="false">IFERROR(INDEX(Section_Master!$G$2:$G$477,MATCH($E1367,Section_Master!$A$2:$A$477,0))&amp;"","")</f>
        <v>N/A</v>
      </c>
      <c r="J1367" s="10" t="s">
        <v>58</v>
      </c>
      <c r="K1367" s="8" t="s">
        <v>3231</v>
      </c>
    </row>
    <row r="1368" customFormat="false" ht="34.5" hidden="false" customHeight="true" outlineLevel="0" collapsed="false">
      <c r="A1368" s="10" t="s">
        <v>3238</v>
      </c>
      <c r="B1368" s="10" t="s">
        <v>45</v>
      </c>
      <c r="C1368" s="8" t="s">
        <v>3229</v>
      </c>
      <c r="D1368" s="8" t="s">
        <v>3239</v>
      </c>
      <c r="E1368" s="11" t="n">
        <v>228</v>
      </c>
      <c r="F1368" s="8" t="str">
        <f aca="false">IFERROR(INDEX(Section_Master!$D$2:$D$477,MATCH($E1368,Section_Master!$A$2:$A$477,0))&amp;"","")</f>
        <v>Not applicable - no offence or penalty defined here (definition, exception or general provision)</v>
      </c>
      <c r="G1368" s="10" t="str">
        <f aca="false">IFERROR(INDEX(Section_Master!$E$2:$E$477,MATCH($E1368,Section_Master!$A$2:$A$477,0))&amp;"","")</f>
        <v>N/A</v>
      </c>
      <c r="H1368" s="10" t="str">
        <f aca="false">IFERROR(INDEX(Section_Master!$F$2:$F$477,MATCH($E1368,Section_Master!$A$2:$A$477,0))&amp;"","")</f>
        <v>N/A</v>
      </c>
      <c r="I1368" s="10" t="str">
        <f aca="false">IFERROR(INDEX(Section_Master!$G$2:$G$477,MATCH($E1368,Section_Master!$A$2:$A$477,0))&amp;"","")</f>
        <v>N/A</v>
      </c>
      <c r="J1368" s="10" t="s">
        <v>61</v>
      </c>
      <c r="K1368" s="8" t="s">
        <v>3231</v>
      </c>
    </row>
    <row r="1369" customFormat="false" ht="34.5" hidden="false" customHeight="true" outlineLevel="0" collapsed="false">
      <c r="A1369" s="10" t="s">
        <v>3240</v>
      </c>
      <c r="B1369" s="10" t="s">
        <v>45</v>
      </c>
      <c r="C1369" s="8" t="s">
        <v>3229</v>
      </c>
      <c r="D1369" s="8" t="s">
        <v>3241</v>
      </c>
      <c r="E1369" s="11" t="n">
        <v>228</v>
      </c>
      <c r="F1369" s="8" t="str">
        <f aca="false">IFERROR(INDEX(Section_Master!$D$2:$D$477,MATCH($E1369,Section_Master!$A$2:$A$477,0))&amp;"","")</f>
        <v>Not applicable - no offence or penalty defined here (definition, exception or general provision)</v>
      </c>
      <c r="G1369" s="10" t="str">
        <f aca="false">IFERROR(INDEX(Section_Master!$E$2:$E$477,MATCH($E1369,Section_Master!$A$2:$A$477,0))&amp;"","")</f>
        <v>N/A</v>
      </c>
      <c r="H1369" s="10" t="str">
        <f aca="false">IFERROR(INDEX(Section_Master!$F$2:$F$477,MATCH($E1369,Section_Master!$A$2:$A$477,0))&amp;"","")</f>
        <v>N/A</v>
      </c>
      <c r="I1369" s="10" t="str">
        <f aca="false">IFERROR(INDEX(Section_Master!$G$2:$G$477,MATCH($E1369,Section_Master!$A$2:$A$477,0))&amp;"","")</f>
        <v>N/A</v>
      </c>
      <c r="J1369" s="10" t="s">
        <v>64</v>
      </c>
      <c r="K1369" s="8" t="s">
        <v>3231</v>
      </c>
    </row>
    <row r="1370" customFormat="false" ht="34.5" hidden="false" customHeight="true" outlineLevel="0" collapsed="false">
      <c r="A1370" s="10" t="s">
        <v>3242</v>
      </c>
      <c r="B1370" s="10" t="s">
        <v>45</v>
      </c>
      <c r="C1370" s="8" t="s">
        <v>3243</v>
      </c>
      <c r="D1370" s="8" t="s">
        <v>3244</v>
      </c>
      <c r="E1370" s="11" t="n">
        <v>229</v>
      </c>
      <c r="F1370" s="8" t="str">
        <f aca="false">IFERROR(INDEX(Section_Master!$D$2:$D$477,MATCH($E1370,Section_Master!$A$2:$A$477,0))&amp;"","")</f>
        <v>Imprisonment up to 7 years and fine [s.229(1)]</v>
      </c>
      <c r="G1370" s="10" t="str">
        <f aca="false">IFERROR(INDEX(Section_Master!$E$2:$E$477,MATCH($E1370,Section_Master!$A$2:$A$477,0))&amp;"","")</f>
        <v>No</v>
      </c>
      <c r="H1370" s="10" t="str">
        <f aca="false">IFERROR(INDEX(Section_Master!$F$2:$F$477,MATCH($E1370,Section_Master!$A$2:$A$477,0))&amp;"","")</f>
        <v>Yes</v>
      </c>
      <c r="I1370" s="10" t="str">
        <f aca="false">IFERROR(INDEX(Section_Master!$G$2:$G$477,MATCH($E1370,Section_Master!$A$2:$A$477,0))&amp;"","")</f>
        <v>No</v>
      </c>
      <c r="J1370" s="10" t="s">
        <v>48</v>
      </c>
      <c r="K1370" s="8" t="s">
        <v>3245</v>
      </c>
    </row>
    <row r="1371" customFormat="false" ht="34.5" hidden="false" customHeight="true" outlineLevel="0" collapsed="false">
      <c r="A1371" s="10" t="s">
        <v>3246</v>
      </c>
      <c r="B1371" s="10" t="s">
        <v>45</v>
      </c>
      <c r="C1371" s="8" t="s">
        <v>3243</v>
      </c>
      <c r="D1371" s="8" t="s">
        <v>3247</v>
      </c>
      <c r="E1371" s="11" t="n">
        <v>229</v>
      </c>
      <c r="F1371" s="8" t="str">
        <f aca="false">IFERROR(INDEX(Section_Master!$D$2:$D$477,MATCH($E1371,Section_Master!$A$2:$A$477,0))&amp;"","")</f>
        <v>Imprisonment up to 7 years and fine [s.229(1)]</v>
      </c>
      <c r="G1371" s="10" t="str">
        <f aca="false">IFERROR(INDEX(Section_Master!$E$2:$E$477,MATCH($E1371,Section_Master!$A$2:$A$477,0))&amp;"","")</f>
        <v>No</v>
      </c>
      <c r="H1371" s="10" t="str">
        <f aca="false">IFERROR(INDEX(Section_Master!$F$2:$F$477,MATCH($E1371,Section_Master!$A$2:$A$477,0))&amp;"","")</f>
        <v>Yes</v>
      </c>
      <c r="I1371" s="10" t="str">
        <f aca="false">IFERROR(INDEX(Section_Master!$G$2:$G$477,MATCH($E1371,Section_Master!$A$2:$A$477,0))&amp;"","")</f>
        <v>No</v>
      </c>
      <c r="J1371" s="10" t="s">
        <v>52</v>
      </c>
      <c r="K1371" s="8" t="s">
        <v>3245</v>
      </c>
    </row>
    <row r="1372" customFormat="false" ht="34.5" hidden="false" customHeight="true" outlineLevel="0" collapsed="false">
      <c r="A1372" s="10" t="s">
        <v>3248</v>
      </c>
      <c r="B1372" s="10" t="s">
        <v>45</v>
      </c>
      <c r="C1372" s="8" t="s">
        <v>3243</v>
      </c>
      <c r="D1372" s="8" t="s">
        <v>3249</v>
      </c>
      <c r="E1372" s="11" t="n">
        <v>229</v>
      </c>
      <c r="F1372" s="8" t="str">
        <f aca="false">IFERROR(INDEX(Section_Master!$D$2:$D$477,MATCH($E1372,Section_Master!$A$2:$A$477,0))&amp;"","")</f>
        <v>Imprisonment up to 7 years and fine [s.229(1)]</v>
      </c>
      <c r="G1372" s="10" t="str">
        <f aca="false">IFERROR(INDEX(Section_Master!$E$2:$E$477,MATCH($E1372,Section_Master!$A$2:$A$477,0))&amp;"","")</f>
        <v>No</v>
      </c>
      <c r="H1372" s="10" t="str">
        <f aca="false">IFERROR(INDEX(Section_Master!$F$2:$F$477,MATCH($E1372,Section_Master!$A$2:$A$477,0))&amp;"","")</f>
        <v>Yes</v>
      </c>
      <c r="I1372" s="10" t="str">
        <f aca="false">IFERROR(INDEX(Section_Master!$G$2:$G$477,MATCH($E1372,Section_Master!$A$2:$A$477,0))&amp;"","")</f>
        <v>No</v>
      </c>
      <c r="J1372" s="10" t="s">
        <v>55</v>
      </c>
      <c r="K1372" s="8" t="s">
        <v>3245</v>
      </c>
    </row>
    <row r="1373" customFormat="false" ht="34.5" hidden="false" customHeight="true" outlineLevel="0" collapsed="false">
      <c r="A1373" s="10" t="s">
        <v>3250</v>
      </c>
      <c r="B1373" s="10" t="s">
        <v>45</v>
      </c>
      <c r="C1373" s="8" t="s">
        <v>3243</v>
      </c>
      <c r="D1373" s="8" t="s">
        <v>3251</v>
      </c>
      <c r="E1373" s="11" t="n">
        <v>229</v>
      </c>
      <c r="F1373" s="8" t="str">
        <f aca="false">IFERROR(INDEX(Section_Master!$D$2:$D$477,MATCH($E1373,Section_Master!$A$2:$A$477,0))&amp;"","")</f>
        <v>Imprisonment up to 7 years and fine [s.229(1)]</v>
      </c>
      <c r="G1373" s="10" t="str">
        <f aca="false">IFERROR(INDEX(Section_Master!$E$2:$E$477,MATCH($E1373,Section_Master!$A$2:$A$477,0))&amp;"","")</f>
        <v>No</v>
      </c>
      <c r="H1373" s="10" t="str">
        <f aca="false">IFERROR(INDEX(Section_Master!$F$2:$F$477,MATCH($E1373,Section_Master!$A$2:$A$477,0))&amp;"","")</f>
        <v>Yes</v>
      </c>
      <c r="I1373" s="10" t="str">
        <f aca="false">IFERROR(INDEX(Section_Master!$G$2:$G$477,MATCH($E1373,Section_Master!$A$2:$A$477,0))&amp;"","")</f>
        <v>No</v>
      </c>
      <c r="J1373" s="10" t="s">
        <v>58</v>
      </c>
      <c r="K1373" s="8" t="s">
        <v>3245</v>
      </c>
    </row>
    <row r="1374" customFormat="false" ht="23.25" hidden="false" customHeight="true" outlineLevel="0" collapsed="false">
      <c r="A1374" s="10" t="s">
        <v>3252</v>
      </c>
      <c r="B1374" s="10" t="s">
        <v>45</v>
      </c>
      <c r="C1374" s="8" t="s">
        <v>3243</v>
      </c>
      <c r="D1374" s="8" t="s">
        <v>3253</v>
      </c>
      <c r="E1374" s="11" t="n">
        <v>229</v>
      </c>
      <c r="F1374" s="8" t="str">
        <f aca="false">IFERROR(INDEX(Section_Master!$D$2:$D$477,MATCH($E1374,Section_Master!$A$2:$A$477,0))&amp;"","")</f>
        <v>Imprisonment up to 7 years and fine [s.229(1)]</v>
      </c>
      <c r="G1374" s="10" t="str">
        <f aca="false">IFERROR(INDEX(Section_Master!$E$2:$E$477,MATCH($E1374,Section_Master!$A$2:$A$477,0))&amp;"","")</f>
        <v>No</v>
      </c>
      <c r="H1374" s="10" t="str">
        <f aca="false">IFERROR(INDEX(Section_Master!$F$2:$F$477,MATCH($E1374,Section_Master!$A$2:$A$477,0))&amp;"","")</f>
        <v>Yes</v>
      </c>
      <c r="I1374" s="10" t="str">
        <f aca="false">IFERROR(INDEX(Section_Master!$G$2:$G$477,MATCH($E1374,Section_Master!$A$2:$A$477,0))&amp;"","")</f>
        <v>No</v>
      </c>
      <c r="J1374" s="10" t="s">
        <v>61</v>
      </c>
      <c r="K1374" s="8" t="s">
        <v>3245</v>
      </c>
    </row>
    <row r="1375" customFormat="false" ht="34.5" hidden="false" customHeight="true" outlineLevel="0" collapsed="false">
      <c r="A1375" s="10" t="s">
        <v>3254</v>
      </c>
      <c r="B1375" s="10" t="s">
        <v>45</v>
      </c>
      <c r="C1375" s="8" t="s">
        <v>3243</v>
      </c>
      <c r="D1375" s="8" t="s">
        <v>3255</v>
      </c>
      <c r="E1375" s="11" t="n">
        <v>229</v>
      </c>
      <c r="F1375" s="8" t="str">
        <f aca="false">IFERROR(INDEX(Section_Master!$D$2:$D$477,MATCH($E1375,Section_Master!$A$2:$A$477,0))&amp;"","")</f>
        <v>Imprisonment up to 7 years and fine [s.229(1)]</v>
      </c>
      <c r="G1375" s="10" t="str">
        <f aca="false">IFERROR(INDEX(Section_Master!$E$2:$E$477,MATCH($E1375,Section_Master!$A$2:$A$477,0))&amp;"","")</f>
        <v>No</v>
      </c>
      <c r="H1375" s="10" t="str">
        <f aca="false">IFERROR(INDEX(Section_Master!$F$2:$F$477,MATCH($E1375,Section_Master!$A$2:$A$477,0))&amp;"","")</f>
        <v>Yes</v>
      </c>
      <c r="I1375" s="10" t="str">
        <f aca="false">IFERROR(INDEX(Section_Master!$G$2:$G$477,MATCH($E1375,Section_Master!$A$2:$A$477,0))&amp;"","")</f>
        <v>No</v>
      </c>
      <c r="J1375" s="10" t="s">
        <v>64</v>
      </c>
      <c r="K1375" s="8" t="s">
        <v>3245</v>
      </c>
    </row>
    <row r="1376" customFormat="false" ht="34.5" hidden="false" customHeight="true" outlineLevel="0" collapsed="false">
      <c r="A1376" s="10" t="s">
        <v>3256</v>
      </c>
      <c r="B1376" s="10" t="s">
        <v>45</v>
      </c>
      <c r="C1376" s="8" t="s">
        <v>3257</v>
      </c>
      <c r="D1376" s="8" t="s">
        <v>3258</v>
      </c>
      <c r="E1376" s="11" t="n">
        <v>230</v>
      </c>
      <c r="F1376" s="8" t="str">
        <f aca="false">IFERROR(INDEX(Section_Master!$D$2:$D$477,MATCH($E1376,Section_Master!$A$2:$A$477,0))&amp;"","")</f>
        <v>Imprisonment for life, or rigorous imprisonment up to 10 years, and fine; death or life if an innocent person is executed [s.230]</v>
      </c>
      <c r="G1376" s="10" t="str">
        <f aca="false">IFERROR(INDEX(Section_Master!$E$2:$E$477,MATCH($E1376,Section_Master!$A$2:$A$477,0))&amp;"","")</f>
        <v>No</v>
      </c>
      <c r="H1376" s="10" t="str">
        <f aca="false">IFERROR(INDEX(Section_Master!$F$2:$F$477,MATCH($E1376,Section_Master!$A$2:$A$477,0))&amp;"","")</f>
        <v>No</v>
      </c>
      <c r="I1376" s="10" t="str">
        <f aca="false">IFERROR(INDEX(Section_Master!$G$2:$G$477,MATCH($E1376,Section_Master!$A$2:$A$477,0))&amp;"","")</f>
        <v>No</v>
      </c>
      <c r="J1376" s="10" t="s">
        <v>48</v>
      </c>
      <c r="K1376" s="8" t="s">
        <v>3259</v>
      </c>
    </row>
    <row r="1377" customFormat="false" ht="34.5" hidden="false" customHeight="true" outlineLevel="0" collapsed="false">
      <c r="A1377" s="10" t="s">
        <v>3260</v>
      </c>
      <c r="B1377" s="10" t="s">
        <v>45</v>
      </c>
      <c r="C1377" s="8" t="s">
        <v>3257</v>
      </c>
      <c r="D1377" s="8" t="s">
        <v>3261</v>
      </c>
      <c r="E1377" s="11" t="n">
        <v>230</v>
      </c>
      <c r="F1377" s="8" t="str">
        <f aca="false">IFERROR(INDEX(Section_Master!$D$2:$D$477,MATCH($E1377,Section_Master!$A$2:$A$477,0))&amp;"","")</f>
        <v>Imprisonment for life, or rigorous imprisonment up to 10 years, and fine; death or life if an innocent person is executed [s.230]</v>
      </c>
      <c r="G1377" s="10" t="str">
        <f aca="false">IFERROR(INDEX(Section_Master!$E$2:$E$477,MATCH($E1377,Section_Master!$A$2:$A$477,0))&amp;"","")</f>
        <v>No</v>
      </c>
      <c r="H1377" s="10" t="str">
        <f aca="false">IFERROR(INDEX(Section_Master!$F$2:$F$477,MATCH($E1377,Section_Master!$A$2:$A$477,0))&amp;"","")</f>
        <v>No</v>
      </c>
      <c r="I1377" s="10" t="str">
        <f aca="false">IFERROR(INDEX(Section_Master!$G$2:$G$477,MATCH($E1377,Section_Master!$A$2:$A$477,0))&amp;"","")</f>
        <v>No</v>
      </c>
      <c r="J1377" s="10" t="s">
        <v>52</v>
      </c>
      <c r="K1377" s="8" t="s">
        <v>3259</v>
      </c>
    </row>
    <row r="1378" customFormat="false" ht="34.5" hidden="false" customHeight="true" outlineLevel="0" collapsed="false">
      <c r="A1378" s="10" t="s">
        <v>3262</v>
      </c>
      <c r="B1378" s="10" t="s">
        <v>45</v>
      </c>
      <c r="C1378" s="8" t="s">
        <v>3257</v>
      </c>
      <c r="D1378" s="8" t="s">
        <v>3263</v>
      </c>
      <c r="E1378" s="11" t="n">
        <v>230</v>
      </c>
      <c r="F1378" s="8" t="str">
        <f aca="false">IFERROR(INDEX(Section_Master!$D$2:$D$477,MATCH($E1378,Section_Master!$A$2:$A$477,0))&amp;"","")</f>
        <v>Imprisonment for life, or rigorous imprisonment up to 10 years, and fine; death or life if an innocent person is executed [s.230]</v>
      </c>
      <c r="G1378" s="10" t="str">
        <f aca="false">IFERROR(INDEX(Section_Master!$E$2:$E$477,MATCH($E1378,Section_Master!$A$2:$A$477,0))&amp;"","")</f>
        <v>No</v>
      </c>
      <c r="H1378" s="10" t="str">
        <f aca="false">IFERROR(INDEX(Section_Master!$F$2:$F$477,MATCH($E1378,Section_Master!$A$2:$A$477,0))&amp;"","")</f>
        <v>No</v>
      </c>
      <c r="I1378" s="10" t="str">
        <f aca="false">IFERROR(INDEX(Section_Master!$G$2:$G$477,MATCH($E1378,Section_Master!$A$2:$A$477,0))&amp;"","")</f>
        <v>No</v>
      </c>
      <c r="J1378" s="10" t="s">
        <v>55</v>
      </c>
      <c r="K1378" s="8" t="s">
        <v>3259</v>
      </c>
    </row>
    <row r="1379" customFormat="false" ht="34.5" hidden="false" customHeight="true" outlineLevel="0" collapsed="false">
      <c r="A1379" s="10" t="s">
        <v>3264</v>
      </c>
      <c r="B1379" s="10" t="s">
        <v>45</v>
      </c>
      <c r="C1379" s="8" t="s">
        <v>3257</v>
      </c>
      <c r="D1379" s="8" t="s">
        <v>3265</v>
      </c>
      <c r="E1379" s="11" t="n">
        <v>230</v>
      </c>
      <c r="F1379" s="8" t="str">
        <f aca="false">IFERROR(INDEX(Section_Master!$D$2:$D$477,MATCH($E1379,Section_Master!$A$2:$A$477,0))&amp;"","")</f>
        <v>Imprisonment for life, or rigorous imprisonment up to 10 years, and fine; death or life if an innocent person is executed [s.230]</v>
      </c>
      <c r="G1379" s="10" t="str">
        <f aca="false">IFERROR(INDEX(Section_Master!$E$2:$E$477,MATCH($E1379,Section_Master!$A$2:$A$477,0))&amp;"","")</f>
        <v>No</v>
      </c>
      <c r="H1379" s="10" t="str">
        <f aca="false">IFERROR(INDEX(Section_Master!$F$2:$F$477,MATCH($E1379,Section_Master!$A$2:$A$477,0))&amp;"","")</f>
        <v>No</v>
      </c>
      <c r="I1379" s="10" t="str">
        <f aca="false">IFERROR(INDEX(Section_Master!$G$2:$G$477,MATCH($E1379,Section_Master!$A$2:$A$477,0))&amp;"","")</f>
        <v>No</v>
      </c>
      <c r="J1379" s="10" t="s">
        <v>58</v>
      </c>
      <c r="K1379" s="8" t="s">
        <v>3259</v>
      </c>
    </row>
    <row r="1380" customFormat="false" ht="34.5" hidden="false" customHeight="true" outlineLevel="0" collapsed="false">
      <c r="A1380" s="10" t="s">
        <v>3266</v>
      </c>
      <c r="B1380" s="10" t="s">
        <v>45</v>
      </c>
      <c r="C1380" s="8" t="s">
        <v>3257</v>
      </c>
      <c r="D1380" s="8" t="s">
        <v>3267</v>
      </c>
      <c r="E1380" s="11" t="n">
        <v>230</v>
      </c>
      <c r="F1380" s="8" t="str">
        <f aca="false">IFERROR(INDEX(Section_Master!$D$2:$D$477,MATCH($E1380,Section_Master!$A$2:$A$477,0))&amp;"","")</f>
        <v>Imprisonment for life, or rigorous imprisonment up to 10 years, and fine; death or life if an innocent person is executed [s.230]</v>
      </c>
      <c r="G1380" s="10" t="str">
        <f aca="false">IFERROR(INDEX(Section_Master!$E$2:$E$477,MATCH($E1380,Section_Master!$A$2:$A$477,0))&amp;"","")</f>
        <v>No</v>
      </c>
      <c r="H1380" s="10" t="str">
        <f aca="false">IFERROR(INDEX(Section_Master!$F$2:$F$477,MATCH($E1380,Section_Master!$A$2:$A$477,0))&amp;"","")</f>
        <v>No</v>
      </c>
      <c r="I1380" s="10" t="str">
        <f aca="false">IFERROR(INDEX(Section_Master!$G$2:$G$477,MATCH($E1380,Section_Master!$A$2:$A$477,0))&amp;"","")</f>
        <v>No</v>
      </c>
      <c r="J1380" s="10" t="s">
        <v>61</v>
      </c>
      <c r="K1380" s="8" t="s">
        <v>3259</v>
      </c>
    </row>
    <row r="1381" customFormat="false" ht="34.5" hidden="false" customHeight="true" outlineLevel="0" collapsed="false">
      <c r="A1381" s="10" t="s">
        <v>3268</v>
      </c>
      <c r="B1381" s="10" t="s">
        <v>45</v>
      </c>
      <c r="C1381" s="8" t="s">
        <v>3257</v>
      </c>
      <c r="D1381" s="8" t="s">
        <v>3269</v>
      </c>
      <c r="E1381" s="11" t="n">
        <v>230</v>
      </c>
      <c r="F1381" s="8" t="str">
        <f aca="false">IFERROR(INDEX(Section_Master!$D$2:$D$477,MATCH($E1381,Section_Master!$A$2:$A$477,0))&amp;"","")</f>
        <v>Imprisonment for life, or rigorous imprisonment up to 10 years, and fine; death or life if an innocent person is executed [s.230]</v>
      </c>
      <c r="G1381" s="10" t="str">
        <f aca="false">IFERROR(INDEX(Section_Master!$E$2:$E$477,MATCH($E1381,Section_Master!$A$2:$A$477,0))&amp;"","")</f>
        <v>No</v>
      </c>
      <c r="H1381" s="10" t="str">
        <f aca="false">IFERROR(INDEX(Section_Master!$F$2:$F$477,MATCH($E1381,Section_Master!$A$2:$A$477,0))&amp;"","")</f>
        <v>No</v>
      </c>
      <c r="I1381" s="10" t="str">
        <f aca="false">IFERROR(INDEX(Section_Master!$G$2:$G$477,MATCH($E1381,Section_Master!$A$2:$A$477,0))&amp;"","")</f>
        <v>No</v>
      </c>
      <c r="J1381" s="10" t="s">
        <v>64</v>
      </c>
      <c r="K1381" s="8" t="s">
        <v>3259</v>
      </c>
    </row>
    <row r="1382" customFormat="false" ht="34.5" hidden="false" customHeight="true" outlineLevel="0" collapsed="false">
      <c r="A1382" s="10" t="s">
        <v>3270</v>
      </c>
      <c r="B1382" s="10" t="s">
        <v>45</v>
      </c>
      <c r="C1382" s="8" t="s">
        <v>3271</v>
      </c>
      <c r="D1382" s="8" t="s">
        <v>3272</v>
      </c>
      <c r="E1382" s="11" t="n">
        <v>231</v>
      </c>
      <c r="F1382" s="8" t="str">
        <f aca="false">IFERROR(INDEX(Section_Master!$D$2:$D$477,MATCH($E1382,Section_Master!$A$2:$A$477,0))&amp;"","")</f>
        <v>Same punishment as for the offence for which conviction is sought</v>
      </c>
      <c r="G1382" s="10" t="str">
        <f aca="false">IFERROR(INDEX(Section_Master!$E$2:$E$477,MATCH($E1382,Section_Master!$A$2:$A$477,0))&amp;"","")</f>
        <v>No</v>
      </c>
      <c r="H1382" s="10" t="str">
        <f aca="false">IFERROR(INDEX(Section_Master!$F$2:$F$477,MATCH($E1382,Section_Master!$A$2:$A$477,0))&amp;"","")</f>
        <v>No</v>
      </c>
      <c r="I1382" s="10" t="str">
        <f aca="false">IFERROR(INDEX(Section_Master!$G$2:$G$477,MATCH($E1382,Section_Master!$A$2:$A$477,0))&amp;"","")</f>
        <v>No</v>
      </c>
      <c r="J1382" s="10" t="s">
        <v>48</v>
      </c>
      <c r="K1382" s="8" t="s">
        <v>3273</v>
      </c>
    </row>
    <row r="1383" customFormat="false" ht="45.75" hidden="false" customHeight="true" outlineLevel="0" collapsed="false">
      <c r="A1383" s="10" t="s">
        <v>3274</v>
      </c>
      <c r="B1383" s="10" t="s">
        <v>45</v>
      </c>
      <c r="C1383" s="8" t="s">
        <v>3271</v>
      </c>
      <c r="D1383" s="8" t="s">
        <v>3275</v>
      </c>
      <c r="E1383" s="11" t="n">
        <v>231</v>
      </c>
      <c r="F1383" s="8" t="str">
        <f aca="false">IFERROR(INDEX(Section_Master!$D$2:$D$477,MATCH($E1383,Section_Master!$A$2:$A$477,0))&amp;"","")</f>
        <v>Same punishment as for the offence for which conviction is sought</v>
      </c>
      <c r="G1383" s="10" t="str">
        <f aca="false">IFERROR(INDEX(Section_Master!$E$2:$E$477,MATCH($E1383,Section_Master!$A$2:$A$477,0))&amp;"","")</f>
        <v>No</v>
      </c>
      <c r="H1383" s="10" t="str">
        <f aca="false">IFERROR(INDEX(Section_Master!$F$2:$F$477,MATCH($E1383,Section_Master!$A$2:$A$477,0))&amp;"","")</f>
        <v>No</v>
      </c>
      <c r="I1383" s="10" t="str">
        <f aca="false">IFERROR(INDEX(Section_Master!$G$2:$G$477,MATCH($E1383,Section_Master!$A$2:$A$477,0))&amp;"","")</f>
        <v>No</v>
      </c>
      <c r="J1383" s="10" t="s">
        <v>52</v>
      </c>
      <c r="K1383" s="8" t="s">
        <v>3273</v>
      </c>
    </row>
    <row r="1384" customFormat="false" ht="34.5" hidden="false" customHeight="true" outlineLevel="0" collapsed="false">
      <c r="A1384" s="10" t="s">
        <v>3276</v>
      </c>
      <c r="B1384" s="10" t="s">
        <v>45</v>
      </c>
      <c r="C1384" s="8" t="s">
        <v>3271</v>
      </c>
      <c r="D1384" s="8" t="s">
        <v>3277</v>
      </c>
      <c r="E1384" s="11" t="n">
        <v>231</v>
      </c>
      <c r="F1384" s="8" t="str">
        <f aca="false">IFERROR(INDEX(Section_Master!$D$2:$D$477,MATCH($E1384,Section_Master!$A$2:$A$477,0))&amp;"","")</f>
        <v>Same punishment as for the offence for which conviction is sought</v>
      </c>
      <c r="G1384" s="10" t="str">
        <f aca="false">IFERROR(INDEX(Section_Master!$E$2:$E$477,MATCH($E1384,Section_Master!$A$2:$A$477,0))&amp;"","")</f>
        <v>No</v>
      </c>
      <c r="H1384" s="10" t="str">
        <f aca="false">IFERROR(INDEX(Section_Master!$F$2:$F$477,MATCH($E1384,Section_Master!$A$2:$A$477,0))&amp;"","")</f>
        <v>No</v>
      </c>
      <c r="I1384" s="10" t="str">
        <f aca="false">IFERROR(INDEX(Section_Master!$G$2:$G$477,MATCH($E1384,Section_Master!$A$2:$A$477,0))&amp;"","")</f>
        <v>No</v>
      </c>
      <c r="J1384" s="10" t="s">
        <v>55</v>
      </c>
      <c r="K1384" s="8" t="s">
        <v>3273</v>
      </c>
    </row>
    <row r="1385" customFormat="false" ht="34.5" hidden="false" customHeight="true" outlineLevel="0" collapsed="false">
      <c r="A1385" s="10" t="s">
        <v>3278</v>
      </c>
      <c r="B1385" s="10" t="s">
        <v>45</v>
      </c>
      <c r="C1385" s="8" t="s">
        <v>3271</v>
      </c>
      <c r="D1385" s="8" t="s">
        <v>3279</v>
      </c>
      <c r="E1385" s="11" t="n">
        <v>231</v>
      </c>
      <c r="F1385" s="8" t="str">
        <f aca="false">IFERROR(INDEX(Section_Master!$D$2:$D$477,MATCH($E1385,Section_Master!$A$2:$A$477,0))&amp;"","")</f>
        <v>Same punishment as for the offence for which conviction is sought</v>
      </c>
      <c r="G1385" s="10" t="str">
        <f aca="false">IFERROR(INDEX(Section_Master!$E$2:$E$477,MATCH($E1385,Section_Master!$A$2:$A$477,0))&amp;"","")</f>
        <v>No</v>
      </c>
      <c r="H1385" s="10" t="str">
        <f aca="false">IFERROR(INDEX(Section_Master!$F$2:$F$477,MATCH($E1385,Section_Master!$A$2:$A$477,0))&amp;"","")</f>
        <v>No</v>
      </c>
      <c r="I1385" s="10" t="str">
        <f aca="false">IFERROR(INDEX(Section_Master!$G$2:$G$477,MATCH($E1385,Section_Master!$A$2:$A$477,0))&amp;"","")</f>
        <v>No</v>
      </c>
      <c r="J1385" s="10" t="s">
        <v>58</v>
      </c>
      <c r="K1385" s="8" t="s">
        <v>3273</v>
      </c>
    </row>
    <row r="1386" customFormat="false" ht="34.5" hidden="false" customHeight="true" outlineLevel="0" collapsed="false">
      <c r="A1386" s="10" t="s">
        <v>3280</v>
      </c>
      <c r="B1386" s="10" t="s">
        <v>45</v>
      </c>
      <c r="C1386" s="8" t="s">
        <v>3271</v>
      </c>
      <c r="D1386" s="8" t="s">
        <v>3281</v>
      </c>
      <c r="E1386" s="11" t="n">
        <v>231</v>
      </c>
      <c r="F1386" s="8" t="str">
        <f aca="false">IFERROR(INDEX(Section_Master!$D$2:$D$477,MATCH($E1386,Section_Master!$A$2:$A$477,0))&amp;"","")</f>
        <v>Same punishment as for the offence for which conviction is sought</v>
      </c>
      <c r="G1386" s="10" t="str">
        <f aca="false">IFERROR(INDEX(Section_Master!$E$2:$E$477,MATCH($E1386,Section_Master!$A$2:$A$477,0))&amp;"","")</f>
        <v>No</v>
      </c>
      <c r="H1386" s="10" t="str">
        <f aca="false">IFERROR(INDEX(Section_Master!$F$2:$F$477,MATCH($E1386,Section_Master!$A$2:$A$477,0))&amp;"","")</f>
        <v>No</v>
      </c>
      <c r="I1386" s="10" t="str">
        <f aca="false">IFERROR(INDEX(Section_Master!$G$2:$G$477,MATCH($E1386,Section_Master!$A$2:$A$477,0))&amp;"","")</f>
        <v>No</v>
      </c>
      <c r="J1386" s="10" t="s">
        <v>61</v>
      </c>
      <c r="K1386" s="8" t="s">
        <v>3273</v>
      </c>
    </row>
    <row r="1387" customFormat="false" ht="34.5" hidden="false" customHeight="true" outlineLevel="0" collapsed="false">
      <c r="A1387" s="10" t="s">
        <v>3282</v>
      </c>
      <c r="B1387" s="10" t="s">
        <v>45</v>
      </c>
      <c r="C1387" s="8" t="s">
        <v>3271</v>
      </c>
      <c r="D1387" s="8" t="s">
        <v>3283</v>
      </c>
      <c r="E1387" s="11" t="n">
        <v>231</v>
      </c>
      <c r="F1387" s="8" t="str">
        <f aca="false">IFERROR(INDEX(Section_Master!$D$2:$D$477,MATCH($E1387,Section_Master!$A$2:$A$477,0))&amp;"","")</f>
        <v>Same punishment as for the offence for which conviction is sought</v>
      </c>
      <c r="G1387" s="10" t="str">
        <f aca="false">IFERROR(INDEX(Section_Master!$E$2:$E$477,MATCH($E1387,Section_Master!$A$2:$A$477,0))&amp;"","")</f>
        <v>No</v>
      </c>
      <c r="H1387" s="10" t="str">
        <f aca="false">IFERROR(INDEX(Section_Master!$F$2:$F$477,MATCH($E1387,Section_Master!$A$2:$A$477,0))&amp;"","")</f>
        <v>No</v>
      </c>
      <c r="I1387" s="10" t="str">
        <f aca="false">IFERROR(INDEX(Section_Master!$G$2:$G$477,MATCH($E1387,Section_Master!$A$2:$A$477,0))&amp;"","")</f>
        <v>No</v>
      </c>
      <c r="J1387" s="10" t="s">
        <v>64</v>
      </c>
      <c r="K1387" s="8" t="s">
        <v>3273</v>
      </c>
    </row>
    <row r="1388" customFormat="false" ht="45.75" hidden="false" customHeight="true" outlineLevel="0" collapsed="false">
      <c r="A1388" s="10" t="s">
        <v>3284</v>
      </c>
      <c r="B1388" s="10" t="s">
        <v>45</v>
      </c>
      <c r="C1388" s="8" t="s">
        <v>3285</v>
      </c>
      <c r="D1388" s="8" t="s">
        <v>3286</v>
      </c>
      <c r="E1388" s="11" t="n">
        <v>232</v>
      </c>
      <c r="F1388" s="8" t="str">
        <f aca="false">IFERROR(INDEX(Section_Master!$D$2:$D$477,MATCH($E1388,Section_Master!$A$2:$A$477,0))&amp;"","")</f>
        <v>Imprisonment up to 7 years, or fine, or both; same as the innocent person's sentence if convicted [s.232]</v>
      </c>
      <c r="G1388" s="10" t="str">
        <f aca="false">IFERROR(INDEX(Section_Master!$E$2:$E$477,MATCH($E1388,Section_Master!$A$2:$A$477,0))&amp;"","")</f>
        <v>Yes</v>
      </c>
      <c r="H1388" s="10" t="str">
        <f aca="false">IFERROR(INDEX(Section_Master!$F$2:$F$477,MATCH($E1388,Section_Master!$A$2:$A$477,0))&amp;"","")</f>
        <v>No</v>
      </c>
      <c r="I1388" s="10" t="str">
        <f aca="false">IFERROR(INDEX(Section_Master!$G$2:$G$477,MATCH($E1388,Section_Master!$A$2:$A$477,0))&amp;"","")</f>
        <v>No</v>
      </c>
      <c r="J1388" s="10" t="s">
        <v>48</v>
      </c>
      <c r="K1388" s="8" t="s">
        <v>3287</v>
      </c>
    </row>
    <row r="1389" customFormat="false" ht="45.75" hidden="false" customHeight="true" outlineLevel="0" collapsed="false">
      <c r="A1389" s="10" t="s">
        <v>3288</v>
      </c>
      <c r="B1389" s="10" t="s">
        <v>45</v>
      </c>
      <c r="C1389" s="8" t="s">
        <v>3285</v>
      </c>
      <c r="D1389" s="8" t="s">
        <v>3289</v>
      </c>
      <c r="E1389" s="11" t="n">
        <v>232</v>
      </c>
      <c r="F1389" s="8" t="str">
        <f aca="false">IFERROR(INDEX(Section_Master!$D$2:$D$477,MATCH($E1389,Section_Master!$A$2:$A$477,0))&amp;"","")</f>
        <v>Imprisonment up to 7 years, or fine, or both; same as the innocent person's sentence if convicted [s.232]</v>
      </c>
      <c r="G1389" s="10" t="str">
        <f aca="false">IFERROR(INDEX(Section_Master!$E$2:$E$477,MATCH($E1389,Section_Master!$A$2:$A$477,0))&amp;"","")</f>
        <v>Yes</v>
      </c>
      <c r="H1389" s="10" t="str">
        <f aca="false">IFERROR(INDEX(Section_Master!$F$2:$F$477,MATCH($E1389,Section_Master!$A$2:$A$477,0))&amp;"","")</f>
        <v>No</v>
      </c>
      <c r="I1389" s="10" t="str">
        <f aca="false">IFERROR(INDEX(Section_Master!$G$2:$G$477,MATCH($E1389,Section_Master!$A$2:$A$477,0))&amp;"","")</f>
        <v>No</v>
      </c>
      <c r="J1389" s="10" t="s">
        <v>52</v>
      </c>
      <c r="K1389" s="8" t="s">
        <v>3287</v>
      </c>
    </row>
    <row r="1390" customFormat="false" ht="34.5" hidden="false" customHeight="true" outlineLevel="0" collapsed="false">
      <c r="A1390" s="10" t="s">
        <v>3290</v>
      </c>
      <c r="B1390" s="10" t="s">
        <v>45</v>
      </c>
      <c r="C1390" s="8" t="s">
        <v>3285</v>
      </c>
      <c r="D1390" s="8" t="s">
        <v>3291</v>
      </c>
      <c r="E1390" s="11" t="n">
        <v>232</v>
      </c>
      <c r="F1390" s="8" t="str">
        <f aca="false">IFERROR(INDEX(Section_Master!$D$2:$D$477,MATCH($E1390,Section_Master!$A$2:$A$477,0))&amp;"","")</f>
        <v>Imprisonment up to 7 years, or fine, or both; same as the innocent person's sentence if convicted [s.232]</v>
      </c>
      <c r="G1390" s="10" t="str">
        <f aca="false">IFERROR(INDEX(Section_Master!$E$2:$E$477,MATCH($E1390,Section_Master!$A$2:$A$477,0))&amp;"","")</f>
        <v>Yes</v>
      </c>
      <c r="H1390" s="10" t="str">
        <f aca="false">IFERROR(INDEX(Section_Master!$F$2:$F$477,MATCH($E1390,Section_Master!$A$2:$A$477,0))&amp;"","")</f>
        <v>No</v>
      </c>
      <c r="I1390" s="10" t="str">
        <f aca="false">IFERROR(INDEX(Section_Master!$G$2:$G$477,MATCH($E1390,Section_Master!$A$2:$A$477,0))&amp;"","")</f>
        <v>No</v>
      </c>
      <c r="J1390" s="10" t="s">
        <v>55</v>
      </c>
      <c r="K1390" s="8" t="s">
        <v>3287</v>
      </c>
    </row>
    <row r="1391" customFormat="false" ht="23.25" hidden="false" customHeight="true" outlineLevel="0" collapsed="false">
      <c r="A1391" s="10" t="s">
        <v>3292</v>
      </c>
      <c r="B1391" s="10" t="s">
        <v>45</v>
      </c>
      <c r="C1391" s="8" t="s">
        <v>3285</v>
      </c>
      <c r="D1391" s="8" t="s">
        <v>3293</v>
      </c>
      <c r="E1391" s="11" t="n">
        <v>232</v>
      </c>
      <c r="F1391" s="8" t="str">
        <f aca="false">IFERROR(INDEX(Section_Master!$D$2:$D$477,MATCH($E1391,Section_Master!$A$2:$A$477,0))&amp;"","")</f>
        <v>Imprisonment up to 7 years, or fine, or both; same as the innocent person's sentence if convicted [s.232]</v>
      </c>
      <c r="G1391" s="10" t="str">
        <f aca="false">IFERROR(INDEX(Section_Master!$E$2:$E$477,MATCH($E1391,Section_Master!$A$2:$A$477,0))&amp;"","")</f>
        <v>Yes</v>
      </c>
      <c r="H1391" s="10" t="str">
        <f aca="false">IFERROR(INDEX(Section_Master!$F$2:$F$477,MATCH($E1391,Section_Master!$A$2:$A$477,0))&amp;"","")</f>
        <v>No</v>
      </c>
      <c r="I1391" s="10" t="str">
        <f aca="false">IFERROR(INDEX(Section_Master!$G$2:$G$477,MATCH($E1391,Section_Master!$A$2:$A$477,0))&amp;"","")</f>
        <v>No</v>
      </c>
      <c r="J1391" s="10" t="s">
        <v>58</v>
      </c>
      <c r="K1391" s="8" t="s">
        <v>3287</v>
      </c>
    </row>
    <row r="1392" customFormat="false" ht="34.5" hidden="false" customHeight="true" outlineLevel="0" collapsed="false">
      <c r="A1392" s="10" t="s">
        <v>3294</v>
      </c>
      <c r="B1392" s="10" t="s">
        <v>45</v>
      </c>
      <c r="C1392" s="8" t="s">
        <v>3285</v>
      </c>
      <c r="D1392" s="8" t="s">
        <v>3295</v>
      </c>
      <c r="E1392" s="11" t="n">
        <v>232</v>
      </c>
      <c r="F1392" s="8" t="str">
        <f aca="false">IFERROR(INDEX(Section_Master!$D$2:$D$477,MATCH($E1392,Section_Master!$A$2:$A$477,0))&amp;"","")</f>
        <v>Imprisonment up to 7 years, or fine, or both; same as the innocent person's sentence if convicted [s.232]</v>
      </c>
      <c r="G1392" s="10" t="str">
        <f aca="false">IFERROR(INDEX(Section_Master!$E$2:$E$477,MATCH($E1392,Section_Master!$A$2:$A$477,0))&amp;"","")</f>
        <v>Yes</v>
      </c>
      <c r="H1392" s="10" t="str">
        <f aca="false">IFERROR(INDEX(Section_Master!$F$2:$F$477,MATCH($E1392,Section_Master!$A$2:$A$477,0))&amp;"","")</f>
        <v>No</v>
      </c>
      <c r="I1392" s="10" t="str">
        <f aca="false">IFERROR(INDEX(Section_Master!$G$2:$G$477,MATCH($E1392,Section_Master!$A$2:$A$477,0))&amp;"","")</f>
        <v>No</v>
      </c>
      <c r="J1392" s="10" t="s">
        <v>61</v>
      </c>
      <c r="K1392" s="8" t="s">
        <v>3287</v>
      </c>
    </row>
    <row r="1393" customFormat="false" ht="34.5" hidden="false" customHeight="true" outlineLevel="0" collapsed="false">
      <c r="A1393" s="10" t="s">
        <v>3296</v>
      </c>
      <c r="B1393" s="10" t="s">
        <v>45</v>
      </c>
      <c r="C1393" s="8" t="s">
        <v>3285</v>
      </c>
      <c r="D1393" s="8" t="s">
        <v>3297</v>
      </c>
      <c r="E1393" s="11" t="n">
        <v>232</v>
      </c>
      <c r="F1393" s="8" t="str">
        <f aca="false">IFERROR(INDEX(Section_Master!$D$2:$D$477,MATCH($E1393,Section_Master!$A$2:$A$477,0))&amp;"","")</f>
        <v>Imprisonment up to 7 years, or fine, or both; same as the innocent person's sentence if convicted [s.232]</v>
      </c>
      <c r="G1393" s="10" t="str">
        <f aca="false">IFERROR(INDEX(Section_Master!$E$2:$E$477,MATCH($E1393,Section_Master!$A$2:$A$477,0))&amp;"","")</f>
        <v>Yes</v>
      </c>
      <c r="H1393" s="10" t="str">
        <f aca="false">IFERROR(INDEX(Section_Master!$F$2:$F$477,MATCH($E1393,Section_Master!$A$2:$A$477,0))&amp;"","")</f>
        <v>No</v>
      </c>
      <c r="I1393" s="10" t="str">
        <f aca="false">IFERROR(INDEX(Section_Master!$G$2:$G$477,MATCH($E1393,Section_Master!$A$2:$A$477,0))&amp;"","")</f>
        <v>No</v>
      </c>
      <c r="J1393" s="10" t="s">
        <v>64</v>
      </c>
      <c r="K1393" s="8" t="s">
        <v>3287</v>
      </c>
    </row>
    <row r="1394" customFormat="false" ht="34.5" hidden="false" customHeight="true" outlineLevel="0" collapsed="false">
      <c r="A1394" s="10" t="s">
        <v>3298</v>
      </c>
      <c r="B1394" s="10" t="s">
        <v>45</v>
      </c>
      <c r="C1394" s="8" t="s">
        <v>3299</v>
      </c>
      <c r="D1394" s="8" t="s">
        <v>3300</v>
      </c>
      <c r="E1394" s="11" t="n">
        <v>233</v>
      </c>
      <c r="F1394" s="8" t="str">
        <f aca="false">IFERROR(INDEX(Section_Master!$D$2:$D$477,MATCH($E1394,Section_Master!$A$2:$A$477,0))&amp;"","")</f>
        <v>Same punishment as for giving or fabricating false evidence</v>
      </c>
      <c r="G1394" s="10" t="str">
        <f aca="false">IFERROR(INDEX(Section_Master!$E$2:$E$477,MATCH($E1394,Section_Master!$A$2:$A$477,0))&amp;"","")</f>
        <v>No</v>
      </c>
      <c r="H1394" s="10" t="str">
        <f aca="false">IFERROR(INDEX(Section_Master!$F$2:$F$477,MATCH($E1394,Section_Master!$A$2:$A$477,0))&amp;"","")</f>
        <v>Yes</v>
      </c>
      <c r="I1394" s="10" t="str">
        <f aca="false">IFERROR(INDEX(Section_Master!$G$2:$G$477,MATCH($E1394,Section_Master!$A$2:$A$477,0))&amp;"","")</f>
        <v>No</v>
      </c>
      <c r="J1394" s="10" t="s">
        <v>48</v>
      </c>
      <c r="K1394" s="8" t="s">
        <v>3301</v>
      </c>
    </row>
    <row r="1395" customFormat="false" ht="34.5" hidden="false" customHeight="true" outlineLevel="0" collapsed="false">
      <c r="A1395" s="10" t="s">
        <v>3302</v>
      </c>
      <c r="B1395" s="10" t="s">
        <v>45</v>
      </c>
      <c r="C1395" s="8" t="s">
        <v>3299</v>
      </c>
      <c r="D1395" s="8" t="s">
        <v>3303</v>
      </c>
      <c r="E1395" s="11" t="n">
        <v>233</v>
      </c>
      <c r="F1395" s="8" t="str">
        <f aca="false">IFERROR(INDEX(Section_Master!$D$2:$D$477,MATCH($E1395,Section_Master!$A$2:$A$477,0))&amp;"","")</f>
        <v>Same punishment as for giving or fabricating false evidence</v>
      </c>
      <c r="G1395" s="10" t="str">
        <f aca="false">IFERROR(INDEX(Section_Master!$E$2:$E$477,MATCH($E1395,Section_Master!$A$2:$A$477,0))&amp;"","")</f>
        <v>No</v>
      </c>
      <c r="H1395" s="10" t="str">
        <f aca="false">IFERROR(INDEX(Section_Master!$F$2:$F$477,MATCH($E1395,Section_Master!$A$2:$A$477,0))&amp;"","")</f>
        <v>Yes</v>
      </c>
      <c r="I1395" s="10" t="str">
        <f aca="false">IFERROR(INDEX(Section_Master!$G$2:$G$477,MATCH($E1395,Section_Master!$A$2:$A$477,0))&amp;"","")</f>
        <v>No</v>
      </c>
      <c r="J1395" s="10" t="s">
        <v>52</v>
      </c>
      <c r="K1395" s="8" t="s">
        <v>3301</v>
      </c>
    </row>
    <row r="1396" customFormat="false" ht="34.5" hidden="false" customHeight="true" outlineLevel="0" collapsed="false">
      <c r="A1396" s="10" t="s">
        <v>3304</v>
      </c>
      <c r="B1396" s="10" t="s">
        <v>45</v>
      </c>
      <c r="C1396" s="8" t="s">
        <v>3299</v>
      </c>
      <c r="D1396" s="8" t="s">
        <v>3305</v>
      </c>
      <c r="E1396" s="11" t="n">
        <v>233</v>
      </c>
      <c r="F1396" s="8" t="str">
        <f aca="false">IFERROR(INDEX(Section_Master!$D$2:$D$477,MATCH($E1396,Section_Master!$A$2:$A$477,0))&amp;"","")</f>
        <v>Same punishment as for giving or fabricating false evidence</v>
      </c>
      <c r="G1396" s="10" t="str">
        <f aca="false">IFERROR(INDEX(Section_Master!$E$2:$E$477,MATCH($E1396,Section_Master!$A$2:$A$477,0))&amp;"","")</f>
        <v>No</v>
      </c>
      <c r="H1396" s="10" t="str">
        <f aca="false">IFERROR(INDEX(Section_Master!$F$2:$F$477,MATCH($E1396,Section_Master!$A$2:$A$477,0))&amp;"","")</f>
        <v>Yes</v>
      </c>
      <c r="I1396" s="10" t="str">
        <f aca="false">IFERROR(INDEX(Section_Master!$G$2:$G$477,MATCH($E1396,Section_Master!$A$2:$A$477,0))&amp;"","")</f>
        <v>No</v>
      </c>
      <c r="J1396" s="10" t="s">
        <v>55</v>
      </c>
      <c r="K1396" s="8" t="s">
        <v>3301</v>
      </c>
    </row>
    <row r="1397" customFormat="false" ht="23.25" hidden="false" customHeight="true" outlineLevel="0" collapsed="false">
      <c r="A1397" s="10" t="s">
        <v>3306</v>
      </c>
      <c r="B1397" s="10" t="s">
        <v>45</v>
      </c>
      <c r="C1397" s="8" t="s">
        <v>3299</v>
      </c>
      <c r="D1397" s="8" t="s">
        <v>3307</v>
      </c>
      <c r="E1397" s="11" t="n">
        <v>233</v>
      </c>
      <c r="F1397" s="8" t="str">
        <f aca="false">IFERROR(INDEX(Section_Master!$D$2:$D$477,MATCH($E1397,Section_Master!$A$2:$A$477,0))&amp;"","")</f>
        <v>Same punishment as for giving or fabricating false evidence</v>
      </c>
      <c r="G1397" s="10" t="str">
        <f aca="false">IFERROR(INDEX(Section_Master!$E$2:$E$477,MATCH($E1397,Section_Master!$A$2:$A$477,0))&amp;"","")</f>
        <v>No</v>
      </c>
      <c r="H1397" s="10" t="str">
        <f aca="false">IFERROR(INDEX(Section_Master!$F$2:$F$477,MATCH($E1397,Section_Master!$A$2:$A$477,0))&amp;"","")</f>
        <v>Yes</v>
      </c>
      <c r="I1397" s="10" t="str">
        <f aca="false">IFERROR(INDEX(Section_Master!$G$2:$G$477,MATCH($E1397,Section_Master!$A$2:$A$477,0))&amp;"","")</f>
        <v>No</v>
      </c>
      <c r="J1397" s="10" t="s">
        <v>58</v>
      </c>
      <c r="K1397" s="8" t="s">
        <v>3301</v>
      </c>
    </row>
    <row r="1398" customFormat="false" ht="23.25" hidden="false" customHeight="true" outlineLevel="0" collapsed="false">
      <c r="A1398" s="10" t="s">
        <v>3308</v>
      </c>
      <c r="B1398" s="10" t="s">
        <v>45</v>
      </c>
      <c r="C1398" s="8" t="s">
        <v>3299</v>
      </c>
      <c r="D1398" s="8" t="s">
        <v>3309</v>
      </c>
      <c r="E1398" s="11" t="n">
        <v>233</v>
      </c>
      <c r="F1398" s="8" t="str">
        <f aca="false">IFERROR(INDEX(Section_Master!$D$2:$D$477,MATCH($E1398,Section_Master!$A$2:$A$477,0))&amp;"","")</f>
        <v>Same punishment as for giving or fabricating false evidence</v>
      </c>
      <c r="G1398" s="10" t="str">
        <f aca="false">IFERROR(INDEX(Section_Master!$E$2:$E$477,MATCH($E1398,Section_Master!$A$2:$A$477,0))&amp;"","")</f>
        <v>No</v>
      </c>
      <c r="H1398" s="10" t="str">
        <f aca="false">IFERROR(INDEX(Section_Master!$F$2:$F$477,MATCH($E1398,Section_Master!$A$2:$A$477,0))&amp;"","")</f>
        <v>Yes</v>
      </c>
      <c r="I1398" s="10" t="str">
        <f aca="false">IFERROR(INDEX(Section_Master!$G$2:$G$477,MATCH($E1398,Section_Master!$A$2:$A$477,0))&amp;"","")</f>
        <v>No</v>
      </c>
      <c r="J1398" s="10" t="s">
        <v>61</v>
      </c>
      <c r="K1398" s="8" t="s">
        <v>3301</v>
      </c>
    </row>
    <row r="1399" customFormat="false" ht="34.5" hidden="false" customHeight="true" outlineLevel="0" collapsed="false">
      <c r="A1399" s="10" t="s">
        <v>3310</v>
      </c>
      <c r="B1399" s="10" t="s">
        <v>45</v>
      </c>
      <c r="C1399" s="8" t="s">
        <v>3299</v>
      </c>
      <c r="D1399" s="8" t="s">
        <v>3311</v>
      </c>
      <c r="E1399" s="11" t="n">
        <v>233</v>
      </c>
      <c r="F1399" s="8" t="str">
        <f aca="false">IFERROR(INDEX(Section_Master!$D$2:$D$477,MATCH($E1399,Section_Master!$A$2:$A$477,0))&amp;"","")</f>
        <v>Same punishment as for giving or fabricating false evidence</v>
      </c>
      <c r="G1399" s="10" t="str">
        <f aca="false">IFERROR(INDEX(Section_Master!$E$2:$E$477,MATCH($E1399,Section_Master!$A$2:$A$477,0))&amp;"","")</f>
        <v>No</v>
      </c>
      <c r="H1399" s="10" t="str">
        <f aca="false">IFERROR(INDEX(Section_Master!$F$2:$F$477,MATCH($E1399,Section_Master!$A$2:$A$477,0))&amp;"","")</f>
        <v>Yes</v>
      </c>
      <c r="I1399" s="10" t="str">
        <f aca="false">IFERROR(INDEX(Section_Master!$G$2:$G$477,MATCH($E1399,Section_Master!$A$2:$A$477,0))&amp;"","")</f>
        <v>No</v>
      </c>
      <c r="J1399" s="10" t="s">
        <v>64</v>
      </c>
      <c r="K1399" s="8" t="s">
        <v>3301</v>
      </c>
    </row>
    <row r="1400" customFormat="false" ht="23.25" hidden="false" customHeight="true" outlineLevel="0" collapsed="false">
      <c r="A1400" s="10" t="s">
        <v>3312</v>
      </c>
      <c r="B1400" s="10" t="s">
        <v>45</v>
      </c>
      <c r="C1400" s="8" t="s">
        <v>3313</v>
      </c>
      <c r="D1400" s="8" t="s">
        <v>3314</v>
      </c>
      <c r="E1400" s="11" t="n">
        <v>234</v>
      </c>
      <c r="F1400" s="8" t="str">
        <f aca="false">IFERROR(INDEX(Section_Master!$D$2:$D$477,MATCH($E1400,Section_Master!$A$2:$A$477,0))&amp;"","")</f>
        <v>Same punishment as for giving false evidence</v>
      </c>
      <c r="G1400" s="10" t="str">
        <f aca="false">IFERROR(INDEX(Section_Master!$E$2:$E$477,MATCH($E1400,Section_Master!$A$2:$A$477,0))&amp;"","")</f>
        <v>No</v>
      </c>
      <c r="H1400" s="10" t="str">
        <f aca="false">IFERROR(INDEX(Section_Master!$F$2:$F$477,MATCH($E1400,Section_Master!$A$2:$A$477,0))&amp;"","")</f>
        <v>Yes</v>
      </c>
      <c r="I1400" s="10" t="str">
        <f aca="false">IFERROR(INDEX(Section_Master!$G$2:$G$477,MATCH($E1400,Section_Master!$A$2:$A$477,0))&amp;"","")</f>
        <v>No</v>
      </c>
      <c r="J1400" s="10" t="s">
        <v>48</v>
      </c>
      <c r="K1400" s="8" t="s">
        <v>3315</v>
      </c>
    </row>
    <row r="1401" customFormat="false" ht="34.5" hidden="false" customHeight="true" outlineLevel="0" collapsed="false">
      <c r="A1401" s="10" t="s">
        <v>3316</v>
      </c>
      <c r="B1401" s="10" t="s">
        <v>45</v>
      </c>
      <c r="C1401" s="8" t="s">
        <v>3313</v>
      </c>
      <c r="D1401" s="8" t="s">
        <v>3317</v>
      </c>
      <c r="E1401" s="11" t="n">
        <v>234</v>
      </c>
      <c r="F1401" s="8" t="str">
        <f aca="false">IFERROR(INDEX(Section_Master!$D$2:$D$477,MATCH($E1401,Section_Master!$A$2:$A$477,0))&amp;"","")</f>
        <v>Same punishment as for giving false evidence</v>
      </c>
      <c r="G1401" s="10" t="str">
        <f aca="false">IFERROR(INDEX(Section_Master!$E$2:$E$477,MATCH($E1401,Section_Master!$A$2:$A$477,0))&amp;"","")</f>
        <v>No</v>
      </c>
      <c r="H1401" s="10" t="str">
        <f aca="false">IFERROR(INDEX(Section_Master!$F$2:$F$477,MATCH($E1401,Section_Master!$A$2:$A$477,0))&amp;"","")</f>
        <v>Yes</v>
      </c>
      <c r="I1401" s="10" t="str">
        <f aca="false">IFERROR(INDEX(Section_Master!$G$2:$G$477,MATCH($E1401,Section_Master!$A$2:$A$477,0))&amp;"","")</f>
        <v>No</v>
      </c>
      <c r="J1401" s="10" t="s">
        <v>52</v>
      </c>
      <c r="K1401" s="8" t="s">
        <v>3315</v>
      </c>
    </row>
    <row r="1402" customFormat="false" ht="34.5" hidden="false" customHeight="true" outlineLevel="0" collapsed="false">
      <c r="A1402" s="10" t="s">
        <v>3318</v>
      </c>
      <c r="B1402" s="10" t="s">
        <v>45</v>
      </c>
      <c r="C1402" s="8" t="s">
        <v>3313</v>
      </c>
      <c r="D1402" s="8" t="s">
        <v>3319</v>
      </c>
      <c r="E1402" s="11" t="n">
        <v>234</v>
      </c>
      <c r="F1402" s="8" t="str">
        <f aca="false">IFERROR(INDEX(Section_Master!$D$2:$D$477,MATCH($E1402,Section_Master!$A$2:$A$477,0))&amp;"","")</f>
        <v>Same punishment as for giving false evidence</v>
      </c>
      <c r="G1402" s="10" t="str">
        <f aca="false">IFERROR(INDEX(Section_Master!$E$2:$E$477,MATCH($E1402,Section_Master!$A$2:$A$477,0))&amp;"","")</f>
        <v>No</v>
      </c>
      <c r="H1402" s="10" t="str">
        <f aca="false">IFERROR(INDEX(Section_Master!$F$2:$F$477,MATCH($E1402,Section_Master!$A$2:$A$477,0))&amp;"","")</f>
        <v>Yes</v>
      </c>
      <c r="I1402" s="10" t="str">
        <f aca="false">IFERROR(INDEX(Section_Master!$G$2:$G$477,MATCH($E1402,Section_Master!$A$2:$A$477,0))&amp;"","")</f>
        <v>No</v>
      </c>
      <c r="J1402" s="10" t="s">
        <v>55</v>
      </c>
      <c r="K1402" s="8" t="s">
        <v>3315</v>
      </c>
    </row>
    <row r="1403" customFormat="false" ht="23.25" hidden="false" customHeight="true" outlineLevel="0" collapsed="false">
      <c r="A1403" s="10" t="s">
        <v>3320</v>
      </c>
      <c r="B1403" s="10" t="s">
        <v>45</v>
      </c>
      <c r="C1403" s="8" t="s">
        <v>3313</v>
      </c>
      <c r="D1403" s="8" t="s">
        <v>3321</v>
      </c>
      <c r="E1403" s="11" t="n">
        <v>234</v>
      </c>
      <c r="F1403" s="8" t="str">
        <f aca="false">IFERROR(INDEX(Section_Master!$D$2:$D$477,MATCH($E1403,Section_Master!$A$2:$A$477,0))&amp;"","")</f>
        <v>Same punishment as for giving false evidence</v>
      </c>
      <c r="G1403" s="10" t="str">
        <f aca="false">IFERROR(INDEX(Section_Master!$E$2:$E$477,MATCH($E1403,Section_Master!$A$2:$A$477,0))&amp;"","")</f>
        <v>No</v>
      </c>
      <c r="H1403" s="10" t="str">
        <f aca="false">IFERROR(INDEX(Section_Master!$F$2:$F$477,MATCH($E1403,Section_Master!$A$2:$A$477,0))&amp;"","")</f>
        <v>Yes</v>
      </c>
      <c r="I1403" s="10" t="str">
        <f aca="false">IFERROR(INDEX(Section_Master!$G$2:$G$477,MATCH($E1403,Section_Master!$A$2:$A$477,0))&amp;"","")</f>
        <v>No</v>
      </c>
      <c r="J1403" s="10" t="s">
        <v>58</v>
      </c>
      <c r="K1403" s="8" t="s">
        <v>3315</v>
      </c>
    </row>
    <row r="1404" customFormat="false" ht="23.25" hidden="false" customHeight="true" outlineLevel="0" collapsed="false">
      <c r="A1404" s="10" t="s">
        <v>3322</v>
      </c>
      <c r="B1404" s="10" t="s">
        <v>45</v>
      </c>
      <c r="C1404" s="8" t="s">
        <v>3313</v>
      </c>
      <c r="D1404" s="8" t="s">
        <v>3323</v>
      </c>
      <c r="E1404" s="11" t="n">
        <v>234</v>
      </c>
      <c r="F1404" s="8" t="str">
        <f aca="false">IFERROR(INDEX(Section_Master!$D$2:$D$477,MATCH($E1404,Section_Master!$A$2:$A$477,0))&amp;"","")</f>
        <v>Same punishment as for giving false evidence</v>
      </c>
      <c r="G1404" s="10" t="str">
        <f aca="false">IFERROR(INDEX(Section_Master!$E$2:$E$477,MATCH($E1404,Section_Master!$A$2:$A$477,0))&amp;"","")</f>
        <v>No</v>
      </c>
      <c r="H1404" s="10" t="str">
        <f aca="false">IFERROR(INDEX(Section_Master!$F$2:$F$477,MATCH($E1404,Section_Master!$A$2:$A$477,0))&amp;"","")</f>
        <v>Yes</v>
      </c>
      <c r="I1404" s="10" t="str">
        <f aca="false">IFERROR(INDEX(Section_Master!$G$2:$G$477,MATCH($E1404,Section_Master!$A$2:$A$477,0))&amp;"","")</f>
        <v>No</v>
      </c>
      <c r="J1404" s="10" t="s">
        <v>61</v>
      </c>
      <c r="K1404" s="8" t="s">
        <v>3315</v>
      </c>
    </row>
    <row r="1405" customFormat="false" ht="34.5" hidden="false" customHeight="true" outlineLevel="0" collapsed="false">
      <c r="A1405" s="10" t="s">
        <v>3324</v>
      </c>
      <c r="B1405" s="10" t="s">
        <v>45</v>
      </c>
      <c r="C1405" s="8" t="s">
        <v>3313</v>
      </c>
      <c r="D1405" s="8" t="s">
        <v>3325</v>
      </c>
      <c r="E1405" s="11" t="n">
        <v>234</v>
      </c>
      <c r="F1405" s="8" t="str">
        <f aca="false">IFERROR(INDEX(Section_Master!$D$2:$D$477,MATCH($E1405,Section_Master!$A$2:$A$477,0))&amp;"","")</f>
        <v>Same punishment as for giving false evidence</v>
      </c>
      <c r="G1405" s="10" t="str">
        <f aca="false">IFERROR(INDEX(Section_Master!$E$2:$E$477,MATCH($E1405,Section_Master!$A$2:$A$477,0))&amp;"","")</f>
        <v>No</v>
      </c>
      <c r="H1405" s="10" t="str">
        <f aca="false">IFERROR(INDEX(Section_Master!$F$2:$F$477,MATCH($E1405,Section_Master!$A$2:$A$477,0))&amp;"","")</f>
        <v>Yes</v>
      </c>
      <c r="I1405" s="10" t="str">
        <f aca="false">IFERROR(INDEX(Section_Master!$G$2:$G$477,MATCH($E1405,Section_Master!$A$2:$A$477,0))&amp;"","")</f>
        <v>No</v>
      </c>
      <c r="J1405" s="10" t="s">
        <v>64</v>
      </c>
      <c r="K1405" s="8" t="s">
        <v>3315</v>
      </c>
    </row>
    <row r="1406" customFormat="false" ht="23.25" hidden="false" customHeight="true" outlineLevel="0" collapsed="false">
      <c r="A1406" s="10" t="s">
        <v>3326</v>
      </c>
      <c r="B1406" s="10" t="s">
        <v>45</v>
      </c>
      <c r="C1406" s="8" t="s">
        <v>3327</v>
      </c>
      <c r="D1406" s="8" t="s">
        <v>3328</v>
      </c>
      <c r="E1406" s="11" t="n">
        <v>235</v>
      </c>
      <c r="F1406" s="8" t="str">
        <f aca="false">IFERROR(INDEX(Section_Master!$D$2:$D$477,MATCH($E1406,Section_Master!$A$2:$A$477,0))&amp;"","")</f>
        <v>Same punishment as for giving false evidence</v>
      </c>
      <c r="G1406" s="10" t="str">
        <f aca="false">IFERROR(INDEX(Section_Master!$E$2:$E$477,MATCH($E1406,Section_Master!$A$2:$A$477,0))&amp;"","")</f>
        <v>No</v>
      </c>
      <c r="H1406" s="10" t="str">
        <f aca="false">IFERROR(INDEX(Section_Master!$F$2:$F$477,MATCH($E1406,Section_Master!$A$2:$A$477,0))&amp;"","")</f>
        <v>Yes</v>
      </c>
      <c r="I1406" s="10" t="str">
        <f aca="false">IFERROR(INDEX(Section_Master!$G$2:$G$477,MATCH($E1406,Section_Master!$A$2:$A$477,0))&amp;"","")</f>
        <v>No</v>
      </c>
      <c r="J1406" s="10" t="s">
        <v>48</v>
      </c>
      <c r="K1406" s="8" t="s">
        <v>3329</v>
      </c>
    </row>
    <row r="1407" customFormat="false" ht="34.5" hidden="false" customHeight="true" outlineLevel="0" collapsed="false">
      <c r="A1407" s="10" t="s">
        <v>3330</v>
      </c>
      <c r="B1407" s="10" t="s">
        <v>45</v>
      </c>
      <c r="C1407" s="8" t="s">
        <v>3327</v>
      </c>
      <c r="D1407" s="8" t="s">
        <v>3331</v>
      </c>
      <c r="E1407" s="11" t="n">
        <v>235</v>
      </c>
      <c r="F1407" s="8" t="str">
        <f aca="false">IFERROR(INDEX(Section_Master!$D$2:$D$477,MATCH($E1407,Section_Master!$A$2:$A$477,0))&amp;"","")</f>
        <v>Same punishment as for giving false evidence</v>
      </c>
      <c r="G1407" s="10" t="str">
        <f aca="false">IFERROR(INDEX(Section_Master!$E$2:$E$477,MATCH($E1407,Section_Master!$A$2:$A$477,0))&amp;"","")</f>
        <v>No</v>
      </c>
      <c r="H1407" s="10" t="str">
        <f aca="false">IFERROR(INDEX(Section_Master!$F$2:$F$477,MATCH($E1407,Section_Master!$A$2:$A$477,0))&amp;"","")</f>
        <v>Yes</v>
      </c>
      <c r="I1407" s="10" t="str">
        <f aca="false">IFERROR(INDEX(Section_Master!$G$2:$G$477,MATCH($E1407,Section_Master!$A$2:$A$477,0))&amp;"","")</f>
        <v>No</v>
      </c>
      <c r="J1407" s="10" t="s">
        <v>52</v>
      </c>
      <c r="K1407" s="8" t="s">
        <v>3329</v>
      </c>
    </row>
    <row r="1408" customFormat="false" ht="34.5" hidden="false" customHeight="true" outlineLevel="0" collapsed="false">
      <c r="A1408" s="10" t="s">
        <v>3332</v>
      </c>
      <c r="B1408" s="10" t="s">
        <v>45</v>
      </c>
      <c r="C1408" s="8" t="s">
        <v>3327</v>
      </c>
      <c r="D1408" s="8" t="s">
        <v>3333</v>
      </c>
      <c r="E1408" s="11" t="n">
        <v>235</v>
      </c>
      <c r="F1408" s="8" t="str">
        <f aca="false">IFERROR(INDEX(Section_Master!$D$2:$D$477,MATCH($E1408,Section_Master!$A$2:$A$477,0))&amp;"","")</f>
        <v>Same punishment as for giving false evidence</v>
      </c>
      <c r="G1408" s="10" t="str">
        <f aca="false">IFERROR(INDEX(Section_Master!$E$2:$E$477,MATCH($E1408,Section_Master!$A$2:$A$477,0))&amp;"","")</f>
        <v>No</v>
      </c>
      <c r="H1408" s="10" t="str">
        <f aca="false">IFERROR(INDEX(Section_Master!$F$2:$F$477,MATCH($E1408,Section_Master!$A$2:$A$477,0))&amp;"","")</f>
        <v>Yes</v>
      </c>
      <c r="I1408" s="10" t="str">
        <f aca="false">IFERROR(INDEX(Section_Master!$G$2:$G$477,MATCH($E1408,Section_Master!$A$2:$A$477,0))&amp;"","")</f>
        <v>No</v>
      </c>
      <c r="J1408" s="10" t="s">
        <v>55</v>
      </c>
      <c r="K1408" s="8" t="s">
        <v>3329</v>
      </c>
    </row>
    <row r="1409" customFormat="false" ht="23.25" hidden="false" customHeight="true" outlineLevel="0" collapsed="false">
      <c r="A1409" s="10" t="s">
        <v>3334</v>
      </c>
      <c r="B1409" s="10" t="s">
        <v>45</v>
      </c>
      <c r="C1409" s="8" t="s">
        <v>3327</v>
      </c>
      <c r="D1409" s="8" t="s">
        <v>3335</v>
      </c>
      <c r="E1409" s="11" t="n">
        <v>235</v>
      </c>
      <c r="F1409" s="8" t="str">
        <f aca="false">IFERROR(INDEX(Section_Master!$D$2:$D$477,MATCH($E1409,Section_Master!$A$2:$A$477,0))&amp;"","")</f>
        <v>Same punishment as for giving false evidence</v>
      </c>
      <c r="G1409" s="10" t="str">
        <f aca="false">IFERROR(INDEX(Section_Master!$E$2:$E$477,MATCH($E1409,Section_Master!$A$2:$A$477,0))&amp;"","")</f>
        <v>No</v>
      </c>
      <c r="H1409" s="10" t="str">
        <f aca="false">IFERROR(INDEX(Section_Master!$F$2:$F$477,MATCH($E1409,Section_Master!$A$2:$A$477,0))&amp;"","")</f>
        <v>Yes</v>
      </c>
      <c r="I1409" s="10" t="str">
        <f aca="false">IFERROR(INDEX(Section_Master!$G$2:$G$477,MATCH($E1409,Section_Master!$A$2:$A$477,0))&amp;"","")</f>
        <v>No</v>
      </c>
      <c r="J1409" s="10" t="s">
        <v>58</v>
      </c>
      <c r="K1409" s="8" t="s">
        <v>3329</v>
      </c>
    </row>
    <row r="1410" customFormat="false" ht="34.5" hidden="false" customHeight="true" outlineLevel="0" collapsed="false">
      <c r="A1410" s="10" t="s">
        <v>3336</v>
      </c>
      <c r="B1410" s="10" t="s">
        <v>45</v>
      </c>
      <c r="C1410" s="8" t="s">
        <v>3327</v>
      </c>
      <c r="D1410" s="8" t="s">
        <v>3337</v>
      </c>
      <c r="E1410" s="11" t="n">
        <v>235</v>
      </c>
      <c r="F1410" s="8" t="str">
        <f aca="false">IFERROR(INDEX(Section_Master!$D$2:$D$477,MATCH($E1410,Section_Master!$A$2:$A$477,0))&amp;"","")</f>
        <v>Same punishment as for giving false evidence</v>
      </c>
      <c r="G1410" s="10" t="str">
        <f aca="false">IFERROR(INDEX(Section_Master!$E$2:$E$477,MATCH($E1410,Section_Master!$A$2:$A$477,0))&amp;"","")</f>
        <v>No</v>
      </c>
      <c r="H1410" s="10" t="str">
        <f aca="false">IFERROR(INDEX(Section_Master!$F$2:$F$477,MATCH($E1410,Section_Master!$A$2:$A$477,0))&amp;"","")</f>
        <v>Yes</v>
      </c>
      <c r="I1410" s="10" t="str">
        <f aca="false">IFERROR(INDEX(Section_Master!$G$2:$G$477,MATCH($E1410,Section_Master!$A$2:$A$477,0))&amp;"","")</f>
        <v>No</v>
      </c>
      <c r="J1410" s="10" t="s">
        <v>61</v>
      </c>
      <c r="K1410" s="8" t="s">
        <v>3329</v>
      </c>
    </row>
    <row r="1411" customFormat="false" ht="34.5" hidden="false" customHeight="true" outlineLevel="0" collapsed="false">
      <c r="A1411" s="10" t="s">
        <v>3338</v>
      </c>
      <c r="B1411" s="10" t="s">
        <v>45</v>
      </c>
      <c r="C1411" s="8" t="s">
        <v>3327</v>
      </c>
      <c r="D1411" s="8" t="s">
        <v>3339</v>
      </c>
      <c r="E1411" s="11" t="n">
        <v>235</v>
      </c>
      <c r="F1411" s="8" t="str">
        <f aca="false">IFERROR(INDEX(Section_Master!$D$2:$D$477,MATCH($E1411,Section_Master!$A$2:$A$477,0))&amp;"","")</f>
        <v>Same punishment as for giving false evidence</v>
      </c>
      <c r="G1411" s="10" t="str">
        <f aca="false">IFERROR(INDEX(Section_Master!$E$2:$E$477,MATCH($E1411,Section_Master!$A$2:$A$477,0))&amp;"","")</f>
        <v>No</v>
      </c>
      <c r="H1411" s="10" t="str">
        <f aca="false">IFERROR(INDEX(Section_Master!$F$2:$F$477,MATCH($E1411,Section_Master!$A$2:$A$477,0))&amp;"","")</f>
        <v>Yes</v>
      </c>
      <c r="I1411" s="10" t="str">
        <f aca="false">IFERROR(INDEX(Section_Master!$G$2:$G$477,MATCH($E1411,Section_Master!$A$2:$A$477,0))&amp;"","")</f>
        <v>No</v>
      </c>
      <c r="J1411" s="10" t="s">
        <v>64</v>
      </c>
      <c r="K1411" s="8" t="s">
        <v>3329</v>
      </c>
    </row>
    <row r="1412" customFormat="false" ht="23.25" hidden="false" customHeight="true" outlineLevel="0" collapsed="false">
      <c r="A1412" s="10" t="s">
        <v>3340</v>
      </c>
      <c r="B1412" s="10" t="s">
        <v>45</v>
      </c>
      <c r="C1412" s="8" t="s">
        <v>3341</v>
      </c>
      <c r="D1412" s="8" t="s">
        <v>3342</v>
      </c>
      <c r="E1412" s="11" t="n">
        <v>236</v>
      </c>
      <c r="F1412" s="8" t="str">
        <f aca="false">IFERROR(INDEX(Section_Master!$D$2:$D$477,MATCH($E1412,Section_Master!$A$2:$A$477,0))&amp;"","")</f>
        <v>Same punishment as for giving false evidence</v>
      </c>
      <c r="G1412" s="10" t="str">
        <f aca="false">IFERROR(INDEX(Section_Master!$E$2:$E$477,MATCH($E1412,Section_Master!$A$2:$A$477,0))&amp;"","")</f>
        <v>No</v>
      </c>
      <c r="H1412" s="10" t="str">
        <f aca="false">IFERROR(INDEX(Section_Master!$F$2:$F$477,MATCH($E1412,Section_Master!$A$2:$A$477,0))&amp;"","")</f>
        <v>Yes</v>
      </c>
      <c r="I1412" s="10" t="str">
        <f aca="false">IFERROR(INDEX(Section_Master!$G$2:$G$477,MATCH($E1412,Section_Master!$A$2:$A$477,0))&amp;"","")</f>
        <v>No</v>
      </c>
      <c r="J1412" s="10" t="s">
        <v>48</v>
      </c>
      <c r="K1412" s="8" t="s">
        <v>3343</v>
      </c>
    </row>
    <row r="1413" customFormat="false" ht="34.5" hidden="false" customHeight="true" outlineLevel="0" collapsed="false">
      <c r="A1413" s="10" t="s">
        <v>3344</v>
      </c>
      <c r="B1413" s="10" t="s">
        <v>45</v>
      </c>
      <c r="C1413" s="8" t="s">
        <v>3341</v>
      </c>
      <c r="D1413" s="8" t="s">
        <v>3345</v>
      </c>
      <c r="E1413" s="11" t="n">
        <v>236</v>
      </c>
      <c r="F1413" s="8" t="str">
        <f aca="false">IFERROR(INDEX(Section_Master!$D$2:$D$477,MATCH($E1413,Section_Master!$A$2:$A$477,0))&amp;"","")</f>
        <v>Same punishment as for giving false evidence</v>
      </c>
      <c r="G1413" s="10" t="str">
        <f aca="false">IFERROR(INDEX(Section_Master!$E$2:$E$477,MATCH($E1413,Section_Master!$A$2:$A$477,0))&amp;"","")</f>
        <v>No</v>
      </c>
      <c r="H1413" s="10" t="str">
        <f aca="false">IFERROR(INDEX(Section_Master!$F$2:$F$477,MATCH($E1413,Section_Master!$A$2:$A$477,0))&amp;"","")</f>
        <v>Yes</v>
      </c>
      <c r="I1413" s="10" t="str">
        <f aca="false">IFERROR(INDEX(Section_Master!$G$2:$G$477,MATCH($E1413,Section_Master!$A$2:$A$477,0))&amp;"","")</f>
        <v>No</v>
      </c>
      <c r="J1413" s="10" t="s">
        <v>52</v>
      </c>
      <c r="K1413" s="8" t="s">
        <v>3343</v>
      </c>
    </row>
    <row r="1414" customFormat="false" ht="34.5" hidden="false" customHeight="true" outlineLevel="0" collapsed="false">
      <c r="A1414" s="10" t="s">
        <v>3346</v>
      </c>
      <c r="B1414" s="10" t="s">
        <v>45</v>
      </c>
      <c r="C1414" s="8" t="s">
        <v>3341</v>
      </c>
      <c r="D1414" s="8" t="s">
        <v>3347</v>
      </c>
      <c r="E1414" s="11" t="n">
        <v>236</v>
      </c>
      <c r="F1414" s="8" t="str">
        <f aca="false">IFERROR(INDEX(Section_Master!$D$2:$D$477,MATCH($E1414,Section_Master!$A$2:$A$477,0))&amp;"","")</f>
        <v>Same punishment as for giving false evidence</v>
      </c>
      <c r="G1414" s="10" t="str">
        <f aca="false">IFERROR(INDEX(Section_Master!$E$2:$E$477,MATCH($E1414,Section_Master!$A$2:$A$477,0))&amp;"","")</f>
        <v>No</v>
      </c>
      <c r="H1414" s="10" t="str">
        <f aca="false">IFERROR(INDEX(Section_Master!$F$2:$F$477,MATCH($E1414,Section_Master!$A$2:$A$477,0))&amp;"","")</f>
        <v>Yes</v>
      </c>
      <c r="I1414" s="10" t="str">
        <f aca="false">IFERROR(INDEX(Section_Master!$G$2:$G$477,MATCH($E1414,Section_Master!$A$2:$A$477,0))&amp;"","")</f>
        <v>No</v>
      </c>
      <c r="J1414" s="10" t="s">
        <v>55</v>
      </c>
      <c r="K1414" s="8" t="s">
        <v>3343</v>
      </c>
    </row>
    <row r="1415" customFormat="false" ht="23.25" hidden="false" customHeight="true" outlineLevel="0" collapsed="false">
      <c r="A1415" s="10" t="s">
        <v>3348</v>
      </c>
      <c r="B1415" s="10" t="s">
        <v>45</v>
      </c>
      <c r="C1415" s="8" t="s">
        <v>3341</v>
      </c>
      <c r="D1415" s="8" t="s">
        <v>3349</v>
      </c>
      <c r="E1415" s="11" t="n">
        <v>236</v>
      </c>
      <c r="F1415" s="8" t="str">
        <f aca="false">IFERROR(INDEX(Section_Master!$D$2:$D$477,MATCH($E1415,Section_Master!$A$2:$A$477,0))&amp;"","")</f>
        <v>Same punishment as for giving false evidence</v>
      </c>
      <c r="G1415" s="10" t="str">
        <f aca="false">IFERROR(INDEX(Section_Master!$E$2:$E$477,MATCH($E1415,Section_Master!$A$2:$A$477,0))&amp;"","")</f>
        <v>No</v>
      </c>
      <c r="H1415" s="10" t="str">
        <f aca="false">IFERROR(INDEX(Section_Master!$F$2:$F$477,MATCH($E1415,Section_Master!$A$2:$A$477,0))&amp;"","")</f>
        <v>Yes</v>
      </c>
      <c r="I1415" s="10" t="str">
        <f aca="false">IFERROR(INDEX(Section_Master!$G$2:$G$477,MATCH($E1415,Section_Master!$A$2:$A$477,0))&amp;"","")</f>
        <v>No</v>
      </c>
      <c r="J1415" s="10" t="s">
        <v>58</v>
      </c>
      <c r="K1415" s="8" t="s">
        <v>3343</v>
      </c>
    </row>
    <row r="1416" customFormat="false" ht="23.25" hidden="false" customHeight="true" outlineLevel="0" collapsed="false">
      <c r="A1416" s="10" t="s">
        <v>3350</v>
      </c>
      <c r="B1416" s="10" t="s">
        <v>45</v>
      </c>
      <c r="C1416" s="8" t="s">
        <v>3341</v>
      </c>
      <c r="D1416" s="8" t="s">
        <v>3351</v>
      </c>
      <c r="E1416" s="11" t="n">
        <v>236</v>
      </c>
      <c r="F1416" s="8" t="str">
        <f aca="false">IFERROR(INDEX(Section_Master!$D$2:$D$477,MATCH($E1416,Section_Master!$A$2:$A$477,0))&amp;"","")</f>
        <v>Same punishment as for giving false evidence</v>
      </c>
      <c r="G1416" s="10" t="str">
        <f aca="false">IFERROR(INDEX(Section_Master!$E$2:$E$477,MATCH($E1416,Section_Master!$A$2:$A$477,0))&amp;"","")</f>
        <v>No</v>
      </c>
      <c r="H1416" s="10" t="str">
        <f aca="false">IFERROR(INDEX(Section_Master!$F$2:$F$477,MATCH($E1416,Section_Master!$A$2:$A$477,0))&amp;"","")</f>
        <v>Yes</v>
      </c>
      <c r="I1416" s="10" t="str">
        <f aca="false">IFERROR(INDEX(Section_Master!$G$2:$G$477,MATCH($E1416,Section_Master!$A$2:$A$477,0))&amp;"","")</f>
        <v>No</v>
      </c>
      <c r="J1416" s="10" t="s">
        <v>61</v>
      </c>
      <c r="K1416" s="8" t="s">
        <v>3343</v>
      </c>
    </row>
    <row r="1417" customFormat="false" ht="34.5" hidden="false" customHeight="true" outlineLevel="0" collapsed="false">
      <c r="A1417" s="10" t="s">
        <v>3352</v>
      </c>
      <c r="B1417" s="10" t="s">
        <v>45</v>
      </c>
      <c r="C1417" s="8" t="s">
        <v>3341</v>
      </c>
      <c r="D1417" s="8" t="s">
        <v>3353</v>
      </c>
      <c r="E1417" s="11" t="n">
        <v>236</v>
      </c>
      <c r="F1417" s="8" t="str">
        <f aca="false">IFERROR(INDEX(Section_Master!$D$2:$D$477,MATCH($E1417,Section_Master!$A$2:$A$477,0))&amp;"","")</f>
        <v>Same punishment as for giving false evidence</v>
      </c>
      <c r="G1417" s="10" t="str">
        <f aca="false">IFERROR(INDEX(Section_Master!$E$2:$E$477,MATCH($E1417,Section_Master!$A$2:$A$477,0))&amp;"","")</f>
        <v>No</v>
      </c>
      <c r="H1417" s="10" t="str">
        <f aca="false">IFERROR(INDEX(Section_Master!$F$2:$F$477,MATCH($E1417,Section_Master!$A$2:$A$477,0))&amp;"","")</f>
        <v>Yes</v>
      </c>
      <c r="I1417" s="10" t="str">
        <f aca="false">IFERROR(INDEX(Section_Master!$G$2:$G$477,MATCH($E1417,Section_Master!$A$2:$A$477,0))&amp;"","")</f>
        <v>No</v>
      </c>
      <c r="J1417" s="10" t="s">
        <v>64</v>
      </c>
      <c r="K1417" s="8" t="s">
        <v>3343</v>
      </c>
    </row>
    <row r="1418" customFormat="false" ht="23.25" hidden="false" customHeight="true" outlineLevel="0" collapsed="false">
      <c r="A1418" s="10" t="s">
        <v>3354</v>
      </c>
      <c r="B1418" s="10" t="s">
        <v>45</v>
      </c>
      <c r="C1418" s="8" t="s">
        <v>3355</v>
      </c>
      <c r="D1418" s="8" t="s">
        <v>3356</v>
      </c>
      <c r="E1418" s="11" t="n">
        <v>237</v>
      </c>
      <c r="F1418" s="8" t="str">
        <f aca="false">IFERROR(INDEX(Section_Master!$D$2:$D$477,MATCH($E1418,Section_Master!$A$2:$A$477,0))&amp;"","")</f>
        <v>Same punishment as for giving false evidence</v>
      </c>
      <c r="G1418" s="10" t="str">
        <f aca="false">IFERROR(INDEX(Section_Master!$E$2:$E$477,MATCH($E1418,Section_Master!$A$2:$A$477,0))&amp;"","")</f>
        <v>No</v>
      </c>
      <c r="H1418" s="10" t="str">
        <f aca="false">IFERROR(INDEX(Section_Master!$F$2:$F$477,MATCH($E1418,Section_Master!$A$2:$A$477,0))&amp;"","")</f>
        <v>Yes</v>
      </c>
      <c r="I1418" s="10" t="str">
        <f aca="false">IFERROR(INDEX(Section_Master!$G$2:$G$477,MATCH($E1418,Section_Master!$A$2:$A$477,0))&amp;"","")</f>
        <v>No</v>
      </c>
      <c r="J1418" s="10" t="s">
        <v>48</v>
      </c>
      <c r="K1418" s="8" t="s">
        <v>3357</v>
      </c>
    </row>
    <row r="1419" customFormat="false" ht="34.5" hidden="false" customHeight="true" outlineLevel="0" collapsed="false">
      <c r="A1419" s="10" t="s">
        <v>3358</v>
      </c>
      <c r="B1419" s="10" t="s">
        <v>45</v>
      </c>
      <c r="C1419" s="8" t="s">
        <v>3355</v>
      </c>
      <c r="D1419" s="8" t="s">
        <v>3359</v>
      </c>
      <c r="E1419" s="11" t="n">
        <v>237</v>
      </c>
      <c r="F1419" s="8" t="str">
        <f aca="false">IFERROR(INDEX(Section_Master!$D$2:$D$477,MATCH($E1419,Section_Master!$A$2:$A$477,0))&amp;"","")</f>
        <v>Same punishment as for giving false evidence</v>
      </c>
      <c r="G1419" s="10" t="str">
        <f aca="false">IFERROR(INDEX(Section_Master!$E$2:$E$477,MATCH($E1419,Section_Master!$A$2:$A$477,0))&amp;"","")</f>
        <v>No</v>
      </c>
      <c r="H1419" s="10" t="str">
        <f aca="false">IFERROR(INDEX(Section_Master!$F$2:$F$477,MATCH($E1419,Section_Master!$A$2:$A$477,0))&amp;"","")</f>
        <v>Yes</v>
      </c>
      <c r="I1419" s="10" t="str">
        <f aca="false">IFERROR(INDEX(Section_Master!$G$2:$G$477,MATCH($E1419,Section_Master!$A$2:$A$477,0))&amp;"","")</f>
        <v>No</v>
      </c>
      <c r="J1419" s="10" t="s">
        <v>52</v>
      </c>
      <c r="K1419" s="8" t="s">
        <v>3357</v>
      </c>
    </row>
    <row r="1420" customFormat="false" ht="34.5" hidden="false" customHeight="true" outlineLevel="0" collapsed="false">
      <c r="A1420" s="10" t="s">
        <v>3360</v>
      </c>
      <c r="B1420" s="10" t="s">
        <v>45</v>
      </c>
      <c r="C1420" s="8" t="s">
        <v>3355</v>
      </c>
      <c r="D1420" s="8" t="s">
        <v>3361</v>
      </c>
      <c r="E1420" s="11" t="n">
        <v>237</v>
      </c>
      <c r="F1420" s="8" t="str">
        <f aca="false">IFERROR(INDEX(Section_Master!$D$2:$D$477,MATCH($E1420,Section_Master!$A$2:$A$477,0))&amp;"","")</f>
        <v>Same punishment as for giving false evidence</v>
      </c>
      <c r="G1420" s="10" t="str">
        <f aca="false">IFERROR(INDEX(Section_Master!$E$2:$E$477,MATCH($E1420,Section_Master!$A$2:$A$477,0))&amp;"","")</f>
        <v>No</v>
      </c>
      <c r="H1420" s="10" t="str">
        <f aca="false">IFERROR(INDEX(Section_Master!$F$2:$F$477,MATCH($E1420,Section_Master!$A$2:$A$477,0))&amp;"","")</f>
        <v>Yes</v>
      </c>
      <c r="I1420" s="10" t="str">
        <f aca="false">IFERROR(INDEX(Section_Master!$G$2:$G$477,MATCH($E1420,Section_Master!$A$2:$A$477,0))&amp;"","")</f>
        <v>No</v>
      </c>
      <c r="J1420" s="10" t="s">
        <v>55</v>
      </c>
      <c r="K1420" s="8" t="s">
        <v>3357</v>
      </c>
    </row>
    <row r="1421" customFormat="false" ht="34.5" hidden="false" customHeight="true" outlineLevel="0" collapsed="false">
      <c r="A1421" s="10" t="s">
        <v>3362</v>
      </c>
      <c r="B1421" s="10" t="s">
        <v>45</v>
      </c>
      <c r="C1421" s="8" t="s">
        <v>3355</v>
      </c>
      <c r="D1421" s="8" t="s">
        <v>3363</v>
      </c>
      <c r="E1421" s="11" t="n">
        <v>237</v>
      </c>
      <c r="F1421" s="8" t="str">
        <f aca="false">IFERROR(INDEX(Section_Master!$D$2:$D$477,MATCH($E1421,Section_Master!$A$2:$A$477,0))&amp;"","")</f>
        <v>Same punishment as for giving false evidence</v>
      </c>
      <c r="G1421" s="10" t="str">
        <f aca="false">IFERROR(INDEX(Section_Master!$E$2:$E$477,MATCH($E1421,Section_Master!$A$2:$A$477,0))&amp;"","")</f>
        <v>No</v>
      </c>
      <c r="H1421" s="10" t="str">
        <f aca="false">IFERROR(INDEX(Section_Master!$F$2:$F$477,MATCH($E1421,Section_Master!$A$2:$A$477,0))&amp;"","")</f>
        <v>Yes</v>
      </c>
      <c r="I1421" s="10" t="str">
        <f aca="false">IFERROR(INDEX(Section_Master!$G$2:$G$477,MATCH($E1421,Section_Master!$A$2:$A$477,0))&amp;"","")</f>
        <v>No</v>
      </c>
      <c r="J1421" s="10" t="s">
        <v>58</v>
      </c>
      <c r="K1421" s="8" t="s">
        <v>3357</v>
      </c>
    </row>
    <row r="1422" customFormat="false" ht="23.25" hidden="false" customHeight="true" outlineLevel="0" collapsed="false">
      <c r="A1422" s="10" t="s">
        <v>3364</v>
      </c>
      <c r="B1422" s="10" t="s">
        <v>45</v>
      </c>
      <c r="C1422" s="8" t="s">
        <v>3355</v>
      </c>
      <c r="D1422" s="8" t="s">
        <v>3365</v>
      </c>
      <c r="E1422" s="11" t="n">
        <v>237</v>
      </c>
      <c r="F1422" s="8" t="str">
        <f aca="false">IFERROR(INDEX(Section_Master!$D$2:$D$477,MATCH($E1422,Section_Master!$A$2:$A$477,0))&amp;"","")</f>
        <v>Same punishment as for giving false evidence</v>
      </c>
      <c r="G1422" s="10" t="str">
        <f aca="false">IFERROR(INDEX(Section_Master!$E$2:$E$477,MATCH($E1422,Section_Master!$A$2:$A$477,0))&amp;"","")</f>
        <v>No</v>
      </c>
      <c r="H1422" s="10" t="str">
        <f aca="false">IFERROR(INDEX(Section_Master!$F$2:$F$477,MATCH($E1422,Section_Master!$A$2:$A$477,0))&amp;"","")</f>
        <v>Yes</v>
      </c>
      <c r="I1422" s="10" t="str">
        <f aca="false">IFERROR(INDEX(Section_Master!$G$2:$G$477,MATCH($E1422,Section_Master!$A$2:$A$477,0))&amp;"","")</f>
        <v>No</v>
      </c>
      <c r="J1422" s="10" t="s">
        <v>61</v>
      </c>
      <c r="K1422" s="8" t="s">
        <v>3357</v>
      </c>
    </row>
    <row r="1423" customFormat="false" ht="34.5" hidden="false" customHeight="true" outlineLevel="0" collapsed="false">
      <c r="A1423" s="10" t="s">
        <v>3366</v>
      </c>
      <c r="B1423" s="10" t="s">
        <v>45</v>
      </c>
      <c r="C1423" s="8" t="s">
        <v>3355</v>
      </c>
      <c r="D1423" s="8" t="s">
        <v>3367</v>
      </c>
      <c r="E1423" s="11" t="n">
        <v>237</v>
      </c>
      <c r="F1423" s="8" t="str">
        <f aca="false">IFERROR(INDEX(Section_Master!$D$2:$D$477,MATCH($E1423,Section_Master!$A$2:$A$477,0))&amp;"","")</f>
        <v>Same punishment as for giving false evidence</v>
      </c>
      <c r="G1423" s="10" t="str">
        <f aca="false">IFERROR(INDEX(Section_Master!$E$2:$E$477,MATCH($E1423,Section_Master!$A$2:$A$477,0))&amp;"","")</f>
        <v>No</v>
      </c>
      <c r="H1423" s="10" t="str">
        <f aca="false">IFERROR(INDEX(Section_Master!$F$2:$F$477,MATCH($E1423,Section_Master!$A$2:$A$477,0))&amp;"","")</f>
        <v>Yes</v>
      </c>
      <c r="I1423" s="10" t="str">
        <f aca="false">IFERROR(INDEX(Section_Master!$G$2:$G$477,MATCH($E1423,Section_Master!$A$2:$A$477,0))&amp;"","")</f>
        <v>No</v>
      </c>
      <c r="J1423" s="10" t="s">
        <v>64</v>
      </c>
      <c r="K1423" s="8" t="s">
        <v>3357</v>
      </c>
    </row>
    <row r="1424" customFormat="false" ht="34.5" hidden="false" customHeight="true" outlineLevel="0" collapsed="false">
      <c r="A1424" s="10" t="s">
        <v>3368</v>
      </c>
      <c r="B1424" s="10" t="s">
        <v>45</v>
      </c>
      <c r="C1424" s="8" t="s">
        <v>3369</v>
      </c>
      <c r="D1424" s="8" t="s">
        <v>3370</v>
      </c>
      <c r="E1424" s="11" t="n">
        <v>238</v>
      </c>
      <c r="F1424" s="8" t="str">
        <f aca="false">IFERROR(INDEX(Section_Master!$D$2:$D$477,MATCH($E1424,Section_Master!$A$2:$A$477,0))&amp;"","")</f>
        <v>Up to 7 years and fine (capital offence); up to 3 years and fine (life offence); up to one-fourth of the longest term, or fine, or both (other offences) [s.238]</v>
      </c>
      <c r="G1424" s="10" t="str">
        <f aca="false">IFERROR(INDEX(Section_Master!$E$2:$E$477,MATCH($E1424,Section_Master!$A$2:$A$477,0))&amp;"","")</f>
        <v>No</v>
      </c>
      <c r="H1424" s="10" t="str">
        <f aca="false">IFERROR(INDEX(Section_Master!$F$2:$F$477,MATCH($E1424,Section_Master!$A$2:$A$477,0))&amp;"","")</f>
        <v>Varies by sub-section</v>
      </c>
      <c r="I1424" s="10" t="str">
        <f aca="false">IFERROR(INDEX(Section_Master!$G$2:$G$477,MATCH($E1424,Section_Master!$A$2:$A$477,0))&amp;"","")</f>
        <v>No</v>
      </c>
      <c r="J1424" s="10" t="s">
        <v>48</v>
      </c>
      <c r="K1424" s="8" t="s">
        <v>3371</v>
      </c>
    </row>
    <row r="1425" customFormat="false" ht="45.75" hidden="false" customHeight="true" outlineLevel="0" collapsed="false">
      <c r="A1425" s="10" t="s">
        <v>3372</v>
      </c>
      <c r="B1425" s="10" t="s">
        <v>45</v>
      </c>
      <c r="C1425" s="8" t="s">
        <v>3369</v>
      </c>
      <c r="D1425" s="8" t="s">
        <v>3373</v>
      </c>
      <c r="E1425" s="11" t="n">
        <v>238</v>
      </c>
      <c r="F1425" s="8" t="str">
        <f aca="false">IFERROR(INDEX(Section_Master!$D$2:$D$477,MATCH($E1425,Section_Master!$A$2:$A$477,0))&amp;"","")</f>
        <v>Up to 7 years and fine (capital offence); up to 3 years and fine (life offence); up to one-fourth of the longest term, or fine, or both (other offences) [s.238]</v>
      </c>
      <c r="G1425" s="10" t="str">
        <f aca="false">IFERROR(INDEX(Section_Master!$E$2:$E$477,MATCH($E1425,Section_Master!$A$2:$A$477,0))&amp;"","")</f>
        <v>No</v>
      </c>
      <c r="H1425" s="10" t="str">
        <f aca="false">IFERROR(INDEX(Section_Master!$F$2:$F$477,MATCH($E1425,Section_Master!$A$2:$A$477,0))&amp;"","")</f>
        <v>Varies by sub-section</v>
      </c>
      <c r="I1425" s="10" t="str">
        <f aca="false">IFERROR(INDEX(Section_Master!$G$2:$G$477,MATCH($E1425,Section_Master!$A$2:$A$477,0))&amp;"","")</f>
        <v>No</v>
      </c>
      <c r="J1425" s="10" t="s">
        <v>52</v>
      </c>
      <c r="K1425" s="8" t="s">
        <v>3371</v>
      </c>
    </row>
    <row r="1426" customFormat="false" ht="34.5" hidden="false" customHeight="true" outlineLevel="0" collapsed="false">
      <c r="A1426" s="10" t="s">
        <v>3374</v>
      </c>
      <c r="B1426" s="10" t="s">
        <v>45</v>
      </c>
      <c r="C1426" s="8" t="s">
        <v>3369</v>
      </c>
      <c r="D1426" s="8" t="s">
        <v>3375</v>
      </c>
      <c r="E1426" s="11" t="n">
        <v>238</v>
      </c>
      <c r="F1426" s="8" t="str">
        <f aca="false">IFERROR(INDEX(Section_Master!$D$2:$D$477,MATCH($E1426,Section_Master!$A$2:$A$477,0))&amp;"","")</f>
        <v>Up to 7 years and fine (capital offence); up to 3 years and fine (life offence); up to one-fourth of the longest term, or fine, or both (other offences) [s.238]</v>
      </c>
      <c r="G1426" s="10" t="str">
        <f aca="false">IFERROR(INDEX(Section_Master!$E$2:$E$477,MATCH($E1426,Section_Master!$A$2:$A$477,0))&amp;"","")</f>
        <v>No</v>
      </c>
      <c r="H1426" s="10" t="str">
        <f aca="false">IFERROR(INDEX(Section_Master!$F$2:$F$477,MATCH($E1426,Section_Master!$A$2:$A$477,0))&amp;"","")</f>
        <v>Varies by sub-section</v>
      </c>
      <c r="I1426" s="10" t="str">
        <f aca="false">IFERROR(INDEX(Section_Master!$G$2:$G$477,MATCH($E1426,Section_Master!$A$2:$A$477,0))&amp;"","")</f>
        <v>No</v>
      </c>
      <c r="J1426" s="10" t="s">
        <v>55</v>
      </c>
      <c r="K1426" s="8" t="s">
        <v>3371</v>
      </c>
    </row>
    <row r="1427" customFormat="false" ht="34.5" hidden="false" customHeight="true" outlineLevel="0" collapsed="false">
      <c r="A1427" s="10" t="s">
        <v>3376</v>
      </c>
      <c r="B1427" s="10" t="s">
        <v>45</v>
      </c>
      <c r="C1427" s="8" t="s">
        <v>3369</v>
      </c>
      <c r="D1427" s="8" t="s">
        <v>3377</v>
      </c>
      <c r="E1427" s="11" t="n">
        <v>238</v>
      </c>
      <c r="F1427" s="8" t="str">
        <f aca="false">IFERROR(INDEX(Section_Master!$D$2:$D$477,MATCH($E1427,Section_Master!$A$2:$A$477,0))&amp;"","")</f>
        <v>Up to 7 years and fine (capital offence); up to 3 years and fine (life offence); up to one-fourth of the longest term, or fine, or both (other offences) [s.238]</v>
      </c>
      <c r="G1427" s="10" t="str">
        <f aca="false">IFERROR(INDEX(Section_Master!$E$2:$E$477,MATCH($E1427,Section_Master!$A$2:$A$477,0))&amp;"","")</f>
        <v>No</v>
      </c>
      <c r="H1427" s="10" t="str">
        <f aca="false">IFERROR(INDEX(Section_Master!$F$2:$F$477,MATCH($E1427,Section_Master!$A$2:$A$477,0))&amp;"","")</f>
        <v>Varies by sub-section</v>
      </c>
      <c r="I1427" s="10" t="str">
        <f aca="false">IFERROR(INDEX(Section_Master!$G$2:$G$477,MATCH($E1427,Section_Master!$A$2:$A$477,0))&amp;"","")</f>
        <v>No</v>
      </c>
      <c r="J1427" s="10" t="s">
        <v>58</v>
      </c>
      <c r="K1427" s="8" t="s">
        <v>3371</v>
      </c>
    </row>
    <row r="1428" customFormat="false" ht="34.5" hidden="false" customHeight="true" outlineLevel="0" collapsed="false">
      <c r="A1428" s="10" t="s">
        <v>3378</v>
      </c>
      <c r="B1428" s="10" t="s">
        <v>45</v>
      </c>
      <c r="C1428" s="8" t="s">
        <v>3369</v>
      </c>
      <c r="D1428" s="8" t="s">
        <v>3379</v>
      </c>
      <c r="E1428" s="11" t="n">
        <v>238</v>
      </c>
      <c r="F1428" s="8" t="str">
        <f aca="false">IFERROR(INDEX(Section_Master!$D$2:$D$477,MATCH($E1428,Section_Master!$A$2:$A$477,0))&amp;"","")</f>
        <v>Up to 7 years and fine (capital offence); up to 3 years and fine (life offence); up to one-fourth of the longest term, or fine, or both (other offences) [s.238]</v>
      </c>
      <c r="G1428" s="10" t="str">
        <f aca="false">IFERROR(INDEX(Section_Master!$E$2:$E$477,MATCH($E1428,Section_Master!$A$2:$A$477,0))&amp;"","")</f>
        <v>No</v>
      </c>
      <c r="H1428" s="10" t="str">
        <f aca="false">IFERROR(INDEX(Section_Master!$F$2:$F$477,MATCH($E1428,Section_Master!$A$2:$A$477,0))&amp;"","")</f>
        <v>Varies by sub-section</v>
      </c>
      <c r="I1428" s="10" t="str">
        <f aca="false">IFERROR(INDEX(Section_Master!$G$2:$G$477,MATCH($E1428,Section_Master!$A$2:$A$477,0))&amp;"","")</f>
        <v>No</v>
      </c>
      <c r="J1428" s="10" t="s">
        <v>61</v>
      </c>
      <c r="K1428" s="8" t="s">
        <v>3371</v>
      </c>
    </row>
    <row r="1429" customFormat="false" ht="34.5" hidden="false" customHeight="true" outlineLevel="0" collapsed="false">
      <c r="A1429" s="10" t="s">
        <v>3380</v>
      </c>
      <c r="B1429" s="10" t="s">
        <v>45</v>
      </c>
      <c r="C1429" s="8" t="s">
        <v>3369</v>
      </c>
      <c r="D1429" s="8" t="s">
        <v>3381</v>
      </c>
      <c r="E1429" s="11" t="n">
        <v>238</v>
      </c>
      <c r="F1429" s="8" t="str">
        <f aca="false">IFERROR(INDEX(Section_Master!$D$2:$D$477,MATCH($E1429,Section_Master!$A$2:$A$477,0))&amp;"","")</f>
        <v>Up to 7 years and fine (capital offence); up to 3 years and fine (life offence); up to one-fourth of the longest term, or fine, or both (other offences) [s.238]</v>
      </c>
      <c r="G1429" s="10" t="str">
        <f aca="false">IFERROR(INDEX(Section_Master!$E$2:$E$477,MATCH($E1429,Section_Master!$A$2:$A$477,0))&amp;"","")</f>
        <v>No</v>
      </c>
      <c r="H1429" s="10" t="str">
        <f aca="false">IFERROR(INDEX(Section_Master!$F$2:$F$477,MATCH($E1429,Section_Master!$A$2:$A$477,0))&amp;"","")</f>
        <v>Varies by sub-section</v>
      </c>
      <c r="I1429" s="10" t="str">
        <f aca="false">IFERROR(INDEX(Section_Master!$G$2:$G$477,MATCH($E1429,Section_Master!$A$2:$A$477,0))&amp;"","")</f>
        <v>No</v>
      </c>
      <c r="J1429" s="10" t="s">
        <v>64</v>
      </c>
      <c r="K1429" s="8" t="s">
        <v>3371</v>
      </c>
    </row>
    <row r="1430" customFormat="false" ht="34.5" hidden="false" customHeight="true" outlineLevel="0" collapsed="false">
      <c r="A1430" s="10" t="s">
        <v>3382</v>
      </c>
      <c r="B1430" s="10" t="s">
        <v>45</v>
      </c>
      <c r="C1430" s="8" t="s">
        <v>3383</v>
      </c>
      <c r="D1430" s="8" t="s">
        <v>3384</v>
      </c>
      <c r="E1430" s="11" t="n">
        <v>239</v>
      </c>
      <c r="F1430" s="8" t="str">
        <f aca="false">IFERROR(INDEX(Section_Master!$D$2:$D$477,MATCH($E1430,Section_Master!$A$2:$A$477,0))&amp;"","")</f>
        <v>Imprisonment up to 6 months, or fine, or both; up to 2 years in graver cases [s.239]</v>
      </c>
      <c r="G1430" s="10" t="str">
        <f aca="false">IFERROR(INDEX(Section_Master!$E$2:$E$477,MATCH($E1430,Section_Master!$A$2:$A$477,0))&amp;"","")</f>
        <v>No</v>
      </c>
      <c r="H1430" s="10" t="str">
        <f aca="false">IFERROR(INDEX(Section_Master!$F$2:$F$477,MATCH($E1430,Section_Master!$A$2:$A$477,0))&amp;"","")</f>
        <v>Yes</v>
      </c>
      <c r="I1430" s="10" t="str">
        <f aca="false">IFERROR(INDEX(Section_Master!$G$2:$G$477,MATCH($E1430,Section_Master!$A$2:$A$477,0))&amp;"","")</f>
        <v>No</v>
      </c>
      <c r="J1430" s="10" t="s">
        <v>48</v>
      </c>
      <c r="K1430" s="8" t="s">
        <v>3385</v>
      </c>
    </row>
    <row r="1431" customFormat="false" ht="45.75" hidden="false" customHeight="true" outlineLevel="0" collapsed="false">
      <c r="A1431" s="10" t="s">
        <v>3386</v>
      </c>
      <c r="B1431" s="10" t="s">
        <v>45</v>
      </c>
      <c r="C1431" s="8" t="s">
        <v>3383</v>
      </c>
      <c r="D1431" s="8" t="s">
        <v>3387</v>
      </c>
      <c r="E1431" s="11" t="n">
        <v>239</v>
      </c>
      <c r="F1431" s="8" t="str">
        <f aca="false">IFERROR(INDEX(Section_Master!$D$2:$D$477,MATCH($E1431,Section_Master!$A$2:$A$477,0))&amp;"","")</f>
        <v>Imprisonment up to 6 months, or fine, or both; up to 2 years in graver cases [s.239]</v>
      </c>
      <c r="G1431" s="10" t="str">
        <f aca="false">IFERROR(INDEX(Section_Master!$E$2:$E$477,MATCH($E1431,Section_Master!$A$2:$A$477,0))&amp;"","")</f>
        <v>No</v>
      </c>
      <c r="H1431" s="10" t="str">
        <f aca="false">IFERROR(INDEX(Section_Master!$F$2:$F$477,MATCH($E1431,Section_Master!$A$2:$A$477,0))&amp;"","")</f>
        <v>Yes</v>
      </c>
      <c r="I1431" s="10" t="str">
        <f aca="false">IFERROR(INDEX(Section_Master!$G$2:$G$477,MATCH($E1431,Section_Master!$A$2:$A$477,0))&amp;"","")</f>
        <v>No</v>
      </c>
      <c r="J1431" s="10" t="s">
        <v>52</v>
      </c>
      <c r="K1431" s="8" t="s">
        <v>3385</v>
      </c>
    </row>
    <row r="1432" customFormat="false" ht="34.5" hidden="false" customHeight="true" outlineLevel="0" collapsed="false">
      <c r="A1432" s="10" t="s">
        <v>3388</v>
      </c>
      <c r="B1432" s="10" t="s">
        <v>45</v>
      </c>
      <c r="C1432" s="8" t="s">
        <v>3383</v>
      </c>
      <c r="D1432" s="8" t="s">
        <v>3389</v>
      </c>
      <c r="E1432" s="11" t="n">
        <v>239</v>
      </c>
      <c r="F1432" s="8" t="str">
        <f aca="false">IFERROR(INDEX(Section_Master!$D$2:$D$477,MATCH($E1432,Section_Master!$A$2:$A$477,0))&amp;"","")</f>
        <v>Imprisonment up to 6 months, or fine, or both; up to 2 years in graver cases [s.239]</v>
      </c>
      <c r="G1432" s="10" t="str">
        <f aca="false">IFERROR(INDEX(Section_Master!$E$2:$E$477,MATCH($E1432,Section_Master!$A$2:$A$477,0))&amp;"","")</f>
        <v>No</v>
      </c>
      <c r="H1432" s="10" t="str">
        <f aca="false">IFERROR(INDEX(Section_Master!$F$2:$F$477,MATCH($E1432,Section_Master!$A$2:$A$477,0))&amp;"","")</f>
        <v>Yes</v>
      </c>
      <c r="I1432" s="10" t="str">
        <f aca="false">IFERROR(INDEX(Section_Master!$G$2:$G$477,MATCH($E1432,Section_Master!$A$2:$A$477,0))&amp;"","")</f>
        <v>No</v>
      </c>
      <c r="J1432" s="10" t="s">
        <v>55</v>
      </c>
      <c r="K1432" s="8" t="s">
        <v>3385</v>
      </c>
    </row>
    <row r="1433" customFormat="false" ht="34.5" hidden="false" customHeight="true" outlineLevel="0" collapsed="false">
      <c r="A1433" s="10" t="s">
        <v>3390</v>
      </c>
      <c r="B1433" s="10" t="s">
        <v>45</v>
      </c>
      <c r="C1433" s="8" t="s">
        <v>3383</v>
      </c>
      <c r="D1433" s="8" t="s">
        <v>3391</v>
      </c>
      <c r="E1433" s="11" t="n">
        <v>239</v>
      </c>
      <c r="F1433" s="8" t="str">
        <f aca="false">IFERROR(INDEX(Section_Master!$D$2:$D$477,MATCH($E1433,Section_Master!$A$2:$A$477,0))&amp;"","")</f>
        <v>Imprisonment up to 6 months, or fine, or both; up to 2 years in graver cases [s.239]</v>
      </c>
      <c r="G1433" s="10" t="str">
        <f aca="false">IFERROR(INDEX(Section_Master!$E$2:$E$477,MATCH($E1433,Section_Master!$A$2:$A$477,0))&amp;"","")</f>
        <v>No</v>
      </c>
      <c r="H1433" s="10" t="str">
        <f aca="false">IFERROR(INDEX(Section_Master!$F$2:$F$477,MATCH($E1433,Section_Master!$A$2:$A$477,0))&amp;"","")</f>
        <v>Yes</v>
      </c>
      <c r="I1433" s="10" t="str">
        <f aca="false">IFERROR(INDEX(Section_Master!$G$2:$G$477,MATCH($E1433,Section_Master!$A$2:$A$477,0))&amp;"","")</f>
        <v>No</v>
      </c>
      <c r="J1433" s="10" t="s">
        <v>58</v>
      </c>
      <c r="K1433" s="8" t="s">
        <v>3385</v>
      </c>
    </row>
    <row r="1434" customFormat="false" ht="23.25" hidden="false" customHeight="true" outlineLevel="0" collapsed="false">
      <c r="A1434" s="10" t="s">
        <v>3392</v>
      </c>
      <c r="B1434" s="10" t="s">
        <v>45</v>
      </c>
      <c r="C1434" s="8" t="s">
        <v>3383</v>
      </c>
      <c r="D1434" s="8" t="s">
        <v>3393</v>
      </c>
      <c r="E1434" s="11" t="n">
        <v>239</v>
      </c>
      <c r="F1434" s="8" t="str">
        <f aca="false">IFERROR(INDEX(Section_Master!$D$2:$D$477,MATCH($E1434,Section_Master!$A$2:$A$477,0))&amp;"","")</f>
        <v>Imprisonment up to 6 months, or fine, or both; up to 2 years in graver cases [s.239]</v>
      </c>
      <c r="G1434" s="10" t="str">
        <f aca="false">IFERROR(INDEX(Section_Master!$E$2:$E$477,MATCH($E1434,Section_Master!$A$2:$A$477,0))&amp;"","")</f>
        <v>No</v>
      </c>
      <c r="H1434" s="10" t="str">
        <f aca="false">IFERROR(INDEX(Section_Master!$F$2:$F$477,MATCH($E1434,Section_Master!$A$2:$A$477,0))&amp;"","")</f>
        <v>Yes</v>
      </c>
      <c r="I1434" s="10" t="str">
        <f aca="false">IFERROR(INDEX(Section_Master!$G$2:$G$477,MATCH($E1434,Section_Master!$A$2:$A$477,0))&amp;"","")</f>
        <v>No</v>
      </c>
      <c r="J1434" s="10" t="s">
        <v>61</v>
      </c>
      <c r="K1434" s="8" t="s">
        <v>3385</v>
      </c>
    </row>
    <row r="1435" customFormat="false" ht="34.5" hidden="false" customHeight="true" outlineLevel="0" collapsed="false">
      <c r="A1435" s="10" t="s">
        <v>3394</v>
      </c>
      <c r="B1435" s="10" t="s">
        <v>45</v>
      </c>
      <c r="C1435" s="8" t="s">
        <v>3383</v>
      </c>
      <c r="D1435" s="8" t="s">
        <v>3395</v>
      </c>
      <c r="E1435" s="11" t="n">
        <v>239</v>
      </c>
      <c r="F1435" s="8" t="str">
        <f aca="false">IFERROR(INDEX(Section_Master!$D$2:$D$477,MATCH($E1435,Section_Master!$A$2:$A$477,0))&amp;"","")</f>
        <v>Imprisonment up to 6 months, or fine, or both; up to 2 years in graver cases [s.239]</v>
      </c>
      <c r="G1435" s="10" t="str">
        <f aca="false">IFERROR(INDEX(Section_Master!$E$2:$E$477,MATCH($E1435,Section_Master!$A$2:$A$477,0))&amp;"","")</f>
        <v>No</v>
      </c>
      <c r="H1435" s="10" t="str">
        <f aca="false">IFERROR(INDEX(Section_Master!$F$2:$F$477,MATCH($E1435,Section_Master!$A$2:$A$477,0))&amp;"","")</f>
        <v>Yes</v>
      </c>
      <c r="I1435" s="10" t="str">
        <f aca="false">IFERROR(INDEX(Section_Master!$G$2:$G$477,MATCH($E1435,Section_Master!$A$2:$A$477,0))&amp;"","")</f>
        <v>No</v>
      </c>
      <c r="J1435" s="10" t="s">
        <v>64</v>
      </c>
      <c r="K1435" s="8" t="s">
        <v>3385</v>
      </c>
    </row>
    <row r="1436" customFormat="false" ht="23.25" hidden="false" customHeight="true" outlineLevel="0" collapsed="false">
      <c r="A1436" s="10" t="s">
        <v>3396</v>
      </c>
      <c r="B1436" s="10" t="s">
        <v>45</v>
      </c>
      <c r="C1436" s="8" t="s">
        <v>3397</v>
      </c>
      <c r="D1436" s="8" t="s">
        <v>3398</v>
      </c>
      <c r="E1436" s="11" t="n">
        <v>240</v>
      </c>
      <c r="F1436" s="8" t="str">
        <f aca="false">IFERROR(INDEX(Section_Master!$D$2:$D$477,MATCH($E1436,Section_Master!$A$2:$A$477,0))&amp;"","")</f>
        <v>Imprisonment up to 2 years, or fine, or both</v>
      </c>
      <c r="G1436" s="10" t="str">
        <f aca="false">IFERROR(INDEX(Section_Master!$E$2:$E$477,MATCH($E1436,Section_Master!$A$2:$A$477,0))&amp;"","")</f>
        <v>No</v>
      </c>
      <c r="H1436" s="10" t="str">
        <f aca="false">IFERROR(INDEX(Section_Master!$F$2:$F$477,MATCH($E1436,Section_Master!$A$2:$A$477,0))&amp;"","")</f>
        <v>Yes</v>
      </c>
      <c r="I1436" s="10" t="str">
        <f aca="false">IFERROR(INDEX(Section_Master!$G$2:$G$477,MATCH($E1436,Section_Master!$A$2:$A$477,0))&amp;"","")</f>
        <v>No</v>
      </c>
      <c r="J1436" s="10" t="s">
        <v>48</v>
      </c>
      <c r="K1436" s="8" t="s">
        <v>3399</v>
      </c>
    </row>
    <row r="1437" customFormat="false" ht="34.5" hidden="false" customHeight="true" outlineLevel="0" collapsed="false">
      <c r="A1437" s="10" t="s">
        <v>3400</v>
      </c>
      <c r="B1437" s="10" t="s">
        <v>45</v>
      </c>
      <c r="C1437" s="8" t="s">
        <v>3397</v>
      </c>
      <c r="D1437" s="8" t="s">
        <v>3401</v>
      </c>
      <c r="E1437" s="11" t="n">
        <v>240</v>
      </c>
      <c r="F1437" s="8" t="str">
        <f aca="false">IFERROR(INDEX(Section_Master!$D$2:$D$477,MATCH($E1437,Section_Master!$A$2:$A$477,0))&amp;"","")</f>
        <v>Imprisonment up to 2 years, or fine, or both</v>
      </c>
      <c r="G1437" s="10" t="str">
        <f aca="false">IFERROR(INDEX(Section_Master!$E$2:$E$477,MATCH($E1437,Section_Master!$A$2:$A$477,0))&amp;"","")</f>
        <v>No</v>
      </c>
      <c r="H1437" s="10" t="str">
        <f aca="false">IFERROR(INDEX(Section_Master!$F$2:$F$477,MATCH($E1437,Section_Master!$A$2:$A$477,0))&amp;"","")</f>
        <v>Yes</v>
      </c>
      <c r="I1437" s="10" t="str">
        <f aca="false">IFERROR(INDEX(Section_Master!$G$2:$G$477,MATCH($E1437,Section_Master!$A$2:$A$477,0))&amp;"","")</f>
        <v>No</v>
      </c>
      <c r="J1437" s="10" t="s">
        <v>52</v>
      </c>
      <c r="K1437" s="8" t="s">
        <v>3399</v>
      </c>
    </row>
    <row r="1438" customFormat="false" ht="34.5" hidden="false" customHeight="true" outlineLevel="0" collapsed="false">
      <c r="A1438" s="10" t="s">
        <v>3402</v>
      </c>
      <c r="B1438" s="10" t="s">
        <v>45</v>
      </c>
      <c r="C1438" s="8" t="s">
        <v>3397</v>
      </c>
      <c r="D1438" s="8" t="s">
        <v>3403</v>
      </c>
      <c r="E1438" s="11" t="n">
        <v>240</v>
      </c>
      <c r="F1438" s="8" t="str">
        <f aca="false">IFERROR(INDEX(Section_Master!$D$2:$D$477,MATCH($E1438,Section_Master!$A$2:$A$477,0))&amp;"","")</f>
        <v>Imprisonment up to 2 years, or fine, or both</v>
      </c>
      <c r="G1438" s="10" t="str">
        <f aca="false">IFERROR(INDEX(Section_Master!$E$2:$E$477,MATCH($E1438,Section_Master!$A$2:$A$477,0))&amp;"","")</f>
        <v>No</v>
      </c>
      <c r="H1438" s="10" t="str">
        <f aca="false">IFERROR(INDEX(Section_Master!$F$2:$F$477,MATCH($E1438,Section_Master!$A$2:$A$477,0))&amp;"","")</f>
        <v>Yes</v>
      </c>
      <c r="I1438" s="10" t="str">
        <f aca="false">IFERROR(INDEX(Section_Master!$G$2:$G$477,MATCH($E1438,Section_Master!$A$2:$A$477,0))&amp;"","")</f>
        <v>No</v>
      </c>
      <c r="J1438" s="10" t="s">
        <v>55</v>
      </c>
      <c r="K1438" s="8" t="s">
        <v>3399</v>
      </c>
    </row>
    <row r="1439" customFormat="false" ht="23.25" hidden="false" customHeight="true" outlineLevel="0" collapsed="false">
      <c r="A1439" s="10" t="s">
        <v>3404</v>
      </c>
      <c r="B1439" s="10" t="s">
        <v>45</v>
      </c>
      <c r="C1439" s="8" t="s">
        <v>3397</v>
      </c>
      <c r="D1439" s="8" t="s">
        <v>3405</v>
      </c>
      <c r="E1439" s="11" t="n">
        <v>240</v>
      </c>
      <c r="F1439" s="8" t="str">
        <f aca="false">IFERROR(INDEX(Section_Master!$D$2:$D$477,MATCH($E1439,Section_Master!$A$2:$A$477,0))&amp;"","")</f>
        <v>Imprisonment up to 2 years, or fine, or both</v>
      </c>
      <c r="G1439" s="10" t="str">
        <f aca="false">IFERROR(INDEX(Section_Master!$E$2:$E$477,MATCH($E1439,Section_Master!$A$2:$A$477,0))&amp;"","")</f>
        <v>No</v>
      </c>
      <c r="H1439" s="10" t="str">
        <f aca="false">IFERROR(INDEX(Section_Master!$F$2:$F$477,MATCH($E1439,Section_Master!$A$2:$A$477,0))&amp;"","")</f>
        <v>Yes</v>
      </c>
      <c r="I1439" s="10" t="str">
        <f aca="false">IFERROR(INDEX(Section_Master!$G$2:$G$477,MATCH($E1439,Section_Master!$A$2:$A$477,0))&amp;"","")</f>
        <v>No</v>
      </c>
      <c r="J1439" s="10" t="s">
        <v>58</v>
      </c>
      <c r="K1439" s="8" t="s">
        <v>3399</v>
      </c>
    </row>
    <row r="1440" customFormat="false" ht="23.25" hidden="false" customHeight="true" outlineLevel="0" collapsed="false">
      <c r="A1440" s="10" t="s">
        <v>3406</v>
      </c>
      <c r="B1440" s="10" t="s">
        <v>45</v>
      </c>
      <c r="C1440" s="8" t="s">
        <v>3397</v>
      </c>
      <c r="D1440" s="8" t="s">
        <v>3407</v>
      </c>
      <c r="E1440" s="11" t="n">
        <v>240</v>
      </c>
      <c r="F1440" s="8" t="str">
        <f aca="false">IFERROR(INDEX(Section_Master!$D$2:$D$477,MATCH($E1440,Section_Master!$A$2:$A$477,0))&amp;"","")</f>
        <v>Imprisonment up to 2 years, or fine, or both</v>
      </c>
      <c r="G1440" s="10" t="str">
        <f aca="false">IFERROR(INDEX(Section_Master!$E$2:$E$477,MATCH($E1440,Section_Master!$A$2:$A$477,0))&amp;"","")</f>
        <v>No</v>
      </c>
      <c r="H1440" s="10" t="str">
        <f aca="false">IFERROR(INDEX(Section_Master!$F$2:$F$477,MATCH($E1440,Section_Master!$A$2:$A$477,0))&amp;"","")</f>
        <v>Yes</v>
      </c>
      <c r="I1440" s="10" t="str">
        <f aca="false">IFERROR(INDEX(Section_Master!$G$2:$G$477,MATCH($E1440,Section_Master!$A$2:$A$477,0))&amp;"","")</f>
        <v>No</v>
      </c>
      <c r="J1440" s="10" t="s">
        <v>61</v>
      </c>
      <c r="K1440" s="8" t="s">
        <v>3399</v>
      </c>
    </row>
    <row r="1441" customFormat="false" ht="34.5" hidden="false" customHeight="true" outlineLevel="0" collapsed="false">
      <c r="A1441" s="10" t="s">
        <v>3408</v>
      </c>
      <c r="B1441" s="10" t="s">
        <v>45</v>
      </c>
      <c r="C1441" s="8" t="s">
        <v>3397</v>
      </c>
      <c r="D1441" s="8" t="s">
        <v>3409</v>
      </c>
      <c r="E1441" s="11" t="n">
        <v>240</v>
      </c>
      <c r="F1441" s="8" t="str">
        <f aca="false">IFERROR(INDEX(Section_Master!$D$2:$D$477,MATCH($E1441,Section_Master!$A$2:$A$477,0))&amp;"","")</f>
        <v>Imprisonment up to 2 years, or fine, or both</v>
      </c>
      <c r="G1441" s="10" t="str">
        <f aca="false">IFERROR(INDEX(Section_Master!$E$2:$E$477,MATCH($E1441,Section_Master!$A$2:$A$477,0))&amp;"","")</f>
        <v>No</v>
      </c>
      <c r="H1441" s="10" t="str">
        <f aca="false">IFERROR(INDEX(Section_Master!$F$2:$F$477,MATCH($E1441,Section_Master!$A$2:$A$477,0))&amp;"","")</f>
        <v>Yes</v>
      </c>
      <c r="I1441" s="10" t="str">
        <f aca="false">IFERROR(INDEX(Section_Master!$G$2:$G$477,MATCH($E1441,Section_Master!$A$2:$A$477,0))&amp;"","")</f>
        <v>No</v>
      </c>
      <c r="J1441" s="10" t="s">
        <v>64</v>
      </c>
      <c r="K1441" s="8" t="s">
        <v>3399</v>
      </c>
    </row>
    <row r="1442" customFormat="false" ht="34.5" hidden="false" customHeight="true" outlineLevel="0" collapsed="false">
      <c r="A1442" s="10" t="s">
        <v>3410</v>
      </c>
      <c r="B1442" s="10" t="s">
        <v>45</v>
      </c>
      <c r="C1442" s="8" t="s">
        <v>3411</v>
      </c>
      <c r="D1442" s="8" t="s">
        <v>3412</v>
      </c>
      <c r="E1442" s="11" t="n">
        <v>241</v>
      </c>
      <c r="F1442" s="8" t="str">
        <f aca="false">IFERROR(INDEX(Section_Master!$D$2:$D$477,MATCH($E1442,Section_Master!$A$2:$A$477,0))&amp;"","")</f>
        <v>Imprisonment up to 3 years, or fine, or both</v>
      </c>
      <c r="G1442" s="10" t="str">
        <f aca="false">IFERROR(INDEX(Section_Master!$E$2:$E$477,MATCH($E1442,Section_Master!$A$2:$A$477,0))&amp;"","")</f>
        <v>No</v>
      </c>
      <c r="H1442" s="10" t="str">
        <f aca="false">IFERROR(INDEX(Section_Master!$F$2:$F$477,MATCH($E1442,Section_Master!$A$2:$A$477,0))&amp;"","")</f>
        <v>Yes</v>
      </c>
      <c r="I1442" s="10" t="str">
        <f aca="false">IFERROR(INDEX(Section_Master!$G$2:$G$477,MATCH($E1442,Section_Master!$A$2:$A$477,0))&amp;"","")</f>
        <v>No</v>
      </c>
      <c r="J1442" s="10" t="s">
        <v>48</v>
      </c>
      <c r="K1442" s="8" t="s">
        <v>3413</v>
      </c>
    </row>
    <row r="1443" customFormat="false" ht="34.5" hidden="false" customHeight="true" outlineLevel="0" collapsed="false">
      <c r="A1443" s="10" t="s">
        <v>3414</v>
      </c>
      <c r="B1443" s="10" t="s">
        <v>45</v>
      </c>
      <c r="C1443" s="8" t="s">
        <v>3411</v>
      </c>
      <c r="D1443" s="8" t="s">
        <v>3415</v>
      </c>
      <c r="E1443" s="11" t="n">
        <v>241</v>
      </c>
      <c r="F1443" s="8" t="str">
        <f aca="false">IFERROR(INDEX(Section_Master!$D$2:$D$477,MATCH($E1443,Section_Master!$A$2:$A$477,0))&amp;"","")</f>
        <v>Imprisonment up to 3 years, or fine, or both</v>
      </c>
      <c r="G1443" s="10" t="str">
        <f aca="false">IFERROR(INDEX(Section_Master!$E$2:$E$477,MATCH($E1443,Section_Master!$A$2:$A$477,0))&amp;"","")</f>
        <v>No</v>
      </c>
      <c r="H1443" s="10" t="str">
        <f aca="false">IFERROR(INDEX(Section_Master!$F$2:$F$477,MATCH($E1443,Section_Master!$A$2:$A$477,0))&amp;"","")</f>
        <v>Yes</v>
      </c>
      <c r="I1443" s="10" t="str">
        <f aca="false">IFERROR(INDEX(Section_Master!$G$2:$G$477,MATCH($E1443,Section_Master!$A$2:$A$477,0))&amp;"","")</f>
        <v>No</v>
      </c>
      <c r="J1443" s="10" t="s">
        <v>52</v>
      </c>
      <c r="K1443" s="8" t="s">
        <v>3413</v>
      </c>
    </row>
    <row r="1444" customFormat="false" ht="34.5" hidden="false" customHeight="true" outlineLevel="0" collapsed="false">
      <c r="A1444" s="10" t="s">
        <v>3416</v>
      </c>
      <c r="B1444" s="10" t="s">
        <v>45</v>
      </c>
      <c r="C1444" s="8" t="s">
        <v>3411</v>
      </c>
      <c r="D1444" s="8" t="s">
        <v>3417</v>
      </c>
      <c r="E1444" s="11" t="n">
        <v>241</v>
      </c>
      <c r="F1444" s="8" t="str">
        <f aca="false">IFERROR(INDEX(Section_Master!$D$2:$D$477,MATCH($E1444,Section_Master!$A$2:$A$477,0))&amp;"","")</f>
        <v>Imprisonment up to 3 years, or fine, or both</v>
      </c>
      <c r="G1444" s="10" t="str">
        <f aca="false">IFERROR(INDEX(Section_Master!$E$2:$E$477,MATCH($E1444,Section_Master!$A$2:$A$477,0))&amp;"","")</f>
        <v>No</v>
      </c>
      <c r="H1444" s="10" t="str">
        <f aca="false">IFERROR(INDEX(Section_Master!$F$2:$F$477,MATCH($E1444,Section_Master!$A$2:$A$477,0))&amp;"","")</f>
        <v>Yes</v>
      </c>
      <c r="I1444" s="10" t="str">
        <f aca="false">IFERROR(INDEX(Section_Master!$G$2:$G$477,MATCH($E1444,Section_Master!$A$2:$A$477,0))&amp;"","")</f>
        <v>No</v>
      </c>
      <c r="J1444" s="10" t="s">
        <v>55</v>
      </c>
      <c r="K1444" s="8" t="s">
        <v>3413</v>
      </c>
    </row>
    <row r="1445" customFormat="false" ht="34.5" hidden="false" customHeight="true" outlineLevel="0" collapsed="false">
      <c r="A1445" s="10" t="s">
        <v>3418</v>
      </c>
      <c r="B1445" s="10" t="s">
        <v>45</v>
      </c>
      <c r="C1445" s="8" t="s">
        <v>3411</v>
      </c>
      <c r="D1445" s="8" t="s">
        <v>3419</v>
      </c>
      <c r="E1445" s="11" t="n">
        <v>241</v>
      </c>
      <c r="F1445" s="8" t="str">
        <f aca="false">IFERROR(INDEX(Section_Master!$D$2:$D$477,MATCH($E1445,Section_Master!$A$2:$A$477,0))&amp;"","")</f>
        <v>Imprisonment up to 3 years, or fine, or both</v>
      </c>
      <c r="G1445" s="10" t="str">
        <f aca="false">IFERROR(INDEX(Section_Master!$E$2:$E$477,MATCH($E1445,Section_Master!$A$2:$A$477,0))&amp;"","")</f>
        <v>No</v>
      </c>
      <c r="H1445" s="10" t="str">
        <f aca="false">IFERROR(INDEX(Section_Master!$F$2:$F$477,MATCH($E1445,Section_Master!$A$2:$A$477,0))&amp;"","")</f>
        <v>Yes</v>
      </c>
      <c r="I1445" s="10" t="str">
        <f aca="false">IFERROR(INDEX(Section_Master!$G$2:$G$477,MATCH($E1445,Section_Master!$A$2:$A$477,0))&amp;"","")</f>
        <v>No</v>
      </c>
      <c r="J1445" s="10" t="s">
        <v>58</v>
      </c>
      <c r="K1445" s="8" t="s">
        <v>3413</v>
      </c>
    </row>
    <row r="1446" customFormat="false" ht="34.5" hidden="false" customHeight="true" outlineLevel="0" collapsed="false">
      <c r="A1446" s="10" t="s">
        <v>3420</v>
      </c>
      <c r="B1446" s="10" t="s">
        <v>45</v>
      </c>
      <c r="C1446" s="8" t="s">
        <v>3411</v>
      </c>
      <c r="D1446" s="8" t="s">
        <v>3421</v>
      </c>
      <c r="E1446" s="11" t="n">
        <v>241</v>
      </c>
      <c r="F1446" s="8" t="str">
        <f aca="false">IFERROR(INDEX(Section_Master!$D$2:$D$477,MATCH($E1446,Section_Master!$A$2:$A$477,0))&amp;"","")</f>
        <v>Imprisonment up to 3 years, or fine, or both</v>
      </c>
      <c r="G1446" s="10" t="str">
        <f aca="false">IFERROR(INDEX(Section_Master!$E$2:$E$477,MATCH($E1446,Section_Master!$A$2:$A$477,0))&amp;"","")</f>
        <v>No</v>
      </c>
      <c r="H1446" s="10" t="str">
        <f aca="false">IFERROR(INDEX(Section_Master!$F$2:$F$477,MATCH($E1446,Section_Master!$A$2:$A$477,0))&amp;"","")</f>
        <v>Yes</v>
      </c>
      <c r="I1446" s="10" t="str">
        <f aca="false">IFERROR(INDEX(Section_Master!$G$2:$G$477,MATCH($E1446,Section_Master!$A$2:$A$477,0))&amp;"","")</f>
        <v>No</v>
      </c>
      <c r="J1446" s="10" t="s">
        <v>61</v>
      </c>
      <c r="K1446" s="8" t="s">
        <v>3413</v>
      </c>
    </row>
    <row r="1447" customFormat="false" ht="34.5" hidden="false" customHeight="true" outlineLevel="0" collapsed="false">
      <c r="A1447" s="10" t="s">
        <v>3422</v>
      </c>
      <c r="B1447" s="10" t="s">
        <v>45</v>
      </c>
      <c r="C1447" s="8" t="s">
        <v>3411</v>
      </c>
      <c r="D1447" s="8" t="s">
        <v>3423</v>
      </c>
      <c r="E1447" s="11" t="n">
        <v>241</v>
      </c>
      <c r="F1447" s="8" t="str">
        <f aca="false">IFERROR(INDEX(Section_Master!$D$2:$D$477,MATCH($E1447,Section_Master!$A$2:$A$477,0))&amp;"","")</f>
        <v>Imprisonment up to 3 years, or fine, or both</v>
      </c>
      <c r="G1447" s="10" t="str">
        <f aca="false">IFERROR(INDEX(Section_Master!$E$2:$E$477,MATCH($E1447,Section_Master!$A$2:$A$477,0))&amp;"","")</f>
        <v>No</v>
      </c>
      <c r="H1447" s="10" t="str">
        <f aca="false">IFERROR(INDEX(Section_Master!$F$2:$F$477,MATCH($E1447,Section_Master!$A$2:$A$477,0))&amp;"","")</f>
        <v>Yes</v>
      </c>
      <c r="I1447" s="10" t="str">
        <f aca="false">IFERROR(INDEX(Section_Master!$G$2:$G$477,MATCH($E1447,Section_Master!$A$2:$A$477,0))&amp;"","")</f>
        <v>No</v>
      </c>
      <c r="J1447" s="10" t="s">
        <v>64</v>
      </c>
      <c r="K1447" s="8" t="s">
        <v>3413</v>
      </c>
    </row>
    <row r="1448" customFormat="false" ht="34.5" hidden="false" customHeight="true" outlineLevel="0" collapsed="false">
      <c r="A1448" s="10" t="s">
        <v>3424</v>
      </c>
      <c r="B1448" s="10" t="s">
        <v>45</v>
      </c>
      <c r="C1448" s="8" t="s">
        <v>3425</v>
      </c>
      <c r="D1448" s="8" t="s">
        <v>3426</v>
      </c>
      <c r="E1448" s="11" t="n">
        <v>242</v>
      </c>
      <c r="F1448" s="8" t="str">
        <f aca="false">IFERROR(INDEX(Section_Master!$D$2:$D$477,MATCH($E1448,Section_Master!$A$2:$A$477,0))&amp;"","")</f>
        <v>Imprisonment up to 3 years, or fine, or both</v>
      </c>
      <c r="G1448" s="10" t="str">
        <f aca="false">IFERROR(INDEX(Section_Master!$E$2:$E$477,MATCH($E1448,Section_Master!$A$2:$A$477,0))&amp;"","")</f>
        <v>No</v>
      </c>
      <c r="H1448" s="10" t="str">
        <f aca="false">IFERROR(INDEX(Section_Master!$F$2:$F$477,MATCH($E1448,Section_Master!$A$2:$A$477,0))&amp;"","")</f>
        <v>Yes</v>
      </c>
      <c r="I1448" s="10" t="str">
        <f aca="false">IFERROR(INDEX(Section_Master!$G$2:$G$477,MATCH($E1448,Section_Master!$A$2:$A$477,0))&amp;"","")</f>
        <v>No</v>
      </c>
      <c r="J1448" s="10" t="s">
        <v>48</v>
      </c>
      <c r="K1448" s="8" t="s">
        <v>3427</v>
      </c>
    </row>
    <row r="1449" customFormat="false" ht="34.5" hidden="false" customHeight="true" outlineLevel="0" collapsed="false">
      <c r="A1449" s="10" t="s">
        <v>3428</v>
      </c>
      <c r="B1449" s="10" t="s">
        <v>45</v>
      </c>
      <c r="C1449" s="8" t="s">
        <v>3425</v>
      </c>
      <c r="D1449" s="8" t="s">
        <v>3429</v>
      </c>
      <c r="E1449" s="11" t="n">
        <v>242</v>
      </c>
      <c r="F1449" s="8" t="str">
        <f aca="false">IFERROR(INDEX(Section_Master!$D$2:$D$477,MATCH($E1449,Section_Master!$A$2:$A$477,0))&amp;"","")</f>
        <v>Imprisonment up to 3 years, or fine, or both</v>
      </c>
      <c r="G1449" s="10" t="str">
        <f aca="false">IFERROR(INDEX(Section_Master!$E$2:$E$477,MATCH($E1449,Section_Master!$A$2:$A$477,0))&amp;"","")</f>
        <v>No</v>
      </c>
      <c r="H1449" s="10" t="str">
        <f aca="false">IFERROR(INDEX(Section_Master!$F$2:$F$477,MATCH($E1449,Section_Master!$A$2:$A$477,0))&amp;"","")</f>
        <v>Yes</v>
      </c>
      <c r="I1449" s="10" t="str">
        <f aca="false">IFERROR(INDEX(Section_Master!$G$2:$G$477,MATCH($E1449,Section_Master!$A$2:$A$477,0))&amp;"","")</f>
        <v>No</v>
      </c>
      <c r="J1449" s="10" t="s">
        <v>52</v>
      </c>
      <c r="K1449" s="8" t="s">
        <v>3427</v>
      </c>
    </row>
    <row r="1450" customFormat="false" ht="23.25" hidden="false" customHeight="true" outlineLevel="0" collapsed="false">
      <c r="A1450" s="10" t="s">
        <v>3430</v>
      </c>
      <c r="B1450" s="10" t="s">
        <v>45</v>
      </c>
      <c r="C1450" s="8" t="s">
        <v>3425</v>
      </c>
      <c r="D1450" s="8" t="s">
        <v>3431</v>
      </c>
      <c r="E1450" s="11" t="n">
        <v>242</v>
      </c>
      <c r="F1450" s="8" t="str">
        <f aca="false">IFERROR(INDEX(Section_Master!$D$2:$D$477,MATCH($E1450,Section_Master!$A$2:$A$477,0))&amp;"","")</f>
        <v>Imprisonment up to 3 years, or fine, or both</v>
      </c>
      <c r="G1450" s="10" t="str">
        <f aca="false">IFERROR(INDEX(Section_Master!$E$2:$E$477,MATCH($E1450,Section_Master!$A$2:$A$477,0))&amp;"","")</f>
        <v>No</v>
      </c>
      <c r="H1450" s="10" t="str">
        <f aca="false">IFERROR(INDEX(Section_Master!$F$2:$F$477,MATCH($E1450,Section_Master!$A$2:$A$477,0))&amp;"","")</f>
        <v>Yes</v>
      </c>
      <c r="I1450" s="10" t="str">
        <f aca="false">IFERROR(INDEX(Section_Master!$G$2:$G$477,MATCH($E1450,Section_Master!$A$2:$A$477,0))&amp;"","")</f>
        <v>No</v>
      </c>
      <c r="J1450" s="10" t="s">
        <v>55</v>
      </c>
      <c r="K1450" s="8" t="s">
        <v>3427</v>
      </c>
    </row>
    <row r="1451" customFormat="false" ht="23.25" hidden="false" customHeight="true" outlineLevel="0" collapsed="false">
      <c r="A1451" s="10" t="s">
        <v>3432</v>
      </c>
      <c r="B1451" s="10" t="s">
        <v>45</v>
      </c>
      <c r="C1451" s="8" t="s">
        <v>3425</v>
      </c>
      <c r="D1451" s="8" t="s">
        <v>3433</v>
      </c>
      <c r="E1451" s="11" t="n">
        <v>242</v>
      </c>
      <c r="F1451" s="8" t="str">
        <f aca="false">IFERROR(INDEX(Section_Master!$D$2:$D$477,MATCH($E1451,Section_Master!$A$2:$A$477,0))&amp;"","")</f>
        <v>Imprisonment up to 3 years, or fine, or both</v>
      </c>
      <c r="G1451" s="10" t="str">
        <f aca="false">IFERROR(INDEX(Section_Master!$E$2:$E$477,MATCH($E1451,Section_Master!$A$2:$A$477,0))&amp;"","")</f>
        <v>No</v>
      </c>
      <c r="H1451" s="10" t="str">
        <f aca="false">IFERROR(INDEX(Section_Master!$F$2:$F$477,MATCH($E1451,Section_Master!$A$2:$A$477,0))&amp;"","")</f>
        <v>Yes</v>
      </c>
      <c r="I1451" s="10" t="str">
        <f aca="false">IFERROR(INDEX(Section_Master!$G$2:$G$477,MATCH($E1451,Section_Master!$A$2:$A$477,0))&amp;"","")</f>
        <v>No</v>
      </c>
      <c r="J1451" s="10" t="s">
        <v>58</v>
      </c>
      <c r="K1451" s="8" t="s">
        <v>3427</v>
      </c>
    </row>
    <row r="1452" customFormat="false" ht="23.25" hidden="false" customHeight="true" outlineLevel="0" collapsed="false">
      <c r="A1452" s="10" t="s">
        <v>3434</v>
      </c>
      <c r="B1452" s="10" t="s">
        <v>45</v>
      </c>
      <c r="C1452" s="8" t="s">
        <v>3425</v>
      </c>
      <c r="D1452" s="8" t="s">
        <v>3435</v>
      </c>
      <c r="E1452" s="11" t="n">
        <v>242</v>
      </c>
      <c r="F1452" s="8" t="str">
        <f aca="false">IFERROR(INDEX(Section_Master!$D$2:$D$477,MATCH($E1452,Section_Master!$A$2:$A$477,0))&amp;"","")</f>
        <v>Imprisonment up to 3 years, or fine, or both</v>
      </c>
      <c r="G1452" s="10" t="str">
        <f aca="false">IFERROR(INDEX(Section_Master!$E$2:$E$477,MATCH($E1452,Section_Master!$A$2:$A$477,0))&amp;"","")</f>
        <v>No</v>
      </c>
      <c r="H1452" s="10" t="str">
        <f aca="false">IFERROR(INDEX(Section_Master!$F$2:$F$477,MATCH($E1452,Section_Master!$A$2:$A$477,0))&amp;"","")</f>
        <v>Yes</v>
      </c>
      <c r="I1452" s="10" t="str">
        <f aca="false">IFERROR(INDEX(Section_Master!$G$2:$G$477,MATCH($E1452,Section_Master!$A$2:$A$477,0))&amp;"","")</f>
        <v>No</v>
      </c>
      <c r="J1452" s="10" t="s">
        <v>61</v>
      </c>
      <c r="K1452" s="8" t="s">
        <v>3427</v>
      </c>
    </row>
    <row r="1453" customFormat="false" ht="34.5" hidden="false" customHeight="true" outlineLevel="0" collapsed="false">
      <c r="A1453" s="10" t="s">
        <v>3436</v>
      </c>
      <c r="B1453" s="10" t="s">
        <v>45</v>
      </c>
      <c r="C1453" s="8" t="s">
        <v>3425</v>
      </c>
      <c r="D1453" s="8" t="s">
        <v>3437</v>
      </c>
      <c r="E1453" s="11" t="n">
        <v>242</v>
      </c>
      <c r="F1453" s="8" t="str">
        <f aca="false">IFERROR(INDEX(Section_Master!$D$2:$D$477,MATCH($E1453,Section_Master!$A$2:$A$477,0))&amp;"","")</f>
        <v>Imprisonment up to 3 years, or fine, or both</v>
      </c>
      <c r="G1453" s="10" t="str">
        <f aca="false">IFERROR(INDEX(Section_Master!$E$2:$E$477,MATCH($E1453,Section_Master!$A$2:$A$477,0))&amp;"","")</f>
        <v>No</v>
      </c>
      <c r="H1453" s="10" t="str">
        <f aca="false">IFERROR(INDEX(Section_Master!$F$2:$F$477,MATCH($E1453,Section_Master!$A$2:$A$477,0))&amp;"","")</f>
        <v>Yes</v>
      </c>
      <c r="I1453" s="10" t="str">
        <f aca="false">IFERROR(INDEX(Section_Master!$G$2:$G$477,MATCH($E1453,Section_Master!$A$2:$A$477,0))&amp;"","")</f>
        <v>No</v>
      </c>
      <c r="J1453" s="10" t="s">
        <v>64</v>
      </c>
      <c r="K1453" s="8" t="s">
        <v>3427</v>
      </c>
    </row>
    <row r="1454" customFormat="false" ht="34.5" hidden="false" customHeight="true" outlineLevel="0" collapsed="false">
      <c r="A1454" s="10" t="s">
        <v>3438</v>
      </c>
      <c r="B1454" s="10" t="s">
        <v>45</v>
      </c>
      <c r="C1454" s="8" t="s">
        <v>3439</v>
      </c>
      <c r="D1454" s="8" t="s">
        <v>3440</v>
      </c>
      <c r="E1454" s="11" t="n">
        <v>243</v>
      </c>
      <c r="F1454" s="8" t="str">
        <f aca="false">IFERROR(INDEX(Section_Master!$D$2:$D$477,MATCH($E1454,Section_Master!$A$2:$A$477,0))&amp;"","")</f>
        <v>Imprisonment up to 3 years, or fine, or both</v>
      </c>
      <c r="G1454" s="10" t="str">
        <f aca="false">IFERROR(INDEX(Section_Master!$E$2:$E$477,MATCH($E1454,Section_Master!$A$2:$A$477,0))&amp;"","")</f>
        <v>No</v>
      </c>
      <c r="H1454" s="10" t="str">
        <f aca="false">IFERROR(INDEX(Section_Master!$F$2:$F$477,MATCH($E1454,Section_Master!$A$2:$A$477,0))&amp;"","")</f>
        <v>Yes</v>
      </c>
      <c r="I1454" s="10" t="str">
        <f aca="false">IFERROR(INDEX(Section_Master!$G$2:$G$477,MATCH($E1454,Section_Master!$A$2:$A$477,0))&amp;"","")</f>
        <v>No</v>
      </c>
      <c r="J1454" s="10" t="s">
        <v>48</v>
      </c>
      <c r="K1454" s="8" t="s">
        <v>3441</v>
      </c>
    </row>
    <row r="1455" customFormat="false" ht="34.5" hidden="false" customHeight="true" outlineLevel="0" collapsed="false">
      <c r="A1455" s="10" t="s">
        <v>3442</v>
      </c>
      <c r="B1455" s="10" t="s">
        <v>45</v>
      </c>
      <c r="C1455" s="8" t="s">
        <v>3439</v>
      </c>
      <c r="D1455" s="8" t="s">
        <v>3443</v>
      </c>
      <c r="E1455" s="11" t="n">
        <v>243</v>
      </c>
      <c r="F1455" s="8" t="str">
        <f aca="false">IFERROR(INDEX(Section_Master!$D$2:$D$477,MATCH($E1455,Section_Master!$A$2:$A$477,0))&amp;"","")</f>
        <v>Imprisonment up to 3 years, or fine, or both</v>
      </c>
      <c r="G1455" s="10" t="str">
        <f aca="false">IFERROR(INDEX(Section_Master!$E$2:$E$477,MATCH($E1455,Section_Master!$A$2:$A$477,0))&amp;"","")</f>
        <v>No</v>
      </c>
      <c r="H1455" s="10" t="str">
        <f aca="false">IFERROR(INDEX(Section_Master!$F$2:$F$477,MATCH($E1455,Section_Master!$A$2:$A$477,0))&amp;"","")</f>
        <v>Yes</v>
      </c>
      <c r="I1455" s="10" t="str">
        <f aca="false">IFERROR(INDEX(Section_Master!$G$2:$G$477,MATCH($E1455,Section_Master!$A$2:$A$477,0))&amp;"","")</f>
        <v>No</v>
      </c>
      <c r="J1455" s="10" t="s">
        <v>52</v>
      </c>
      <c r="K1455" s="8" t="s">
        <v>3441</v>
      </c>
    </row>
    <row r="1456" customFormat="false" ht="34.5" hidden="false" customHeight="true" outlineLevel="0" collapsed="false">
      <c r="A1456" s="10" t="s">
        <v>3444</v>
      </c>
      <c r="B1456" s="10" t="s">
        <v>45</v>
      </c>
      <c r="C1456" s="8" t="s">
        <v>3439</v>
      </c>
      <c r="D1456" s="8" t="s">
        <v>3445</v>
      </c>
      <c r="E1456" s="11" t="n">
        <v>243</v>
      </c>
      <c r="F1456" s="8" t="str">
        <f aca="false">IFERROR(INDEX(Section_Master!$D$2:$D$477,MATCH($E1456,Section_Master!$A$2:$A$477,0))&amp;"","")</f>
        <v>Imprisonment up to 3 years, or fine, or both</v>
      </c>
      <c r="G1456" s="10" t="str">
        <f aca="false">IFERROR(INDEX(Section_Master!$E$2:$E$477,MATCH($E1456,Section_Master!$A$2:$A$477,0))&amp;"","")</f>
        <v>No</v>
      </c>
      <c r="H1456" s="10" t="str">
        <f aca="false">IFERROR(INDEX(Section_Master!$F$2:$F$477,MATCH($E1456,Section_Master!$A$2:$A$477,0))&amp;"","")</f>
        <v>Yes</v>
      </c>
      <c r="I1456" s="10" t="str">
        <f aca="false">IFERROR(INDEX(Section_Master!$G$2:$G$477,MATCH($E1456,Section_Master!$A$2:$A$477,0))&amp;"","")</f>
        <v>No</v>
      </c>
      <c r="J1456" s="10" t="s">
        <v>55</v>
      </c>
      <c r="K1456" s="8" t="s">
        <v>3441</v>
      </c>
    </row>
    <row r="1457" customFormat="false" ht="34.5" hidden="false" customHeight="true" outlineLevel="0" collapsed="false">
      <c r="A1457" s="10" t="s">
        <v>3446</v>
      </c>
      <c r="B1457" s="10" t="s">
        <v>45</v>
      </c>
      <c r="C1457" s="8" t="s">
        <v>3439</v>
      </c>
      <c r="D1457" s="8" t="s">
        <v>3447</v>
      </c>
      <c r="E1457" s="11" t="n">
        <v>243</v>
      </c>
      <c r="F1457" s="8" t="str">
        <f aca="false">IFERROR(INDEX(Section_Master!$D$2:$D$477,MATCH($E1457,Section_Master!$A$2:$A$477,0))&amp;"","")</f>
        <v>Imprisonment up to 3 years, or fine, or both</v>
      </c>
      <c r="G1457" s="10" t="str">
        <f aca="false">IFERROR(INDEX(Section_Master!$E$2:$E$477,MATCH($E1457,Section_Master!$A$2:$A$477,0))&amp;"","")</f>
        <v>No</v>
      </c>
      <c r="H1457" s="10" t="str">
        <f aca="false">IFERROR(INDEX(Section_Master!$F$2:$F$477,MATCH($E1457,Section_Master!$A$2:$A$477,0))&amp;"","")</f>
        <v>Yes</v>
      </c>
      <c r="I1457" s="10" t="str">
        <f aca="false">IFERROR(INDEX(Section_Master!$G$2:$G$477,MATCH($E1457,Section_Master!$A$2:$A$477,0))&amp;"","")</f>
        <v>No</v>
      </c>
      <c r="J1457" s="10" t="s">
        <v>58</v>
      </c>
      <c r="K1457" s="8" t="s">
        <v>3441</v>
      </c>
    </row>
    <row r="1458" customFormat="false" ht="34.5" hidden="false" customHeight="true" outlineLevel="0" collapsed="false">
      <c r="A1458" s="10" t="s">
        <v>3448</v>
      </c>
      <c r="B1458" s="10" t="s">
        <v>45</v>
      </c>
      <c r="C1458" s="8" t="s">
        <v>3439</v>
      </c>
      <c r="D1458" s="8" t="s">
        <v>3449</v>
      </c>
      <c r="E1458" s="11" t="n">
        <v>243</v>
      </c>
      <c r="F1458" s="8" t="str">
        <f aca="false">IFERROR(INDEX(Section_Master!$D$2:$D$477,MATCH($E1458,Section_Master!$A$2:$A$477,0))&amp;"","")</f>
        <v>Imprisonment up to 3 years, or fine, or both</v>
      </c>
      <c r="G1458" s="10" t="str">
        <f aca="false">IFERROR(INDEX(Section_Master!$E$2:$E$477,MATCH($E1458,Section_Master!$A$2:$A$477,0))&amp;"","")</f>
        <v>No</v>
      </c>
      <c r="H1458" s="10" t="str">
        <f aca="false">IFERROR(INDEX(Section_Master!$F$2:$F$477,MATCH($E1458,Section_Master!$A$2:$A$477,0))&amp;"","")</f>
        <v>Yes</v>
      </c>
      <c r="I1458" s="10" t="str">
        <f aca="false">IFERROR(INDEX(Section_Master!$G$2:$G$477,MATCH($E1458,Section_Master!$A$2:$A$477,0))&amp;"","")</f>
        <v>No</v>
      </c>
      <c r="J1458" s="10" t="s">
        <v>61</v>
      </c>
      <c r="K1458" s="8" t="s">
        <v>3441</v>
      </c>
    </row>
    <row r="1459" customFormat="false" ht="34.5" hidden="false" customHeight="true" outlineLevel="0" collapsed="false">
      <c r="A1459" s="10" t="s">
        <v>3450</v>
      </c>
      <c r="B1459" s="10" t="s">
        <v>45</v>
      </c>
      <c r="C1459" s="8" t="s">
        <v>3439</v>
      </c>
      <c r="D1459" s="8" t="s">
        <v>3451</v>
      </c>
      <c r="E1459" s="11" t="n">
        <v>243</v>
      </c>
      <c r="F1459" s="8" t="str">
        <f aca="false">IFERROR(INDEX(Section_Master!$D$2:$D$477,MATCH($E1459,Section_Master!$A$2:$A$477,0))&amp;"","")</f>
        <v>Imprisonment up to 3 years, or fine, or both</v>
      </c>
      <c r="G1459" s="10" t="str">
        <f aca="false">IFERROR(INDEX(Section_Master!$E$2:$E$477,MATCH($E1459,Section_Master!$A$2:$A$477,0))&amp;"","")</f>
        <v>No</v>
      </c>
      <c r="H1459" s="10" t="str">
        <f aca="false">IFERROR(INDEX(Section_Master!$F$2:$F$477,MATCH($E1459,Section_Master!$A$2:$A$477,0))&amp;"","")</f>
        <v>Yes</v>
      </c>
      <c r="I1459" s="10" t="str">
        <f aca="false">IFERROR(INDEX(Section_Master!$G$2:$G$477,MATCH($E1459,Section_Master!$A$2:$A$477,0))&amp;"","")</f>
        <v>No</v>
      </c>
      <c r="J1459" s="10" t="s">
        <v>64</v>
      </c>
      <c r="K1459" s="8" t="s">
        <v>3441</v>
      </c>
    </row>
    <row r="1460" customFormat="false" ht="34.5" hidden="false" customHeight="true" outlineLevel="0" collapsed="false">
      <c r="A1460" s="10" t="s">
        <v>3452</v>
      </c>
      <c r="B1460" s="10" t="s">
        <v>45</v>
      </c>
      <c r="C1460" s="8" t="s">
        <v>3453</v>
      </c>
      <c r="D1460" s="8" t="s">
        <v>3454</v>
      </c>
      <c r="E1460" s="11" t="n">
        <v>244</v>
      </c>
      <c r="F1460" s="8" t="str">
        <f aca="false">IFERROR(INDEX(Section_Master!$D$2:$D$477,MATCH($E1460,Section_Master!$A$2:$A$477,0))&amp;"","")</f>
        <v>Imprisonment up to 3 years, or fine, or both</v>
      </c>
      <c r="G1460" s="10" t="str">
        <f aca="false">IFERROR(INDEX(Section_Master!$E$2:$E$477,MATCH($E1460,Section_Master!$A$2:$A$477,0))&amp;"","")</f>
        <v>No</v>
      </c>
      <c r="H1460" s="10" t="str">
        <f aca="false">IFERROR(INDEX(Section_Master!$F$2:$F$477,MATCH($E1460,Section_Master!$A$2:$A$477,0))&amp;"","")</f>
        <v>Yes</v>
      </c>
      <c r="I1460" s="10" t="str">
        <f aca="false">IFERROR(INDEX(Section_Master!$G$2:$G$477,MATCH($E1460,Section_Master!$A$2:$A$477,0))&amp;"","")</f>
        <v>No</v>
      </c>
      <c r="J1460" s="10" t="s">
        <v>48</v>
      </c>
      <c r="K1460" s="8" t="s">
        <v>3455</v>
      </c>
    </row>
    <row r="1461" customFormat="false" ht="34.5" hidden="false" customHeight="true" outlineLevel="0" collapsed="false">
      <c r="A1461" s="10" t="s">
        <v>3456</v>
      </c>
      <c r="B1461" s="10" t="s">
        <v>45</v>
      </c>
      <c r="C1461" s="8" t="s">
        <v>3453</v>
      </c>
      <c r="D1461" s="8" t="s">
        <v>3457</v>
      </c>
      <c r="E1461" s="11" t="n">
        <v>244</v>
      </c>
      <c r="F1461" s="8" t="str">
        <f aca="false">IFERROR(INDEX(Section_Master!$D$2:$D$477,MATCH($E1461,Section_Master!$A$2:$A$477,0))&amp;"","")</f>
        <v>Imprisonment up to 3 years, or fine, or both</v>
      </c>
      <c r="G1461" s="10" t="str">
        <f aca="false">IFERROR(INDEX(Section_Master!$E$2:$E$477,MATCH($E1461,Section_Master!$A$2:$A$477,0))&amp;"","")</f>
        <v>No</v>
      </c>
      <c r="H1461" s="10" t="str">
        <f aca="false">IFERROR(INDEX(Section_Master!$F$2:$F$477,MATCH($E1461,Section_Master!$A$2:$A$477,0))&amp;"","")</f>
        <v>Yes</v>
      </c>
      <c r="I1461" s="10" t="str">
        <f aca="false">IFERROR(INDEX(Section_Master!$G$2:$G$477,MATCH($E1461,Section_Master!$A$2:$A$477,0))&amp;"","")</f>
        <v>No</v>
      </c>
      <c r="J1461" s="10" t="s">
        <v>52</v>
      </c>
      <c r="K1461" s="8" t="s">
        <v>3455</v>
      </c>
    </row>
    <row r="1462" customFormat="false" ht="34.5" hidden="false" customHeight="true" outlineLevel="0" collapsed="false">
      <c r="A1462" s="10" t="s">
        <v>3458</v>
      </c>
      <c r="B1462" s="10" t="s">
        <v>45</v>
      </c>
      <c r="C1462" s="8" t="s">
        <v>3453</v>
      </c>
      <c r="D1462" s="8" t="s">
        <v>3459</v>
      </c>
      <c r="E1462" s="11" t="n">
        <v>244</v>
      </c>
      <c r="F1462" s="8" t="str">
        <f aca="false">IFERROR(INDEX(Section_Master!$D$2:$D$477,MATCH($E1462,Section_Master!$A$2:$A$477,0))&amp;"","")</f>
        <v>Imprisonment up to 3 years, or fine, or both</v>
      </c>
      <c r="G1462" s="10" t="str">
        <f aca="false">IFERROR(INDEX(Section_Master!$E$2:$E$477,MATCH($E1462,Section_Master!$A$2:$A$477,0))&amp;"","")</f>
        <v>No</v>
      </c>
      <c r="H1462" s="10" t="str">
        <f aca="false">IFERROR(INDEX(Section_Master!$F$2:$F$477,MATCH($E1462,Section_Master!$A$2:$A$477,0))&amp;"","")</f>
        <v>Yes</v>
      </c>
      <c r="I1462" s="10" t="str">
        <f aca="false">IFERROR(INDEX(Section_Master!$G$2:$G$477,MATCH($E1462,Section_Master!$A$2:$A$477,0))&amp;"","")</f>
        <v>No</v>
      </c>
      <c r="J1462" s="10" t="s">
        <v>55</v>
      </c>
      <c r="K1462" s="8" t="s">
        <v>3455</v>
      </c>
    </row>
    <row r="1463" customFormat="false" ht="34.5" hidden="false" customHeight="true" outlineLevel="0" collapsed="false">
      <c r="A1463" s="10" t="s">
        <v>3460</v>
      </c>
      <c r="B1463" s="10" t="s">
        <v>45</v>
      </c>
      <c r="C1463" s="8" t="s">
        <v>3453</v>
      </c>
      <c r="D1463" s="8" t="s">
        <v>3461</v>
      </c>
      <c r="E1463" s="11" t="n">
        <v>244</v>
      </c>
      <c r="F1463" s="8" t="str">
        <f aca="false">IFERROR(INDEX(Section_Master!$D$2:$D$477,MATCH($E1463,Section_Master!$A$2:$A$477,0))&amp;"","")</f>
        <v>Imprisonment up to 3 years, or fine, or both</v>
      </c>
      <c r="G1463" s="10" t="str">
        <f aca="false">IFERROR(INDEX(Section_Master!$E$2:$E$477,MATCH($E1463,Section_Master!$A$2:$A$477,0))&amp;"","")</f>
        <v>No</v>
      </c>
      <c r="H1463" s="10" t="str">
        <f aca="false">IFERROR(INDEX(Section_Master!$F$2:$F$477,MATCH($E1463,Section_Master!$A$2:$A$477,0))&amp;"","")</f>
        <v>Yes</v>
      </c>
      <c r="I1463" s="10" t="str">
        <f aca="false">IFERROR(INDEX(Section_Master!$G$2:$G$477,MATCH($E1463,Section_Master!$A$2:$A$477,0))&amp;"","")</f>
        <v>No</v>
      </c>
      <c r="J1463" s="10" t="s">
        <v>58</v>
      </c>
      <c r="K1463" s="8" t="s">
        <v>3455</v>
      </c>
    </row>
    <row r="1464" customFormat="false" ht="23.25" hidden="false" customHeight="true" outlineLevel="0" collapsed="false">
      <c r="A1464" s="10" t="s">
        <v>3462</v>
      </c>
      <c r="B1464" s="10" t="s">
        <v>45</v>
      </c>
      <c r="C1464" s="8" t="s">
        <v>3453</v>
      </c>
      <c r="D1464" s="8" t="s">
        <v>3463</v>
      </c>
      <c r="E1464" s="11" t="n">
        <v>244</v>
      </c>
      <c r="F1464" s="8" t="str">
        <f aca="false">IFERROR(INDEX(Section_Master!$D$2:$D$477,MATCH($E1464,Section_Master!$A$2:$A$477,0))&amp;"","")</f>
        <v>Imprisonment up to 3 years, or fine, or both</v>
      </c>
      <c r="G1464" s="10" t="str">
        <f aca="false">IFERROR(INDEX(Section_Master!$E$2:$E$477,MATCH($E1464,Section_Master!$A$2:$A$477,0))&amp;"","")</f>
        <v>No</v>
      </c>
      <c r="H1464" s="10" t="str">
        <f aca="false">IFERROR(INDEX(Section_Master!$F$2:$F$477,MATCH($E1464,Section_Master!$A$2:$A$477,0))&amp;"","")</f>
        <v>Yes</v>
      </c>
      <c r="I1464" s="10" t="str">
        <f aca="false">IFERROR(INDEX(Section_Master!$G$2:$G$477,MATCH($E1464,Section_Master!$A$2:$A$477,0))&amp;"","")</f>
        <v>No</v>
      </c>
      <c r="J1464" s="10" t="s">
        <v>61</v>
      </c>
      <c r="K1464" s="8" t="s">
        <v>3455</v>
      </c>
    </row>
    <row r="1465" customFormat="false" ht="34.5" hidden="false" customHeight="true" outlineLevel="0" collapsed="false">
      <c r="A1465" s="10" t="s">
        <v>3464</v>
      </c>
      <c r="B1465" s="10" t="s">
        <v>45</v>
      </c>
      <c r="C1465" s="8" t="s">
        <v>3453</v>
      </c>
      <c r="D1465" s="8" t="s">
        <v>3465</v>
      </c>
      <c r="E1465" s="11" t="n">
        <v>244</v>
      </c>
      <c r="F1465" s="8" t="str">
        <f aca="false">IFERROR(INDEX(Section_Master!$D$2:$D$477,MATCH($E1465,Section_Master!$A$2:$A$477,0))&amp;"","")</f>
        <v>Imprisonment up to 3 years, or fine, or both</v>
      </c>
      <c r="G1465" s="10" t="str">
        <f aca="false">IFERROR(INDEX(Section_Master!$E$2:$E$477,MATCH($E1465,Section_Master!$A$2:$A$477,0))&amp;"","")</f>
        <v>No</v>
      </c>
      <c r="H1465" s="10" t="str">
        <f aca="false">IFERROR(INDEX(Section_Master!$F$2:$F$477,MATCH($E1465,Section_Master!$A$2:$A$477,0))&amp;"","")</f>
        <v>Yes</v>
      </c>
      <c r="I1465" s="10" t="str">
        <f aca="false">IFERROR(INDEX(Section_Master!$G$2:$G$477,MATCH($E1465,Section_Master!$A$2:$A$477,0))&amp;"","")</f>
        <v>No</v>
      </c>
      <c r="J1465" s="10" t="s">
        <v>64</v>
      </c>
      <c r="K1465" s="8" t="s">
        <v>3455</v>
      </c>
    </row>
    <row r="1466" customFormat="false" ht="34.5" hidden="false" customHeight="true" outlineLevel="0" collapsed="false">
      <c r="A1466" s="10" t="s">
        <v>3466</v>
      </c>
      <c r="B1466" s="10" t="s">
        <v>45</v>
      </c>
      <c r="C1466" s="8" t="s">
        <v>3467</v>
      </c>
      <c r="D1466" s="8" t="s">
        <v>3468</v>
      </c>
      <c r="E1466" s="11" t="n">
        <v>245</v>
      </c>
      <c r="F1466" s="8" t="str">
        <f aca="false">IFERROR(INDEX(Section_Master!$D$2:$D$477,MATCH($E1466,Section_Master!$A$2:$A$477,0))&amp;"","")</f>
        <v>Imprisonment up to 2 years, or fine, or both</v>
      </c>
      <c r="G1466" s="10" t="str">
        <f aca="false">IFERROR(INDEX(Section_Master!$E$2:$E$477,MATCH($E1466,Section_Master!$A$2:$A$477,0))&amp;"","")</f>
        <v>No</v>
      </c>
      <c r="H1466" s="10" t="str">
        <f aca="false">IFERROR(INDEX(Section_Master!$F$2:$F$477,MATCH($E1466,Section_Master!$A$2:$A$477,0))&amp;"","")</f>
        <v>Yes</v>
      </c>
      <c r="I1466" s="10" t="str">
        <f aca="false">IFERROR(INDEX(Section_Master!$G$2:$G$477,MATCH($E1466,Section_Master!$A$2:$A$477,0))&amp;"","")</f>
        <v>No</v>
      </c>
      <c r="J1466" s="10" t="s">
        <v>48</v>
      </c>
      <c r="K1466" s="8" t="s">
        <v>3469</v>
      </c>
    </row>
    <row r="1467" customFormat="false" ht="34.5" hidden="false" customHeight="true" outlineLevel="0" collapsed="false">
      <c r="A1467" s="10" t="s">
        <v>3470</v>
      </c>
      <c r="B1467" s="10" t="s">
        <v>45</v>
      </c>
      <c r="C1467" s="8" t="s">
        <v>3467</v>
      </c>
      <c r="D1467" s="8" t="s">
        <v>3471</v>
      </c>
      <c r="E1467" s="11" t="n">
        <v>245</v>
      </c>
      <c r="F1467" s="8" t="str">
        <f aca="false">IFERROR(INDEX(Section_Master!$D$2:$D$477,MATCH($E1467,Section_Master!$A$2:$A$477,0))&amp;"","")</f>
        <v>Imprisonment up to 2 years, or fine, or both</v>
      </c>
      <c r="G1467" s="10" t="str">
        <f aca="false">IFERROR(INDEX(Section_Master!$E$2:$E$477,MATCH($E1467,Section_Master!$A$2:$A$477,0))&amp;"","")</f>
        <v>No</v>
      </c>
      <c r="H1467" s="10" t="str">
        <f aca="false">IFERROR(INDEX(Section_Master!$F$2:$F$477,MATCH($E1467,Section_Master!$A$2:$A$477,0))&amp;"","")</f>
        <v>Yes</v>
      </c>
      <c r="I1467" s="10" t="str">
        <f aca="false">IFERROR(INDEX(Section_Master!$G$2:$G$477,MATCH($E1467,Section_Master!$A$2:$A$477,0))&amp;"","")</f>
        <v>No</v>
      </c>
      <c r="J1467" s="10" t="s">
        <v>52</v>
      </c>
      <c r="K1467" s="8" t="s">
        <v>3469</v>
      </c>
    </row>
    <row r="1468" customFormat="false" ht="34.5" hidden="false" customHeight="true" outlineLevel="0" collapsed="false">
      <c r="A1468" s="10" t="s">
        <v>3472</v>
      </c>
      <c r="B1468" s="10" t="s">
        <v>45</v>
      </c>
      <c r="C1468" s="8" t="s">
        <v>3467</v>
      </c>
      <c r="D1468" s="8" t="s">
        <v>3473</v>
      </c>
      <c r="E1468" s="11" t="n">
        <v>245</v>
      </c>
      <c r="F1468" s="8" t="str">
        <f aca="false">IFERROR(INDEX(Section_Master!$D$2:$D$477,MATCH($E1468,Section_Master!$A$2:$A$477,0))&amp;"","")</f>
        <v>Imprisonment up to 2 years, or fine, or both</v>
      </c>
      <c r="G1468" s="10" t="str">
        <f aca="false">IFERROR(INDEX(Section_Master!$E$2:$E$477,MATCH($E1468,Section_Master!$A$2:$A$477,0))&amp;"","")</f>
        <v>No</v>
      </c>
      <c r="H1468" s="10" t="str">
        <f aca="false">IFERROR(INDEX(Section_Master!$F$2:$F$477,MATCH($E1468,Section_Master!$A$2:$A$477,0))&amp;"","")</f>
        <v>Yes</v>
      </c>
      <c r="I1468" s="10" t="str">
        <f aca="false">IFERROR(INDEX(Section_Master!$G$2:$G$477,MATCH($E1468,Section_Master!$A$2:$A$477,0))&amp;"","")</f>
        <v>No</v>
      </c>
      <c r="J1468" s="10" t="s">
        <v>55</v>
      </c>
      <c r="K1468" s="8" t="s">
        <v>3469</v>
      </c>
    </row>
    <row r="1469" customFormat="false" ht="23.25" hidden="false" customHeight="true" outlineLevel="0" collapsed="false">
      <c r="A1469" s="10" t="s">
        <v>3474</v>
      </c>
      <c r="B1469" s="10" t="s">
        <v>45</v>
      </c>
      <c r="C1469" s="8" t="s">
        <v>3467</v>
      </c>
      <c r="D1469" s="8" t="s">
        <v>3475</v>
      </c>
      <c r="E1469" s="11" t="n">
        <v>245</v>
      </c>
      <c r="F1469" s="8" t="str">
        <f aca="false">IFERROR(INDEX(Section_Master!$D$2:$D$477,MATCH($E1469,Section_Master!$A$2:$A$477,0))&amp;"","")</f>
        <v>Imprisonment up to 2 years, or fine, or both</v>
      </c>
      <c r="G1469" s="10" t="str">
        <f aca="false">IFERROR(INDEX(Section_Master!$E$2:$E$477,MATCH($E1469,Section_Master!$A$2:$A$477,0))&amp;"","")</f>
        <v>No</v>
      </c>
      <c r="H1469" s="10" t="str">
        <f aca="false">IFERROR(INDEX(Section_Master!$F$2:$F$477,MATCH($E1469,Section_Master!$A$2:$A$477,0))&amp;"","")</f>
        <v>Yes</v>
      </c>
      <c r="I1469" s="10" t="str">
        <f aca="false">IFERROR(INDEX(Section_Master!$G$2:$G$477,MATCH($E1469,Section_Master!$A$2:$A$477,0))&amp;"","")</f>
        <v>No</v>
      </c>
      <c r="J1469" s="10" t="s">
        <v>58</v>
      </c>
      <c r="K1469" s="8" t="s">
        <v>3469</v>
      </c>
    </row>
    <row r="1470" customFormat="false" ht="34.5" hidden="false" customHeight="true" outlineLevel="0" collapsed="false">
      <c r="A1470" s="10" t="s">
        <v>3476</v>
      </c>
      <c r="B1470" s="10" t="s">
        <v>45</v>
      </c>
      <c r="C1470" s="8" t="s">
        <v>3467</v>
      </c>
      <c r="D1470" s="8" t="s">
        <v>3477</v>
      </c>
      <c r="E1470" s="11" t="n">
        <v>245</v>
      </c>
      <c r="F1470" s="8" t="str">
        <f aca="false">IFERROR(INDEX(Section_Master!$D$2:$D$477,MATCH($E1470,Section_Master!$A$2:$A$477,0))&amp;"","")</f>
        <v>Imprisonment up to 2 years, or fine, or both</v>
      </c>
      <c r="G1470" s="10" t="str">
        <f aca="false">IFERROR(INDEX(Section_Master!$E$2:$E$477,MATCH($E1470,Section_Master!$A$2:$A$477,0))&amp;"","")</f>
        <v>No</v>
      </c>
      <c r="H1470" s="10" t="str">
        <f aca="false">IFERROR(INDEX(Section_Master!$F$2:$F$477,MATCH($E1470,Section_Master!$A$2:$A$477,0))&amp;"","")</f>
        <v>Yes</v>
      </c>
      <c r="I1470" s="10" t="str">
        <f aca="false">IFERROR(INDEX(Section_Master!$G$2:$G$477,MATCH($E1470,Section_Master!$A$2:$A$477,0))&amp;"","")</f>
        <v>No</v>
      </c>
      <c r="J1470" s="10" t="s">
        <v>61</v>
      </c>
      <c r="K1470" s="8" t="s">
        <v>3469</v>
      </c>
    </row>
    <row r="1471" customFormat="false" ht="34.5" hidden="false" customHeight="true" outlineLevel="0" collapsed="false">
      <c r="A1471" s="10" t="s">
        <v>3478</v>
      </c>
      <c r="B1471" s="10" t="s">
        <v>45</v>
      </c>
      <c r="C1471" s="8" t="s">
        <v>3467</v>
      </c>
      <c r="D1471" s="8" t="s">
        <v>3479</v>
      </c>
      <c r="E1471" s="11" t="n">
        <v>245</v>
      </c>
      <c r="F1471" s="8" t="str">
        <f aca="false">IFERROR(INDEX(Section_Master!$D$2:$D$477,MATCH($E1471,Section_Master!$A$2:$A$477,0))&amp;"","")</f>
        <v>Imprisonment up to 2 years, or fine, or both</v>
      </c>
      <c r="G1471" s="10" t="str">
        <f aca="false">IFERROR(INDEX(Section_Master!$E$2:$E$477,MATCH($E1471,Section_Master!$A$2:$A$477,0))&amp;"","")</f>
        <v>No</v>
      </c>
      <c r="H1471" s="10" t="str">
        <f aca="false">IFERROR(INDEX(Section_Master!$F$2:$F$477,MATCH($E1471,Section_Master!$A$2:$A$477,0))&amp;"","")</f>
        <v>Yes</v>
      </c>
      <c r="I1471" s="10" t="str">
        <f aca="false">IFERROR(INDEX(Section_Master!$G$2:$G$477,MATCH($E1471,Section_Master!$A$2:$A$477,0))&amp;"","")</f>
        <v>No</v>
      </c>
      <c r="J1471" s="10" t="s">
        <v>64</v>
      </c>
      <c r="K1471" s="8" t="s">
        <v>3469</v>
      </c>
    </row>
    <row r="1472" customFormat="false" ht="34.5" hidden="false" customHeight="true" outlineLevel="0" collapsed="false">
      <c r="A1472" s="10" t="s">
        <v>3480</v>
      </c>
      <c r="B1472" s="10" t="s">
        <v>45</v>
      </c>
      <c r="C1472" s="8" t="s">
        <v>3481</v>
      </c>
      <c r="D1472" s="8" t="s">
        <v>3482</v>
      </c>
      <c r="E1472" s="11" t="n">
        <v>246</v>
      </c>
      <c r="F1472" s="8" t="str">
        <f aca="false">IFERROR(INDEX(Section_Master!$D$2:$D$477,MATCH($E1472,Section_Master!$A$2:$A$477,0))&amp;"","")</f>
        <v>Imprisonment up to 2 years and fine</v>
      </c>
      <c r="G1472" s="10" t="str">
        <f aca="false">IFERROR(INDEX(Section_Master!$E$2:$E$477,MATCH($E1472,Section_Master!$A$2:$A$477,0))&amp;"","")</f>
        <v>No</v>
      </c>
      <c r="H1472" s="10" t="str">
        <f aca="false">IFERROR(INDEX(Section_Master!$F$2:$F$477,MATCH($E1472,Section_Master!$A$2:$A$477,0))&amp;"","")</f>
        <v>Yes</v>
      </c>
      <c r="I1472" s="10" t="str">
        <f aca="false">IFERROR(INDEX(Section_Master!$G$2:$G$477,MATCH($E1472,Section_Master!$A$2:$A$477,0))&amp;"","")</f>
        <v>No</v>
      </c>
      <c r="J1472" s="10" t="s">
        <v>48</v>
      </c>
      <c r="K1472" s="8" t="s">
        <v>3483</v>
      </c>
    </row>
    <row r="1473" customFormat="false" ht="34.5" hidden="false" customHeight="true" outlineLevel="0" collapsed="false">
      <c r="A1473" s="10" t="s">
        <v>3484</v>
      </c>
      <c r="B1473" s="10" t="s">
        <v>45</v>
      </c>
      <c r="C1473" s="8" t="s">
        <v>3481</v>
      </c>
      <c r="D1473" s="8" t="s">
        <v>3485</v>
      </c>
      <c r="E1473" s="11" t="n">
        <v>246</v>
      </c>
      <c r="F1473" s="8" t="str">
        <f aca="false">IFERROR(INDEX(Section_Master!$D$2:$D$477,MATCH($E1473,Section_Master!$A$2:$A$477,0))&amp;"","")</f>
        <v>Imprisonment up to 2 years and fine</v>
      </c>
      <c r="G1473" s="10" t="str">
        <f aca="false">IFERROR(INDEX(Section_Master!$E$2:$E$477,MATCH($E1473,Section_Master!$A$2:$A$477,0))&amp;"","")</f>
        <v>No</v>
      </c>
      <c r="H1473" s="10" t="str">
        <f aca="false">IFERROR(INDEX(Section_Master!$F$2:$F$477,MATCH($E1473,Section_Master!$A$2:$A$477,0))&amp;"","")</f>
        <v>Yes</v>
      </c>
      <c r="I1473" s="10" t="str">
        <f aca="false">IFERROR(INDEX(Section_Master!$G$2:$G$477,MATCH($E1473,Section_Master!$A$2:$A$477,0))&amp;"","")</f>
        <v>No</v>
      </c>
      <c r="J1473" s="10" t="s">
        <v>52</v>
      </c>
      <c r="K1473" s="8" t="s">
        <v>3483</v>
      </c>
    </row>
    <row r="1474" customFormat="false" ht="34.5" hidden="false" customHeight="true" outlineLevel="0" collapsed="false">
      <c r="A1474" s="10" t="s">
        <v>3486</v>
      </c>
      <c r="B1474" s="10" t="s">
        <v>45</v>
      </c>
      <c r="C1474" s="8" t="s">
        <v>3481</v>
      </c>
      <c r="D1474" s="8" t="s">
        <v>3487</v>
      </c>
      <c r="E1474" s="11" t="n">
        <v>246</v>
      </c>
      <c r="F1474" s="8" t="str">
        <f aca="false">IFERROR(INDEX(Section_Master!$D$2:$D$477,MATCH($E1474,Section_Master!$A$2:$A$477,0))&amp;"","")</f>
        <v>Imprisonment up to 2 years and fine</v>
      </c>
      <c r="G1474" s="10" t="str">
        <f aca="false">IFERROR(INDEX(Section_Master!$E$2:$E$477,MATCH($E1474,Section_Master!$A$2:$A$477,0))&amp;"","")</f>
        <v>No</v>
      </c>
      <c r="H1474" s="10" t="str">
        <f aca="false">IFERROR(INDEX(Section_Master!$F$2:$F$477,MATCH($E1474,Section_Master!$A$2:$A$477,0))&amp;"","")</f>
        <v>Yes</v>
      </c>
      <c r="I1474" s="10" t="str">
        <f aca="false">IFERROR(INDEX(Section_Master!$G$2:$G$477,MATCH($E1474,Section_Master!$A$2:$A$477,0))&amp;"","")</f>
        <v>No</v>
      </c>
      <c r="J1474" s="10" t="s">
        <v>55</v>
      </c>
      <c r="K1474" s="8" t="s">
        <v>3483</v>
      </c>
    </row>
    <row r="1475" customFormat="false" ht="23.25" hidden="false" customHeight="true" outlineLevel="0" collapsed="false">
      <c r="A1475" s="10" t="s">
        <v>3488</v>
      </c>
      <c r="B1475" s="10" t="s">
        <v>45</v>
      </c>
      <c r="C1475" s="8" t="s">
        <v>3481</v>
      </c>
      <c r="D1475" s="8" t="s">
        <v>3489</v>
      </c>
      <c r="E1475" s="11" t="n">
        <v>246</v>
      </c>
      <c r="F1475" s="8" t="str">
        <f aca="false">IFERROR(INDEX(Section_Master!$D$2:$D$477,MATCH($E1475,Section_Master!$A$2:$A$477,0))&amp;"","")</f>
        <v>Imprisonment up to 2 years and fine</v>
      </c>
      <c r="G1475" s="10" t="str">
        <f aca="false">IFERROR(INDEX(Section_Master!$E$2:$E$477,MATCH($E1475,Section_Master!$A$2:$A$477,0))&amp;"","")</f>
        <v>No</v>
      </c>
      <c r="H1475" s="10" t="str">
        <f aca="false">IFERROR(INDEX(Section_Master!$F$2:$F$477,MATCH($E1475,Section_Master!$A$2:$A$477,0))&amp;"","")</f>
        <v>Yes</v>
      </c>
      <c r="I1475" s="10" t="str">
        <f aca="false">IFERROR(INDEX(Section_Master!$G$2:$G$477,MATCH($E1475,Section_Master!$A$2:$A$477,0))&amp;"","")</f>
        <v>No</v>
      </c>
      <c r="J1475" s="10" t="s">
        <v>58</v>
      </c>
      <c r="K1475" s="8" t="s">
        <v>3483</v>
      </c>
    </row>
    <row r="1476" customFormat="false" ht="23.25" hidden="false" customHeight="true" outlineLevel="0" collapsed="false">
      <c r="A1476" s="10" t="s">
        <v>3490</v>
      </c>
      <c r="B1476" s="10" t="s">
        <v>45</v>
      </c>
      <c r="C1476" s="8" t="s">
        <v>3481</v>
      </c>
      <c r="D1476" s="8" t="s">
        <v>3491</v>
      </c>
      <c r="E1476" s="11" t="n">
        <v>246</v>
      </c>
      <c r="F1476" s="8" t="str">
        <f aca="false">IFERROR(INDEX(Section_Master!$D$2:$D$477,MATCH($E1476,Section_Master!$A$2:$A$477,0))&amp;"","")</f>
        <v>Imprisonment up to 2 years and fine</v>
      </c>
      <c r="G1476" s="10" t="str">
        <f aca="false">IFERROR(INDEX(Section_Master!$E$2:$E$477,MATCH($E1476,Section_Master!$A$2:$A$477,0))&amp;"","")</f>
        <v>No</v>
      </c>
      <c r="H1476" s="10" t="str">
        <f aca="false">IFERROR(INDEX(Section_Master!$F$2:$F$477,MATCH($E1476,Section_Master!$A$2:$A$477,0))&amp;"","")</f>
        <v>Yes</v>
      </c>
      <c r="I1476" s="10" t="str">
        <f aca="false">IFERROR(INDEX(Section_Master!$G$2:$G$477,MATCH($E1476,Section_Master!$A$2:$A$477,0))&amp;"","")</f>
        <v>No</v>
      </c>
      <c r="J1476" s="10" t="s">
        <v>61</v>
      </c>
      <c r="K1476" s="8" t="s">
        <v>3483</v>
      </c>
    </row>
    <row r="1477" customFormat="false" ht="34.5" hidden="false" customHeight="true" outlineLevel="0" collapsed="false">
      <c r="A1477" s="10" t="s">
        <v>3492</v>
      </c>
      <c r="B1477" s="10" t="s">
        <v>45</v>
      </c>
      <c r="C1477" s="8" t="s">
        <v>3481</v>
      </c>
      <c r="D1477" s="8" t="s">
        <v>3493</v>
      </c>
      <c r="E1477" s="11" t="n">
        <v>246</v>
      </c>
      <c r="F1477" s="8" t="str">
        <f aca="false">IFERROR(INDEX(Section_Master!$D$2:$D$477,MATCH($E1477,Section_Master!$A$2:$A$477,0))&amp;"","")</f>
        <v>Imprisonment up to 2 years and fine</v>
      </c>
      <c r="G1477" s="10" t="str">
        <f aca="false">IFERROR(INDEX(Section_Master!$E$2:$E$477,MATCH($E1477,Section_Master!$A$2:$A$477,0))&amp;"","")</f>
        <v>No</v>
      </c>
      <c r="H1477" s="10" t="str">
        <f aca="false">IFERROR(INDEX(Section_Master!$F$2:$F$477,MATCH($E1477,Section_Master!$A$2:$A$477,0))&amp;"","")</f>
        <v>Yes</v>
      </c>
      <c r="I1477" s="10" t="str">
        <f aca="false">IFERROR(INDEX(Section_Master!$G$2:$G$477,MATCH($E1477,Section_Master!$A$2:$A$477,0))&amp;"","")</f>
        <v>No</v>
      </c>
      <c r="J1477" s="10" t="s">
        <v>64</v>
      </c>
      <c r="K1477" s="8" t="s">
        <v>3483</v>
      </c>
    </row>
    <row r="1478" customFormat="false" ht="23.25" hidden="false" customHeight="true" outlineLevel="0" collapsed="false">
      <c r="A1478" s="10" t="s">
        <v>3494</v>
      </c>
      <c r="B1478" s="10" t="s">
        <v>45</v>
      </c>
      <c r="C1478" s="8" t="s">
        <v>3495</v>
      </c>
      <c r="D1478" s="8" t="s">
        <v>3496</v>
      </c>
      <c r="E1478" s="11" t="n">
        <v>247</v>
      </c>
      <c r="F1478" s="8" t="str">
        <f aca="false">IFERROR(INDEX(Section_Master!$D$2:$D$477,MATCH($E1478,Section_Master!$A$2:$A$477,0))&amp;"","")</f>
        <v>Imprisonment up to 2 years, or fine, or both</v>
      </c>
      <c r="G1478" s="10" t="str">
        <f aca="false">IFERROR(INDEX(Section_Master!$E$2:$E$477,MATCH($E1478,Section_Master!$A$2:$A$477,0))&amp;"","")</f>
        <v>No</v>
      </c>
      <c r="H1478" s="10" t="str">
        <f aca="false">IFERROR(INDEX(Section_Master!$F$2:$F$477,MATCH($E1478,Section_Master!$A$2:$A$477,0))&amp;"","")</f>
        <v>Yes</v>
      </c>
      <c r="I1478" s="10" t="str">
        <f aca="false">IFERROR(INDEX(Section_Master!$G$2:$G$477,MATCH($E1478,Section_Master!$A$2:$A$477,0))&amp;"","")</f>
        <v>No</v>
      </c>
      <c r="J1478" s="10" t="s">
        <v>48</v>
      </c>
      <c r="K1478" s="8" t="s">
        <v>3497</v>
      </c>
    </row>
    <row r="1479" customFormat="false" ht="34.5" hidden="false" customHeight="true" outlineLevel="0" collapsed="false">
      <c r="A1479" s="10" t="s">
        <v>3498</v>
      </c>
      <c r="B1479" s="10" t="s">
        <v>45</v>
      </c>
      <c r="C1479" s="8" t="s">
        <v>3495</v>
      </c>
      <c r="D1479" s="8" t="s">
        <v>3499</v>
      </c>
      <c r="E1479" s="11" t="n">
        <v>247</v>
      </c>
      <c r="F1479" s="8" t="str">
        <f aca="false">IFERROR(INDEX(Section_Master!$D$2:$D$477,MATCH($E1479,Section_Master!$A$2:$A$477,0))&amp;"","")</f>
        <v>Imprisonment up to 2 years, or fine, or both</v>
      </c>
      <c r="G1479" s="10" t="str">
        <f aca="false">IFERROR(INDEX(Section_Master!$E$2:$E$477,MATCH($E1479,Section_Master!$A$2:$A$477,0))&amp;"","")</f>
        <v>No</v>
      </c>
      <c r="H1479" s="10" t="str">
        <f aca="false">IFERROR(INDEX(Section_Master!$F$2:$F$477,MATCH($E1479,Section_Master!$A$2:$A$477,0))&amp;"","")</f>
        <v>Yes</v>
      </c>
      <c r="I1479" s="10" t="str">
        <f aca="false">IFERROR(INDEX(Section_Master!$G$2:$G$477,MATCH($E1479,Section_Master!$A$2:$A$477,0))&amp;"","")</f>
        <v>No</v>
      </c>
      <c r="J1479" s="10" t="s">
        <v>52</v>
      </c>
      <c r="K1479" s="8" t="s">
        <v>3497</v>
      </c>
    </row>
    <row r="1480" customFormat="false" ht="34.5" hidden="false" customHeight="true" outlineLevel="0" collapsed="false">
      <c r="A1480" s="10" t="s">
        <v>3500</v>
      </c>
      <c r="B1480" s="10" t="s">
        <v>45</v>
      </c>
      <c r="C1480" s="8" t="s">
        <v>3495</v>
      </c>
      <c r="D1480" s="8" t="s">
        <v>3501</v>
      </c>
      <c r="E1480" s="11" t="n">
        <v>247</v>
      </c>
      <c r="F1480" s="8" t="str">
        <f aca="false">IFERROR(INDEX(Section_Master!$D$2:$D$477,MATCH($E1480,Section_Master!$A$2:$A$477,0))&amp;"","")</f>
        <v>Imprisonment up to 2 years, or fine, or both</v>
      </c>
      <c r="G1480" s="10" t="str">
        <f aca="false">IFERROR(INDEX(Section_Master!$E$2:$E$477,MATCH($E1480,Section_Master!$A$2:$A$477,0))&amp;"","")</f>
        <v>No</v>
      </c>
      <c r="H1480" s="10" t="str">
        <f aca="false">IFERROR(INDEX(Section_Master!$F$2:$F$477,MATCH($E1480,Section_Master!$A$2:$A$477,0))&amp;"","")</f>
        <v>Yes</v>
      </c>
      <c r="I1480" s="10" t="str">
        <f aca="false">IFERROR(INDEX(Section_Master!$G$2:$G$477,MATCH($E1480,Section_Master!$A$2:$A$477,0))&amp;"","")</f>
        <v>No</v>
      </c>
      <c r="J1480" s="10" t="s">
        <v>55</v>
      </c>
      <c r="K1480" s="8" t="s">
        <v>3497</v>
      </c>
    </row>
    <row r="1481" customFormat="false" ht="23.25" hidden="false" customHeight="true" outlineLevel="0" collapsed="false">
      <c r="A1481" s="10" t="s">
        <v>3502</v>
      </c>
      <c r="B1481" s="10" t="s">
        <v>45</v>
      </c>
      <c r="C1481" s="8" t="s">
        <v>3495</v>
      </c>
      <c r="D1481" s="8" t="s">
        <v>3503</v>
      </c>
      <c r="E1481" s="11" t="n">
        <v>247</v>
      </c>
      <c r="F1481" s="8" t="str">
        <f aca="false">IFERROR(INDEX(Section_Master!$D$2:$D$477,MATCH($E1481,Section_Master!$A$2:$A$477,0))&amp;"","")</f>
        <v>Imprisonment up to 2 years, or fine, or both</v>
      </c>
      <c r="G1481" s="10" t="str">
        <f aca="false">IFERROR(INDEX(Section_Master!$E$2:$E$477,MATCH($E1481,Section_Master!$A$2:$A$477,0))&amp;"","")</f>
        <v>No</v>
      </c>
      <c r="H1481" s="10" t="str">
        <f aca="false">IFERROR(INDEX(Section_Master!$F$2:$F$477,MATCH($E1481,Section_Master!$A$2:$A$477,0))&amp;"","")</f>
        <v>Yes</v>
      </c>
      <c r="I1481" s="10" t="str">
        <f aca="false">IFERROR(INDEX(Section_Master!$G$2:$G$477,MATCH($E1481,Section_Master!$A$2:$A$477,0))&amp;"","")</f>
        <v>No</v>
      </c>
      <c r="J1481" s="10" t="s">
        <v>58</v>
      </c>
      <c r="K1481" s="8" t="s">
        <v>3497</v>
      </c>
    </row>
    <row r="1482" customFormat="false" ht="34.5" hidden="false" customHeight="true" outlineLevel="0" collapsed="false">
      <c r="A1482" s="10" t="s">
        <v>3504</v>
      </c>
      <c r="B1482" s="10" t="s">
        <v>45</v>
      </c>
      <c r="C1482" s="8" t="s">
        <v>3495</v>
      </c>
      <c r="D1482" s="8" t="s">
        <v>3505</v>
      </c>
      <c r="E1482" s="11" t="n">
        <v>247</v>
      </c>
      <c r="F1482" s="8" t="str">
        <f aca="false">IFERROR(INDEX(Section_Master!$D$2:$D$477,MATCH($E1482,Section_Master!$A$2:$A$477,0))&amp;"","")</f>
        <v>Imprisonment up to 2 years, or fine, or both</v>
      </c>
      <c r="G1482" s="10" t="str">
        <f aca="false">IFERROR(INDEX(Section_Master!$E$2:$E$477,MATCH($E1482,Section_Master!$A$2:$A$477,0))&amp;"","")</f>
        <v>No</v>
      </c>
      <c r="H1482" s="10" t="str">
        <f aca="false">IFERROR(INDEX(Section_Master!$F$2:$F$477,MATCH($E1482,Section_Master!$A$2:$A$477,0))&amp;"","")</f>
        <v>Yes</v>
      </c>
      <c r="I1482" s="10" t="str">
        <f aca="false">IFERROR(INDEX(Section_Master!$G$2:$G$477,MATCH($E1482,Section_Master!$A$2:$A$477,0))&amp;"","")</f>
        <v>No</v>
      </c>
      <c r="J1482" s="10" t="s">
        <v>61</v>
      </c>
      <c r="K1482" s="8" t="s">
        <v>3497</v>
      </c>
    </row>
    <row r="1483" customFormat="false" ht="34.5" hidden="false" customHeight="true" outlineLevel="0" collapsed="false">
      <c r="A1483" s="10" t="s">
        <v>3506</v>
      </c>
      <c r="B1483" s="10" t="s">
        <v>45</v>
      </c>
      <c r="C1483" s="8" t="s">
        <v>3495</v>
      </c>
      <c r="D1483" s="8" t="s">
        <v>3507</v>
      </c>
      <c r="E1483" s="11" t="n">
        <v>247</v>
      </c>
      <c r="F1483" s="8" t="str">
        <f aca="false">IFERROR(INDEX(Section_Master!$D$2:$D$477,MATCH($E1483,Section_Master!$A$2:$A$477,0))&amp;"","")</f>
        <v>Imprisonment up to 2 years, or fine, or both</v>
      </c>
      <c r="G1483" s="10" t="str">
        <f aca="false">IFERROR(INDEX(Section_Master!$E$2:$E$477,MATCH($E1483,Section_Master!$A$2:$A$477,0))&amp;"","")</f>
        <v>No</v>
      </c>
      <c r="H1483" s="10" t="str">
        <f aca="false">IFERROR(INDEX(Section_Master!$F$2:$F$477,MATCH($E1483,Section_Master!$A$2:$A$477,0))&amp;"","")</f>
        <v>Yes</v>
      </c>
      <c r="I1483" s="10" t="str">
        <f aca="false">IFERROR(INDEX(Section_Master!$G$2:$G$477,MATCH($E1483,Section_Master!$A$2:$A$477,0))&amp;"","")</f>
        <v>No</v>
      </c>
      <c r="J1483" s="10" t="s">
        <v>64</v>
      </c>
      <c r="K1483" s="8" t="s">
        <v>3497</v>
      </c>
    </row>
    <row r="1484" customFormat="false" ht="34.5" hidden="false" customHeight="true" outlineLevel="0" collapsed="false">
      <c r="A1484" s="10" t="s">
        <v>3508</v>
      </c>
      <c r="B1484" s="10" t="s">
        <v>45</v>
      </c>
      <c r="C1484" s="8" t="s">
        <v>3509</v>
      </c>
      <c r="D1484" s="8" t="s">
        <v>3510</v>
      </c>
      <c r="E1484" s="11" t="n">
        <v>248</v>
      </c>
      <c r="F1484" s="8" t="str">
        <f aca="false">IFERROR(INDEX(Section_Master!$D$2:$D$477,MATCH($E1484,Section_Master!$A$2:$A$477,0))&amp;"","")</f>
        <v>Imprisonment up to 2 years, or fine, or both; up to 7 years and fine if the charge is of an offence punishable with 7 years or more [s.248]</v>
      </c>
      <c r="G1484" s="10" t="str">
        <f aca="false">IFERROR(INDEX(Section_Master!$E$2:$E$477,MATCH($E1484,Section_Master!$A$2:$A$477,0))&amp;"","")</f>
        <v>No</v>
      </c>
      <c r="H1484" s="10" t="str">
        <f aca="false">IFERROR(INDEX(Section_Master!$F$2:$F$477,MATCH($E1484,Section_Master!$A$2:$A$477,0))&amp;"","")</f>
        <v>Varies by sub-section</v>
      </c>
      <c r="I1484" s="10" t="str">
        <f aca="false">IFERROR(INDEX(Section_Master!$G$2:$G$477,MATCH($E1484,Section_Master!$A$2:$A$477,0))&amp;"","")</f>
        <v>No</v>
      </c>
      <c r="J1484" s="10" t="s">
        <v>48</v>
      </c>
      <c r="K1484" s="8" t="s">
        <v>3511</v>
      </c>
    </row>
    <row r="1485" customFormat="false" ht="45.75" hidden="false" customHeight="true" outlineLevel="0" collapsed="false">
      <c r="A1485" s="10" t="s">
        <v>3512</v>
      </c>
      <c r="B1485" s="10" t="s">
        <v>45</v>
      </c>
      <c r="C1485" s="8" t="s">
        <v>3509</v>
      </c>
      <c r="D1485" s="8" t="s">
        <v>3513</v>
      </c>
      <c r="E1485" s="11" t="n">
        <v>248</v>
      </c>
      <c r="F1485" s="8" t="str">
        <f aca="false">IFERROR(INDEX(Section_Master!$D$2:$D$477,MATCH($E1485,Section_Master!$A$2:$A$477,0))&amp;"","")</f>
        <v>Imprisonment up to 2 years, or fine, or both; up to 7 years and fine if the charge is of an offence punishable with 7 years or more [s.248]</v>
      </c>
      <c r="G1485" s="10" t="str">
        <f aca="false">IFERROR(INDEX(Section_Master!$E$2:$E$477,MATCH($E1485,Section_Master!$A$2:$A$477,0))&amp;"","")</f>
        <v>No</v>
      </c>
      <c r="H1485" s="10" t="str">
        <f aca="false">IFERROR(INDEX(Section_Master!$F$2:$F$477,MATCH($E1485,Section_Master!$A$2:$A$477,0))&amp;"","")</f>
        <v>Varies by sub-section</v>
      </c>
      <c r="I1485" s="10" t="str">
        <f aca="false">IFERROR(INDEX(Section_Master!$G$2:$G$477,MATCH($E1485,Section_Master!$A$2:$A$477,0))&amp;"","")</f>
        <v>No</v>
      </c>
      <c r="J1485" s="10" t="s">
        <v>52</v>
      </c>
      <c r="K1485" s="8" t="s">
        <v>3511</v>
      </c>
    </row>
    <row r="1486" customFormat="false" ht="34.5" hidden="false" customHeight="true" outlineLevel="0" collapsed="false">
      <c r="A1486" s="10" t="s">
        <v>3514</v>
      </c>
      <c r="B1486" s="10" t="s">
        <v>45</v>
      </c>
      <c r="C1486" s="8" t="s">
        <v>3509</v>
      </c>
      <c r="D1486" s="8" t="s">
        <v>3515</v>
      </c>
      <c r="E1486" s="11" t="n">
        <v>248</v>
      </c>
      <c r="F1486" s="8" t="str">
        <f aca="false">IFERROR(INDEX(Section_Master!$D$2:$D$477,MATCH($E1486,Section_Master!$A$2:$A$477,0))&amp;"","")</f>
        <v>Imprisonment up to 2 years, or fine, or both; up to 7 years and fine if the charge is of an offence punishable with 7 years or more [s.248]</v>
      </c>
      <c r="G1486" s="10" t="str">
        <f aca="false">IFERROR(INDEX(Section_Master!$E$2:$E$477,MATCH($E1486,Section_Master!$A$2:$A$477,0))&amp;"","")</f>
        <v>No</v>
      </c>
      <c r="H1486" s="10" t="str">
        <f aca="false">IFERROR(INDEX(Section_Master!$F$2:$F$477,MATCH($E1486,Section_Master!$A$2:$A$477,0))&amp;"","")</f>
        <v>Varies by sub-section</v>
      </c>
      <c r="I1486" s="10" t="str">
        <f aca="false">IFERROR(INDEX(Section_Master!$G$2:$G$477,MATCH($E1486,Section_Master!$A$2:$A$477,0))&amp;"","")</f>
        <v>No</v>
      </c>
      <c r="J1486" s="10" t="s">
        <v>55</v>
      </c>
      <c r="K1486" s="8" t="s">
        <v>3511</v>
      </c>
    </row>
    <row r="1487" customFormat="false" ht="23.25" hidden="false" customHeight="true" outlineLevel="0" collapsed="false">
      <c r="A1487" s="10" t="s">
        <v>3516</v>
      </c>
      <c r="B1487" s="10" t="s">
        <v>45</v>
      </c>
      <c r="C1487" s="8" t="s">
        <v>3509</v>
      </c>
      <c r="D1487" s="8" t="s">
        <v>3517</v>
      </c>
      <c r="E1487" s="11" t="n">
        <v>248</v>
      </c>
      <c r="F1487" s="8" t="str">
        <f aca="false">IFERROR(INDEX(Section_Master!$D$2:$D$477,MATCH($E1487,Section_Master!$A$2:$A$477,0))&amp;"","")</f>
        <v>Imprisonment up to 2 years, or fine, or both; up to 7 years and fine if the charge is of an offence punishable with 7 years or more [s.248]</v>
      </c>
      <c r="G1487" s="10" t="str">
        <f aca="false">IFERROR(INDEX(Section_Master!$E$2:$E$477,MATCH($E1487,Section_Master!$A$2:$A$477,0))&amp;"","")</f>
        <v>No</v>
      </c>
      <c r="H1487" s="10" t="str">
        <f aca="false">IFERROR(INDEX(Section_Master!$F$2:$F$477,MATCH($E1487,Section_Master!$A$2:$A$477,0))&amp;"","")</f>
        <v>Varies by sub-section</v>
      </c>
      <c r="I1487" s="10" t="str">
        <f aca="false">IFERROR(INDEX(Section_Master!$G$2:$G$477,MATCH($E1487,Section_Master!$A$2:$A$477,0))&amp;"","")</f>
        <v>No</v>
      </c>
      <c r="J1487" s="10" t="s">
        <v>58</v>
      </c>
      <c r="K1487" s="8" t="s">
        <v>3511</v>
      </c>
    </row>
    <row r="1488" customFormat="false" ht="23.25" hidden="false" customHeight="true" outlineLevel="0" collapsed="false">
      <c r="A1488" s="10" t="s">
        <v>3518</v>
      </c>
      <c r="B1488" s="10" t="s">
        <v>45</v>
      </c>
      <c r="C1488" s="8" t="s">
        <v>3509</v>
      </c>
      <c r="D1488" s="8" t="s">
        <v>3519</v>
      </c>
      <c r="E1488" s="11" t="n">
        <v>248</v>
      </c>
      <c r="F1488" s="8" t="str">
        <f aca="false">IFERROR(INDEX(Section_Master!$D$2:$D$477,MATCH($E1488,Section_Master!$A$2:$A$477,0))&amp;"","")</f>
        <v>Imprisonment up to 2 years, or fine, or both; up to 7 years and fine if the charge is of an offence punishable with 7 years or more [s.248]</v>
      </c>
      <c r="G1488" s="10" t="str">
        <f aca="false">IFERROR(INDEX(Section_Master!$E$2:$E$477,MATCH($E1488,Section_Master!$A$2:$A$477,0))&amp;"","")</f>
        <v>No</v>
      </c>
      <c r="H1488" s="10" t="str">
        <f aca="false">IFERROR(INDEX(Section_Master!$F$2:$F$477,MATCH($E1488,Section_Master!$A$2:$A$477,0))&amp;"","")</f>
        <v>Varies by sub-section</v>
      </c>
      <c r="I1488" s="10" t="str">
        <f aca="false">IFERROR(INDEX(Section_Master!$G$2:$G$477,MATCH($E1488,Section_Master!$A$2:$A$477,0))&amp;"","")</f>
        <v>No</v>
      </c>
      <c r="J1488" s="10" t="s">
        <v>61</v>
      </c>
      <c r="K1488" s="8" t="s">
        <v>3511</v>
      </c>
    </row>
    <row r="1489" customFormat="false" ht="34.5" hidden="false" customHeight="true" outlineLevel="0" collapsed="false">
      <c r="A1489" s="10" t="s">
        <v>3520</v>
      </c>
      <c r="B1489" s="10" t="s">
        <v>45</v>
      </c>
      <c r="C1489" s="8" t="s">
        <v>3509</v>
      </c>
      <c r="D1489" s="8" t="s">
        <v>3521</v>
      </c>
      <c r="E1489" s="11" t="n">
        <v>248</v>
      </c>
      <c r="F1489" s="8" t="str">
        <f aca="false">IFERROR(INDEX(Section_Master!$D$2:$D$477,MATCH($E1489,Section_Master!$A$2:$A$477,0))&amp;"","")</f>
        <v>Imprisonment up to 2 years, or fine, or both; up to 7 years and fine if the charge is of an offence punishable with 7 years or more [s.248]</v>
      </c>
      <c r="G1489" s="10" t="str">
        <f aca="false">IFERROR(INDEX(Section_Master!$E$2:$E$477,MATCH($E1489,Section_Master!$A$2:$A$477,0))&amp;"","")</f>
        <v>No</v>
      </c>
      <c r="H1489" s="10" t="str">
        <f aca="false">IFERROR(INDEX(Section_Master!$F$2:$F$477,MATCH($E1489,Section_Master!$A$2:$A$477,0))&amp;"","")</f>
        <v>Varies by sub-section</v>
      </c>
      <c r="I1489" s="10" t="str">
        <f aca="false">IFERROR(INDEX(Section_Master!$G$2:$G$477,MATCH($E1489,Section_Master!$A$2:$A$477,0))&amp;"","")</f>
        <v>No</v>
      </c>
      <c r="J1489" s="10" t="s">
        <v>64</v>
      </c>
      <c r="K1489" s="8" t="s">
        <v>3511</v>
      </c>
    </row>
    <row r="1490" customFormat="false" ht="34.5" hidden="false" customHeight="true" outlineLevel="0" collapsed="false">
      <c r="A1490" s="10" t="s">
        <v>3522</v>
      </c>
      <c r="B1490" s="10" t="s">
        <v>45</v>
      </c>
      <c r="C1490" s="8" t="s">
        <v>3523</v>
      </c>
      <c r="D1490" s="8" t="s">
        <v>3524</v>
      </c>
      <c r="E1490" s="11" t="n">
        <v>249</v>
      </c>
      <c r="F1490" s="8" t="str">
        <f aca="false">IFERROR(INDEX(Section_Master!$D$2:$D$477,MATCH($E1490,Section_Master!$A$2:$A$477,0))&amp;"","")</f>
        <v>Up to 5 years and fine (capital offence); up to 3 years (life or 10-year offence); lesser terms for other offences [s.249]</v>
      </c>
      <c r="G1490" s="10" t="str">
        <f aca="false">IFERROR(INDEX(Section_Master!$E$2:$E$477,MATCH($E1490,Section_Master!$A$2:$A$477,0))&amp;"","")</f>
        <v>No</v>
      </c>
      <c r="H1490" s="10" t="str">
        <f aca="false">IFERROR(INDEX(Section_Master!$F$2:$F$477,MATCH($E1490,Section_Master!$A$2:$A$477,0))&amp;"","")</f>
        <v>Varies by sub-section</v>
      </c>
      <c r="I1490" s="10" t="str">
        <f aca="false">IFERROR(INDEX(Section_Master!$G$2:$G$477,MATCH($E1490,Section_Master!$A$2:$A$477,0))&amp;"","")</f>
        <v>No</v>
      </c>
      <c r="J1490" s="10" t="s">
        <v>48</v>
      </c>
      <c r="K1490" s="8" t="s">
        <v>3525</v>
      </c>
    </row>
    <row r="1491" customFormat="false" ht="45.75" hidden="false" customHeight="true" outlineLevel="0" collapsed="false">
      <c r="A1491" s="10" t="s">
        <v>3526</v>
      </c>
      <c r="B1491" s="10" t="s">
        <v>45</v>
      </c>
      <c r="C1491" s="8" t="s">
        <v>3523</v>
      </c>
      <c r="D1491" s="8" t="s">
        <v>3527</v>
      </c>
      <c r="E1491" s="11" t="n">
        <v>249</v>
      </c>
      <c r="F1491" s="8" t="str">
        <f aca="false">IFERROR(INDEX(Section_Master!$D$2:$D$477,MATCH($E1491,Section_Master!$A$2:$A$477,0))&amp;"","")</f>
        <v>Up to 5 years and fine (capital offence); up to 3 years (life or 10-year offence); lesser terms for other offences [s.249]</v>
      </c>
      <c r="G1491" s="10" t="str">
        <f aca="false">IFERROR(INDEX(Section_Master!$E$2:$E$477,MATCH($E1491,Section_Master!$A$2:$A$477,0))&amp;"","")</f>
        <v>No</v>
      </c>
      <c r="H1491" s="10" t="str">
        <f aca="false">IFERROR(INDEX(Section_Master!$F$2:$F$477,MATCH($E1491,Section_Master!$A$2:$A$477,0))&amp;"","")</f>
        <v>Varies by sub-section</v>
      </c>
      <c r="I1491" s="10" t="str">
        <f aca="false">IFERROR(INDEX(Section_Master!$G$2:$G$477,MATCH($E1491,Section_Master!$A$2:$A$477,0))&amp;"","")</f>
        <v>No</v>
      </c>
      <c r="J1491" s="10" t="s">
        <v>52</v>
      </c>
      <c r="K1491" s="8" t="s">
        <v>3525</v>
      </c>
    </row>
    <row r="1492" customFormat="false" ht="34.5" hidden="false" customHeight="true" outlineLevel="0" collapsed="false">
      <c r="A1492" s="10" t="s">
        <v>3528</v>
      </c>
      <c r="B1492" s="10" t="s">
        <v>45</v>
      </c>
      <c r="C1492" s="8" t="s">
        <v>3523</v>
      </c>
      <c r="D1492" s="8" t="s">
        <v>3529</v>
      </c>
      <c r="E1492" s="11" t="n">
        <v>249</v>
      </c>
      <c r="F1492" s="8" t="str">
        <f aca="false">IFERROR(INDEX(Section_Master!$D$2:$D$477,MATCH($E1492,Section_Master!$A$2:$A$477,0))&amp;"","")</f>
        <v>Up to 5 years and fine (capital offence); up to 3 years (life or 10-year offence); lesser terms for other offences [s.249]</v>
      </c>
      <c r="G1492" s="10" t="str">
        <f aca="false">IFERROR(INDEX(Section_Master!$E$2:$E$477,MATCH($E1492,Section_Master!$A$2:$A$477,0))&amp;"","")</f>
        <v>No</v>
      </c>
      <c r="H1492" s="10" t="str">
        <f aca="false">IFERROR(INDEX(Section_Master!$F$2:$F$477,MATCH($E1492,Section_Master!$A$2:$A$477,0))&amp;"","")</f>
        <v>Varies by sub-section</v>
      </c>
      <c r="I1492" s="10" t="str">
        <f aca="false">IFERROR(INDEX(Section_Master!$G$2:$G$477,MATCH($E1492,Section_Master!$A$2:$A$477,0))&amp;"","")</f>
        <v>No</v>
      </c>
      <c r="J1492" s="10" t="s">
        <v>55</v>
      </c>
      <c r="K1492" s="8" t="s">
        <v>3525</v>
      </c>
    </row>
    <row r="1493" customFormat="false" ht="23.25" hidden="false" customHeight="true" outlineLevel="0" collapsed="false">
      <c r="A1493" s="10" t="s">
        <v>3530</v>
      </c>
      <c r="B1493" s="10" t="s">
        <v>45</v>
      </c>
      <c r="C1493" s="8" t="s">
        <v>3523</v>
      </c>
      <c r="D1493" s="8" t="s">
        <v>3531</v>
      </c>
      <c r="E1493" s="11" t="n">
        <v>249</v>
      </c>
      <c r="F1493" s="8" t="str">
        <f aca="false">IFERROR(INDEX(Section_Master!$D$2:$D$477,MATCH($E1493,Section_Master!$A$2:$A$477,0))&amp;"","")</f>
        <v>Up to 5 years and fine (capital offence); up to 3 years (life or 10-year offence); lesser terms for other offences [s.249]</v>
      </c>
      <c r="G1493" s="10" t="str">
        <f aca="false">IFERROR(INDEX(Section_Master!$E$2:$E$477,MATCH($E1493,Section_Master!$A$2:$A$477,0))&amp;"","")</f>
        <v>No</v>
      </c>
      <c r="H1493" s="10" t="str">
        <f aca="false">IFERROR(INDEX(Section_Master!$F$2:$F$477,MATCH($E1493,Section_Master!$A$2:$A$477,0))&amp;"","")</f>
        <v>Varies by sub-section</v>
      </c>
      <c r="I1493" s="10" t="str">
        <f aca="false">IFERROR(INDEX(Section_Master!$G$2:$G$477,MATCH($E1493,Section_Master!$A$2:$A$477,0))&amp;"","")</f>
        <v>No</v>
      </c>
      <c r="J1493" s="10" t="s">
        <v>58</v>
      </c>
      <c r="K1493" s="8" t="s">
        <v>3525</v>
      </c>
    </row>
    <row r="1494" customFormat="false" ht="34.5" hidden="false" customHeight="true" outlineLevel="0" collapsed="false">
      <c r="A1494" s="10" t="s">
        <v>3532</v>
      </c>
      <c r="B1494" s="10" t="s">
        <v>45</v>
      </c>
      <c r="C1494" s="8" t="s">
        <v>3523</v>
      </c>
      <c r="D1494" s="8" t="s">
        <v>3533</v>
      </c>
      <c r="E1494" s="11" t="n">
        <v>249</v>
      </c>
      <c r="F1494" s="8" t="str">
        <f aca="false">IFERROR(INDEX(Section_Master!$D$2:$D$477,MATCH($E1494,Section_Master!$A$2:$A$477,0))&amp;"","")</f>
        <v>Up to 5 years and fine (capital offence); up to 3 years (life or 10-year offence); lesser terms for other offences [s.249]</v>
      </c>
      <c r="G1494" s="10" t="str">
        <f aca="false">IFERROR(INDEX(Section_Master!$E$2:$E$477,MATCH($E1494,Section_Master!$A$2:$A$477,0))&amp;"","")</f>
        <v>No</v>
      </c>
      <c r="H1494" s="10" t="str">
        <f aca="false">IFERROR(INDEX(Section_Master!$F$2:$F$477,MATCH($E1494,Section_Master!$A$2:$A$477,0))&amp;"","")</f>
        <v>Varies by sub-section</v>
      </c>
      <c r="I1494" s="10" t="str">
        <f aca="false">IFERROR(INDEX(Section_Master!$G$2:$G$477,MATCH($E1494,Section_Master!$A$2:$A$477,0))&amp;"","")</f>
        <v>No</v>
      </c>
      <c r="J1494" s="10" t="s">
        <v>61</v>
      </c>
      <c r="K1494" s="8" t="s">
        <v>3525</v>
      </c>
    </row>
    <row r="1495" customFormat="false" ht="34.5" hidden="false" customHeight="true" outlineLevel="0" collapsed="false">
      <c r="A1495" s="10" t="s">
        <v>3534</v>
      </c>
      <c r="B1495" s="10" t="s">
        <v>45</v>
      </c>
      <c r="C1495" s="8" t="s">
        <v>3523</v>
      </c>
      <c r="D1495" s="8" t="s">
        <v>3535</v>
      </c>
      <c r="E1495" s="11" t="n">
        <v>249</v>
      </c>
      <c r="F1495" s="8" t="str">
        <f aca="false">IFERROR(INDEX(Section_Master!$D$2:$D$477,MATCH($E1495,Section_Master!$A$2:$A$477,0))&amp;"","")</f>
        <v>Up to 5 years and fine (capital offence); up to 3 years (life or 10-year offence); lesser terms for other offences [s.249]</v>
      </c>
      <c r="G1495" s="10" t="str">
        <f aca="false">IFERROR(INDEX(Section_Master!$E$2:$E$477,MATCH($E1495,Section_Master!$A$2:$A$477,0))&amp;"","")</f>
        <v>No</v>
      </c>
      <c r="H1495" s="10" t="str">
        <f aca="false">IFERROR(INDEX(Section_Master!$F$2:$F$477,MATCH($E1495,Section_Master!$A$2:$A$477,0))&amp;"","")</f>
        <v>Varies by sub-section</v>
      </c>
      <c r="I1495" s="10" t="str">
        <f aca="false">IFERROR(INDEX(Section_Master!$G$2:$G$477,MATCH($E1495,Section_Master!$A$2:$A$477,0))&amp;"","")</f>
        <v>No</v>
      </c>
      <c r="J1495" s="10" t="s">
        <v>64</v>
      </c>
      <c r="K1495" s="8" t="s">
        <v>3525</v>
      </c>
    </row>
    <row r="1496" customFormat="false" ht="34.5" hidden="false" customHeight="true" outlineLevel="0" collapsed="false">
      <c r="A1496" s="10" t="s">
        <v>3536</v>
      </c>
      <c r="B1496" s="10" t="s">
        <v>45</v>
      </c>
      <c r="C1496" s="8" t="s">
        <v>3537</v>
      </c>
      <c r="D1496" s="8" t="s">
        <v>3538</v>
      </c>
      <c r="E1496" s="11" t="n">
        <v>250</v>
      </c>
      <c r="F1496" s="8" t="str">
        <f aca="false">IFERROR(INDEX(Section_Master!$D$2:$D$477,MATCH($E1496,Section_Master!$A$2:$A$477,0))&amp;"","")</f>
        <v>Up to 7 years and fine (capital offence); up to 3 years and fine (life offence); up to one-fourth of the longest term (other offences) [s.250]</v>
      </c>
      <c r="G1496" s="10" t="str">
        <f aca="false">IFERROR(INDEX(Section_Master!$E$2:$E$477,MATCH($E1496,Section_Master!$A$2:$A$477,0))&amp;"","")</f>
        <v>No</v>
      </c>
      <c r="H1496" s="10" t="str">
        <f aca="false">IFERROR(INDEX(Section_Master!$F$2:$F$477,MATCH($E1496,Section_Master!$A$2:$A$477,0))&amp;"","")</f>
        <v>Varies by sub-section</v>
      </c>
      <c r="I1496" s="10" t="str">
        <f aca="false">IFERROR(INDEX(Section_Master!$G$2:$G$477,MATCH($E1496,Section_Master!$A$2:$A$477,0))&amp;"","")</f>
        <v>No</v>
      </c>
      <c r="J1496" s="10" t="s">
        <v>48</v>
      </c>
      <c r="K1496" s="8" t="s">
        <v>3539</v>
      </c>
    </row>
    <row r="1497" customFormat="false" ht="45.75" hidden="false" customHeight="true" outlineLevel="0" collapsed="false">
      <c r="A1497" s="10" t="s">
        <v>3540</v>
      </c>
      <c r="B1497" s="10" t="s">
        <v>45</v>
      </c>
      <c r="C1497" s="8" t="s">
        <v>3537</v>
      </c>
      <c r="D1497" s="8" t="s">
        <v>3541</v>
      </c>
      <c r="E1497" s="11" t="n">
        <v>250</v>
      </c>
      <c r="F1497" s="8" t="str">
        <f aca="false">IFERROR(INDEX(Section_Master!$D$2:$D$477,MATCH($E1497,Section_Master!$A$2:$A$477,0))&amp;"","")</f>
        <v>Up to 7 years and fine (capital offence); up to 3 years and fine (life offence); up to one-fourth of the longest term (other offences) [s.250]</v>
      </c>
      <c r="G1497" s="10" t="str">
        <f aca="false">IFERROR(INDEX(Section_Master!$E$2:$E$477,MATCH($E1497,Section_Master!$A$2:$A$477,0))&amp;"","")</f>
        <v>No</v>
      </c>
      <c r="H1497" s="10" t="str">
        <f aca="false">IFERROR(INDEX(Section_Master!$F$2:$F$477,MATCH($E1497,Section_Master!$A$2:$A$477,0))&amp;"","")</f>
        <v>Varies by sub-section</v>
      </c>
      <c r="I1497" s="10" t="str">
        <f aca="false">IFERROR(INDEX(Section_Master!$G$2:$G$477,MATCH($E1497,Section_Master!$A$2:$A$477,0))&amp;"","")</f>
        <v>No</v>
      </c>
      <c r="J1497" s="10" t="s">
        <v>52</v>
      </c>
      <c r="K1497" s="8" t="s">
        <v>3539</v>
      </c>
    </row>
    <row r="1498" customFormat="false" ht="34.5" hidden="false" customHeight="true" outlineLevel="0" collapsed="false">
      <c r="A1498" s="10" t="s">
        <v>3542</v>
      </c>
      <c r="B1498" s="10" t="s">
        <v>45</v>
      </c>
      <c r="C1498" s="8" t="s">
        <v>3537</v>
      </c>
      <c r="D1498" s="8" t="s">
        <v>3543</v>
      </c>
      <c r="E1498" s="11" t="n">
        <v>250</v>
      </c>
      <c r="F1498" s="8" t="str">
        <f aca="false">IFERROR(INDEX(Section_Master!$D$2:$D$477,MATCH($E1498,Section_Master!$A$2:$A$477,0))&amp;"","")</f>
        <v>Up to 7 years and fine (capital offence); up to 3 years and fine (life offence); up to one-fourth of the longest term (other offences) [s.250]</v>
      </c>
      <c r="G1498" s="10" t="str">
        <f aca="false">IFERROR(INDEX(Section_Master!$E$2:$E$477,MATCH($E1498,Section_Master!$A$2:$A$477,0))&amp;"","")</f>
        <v>No</v>
      </c>
      <c r="H1498" s="10" t="str">
        <f aca="false">IFERROR(INDEX(Section_Master!$F$2:$F$477,MATCH($E1498,Section_Master!$A$2:$A$477,0))&amp;"","")</f>
        <v>Varies by sub-section</v>
      </c>
      <c r="I1498" s="10" t="str">
        <f aca="false">IFERROR(INDEX(Section_Master!$G$2:$G$477,MATCH($E1498,Section_Master!$A$2:$A$477,0))&amp;"","")</f>
        <v>No</v>
      </c>
      <c r="J1498" s="10" t="s">
        <v>55</v>
      </c>
      <c r="K1498" s="8" t="s">
        <v>3539</v>
      </c>
    </row>
    <row r="1499" customFormat="false" ht="34.5" hidden="false" customHeight="true" outlineLevel="0" collapsed="false">
      <c r="A1499" s="10" t="s">
        <v>3544</v>
      </c>
      <c r="B1499" s="10" t="s">
        <v>45</v>
      </c>
      <c r="C1499" s="8" t="s">
        <v>3537</v>
      </c>
      <c r="D1499" s="8" t="s">
        <v>3545</v>
      </c>
      <c r="E1499" s="11" t="n">
        <v>250</v>
      </c>
      <c r="F1499" s="8" t="str">
        <f aca="false">IFERROR(INDEX(Section_Master!$D$2:$D$477,MATCH($E1499,Section_Master!$A$2:$A$477,0))&amp;"","")</f>
        <v>Up to 7 years and fine (capital offence); up to 3 years and fine (life offence); up to one-fourth of the longest term (other offences) [s.250]</v>
      </c>
      <c r="G1499" s="10" t="str">
        <f aca="false">IFERROR(INDEX(Section_Master!$E$2:$E$477,MATCH($E1499,Section_Master!$A$2:$A$477,0))&amp;"","")</f>
        <v>No</v>
      </c>
      <c r="H1499" s="10" t="str">
        <f aca="false">IFERROR(INDEX(Section_Master!$F$2:$F$477,MATCH($E1499,Section_Master!$A$2:$A$477,0))&amp;"","")</f>
        <v>Varies by sub-section</v>
      </c>
      <c r="I1499" s="10" t="str">
        <f aca="false">IFERROR(INDEX(Section_Master!$G$2:$G$477,MATCH($E1499,Section_Master!$A$2:$A$477,0))&amp;"","")</f>
        <v>No</v>
      </c>
      <c r="J1499" s="10" t="s">
        <v>58</v>
      </c>
      <c r="K1499" s="8" t="s">
        <v>3539</v>
      </c>
    </row>
    <row r="1500" customFormat="false" ht="34.5" hidden="false" customHeight="true" outlineLevel="0" collapsed="false">
      <c r="A1500" s="10" t="s">
        <v>3546</v>
      </c>
      <c r="B1500" s="10" t="s">
        <v>45</v>
      </c>
      <c r="C1500" s="8" t="s">
        <v>3537</v>
      </c>
      <c r="D1500" s="8" t="s">
        <v>3547</v>
      </c>
      <c r="E1500" s="11" t="n">
        <v>250</v>
      </c>
      <c r="F1500" s="8" t="str">
        <f aca="false">IFERROR(INDEX(Section_Master!$D$2:$D$477,MATCH($E1500,Section_Master!$A$2:$A$477,0))&amp;"","")</f>
        <v>Up to 7 years and fine (capital offence); up to 3 years and fine (life offence); up to one-fourth of the longest term (other offences) [s.250]</v>
      </c>
      <c r="G1500" s="10" t="str">
        <f aca="false">IFERROR(INDEX(Section_Master!$E$2:$E$477,MATCH($E1500,Section_Master!$A$2:$A$477,0))&amp;"","")</f>
        <v>No</v>
      </c>
      <c r="H1500" s="10" t="str">
        <f aca="false">IFERROR(INDEX(Section_Master!$F$2:$F$477,MATCH($E1500,Section_Master!$A$2:$A$477,0))&amp;"","")</f>
        <v>Varies by sub-section</v>
      </c>
      <c r="I1500" s="10" t="str">
        <f aca="false">IFERROR(INDEX(Section_Master!$G$2:$G$477,MATCH($E1500,Section_Master!$A$2:$A$477,0))&amp;"","")</f>
        <v>No</v>
      </c>
      <c r="J1500" s="10" t="s">
        <v>61</v>
      </c>
      <c r="K1500" s="8" t="s">
        <v>3539</v>
      </c>
    </row>
    <row r="1501" customFormat="false" ht="34.5" hidden="false" customHeight="true" outlineLevel="0" collapsed="false">
      <c r="A1501" s="10" t="s">
        <v>3548</v>
      </c>
      <c r="B1501" s="10" t="s">
        <v>45</v>
      </c>
      <c r="C1501" s="8" t="s">
        <v>3537</v>
      </c>
      <c r="D1501" s="8" t="s">
        <v>3549</v>
      </c>
      <c r="E1501" s="11" t="n">
        <v>250</v>
      </c>
      <c r="F1501" s="8" t="str">
        <f aca="false">IFERROR(INDEX(Section_Master!$D$2:$D$477,MATCH($E1501,Section_Master!$A$2:$A$477,0))&amp;"","")</f>
        <v>Up to 7 years and fine (capital offence); up to 3 years and fine (life offence); up to one-fourth of the longest term (other offences) [s.250]</v>
      </c>
      <c r="G1501" s="10" t="str">
        <f aca="false">IFERROR(INDEX(Section_Master!$E$2:$E$477,MATCH($E1501,Section_Master!$A$2:$A$477,0))&amp;"","")</f>
        <v>No</v>
      </c>
      <c r="H1501" s="10" t="str">
        <f aca="false">IFERROR(INDEX(Section_Master!$F$2:$F$477,MATCH($E1501,Section_Master!$A$2:$A$477,0))&amp;"","")</f>
        <v>Varies by sub-section</v>
      </c>
      <c r="I1501" s="10" t="str">
        <f aca="false">IFERROR(INDEX(Section_Master!$G$2:$G$477,MATCH($E1501,Section_Master!$A$2:$A$477,0))&amp;"","")</f>
        <v>No</v>
      </c>
      <c r="J1501" s="10" t="s">
        <v>64</v>
      </c>
      <c r="K1501" s="8" t="s">
        <v>3539</v>
      </c>
    </row>
    <row r="1502" customFormat="false" ht="34.5" hidden="false" customHeight="true" outlineLevel="0" collapsed="false">
      <c r="A1502" s="10" t="s">
        <v>3550</v>
      </c>
      <c r="B1502" s="10" t="s">
        <v>45</v>
      </c>
      <c r="C1502" s="8" t="s">
        <v>3551</v>
      </c>
      <c r="D1502" s="8" t="s">
        <v>3552</v>
      </c>
      <c r="E1502" s="11" t="n">
        <v>251</v>
      </c>
      <c r="F1502" s="8" t="str">
        <f aca="false">IFERROR(INDEX(Section_Master!$D$2:$D$477,MATCH($E1502,Section_Master!$A$2:$A$477,0))&amp;"","")</f>
        <v>Up to 7 years and fine (capital offence); up to 3 years and fine (life offence); up to one-fourth of the longest term (other offences) [s.251]</v>
      </c>
      <c r="G1502" s="10" t="str">
        <f aca="false">IFERROR(INDEX(Section_Master!$E$2:$E$477,MATCH($E1502,Section_Master!$A$2:$A$477,0))&amp;"","")</f>
        <v>No</v>
      </c>
      <c r="H1502" s="10" t="str">
        <f aca="false">IFERROR(INDEX(Section_Master!$F$2:$F$477,MATCH($E1502,Section_Master!$A$2:$A$477,0))&amp;"","")</f>
        <v>Varies by sub-section</v>
      </c>
      <c r="I1502" s="10" t="str">
        <f aca="false">IFERROR(INDEX(Section_Master!$G$2:$G$477,MATCH($E1502,Section_Master!$A$2:$A$477,0))&amp;"","")</f>
        <v>No</v>
      </c>
      <c r="J1502" s="10" t="s">
        <v>48</v>
      </c>
      <c r="K1502" s="8" t="s">
        <v>3553</v>
      </c>
    </row>
    <row r="1503" customFormat="false" ht="34.5" hidden="false" customHeight="true" outlineLevel="0" collapsed="false">
      <c r="A1503" s="10" t="s">
        <v>3554</v>
      </c>
      <c r="B1503" s="10" t="s">
        <v>45</v>
      </c>
      <c r="C1503" s="8" t="s">
        <v>3551</v>
      </c>
      <c r="D1503" s="8" t="s">
        <v>3555</v>
      </c>
      <c r="E1503" s="11" t="n">
        <v>251</v>
      </c>
      <c r="F1503" s="8" t="str">
        <f aca="false">IFERROR(INDEX(Section_Master!$D$2:$D$477,MATCH($E1503,Section_Master!$A$2:$A$477,0))&amp;"","")</f>
        <v>Up to 7 years and fine (capital offence); up to 3 years and fine (life offence); up to one-fourth of the longest term (other offences) [s.251]</v>
      </c>
      <c r="G1503" s="10" t="str">
        <f aca="false">IFERROR(INDEX(Section_Master!$E$2:$E$477,MATCH($E1503,Section_Master!$A$2:$A$477,0))&amp;"","")</f>
        <v>No</v>
      </c>
      <c r="H1503" s="10" t="str">
        <f aca="false">IFERROR(INDEX(Section_Master!$F$2:$F$477,MATCH($E1503,Section_Master!$A$2:$A$477,0))&amp;"","")</f>
        <v>Varies by sub-section</v>
      </c>
      <c r="I1503" s="10" t="str">
        <f aca="false">IFERROR(INDEX(Section_Master!$G$2:$G$477,MATCH($E1503,Section_Master!$A$2:$A$477,0))&amp;"","")</f>
        <v>No</v>
      </c>
      <c r="J1503" s="10" t="s">
        <v>52</v>
      </c>
      <c r="K1503" s="8" t="s">
        <v>3553</v>
      </c>
    </row>
    <row r="1504" customFormat="false" ht="34.5" hidden="false" customHeight="true" outlineLevel="0" collapsed="false">
      <c r="A1504" s="10" t="s">
        <v>3556</v>
      </c>
      <c r="B1504" s="10" t="s">
        <v>45</v>
      </c>
      <c r="C1504" s="8" t="s">
        <v>3551</v>
      </c>
      <c r="D1504" s="8" t="s">
        <v>3557</v>
      </c>
      <c r="E1504" s="11" t="n">
        <v>251</v>
      </c>
      <c r="F1504" s="8" t="str">
        <f aca="false">IFERROR(INDEX(Section_Master!$D$2:$D$477,MATCH($E1504,Section_Master!$A$2:$A$477,0))&amp;"","")</f>
        <v>Up to 7 years and fine (capital offence); up to 3 years and fine (life offence); up to one-fourth of the longest term (other offences) [s.251]</v>
      </c>
      <c r="G1504" s="10" t="str">
        <f aca="false">IFERROR(INDEX(Section_Master!$E$2:$E$477,MATCH($E1504,Section_Master!$A$2:$A$477,0))&amp;"","")</f>
        <v>No</v>
      </c>
      <c r="H1504" s="10" t="str">
        <f aca="false">IFERROR(INDEX(Section_Master!$F$2:$F$477,MATCH($E1504,Section_Master!$A$2:$A$477,0))&amp;"","")</f>
        <v>Varies by sub-section</v>
      </c>
      <c r="I1504" s="10" t="str">
        <f aca="false">IFERROR(INDEX(Section_Master!$G$2:$G$477,MATCH($E1504,Section_Master!$A$2:$A$477,0))&amp;"","")</f>
        <v>No</v>
      </c>
      <c r="J1504" s="10" t="s">
        <v>55</v>
      </c>
      <c r="K1504" s="8" t="s">
        <v>3553</v>
      </c>
    </row>
    <row r="1505" customFormat="false" ht="34.5" hidden="false" customHeight="true" outlineLevel="0" collapsed="false">
      <c r="A1505" s="10" t="s">
        <v>3558</v>
      </c>
      <c r="B1505" s="10" t="s">
        <v>45</v>
      </c>
      <c r="C1505" s="8" t="s">
        <v>3551</v>
      </c>
      <c r="D1505" s="8" t="s">
        <v>3559</v>
      </c>
      <c r="E1505" s="11" t="n">
        <v>251</v>
      </c>
      <c r="F1505" s="8" t="str">
        <f aca="false">IFERROR(INDEX(Section_Master!$D$2:$D$477,MATCH($E1505,Section_Master!$A$2:$A$477,0))&amp;"","")</f>
        <v>Up to 7 years and fine (capital offence); up to 3 years and fine (life offence); up to one-fourth of the longest term (other offences) [s.251]</v>
      </c>
      <c r="G1505" s="10" t="str">
        <f aca="false">IFERROR(INDEX(Section_Master!$E$2:$E$477,MATCH($E1505,Section_Master!$A$2:$A$477,0))&amp;"","")</f>
        <v>No</v>
      </c>
      <c r="H1505" s="10" t="str">
        <f aca="false">IFERROR(INDEX(Section_Master!$F$2:$F$477,MATCH($E1505,Section_Master!$A$2:$A$477,0))&amp;"","")</f>
        <v>Varies by sub-section</v>
      </c>
      <c r="I1505" s="10" t="str">
        <f aca="false">IFERROR(INDEX(Section_Master!$G$2:$G$477,MATCH($E1505,Section_Master!$A$2:$A$477,0))&amp;"","")</f>
        <v>No</v>
      </c>
      <c r="J1505" s="10" t="s">
        <v>58</v>
      </c>
      <c r="K1505" s="8" t="s">
        <v>3553</v>
      </c>
    </row>
    <row r="1506" customFormat="false" ht="34.5" hidden="false" customHeight="true" outlineLevel="0" collapsed="false">
      <c r="A1506" s="10" t="s">
        <v>3560</v>
      </c>
      <c r="B1506" s="10" t="s">
        <v>45</v>
      </c>
      <c r="C1506" s="8" t="s">
        <v>3551</v>
      </c>
      <c r="D1506" s="8" t="s">
        <v>3561</v>
      </c>
      <c r="E1506" s="11" t="n">
        <v>251</v>
      </c>
      <c r="F1506" s="8" t="str">
        <f aca="false">IFERROR(INDEX(Section_Master!$D$2:$D$477,MATCH($E1506,Section_Master!$A$2:$A$477,0))&amp;"","")</f>
        <v>Up to 7 years and fine (capital offence); up to 3 years and fine (life offence); up to one-fourth of the longest term (other offences) [s.251]</v>
      </c>
      <c r="G1506" s="10" t="str">
        <f aca="false">IFERROR(INDEX(Section_Master!$E$2:$E$477,MATCH($E1506,Section_Master!$A$2:$A$477,0))&amp;"","")</f>
        <v>No</v>
      </c>
      <c r="H1506" s="10" t="str">
        <f aca="false">IFERROR(INDEX(Section_Master!$F$2:$F$477,MATCH($E1506,Section_Master!$A$2:$A$477,0))&amp;"","")</f>
        <v>Varies by sub-section</v>
      </c>
      <c r="I1506" s="10" t="str">
        <f aca="false">IFERROR(INDEX(Section_Master!$G$2:$G$477,MATCH($E1506,Section_Master!$A$2:$A$477,0))&amp;"","")</f>
        <v>No</v>
      </c>
      <c r="J1506" s="10" t="s">
        <v>61</v>
      </c>
      <c r="K1506" s="8" t="s">
        <v>3553</v>
      </c>
    </row>
    <row r="1507" customFormat="false" ht="34.5" hidden="false" customHeight="true" outlineLevel="0" collapsed="false">
      <c r="A1507" s="10" t="s">
        <v>3562</v>
      </c>
      <c r="B1507" s="10" t="s">
        <v>45</v>
      </c>
      <c r="C1507" s="8" t="s">
        <v>3551</v>
      </c>
      <c r="D1507" s="8" t="s">
        <v>3563</v>
      </c>
      <c r="E1507" s="11" t="n">
        <v>251</v>
      </c>
      <c r="F1507" s="8" t="str">
        <f aca="false">IFERROR(INDEX(Section_Master!$D$2:$D$477,MATCH($E1507,Section_Master!$A$2:$A$477,0))&amp;"","")</f>
        <v>Up to 7 years and fine (capital offence); up to 3 years and fine (life offence); up to one-fourth of the longest term (other offences) [s.251]</v>
      </c>
      <c r="G1507" s="10" t="str">
        <f aca="false">IFERROR(INDEX(Section_Master!$E$2:$E$477,MATCH($E1507,Section_Master!$A$2:$A$477,0))&amp;"","")</f>
        <v>No</v>
      </c>
      <c r="H1507" s="10" t="str">
        <f aca="false">IFERROR(INDEX(Section_Master!$F$2:$F$477,MATCH($E1507,Section_Master!$A$2:$A$477,0))&amp;"","")</f>
        <v>Varies by sub-section</v>
      </c>
      <c r="I1507" s="10" t="str">
        <f aca="false">IFERROR(INDEX(Section_Master!$G$2:$G$477,MATCH($E1507,Section_Master!$A$2:$A$477,0))&amp;"","")</f>
        <v>No</v>
      </c>
      <c r="J1507" s="10" t="s">
        <v>64</v>
      </c>
      <c r="K1507" s="8" t="s">
        <v>3553</v>
      </c>
    </row>
    <row r="1508" customFormat="false" ht="34.5" hidden="false" customHeight="true" outlineLevel="0" collapsed="false">
      <c r="A1508" s="10" t="s">
        <v>3564</v>
      </c>
      <c r="B1508" s="10" t="s">
        <v>45</v>
      </c>
      <c r="C1508" s="8" t="s">
        <v>3565</v>
      </c>
      <c r="D1508" s="8" t="s">
        <v>3566</v>
      </c>
      <c r="E1508" s="11" t="n">
        <v>252</v>
      </c>
      <c r="F1508" s="8" t="str">
        <f aca="false">IFERROR(INDEX(Section_Master!$D$2:$D$477,MATCH($E1508,Section_Master!$A$2:$A$477,0))&amp;"","")</f>
        <v>Imprisonment up to 2 years, or fine, or both</v>
      </c>
      <c r="G1508" s="10" t="str">
        <f aca="false">IFERROR(INDEX(Section_Master!$E$2:$E$477,MATCH($E1508,Section_Master!$A$2:$A$477,0))&amp;"","")</f>
        <v>No</v>
      </c>
      <c r="H1508" s="10" t="str">
        <f aca="false">IFERROR(INDEX(Section_Master!$F$2:$F$477,MATCH($E1508,Section_Master!$A$2:$A$477,0))&amp;"","")</f>
        <v>Yes</v>
      </c>
      <c r="I1508" s="10" t="str">
        <f aca="false">IFERROR(INDEX(Section_Master!$G$2:$G$477,MATCH($E1508,Section_Master!$A$2:$A$477,0))&amp;"","")</f>
        <v>No</v>
      </c>
      <c r="J1508" s="10" t="s">
        <v>48</v>
      </c>
      <c r="K1508" s="8" t="s">
        <v>3567</v>
      </c>
    </row>
    <row r="1509" customFormat="false" ht="34.5" hidden="false" customHeight="true" outlineLevel="0" collapsed="false">
      <c r="A1509" s="10" t="s">
        <v>3568</v>
      </c>
      <c r="B1509" s="10" t="s">
        <v>45</v>
      </c>
      <c r="C1509" s="8" t="s">
        <v>3565</v>
      </c>
      <c r="D1509" s="8" t="s">
        <v>3569</v>
      </c>
      <c r="E1509" s="11" t="n">
        <v>252</v>
      </c>
      <c r="F1509" s="8" t="str">
        <f aca="false">IFERROR(INDEX(Section_Master!$D$2:$D$477,MATCH($E1509,Section_Master!$A$2:$A$477,0))&amp;"","")</f>
        <v>Imprisonment up to 2 years, or fine, or both</v>
      </c>
      <c r="G1509" s="10" t="str">
        <f aca="false">IFERROR(INDEX(Section_Master!$E$2:$E$477,MATCH($E1509,Section_Master!$A$2:$A$477,0))&amp;"","")</f>
        <v>No</v>
      </c>
      <c r="H1509" s="10" t="str">
        <f aca="false">IFERROR(INDEX(Section_Master!$F$2:$F$477,MATCH($E1509,Section_Master!$A$2:$A$477,0))&amp;"","")</f>
        <v>Yes</v>
      </c>
      <c r="I1509" s="10" t="str">
        <f aca="false">IFERROR(INDEX(Section_Master!$G$2:$G$477,MATCH($E1509,Section_Master!$A$2:$A$477,0))&amp;"","")</f>
        <v>No</v>
      </c>
      <c r="J1509" s="10" t="s">
        <v>52</v>
      </c>
      <c r="K1509" s="8" t="s">
        <v>3567</v>
      </c>
    </row>
    <row r="1510" customFormat="false" ht="34.5" hidden="false" customHeight="true" outlineLevel="0" collapsed="false">
      <c r="A1510" s="10" t="s">
        <v>3570</v>
      </c>
      <c r="B1510" s="10" t="s">
        <v>45</v>
      </c>
      <c r="C1510" s="8" t="s">
        <v>3565</v>
      </c>
      <c r="D1510" s="8" t="s">
        <v>3571</v>
      </c>
      <c r="E1510" s="11" t="n">
        <v>252</v>
      </c>
      <c r="F1510" s="8" t="str">
        <f aca="false">IFERROR(INDEX(Section_Master!$D$2:$D$477,MATCH($E1510,Section_Master!$A$2:$A$477,0))&amp;"","")</f>
        <v>Imprisonment up to 2 years, or fine, or both</v>
      </c>
      <c r="G1510" s="10" t="str">
        <f aca="false">IFERROR(INDEX(Section_Master!$E$2:$E$477,MATCH($E1510,Section_Master!$A$2:$A$477,0))&amp;"","")</f>
        <v>No</v>
      </c>
      <c r="H1510" s="10" t="str">
        <f aca="false">IFERROR(INDEX(Section_Master!$F$2:$F$477,MATCH($E1510,Section_Master!$A$2:$A$477,0))&amp;"","")</f>
        <v>Yes</v>
      </c>
      <c r="I1510" s="10" t="str">
        <f aca="false">IFERROR(INDEX(Section_Master!$G$2:$G$477,MATCH($E1510,Section_Master!$A$2:$A$477,0))&amp;"","")</f>
        <v>No</v>
      </c>
      <c r="J1510" s="10" t="s">
        <v>55</v>
      </c>
      <c r="K1510" s="8" t="s">
        <v>3567</v>
      </c>
    </row>
    <row r="1511" customFormat="false" ht="23.25" hidden="false" customHeight="true" outlineLevel="0" collapsed="false">
      <c r="A1511" s="10" t="s">
        <v>3572</v>
      </c>
      <c r="B1511" s="10" t="s">
        <v>45</v>
      </c>
      <c r="C1511" s="8" t="s">
        <v>3565</v>
      </c>
      <c r="D1511" s="8" t="s">
        <v>3573</v>
      </c>
      <c r="E1511" s="11" t="n">
        <v>252</v>
      </c>
      <c r="F1511" s="8" t="str">
        <f aca="false">IFERROR(INDEX(Section_Master!$D$2:$D$477,MATCH($E1511,Section_Master!$A$2:$A$477,0))&amp;"","")</f>
        <v>Imprisonment up to 2 years, or fine, or both</v>
      </c>
      <c r="G1511" s="10" t="str">
        <f aca="false">IFERROR(INDEX(Section_Master!$E$2:$E$477,MATCH($E1511,Section_Master!$A$2:$A$477,0))&amp;"","")</f>
        <v>No</v>
      </c>
      <c r="H1511" s="10" t="str">
        <f aca="false">IFERROR(INDEX(Section_Master!$F$2:$F$477,MATCH($E1511,Section_Master!$A$2:$A$477,0))&amp;"","")</f>
        <v>Yes</v>
      </c>
      <c r="I1511" s="10" t="str">
        <f aca="false">IFERROR(INDEX(Section_Master!$G$2:$G$477,MATCH($E1511,Section_Master!$A$2:$A$477,0))&amp;"","")</f>
        <v>No</v>
      </c>
      <c r="J1511" s="10" t="s">
        <v>58</v>
      </c>
      <c r="K1511" s="8" t="s">
        <v>3567</v>
      </c>
    </row>
    <row r="1512" customFormat="false" ht="23.25" hidden="false" customHeight="true" outlineLevel="0" collapsed="false">
      <c r="A1512" s="10" t="s">
        <v>3574</v>
      </c>
      <c r="B1512" s="10" t="s">
        <v>45</v>
      </c>
      <c r="C1512" s="8" t="s">
        <v>3565</v>
      </c>
      <c r="D1512" s="8" t="s">
        <v>3575</v>
      </c>
      <c r="E1512" s="11" t="n">
        <v>252</v>
      </c>
      <c r="F1512" s="8" t="str">
        <f aca="false">IFERROR(INDEX(Section_Master!$D$2:$D$477,MATCH($E1512,Section_Master!$A$2:$A$477,0))&amp;"","")</f>
        <v>Imprisonment up to 2 years, or fine, or both</v>
      </c>
      <c r="G1512" s="10" t="str">
        <f aca="false">IFERROR(INDEX(Section_Master!$E$2:$E$477,MATCH($E1512,Section_Master!$A$2:$A$477,0))&amp;"","")</f>
        <v>No</v>
      </c>
      <c r="H1512" s="10" t="str">
        <f aca="false">IFERROR(INDEX(Section_Master!$F$2:$F$477,MATCH($E1512,Section_Master!$A$2:$A$477,0))&amp;"","")</f>
        <v>Yes</v>
      </c>
      <c r="I1512" s="10" t="str">
        <f aca="false">IFERROR(INDEX(Section_Master!$G$2:$G$477,MATCH($E1512,Section_Master!$A$2:$A$477,0))&amp;"","")</f>
        <v>No</v>
      </c>
      <c r="J1512" s="10" t="s">
        <v>61</v>
      </c>
      <c r="K1512" s="8" t="s">
        <v>3567</v>
      </c>
    </row>
    <row r="1513" customFormat="false" ht="34.5" hidden="false" customHeight="true" outlineLevel="0" collapsed="false">
      <c r="A1513" s="10" t="s">
        <v>3576</v>
      </c>
      <c r="B1513" s="10" t="s">
        <v>45</v>
      </c>
      <c r="C1513" s="8" t="s">
        <v>3565</v>
      </c>
      <c r="D1513" s="8" t="s">
        <v>3577</v>
      </c>
      <c r="E1513" s="11" t="n">
        <v>252</v>
      </c>
      <c r="F1513" s="8" t="str">
        <f aca="false">IFERROR(INDEX(Section_Master!$D$2:$D$477,MATCH($E1513,Section_Master!$A$2:$A$477,0))&amp;"","")</f>
        <v>Imprisonment up to 2 years, or fine, or both</v>
      </c>
      <c r="G1513" s="10" t="str">
        <f aca="false">IFERROR(INDEX(Section_Master!$E$2:$E$477,MATCH($E1513,Section_Master!$A$2:$A$477,0))&amp;"","")</f>
        <v>No</v>
      </c>
      <c r="H1513" s="10" t="str">
        <f aca="false">IFERROR(INDEX(Section_Master!$F$2:$F$477,MATCH($E1513,Section_Master!$A$2:$A$477,0))&amp;"","")</f>
        <v>Yes</v>
      </c>
      <c r="I1513" s="10" t="str">
        <f aca="false">IFERROR(INDEX(Section_Master!$G$2:$G$477,MATCH($E1513,Section_Master!$A$2:$A$477,0))&amp;"","")</f>
        <v>No</v>
      </c>
      <c r="J1513" s="10" t="s">
        <v>64</v>
      </c>
      <c r="K1513" s="8" t="s">
        <v>3567</v>
      </c>
    </row>
    <row r="1514" customFormat="false" ht="34.5" hidden="false" customHeight="true" outlineLevel="0" collapsed="false">
      <c r="A1514" s="10" t="s">
        <v>3578</v>
      </c>
      <c r="B1514" s="10" t="s">
        <v>45</v>
      </c>
      <c r="C1514" s="8" t="s">
        <v>3579</v>
      </c>
      <c r="D1514" s="8" t="s">
        <v>3580</v>
      </c>
      <c r="E1514" s="11" t="n">
        <v>253</v>
      </c>
      <c r="F1514" s="8" t="str">
        <f aca="false">IFERROR(INDEX(Section_Master!$D$2:$D$477,MATCH($E1514,Section_Master!$A$2:$A$477,0))&amp;"","")</f>
        <v>Up to 3 years and fine (offence with 10 years or more); up to one-fourth of the longest term (other offences) [s.253]</v>
      </c>
      <c r="G1514" s="10" t="str">
        <f aca="false">IFERROR(INDEX(Section_Master!$E$2:$E$477,MATCH($E1514,Section_Master!$A$2:$A$477,0))&amp;"","")</f>
        <v>No</v>
      </c>
      <c r="H1514" s="10" t="str">
        <f aca="false">IFERROR(INDEX(Section_Master!$F$2:$F$477,MATCH($E1514,Section_Master!$A$2:$A$477,0))&amp;"","")</f>
        <v>Varies by sub-section</v>
      </c>
      <c r="I1514" s="10" t="str">
        <f aca="false">IFERROR(INDEX(Section_Master!$G$2:$G$477,MATCH($E1514,Section_Master!$A$2:$A$477,0))&amp;"","")</f>
        <v>No</v>
      </c>
      <c r="J1514" s="10" t="s">
        <v>48</v>
      </c>
      <c r="K1514" s="8" t="s">
        <v>3581</v>
      </c>
    </row>
    <row r="1515" customFormat="false" ht="45.75" hidden="false" customHeight="true" outlineLevel="0" collapsed="false">
      <c r="A1515" s="10" t="s">
        <v>3582</v>
      </c>
      <c r="B1515" s="10" t="s">
        <v>45</v>
      </c>
      <c r="C1515" s="8" t="s">
        <v>3579</v>
      </c>
      <c r="D1515" s="8" t="s">
        <v>3583</v>
      </c>
      <c r="E1515" s="11" t="n">
        <v>253</v>
      </c>
      <c r="F1515" s="8" t="str">
        <f aca="false">IFERROR(INDEX(Section_Master!$D$2:$D$477,MATCH($E1515,Section_Master!$A$2:$A$477,0))&amp;"","")</f>
        <v>Up to 3 years and fine (offence with 10 years or more); up to one-fourth of the longest term (other offences) [s.253]</v>
      </c>
      <c r="G1515" s="10" t="str">
        <f aca="false">IFERROR(INDEX(Section_Master!$E$2:$E$477,MATCH($E1515,Section_Master!$A$2:$A$477,0))&amp;"","")</f>
        <v>No</v>
      </c>
      <c r="H1515" s="10" t="str">
        <f aca="false">IFERROR(INDEX(Section_Master!$F$2:$F$477,MATCH($E1515,Section_Master!$A$2:$A$477,0))&amp;"","")</f>
        <v>Varies by sub-section</v>
      </c>
      <c r="I1515" s="10" t="str">
        <f aca="false">IFERROR(INDEX(Section_Master!$G$2:$G$477,MATCH($E1515,Section_Master!$A$2:$A$477,0))&amp;"","")</f>
        <v>No</v>
      </c>
      <c r="J1515" s="10" t="s">
        <v>52</v>
      </c>
      <c r="K1515" s="8" t="s">
        <v>3581</v>
      </c>
    </row>
    <row r="1516" customFormat="false" ht="34.5" hidden="false" customHeight="true" outlineLevel="0" collapsed="false">
      <c r="A1516" s="10" t="s">
        <v>3584</v>
      </c>
      <c r="B1516" s="10" t="s">
        <v>45</v>
      </c>
      <c r="C1516" s="8" t="s">
        <v>3579</v>
      </c>
      <c r="D1516" s="8" t="s">
        <v>3585</v>
      </c>
      <c r="E1516" s="11" t="n">
        <v>253</v>
      </c>
      <c r="F1516" s="8" t="str">
        <f aca="false">IFERROR(INDEX(Section_Master!$D$2:$D$477,MATCH($E1516,Section_Master!$A$2:$A$477,0))&amp;"","")</f>
        <v>Up to 3 years and fine (offence with 10 years or more); up to one-fourth of the longest term (other offences) [s.253]</v>
      </c>
      <c r="G1516" s="10" t="str">
        <f aca="false">IFERROR(INDEX(Section_Master!$E$2:$E$477,MATCH($E1516,Section_Master!$A$2:$A$477,0))&amp;"","")</f>
        <v>No</v>
      </c>
      <c r="H1516" s="10" t="str">
        <f aca="false">IFERROR(INDEX(Section_Master!$F$2:$F$477,MATCH($E1516,Section_Master!$A$2:$A$477,0))&amp;"","")</f>
        <v>Varies by sub-section</v>
      </c>
      <c r="I1516" s="10" t="str">
        <f aca="false">IFERROR(INDEX(Section_Master!$G$2:$G$477,MATCH($E1516,Section_Master!$A$2:$A$477,0))&amp;"","")</f>
        <v>No</v>
      </c>
      <c r="J1516" s="10" t="s">
        <v>55</v>
      </c>
      <c r="K1516" s="8" t="s">
        <v>3581</v>
      </c>
    </row>
    <row r="1517" customFormat="false" ht="34.5" hidden="false" customHeight="true" outlineLevel="0" collapsed="false">
      <c r="A1517" s="10" t="s">
        <v>3586</v>
      </c>
      <c r="B1517" s="10" t="s">
        <v>45</v>
      </c>
      <c r="C1517" s="8" t="s">
        <v>3579</v>
      </c>
      <c r="D1517" s="8" t="s">
        <v>3587</v>
      </c>
      <c r="E1517" s="11" t="n">
        <v>253</v>
      </c>
      <c r="F1517" s="8" t="str">
        <f aca="false">IFERROR(INDEX(Section_Master!$D$2:$D$477,MATCH($E1517,Section_Master!$A$2:$A$477,0))&amp;"","")</f>
        <v>Up to 3 years and fine (offence with 10 years or more); up to one-fourth of the longest term (other offences) [s.253]</v>
      </c>
      <c r="G1517" s="10" t="str">
        <f aca="false">IFERROR(INDEX(Section_Master!$E$2:$E$477,MATCH($E1517,Section_Master!$A$2:$A$477,0))&amp;"","")</f>
        <v>No</v>
      </c>
      <c r="H1517" s="10" t="str">
        <f aca="false">IFERROR(INDEX(Section_Master!$F$2:$F$477,MATCH($E1517,Section_Master!$A$2:$A$477,0))&amp;"","")</f>
        <v>Varies by sub-section</v>
      </c>
      <c r="I1517" s="10" t="str">
        <f aca="false">IFERROR(INDEX(Section_Master!$G$2:$G$477,MATCH($E1517,Section_Master!$A$2:$A$477,0))&amp;"","")</f>
        <v>No</v>
      </c>
      <c r="J1517" s="10" t="s">
        <v>58</v>
      </c>
      <c r="K1517" s="8" t="s">
        <v>3581</v>
      </c>
    </row>
    <row r="1518" customFormat="false" ht="34.5" hidden="false" customHeight="true" outlineLevel="0" collapsed="false">
      <c r="A1518" s="10" t="s">
        <v>3588</v>
      </c>
      <c r="B1518" s="10" t="s">
        <v>45</v>
      </c>
      <c r="C1518" s="8" t="s">
        <v>3579</v>
      </c>
      <c r="D1518" s="8" t="s">
        <v>3589</v>
      </c>
      <c r="E1518" s="11" t="n">
        <v>253</v>
      </c>
      <c r="F1518" s="8" t="str">
        <f aca="false">IFERROR(INDEX(Section_Master!$D$2:$D$477,MATCH($E1518,Section_Master!$A$2:$A$477,0))&amp;"","")</f>
        <v>Up to 3 years and fine (offence with 10 years or more); up to one-fourth of the longest term (other offences) [s.253]</v>
      </c>
      <c r="G1518" s="10" t="str">
        <f aca="false">IFERROR(INDEX(Section_Master!$E$2:$E$477,MATCH($E1518,Section_Master!$A$2:$A$477,0))&amp;"","")</f>
        <v>No</v>
      </c>
      <c r="H1518" s="10" t="str">
        <f aca="false">IFERROR(INDEX(Section_Master!$F$2:$F$477,MATCH($E1518,Section_Master!$A$2:$A$477,0))&amp;"","")</f>
        <v>Varies by sub-section</v>
      </c>
      <c r="I1518" s="10" t="str">
        <f aca="false">IFERROR(INDEX(Section_Master!$G$2:$G$477,MATCH($E1518,Section_Master!$A$2:$A$477,0))&amp;"","")</f>
        <v>No</v>
      </c>
      <c r="J1518" s="10" t="s">
        <v>61</v>
      </c>
      <c r="K1518" s="8" t="s">
        <v>3581</v>
      </c>
    </row>
    <row r="1519" customFormat="false" ht="34.5" hidden="false" customHeight="true" outlineLevel="0" collapsed="false">
      <c r="A1519" s="10" t="s">
        <v>3590</v>
      </c>
      <c r="B1519" s="10" t="s">
        <v>45</v>
      </c>
      <c r="C1519" s="8" t="s">
        <v>3579</v>
      </c>
      <c r="D1519" s="8" t="s">
        <v>3591</v>
      </c>
      <c r="E1519" s="11" t="n">
        <v>253</v>
      </c>
      <c r="F1519" s="8" t="str">
        <f aca="false">IFERROR(INDEX(Section_Master!$D$2:$D$477,MATCH($E1519,Section_Master!$A$2:$A$477,0))&amp;"","")</f>
        <v>Up to 3 years and fine (offence with 10 years or more); up to one-fourth of the longest term (other offences) [s.253]</v>
      </c>
      <c r="G1519" s="10" t="str">
        <f aca="false">IFERROR(INDEX(Section_Master!$E$2:$E$477,MATCH($E1519,Section_Master!$A$2:$A$477,0))&amp;"","")</f>
        <v>No</v>
      </c>
      <c r="H1519" s="10" t="str">
        <f aca="false">IFERROR(INDEX(Section_Master!$F$2:$F$477,MATCH($E1519,Section_Master!$A$2:$A$477,0))&amp;"","")</f>
        <v>Varies by sub-section</v>
      </c>
      <c r="I1519" s="10" t="str">
        <f aca="false">IFERROR(INDEX(Section_Master!$G$2:$G$477,MATCH($E1519,Section_Master!$A$2:$A$477,0))&amp;"","")</f>
        <v>No</v>
      </c>
      <c r="J1519" s="10" t="s">
        <v>64</v>
      </c>
      <c r="K1519" s="8" t="s">
        <v>3581</v>
      </c>
    </row>
    <row r="1520" customFormat="false" ht="34.5" hidden="false" customHeight="true" outlineLevel="0" collapsed="false">
      <c r="A1520" s="10" t="s">
        <v>3592</v>
      </c>
      <c r="B1520" s="10" t="s">
        <v>45</v>
      </c>
      <c r="C1520" s="8" t="s">
        <v>3593</v>
      </c>
      <c r="D1520" s="8" t="s">
        <v>3594</v>
      </c>
      <c r="E1520" s="11" t="n">
        <v>254</v>
      </c>
      <c r="F1520" s="8" t="str">
        <f aca="false">IFERROR(INDEX(Section_Master!$D$2:$D$477,MATCH($E1520,Section_Master!$A$2:$A$477,0))&amp;"","")</f>
        <v>Rigorous imprisonment up to 7 years and fine</v>
      </c>
      <c r="G1520" s="10" t="str">
        <f aca="false">IFERROR(INDEX(Section_Master!$E$2:$E$477,MATCH($E1520,Section_Master!$A$2:$A$477,0))&amp;"","")</f>
        <v>Yes</v>
      </c>
      <c r="H1520" s="10" t="str">
        <f aca="false">IFERROR(INDEX(Section_Master!$F$2:$F$477,MATCH($E1520,Section_Master!$A$2:$A$477,0))&amp;"","")</f>
        <v>No</v>
      </c>
      <c r="I1520" s="10" t="str">
        <f aca="false">IFERROR(INDEX(Section_Master!$G$2:$G$477,MATCH($E1520,Section_Master!$A$2:$A$477,0))&amp;"","")</f>
        <v>No</v>
      </c>
      <c r="J1520" s="10" t="s">
        <v>48</v>
      </c>
      <c r="K1520" s="8" t="s">
        <v>3595</v>
      </c>
    </row>
    <row r="1521" customFormat="false" ht="45.75" hidden="false" customHeight="true" outlineLevel="0" collapsed="false">
      <c r="A1521" s="10" t="s">
        <v>3596</v>
      </c>
      <c r="B1521" s="10" t="s">
        <v>45</v>
      </c>
      <c r="C1521" s="8" t="s">
        <v>3593</v>
      </c>
      <c r="D1521" s="8" t="s">
        <v>3597</v>
      </c>
      <c r="E1521" s="11" t="n">
        <v>254</v>
      </c>
      <c r="F1521" s="8" t="str">
        <f aca="false">IFERROR(INDEX(Section_Master!$D$2:$D$477,MATCH($E1521,Section_Master!$A$2:$A$477,0))&amp;"","")</f>
        <v>Rigorous imprisonment up to 7 years and fine</v>
      </c>
      <c r="G1521" s="10" t="str">
        <f aca="false">IFERROR(INDEX(Section_Master!$E$2:$E$477,MATCH($E1521,Section_Master!$A$2:$A$477,0))&amp;"","")</f>
        <v>Yes</v>
      </c>
      <c r="H1521" s="10" t="str">
        <f aca="false">IFERROR(INDEX(Section_Master!$F$2:$F$477,MATCH($E1521,Section_Master!$A$2:$A$477,0))&amp;"","")</f>
        <v>No</v>
      </c>
      <c r="I1521" s="10" t="str">
        <f aca="false">IFERROR(INDEX(Section_Master!$G$2:$G$477,MATCH($E1521,Section_Master!$A$2:$A$477,0))&amp;"","")</f>
        <v>No</v>
      </c>
      <c r="J1521" s="10" t="s">
        <v>52</v>
      </c>
      <c r="K1521" s="8" t="s">
        <v>3595</v>
      </c>
    </row>
    <row r="1522" customFormat="false" ht="34.5" hidden="false" customHeight="true" outlineLevel="0" collapsed="false">
      <c r="A1522" s="10" t="s">
        <v>3598</v>
      </c>
      <c r="B1522" s="10" t="s">
        <v>45</v>
      </c>
      <c r="C1522" s="8" t="s">
        <v>3593</v>
      </c>
      <c r="D1522" s="8" t="s">
        <v>3599</v>
      </c>
      <c r="E1522" s="11" t="n">
        <v>254</v>
      </c>
      <c r="F1522" s="8" t="str">
        <f aca="false">IFERROR(INDEX(Section_Master!$D$2:$D$477,MATCH($E1522,Section_Master!$A$2:$A$477,0))&amp;"","")</f>
        <v>Rigorous imprisonment up to 7 years and fine</v>
      </c>
      <c r="G1522" s="10" t="str">
        <f aca="false">IFERROR(INDEX(Section_Master!$E$2:$E$477,MATCH($E1522,Section_Master!$A$2:$A$477,0))&amp;"","")</f>
        <v>Yes</v>
      </c>
      <c r="H1522" s="10" t="str">
        <f aca="false">IFERROR(INDEX(Section_Master!$F$2:$F$477,MATCH($E1522,Section_Master!$A$2:$A$477,0))&amp;"","")</f>
        <v>No</v>
      </c>
      <c r="I1522" s="10" t="str">
        <f aca="false">IFERROR(INDEX(Section_Master!$G$2:$G$477,MATCH($E1522,Section_Master!$A$2:$A$477,0))&amp;"","")</f>
        <v>No</v>
      </c>
      <c r="J1522" s="10" t="s">
        <v>55</v>
      </c>
      <c r="K1522" s="8" t="s">
        <v>3595</v>
      </c>
    </row>
    <row r="1523" customFormat="false" ht="23.25" hidden="false" customHeight="true" outlineLevel="0" collapsed="false">
      <c r="A1523" s="10" t="s">
        <v>3600</v>
      </c>
      <c r="B1523" s="10" t="s">
        <v>45</v>
      </c>
      <c r="C1523" s="8" t="s">
        <v>3593</v>
      </c>
      <c r="D1523" s="8" t="s">
        <v>3601</v>
      </c>
      <c r="E1523" s="11" t="n">
        <v>254</v>
      </c>
      <c r="F1523" s="8" t="str">
        <f aca="false">IFERROR(INDEX(Section_Master!$D$2:$D$477,MATCH($E1523,Section_Master!$A$2:$A$477,0))&amp;"","")</f>
        <v>Rigorous imprisonment up to 7 years and fine</v>
      </c>
      <c r="G1523" s="10" t="str">
        <f aca="false">IFERROR(INDEX(Section_Master!$E$2:$E$477,MATCH($E1523,Section_Master!$A$2:$A$477,0))&amp;"","")</f>
        <v>Yes</v>
      </c>
      <c r="H1523" s="10" t="str">
        <f aca="false">IFERROR(INDEX(Section_Master!$F$2:$F$477,MATCH($E1523,Section_Master!$A$2:$A$477,0))&amp;"","")</f>
        <v>No</v>
      </c>
      <c r="I1523" s="10" t="str">
        <f aca="false">IFERROR(INDEX(Section_Master!$G$2:$G$477,MATCH($E1523,Section_Master!$A$2:$A$477,0))&amp;"","")</f>
        <v>No</v>
      </c>
      <c r="J1523" s="10" t="s">
        <v>58</v>
      </c>
      <c r="K1523" s="8" t="s">
        <v>3595</v>
      </c>
    </row>
    <row r="1524" customFormat="false" ht="23.25" hidden="false" customHeight="true" outlineLevel="0" collapsed="false">
      <c r="A1524" s="10" t="s">
        <v>3602</v>
      </c>
      <c r="B1524" s="10" t="s">
        <v>45</v>
      </c>
      <c r="C1524" s="8" t="s">
        <v>3593</v>
      </c>
      <c r="D1524" s="8" t="s">
        <v>3603</v>
      </c>
      <c r="E1524" s="11" t="n">
        <v>254</v>
      </c>
      <c r="F1524" s="8" t="str">
        <f aca="false">IFERROR(INDEX(Section_Master!$D$2:$D$477,MATCH($E1524,Section_Master!$A$2:$A$477,0))&amp;"","")</f>
        <v>Rigorous imprisonment up to 7 years and fine</v>
      </c>
      <c r="G1524" s="10" t="str">
        <f aca="false">IFERROR(INDEX(Section_Master!$E$2:$E$477,MATCH($E1524,Section_Master!$A$2:$A$477,0))&amp;"","")</f>
        <v>Yes</v>
      </c>
      <c r="H1524" s="10" t="str">
        <f aca="false">IFERROR(INDEX(Section_Master!$F$2:$F$477,MATCH($E1524,Section_Master!$A$2:$A$477,0))&amp;"","")</f>
        <v>No</v>
      </c>
      <c r="I1524" s="10" t="str">
        <f aca="false">IFERROR(INDEX(Section_Master!$G$2:$G$477,MATCH($E1524,Section_Master!$A$2:$A$477,0))&amp;"","")</f>
        <v>No</v>
      </c>
      <c r="J1524" s="10" t="s">
        <v>61</v>
      </c>
      <c r="K1524" s="8" t="s">
        <v>3595</v>
      </c>
    </row>
    <row r="1525" customFormat="false" ht="34.5" hidden="false" customHeight="true" outlineLevel="0" collapsed="false">
      <c r="A1525" s="10" t="s">
        <v>3604</v>
      </c>
      <c r="B1525" s="10" t="s">
        <v>45</v>
      </c>
      <c r="C1525" s="8" t="s">
        <v>3593</v>
      </c>
      <c r="D1525" s="8" t="s">
        <v>3605</v>
      </c>
      <c r="E1525" s="11" t="n">
        <v>254</v>
      </c>
      <c r="F1525" s="8" t="str">
        <f aca="false">IFERROR(INDEX(Section_Master!$D$2:$D$477,MATCH($E1525,Section_Master!$A$2:$A$477,0))&amp;"","")</f>
        <v>Rigorous imprisonment up to 7 years and fine</v>
      </c>
      <c r="G1525" s="10" t="str">
        <f aca="false">IFERROR(INDEX(Section_Master!$E$2:$E$477,MATCH($E1525,Section_Master!$A$2:$A$477,0))&amp;"","")</f>
        <v>Yes</v>
      </c>
      <c r="H1525" s="10" t="str">
        <f aca="false">IFERROR(INDEX(Section_Master!$F$2:$F$477,MATCH($E1525,Section_Master!$A$2:$A$477,0))&amp;"","")</f>
        <v>No</v>
      </c>
      <c r="I1525" s="10" t="str">
        <f aca="false">IFERROR(INDEX(Section_Master!$G$2:$G$477,MATCH($E1525,Section_Master!$A$2:$A$477,0))&amp;"","")</f>
        <v>No</v>
      </c>
      <c r="J1525" s="10" t="s">
        <v>64</v>
      </c>
      <c r="K1525" s="8" t="s">
        <v>3595</v>
      </c>
    </row>
    <row r="1526" customFormat="false" ht="34.5" hidden="false" customHeight="true" outlineLevel="0" collapsed="false">
      <c r="A1526" s="10" t="s">
        <v>3606</v>
      </c>
      <c r="B1526" s="10" t="s">
        <v>45</v>
      </c>
      <c r="C1526" s="8" t="s">
        <v>3607</v>
      </c>
      <c r="D1526" s="8" t="s">
        <v>3608</v>
      </c>
      <c r="E1526" s="11" t="n">
        <v>255</v>
      </c>
      <c r="F1526" s="8" t="str">
        <f aca="false">IFERROR(INDEX(Section_Master!$D$2:$D$477,MATCH($E1526,Section_Master!$A$2:$A$477,0))&amp;"","")</f>
        <v>Imprisonment up to 2 years, or fine, or both</v>
      </c>
      <c r="G1526" s="10" t="str">
        <f aca="false">IFERROR(INDEX(Section_Master!$E$2:$E$477,MATCH($E1526,Section_Master!$A$2:$A$477,0))&amp;"","")</f>
        <v>No</v>
      </c>
      <c r="H1526" s="10" t="str">
        <f aca="false">IFERROR(INDEX(Section_Master!$F$2:$F$477,MATCH($E1526,Section_Master!$A$2:$A$477,0))&amp;"","")</f>
        <v>Yes</v>
      </c>
      <c r="I1526" s="10" t="str">
        <f aca="false">IFERROR(INDEX(Section_Master!$G$2:$G$477,MATCH($E1526,Section_Master!$A$2:$A$477,0))&amp;"","")</f>
        <v>No</v>
      </c>
      <c r="J1526" s="10" t="s">
        <v>48</v>
      </c>
      <c r="K1526" s="8" t="s">
        <v>3609</v>
      </c>
    </row>
    <row r="1527" customFormat="false" ht="34.5" hidden="false" customHeight="true" outlineLevel="0" collapsed="false">
      <c r="A1527" s="10" t="s">
        <v>3610</v>
      </c>
      <c r="B1527" s="10" t="s">
        <v>45</v>
      </c>
      <c r="C1527" s="8" t="s">
        <v>3607</v>
      </c>
      <c r="D1527" s="8" t="s">
        <v>3611</v>
      </c>
      <c r="E1527" s="11" t="n">
        <v>255</v>
      </c>
      <c r="F1527" s="8" t="str">
        <f aca="false">IFERROR(INDEX(Section_Master!$D$2:$D$477,MATCH($E1527,Section_Master!$A$2:$A$477,0))&amp;"","")</f>
        <v>Imprisonment up to 2 years, or fine, or both</v>
      </c>
      <c r="G1527" s="10" t="str">
        <f aca="false">IFERROR(INDEX(Section_Master!$E$2:$E$477,MATCH($E1527,Section_Master!$A$2:$A$477,0))&amp;"","")</f>
        <v>No</v>
      </c>
      <c r="H1527" s="10" t="str">
        <f aca="false">IFERROR(INDEX(Section_Master!$F$2:$F$477,MATCH($E1527,Section_Master!$A$2:$A$477,0))&amp;"","")</f>
        <v>Yes</v>
      </c>
      <c r="I1527" s="10" t="str">
        <f aca="false">IFERROR(INDEX(Section_Master!$G$2:$G$477,MATCH($E1527,Section_Master!$A$2:$A$477,0))&amp;"","")</f>
        <v>No</v>
      </c>
      <c r="J1527" s="10" t="s">
        <v>52</v>
      </c>
      <c r="K1527" s="8" t="s">
        <v>3609</v>
      </c>
    </row>
    <row r="1528" customFormat="false" ht="34.5" hidden="false" customHeight="true" outlineLevel="0" collapsed="false">
      <c r="A1528" s="10" t="s">
        <v>3612</v>
      </c>
      <c r="B1528" s="10" t="s">
        <v>45</v>
      </c>
      <c r="C1528" s="8" t="s">
        <v>3607</v>
      </c>
      <c r="D1528" s="8" t="s">
        <v>3613</v>
      </c>
      <c r="E1528" s="11" t="n">
        <v>255</v>
      </c>
      <c r="F1528" s="8" t="str">
        <f aca="false">IFERROR(INDEX(Section_Master!$D$2:$D$477,MATCH($E1528,Section_Master!$A$2:$A$477,0))&amp;"","")</f>
        <v>Imprisonment up to 2 years, or fine, or both</v>
      </c>
      <c r="G1528" s="10" t="str">
        <f aca="false">IFERROR(INDEX(Section_Master!$E$2:$E$477,MATCH($E1528,Section_Master!$A$2:$A$477,0))&amp;"","")</f>
        <v>No</v>
      </c>
      <c r="H1528" s="10" t="str">
        <f aca="false">IFERROR(INDEX(Section_Master!$F$2:$F$477,MATCH($E1528,Section_Master!$A$2:$A$477,0))&amp;"","")</f>
        <v>Yes</v>
      </c>
      <c r="I1528" s="10" t="str">
        <f aca="false">IFERROR(INDEX(Section_Master!$G$2:$G$477,MATCH($E1528,Section_Master!$A$2:$A$477,0))&amp;"","")</f>
        <v>No</v>
      </c>
      <c r="J1528" s="10" t="s">
        <v>55</v>
      </c>
      <c r="K1528" s="8" t="s">
        <v>3609</v>
      </c>
    </row>
    <row r="1529" customFormat="false" ht="34.5" hidden="false" customHeight="true" outlineLevel="0" collapsed="false">
      <c r="A1529" s="10" t="s">
        <v>3614</v>
      </c>
      <c r="B1529" s="10" t="s">
        <v>45</v>
      </c>
      <c r="C1529" s="8" t="s">
        <v>3607</v>
      </c>
      <c r="D1529" s="8" t="s">
        <v>3615</v>
      </c>
      <c r="E1529" s="11" t="n">
        <v>255</v>
      </c>
      <c r="F1529" s="8" t="str">
        <f aca="false">IFERROR(INDEX(Section_Master!$D$2:$D$477,MATCH($E1529,Section_Master!$A$2:$A$477,0))&amp;"","")</f>
        <v>Imprisonment up to 2 years, or fine, or both</v>
      </c>
      <c r="G1529" s="10" t="str">
        <f aca="false">IFERROR(INDEX(Section_Master!$E$2:$E$477,MATCH($E1529,Section_Master!$A$2:$A$477,0))&amp;"","")</f>
        <v>No</v>
      </c>
      <c r="H1529" s="10" t="str">
        <f aca="false">IFERROR(INDEX(Section_Master!$F$2:$F$477,MATCH($E1529,Section_Master!$A$2:$A$477,0))&amp;"","")</f>
        <v>Yes</v>
      </c>
      <c r="I1529" s="10" t="str">
        <f aca="false">IFERROR(INDEX(Section_Master!$G$2:$G$477,MATCH($E1529,Section_Master!$A$2:$A$477,0))&amp;"","")</f>
        <v>No</v>
      </c>
      <c r="J1529" s="10" t="s">
        <v>58</v>
      </c>
      <c r="K1529" s="8" t="s">
        <v>3609</v>
      </c>
    </row>
    <row r="1530" customFormat="false" ht="34.5" hidden="false" customHeight="true" outlineLevel="0" collapsed="false">
      <c r="A1530" s="10" t="s">
        <v>3616</v>
      </c>
      <c r="B1530" s="10" t="s">
        <v>45</v>
      </c>
      <c r="C1530" s="8" t="s">
        <v>3607</v>
      </c>
      <c r="D1530" s="8" t="s">
        <v>3617</v>
      </c>
      <c r="E1530" s="11" t="n">
        <v>255</v>
      </c>
      <c r="F1530" s="8" t="str">
        <f aca="false">IFERROR(INDEX(Section_Master!$D$2:$D$477,MATCH($E1530,Section_Master!$A$2:$A$477,0))&amp;"","")</f>
        <v>Imprisonment up to 2 years, or fine, or both</v>
      </c>
      <c r="G1530" s="10" t="str">
        <f aca="false">IFERROR(INDEX(Section_Master!$E$2:$E$477,MATCH($E1530,Section_Master!$A$2:$A$477,0))&amp;"","")</f>
        <v>No</v>
      </c>
      <c r="H1530" s="10" t="str">
        <f aca="false">IFERROR(INDEX(Section_Master!$F$2:$F$477,MATCH($E1530,Section_Master!$A$2:$A$477,0))&amp;"","")</f>
        <v>Yes</v>
      </c>
      <c r="I1530" s="10" t="str">
        <f aca="false">IFERROR(INDEX(Section_Master!$G$2:$G$477,MATCH($E1530,Section_Master!$A$2:$A$477,0))&amp;"","")</f>
        <v>No</v>
      </c>
      <c r="J1530" s="10" t="s">
        <v>61</v>
      </c>
      <c r="K1530" s="8" t="s">
        <v>3609</v>
      </c>
    </row>
    <row r="1531" customFormat="false" ht="34.5" hidden="false" customHeight="true" outlineLevel="0" collapsed="false">
      <c r="A1531" s="10" t="s">
        <v>3618</v>
      </c>
      <c r="B1531" s="10" t="s">
        <v>45</v>
      </c>
      <c r="C1531" s="8" t="s">
        <v>3607</v>
      </c>
      <c r="D1531" s="8" t="s">
        <v>3619</v>
      </c>
      <c r="E1531" s="11" t="n">
        <v>255</v>
      </c>
      <c r="F1531" s="8" t="str">
        <f aca="false">IFERROR(INDEX(Section_Master!$D$2:$D$477,MATCH($E1531,Section_Master!$A$2:$A$477,0))&amp;"","")</f>
        <v>Imprisonment up to 2 years, or fine, or both</v>
      </c>
      <c r="G1531" s="10" t="str">
        <f aca="false">IFERROR(INDEX(Section_Master!$E$2:$E$477,MATCH($E1531,Section_Master!$A$2:$A$477,0))&amp;"","")</f>
        <v>No</v>
      </c>
      <c r="H1531" s="10" t="str">
        <f aca="false">IFERROR(INDEX(Section_Master!$F$2:$F$477,MATCH($E1531,Section_Master!$A$2:$A$477,0))&amp;"","")</f>
        <v>Yes</v>
      </c>
      <c r="I1531" s="10" t="str">
        <f aca="false">IFERROR(INDEX(Section_Master!$G$2:$G$477,MATCH($E1531,Section_Master!$A$2:$A$477,0))&amp;"","")</f>
        <v>No</v>
      </c>
      <c r="J1531" s="10" t="s">
        <v>64</v>
      </c>
      <c r="K1531" s="8" t="s">
        <v>3609</v>
      </c>
    </row>
    <row r="1532" customFormat="false" ht="34.5" hidden="false" customHeight="true" outlineLevel="0" collapsed="false">
      <c r="A1532" s="10" t="s">
        <v>3620</v>
      </c>
      <c r="B1532" s="10" t="s">
        <v>45</v>
      </c>
      <c r="C1532" s="8" t="s">
        <v>3621</v>
      </c>
      <c r="D1532" s="8" t="s">
        <v>3622</v>
      </c>
      <c r="E1532" s="11" t="n">
        <v>256</v>
      </c>
      <c r="F1532" s="8" t="str">
        <f aca="false">IFERROR(INDEX(Section_Master!$D$2:$D$477,MATCH($E1532,Section_Master!$A$2:$A$477,0))&amp;"","")</f>
        <v>Imprisonment up to 3 years, or fine, or both</v>
      </c>
      <c r="G1532" s="10" t="str">
        <f aca="false">IFERROR(INDEX(Section_Master!$E$2:$E$477,MATCH($E1532,Section_Master!$A$2:$A$477,0))&amp;"","")</f>
        <v>No</v>
      </c>
      <c r="H1532" s="10" t="str">
        <f aca="false">IFERROR(INDEX(Section_Master!$F$2:$F$477,MATCH($E1532,Section_Master!$A$2:$A$477,0))&amp;"","")</f>
        <v>Yes</v>
      </c>
      <c r="I1532" s="10" t="str">
        <f aca="false">IFERROR(INDEX(Section_Master!$G$2:$G$477,MATCH($E1532,Section_Master!$A$2:$A$477,0))&amp;"","")</f>
        <v>No</v>
      </c>
      <c r="J1532" s="10" t="s">
        <v>48</v>
      </c>
      <c r="K1532" s="8" t="s">
        <v>3623</v>
      </c>
    </row>
    <row r="1533" customFormat="false" ht="34.5" hidden="false" customHeight="true" outlineLevel="0" collapsed="false">
      <c r="A1533" s="10" t="s">
        <v>3624</v>
      </c>
      <c r="B1533" s="10" t="s">
        <v>45</v>
      </c>
      <c r="C1533" s="8" t="s">
        <v>3621</v>
      </c>
      <c r="D1533" s="8" t="s">
        <v>3625</v>
      </c>
      <c r="E1533" s="11" t="n">
        <v>256</v>
      </c>
      <c r="F1533" s="8" t="str">
        <f aca="false">IFERROR(INDEX(Section_Master!$D$2:$D$477,MATCH($E1533,Section_Master!$A$2:$A$477,0))&amp;"","")</f>
        <v>Imprisonment up to 3 years, or fine, or both</v>
      </c>
      <c r="G1533" s="10" t="str">
        <f aca="false">IFERROR(INDEX(Section_Master!$E$2:$E$477,MATCH($E1533,Section_Master!$A$2:$A$477,0))&amp;"","")</f>
        <v>No</v>
      </c>
      <c r="H1533" s="10" t="str">
        <f aca="false">IFERROR(INDEX(Section_Master!$F$2:$F$477,MATCH($E1533,Section_Master!$A$2:$A$477,0))&amp;"","")</f>
        <v>Yes</v>
      </c>
      <c r="I1533" s="10" t="str">
        <f aca="false">IFERROR(INDEX(Section_Master!$G$2:$G$477,MATCH($E1533,Section_Master!$A$2:$A$477,0))&amp;"","")</f>
        <v>No</v>
      </c>
      <c r="J1533" s="10" t="s">
        <v>52</v>
      </c>
      <c r="K1533" s="8" t="s">
        <v>3623</v>
      </c>
    </row>
    <row r="1534" customFormat="false" ht="34.5" hidden="false" customHeight="true" outlineLevel="0" collapsed="false">
      <c r="A1534" s="10" t="s">
        <v>3626</v>
      </c>
      <c r="B1534" s="10" t="s">
        <v>45</v>
      </c>
      <c r="C1534" s="8" t="s">
        <v>3621</v>
      </c>
      <c r="D1534" s="8" t="s">
        <v>3627</v>
      </c>
      <c r="E1534" s="11" t="n">
        <v>256</v>
      </c>
      <c r="F1534" s="8" t="str">
        <f aca="false">IFERROR(INDEX(Section_Master!$D$2:$D$477,MATCH($E1534,Section_Master!$A$2:$A$477,0))&amp;"","")</f>
        <v>Imprisonment up to 3 years, or fine, or both</v>
      </c>
      <c r="G1534" s="10" t="str">
        <f aca="false">IFERROR(INDEX(Section_Master!$E$2:$E$477,MATCH($E1534,Section_Master!$A$2:$A$477,0))&amp;"","")</f>
        <v>No</v>
      </c>
      <c r="H1534" s="10" t="str">
        <f aca="false">IFERROR(INDEX(Section_Master!$F$2:$F$477,MATCH($E1534,Section_Master!$A$2:$A$477,0))&amp;"","")</f>
        <v>Yes</v>
      </c>
      <c r="I1534" s="10" t="str">
        <f aca="false">IFERROR(INDEX(Section_Master!$G$2:$G$477,MATCH($E1534,Section_Master!$A$2:$A$477,0))&amp;"","")</f>
        <v>No</v>
      </c>
      <c r="J1534" s="10" t="s">
        <v>55</v>
      </c>
      <c r="K1534" s="8" t="s">
        <v>3623</v>
      </c>
    </row>
    <row r="1535" customFormat="false" ht="34.5" hidden="false" customHeight="true" outlineLevel="0" collapsed="false">
      <c r="A1535" s="10" t="s">
        <v>3628</v>
      </c>
      <c r="B1535" s="10" t="s">
        <v>45</v>
      </c>
      <c r="C1535" s="8" t="s">
        <v>3621</v>
      </c>
      <c r="D1535" s="8" t="s">
        <v>3629</v>
      </c>
      <c r="E1535" s="11" t="n">
        <v>256</v>
      </c>
      <c r="F1535" s="8" t="str">
        <f aca="false">IFERROR(INDEX(Section_Master!$D$2:$D$477,MATCH($E1535,Section_Master!$A$2:$A$477,0))&amp;"","")</f>
        <v>Imprisonment up to 3 years, or fine, or both</v>
      </c>
      <c r="G1535" s="10" t="str">
        <f aca="false">IFERROR(INDEX(Section_Master!$E$2:$E$477,MATCH($E1535,Section_Master!$A$2:$A$477,0))&amp;"","")</f>
        <v>No</v>
      </c>
      <c r="H1535" s="10" t="str">
        <f aca="false">IFERROR(INDEX(Section_Master!$F$2:$F$477,MATCH($E1535,Section_Master!$A$2:$A$477,0))&amp;"","")</f>
        <v>Yes</v>
      </c>
      <c r="I1535" s="10" t="str">
        <f aca="false">IFERROR(INDEX(Section_Master!$G$2:$G$477,MATCH($E1535,Section_Master!$A$2:$A$477,0))&amp;"","")</f>
        <v>No</v>
      </c>
      <c r="J1535" s="10" t="s">
        <v>58</v>
      </c>
      <c r="K1535" s="8" t="s">
        <v>3623</v>
      </c>
    </row>
    <row r="1536" customFormat="false" ht="34.5" hidden="false" customHeight="true" outlineLevel="0" collapsed="false">
      <c r="A1536" s="10" t="s">
        <v>3630</v>
      </c>
      <c r="B1536" s="10" t="s">
        <v>45</v>
      </c>
      <c r="C1536" s="8" t="s">
        <v>3621</v>
      </c>
      <c r="D1536" s="8" t="s">
        <v>3631</v>
      </c>
      <c r="E1536" s="11" t="n">
        <v>256</v>
      </c>
      <c r="F1536" s="8" t="str">
        <f aca="false">IFERROR(INDEX(Section_Master!$D$2:$D$477,MATCH($E1536,Section_Master!$A$2:$A$477,0))&amp;"","")</f>
        <v>Imprisonment up to 3 years, or fine, or both</v>
      </c>
      <c r="G1536" s="10" t="str">
        <f aca="false">IFERROR(INDEX(Section_Master!$E$2:$E$477,MATCH($E1536,Section_Master!$A$2:$A$477,0))&amp;"","")</f>
        <v>No</v>
      </c>
      <c r="H1536" s="10" t="str">
        <f aca="false">IFERROR(INDEX(Section_Master!$F$2:$F$477,MATCH($E1536,Section_Master!$A$2:$A$477,0))&amp;"","")</f>
        <v>Yes</v>
      </c>
      <c r="I1536" s="10" t="str">
        <f aca="false">IFERROR(INDEX(Section_Master!$G$2:$G$477,MATCH($E1536,Section_Master!$A$2:$A$477,0))&amp;"","")</f>
        <v>No</v>
      </c>
      <c r="J1536" s="10" t="s">
        <v>61</v>
      </c>
      <c r="K1536" s="8" t="s">
        <v>3623</v>
      </c>
    </row>
    <row r="1537" customFormat="false" ht="34.5" hidden="false" customHeight="true" outlineLevel="0" collapsed="false">
      <c r="A1537" s="10" t="s">
        <v>3632</v>
      </c>
      <c r="B1537" s="10" t="s">
        <v>45</v>
      </c>
      <c r="C1537" s="8" t="s">
        <v>3621</v>
      </c>
      <c r="D1537" s="8" t="s">
        <v>3633</v>
      </c>
      <c r="E1537" s="11" t="n">
        <v>256</v>
      </c>
      <c r="F1537" s="8" t="str">
        <f aca="false">IFERROR(INDEX(Section_Master!$D$2:$D$477,MATCH($E1537,Section_Master!$A$2:$A$477,0))&amp;"","")</f>
        <v>Imprisonment up to 3 years, or fine, or both</v>
      </c>
      <c r="G1537" s="10" t="str">
        <f aca="false">IFERROR(INDEX(Section_Master!$E$2:$E$477,MATCH($E1537,Section_Master!$A$2:$A$477,0))&amp;"","")</f>
        <v>No</v>
      </c>
      <c r="H1537" s="10" t="str">
        <f aca="false">IFERROR(INDEX(Section_Master!$F$2:$F$477,MATCH($E1537,Section_Master!$A$2:$A$477,0))&amp;"","")</f>
        <v>Yes</v>
      </c>
      <c r="I1537" s="10" t="str">
        <f aca="false">IFERROR(INDEX(Section_Master!$G$2:$G$477,MATCH($E1537,Section_Master!$A$2:$A$477,0))&amp;"","")</f>
        <v>No</v>
      </c>
      <c r="J1537" s="10" t="s">
        <v>64</v>
      </c>
      <c r="K1537" s="8" t="s">
        <v>3623</v>
      </c>
    </row>
    <row r="1538" customFormat="false" ht="34.5" hidden="false" customHeight="true" outlineLevel="0" collapsed="false">
      <c r="A1538" s="10" t="s">
        <v>3634</v>
      </c>
      <c r="B1538" s="10" t="s">
        <v>45</v>
      </c>
      <c r="C1538" s="8" t="s">
        <v>3635</v>
      </c>
      <c r="D1538" s="8" t="s">
        <v>3636</v>
      </c>
      <c r="E1538" s="11" t="n">
        <v>257</v>
      </c>
      <c r="F1538" s="8" t="str">
        <f aca="false">IFERROR(INDEX(Section_Master!$D$2:$D$477,MATCH($E1538,Section_Master!$A$2:$A$477,0))&amp;"","")</f>
        <v>Imprisonment up to 7 years, or fine, or both</v>
      </c>
      <c r="G1538" s="10" t="str">
        <f aca="false">IFERROR(INDEX(Section_Master!$E$2:$E$477,MATCH($E1538,Section_Master!$A$2:$A$477,0))&amp;"","")</f>
        <v>No</v>
      </c>
      <c r="H1538" s="10" t="str">
        <f aca="false">IFERROR(INDEX(Section_Master!$F$2:$F$477,MATCH($E1538,Section_Master!$A$2:$A$477,0))&amp;"","")</f>
        <v>Yes</v>
      </c>
      <c r="I1538" s="10" t="str">
        <f aca="false">IFERROR(INDEX(Section_Master!$G$2:$G$477,MATCH($E1538,Section_Master!$A$2:$A$477,0))&amp;"","")</f>
        <v>No</v>
      </c>
      <c r="J1538" s="10" t="s">
        <v>48</v>
      </c>
      <c r="K1538" s="8" t="s">
        <v>3637</v>
      </c>
    </row>
    <row r="1539" customFormat="false" ht="34.5" hidden="false" customHeight="true" outlineLevel="0" collapsed="false">
      <c r="A1539" s="10" t="s">
        <v>3638</v>
      </c>
      <c r="B1539" s="10" t="s">
        <v>45</v>
      </c>
      <c r="C1539" s="8" t="s">
        <v>3635</v>
      </c>
      <c r="D1539" s="8" t="s">
        <v>3639</v>
      </c>
      <c r="E1539" s="11" t="n">
        <v>257</v>
      </c>
      <c r="F1539" s="8" t="str">
        <f aca="false">IFERROR(INDEX(Section_Master!$D$2:$D$477,MATCH($E1539,Section_Master!$A$2:$A$477,0))&amp;"","")</f>
        <v>Imprisonment up to 7 years, or fine, or both</v>
      </c>
      <c r="G1539" s="10" t="str">
        <f aca="false">IFERROR(INDEX(Section_Master!$E$2:$E$477,MATCH($E1539,Section_Master!$A$2:$A$477,0))&amp;"","")</f>
        <v>No</v>
      </c>
      <c r="H1539" s="10" t="str">
        <f aca="false">IFERROR(INDEX(Section_Master!$F$2:$F$477,MATCH($E1539,Section_Master!$A$2:$A$477,0))&amp;"","")</f>
        <v>Yes</v>
      </c>
      <c r="I1539" s="10" t="str">
        <f aca="false">IFERROR(INDEX(Section_Master!$G$2:$G$477,MATCH($E1539,Section_Master!$A$2:$A$477,0))&amp;"","")</f>
        <v>No</v>
      </c>
      <c r="J1539" s="10" t="s">
        <v>52</v>
      </c>
      <c r="K1539" s="8" t="s">
        <v>3637</v>
      </c>
    </row>
    <row r="1540" customFormat="false" ht="34.5" hidden="false" customHeight="true" outlineLevel="0" collapsed="false">
      <c r="A1540" s="10" t="s">
        <v>3640</v>
      </c>
      <c r="B1540" s="10" t="s">
        <v>45</v>
      </c>
      <c r="C1540" s="8" t="s">
        <v>3635</v>
      </c>
      <c r="D1540" s="8" t="s">
        <v>3641</v>
      </c>
      <c r="E1540" s="11" t="n">
        <v>257</v>
      </c>
      <c r="F1540" s="8" t="str">
        <f aca="false">IFERROR(INDEX(Section_Master!$D$2:$D$477,MATCH($E1540,Section_Master!$A$2:$A$477,0))&amp;"","")</f>
        <v>Imprisonment up to 7 years, or fine, or both</v>
      </c>
      <c r="G1540" s="10" t="str">
        <f aca="false">IFERROR(INDEX(Section_Master!$E$2:$E$477,MATCH($E1540,Section_Master!$A$2:$A$477,0))&amp;"","")</f>
        <v>No</v>
      </c>
      <c r="H1540" s="10" t="str">
        <f aca="false">IFERROR(INDEX(Section_Master!$F$2:$F$477,MATCH($E1540,Section_Master!$A$2:$A$477,0))&amp;"","")</f>
        <v>Yes</v>
      </c>
      <c r="I1540" s="10" t="str">
        <f aca="false">IFERROR(INDEX(Section_Master!$G$2:$G$477,MATCH($E1540,Section_Master!$A$2:$A$477,0))&amp;"","")</f>
        <v>No</v>
      </c>
      <c r="J1540" s="10" t="s">
        <v>55</v>
      </c>
      <c r="K1540" s="8" t="s">
        <v>3637</v>
      </c>
    </row>
    <row r="1541" customFormat="false" ht="34.5" hidden="false" customHeight="true" outlineLevel="0" collapsed="false">
      <c r="A1541" s="10" t="s">
        <v>3642</v>
      </c>
      <c r="B1541" s="10" t="s">
        <v>45</v>
      </c>
      <c r="C1541" s="8" t="s">
        <v>3635</v>
      </c>
      <c r="D1541" s="8" t="s">
        <v>3643</v>
      </c>
      <c r="E1541" s="11" t="n">
        <v>257</v>
      </c>
      <c r="F1541" s="8" t="str">
        <f aca="false">IFERROR(INDEX(Section_Master!$D$2:$D$477,MATCH($E1541,Section_Master!$A$2:$A$477,0))&amp;"","")</f>
        <v>Imprisonment up to 7 years, or fine, or both</v>
      </c>
      <c r="G1541" s="10" t="str">
        <f aca="false">IFERROR(INDEX(Section_Master!$E$2:$E$477,MATCH($E1541,Section_Master!$A$2:$A$477,0))&amp;"","")</f>
        <v>No</v>
      </c>
      <c r="H1541" s="10" t="str">
        <f aca="false">IFERROR(INDEX(Section_Master!$F$2:$F$477,MATCH($E1541,Section_Master!$A$2:$A$477,0))&amp;"","")</f>
        <v>Yes</v>
      </c>
      <c r="I1541" s="10" t="str">
        <f aca="false">IFERROR(INDEX(Section_Master!$G$2:$G$477,MATCH($E1541,Section_Master!$A$2:$A$477,0))&amp;"","")</f>
        <v>No</v>
      </c>
      <c r="J1541" s="10" t="s">
        <v>58</v>
      </c>
      <c r="K1541" s="8" t="s">
        <v>3637</v>
      </c>
    </row>
    <row r="1542" customFormat="false" ht="34.5" hidden="false" customHeight="true" outlineLevel="0" collapsed="false">
      <c r="A1542" s="10" t="s">
        <v>3644</v>
      </c>
      <c r="B1542" s="10" t="s">
        <v>45</v>
      </c>
      <c r="C1542" s="8" t="s">
        <v>3635</v>
      </c>
      <c r="D1542" s="8" t="s">
        <v>3645</v>
      </c>
      <c r="E1542" s="11" t="n">
        <v>257</v>
      </c>
      <c r="F1542" s="8" t="str">
        <f aca="false">IFERROR(INDEX(Section_Master!$D$2:$D$477,MATCH($E1542,Section_Master!$A$2:$A$477,0))&amp;"","")</f>
        <v>Imprisonment up to 7 years, or fine, or both</v>
      </c>
      <c r="G1542" s="10" t="str">
        <f aca="false">IFERROR(INDEX(Section_Master!$E$2:$E$477,MATCH($E1542,Section_Master!$A$2:$A$477,0))&amp;"","")</f>
        <v>No</v>
      </c>
      <c r="H1542" s="10" t="str">
        <f aca="false">IFERROR(INDEX(Section_Master!$F$2:$F$477,MATCH($E1542,Section_Master!$A$2:$A$477,0))&amp;"","")</f>
        <v>Yes</v>
      </c>
      <c r="I1542" s="10" t="str">
        <f aca="false">IFERROR(INDEX(Section_Master!$G$2:$G$477,MATCH($E1542,Section_Master!$A$2:$A$477,0))&amp;"","")</f>
        <v>No</v>
      </c>
      <c r="J1542" s="10" t="s">
        <v>61</v>
      </c>
      <c r="K1542" s="8" t="s">
        <v>3637</v>
      </c>
    </row>
    <row r="1543" customFormat="false" ht="34.5" hidden="false" customHeight="true" outlineLevel="0" collapsed="false">
      <c r="A1543" s="10" t="s">
        <v>3646</v>
      </c>
      <c r="B1543" s="10" t="s">
        <v>45</v>
      </c>
      <c r="C1543" s="8" t="s">
        <v>3635</v>
      </c>
      <c r="D1543" s="8" t="s">
        <v>3647</v>
      </c>
      <c r="E1543" s="11" t="n">
        <v>257</v>
      </c>
      <c r="F1543" s="8" t="str">
        <f aca="false">IFERROR(INDEX(Section_Master!$D$2:$D$477,MATCH($E1543,Section_Master!$A$2:$A$477,0))&amp;"","")</f>
        <v>Imprisonment up to 7 years, or fine, or both</v>
      </c>
      <c r="G1543" s="10" t="str">
        <f aca="false">IFERROR(INDEX(Section_Master!$E$2:$E$477,MATCH($E1543,Section_Master!$A$2:$A$477,0))&amp;"","")</f>
        <v>No</v>
      </c>
      <c r="H1543" s="10" t="str">
        <f aca="false">IFERROR(INDEX(Section_Master!$F$2:$F$477,MATCH($E1543,Section_Master!$A$2:$A$477,0))&amp;"","")</f>
        <v>Yes</v>
      </c>
      <c r="I1543" s="10" t="str">
        <f aca="false">IFERROR(INDEX(Section_Master!$G$2:$G$477,MATCH($E1543,Section_Master!$A$2:$A$477,0))&amp;"","")</f>
        <v>No</v>
      </c>
      <c r="J1543" s="10" t="s">
        <v>64</v>
      </c>
      <c r="K1543" s="8" t="s">
        <v>3637</v>
      </c>
    </row>
    <row r="1544" customFormat="false" ht="34.5" hidden="false" customHeight="true" outlineLevel="0" collapsed="false">
      <c r="A1544" s="10" t="s">
        <v>3648</v>
      </c>
      <c r="B1544" s="10" t="s">
        <v>45</v>
      </c>
      <c r="C1544" s="8" t="s">
        <v>3649</v>
      </c>
      <c r="D1544" s="8" t="s">
        <v>3650</v>
      </c>
      <c r="E1544" s="11" t="n">
        <v>258</v>
      </c>
      <c r="F1544" s="8" t="str">
        <f aca="false">IFERROR(INDEX(Section_Master!$D$2:$D$477,MATCH($E1544,Section_Master!$A$2:$A$477,0))&amp;"","")</f>
        <v>Imprisonment up to 7 years, or fine, or both</v>
      </c>
      <c r="G1544" s="10" t="str">
        <f aca="false">IFERROR(INDEX(Section_Master!$E$2:$E$477,MATCH($E1544,Section_Master!$A$2:$A$477,0))&amp;"","")</f>
        <v>No</v>
      </c>
      <c r="H1544" s="10" t="str">
        <f aca="false">IFERROR(INDEX(Section_Master!$F$2:$F$477,MATCH($E1544,Section_Master!$A$2:$A$477,0))&amp;"","")</f>
        <v>Yes</v>
      </c>
      <c r="I1544" s="10" t="str">
        <f aca="false">IFERROR(INDEX(Section_Master!$G$2:$G$477,MATCH($E1544,Section_Master!$A$2:$A$477,0))&amp;"","")</f>
        <v>No</v>
      </c>
      <c r="J1544" s="10" t="s">
        <v>48</v>
      </c>
      <c r="K1544" s="8" t="s">
        <v>3651</v>
      </c>
    </row>
    <row r="1545" customFormat="false" ht="34.5" hidden="false" customHeight="true" outlineLevel="0" collapsed="false">
      <c r="A1545" s="10" t="s">
        <v>3652</v>
      </c>
      <c r="B1545" s="10" t="s">
        <v>45</v>
      </c>
      <c r="C1545" s="8" t="s">
        <v>3649</v>
      </c>
      <c r="D1545" s="8" t="s">
        <v>3653</v>
      </c>
      <c r="E1545" s="11" t="n">
        <v>258</v>
      </c>
      <c r="F1545" s="8" t="str">
        <f aca="false">IFERROR(INDEX(Section_Master!$D$2:$D$477,MATCH($E1545,Section_Master!$A$2:$A$477,0))&amp;"","")</f>
        <v>Imprisonment up to 7 years, or fine, or both</v>
      </c>
      <c r="G1545" s="10" t="str">
        <f aca="false">IFERROR(INDEX(Section_Master!$E$2:$E$477,MATCH($E1545,Section_Master!$A$2:$A$477,0))&amp;"","")</f>
        <v>No</v>
      </c>
      <c r="H1545" s="10" t="str">
        <f aca="false">IFERROR(INDEX(Section_Master!$F$2:$F$477,MATCH($E1545,Section_Master!$A$2:$A$477,0))&amp;"","")</f>
        <v>Yes</v>
      </c>
      <c r="I1545" s="10" t="str">
        <f aca="false">IFERROR(INDEX(Section_Master!$G$2:$G$477,MATCH($E1545,Section_Master!$A$2:$A$477,0))&amp;"","")</f>
        <v>No</v>
      </c>
      <c r="J1545" s="10" t="s">
        <v>52</v>
      </c>
      <c r="K1545" s="8" t="s">
        <v>3651</v>
      </c>
    </row>
    <row r="1546" customFormat="false" ht="34.5" hidden="false" customHeight="true" outlineLevel="0" collapsed="false">
      <c r="A1546" s="10" t="s">
        <v>3654</v>
      </c>
      <c r="B1546" s="10" t="s">
        <v>45</v>
      </c>
      <c r="C1546" s="8" t="s">
        <v>3649</v>
      </c>
      <c r="D1546" s="8" t="s">
        <v>3655</v>
      </c>
      <c r="E1546" s="11" t="n">
        <v>258</v>
      </c>
      <c r="F1546" s="8" t="str">
        <f aca="false">IFERROR(INDEX(Section_Master!$D$2:$D$477,MATCH($E1546,Section_Master!$A$2:$A$477,0))&amp;"","")</f>
        <v>Imprisonment up to 7 years, or fine, or both</v>
      </c>
      <c r="G1546" s="10" t="str">
        <f aca="false">IFERROR(INDEX(Section_Master!$E$2:$E$477,MATCH($E1546,Section_Master!$A$2:$A$477,0))&amp;"","")</f>
        <v>No</v>
      </c>
      <c r="H1546" s="10" t="str">
        <f aca="false">IFERROR(INDEX(Section_Master!$F$2:$F$477,MATCH($E1546,Section_Master!$A$2:$A$477,0))&amp;"","")</f>
        <v>Yes</v>
      </c>
      <c r="I1546" s="10" t="str">
        <f aca="false">IFERROR(INDEX(Section_Master!$G$2:$G$477,MATCH($E1546,Section_Master!$A$2:$A$477,0))&amp;"","")</f>
        <v>No</v>
      </c>
      <c r="J1546" s="10" t="s">
        <v>55</v>
      </c>
      <c r="K1546" s="8" t="s">
        <v>3651</v>
      </c>
    </row>
    <row r="1547" customFormat="false" ht="34.5" hidden="false" customHeight="true" outlineLevel="0" collapsed="false">
      <c r="A1547" s="10" t="s">
        <v>3656</v>
      </c>
      <c r="B1547" s="10" t="s">
        <v>45</v>
      </c>
      <c r="C1547" s="8" t="s">
        <v>3649</v>
      </c>
      <c r="D1547" s="8" t="s">
        <v>3657</v>
      </c>
      <c r="E1547" s="11" t="n">
        <v>258</v>
      </c>
      <c r="F1547" s="8" t="str">
        <f aca="false">IFERROR(INDEX(Section_Master!$D$2:$D$477,MATCH($E1547,Section_Master!$A$2:$A$477,0))&amp;"","")</f>
        <v>Imprisonment up to 7 years, or fine, or both</v>
      </c>
      <c r="G1547" s="10" t="str">
        <f aca="false">IFERROR(INDEX(Section_Master!$E$2:$E$477,MATCH($E1547,Section_Master!$A$2:$A$477,0))&amp;"","")</f>
        <v>No</v>
      </c>
      <c r="H1547" s="10" t="str">
        <f aca="false">IFERROR(INDEX(Section_Master!$F$2:$F$477,MATCH($E1547,Section_Master!$A$2:$A$477,0))&amp;"","")</f>
        <v>Yes</v>
      </c>
      <c r="I1547" s="10" t="str">
        <f aca="false">IFERROR(INDEX(Section_Master!$G$2:$G$477,MATCH($E1547,Section_Master!$A$2:$A$477,0))&amp;"","")</f>
        <v>No</v>
      </c>
      <c r="J1547" s="10" t="s">
        <v>58</v>
      </c>
      <c r="K1547" s="8" t="s">
        <v>3651</v>
      </c>
    </row>
    <row r="1548" customFormat="false" ht="34.5" hidden="false" customHeight="true" outlineLevel="0" collapsed="false">
      <c r="A1548" s="10" t="s">
        <v>3658</v>
      </c>
      <c r="B1548" s="10" t="s">
        <v>45</v>
      </c>
      <c r="C1548" s="8" t="s">
        <v>3649</v>
      </c>
      <c r="D1548" s="8" t="s">
        <v>3659</v>
      </c>
      <c r="E1548" s="11" t="n">
        <v>258</v>
      </c>
      <c r="F1548" s="8" t="str">
        <f aca="false">IFERROR(INDEX(Section_Master!$D$2:$D$477,MATCH($E1548,Section_Master!$A$2:$A$477,0))&amp;"","")</f>
        <v>Imprisonment up to 7 years, or fine, or both</v>
      </c>
      <c r="G1548" s="10" t="str">
        <f aca="false">IFERROR(INDEX(Section_Master!$E$2:$E$477,MATCH($E1548,Section_Master!$A$2:$A$477,0))&amp;"","")</f>
        <v>No</v>
      </c>
      <c r="H1548" s="10" t="str">
        <f aca="false">IFERROR(INDEX(Section_Master!$F$2:$F$477,MATCH($E1548,Section_Master!$A$2:$A$477,0))&amp;"","")</f>
        <v>Yes</v>
      </c>
      <c r="I1548" s="10" t="str">
        <f aca="false">IFERROR(INDEX(Section_Master!$G$2:$G$477,MATCH($E1548,Section_Master!$A$2:$A$477,0))&amp;"","")</f>
        <v>No</v>
      </c>
      <c r="J1548" s="10" t="s">
        <v>61</v>
      </c>
      <c r="K1548" s="8" t="s">
        <v>3651</v>
      </c>
    </row>
    <row r="1549" customFormat="false" ht="34.5" hidden="false" customHeight="true" outlineLevel="0" collapsed="false">
      <c r="A1549" s="10" t="s">
        <v>3660</v>
      </c>
      <c r="B1549" s="10" t="s">
        <v>45</v>
      </c>
      <c r="C1549" s="8" t="s">
        <v>3649</v>
      </c>
      <c r="D1549" s="8" t="s">
        <v>3661</v>
      </c>
      <c r="E1549" s="11" t="n">
        <v>258</v>
      </c>
      <c r="F1549" s="8" t="str">
        <f aca="false">IFERROR(INDEX(Section_Master!$D$2:$D$477,MATCH($E1549,Section_Master!$A$2:$A$477,0))&amp;"","")</f>
        <v>Imprisonment up to 7 years, or fine, or both</v>
      </c>
      <c r="G1549" s="10" t="str">
        <f aca="false">IFERROR(INDEX(Section_Master!$E$2:$E$477,MATCH($E1549,Section_Master!$A$2:$A$477,0))&amp;"","")</f>
        <v>No</v>
      </c>
      <c r="H1549" s="10" t="str">
        <f aca="false">IFERROR(INDEX(Section_Master!$F$2:$F$477,MATCH($E1549,Section_Master!$A$2:$A$477,0))&amp;"","")</f>
        <v>Yes</v>
      </c>
      <c r="I1549" s="10" t="str">
        <f aca="false">IFERROR(INDEX(Section_Master!$G$2:$G$477,MATCH($E1549,Section_Master!$A$2:$A$477,0))&amp;"","")</f>
        <v>No</v>
      </c>
      <c r="J1549" s="10" t="s">
        <v>64</v>
      </c>
      <c r="K1549" s="8" t="s">
        <v>3651</v>
      </c>
    </row>
    <row r="1550" customFormat="false" ht="34.5" hidden="false" customHeight="true" outlineLevel="0" collapsed="false">
      <c r="A1550" s="10" t="s">
        <v>3662</v>
      </c>
      <c r="B1550" s="10" t="s">
        <v>45</v>
      </c>
      <c r="C1550" s="8" t="s">
        <v>3663</v>
      </c>
      <c r="D1550" s="8" t="s">
        <v>3664</v>
      </c>
      <c r="E1550" s="11" t="n">
        <v>259</v>
      </c>
      <c r="F1550" s="8" t="str">
        <f aca="false">IFERROR(INDEX(Section_Master!$D$2:$D$477,MATCH($E1550,Section_Master!$A$2:$A$477,0))&amp;"","")</f>
        <v>Up to 7 years and fine (capital offence); up to 3 years and fine (other offences) [s.259]</v>
      </c>
      <c r="G1550" s="10" t="str">
        <f aca="false">IFERROR(INDEX(Section_Master!$E$2:$E$477,MATCH($E1550,Section_Master!$A$2:$A$477,0))&amp;"","")</f>
        <v>No</v>
      </c>
      <c r="H1550" s="10" t="str">
        <f aca="false">IFERROR(INDEX(Section_Master!$F$2:$F$477,MATCH($E1550,Section_Master!$A$2:$A$477,0))&amp;"","")</f>
        <v>Varies by sub-section</v>
      </c>
      <c r="I1550" s="10" t="str">
        <f aca="false">IFERROR(INDEX(Section_Master!$G$2:$G$477,MATCH($E1550,Section_Master!$A$2:$A$477,0))&amp;"","")</f>
        <v>No</v>
      </c>
      <c r="J1550" s="10" t="s">
        <v>48</v>
      </c>
      <c r="K1550" s="8" t="s">
        <v>3665</v>
      </c>
    </row>
    <row r="1551" customFormat="false" ht="45.75" hidden="false" customHeight="true" outlineLevel="0" collapsed="false">
      <c r="A1551" s="10" t="s">
        <v>3666</v>
      </c>
      <c r="B1551" s="10" t="s">
        <v>45</v>
      </c>
      <c r="C1551" s="8" t="s">
        <v>3663</v>
      </c>
      <c r="D1551" s="8" t="s">
        <v>3667</v>
      </c>
      <c r="E1551" s="11" t="n">
        <v>259</v>
      </c>
      <c r="F1551" s="8" t="str">
        <f aca="false">IFERROR(INDEX(Section_Master!$D$2:$D$477,MATCH($E1551,Section_Master!$A$2:$A$477,0))&amp;"","")</f>
        <v>Up to 7 years and fine (capital offence); up to 3 years and fine (other offences) [s.259]</v>
      </c>
      <c r="G1551" s="10" t="str">
        <f aca="false">IFERROR(INDEX(Section_Master!$E$2:$E$477,MATCH($E1551,Section_Master!$A$2:$A$477,0))&amp;"","")</f>
        <v>No</v>
      </c>
      <c r="H1551" s="10" t="str">
        <f aca="false">IFERROR(INDEX(Section_Master!$F$2:$F$477,MATCH($E1551,Section_Master!$A$2:$A$477,0))&amp;"","")</f>
        <v>Varies by sub-section</v>
      </c>
      <c r="I1551" s="10" t="str">
        <f aca="false">IFERROR(INDEX(Section_Master!$G$2:$G$477,MATCH($E1551,Section_Master!$A$2:$A$477,0))&amp;"","")</f>
        <v>No</v>
      </c>
      <c r="J1551" s="10" t="s">
        <v>52</v>
      </c>
      <c r="K1551" s="8" t="s">
        <v>3665</v>
      </c>
    </row>
    <row r="1552" customFormat="false" ht="34.5" hidden="false" customHeight="true" outlineLevel="0" collapsed="false">
      <c r="A1552" s="10" t="s">
        <v>3668</v>
      </c>
      <c r="B1552" s="10" t="s">
        <v>45</v>
      </c>
      <c r="C1552" s="8" t="s">
        <v>3663</v>
      </c>
      <c r="D1552" s="8" t="s">
        <v>3669</v>
      </c>
      <c r="E1552" s="11" t="n">
        <v>259</v>
      </c>
      <c r="F1552" s="8" t="str">
        <f aca="false">IFERROR(INDEX(Section_Master!$D$2:$D$477,MATCH($E1552,Section_Master!$A$2:$A$477,0))&amp;"","")</f>
        <v>Up to 7 years and fine (capital offence); up to 3 years and fine (other offences) [s.259]</v>
      </c>
      <c r="G1552" s="10" t="str">
        <f aca="false">IFERROR(INDEX(Section_Master!$E$2:$E$477,MATCH($E1552,Section_Master!$A$2:$A$477,0))&amp;"","")</f>
        <v>No</v>
      </c>
      <c r="H1552" s="10" t="str">
        <f aca="false">IFERROR(INDEX(Section_Master!$F$2:$F$477,MATCH($E1552,Section_Master!$A$2:$A$477,0))&amp;"","")</f>
        <v>Varies by sub-section</v>
      </c>
      <c r="I1552" s="10" t="str">
        <f aca="false">IFERROR(INDEX(Section_Master!$G$2:$G$477,MATCH($E1552,Section_Master!$A$2:$A$477,0))&amp;"","")</f>
        <v>No</v>
      </c>
      <c r="J1552" s="10" t="s">
        <v>55</v>
      </c>
      <c r="K1552" s="8" t="s">
        <v>3665</v>
      </c>
    </row>
    <row r="1553" customFormat="false" ht="34.5" hidden="false" customHeight="true" outlineLevel="0" collapsed="false">
      <c r="A1553" s="10" t="s">
        <v>3670</v>
      </c>
      <c r="B1553" s="10" t="s">
        <v>45</v>
      </c>
      <c r="C1553" s="8" t="s">
        <v>3663</v>
      </c>
      <c r="D1553" s="8" t="s">
        <v>3671</v>
      </c>
      <c r="E1553" s="11" t="n">
        <v>259</v>
      </c>
      <c r="F1553" s="8" t="str">
        <f aca="false">IFERROR(INDEX(Section_Master!$D$2:$D$477,MATCH($E1553,Section_Master!$A$2:$A$477,0))&amp;"","")</f>
        <v>Up to 7 years and fine (capital offence); up to 3 years and fine (other offences) [s.259]</v>
      </c>
      <c r="G1553" s="10" t="str">
        <f aca="false">IFERROR(INDEX(Section_Master!$E$2:$E$477,MATCH($E1553,Section_Master!$A$2:$A$477,0))&amp;"","")</f>
        <v>No</v>
      </c>
      <c r="H1553" s="10" t="str">
        <f aca="false">IFERROR(INDEX(Section_Master!$F$2:$F$477,MATCH($E1553,Section_Master!$A$2:$A$477,0))&amp;"","")</f>
        <v>Varies by sub-section</v>
      </c>
      <c r="I1553" s="10" t="str">
        <f aca="false">IFERROR(INDEX(Section_Master!$G$2:$G$477,MATCH($E1553,Section_Master!$A$2:$A$477,0))&amp;"","")</f>
        <v>No</v>
      </c>
      <c r="J1553" s="10" t="s">
        <v>58</v>
      </c>
      <c r="K1553" s="8" t="s">
        <v>3665</v>
      </c>
    </row>
    <row r="1554" customFormat="false" ht="34.5" hidden="false" customHeight="true" outlineLevel="0" collapsed="false">
      <c r="A1554" s="10" t="s">
        <v>3672</v>
      </c>
      <c r="B1554" s="10" t="s">
        <v>45</v>
      </c>
      <c r="C1554" s="8" t="s">
        <v>3663</v>
      </c>
      <c r="D1554" s="8" t="s">
        <v>3673</v>
      </c>
      <c r="E1554" s="11" t="n">
        <v>259</v>
      </c>
      <c r="F1554" s="8" t="str">
        <f aca="false">IFERROR(INDEX(Section_Master!$D$2:$D$477,MATCH($E1554,Section_Master!$A$2:$A$477,0))&amp;"","")</f>
        <v>Up to 7 years and fine (capital offence); up to 3 years and fine (other offences) [s.259]</v>
      </c>
      <c r="G1554" s="10" t="str">
        <f aca="false">IFERROR(INDEX(Section_Master!$E$2:$E$477,MATCH($E1554,Section_Master!$A$2:$A$477,0))&amp;"","")</f>
        <v>No</v>
      </c>
      <c r="H1554" s="10" t="str">
        <f aca="false">IFERROR(INDEX(Section_Master!$F$2:$F$477,MATCH($E1554,Section_Master!$A$2:$A$477,0))&amp;"","")</f>
        <v>Varies by sub-section</v>
      </c>
      <c r="I1554" s="10" t="str">
        <f aca="false">IFERROR(INDEX(Section_Master!$G$2:$G$477,MATCH($E1554,Section_Master!$A$2:$A$477,0))&amp;"","")</f>
        <v>No</v>
      </c>
      <c r="J1554" s="10" t="s">
        <v>61</v>
      </c>
      <c r="K1554" s="8" t="s">
        <v>3665</v>
      </c>
    </row>
    <row r="1555" customFormat="false" ht="34.5" hidden="false" customHeight="true" outlineLevel="0" collapsed="false">
      <c r="A1555" s="10" t="s">
        <v>3674</v>
      </c>
      <c r="B1555" s="10" t="s">
        <v>45</v>
      </c>
      <c r="C1555" s="8" t="s">
        <v>3663</v>
      </c>
      <c r="D1555" s="8" t="s">
        <v>3675</v>
      </c>
      <c r="E1555" s="11" t="n">
        <v>259</v>
      </c>
      <c r="F1555" s="8" t="str">
        <f aca="false">IFERROR(INDEX(Section_Master!$D$2:$D$477,MATCH($E1555,Section_Master!$A$2:$A$477,0))&amp;"","")</f>
        <v>Up to 7 years and fine (capital offence); up to 3 years and fine (other offences) [s.259]</v>
      </c>
      <c r="G1555" s="10" t="str">
        <f aca="false">IFERROR(INDEX(Section_Master!$E$2:$E$477,MATCH($E1555,Section_Master!$A$2:$A$477,0))&amp;"","")</f>
        <v>No</v>
      </c>
      <c r="H1555" s="10" t="str">
        <f aca="false">IFERROR(INDEX(Section_Master!$F$2:$F$477,MATCH($E1555,Section_Master!$A$2:$A$477,0))&amp;"","")</f>
        <v>Varies by sub-section</v>
      </c>
      <c r="I1555" s="10" t="str">
        <f aca="false">IFERROR(INDEX(Section_Master!$G$2:$G$477,MATCH($E1555,Section_Master!$A$2:$A$477,0))&amp;"","")</f>
        <v>No</v>
      </c>
      <c r="J1555" s="10" t="s">
        <v>64</v>
      </c>
      <c r="K1555" s="8" t="s">
        <v>3665</v>
      </c>
    </row>
    <row r="1556" customFormat="false" ht="34.5" hidden="false" customHeight="true" outlineLevel="0" collapsed="false">
      <c r="A1556" s="10" t="s">
        <v>3676</v>
      </c>
      <c r="B1556" s="10" t="s">
        <v>45</v>
      </c>
      <c r="C1556" s="8" t="s">
        <v>3677</v>
      </c>
      <c r="D1556" s="8" t="s">
        <v>3678</v>
      </c>
      <c r="E1556" s="11" t="n">
        <v>260</v>
      </c>
      <c r="F1556" s="8" t="str">
        <f aca="false">IFERROR(INDEX(Section_Master!$D$2:$D$477,MATCH($E1556,Section_Master!$A$2:$A$477,0))&amp;"","")</f>
        <v>Up to life imprisonment or 14 years and fine (capital sentence); up to 7 years or 3 years and fine otherwise [s.260]</v>
      </c>
      <c r="G1556" s="10" t="str">
        <f aca="false">IFERROR(INDEX(Section_Master!$E$2:$E$477,MATCH($E1556,Section_Master!$A$2:$A$477,0))&amp;"","")</f>
        <v>No</v>
      </c>
      <c r="H1556" s="10" t="str">
        <f aca="false">IFERROR(INDEX(Section_Master!$F$2:$F$477,MATCH($E1556,Section_Master!$A$2:$A$477,0))&amp;"","")</f>
        <v>Varies by sub-section</v>
      </c>
      <c r="I1556" s="10" t="str">
        <f aca="false">IFERROR(INDEX(Section_Master!$G$2:$G$477,MATCH($E1556,Section_Master!$A$2:$A$477,0))&amp;"","")</f>
        <v>No</v>
      </c>
      <c r="J1556" s="10" t="s">
        <v>48</v>
      </c>
      <c r="K1556" s="8" t="s">
        <v>3679</v>
      </c>
    </row>
    <row r="1557" customFormat="false" ht="45.75" hidden="false" customHeight="true" outlineLevel="0" collapsed="false">
      <c r="A1557" s="10" t="s">
        <v>3680</v>
      </c>
      <c r="B1557" s="10" t="s">
        <v>45</v>
      </c>
      <c r="C1557" s="8" t="s">
        <v>3677</v>
      </c>
      <c r="D1557" s="8" t="s">
        <v>3681</v>
      </c>
      <c r="E1557" s="11" t="n">
        <v>260</v>
      </c>
      <c r="F1557" s="8" t="str">
        <f aca="false">IFERROR(INDEX(Section_Master!$D$2:$D$477,MATCH($E1557,Section_Master!$A$2:$A$477,0))&amp;"","")</f>
        <v>Up to life imprisonment or 14 years and fine (capital sentence); up to 7 years or 3 years and fine otherwise [s.260]</v>
      </c>
      <c r="G1557" s="10" t="str">
        <f aca="false">IFERROR(INDEX(Section_Master!$E$2:$E$477,MATCH($E1557,Section_Master!$A$2:$A$477,0))&amp;"","")</f>
        <v>No</v>
      </c>
      <c r="H1557" s="10" t="str">
        <f aca="false">IFERROR(INDEX(Section_Master!$F$2:$F$477,MATCH($E1557,Section_Master!$A$2:$A$477,0))&amp;"","")</f>
        <v>Varies by sub-section</v>
      </c>
      <c r="I1557" s="10" t="str">
        <f aca="false">IFERROR(INDEX(Section_Master!$G$2:$G$477,MATCH($E1557,Section_Master!$A$2:$A$477,0))&amp;"","")</f>
        <v>No</v>
      </c>
      <c r="J1557" s="10" t="s">
        <v>52</v>
      </c>
      <c r="K1557" s="8" t="s">
        <v>3679</v>
      </c>
    </row>
    <row r="1558" customFormat="false" ht="34.5" hidden="false" customHeight="true" outlineLevel="0" collapsed="false">
      <c r="A1558" s="10" t="s">
        <v>3682</v>
      </c>
      <c r="B1558" s="10" t="s">
        <v>45</v>
      </c>
      <c r="C1558" s="8" t="s">
        <v>3677</v>
      </c>
      <c r="D1558" s="8" t="s">
        <v>3683</v>
      </c>
      <c r="E1558" s="11" t="n">
        <v>260</v>
      </c>
      <c r="F1558" s="8" t="str">
        <f aca="false">IFERROR(INDEX(Section_Master!$D$2:$D$477,MATCH($E1558,Section_Master!$A$2:$A$477,0))&amp;"","")</f>
        <v>Up to life imprisonment or 14 years and fine (capital sentence); up to 7 years or 3 years and fine otherwise [s.260]</v>
      </c>
      <c r="G1558" s="10" t="str">
        <f aca="false">IFERROR(INDEX(Section_Master!$E$2:$E$477,MATCH($E1558,Section_Master!$A$2:$A$477,0))&amp;"","")</f>
        <v>No</v>
      </c>
      <c r="H1558" s="10" t="str">
        <f aca="false">IFERROR(INDEX(Section_Master!$F$2:$F$477,MATCH($E1558,Section_Master!$A$2:$A$477,0))&amp;"","")</f>
        <v>Varies by sub-section</v>
      </c>
      <c r="I1558" s="10" t="str">
        <f aca="false">IFERROR(INDEX(Section_Master!$G$2:$G$477,MATCH($E1558,Section_Master!$A$2:$A$477,0))&amp;"","")</f>
        <v>No</v>
      </c>
      <c r="J1558" s="10" t="s">
        <v>55</v>
      </c>
      <c r="K1558" s="8" t="s">
        <v>3679</v>
      </c>
    </row>
    <row r="1559" customFormat="false" ht="34.5" hidden="false" customHeight="true" outlineLevel="0" collapsed="false">
      <c r="A1559" s="10" t="s">
        <v>3684</v>
      </c>
      <c r="B1559" s="10" t="s">
        <v>45</v>
      </c>
      <c r="C1559" s="8" t="s">
        <v>3677</v>
      </c>
      <c r="D1559" s="8" t="s">
        <v>3685</v>
      </c>
      <c r="E1559" s="11" t="n">
        <v>260</v>
      </c>
      <c r="F1559" s="8" t="str">
        <f aca="false">IFERROR(INDEX(Section_Master!$D$2:$D$477,MATCH($E1559,Section_Master!$A$2:$A$477,0))&amp;"","")</f>
        <v>Up to life imprisonment or 14 years and fine (capital sentence); up to 7 years or 3 years and fine otherwise [s.260]</v>
      </c>
      <c r="G1559" s="10" t="str">
        <f aca="false">IFERROR(INDEX(Section_Master!$E$2:$E$477,MATCH($E1559,Section_Master!$A$2:$A$477,0))&amp;"","")</f>
        <v>No</v>
      </c>
      <c r="H1559" s="10" t="str">
        <f aca="false">IFERROR(INDEX(Section_Master!$F$2:$F$477,MATCH($E1559,Section_Master!$A$2:$A$477,0))&amp;"","")</f>
        <v>Varies by sub-section</v>
      </c>
      <c r="I1559" s="10" t="str">
        <f aca="false">IFERROR(INDEX(Section_Master!$G$2:$G$477,MATCH($E1559,Section_Master!$A$2:$A$477,0))&amp;"","")</f>
        <v>No</v>
      </c>
      <c r="J1559" s="10" t="s">
        <v>58</v>
      </c>
      <c r="K1559" s="8" t="s">
        <v>3679</v>
      </c>
    </row>
    <row r="1560" customFormat="false" ht="34.5" hidden="false" customHeight="true" outlineLevel="0" collapsed="false">
      <c r="A1560" s="10" t="s">
        <v>3686</v>
      </c>
      <c r="B1560" s="10" t="s">
        <v>45</v>
      </c>
      <c r="C1560" s="8" t="s">
        <v>3677</v>
      </c>
      <c r="D1560" s="8" t="s">
        <v>3687</v>
      </c>
      <c r="E1560" s="11" t="n">
        <v>260</v>
      </c>
      <c r="F1560" s="8" t="str">
        <f aca="false">IFERROR(INDEX(Section_Master!$D$2:$D$477,MATCH($E1560,Section_Master!$A$2:$A$477,0))&amp;"","")</f>
        <v>Up to life imprisonment or 14 years and fine (capital sentence); up to 7 years or 3 years and fine otherwise [s.260]</v>
      </c>
      <c r="G1560" s="10" t="str">
        <f aca="false">IFERROR(INDEX(Section_Master!$E$2:$E$477,MATCH($E1560,Section_Master!$A$2:$A$477,0))&amp;"","")</f>
        <v>No</v>
      </c>
      <c r="H1560" s="10" t="str">
        <f aca="false">IFERROR(INDEX(Section_Master!$F$2:$F$477,MATCH($E1560,Section_Master!$A$2:$A$477,0))&amp;"","")</f>
        <v>Varies by sub-section</v>
      </c>
      <c r="I1560" s="10" t="str">
        <f aca="false">IFERROR(INDEX(Section_Master!$G$2:$G$477,MATCH($E1560,Section_Master!$A$2:$A$477,0))&amp;"","")</f>
        <v>No</v>
      </c>
      <c r="J1560" s="10" t="s">
        <v>61</v>
      </c>
      <c r="K1560" s="8" t="s">
        <v>3679</v>
      </c>
    </row>
    <row r="1561" customFormat="false" ht="34.5" hidden="false" customHeight="true" outlineLevel="0" collapsed="false">
      <c r="A1561" s="10" t="s">
        <v>3688</v>
      </c>
      <c r="B1561" s="10" t="s">
        <v>45</v>
      </c>
      <c r="C1561" s="8" t="s">
        <v>3677</v>
      </c>
      <c r="D1561" s="8" t="s">
        <v>3689</v>
      </c>
      <c r="E1561" s="11" t="n">
        <v>260</v>
      </c>
      <c r="F1561" s="8" t="str">
        <f aca="false">IFERROR(INDEX(Section_Master!$D$2:$D$477,MATCH($E1561,Section_Master!$A$2:$A$477,0))&amp;"","")</f>
        <v>Up to life imprisonment or 14 years and fine (capital sentence); up to 7 years or 3 years and fine otherwise [s.260]</v>
      </c>
      <c r="G1561" s="10" t="str">
        <f aca="false">IFERROR(INDEX(Section_Master!$E$2:$E$477,MATCH($E1561,Section_Master!$A$2:$A$477,0))&amp;"","")</f>
        <v>No</v>
      </c>
      <c r="H1561" s="10" t="str">
        <f aca="false">IFERROR(INDEX(Section_Master!$F$2:$F$477,MATCH($E1561,Section_Master!$A$2:$A$477,0))&amp;"","")</f>
        <v>Varies by sub-section</v>
      </c>
      <c r="I1561" s="10" t="str">
        <f aca="false">IFERROR(INDEX(Section_Master!$G$2:$G$477,MATCH($E1561,Section_Master!$A$2:$A$477,0))&amp;"","")</f>
        <v>No</v>
      </c>
      <c r="J1561" s="10" t="s">
        <v>64</v>
      </c>
      <c r="K1561" s="8" t="s">
        <v>3679</v>
      </c>
    </row>
    <row r="1562" customFormat="false" ht="34.5" hidden="false" customHeight="true" outlineLevel="0" collapsed="false">
      <c r="A1562" s="10" t="s">
        <v>3690</v>
      </c>
      <c r="B1562" s="10" t="s">
        <v>45</v>
      </c>
      <c r="C1562" s="8" t="s">
        <v>3691</v>
      </c>
      <c r="D1562" s="8" t="s">
        <v>3692</v>
      </c>
      <c r="E1562" s="11" t="n">
        <v>261</v>
      </c>
      <c r="F1562" s="8" t="str">
        <f aca="false">IFERROR(INDEX(Section_Master!$D$2:$D$477,MATCH($E1562,Section_Master!$A$2:$A$477,0))&amp;"","")</f>
        <v>Simple imprisonment up to 2 years and fine</v>
      </c>
      <c r="G1562" s="10" t="str">
        <f aca="false">IFERROR(INDEX(Section_Master!$E$2:$E$477,MATCH($E1562,Section_Master!$A$2:$A$477,0))&amp;"","")</f>
        <v>No</v>
      </c>
      <c r="H1562" s="10" t="str">
        <f aca="false">IFERROR(INDEX(Section_Master!$F$2:$F$477,MATCH($E1562,Section_Master!$A$2:$A$477,0))&amp;"","")</f>
        <v>Yes</v>
      </c>
      <c r="I1562" s="10" t="str">
        <f aca="false">IFERROR(INDEX(Section_Master!$G$2:$G$477,MATCH($E1562,Section_Master!$A$2:$A$477,0))&amp;"","")</f>
        <v>No</v>
      </c>
      <c r="J1562" s="10" t="s">
        <v>48</v>
      </c>
      <c r="K1562" s="8" t="s">
        <v>3693</v>
      </c>
    </row>
    <row r="1563" customFormat="false" ht="34.5" hidden="false" customHeight="true" outlineLevel="0" collapsed="false">
      <c r="A1563" s="10" t="s">
        <v>3694</v>
      </c>
      <c r="B1563" s="10" t="s">
        <v>45</v>
      </c>
      <c r="C1563" s="8" t="s">
        <v>3691</v>
      </c>
      <c r="D1563" s="8" t="s">
        <v>3695</v>
      </c>
      <c r="E1563" s="11" t="n">
        <v>261</v>
      </c>
      <c r="F1563" s="8" t="str">
        <f aca="false">IFERROR(INDEX(Section_Master!$D$2:$D$477,MATCH($E1563,Section_Master!$A$2:$A$477,0))&amp;"","")</f>
        <v>Simple imprisonment up to 2 years and fine</v>
      </c>
      <c r="G1563" s="10" t="str">
        <f aca="false">IFERROR(INDEX(Section_Master!$E$2:$E$477,MATCH($E1563,Section_Master!$A$2:$A$477,0))&amp;"","")</f>
        <v>No</v>
      </c>
      <c r="H1563" s="10" t="str">
        <f aca="false">IFERROR(INDEX(Section_Master!$F$2:$F$477,MATCH($E1563,Section_Master!$A$2:$A$477,0))&amp;"","")</f>
        <v>Yes</v>
      </c>
      <c r="I1563" s="10" t="str">
        <f aca="false">IFERROR(INDEX(Section_Master!$G$2:$G$477,MATCH($E1563,Section_Master!$A$2:$A$477,0))&amp;"","")</f>
        <v>No</v>
      </c>
      <c r="J1563" s="10" t="s">
        <v>52</v>
      </c>
      <c r="K1563" s="8" t="s">
        <v>3693</v>
      </c>
    </row>
    <row r="1564" customFormat="false" ht="34.5" hidden="false" customHeight="true" outlineLevel="0" collapsed="false">
      <c r="A1564" s="10" t="s">
        <v>3696</v>
      </c>
      <c r="B1564" s="10" t="s">
        <v>45</v>
      </c>
      <c r="C1564" s="8" t="s">
        <v>3691</v>
      </c>
      <c r="D1564" s="8" t="s">
        <v>3697</v>
      </c>
      <c r="E1564" s="11" t="n">
        <v>261</v>
      </c>
      <c r="F1564" s="8" t="str">
        <f aca="false">IFERROR(INDEX(Section_Master!$D$2:$D$477,MATCH($E1564,Section_Master!$A$2:$A$477,0))&amp;"","")</f>
        <v>Simple imprisonment up to 2 years and fine</v>
      </c>
      <c r="G1564" s="10" t="str">
        <f aca="false">IFERROR(INDEX(Section_Master!$E$2:$E$477,MATCH($E1564,Section_Master!$A$2:$A$477,0))&amp;"","")</f>
        <v>No</v>
      </c>
      <c r="H1564" s="10" t="str">
        <f aca="false">IFERROR(INDEX(Section_Master!$F$2:$F$477,MATCH($E1564,Section_Master!$A$2:$A$477,0))&amp;"","")</f>
        <v>Yes</v>
      </c>
      <c r="I1564" s="10" t="str">
        <f aca="false">IFERROR(INDEX(Section_Master!$G$2:$G$477,MATCH($E1564,Section_Master!$A$2:$A$477,0))&amp;"","")</f>
        <v>No</v>
      </c>
      <c r="J1564" s="10" t="s">
        <v>55</v>
      </c>
      <c r="K1564" s="8" t="s">
        <v>3693</v>
      </c>
    </row>
    <row r="1565" customFormat="false" ht="23.25" hidden="false" customHeight="true" outlineLevel="0" collapsed="false">
      <c r="A1565" s="10" t="s">
        <v>3698</v>
      </c>
      <c r="B1565" s="10" t="s">
        <v>45</v>
      </c>
      <c r="C1565" s="8" t="s">
        <v>3691</v>
      </c>
      <c r="D1565" s="8" t="s">
        <v>3699</v>
      </c>
      <c r="E1565" s="11" t="n">
        <v>261</v>
      </c>
      <c r="F1565" s="8" t="str">
        <f aca="false">IFERROR(INDEX(Section_Master!$D$2:$D$477,MATCH($E1565,Section_Master!$A$2:$A$477,0))&amp;"","")</f>
        <v>Simple imprisonment up to 2 years and fine</v>
      </c>
      <c r="G1565" s="10" t="str">
        <f aca="false">IFERROR(INDEX(Section_Master!$E$2:$E$477,MATCH($E1565,Section_Master!$A$2:$A$477,0))&amp;"","")</f>
        <v>No</v>
      </c>
      <c r="H1565" s="10" t="str">
        <f aca="false">IFERROR(INDEX(Section_Master!$F$2:$F$477,MATCH($E1565,Section_Master!$A$2:$A$477,0))&amp;"","")</f>
        <v>Yes</v>
      </c>
      <c r="I1565" s="10" t="str">
        <f aca="false">IFERROR(INDEX(Section_Master!$G$2:$G$477,MATCH($E1565,Section_Master!$A$2:$A$477,0))&amp;"","")</f>
        <v>No</v>
      </c>
      <c r="J1565" s="10" t="s">
        <v>58</v>
      </c>
      <c r="K1565" s="8" t="s">
        <v>3693</v>
      </c>
    </row>
    <row r="1566" customFormat="false" ht="23.25" hidden="false" customHeight="true" outlineLevel="0" collapsed="false">
      <c r="A1566" s="10" t="s">
        <v>3700</v>
      </c>
      <c r="B1566" s="10" t="s">
        <v>45</v>
      </c>
      <c r="C1566" s="8" t="s">
        <v>3691</v>
      </c>
      <c r="D1566" s="8" t="s">
        <v>3701</v>
      </c>
      <c r="E1566" s="11" t="n">
        <v>261</v>
      </c>
      <c r="F1566" s="8" t="str">
        <f aca="false">IFERROR(INDEX(Section_Master!$D$2:$D$477,MATCH($E1566,Section_Master!$A$2:$A$477,0))&amp;"","")</f>
        <v>Simple imprisonment up to 2 years and fine</v>
      </c>
      <c r="G1566" s="10" t="str">
        <f aca="false">IFERROR(INDEX(Section_Master!$E$2:$E$477,MATCH($E1566,Section_Master!$A$2:$A$477,0))&amp;"","")</f>
        <v>No</v>
      </c>
      <c r="H1566" s="10" t="str">
        <f aca="false">IFERROR(INDEX(Section_Master!$F$2:$F$477,MATCH($E1566,Section_Master!$A$2:$A$477,0))&amp;"","")</f>
        <v>Yes</v>
      </c>
      <c r="I1566" s="10" t="str">
        <f aca="false">IFERROR(INDEX(Section_Master!$G$2:$G$477,MATCH($E1566,Section_Master!$A$2:$A$477,0))&amp;"","")</f>
        <v>No</v>
      </c>
      <c r="J1566" s="10" t="s">
        <v>61</v>
      </c>
      <c r="K1566" s="8" t="s">
        <v>3693</v>
      </c>
    </row>
    <row r="1567" customFormat="false" ht="34.5" hidden="false" customHeight="true" outlineLevel="0" collapsed="false">
      <c r="A1567" s="10" t="s">
        <v>3702</v>
      </c>
      <c r="B1567" s="10" t="s">
        <v>45</v>
      </c>
      <c r="C1567" s="8" t="s">
        <v>3691</v>
      </c>
      <c r="D1567" s="8" t="s">
        <v>3703</v>
      </c>
      <c r="E1567" s="11" t="n">
        <v>261</v>
      </c>
      <c r="F1567" s="8" t="str">
        <f aca="false">IFERROR(INDEX(Section_Master!$D$2:$D$477,MATCH($E1567,Section_Master!$A$2:$A$477,0))&amp;"","")</f>
        <v>Simple imprisonment up to 2 years and fine</v>
      </c>
      <c r="G1567" s="10" t="str">
        <f aca="false">IFERROR(INDEX(Section_Master!$E$2:$E$477,MATCH($E1567,Section_Master!$A$2:$A$477,0))&amp;"","")</f>
        <v>No</v>
      </c>
      <c r="H1567" s="10" t="str">
        <f aca="false">IFERROR(INDEX(Section_Master!$F$2:$F$477,MATCH($E1567,Section_Master!$A$2:$A$477,0))&amp;"","")</f>
        <v>Yes</v>
      </c>
      <c r="I1567" s="10" t="str">
        <f aca="false">IFERROR(INDEX(Section_Master!$G$2:$G$477,MATCH($E1567,Section_Master!$A$2:$A$477,0))&amp;"","")</f>
        <v>No</v>
      </c>
      <c r="J1567" s="10" t="s">
        <v>64</v>
      </c>
      <c r="K1567" s="8" t="s">
        <v>3693</v>
      </c>
    </row>
    <row r="1568" customFormat="false" ht="34.5" hidden="false" customHeight="true" outlineLevel="0" collapsed="false">
      <c r="A1568" s="10" t="s">
        <v>3704</v>
      </c>
      <c r="B1568" s="10" t="s">
        <v>45</v>
      </c>
      <c r="C1568" s="8" t="s">
        <v>3705</v>
      </c>
      <c r="D1568" s="8" t="s">
        <v>3706</v>
      </c>
      <c r="E1568" s="11" t="n">
        <v>262</v>
      </c>
      <c r="F1568" s="8" t="str">
        <f aca="false">IFERROR(INDEX(Section_Master!$D$2:$D$477,MATCH($E1568,Section_Master!$A$2:$A$477,0))&amp;"","")</f>
        <v>Imprisonment up to 2 years, or fine, or both</v>
      </c>
      <c r="G1568" s="10" t="str">
        <f aca="false">IFERROR(INDEX(Section_Master!$E$2:$E$477,MATCH($E1568,Section_Master!$A$2:$A$477,0))&amp;"","")</f>
        <v>No</v>
      </c>
      <c r="H1568" s="10" t="str">
        <f aca="false">IFERROR(INDEX(Section_Master!$F$2:$F$477,MATCH($E1568,Section_Master!$A$2:$A$477,0))&amp;"","")</f>
        <v>Yes</v>
      </c>
      <c r="I1568" s="10" t="str">
        <f aca="false">IFERROR(INDEX(Section_Master!$G$2:$G$477,MATCH($E1568,Section_Master!$A$2:$A$477,0))&amp;"","")</f>
        <v>No</v>
      </c>
      <c r="J1568" s="10" t="s">
        <v>48</v>
      </c>
      <c r="K1568" s="8" t="s">
        <v>3707</v>
      </c>
    </row>
    <row r="1569" customFormat="false" ht="34.5" hidden="false" customHeight="true" outlineLevel="0" collapsed="false">
      <c r="A1569" s="10" t="s">
        <v>3708</v>
      </c>
      <c r="B1569" s="10" t="s">
        <v>45</v>
      </c>
      <c r="C1569" s="8" t="s">
        <v>3705</v>
      </c>
      <c r="D1569" s="8" t="s">
        <v>3709</v>
      </c>
      <c r="E1569" s="11" t="n">
        <v>262</v>
      </c>
      <c r="F1569" s="8" t="str">
        <f aca="false">IFERROR(INDEX(Section_Master!$D$2:$D$477,MATCH($E1569,Section_Master!$A$2:$A$477,0))&amp;"","")</f>
        <v>Imprisonment up to 2 years, or fine, or both</v>
      </c>
      <c r="G1569" s="10" t="str">
        <f aca="false">IFERROR(INDEX(Section_Master!$E$2:$E$477,MATCH($E1569,Section_Master!$A$2:$A$477,0))&amp;"","")</f>
        <v>No</v>
      </c>
      <c r="H1569" s="10" t="str">
        <f aca="false">IFERROR(INDEX(Section_Master!$F$2:$F$477,MATCH($E1569,Section_Master!$A$2:$A$477,0))&amp;"","")</f>
        <v>Yes</v>
      </c>
      <c r="I1569" s="10" t="str">
        <f aca="false">IFERROR(INDEX(Section_Master!$G$2:$G$477,MATCH($E1569,Section_Master!$A$2:$A$477,0))&amp;"","")</f>
        <v>No</v>
      </c>
      <c r="J1569" s="10" t="s">
        <v>52</v>
      </c>
      <c r="K1569" s="8" t="s">
        <v>3707</v>
      </c>
    </row>
    <row r="1570" customFormat="false" ht="34.5" hidden="false" customHeight="true" outlineLevel="0" collapsed="false">
      <c r="A1570" s="10" t="s">
        <v>3710</v>
      </c>
      <c r="B1570" s="10" t="s">
        <v>45</v>
      </c>
      <c r="C1570" s="8" t="s">
        <v>3705</v>
      </c>
      <c r="D1570" s="8" t="s">
        <v>3711</v>
      </c>
      <c r="E1570" s="11" t="n">
        <v>262</v>
      </c>
      <c r="F1570" s="8" t="str">
        <f aca="false">IFERROR(INDEX(Section_Master!$D$2:$D$477,MATCH($E1570,Section_Master!$A$2:$A$477,0))&amp;"","")</f>
        <v>Imprisonment up to 2 years, or fine, or both</v>
      </c>
      <c r="G1570" s="10" t="str">
        <f aca="false">IFERROR(INDEX(Section_Master!$E$2:$E$477,MATCH($E1570,Section_Master!$A$2:$A$477,0))&amp;"","")</f>
        <v>No</v>
      </c>
      <c r="H1570" s="10" t="str">
        <f aca="false">IFERROR(INDEX(Section_Master!$F$2:$F$477,MATCH($E1570,Section_Master!$A$2:$A$477,0))&amp;"","")</f>
        <v>Yes</v>
      </c>
      <c r="I1570" s="10" t="str">
        <f aca="false">IFERROR(INDEX(Section_Master!$G$2:$G$477,MATCH($E1570,Section_Master!$A$2:$A$477,0))&amp;"","")</f>
        <v>No</v>
      </c>
      <c r="J1570" s="10" t="s">
        <v>55</v>
      </c>
      <c r="K1570" s="8" t="s">
        <v>3707</v>
      </c>
    </row>
    <row r="1571" customFormat="false" ht="34.5" hidden="false" customHeight="true" outlineLevel="0" collapsed="false">
      <c r="A1571" s="10" t="s">
        <v>3712</v>
      </c>
      <c r="B1571" s="10" t="s">
        <v>45</v>
      </c>
      <c r="C1571" s="8" t="s">
        <v>3705</v>
      </c>
      <c r="D1571" s="8" t="s">
        <v>3713</v>
      </c>
      <c r="E1571" s="11" t="n">
        <v>262</v>
      </c>
      <c r="F1571" s="8" t="str">
        <f aca="false">IFERROR(INDEX(Section_Master!$D$2:$D$477,MATCH($E1571,Section_Master!$A$2:$A$477,0))&amp;"","")</f>
        <v>Imprisonment up to 2 years, or fine, or both</v>
      </c>
      <c r="G1571" s="10" t="str">
        <f aca="false">IFERROR(INDEX(Section_Master!$E$2:$E$477,MATCH($E1571,Section_Master!$A$2:$A$477,0))&amp;"","")</f>
        <v>No</v>
      </c>
      <c r="H1571" s="10" t="str">
        <f aca="false">IFERROR(INDEX(Section_Master!$F$2:$F$477,MATCH($E1571,Section_Master!$A$2:$A$477,0))&amp;"","")</f>
        <v>Yes</v>
      </c>
      <c r="I1571" s="10" t="str">
        <f aca="false">IFERROR(INDEX(Section_Master!$G$2:$G$477,MATCH($E1571,Section_Master!$A$2:$A$477,0))&amp;"","")</f>
        <v>No</v>
      </c>
      <c r="J1571" s="10" t="s">
        <v>58</v>
      </c>
      <c r="K1571" s="8" t="s">
        <v>3707</v>
      </c>
    </row>
    <row r="1572" customFormat="false" ht="34.5" hidden="false" customHeight="true" outlineLevel="0" collapsed="false">
      <c r="A1572" s="10" t="s">
        <v>3714</v>
      </c>
      <c r="B1572" s="10" t="s">
        <v>45</v>
      </c>
      <c r="C1572" s="8" t="s">
        <v>3705</v>
      </c>
      <c r="D1572" s="8" t="s">
        <v>3715</v>
      </c>
      <c r="E1572" s="11" t="n">
        <v>262</v>
      </c>
      <c r="F1572" s="8" t="str">
        <f aca="false">IFERROR(INDEX(Section_Master!$D$2:$D$477,MATCH($E1572,Section_Master!$A$2:$A$477,0))&amp;"","")</f>
        <v>Imprisonment up to 2 years, or fine, or both</v>
      </c>
      <c r="G1572" s="10" t="str">
        <f aca="false">IFERROR(INDEX(Section_Master!$E$2:$E$477,MATCH($E1572,Section_Master!$A$2:$A$477,0))&amp;"","")</f>
        <v>No</v>
      </c>
      <c r="H1572" s="10" t="str">
        <f aca="false">IFERROR(INDEX(Section_Master!$F$2:$F$477,MATCH($E1572,Section_Master!$A$2:$A$477,0))&amp;"","")</f>
        <v>Yes</v>
      </c>
      <c r="I1572" s="10" t="str">
        <f aca="false">IFERROR(INDEX(Section_Master!$G$2:$G$477,MATCH($E1572,Section_Master!$A$2:$A$477,0))&amp;"","")</f>
        <v>No</v>
      </c>
      <c r="J1572" s="10" t="s">
        <v>61</v>
      </c>
      <c r="K1572" s="8" t="s">
        <v>3707</v>
      </c>
    </row>
    <row r="1573" customFormat="false" ht="34.5" hidden="false" customHeight="true" outlineLevel="0" collapsed="false">
      <c r="A1573" s="10" t="s">
        <v>3716</v>
      </c>
      <c r="B1573" s="10" t="s">
        <v>45</v>
      </c>
      <c r="C1573" s="8" t="s">
        <v>3705</v>
      </c>
      <c r="D1573" s="8" t="s">
        <v>3717</v>
      </c>
      <c r="E1573" s="11" t="n">
        <v>262</v>
      </c>
      <c r="F1573" s="8" t="str">
        <f aca="false">IFERROR(INDEX(Section_Master!$D$2:$D$477,MATCH($E1573,Section_Master!$A$2:$A$477,0))&amp;"","")</f>
        <v>Imprisonment up to 2 years, or fine, or both</v>
      </c>
      <c r="G1573" s="10" t="str">
        <f aca="false">IFERROR(INDEX(Section_Master!$E$2:$E$477,MATCH($E1573,Section_Master!$A$2:$A$477,0))&amp;"","")</f>
        <v>No</v>
      </c>
      <c r="H1573" s="10" t="str">
        <f aca="false">IFERROR(INDEX(Section_Master!$F$2:$F$477,MATCH($E1573,Section_Master!$A$2:$A$477,0))&amp;"","")</f>
        <v>Yes</v>
      </c>
      <c r="I1573" s="10" t="str">
        <f aca="false">IFERROR(INDEX(Section_Master!$G$2:$G$477,MATCH($E1573,Section_Master!$A$2:$A$477,0))&amp;"","")</f>
        <v>No</v>
      </c>
      <c r="J1573" s="10" t="s">
        <v>64</v>
      </c>
      <c r="K1573" s="8" t="s">
        <v>3707</v>
      </c>
    </row>
    <row r="1574" customFormat="false" ht="34.5" hidden="false" customHeight="true" outlineLevel="0" collapsed="false">
      <c r="A1574" s="10" t="s">
        <v>3718</v>
      </c>
      <c r="B1574" s="10" t="s">
        <v>45</v>
      </c>
      <c r="C1574" s="8" t="s">
        <v>3719</v>
      </c>
      <c r="D1574" s="8" t="s">
        <v>3720</v>
      </c>
      <c r="E1574" s="11" t="n">
        <v>263</v>
      </c>
      <c r="F1574" s="8" t="str">
        <f aca="false">IFERROR(INDEX(Section_Master!$D$2:$D$477,MATCH($E1574,Section_Master!$A$2:$A$477,0))&amp;"","")</f>
        <v>Imprisonment up to 2 years, or fine, or both; higher terms depending on gravity of the offence [s.263]</v>
      </c>
      <c r="G1574" s="10" t="str">
        <f aca="false">IFERROR(INDEX(Section_Master!$E$2:$E$477,MATCH($E1574,Section_Master!$A$2:$A$477,0))&amp;"","")</f>
        <v>No</v>
      </c>
      <c r="H1574" s="10" t="str">
        <f aca="false">IFERROR(INDEX(Section_Master!$F$2:$F$477,MATCH($E1574,Section_Master!$A$2:$A$477,0))&amp;"","")</f>
        <v>Varies by sub-section</v>
      </c>
      <c r="I1574" s="10" t="str">
        <f aca="false">IFERROR(INDEX(Section_Master!$G$2:$G$477,MATCH($E1574,Section_Master!$A$2:$A$477,0))&amp;"","")</f>
        <v>No</v>
      </c>
      <c r="J1574" s="10" t="s">
        <v>48</v>
      </c>
      <c r="K1574" s="8" t="s">
        <v>3721</v>
      </c>
    </row>
    <row r="1575" customFormat="false" ht="45.75" hidden="false" customHeight="true" outlineLevel="0" collapsed="false">
      <c r="A1575" s="10" t="s">
        <v>3722</v>
      </c>
      <c r="B1575" s="10" t="s">
        <v>45</v>
      </c>
      <c r="C1575" s="8" t="s">
        <v>3719</v>
      </c>
      <c r="D1575" s="8" t="s">
        <v>3723</v>
      </c>
      <c r="E1575" s="11" t="n">
        <v>263</v>
      </c>
      <c r="F1575" s="8" t="str">
        <f aca="false">IFERROR(INDEX(Section_Master!$D$2:$D$477,MATCH($E1575,Section_Master!$A$2:$A$477,0))&amp;"","")</f>
        <v>Imprisonment up to 2 years, or fine, or both; higher terms depending on gravity of the offence [s.263]</v>
      </c>
      <c r="G1575" s="10" t="str">
        <f aca="false">IFERROR(INDEX(Section_Master!$E$2:$E$477,MATCH($E1575,Section_Master!$A$2:$A$477,0))&amp;"","")</f>
        <v>No</v>
      </c>
      <c r="H1575" s="10" t="str">
        <f aca="false">IFERROR(INDEX(Section_Master!$F$2:$F$477,MATCH($E1575,Section_Master!$A$2:$A$477,0))&amp;"","")</f>
        <v>Varies by sub-section</v>
      </c>
      <c r="I1575" s="10" t="str">
        <f aca="false">IFERROR(INDEX(Section_Master!$G$2:$G$477,MATCH($E1575,Section_Master!$A$2:$A$477,0))&amp;"","")</f>
        <v>No</v>
      </c>
      <c r="J1575" s="10" t="s">
        <v>52</v>
      </c>
      <c r="K1575" s="8" t="s">
        <v>3721</v>
      </c>
    </row>
    <row r="1576" customFormat="false" ht="34.5" hidden="false" customHeight="true" outlineLevel="0" collapsed="false">
      <c r="A1576" s="10" t="s">
        <v>3724</v>
      </c>
      <c r="B1576" s="10" t="s">
        <v>45</v>
      </c>
      <c r="C1576" s="8" t="s">
        <v>3719</v>
      </c>
      <c r="D1576" s="8" t="s">
        <v>3725</v>
      </c>
      <c r="E1576" s="11" t="n">
        <v>263</v>
      </c>
      <c r="F1576" s="8" t="str">
        <f aca="false">IFERROR(INDEX(Section_Master!$D$2:$D$477,MATCH($E1576,Section_Master!$A$2:$A$477,0))&amp;"","")</f>
        <v>Imprisonment up to 2 years, or fine, or both; higher terms depending on gravity of the offence [s.263]</v>
      </c>
      <c r="G1576" s="10" t="str">
        <f aca="false">IFERROR(INDEX(Section_Master!$E$2:$E$477,MATCH($E1576,Section_Master!$A$2:$A$477,0))&amp;"","")</f>
        <v>No</v>
      </c>
      <c r="H1576" s="10" t="str">
        <f aca="false">IFERROR(INDEX(Section_Master!$F$2:$F$477,MATCH($E1576,Section_Master!$A$2:$A$477,0))&amp;"","")</f>
        <v>Varies by sub-section</v>
      </c>
      <c r="I1576" s="10" t="str">
        <f aca="false">IFERROR(INDEX(Section_Master!$G$2:$G$477,MATCH($E1576,Section_Master!$A$2:$A$477,0))&amp;"","")</f>
        <v>No</v>
      </c>
      <c r="J1576" s="10" t="s">
        <v>55</v>
      </c>
      <c r="K1576" s="8" t="s">
        <v>3721</v>
      </c>
    </row>
    <row r="1577" customFormat="false" ht="34.5" hidden="false" customHeight="true" outlineLevel="0" collapsed="false">
      <c r="A1577" s="10" t="s">
        <v>3726</v>
      </c>
      <c r="B1577" s="10" t="s">
        <v>45</v>
      </c>
      <c r="C1577" s="8" t="s">
        <v>3719</v>
      </c>
      <c r="D1577" s="8" t="s">
        <v>3727</v>
      </c>
      <c r="E1577" s="11" t="n">
        <v>263</v>
      </c>
      <c r="F1577" s="8" t="str">
        <f aca="false">IFERROR(INDEX(Section_Master!$D$2:$D$477,MATCH($E1577,Section_Master!$A$2:$A$477,0))&amp;"","")</f>
        <v>Imprisonment up to 2 years, or fine, or both; higher terms depending on gravity of the offence [s.263]</v>
      </c>
      <c r="G1577" s="10" t="str">
        <f aca="false">IFERROR(INDEX(Section_Master!$E$2:$E$477,MATCH($E1577,Section_Master!$A$2:$A$477,0))&amp;"","")</f>
        <v>No</v>
      </c>
      <c r="H1577" s="10" t="str">
        <f aca="false">IFERROR(INDEX(Section_Master!$F$2:$F$477,MATCH($E1577,Section_Master!$A$2:$A$477,0))&amp;"","")</f>
        <v>Varies by sub-section</v>
      </c>
      <c r="I1577" s="10" t="str">
        <f aca="false">IFERROR(INDEX(Section_Master!$G$2:$G$477,MATCH($E1577,Section_Master!$A$2:$A$477,0))&amp;"","")</f>
        <v>No</v>
      </c>
      <c r="J1577" s="10" t="s">
        <v>58</v>
      </c>
      <c r="K1577" s="8" t="s">
        <v>3721</v>
      </c>
    </row>
    <row r="1578" customFormat="false" ht="23.25" hidden="false" customHeight="true" outlineLevel="0" collapsed="false">
      <c r="A1578" s="10" t="s">
        <v>3728</v>
      </c>
      <c r="B1578" s="10" t="s">
        <v>45</v>
      </c>
      <c r="C1578" s="8" t="s">
        <v>3719</v>
      </c>
      <c r="D1578" s="8" t="s">
        <v>3729</v>
      </c>
      <c r="E1578" s="11" t="n">
        <v>263</v>
      </c>
      <c r="F1578" s="8" t="str">
        <f aca="false">IFERROR(INDEX(Section_Master!$D$2:$D$477,MATCH($E1578,Section_Master!$A$2:$A$477,0))&amp;"","")</f>
        <v>Imprisonment up to 2 years, or fine, or both; higher terms depending on gravity of the offence [s.263]</v>
      </c>
      <c r="G1578" s="10" t="str">
        <f aca="false">IFERROR(INDEX(Section_Master!$E$2:$E$477,MATCH($E1578,Section_Master!$A$2:$A$477,0))&amp;"","")</f>
        <v>No</v>
      </c>
      <c r="H1578" s="10" t="str">
        <f aca="false">IFERROR(INDEX(Section_Master!$F$2:$F$477,MATCH($E1578,Section_Master!$A$2:$A$477,0))&amp;"","")</f>
        <v>Varies by sub-section</v>
      </c>
      <c r="I1578" s="10" t="str">
        <f aca="false">IFERROR(INDEX(Section_Master!$G$2:$G$477,MATCH($E1578,Section_Master!$A$2:$A$477,0))&amp;"","")</f>
        <v>No</v>
      </c>
      <c r="J1578" s="10" t="s">
        <v>61</v>
      </c>
      <c r="K1578" s="8" t="s">
        <v>3721</v>
      </c>
    </row>
    <row r="1579" customFormat="false" ht="34.5" hidden="false" customHeight="true" outlineLevel="0" collapsed="false">
      <c r="A1579" s="10" t="s">
        <v>3730</v>
      </c>
      <c r="B1579" s="10" t="s">
        <v>45</v>
      </c>
      <c r="C1579" s="8" t="s">
        <v>3719</v>
      </c>
      <c r="D1579" s="8" t="s">
        <v>3731</v>
      </c>
      <c r="E1579" s="11" t="n">
        <v>263</v>
      </c>
      <c r="F1579" s="8" t="str">
        <f aca="false">IFERROR(INDEX(Section_Master!$D$2:$D$477,MATCH($E1579,Section_Master!$A$2:$A$477,0))&amp;"","")</f>
        <v>Imprisonment up to 2 years, or fine, or both; higher terms depending on gravity of the offence [s.263]</v>
      </c>
      <c r="G1579" s="10" t="str">
        <f aca="false">IFERROR(INDEX(Section_Master!$E$2:$E$477,MATCH($E1579,Section_Master!$A$2:$A$477,0))&amp;"","")</f>
        <v>No</v>
      </c>
      <c r="H1579" s="10" t="str">
        <f aca="false">IFERROR(INDEX(Section_Master!$F$2:$F$477,MATCH($E1579,Section_Master!$A$2:$A$477,0))&amp;"","")</f>
        <v>Varies by sub-section</v>
      </c>
      <c r="I1579" s="10" t="str">
        <f aca="false">IFERROR(INDEX(Section_Master!$G$2:$G$477,MATCH($E1579,Section_Master!$A$2:$A$477,0))&amp;"","")</f>
        <v>No</v>
      </c>
      <c r="J1579" s="10" t="s">
        <v>64</v>
      </c>
      <c r="K1579" s="8" t="s">
        <v>3721</v>
      </c>
    </row>
    <row r="1580" customFormat="false" ht="34.5" hidden="false" customHeight="true" outlineLevel="0" collapsed="false">
      <c r="A1580" s="10" t="s">
        <v>3732</v>
      </c>
      <c r="B1580" s="10" t="s">
        <v>45</v>
      </c>
      <c r="C1580" s="8" t="s">
        <v>3733</v>
      </c>
      <c r="D1580" s="8" t="s">
        <v>3734</v>
      </c>
      <c r="E1580" s="11" t="n">
        <v>264</v>
      </c>
      <c r="F1580" s="8" t="str">
        <f aca="false">IFERROR(INDEX(Section_Master!$D$2:$D$477,MATCH($E1580,Section_Master!$A$2:$A$477,0))&amp;"","")</f>
        <v>Imprisonment up to 3 years, or fine, or both; depends on the offence involved [s.264]</v>
      </c>
      <c r="G1580" s="10" t="str">
        <f aca="false">IFERROR(INDEX(Section_Master!$E$2:$E$477,MATCH($E1580,Section_Master!$A$2:$A$477,0))&amp;"","")</f>
        <v>No</v>
      </c>
      <c r="H1580" s="10" t="str">
        <f aca="false">IFERROR(INDEX(Section_Master!$F$2:$F$477,MATCH($E1580,Section_Master!$A$2:$A$477,0))&amp;"","")</f>
        <v>Varies by sub-section</v>
      </c>
      <c r="I1580" s="10" t="str">
        <f aca="false">IFERROR(INDEX(Section_Master!$G$2:$G$477,MATCH($E1580,Section_Master!$A$2:$A$477,0))&amp;"","")</f>
        <v>No</v>
      </c>
      <c r="J1580" s="10" t="s">
        <v>48</v>
      </c>
      <c r="K1580" s="8" t="s">
        <v>3735</v>
      </c>
    </row>
    <row r="1581" customFormat="false" ht="34.5" hidden="false" customHeight="true" outlineLevel="0" collapsed="false">
      <c r="A1581" s="10" t="s">
        <v>3736</v>
      </c>
      <c r="B1581" s="10" t="s">
        <v>45</v>
      </c>
      <c r="C1581" s="8" t="s">
        <v>3733</v>
      </c>
      <c r="D1581" s="8" t="s">
        <v>3737</v>
      </c>
      <c r="E1581" s="11" t="n">
        <v>264</v>
      </c>
      <c r="F1581" s="8" t="str">
        <f aca="false">IFERROR(INDEX(Section_Master!$D$2:$D$477,MATCH($E1581,Section_Master!$A$2:$A$477,0))&amp;"","")</f>
        <v>Imprisonment up to 3 years, or fine, or both; depends on the offence involved [s.264]</v>
      </c>
      <c r="G1581" s="10" t="str">
        <f aca="false">IFERROR(INDEX(Section_Master!$E$2:$E$477,MATCH($E1581,Section_Master!$A$2:$A$477,0))&amp;"","")</f>
        <v>No</v>
      </c>
      <c r="H1581" s="10" t="str">
        <f aca="false">IFERROR(INDEX(Section_Master!$F$2:$F$477,MATCH($E1581,Section_Master!$A$2:$A$477,0))&amp;"","")</f>
        <v>Varies by sub-section</v>
      </c>
      <c r="I1581" s="10" t="str">
        <f aca="false">IFERROR(INDEX(Section_Master!$G$2:$G$477,MATCH($E1581,Section_Master!$A$2:$A$477,0))&amp;"","")</f>
        <v>No</v>
      </c>
      <c r="J1581" s="10" t="s">
        <v>52</v>
      </c>
      <c r="K1581" s="8" t="s">
        <v>3735</v>
      </c>
    </row>
    <row r="1582" customFormat="false" ht="34.5" hidden="false" customHeight="true" outlineLevel="0" collapsed="false">
      <c r="A1582" s="10" t="s">
        <v>3738</v>
      </c>
      <c r="B1582" s="10" t="s">
        <v>45</v>
      </c>
      <c r="C1582" s="8" t="s">
        <v>3733</v>
      </c>
      <c r="D1582" s="8" t="s">
        <v>3739</v>
      </c>
      <c r="E1582" s="11" t="n">
        <v>264</v>
      </c>
      <c r="F1582" s="8" t="str">
        <f aca="false">IFERROR(INDEX(Section_Master!$D$2:$D$477,MATCH($E1582,Section_Master!$A$2:$A$477,0))&amp;"","")</f>
        <v>Imprisonment up to 3 years, or fine, or both; depends on the offence involved [s.264]</v>
      </c>
      <c r="G1582" s="10" t="str">
        <f aca="false">IFERROR(INDEX(Section_Master!$E$2:$E$477,MATCH($E1582,Section_Master!$A$2:$A$477,0))&amp;"","")</f>
        <v>No</v>
      </c>
      <c r="H1582" s="10" t="str">
        <f aca="false">IFERROR(INDEX(Section_Master!$F$2:$F$477,MATCH($E1582,Section_Master!$A$2:$A$477,0))&amp;"","")</f>
        <v>Varies by sub-section</v>
      </c>
      <c r="I1582" s="10" t="str">
        <f aca="false">IFERROR(INDEX(Section_Master!$G$2:$G$477,MATCH($E1582,Section_Master!$A$2:$A$477,0))&amp;"","")</f>
        <v>No</v>
      </c>
      <c r="J1582" s="10" t="s">
        <v>55</v>
      </c>
      <c r="K1582" s="8" t="s">
        <v>3735</v>
      </c>
    </row>
    <row r="1583" customFormat="false" ht="34.5" hidden="false" customHeight="true" outlineLevel="0" collapsed="false">
      <c r="A1583" s="10" t="s">
        <v>3740</v>
      </c>
      <c r="B1583" s="10" t="s">
        <v>45</v>
      </c>
      <c r="C1583" s="8" t="s">
        <v>3733</v>
      </c>
      <c r="D1583" s="8" t="s">
        <v>3741</v>
      </c>
      <c r="E1583" s="11" t="n">
        <v>264</v>
      </c>
      <c r="F1583" s="8" t="str">
        <f aca="false">IFERROR(INDEX(Section_Master!$D$2:$D$477,MATCH($E1583,Section_Master!$A$2:$A$477,0))&amp;"","")</f>
        <v>Imprisonment up to 3 years, or fine, or both; depends on the offence involved [s.264]</v>
      </c>
      <c r="G1583" s="10" t="str">
        <f aca="false">IFERROR(INDEX(Section_Master!$E$2:$E$477,MATCH($E1583,Section_Master!$A$2:$A$477,0))&amp;"","")</f>
        <v>No</v>
      </c>
      <c r="H1583" s="10" t="str">
        <f aca="false">IFERROR(INDEX(Section_Master!$F$2:$F$477,MATCH($E1583,Section_Master!$A$2:$A$477,0))&amp;"","")</f>
        <v>Varies by sub-section</v>
      </c>
      <c r="I1583" s="10" t="str">
        <f aca="false">IFERROR(INDEX(Section_Master!$G$2:$G$477,MATCH($E1583,Section_Master!$A$2:$A$477,0))&amp;"","")</f>
        <v>No</v>
      </c>
      <c r="J1583" s="10" t="s">
        <v>58</v>
      </c>
      <c r="K1583" s="8" t="s">
        <v>3735</v>
      </c>
    </row>
    <row r="1584" customFormat="false" ht="34.5" hidden="false" customHeight="true" outlineLevel="0" collapsed="false">
      <c r="A1584" s="10" t="s">
        <v>3742</v>
      </c>
      <c r="B1584" s="10" t="s">
        <v>45</v>
      </c>
      <c r="C1584" s="8" t="s">
        <v>3733</v>
      </c>
      <c r="D1584" s="8" t="s">
        <v>3743</v>
      </c>
      <c r="E1584" s="11" t="n">
        <v>264</v>
      </c>
      <c r="F1584" s="8" t="str">
        <f aca="false">IFERROR(INDEX(Section_Master!$D$2:$D$477,MATCH($E1584,Section_Master!$A$2:$A$477,0))&amp;"","")</f>
        <v>Imprisonment up to 3 years, or fine, or both; depends on the offence involved [s.264]</v>
      </c>
      <c r="G1584" s="10" t="str">
        <f aca="false">IFERROR(INDEX(Section_Master!$E$2:$E$477,MATCH($E1584,Section_Master!$A$2:$A$477,0))&amp;"","")</f>
        <v>No</v>
      </c>
      <c r="H1584" s="10" t="str">
        <f aca="false">IFERROR(INDEX(Section_Master!$F$2:$F$477,MATCH($E1584,Section_Master!$A$2:$A$477,0))&amp;"","")</f>
        <v>Varies by sub-section</v>
      </c>
      <c r="I1584" s="10" t="str">
        <f aca="false">IFERROR(INDEX(Section_Master!$G$2:$G$477,MATCH($E1584,Section_Master!$A$2:$A$477,0))&amp;"","")</f>
        <v>No</v>
      </c>
      <c r="J1584" s="10" t="s">
        <v>61</v>
      </c>
      <c r="K1584" s="8" t="s">
        <v>3735</v>
      </c>
    </row>
    <row r="1585" customFormat="false" ht="34.5" hidden="false" customHeight="true" outlineLevel="0" collapsed="false">
      <c r="A1585" s="10" t="s">
        <v>3744</v>
      </c>
      <c r="B1585" s="10" t="s">
        <v>45</v>
      </c>
      <c r="C1585" s="8" t="s">
        <v>3733</v>
      </c>
      <c r="D1585" s="8" t="s">
        <v>3745</v>
      </c>
      <c r="E1585" s="11" t="n">
        <v>264</v>
      </c>
      <c r="F1585" s="8" t="str">
        <f aca="false">IFERROR(INDEX(Section_Master!$D$2:$D$477,MATCH($E1585,Section_Master!$A$2:$A$477,0))&amp;"","")</f>
        <v>Imprisonment up to 3 years, or fine, or both; depends on the offence involved [s.264]</v>
      </c>
      <c r="G1585" s="10" t="str">
        <f aca="false">IFERROR(INDEX(Section_Master!$E$2:$E$477,MATCH($E1585,Section_Master!$A$2:$A$477,0))&amp;"","")</f>
        <v>No</v>
      </c>
      <c r="H1585" s="10" t="str">
        <f aca="false">IFERROR(INDEX(Section_Master!$F$2:$F$477,MATCH($E1585,Section_Master!$A$2:$A$477,0))&amp;"","")</f>
        <v>Varies by sub-section</v>
      </c>
      <c r="I1585" s="10" t="str">
        <f aca="false">IFERROR(INDEX(Section_Master!$G$2:$G$477,MATCH($E1585,Section_Master!$A$2:$A$477,0))&amp;"","")</f>
        <v>No</v>
      </c>
      <c r="J1585" s="10" t="s">
        <v>64</v>
      </c>
      <c r="K1585" s="8" t="s">
        <v>3735</v>
      </c>
    </row>
    <row r="1586" customFormat="false" ht="34.5" hidden="false" customHeight="true" outlineLevel="0" collapsed="false">
      <c r="A1586" s="10" t="s">
        <v>3746</v>
      </c>
      <c r="B1586" s="10" t="s">
        <v>45</v>
      </c>
      <c r="C1586" s="8" t="s">
        <v>3747</v>
      </c>
      <c r="D1586" s="8" t="s">
        <v>3748</v>
      </c>
      <c r="E1586" s="11" t="n">
        <v>265</v>
      </c>
      <c r="F1586" s="8" t="str">
        <f aca="false">IFERROR(INDEX(Section_Master!$D$2:$D$477,MATCH($E1586,Section_Master!$A$2:$A$477,0))&amp;"","")</f>
        <v>Imprisonment up to 6 months, or fine, or both</v>
      </c>
      <c r="G1586" s="10" t="str">
        <f aca="false">IFERROR(INDEX(Section_Master!$E$2:$E$477,MATCH($E1586,Section_Master!$A$2:$A$477,0))&amp;"","")</f>
        <v>No</v>
      </c>
      <c r="H1586" s="10" t="str">
        <f aca="false">IFERROR(INDEX(Section_Master!$F$2:$F$477,MATCH($E1586,Section_Master!$A$2:$A$477,0))&amp;"","")</f>
        <v>Yes</v>
      </c>
      <c r="I1586" s="10" t="str">
        <f aca="false">IFERROR(INDEX(Section_Master!$G$2:$G$477,MATCH($E1586,Section_Master!$A$2:$A$477,0))&amp;"","")</f>
        <v>No</v>
      </c>
      <c r="J1586" s="10" t="s">
        <v>48</v>
      </c>
      <c r="K1586" s="8" t="s">
        <v>3749</v>
      </c>
    </row>
    <row r="1587" customFormat="false" ht="34.5" hidden="false" customHeight="true" outlineLevel="0" collapsed="false">
      <c r="A1587" s="10" t="s">
        <v>3750</v>
      </c>
      <c r="B1587" s="10" t="s">
        <v>45</v>
      </c>
      <c r="C1587" s="8" t="s">
        <v>3747</v>
      </c>
      <c r="D1587" s="8" t="s">
        <v>3751</v>
      </c>
      <c r="E1587" s="11" t="n">
        <v>265</v>
      </c>
      <c r="F1587" s="8" t="str">
        <f aca="false">IFERROR(INDEX(Section_Master!$D$2:$D$477,MATCH($E1587,Section_Master!$A$2:$A$477,0))&amp;"","")</f>
        <v>Imprisonment up to 6 months, or fine, or both</v>
      </c>
      <c r="G1587" s="10" t="str">
        <f aca="false">IFERROR(INDEX(Section_Master!$E$2:$E$477,MATCH($E1587,Section_Master!$A$2:$A$477,0))&amp;"","")</f>
        <v>No</v>
      </c>
      <c r="H1587" s="10" t="str">
        <f aca="false">IFERROR(INDEX(Section_Master!$F$2:$F$477,MATCH($E1587,Section_Master!$A$2:$A$477,0))&amp;"","")</f>
        <v>Yes</v>
      </c>
      <c r="I1587" s="10" t="str">
        <f aca="false">IFERROR(INDEX(Section_Master!$G$2:$G$477,MATCH($E1587,Section_Master!$A$2:$A$477,0))&amp;"","")</f>
        <v>No</v>
      </c>
      <c r="J1587" s="10" t="s">
        <v>52</v>
      </c>
      <c r="K1587" s="8" t="s">
        <v>3749</v>
      </c>
    </row>
    <row r="1588" customFormat="false" ht="34.5" hidden="false" customHeight="true" outlineLevel="0" collapsed="false">
      <c r="A1588" s="10" t="s">
        <v>3752</v>
      </c>
      <c r="B1588" s="10" t="s">
        <v>45</v>
      </c>
      <c r="C1588" s="8" t="s">
        <v>3747</v>
      </c>
      <c r="D1588" s="8" t="s">
        <v>3753</v>
      </c>
      <c r="E1588" s="11" t="n">
        <v>265</v>
      </c>
      <c r="F1588" s="8" t="str">
        <f aca="false">IFERROR(INDEX(Section_Master!$D$2:$D$477,MATCH($E1588,Section_Master!$A$2:$A$477,0))&amp;"","")</f>
        <v>Imprisonment up to 6 months, or fine, or both</v>
      </c>
      <c r="G1588" s="10" t="str">
        <f aca="false">IFERROR(INDEX(Section_Master!$E$2:$E$477,MATCH($E1588,Section_Master!$A$2:$A$477,0))&amp;"","")</f>
        <v>No</v>
      </c>
      <c r="H1588" s="10" t="str">
        <f aca="false">IFERROR(INDEX(Section_Master!$F$2:$F$477,MATCH($E1588,Section_Master!$A$2:$A$477,0))&amp;"","")</f>
        <v>Yes</v>
      </c>
      <c r="I1588" s="10" t="str">
        <f aca="false">IFERROR(INDEX(Section_Master!$G$2:$G$477,MATCH($E1588,Section_Master!$A$2:$A$477,0))&amp;"","")</f>
        <v>No</v>
      </c>
      <c r="J1588" s="10" t="s">
        <v>55</v>
      </c>
      <c r="K1588" s="8" t="s">
        <v>3749</v>
      </c>
    </row>
    <row r="1589" customFormat="false" ht="34.5" hidden="false" customHeight="true" outlineLevel="0" collapsed="false">
      <c r="A1589" s="10" t="s">
        <v>3754</v>
      </c>
      <c r="B1589" s="10" t="s">
        <v>45</v>
      </c>
      <c r="C1589" s="8" t="s">
        <v>3747</v>
      </c>
      <c r="D1589" s="8" t="s">
        <v>3755</v>
      </c>
      <c r="E1589" s="11" t="n">
        <v>265</v>
      </c>
      <c r="F1589" s="8" t="str">
        <f aca="false">IFERROR(INDEX(Section_Master!$D$2:$D$477,MATCH($E1589,Section_Master!$A$2:$A$477,0))&amp;"","")</f>
        <v>Imprisonment up to 6 months, or fine, or both</v>
      </c>
      <c r="G1589" s="10" t="str">
        <f aca="false">IFERROR(INDEX(Section_Master!$E$2:$E$477,MATCH($E1589,Section_Master!$A$2:$A$477,0))&amp;"","")</f>
        <v>No</v>
      </c>
      <c r="H1589" s="10" t="str">
        <f aca="false">IFERROR(INDEX(Section_Master!$F$2:$F$477,MATCH($E1589,Section_Master!$A$2:$A$477,0))&amp;"","")</f>
        <v>Yes</v>
      </c>
      <c r="I1589" s="10" t="str">
        <f aca="false">IFERROR(INDEX(Section_Master!$G$2:$G$477,MATCH($E1589,Section_Master!$A$2:$A$477,0))&amp;"","")</f>
        <v>No</v>
      </c>
      <c r="J1589" s="10" t="s">
        <v>58</v>
      </c>
      <c r="K1589" s="8" t="s">
        <v>3749</v>
      </c>
    </row>
    <row r="1590" customFormat="false" ht="34.5" hidden="false" customHeight="true" outlineLevel="0" collapsed="false">
      <c r="A1590" s="10" t="s">
        <v>3756</v>
      </c>
      <c r="B1590" s="10" t="s">
        <v>45</v>
      </c>
      <c r="C1590" s="8" t="s">
        <v>3747</v>
      </c>
      <c r="D1590" s="8" t="s">
        <v>3757</v>
      </c>
      <c r="E1590" s="11" t="n">
        <v>265</v>
      </c>
      <c r="F1590" s="8" t="str">
        <f aca="false">IFERROR(INDEX(Section_Master!$D$2:$D$477,MATCH($E1590,Section_Master!$A$2:$A$477,0))&amp;"","")</f>
        <v>Imprisonment up to 6 months, or fine, or both</v>
      </c>
      <c r="G1590" s="10" t="str">
        <f aca="false">IFERROR(INDEX(Section_Master!$E$2:$E$477,MATCH($E1590,Section_Master!$A$2:$A$477,0))&amp;"","")</f>
        <v>No</v>
      </c>
      <c r="H1590" s="10" t="str">
        <f aca="false">IFERROR(INDEX(Section_Master!$F$2:$F$477,MATCH($E1590,Section_Master!$A$2:$A$477,0))&amp;"","")</f>
        <v>Yes</v>
      </c>
      <c r="I1590" s="10" t="str">
        <f aca="false">IFERROR(INDEX(Section_Master!$G$2:$G$477,MATCH($E1590,Section_Master!$A$2:$A$477,0))&amp;"","")</f>
        <v>No</v>
      </c>
      <c r="J1590" s="10" t="s">
        <v>61</v>
      </c>
      <c r="K1590" s="8" t="s">
        <v>3749</v>
      </c>
    </row>
    <row r="1591" customFormat="false" ht="34.5" hidden="false" customHeight="true" outlineLevel="0" collapsed="false">
      <c r="A1591" s="10" t="s">
        <v>3758</v>
      </c>
      <c r="B1591" s="10" t="s">
        <v>45</v>
      </c>
      <c r="C1591" s="8" t="s">
        <v>3747</v>
      </c>
      <c r="D1591" s="8" t="s">
        <v>3759</v>
      </c>
      <c r="E1591" s="11" t="n">
        <v>265</v>
      </c>
      <c r="F1591" s="8" t="str">
        <f aca="false">IFERROR(INDEX(Section_Master!$D$2:$D$477,MATCH($E1591,Section_Master!$A$2:$A$477,0))&amp;"","")</f>
        <v>Imprisonment up to 6 months, or fine, or both</v>
      </c>
      <c r="G1591" s="10" t="str">
        <f aca="false">IFERROR(INDEX(Section_Master!$E$2:$E$477,MATCH($E1591,Section_Master!$A$2:$A$477,0))&amp;"","")</f>
        <v>No</v>
      </c>
      <c r="H1591" s="10" t="str">
        <f aca="false">IFERROR(INDEX(Section_Master!$F$2:$F$477,MATCH($E1591,Section_Master!$A$2:$A$477,0))&amp;"","")</f>
        <v>Yes</v>
      </c>
      <c r="I1591" s="10" t="str">
        <f aca="false">IFERROR(INDEX(Section_Master!$G$2:$G$477,MATCH($E1591,Section_Master!$A$2:$A$477,0))&amp;"","")</f>
        <v>No</v>
      </c>
      <c r="J1591" s="10" t="s">
        <v>64</v>
      </c>
      <c r="K1591" s="8" t="s">
        <v>3749</v>
      </c>
    </row>
    <row r="1592" customFormat="false" ht="23.25" hidden="false" customHeight="true" outlineLevel="0" collapsed="false">
      <c r="A1592" s="10" t="s">
        <v>3760</v>
      </c>
      <c r="B1592" s="10" t="s">
        <v>45</v>
      </c>
      <c r="C1592" s="8" t="s">
        <v>3761</v>
      </c>
      <c r="D1592" s="8" t="s">
        <v>3762</v>
      </c>
      <c r="E1592" s="11" t="n">
        <v>266</v>
      </c>
      <c r="F1592" s="8" t="str">
        <f aca="false">IFERROR(INDEX(Section_Master!$D$2:$D$477,MATCH($E1592,Section_Master!$A$2:$A$477,0))&amp;"","")</f>
        <v>Same punishment as for the original sentence, if not already served</v>
      </c>
      <c r="G1592" s="10" t="str">
        <f aca="false">IFERROR(INDEX(Section_Master!$E$2:$E$477,MATCH($E1592,Section_Master!$A$2:$A$477,0))&amp;"","")</f>
        <v>No</v>
      </c>
      <c r="H1592" s="10" t="str">
        <f aca="false">IFERROR(INDEX(Section_Master!$F$2:$F$477,MATCH($E1592,Section_Master!$A$2:$A$477,0))&amp;"","")</f>
        <v>No</v>
      </c>
      <c r="I1592" s="10" t="str">
        <f aca="false">IFERROR(INDEX(Section_Master!$G$2:$G$477,MATCH($E1592,Section_Master!$A$2:$A$477,0))&amp;"","")</f>
        <v>No</v>
      </c>
      <c r="J1592" s="10" t="s">
        <v>48</v>
      </c>
      <c r="K1592" s="8" t="s">
        <v>3763</v>
      </c>
    </row>
    <row r="1593" customFormat="false" ht="34.5" hidden="false" customHeight="true" outlineLevel="0" collapsed="false">
      <c r="A1593" s="10" t="s">
        <v>3764</v>
      </c>
      <c r="B1593" s="10" t="s">
        <v>45</v>
      </c>
      <c r="C1593" s="8" t="s">
        <v>3761</v>
      </c>
      <c r="D1593" s="8" t="s">
        <v>3765</v>
      </c>
      <c r="E1593" s="11" t="n">
        <v>266</v>
      </c>
      <c r="F1593" s="8" t="str">
        <f aca="false">IFERROR(INDEX(Section_Master!$D$2:$D$477,MATCH($E1593,Section_Master!$A$2:$A$477,0))&amp;"","")</f>
        <v>Same punishment as for the original sentence, if not already served</v>
      </c>
      <c r="G1593" s="10" t="str">
        <f aca="false">IFERROR(INDEX(Section_Master!$E$2:$E$477,MATCH($E1593,Section_Master!$A$2:$A$477,0))&amp;"","")</f>
        <v>No</v>
      </c>
      <c r="H1593" s="10" t="str">
        <f aca="false">IFERROR(INDEX(Section_Master!$F$2:$F$477,MATCH($E1593,Section_Master!$A$2:$A$477,0))&amp;"","")</f>
        <v>No</v>
      </c>
      <c r="I1593" s="10" t="str">
        <f aca="false">IFERROR(INDEX(Section_Master!$G$2:$G$477,MATCH($E1593,Section_Master!$A$2:$A$477,0))&amp;"","")</f>
        <v>No</v>
      </c>
      <c r="J1593" s="10" t="s">
        <v>52</v>
      </c>
      <c r="K1593" s="8" t="s">
        <v>3763</v>
      </c>
    </row>
    <row r="1594" customFormat="false" ht="34.5" hidden="false" customHeight="true" outlineLevel="0" collapsed="false">
      <c r="A1594" s="10" t="s">
        <v>3766</v>
      </c>
      <c r="B1594" s="10" t="s">
        <v>45</v>
      </c>
      <c r="C1594" s="8" t="s">
        <v>3761</v>
      </c>
      <c r="D1594" s="8" t="s">
        <v>3767</v>
      </c>
      <c r="E1594" s="11" t="n">
        <v>266</v>
      </c>
      <c r="F1594" s="8" t="str">
        <f aca="false">IFERROR(INDEX(Section_Master!$D$2:$D$477,MATCH($E1594,Section_Master!$A$2:$A$477,0))&amp;"","")</f>
        <v>Same punishment as for the original sentence, if not already served</v>
      </c>
      <c r="G1594" s="10" t="str">
        <f aca="false">IFERROR(INDEX(Section_Master!$E$2:$E$477,MATCH($E1594,Section_Master!$A$2:$A$477,0))&amp;"","")</f>
        <v>No</v>
      </c>
      <c r="H1594" s="10" t="str">
        <f aca="false">IFERROR(INDEX(Section_Master!$F$2:$F$477,MATCH($E1594,Section_Master!$A$2:$A$477,0))&amp;"","")</f>
        <v>No</v>
      </c>
      <c r="I1594" s="10" t="str">
        <f aca="false">IFERROR(INDEX(Section_Master!$G$2:$G$477,MATCH($E1594,Section_Master!$A$2:$A$477,0))&amp;"","")</f>
        <v>No</v>
      </c>
      <c r="J1594" s="10" t="s">
        <v>55</v>
      </c>
      <c r="K1594" s="8" t="s">
        <v>3763</v>
      </c>
    </row>
    <row r="1595" customFormat="false" ht="23.25" hidden="false" customHeight="true" outlineLevel="0" collapsed="false">
      <c r="A1595" s="10" t="s">
        <v>3768</v>
      </c>
      <c r="B1595" s="10" t="s">
        <v>45</v>
      </c>
      <c r="C1595" s="8" t="s">
        <v>3761</v>
      </c>
      <c r="D1595" s="8" t="s">
        <v>3769</v>
      </c>
      <c r="E1595" s="11" t="n">
        <v>266</v>
      </c>
      <c r="F1595" s="8" t="str">
        <f aca="false">IFERROR(INDEX(Section_Master!$D$2:$D$477,MATCH($E1595,Section_Master!$A$2:$A$477,0))&amp;"","")</f>
        <v>Same punishment as for the original sentence, if not already served</v>
      </c>
      <c r="G1595" s="10" t="str">
        <f aca="false">IFERROR(INDEX(Section_Master!$E$2:$E$477,MATCH($E1595,Section_Master!$A$2:$A$477,0))&amp;"","")</f>
        <v>No</v>
      </c>
      <c r="H1595" s="10" t="str">
        <f aca="false">IFERROR(INDEX(Section_Master!$F$2:$F$477,MATCH($E1595,Section_Master!$A$2:$A$477,0))&amp;"","")</f>
        <v>No</v>
      </c>
      <c r="I1595" s="10" t="str">
        <f aca="false">IFERROR(INDEX(Section_Master!$G$2:$G$477,MATCH($E1595,Section_Master!$A$2:$A$477,0))&amp;"","")</f>
        <v>No</v>
      </c>
      <c r="J1595" s="10" t="s">
        <v>58</v>
      </c>
      <c r="K1595" s="8" t="s">
        <v>3763</v>
      </c>
    </row>
    <row r="1596" customFormat="false" ht="23.25" hidden="false" customHeight="true" outlineLevel="0" collapsed="false">
      <c r="A1596" s="10" t="s">
        <v>3770</v>
      </c>
      <c r="B1596" s="10" t="s">
        <v>45</v>
      </c>
      <c r="C1596" s="8" t="s">
        <v>3761</v>
      </c>
      <c r="D1596" s="8" t="s">
        <v>3771</v>
      </c>
      <c r="E1596" s="11" t="n">
        <v>266</v>
      </c>
      <c r="F1596" s="8" t="str">
        <f aca="false">IFERROR(INDEX(Section_Master!$D$2:$D$477,MATCH($E1596,Section_Master!$A$2:$A$477,0))&amp;"","")</f>
        <v>Same punishment as for the original sentence, if not already served</v>
      </c>
      <c r="G1596" s="10" t="str">
        <f aca="false">IFERROR(INDEX(Section_Master!$E$2:$E$477,MATCH($E1596,Section_Master!$A$2:$A$477,0))&amp;"","")</f>
        <v>No</v>
      </c>
      <c r="H1596" s="10" t="str">
        <f aca="false">IFERROR(INDEX(Section_Master!$F$2:$F$477,MATCH($E1596,Section_Master!$A$2:$A$477,0))&amp;"","")</f>
        <v>No</v>
      </c>
      <c r="I1596" s="10" t="str">
        <f aca="false">IFERROR(INDEX(Section_Master!$G$2:$G$477,MATCH($E1596,Section_Master!$A$2:$A$477,0))&amp;"","")</f>
        <v>No</v>
      </c>
      <c r="J1596" s="10" t="s">
        <v>61</v>
      </c>
      <c r="K1596" s="8" t="s">
        <v>3763</v>
      </c>
    </row>
    <row r="1597" customFormat="false" ht="34.5" hidden="false" customHeight="true" outlineLevel="0" collapsed="false">
      <c r="A1597" s="10" t="s">
        <v>3772</v>
      </c>
      <c r="B1597" s="10" t="s">
        <v>45</v>
      </c>
      <c r="C1597" s="8" t="s">
        <v>3761</v>
      </c>
      <c r="D1597" s="8" t="s">
        <v>3773</v>
      </c>
      <c r="E1597" s="11" t="n">
        <v>266</v>
      </c>
      <c r="F1597" s="8" t="str">
        <f aca="false">IFERROR(INDEX(Section_Master!$D$2:$D$477,MATCH($E1597,Section_Master!$A$2:$A$477,0))&amp;"","")</f>
        <v>Same punishment as for the original sentence, if not already served</v>
      </c>
      <c r="G1597" s="10" t="str">
        <f aca="false">IFERROR(INDEX(Section_Master!$E$2:$E$477,MATCH($E1597,Section_Master!$A$2:$A$477,0))&amp;"","")</f>
        <v>No</v>
      </c>
      <c r="H1597" s="10" t="str">
        <f aca="false">IFERROR(INDEX(Section_Master!$F$2:$F$477,MATCH($E1597,Section_Master!$A$2:$A$477,0))&amp;"","")</f>
        <v>No</v>
      </c>
      <c r="I1597" s="10" t="str">
        <f aca="false">IFERROR(INDEX(Section_Master!$G$2:$G$477,MATCH($E1597,Section_Master!$A$2:$A$477,0))&amp;"","")</f>
        <v>No</v>
      </c>
      <c r="J1597" s="10" t="s">
        <v>64</v>
      </c>
      <c r="K1597" s="8" t="s">
        <v>3763</v>
      </c>
    </row>
    <row r="1598" customFormat="false" ht="34.5" hidden="false" customHeight="true" outlineLevel="0" collapsed="false">
      <c r="A1598" s="10" t="s">
        <v>3774</v>
      </c>
      <c r="B1598" s="10" t="s">
        <v>45</v>
      </c>
      <c r="C1598" s="8" t="s">
        <v>3775</v>
      </c>
      <c r="D1598" s="8" t="s">
        <v>3776</v>
      </c>
      <c r="E1598" s="11" t="n">
        <v>267</v>
      </c>
      <c r="F1598" s="8" t="str">
        <f aca="false">IFERROR(INDEX(Section_Master!$D$2:$D$477,MATCH($E1598,Section_Master!$A$2:$A$477,0))&amp;"","")</f>
        <v>Simple imprisonment up to 6 months, or fine, or both</v>
      </c>
      <c r="G1598" s="10" t="str">
        <f aca="false">IFERROR(INDEX(Section_Master!$E$2:$E$477,MATCH($E1598,Section_Master!$A$2:$A$477,0))&amp;"","")</f>
        <v>No</v>
      </c>
      <c r="H1598" s="10" t="str">
        <f aca="false">IFERROR(INDEX(Section_Master!$F$2:$F$477,MATCH($E1598,Section_Master!$A$2:$A$477,0))&amp;"","")</f>
        <v>Yes</v>
      </c>
      <c r="I1598" s="10" t="str">
        <f aca="false">IFERROR(INDEX(Section_Master!$G$2:$G$477,MATCH($E1598,Section_Master!$A$2:$A$477,0))&amp;"","")</f>
        <v>No</v>
      </c>
      <c r="J1598" s="10" t="s">
        <v>48</v>
      </c>
      <c r="K1598" s="8" t="s">
        <v>3777</v>
      </c>
    </row>
    <row r="1599" customFormat="false" ht="34.5" hidden="false" customHeight="true" outlineLevel="0" collapsed="false">
      <c r="A1599" s="10" t="s">
        <v>3778</v>
      </c>
      <c r="B1599" s="10" t="s">
        <v>45</v>
      </c>
      <c r="C1599" s="8" t="s">
        <v>3775</v>
      </c>
      <c r="D1599" s="8" t="s">
        <v>3779</v>
      </c>
      <c r="E1599" s="11" t="n">
        <v>267</v>
      </c>
      <c r="F1599" s="8" t="str">
        <f aca="false">IFERROR(INDEX(Section_Master!$D$2:$D$477,MATCH($E1599,Section_Master!$A$2:$A$477,0))&amp;"","")</f>
        <v>Simple imprisonment up to 6 months, or fine, or both</v>
      </c>
      <c r="G1599" s="10" t="str">
        <f aca="false">IFERROR(INDEX(Section_Master!$E$2:$E$477,MATCH($E1599,Section_Master!$A$2:$A$477,0))&amp;"","")</f>
        <v>No</v>
      </c>
      <c r="H1599" s="10" t="str">
        <f aca="false">IFERROR(INDEX(Section_Master!$F$2:$F$477,MATCH($E1599,Section_Master!$A$2:$A$477,0))&amp;"","")</f>
        <v>Yes</v>
      </c>
      <c r="I1599" s="10" t="str">
        <f aca="false">IFERROR(INDEX(Section_Master!$G$2:$G$477,MATCH($E1599,Section_Master!$A$2:$A$477,0))&amp;"","")</f>
        <v>No</v>
      </c>
      <c r="J1599" s="10" t="s">
        <v>52</v>
      </c>
      <c r="K1599" s="8" t="s">
        <v>3777</v>
      </c>
    </row>
    <row r="1600" customFormat="false" ht="34.5" hidden="false" customHeight="true" outlineLevel="0" collapsed="false">
      <c r="A1600" s="10" t="s">
        <v>3780</v>
      </c>
      <c r="B1600" s="10" t="s">
        <v>45</v>
      </c>
      <c r="C1600" s="8" t="s">
        <v>3775</v>
      </c>
      <c r="D1600" s="8" t="s">
        <v>3781</v>
      </c>
      <c r="E1600" s="11" t="n">
        <v>267</v>
      </c>
      <c r="F1600" s="8" t="str">
        <f aca="false">IFERROR(INDEX(Section_Master!$D$2:$D$477,MATCH($E1600,Section_Master!$A$2:$A$477,0))&amp;"","")</f>
        <v>Simple imprisonment up to 6 months, or fine, or both</v>
      </c>
      <c r="G1600" s="10" t="str">
        <f aca="false">IFERROR(INDEX(Section_Master!$E$2:$E$477,MATCH($E1600,Section_Master!$A$2:$A$477,0))&amp;"","")</f>
        <v>No</v>
      </c>
      <c r="H1600" s="10" t="str">
        <f aca="false">IFERROR(INDEX(Section_Master!$F$2:$F$477,MATCH($E1600,Section_Master!$A$2:$A$477,0))&amp;"","")</f>
        <v>Yes</v>
      </c>
      <c r="I1600" s="10" t="str">
        <f aca="false">IFERROR(INDEX(Section_Master!$G$2:$G$477,MATCH($E1600,Section_Master!$A$2:$A$477,0))&amp;"","")</f>
        <v>No</v>
      </c>
      <c r="J1600" s="10" t="s">
        <v>55</v>
      </c>
      <c r="K1600" s="8" t="s">
        <v>3777</v>
      </c>
    </row>
    <row r="1601" customFormat="false" ht="34.5" hidden="false" customHeight="true" outlineLevel="0" collapsed="false">
      <c r="A1601" s="10" t="s">
        <v>3782</v>
      </c>
      <c r="B1601" s="10" t="s">
        <v>45</v>
      </c>
      <c r="C1601" s="8" t="s">
        <v>3775</v>
      </c>
      <c r="D1601" s="8" t="s">
        <v>3783</v>
      </c>
      <c r="E1601" s="11" t="n">
        <v>267</v>
      </c>
      <c r="F1601" s="8" t="str">
        <f aca="false">IFERROR(INDEX(Section_Master!$D$2:$D$477,MATCH($E1601,Section_Master!$A$2:$A$477,0))&amp;"","")</f>
        <v>Simple imprisonment up to 6 months, or fine, or both</v>
      </c>
      <c r="G1601" s="10" t="str">
        <f aca="false">IFERROR(INDEX(Section_Master!$E$2:$E$477,MATCH($E1601,Section_Master!$A$2:$A$477,0))&amp;"","")</f>
        <v>No</v>
      </c>
      <c r="H1601" s="10" t="str">
        <f aca="false">IFERROR(INDEX(Section_Master!$F$2:$F$477,MATCH($E1601,Section_Master!$A$2:$A$477,0))&amp;"","")</f>
        <v>Yes</v>
      </c>
      <c r="I1601" s="10" t="str">
        <f aca="false">IFERROR(INDEX(Section_Master!$G$2:$G$477,MATCH($E1601,Section_Master!$A$2:$A$477,0))&amp;"","")</f>
        <v>No</v>
      </c>
      <c r="J1601" s="10" t="s">
        <v>58</v>
      </c>
      <c r="K1601" s="8" t="s">
        <v>3777</v>
      </c>
    </row>
    <row r="1602" customFormat="false" ht="34.5" hidden="false" customHeight="true" outlineLevel="0" collapsed="false">
      <c r="A1602" s="10" t="s">
        <v>3784</v>
      </c>
      <c r="B1602" s="10" t="s">
        <v>45</v>
      </c>
      <c r="C1602" s="8" t="s">
        <v>3775</v>
      </c>
      <c r="D1602" s="8" t="s">
        <v>3785</v>
      </c>
      <c r="E1602" s="11" t="n">
        <v>267</v>
      </c>
      <c r="F1602" s="8" t="str">
        <f aca="false">IFERROR(INDEX(Section_Master!$D$2:$D$477,MATCH($E1602,Section_Master!$A$2:$A$477,0))&amp;"","")</f>
        <v>Simple imprisonment up to 6 months, or fine, or both</v>
      </c>
      <c r="G1602" s="10" t="str">
        <f aca="false">IFERROR(INDEX(Section_Master!$E$2:$E$477,MATCH($E1602,Section_Master!$A$2:$A$477,0))&amp;"","")</f>
        <v>No</v>
      </c>
      <c r="H1602" s="10" t="str">
        <f aca="false">IFERROR(INDEX(Section_Master!$F$2:$F$477,MATCH($E1602,Section_Master!$A$2:$A$477,0))&amp;"","")</f>
        <v>Yes</v>
      </c>
      <c r="I1602" s="10" t="str">
        <f aca="false">IFERROR(INDEX(Section_Master!$G$2:$G$477,MATCH($E1602,Section_Master!$A$2:$A$477,0))&amp;"","")</f>
        <v>No</v>
      </c>
      <c r="J1602" s="10" t="s">
        <v>61</v>
      </c>
      <c r="K1602" s="8" t="s">
        <v>3777</v>
      </c>
    </row>
    <row r="1603" customFormat="false" ht="34.5" hidden="false" customHeight="true" outlineLevel="0" collapsed="false">
      <c r="A1603" s="10" t="s">
        <v>3786</v>
      </c>
      <c r="B1603" s="10" t="s">
        <v>45</v>
      </c>
      <c r="C1603" s="8" t="s">
        <v>3775</v>
      </c>
      <c r="D1603" s="8" t="s">
        <v>3787</v>
      </c>
      <c r="E1603" s="11" t="n">
        <v>267</v>
      </c>
      <c r="F1603" s="8" t="str">
        <f aca="false">IFERROR(INDEX(Section_Master!$D$2:$D$477,MATCH($E1603,Section_Master!$A$2:$A$477,0))&amp;"","")</f>
        <v>Simple imprisonment up to 6 months, or fine, or both</v>
      </c>
      <c r="G1603" s="10" t="str">
        <f aca="false">IFERROR(INDEX(Section_Master!$E$2:$E$477,MATCH($E1603,Section_Master!$A$2:$A$477,0))&amp;"","")</f>
        <v>No</v>
      </c>
      <c r="H1603" s="10" t="str">
        <f aca="false">IFERROR(INDEX(Section_Master!$F$2:$F$477,MATCH($E1603,Section_Master!$A$2:$A$477,0))&amp;"","")</f>
        <v>Yes</v>
      </c>
      <c r="I1603" s="10" t="str">
        <f aca="false">IFERROR(INDEX(Section_Master!$G$2:$G$477,MATCH($E1603,Section_Master!$A$2:$A$477,0))&amp;"","")</f>
        <v>No</v>
      </c>
      <c r="J1603" s="10" t="s">
        <v>64</v>
      </c>
      <c r="K1603" s="8" t="s">
        <v>3777</v>
      </c>
    </row>
    <row r="1604" customFormat="false" ht="34.5" hidden="false" customHeight="true" outlineLevel="0" collapsed="false">
      <c r="A1604" s="10" t="s">
        <v>3788</v>
      </c>
      <c r="B1604" s="10" t="s">
        <v>45</v>
      </c>
      <c r="C1604" s="8" t="s">
        <v>3789</v>
      </c>
      <c r="D1604" s="8" t="s">
        <v>3790</v>
      </c>
      <c r="E1604" s="11" t="n">
        <v>268</v>
      </c>
      <c r="F1604" s="8" t="str">
        <f aca="false">IFERROR(INDEX(Section_Master!$D$2:$D$477,MATCH($E1604,Section_Master!$A$2:$A$477,0))&amp;"","")</f>
        <v>Imprisonment up to 2 years, or fine, or both</v>
      </c>
      <c r="G1604" s="10" t="str">
        <f aca="false">IFERROR(INDEX(Section_Master!$E$2:$E$477,MATCH($E1604,Section_Master!$A$2:$A$477,0))&amp;"","")</f>
        <v>No</v>
      </c>
      <c r="H1604" s="10" t="str">
        <f aca="false">IFERROR(INDEX(Section_Master!$F$2:$F$477,MATCH($E1604,Section_Master!$A$2:$A$477,0))&amp;"","")</f>
        <v>Yes</v>
      </c>
      <c r="I1604" s="10" t="str">
        <f aca="false">IFERROR(INDEX(Section_Master!$G$2:$G$477,MATCH($E1604,Section_Master!$A$2:$A$477,0))&amp;"","")</f>
        <v>No</v>
      </c>
      <c r="J1604" s="10" t="s">
        <v>48</v>
      </c>
      <c r="K1604" s="8" t="s">
        <v>3791</v>
      </c>
    </row>
    <row r="1605" customFormat="false" ht="34.5" hidden="false" customHeight="true" outlineLevel="0" collapsed="false">
      <c r="A1605" s="10" t="s">
        <v>3792</v>
      </c>
      <c r="B1605" s="10" t="s">
        <v>45</v>
      </c>
      <c r="C1605" s="8" t="s">
        <v>3789</v>
      </c>
      <c r="D1605" s="8" t="s">
        <v>3793</v>
      </c>
      <c r="E1605" s="11" t="n">
        <v>268</v>
      </c>
      <c r="F1605" s="8" t="str">
        <f aca="false">IFERROR(INDEX(Section_Master!$D$2:$D$477,MATCH($E1605,Section_Master!$A$2:$A$477,0))&amp;"","")</f>
        <v>Imprisonment up to 2 years, or fine, or both</v>
      </c>
      <c r="G1605" s="10" t="str">
        <f aca="false">IFERROR(INDEX(Section_Master!$E$2:$E$477,MATCH($E1605,Section_Master!$A$2:$A$477,0))&amp;"","")</f>
        <v>No</v>
      </c>
      <c r="H1605" s="10" t="str">
        <f aca="false">IFERROR(INDEX(Section_Master!$F$2:$F$477,MATCH($E1605,Section_Master!$A$2:$A$477,0))&amp;"","")</f>
        <v>Yes</v>
      </c>
      <c r="I1605" s="10" t="str">
        <f aca="false">IFERROR(INDEX(Section_Master!$G$2:$G$477,MATCH($E1605,Section_Master!$A$2:$A$477,0))&amp;"","")</f>
        <v>No</v>
      </c>
      <c r="J1605" s="10" t="s">
        <v>52</v>
      </c>
      <c r="K1605" s="8" t="s">
        <v>3791</v>
      </c>
    </row>
    <row r="1606" customFormat="false" ht="34.5" hidden="false" customHeight="true" outlineLevel="0" collapsed="false">
      <c r="A1606" s="10" t="s">
        <v>3794</v>
      </c>
      <c r="B1606" s="10" t="s">
        <v>45</v>
      </c>
      <c r="C1606" s="8" t="s">
        <v>3789</v>
      </c>
      <c r="D1606" s="8" t="s">
        <v>3795</v>
      </c>
      <c r="E1606" s="11" t="n">
        <v>268</v>
      </c>
      <c r="F1606" s="8" t="str">
        <f aca="false">IFERROR(INDEX(Section_Master!$D$2:$D$477,MATCH($E1606,Section_Master!$A$2:$A$477,0))&amp;"","")</f>
        <v>Imprisonment up to 2 years, or fine, or both</v>
      </c>
      <c r="G1606" s="10" t="str">
        <f aca="false">IFERROR(INDEX(Section_Master!$E$2:$E$477,MATCH($E1606,Section_Master!$A$2:$A$477,0))&amp;"","")</f>
        <v>No</v>
      </c>
      <c r="H1606" s="10" t="str">
        <f aca="false">IFERROR(INDEX(Section_Master!$F$2:$F$477,MATCH($E1606,Section_Master!$A$2:$A$477,0))&amp;"","")</f>
        <v>Yes</v>
      </c>
      <c r="I1606" s="10" t="str">
        <f aca="false">IFERROR(INDEX(Section_Master!$G$2:$G$477,MATCH($E1606,Section_Master!$A$2:$A$477,0))&amp;"","")</f>
        <v>No</v>
      </c>
      <c r="J1606" s="10" t="s">
        <v>55</v>
      </c>
      <c r="K1606" s="8" t="s">
        <v>3791</v>
      </c>
    </row>
    <row r="1607" customFormat="false" ht="34.5" hidden="false" customHeight="true" outlineLevel="0" collapsed="false">
      <c r="A1607" s="10" t="s">
        <v>3796</v>
      </c>
      <c r="B1607" s="10" t="s">
        <v>45</v>
      </c>
      <c r="C1607" s="8" t="s">
        <v>3789</v>
      </c>
      <c r="D1607" s="8" t="s">
        <v>3797</v>
      </c>
      <c r="E1607" s="11" t="n">
        <v>268</v>
      </c>
      <c r="F1607" s="8" t="str">
        <f aca="false">IFERROR(INDEX(Section_Master!$D$2:$D$477,MATCH($E1607,Section_Master!$A$2:$A$477,0))&amp;"","")</f>
        <v>Imprisonment up to 2 years, or fine, or both</v>
      </c>
      <c r="G1607" s="10" t="str">
        <f aca="false">IFERROR(INDEX(Section_Master!$E$2:$E$477,MATCH($E1607,Section_Master!$A$2:$A$477,0))&amp;"","")</f>
        <v>No</v>
      </c>
      <c r="H1607" s="10" t="str">
        <f aca="false">IFERROR(INDEX(Section_Master!$F$2:$F$477,MATCH($E1607,Section_Master!$A$2:$A$477,0))&amp;"","")</f>
        <v>Yes</v>
      </c>
      <c r="I1607" s="10" t="str">
        <f aca="false">IFERROR(INDEX(Section_Master!$G$2:$G$477,MATCH($E1607,Section_Master!$A$2:$A$477,0))&amp;"","")</f>
        <v>No</v>
      </c>
      <c r="J1607" s="10" t="s">
        <v>58</v>
      </c>
      <c r="K1607" s="8" t="s">
        <v>3791</v>
      </c>
    </row>
    <row r="1608" customFormat="false" ht="23.25" hidden="false" customHeight="true" outlineLevel="0" collapsed="false">
      <c r="A1608" s="10" t="s">
        <v>3798</v>
      </c>
      <c r="B1608" s="10" t="s">
        <v>45</v>
      </c>
      <c r="C1608" s="8" t="s">
        <v>3789</v>
      </c>
      <c r="D1608" s="8" t="s">
        <v>3799</v>
      </c>
      <c r="E1608" s="11" t="n">
        <v>268</v>
      </c>
      <c r="F1608" s="8" t="str">
        <f aca="false">IFERROR(INDEX(Section_Master!$D$2:$D$477,MATCH($E1608,Section_Master!$A$2:$A$477,0))&amp;"","")</f>
        <v>Imprisonment up to 2 years, or fine, or both</v>
      </c>
      <c r="G1608" s="10" t="str">
        <f aca="false">IFERROR(INDEX(Section_Master!$E$2:$E$477,MATCH($E1608,Section_Master!$A$2:$A$477,0))&amp;"","")</f>
        <v>No</v>
      </c>
      <c r="H1608" s="10" t="str">
        <f aca="false">IFERROR(INDEX(Section_Master!$F$2:$F$477,MATCH($E1608,Section_Master!$A$2:$A$477,0))&amp;"","")</f>
        <v>Yes</v>
      </c>
      <c r="I1608" s="10" t="str">
        <f aca="false">IFERROR(INDEX(Section_Master!$G$2:$G$477,MATCH($E1608,Section_Master!$A$2:$A$477,0))&amp;"","")</f>
        <v>No</v>
      </c>
      <c r="J1608" s="10" t="s">
        <v>61</v>
      </c>
      <c r="K1608" s="8" t="s">
        <v>3791</v>
      </c>
    </row>
    <row r="1609" customFormat="false" ht="34.5" hidden="false" customHeight="true" outlineLevel="0" collapsed="false">
      <c r="A1609" s="10" t="s">
        <v>3800</v>
      </c>
      <c r="B1609" s="10" t="s">
        <v>45</v>
      </c>
      <c r="C1609" s="8" t="s">
        <v>3789</v>
      </c>
      <c r="D1609" s="8" t="s">
        <v>3801</v>
      </c>
      <c r="E1609" s="11" t="n">
        <v>268</v>
      </c>
      <c r="F1609" s="8" t="str">
        <f aca="false">IFERROR(INDEX(Section_Master!$D$2:$D$477,MATCH($E1609,Section_Master!$A$2:$A$477,0))&amp;"","")</f>
        <v>Imprisonment up to 2 years, or fine, or both</v>
      </c>
      <c r="G1609" s="10" t="str">
        <f aca="false">IFERROR(INDEX(Section_Master!$E$2:$E$477,MATCH($E1609,Section_Master!$A$2:$A$477,0))&amp;"","")</f>
        <v>No</v>
      </c>
      <c r="H1609" s="10" t="str">
        <f aca="false">IFERROR(INDEX(Section_Master!$F$2:$F$477,MATCH($E1609,Section_Master!$A$2:$A$477,0))&amp;"","")</f>
        <v>Yes</v>
      </c>
      <c r="I1609" s="10" t="str">
        <f aca="false">IFERROR(INDEX(Section_Master!$G$2:$G$477,MATCH($E1609,Section_Master!$A$2:$A$477,0))&amp;"","")</f>
        <v>No</v>
      </c>
      <c r="J1609" s="10" t="s">
        <v>64</v>
      </c>
      <c r="K1609" s="8" t="s">
        <v>3791</v>
      </c>
    </row>
    <row r="1610" customFormat="false" ht="34.5" hidden="false" customHeight="true" outlineLevel="0" collapsed="false">
      <c r="A1610" s="10" t="s">
        <v>3802</v>
      </c>
      <c r="B1610" s="10" t="s">
        <v>45</v>
      </c>
      <c r="C1610" s="8" t="s">
        <v>3803</v>
      </c>
      <c r="D1610" s="8" t="s">
        <v>3804</v>
      </c>
      <c r="E1610" s="11" t="n">
        <v>269</v>
      </c>
      <c r="F1610" s="8" t="str">
        <f aca="false">IFERROR(INDEX(Section_Master!$D$2:$D$477,MATCH($E1610,Section_Master!$A$2:$A$477,0))&amp;"","")</f>
        <v>Imprisonment up to 1 year, or fine, or both, or community service</v>
      </c>
      <c r="G1610" s="10" t="str">
        <f aca="false">IFERROR(INDEX(Section_Master!$E$2:$E$477,MATCH($E1610,Section_Master!$A$2:$A$477,0))&amp;"","")</f>
        <v>No</v>
      </c>
      <c r="H1610" s="10" t="str">
        <f aca="false">IFERROR(INDEX(Section_Master!$F$2:$F$477,MATCH($E1610,Section_Master!$A$2:$A$477,0))&amp;"","")</f>
        <v>Yes</v>
      </c>
      <c r="I1610" s="10" t="str">
        <f aca="false">IFERROR(INDEX(Section_Master!$G$2:$G$477,MATCH($E1610,Section_Master!$A$2:$A$477,0))&amp;"","")</f>
        <v>No</v>
      </c>
      <c r="J1610" s="10" t="s">
        <v>48</v>
      </c>
      <c r="K1610" s="8" t="s">
        <v>3805</v>
      </c>
    </row>
    <row r="1611" customFormat="false" ht="34.5" hidden="false" customHeight="true" outlineLevel="0" collapsed="false">
      <c r="A1611" s="10" t="s">
        <v>3806</v>
      </c>
      <c r="B1611" s="10" t="s">
        <v>45</v>
      </c>
      <c r="C1611" s="8" t="s">
        <v>3803</v>
      </c>
      <c r="D1611" s="8" t="s">
        <v>3807</v>
      </c>
      <c r="E1611" s="11" t="n">
        <v>269</v>
      </c>
      <c r="F1611" s="8" t="str">
        <f aca="false">IFERROR(INDEX(Section_Master!$D$2:$D$477,MATCH($E1611,Section_Master!$A$2:$A$477,0))&amp;"","")</f>
        <v>Imprisonment up to 1 year, or fine, or both, or community service</v>
      </c>
      <c r="G1611" s="10" t="str">
        <f aca="false">IFERROR(INDEX(Section_Master!$E$2:$E$477,MATCH($E1611,Section_Master!$A$2:$A$477,0))&amp;"","")</f>
        <v>No</v>
      </c>
      <c r="H1611" s="10" t="str">
        <f aca="false">IFERROR(INDEX(Section_Master!$F$2:$F$477,MATCH($E1611,Section_Master!$A$2:$A$477,0))&amp;"","")</f>
        <v>Yes</v>
      </c>
      <c r="I1611" s="10" t="str">
        <f aca="false">IFERROR(INDEX(Section_Master!$G$2:$G$477,MATCH($E1611,Section_Master!$A$2:$A$477,0))&amp;"","")</f>
        <v>No</v>
      </c>
      <c r="J1611" s="10" t="s">
        <v>52</v>
      </c>
      <c r="K1611" s="8" t="s">
        <v>3805</v>
      </c>
    </row>
    <row r="1612" customFormat="false" ht="34.5" hidden="false" customHeight="true" outlineLevel="0" collapsed="false">
      <c r="A1612" s="10" t="s">
        <v>3808</v>
      </c>
      <c r="B1612" s="10" t="s">
        <v>45</v>
      </c>
      <c r="C1612" s="8" t="s">
        <v>3803</v>
      </c>
      <c r="D1612" s="8" t="s">
        <v>3809</v>
      </c>
      <c r="E1612" s="11" t="n">
        <v>269</v>
      </c>
      <c r="F1612" s="8" t="str">
        <f aca="false">IFERROR(INDEX(Section_Master!$D$2:$D$477,MATCH($E1612,Section_Master!$A$2:$A$477,0))&amp;"","")</f>
        <v>Imprisonment up to 1 year, or fine, or both, or community service</v>
      </c>
      <c r="G1612" s="10" t="str">
        <f aca="false">IFERROR(INDEX(Section_Master!$E$2:$E$477,MATCH($E1612,Section_Master!$A$2:$A$477,0))&amp;"","")</f>
        <v>No</v>
      </c>
      <c r="H1612" s="10" t="str">
        <f aca="false">IFERROR(INDEX(Section_Master!$F$2:$F$477,MATCH($E1612,Section_Master!$A$2:$A$477,0))&amp;"","")</f>
        <v>Yes</v>
      </c>
      <c r="I1612" s="10" t="str">
        <f aca="false">IFERROR(INDEX(Section_Master!$G$2:$G$477,MATCH($E1612,Section_Master!$A$2:$A$477,0))&amp;"","")</f>
        <v>No</v>
      </c>
      <c r="J1612" s="10" t="s">
        <v>55</v>
      </c>
      <c r="K1612" s="8" t="s">
        <v>3805</v>
      </c>
    </row>
    <row r="1613" customFormat="false" ht="23.25" hidden="false" customHeight="true" outlineLevel="0" collapsed="false">
      <c r="A1613" s="10" t="s">
        <v>3810</v>
      </c>
      <c r="B1613" s="10" t="s">
        <v>45</v>
      </c>
      <c r="C1613" s="8" t="s">
        <v>3803</v>
      </c>
      <c r="D1613" s="8" t="s">
        <v>3811</v>
      </c>
      <c r="E1613" s="11" t="n">
        <v>269</v>
      </c>
      <c r="F1613" s="8" t="str">
        <f aca="false">IFERROR(INDEX(Section_Master!$D$2:$D$477,MATCH($E1613,Section_Master!$A$2:$A$477,0))&amp;"","")</f>
        <v>Imprisonment up to 1 year, or fine, or both, or community service</v>
      </c>
      <c r="G1613" s="10" t="str">
        <f aca="false">IFERROR(INDEX(Section_Master!$E$2:$E$477,MATCH($E1613,Section_Master!$A$2:$A$477,0))&amp;"","")</f>
        <v>No</v>
      </c>
      <c r="H1613" s="10" t="str">
        <f aca="false">IFERROR(INDEX(Section_Master!$F$2:$F$477,MATCH($E1613,Section_Master!$A$2:$A$477,0))&amp;"","")</f>
        <v>Yes</v>
      </c>
      <c r="I1613" s="10" t="str">
        <f aca="false">IFERROR(INDEX(Section_Master!$G$2:$G$477,MATCH($E1613,Section_Master!$A$2:$A$477,0))&amp;"","")</f>
        <v>No</v>
      </c>
      <c r="J1613" s="10" t="s">
        <v>58</v>
      </c>
      <c r="K1613" s="8" t="s">
        <v>3805</v>
      </c>
    </row>
    <row r="1614" customFormat="false" ht="23.25" hidden="false" customHeight="true" outlineLevel="0" collapsed="false">
      <c r="A1614" s="10" t="s">
        <v>3812</v>
      </c>
      <c r="B1614" s="10" t="s">
        <v>45</v>
      </c>
      <c r="C1614" s="8" t="s">
        <v>3803</v>
      </c>
      <c r="D1614" s="8" t="s">
        <v>3813</v>
      </c>
      <c r="E1614" s="11" t="n">
        <v>269</v>
      </c>
      <c r="F1614" s="8" t="str">
        <f aca="false">IFERROR(INDEX(Section_Master!$D$2:$D$477,MATCH($E1614,Section_Master!$A$2:$A$477,0))&amp;"","")</f>
        <v>Imprisonment up to 1 year, or fine, or both, or community service</v>
      </c>
      <c r="G1614" s="10" t="str">
        <f aca="false">IFERROR(INDEX(Section_Master!$E$2:$E$477,MATCH($E1614,Section_Master!$A$2:$A$477,0))&amp;"","")</f>
        <v>No</v>
      </c>
      <c r="H1614" s="10" t="str">
        <f aca="false">IFERROR(INDEX(Section_Master!$F$2:$F$477,MATCH($E1614,Section_Master!$A$2:$A$477,0))&amp;"","")</f>
        <v>Yes</v>
      </c>
      <c r="I1614" s="10" t="str">
        <f aca="false">IFERROR(INDEX(Section_Master!$G$2:$G$477,MATCH($E1614,Section_Master!$A$2:$A$477,0))&amp;"","")</f>
        <v>No</v>
      </c>
      <c r="J1614" s="10" t="s">
        <v>61</v>
      </c>
      <c r="K1614" s="8" t="s">
        <v>3805</v>
      </c>
    </row>
    <row r="1615" customFormat="false" ht="34.5" hidden="false" customHeight="true" outlineLevel="0" collapsed="false">
      <c r="A1615" s="10" t="s">
        <v>3814</v>
      </c>
      <c r="B1615" s="10" t="s">
        <v>45</v>
      </c>
      <c r="C1615" s="8" t="s">
        <v>3803</v>
      </c>
      <c r="D1615" s="8" t="s">
        <v>3815</v>
      </c>
      <c r="E1615" s="11" t="n">
        <v>269</v>
      </c>
      <c r="F1615" s="8" t="str">
        <f aca="false">IFERROR(INDEX(Section_Master!$D$2:$D$477,MATCH($E1615,Section_Master!$A$2:$A$477,0))&amp;"","")</f>
        <v>Imprisonment up to 1 year, or fine, or both, or community service</v>
      </c>
      <c r="G1615" s="10" t="str">
        <f aca="false">IFERROR(INDEX(Section_Master!$E$2:$E$477,MATCH($E1615,Section_Master!$A$2:$A$477,0))&amp;"","")</f>
        <v>No</v>
      </c>
      <c r="H1615" s="10" t="str">
        <f aca="false">IFERROR(INDEX(Section_Master!$F$2:$F$477,MATCH($E1615,Section_Master!$A$2:$A$477,0))&amp;"","")</f>
        <v>Yes</v>
      </c>
      <c r="I1615" s="10" t="str">
        <f aca="false">IFERROR(INDEX(Section_Master!$G$2:$G$477,MATCH($E1615,Section_Master!$A$2:$A$477,0))&amp;"","")</f>
        <v>No</v>
      </c>
      <c r="J1615" s="10" t="s">
        <v>64</v>
      </c>
      <c r="K1615" s="8" t="s">
        <v>3805</v>
      </c>
    </row>
    <row r="1616" customFormat="false" ht="34.5" hidden="false" customHeight="true" outlineLevel="0" collapsed="false">
      <c r="A1616" s="10" t="s">
        <v>3816</v>
      </c>
      <c r="B1616" s="10" t="s">
        <v>45</v>
      </c>
      <c r="C1616" s="8" t="s">
        <v>3817</v>
      </c>
      <c r="D1616" s="8" t="s">
        <v>3818</v>
      </c>
      <c r="E1616" s="11" t="n">
        <v>270</v>
      </c>
      <c r="F1616" s="8" t="str">
        <f aca="false">IFERROR(INDEX(Section_Master!$D$2:$D$477,MATCH($E1616,Section_Master!$A$2:$A$477,0))&amp;"","")</f>
        <v>Not applicable - no offence or penalty defined here (definition, exception or general provision)</v>
      </c>
      <c r="G1616" s="10" t="str">
        <f aca="false">IFERROR(INDEX(Section_Master!$E$2:$E$477,MATCH($E1616,Section_Master!$A$2:$A$477,0))&amp;"","")</f>
        <v>N/A</v>
      </c>
      <c r="H1616" s="10" t="str">
        <f aca="false">IFERROR(INDEX(Section_Master!$F$2:$F$477,MATCH($E1616,Section_Master!$A$2:$A$477,0))&amp;"","")</f>
        <v>N/A</v>
      </c>
      <c r="I1616" s="10" t="str">
        <f aca="false">IFERROR(INDEX(Section_Master!$G$2:$G$477,MATCH($E1616,Section_Master!$A$2:$A$477,0))&amp;"","")</f>
        <v>N/A</v>
      </c>
      <c r="J1616" s="10" t="s">
        <v>48</v>
      </c>
      <c r="K1616" s="8" t="s">
        <v>3819</v>
      </c>
    </row>
    <row r="1617" customFormat="false" ht="34.5" hidden="false" customHeight="true" outlineLevel="0" collapsed="false">
      <c r="A1617" s="10" t="s">
        <v>3820</v>
      </c>
      <c r="B1617" s="10" t="s">
        <v>45</v>
      </c>
      <c r="C1617" s="8" t="s">
        <v>3817</v>
      </c>
      <c r="D1617" s="8" t="s">
        <v>3821</v>
      </c>
      <c r="E1617" s="11" t="n">
        <v>270</v>
      </c>
      <c r="F1617" s="8" t="str">
        <f aca="false">IFERROR(INDEX(Section_Master!$D$2:$D$477,MATCH($E1617,Section_Master!$A$2:$A$477,0))&amp;"","")</f>
        <v>Not applicable - no offence or penalty defined here (definition, exception or general provision)</v>
      </c>
      <c r="G1617" s="10" t="str">
        <f aca="false">IFERROR(INDEX(Section_Master!$E$2:$E$477,MATCH($E1617,Section_Master!$A$2:$A$477,0))&amp;"","")</f>
        <v>N/A</v>
      </c>
      <c r="H1617" s="10" t="str">
        <f aca="false">IFERROR(INDEX(Section_Master!$F$2:$F$477,MATCH($E1617,Section_Master!$A$2:$A$477,0))&amp;"","")</f>
        <v>N/A</v>
      </c>
      <c r="I1617" s="10" t="str">
        <f aca="false">IFERROR(INDEX(Section_Master!$G$2:$G$477,MATCH($E1617,Section_Master!$A$2:$A$477,0))&amp;"","")</f>
        <v>N/A</v>
      </c>
      <c r="J1617" s="10" t="s">
        <v>52</v>
      </c>
      <c r="K1617" s="8" t="s">
        <v>3819</v>
      </c>
    </row>
    <row r="1618" customFormat="false" ht="34.5" hidden="false" customHeight="true" outlineLevel="0" collapsed="false">
      <c r="A1618" s="10" t="s">
        <v>3822</v>
      </c>
      <c r="B1618" s="10" t="s">
        <v>45</v>
      </c>
      <c r="C1618" s="8" t="s">
        <v>3817</v>
      </c>
      <c r="D1618" s="8" t="s">
        <v>3823</v>
      </c>
      <c r="E1618" s="11" t="n">
        <v>270</v>
      </c>
      <c r="F1618" s="8" t="str">
        <f aca="false">IFERROR(INDEX(Section_Master!$D$2:$D$477,MATCH($E1618,Section_Master!$A$2:$A$477,0))&amp;"","")</f>
        <v>Not applicable - no offence or penalty defined here (definition, exception or general provision)</v>
      </c>
      <c r="G1618" s="10" t="str">
        <f aca="false">IFERROR(INDEX(Section_Master!$E$2:$E$477,MATCH($E1618,Section_Master!$A$2:$A$477,0))&amp;"","")</f>
        <v>N/A</v>
      </c>
      <c r="H1618" s="10" t="str">
        <f aca="false">IFERROR(INDEX(Section_Master!$F$2:$F$477,MATCH($E1618,Section_Master!$A$2:$A$477,0))&amp;"","")</f>
        <v>N/A</v>
      </c>
      <c r="I1618" s="10" t="str">
        <f aca="false">IFERROR(INDEX(Section_Master!$G$2:$G$477,MATCH($E1618,Section_Master!$A$2:$A$477,0))&amp;"","")</f>
        <v>N/A</v>
      </c>
      <c r="J1618" s="10" t="s">
        <v>55</v>
      </c>
      <c r="K1618" s="8" t="s">
        <v>3819</v>
      </c>
    </row>
    <row r="1619" customFormat="false" ht="23.25" hidden="false" customHeight="true" outlineLevel="0" collapsed="false">
      <c r="A1619" s="10" t="s">
        <v>3824</v>
      </c>
      <c r="B1619" s="10" t="s">
        <v>45</v>
      </c>
      <c r="C1619" s="8" t="s">
        <v>3817</v>
      </c>
      <c r="D1619" s="8" t="s">
        <v>3825</v>
      </c>
      <c r="E1619" s="11" t="n">
        <v>270</v>
      </c>
      <c r="F1619" s="8" t="str">
        <f aca="false">IFERROR(INDEX(Section_Master!$D$2:$D$477,MATCH($E1619,Section_Master!$A$2:$A$477,0))&amp;"","")</f>
        <v>Not applicable - no offence or penalty defined here (definition, exception or general provision)</v>
      </c>
      <c r="G1619" s="10" t="str">
        <f aca="false">IFERROR(INDEX(Section_Master!$E$2:$E$477,MATCH($E1619,Section_Master!$A$2:$A$477,0))&amp;"","")</f>
        <v>N/A</v>
      </c>
      <c r="H1619" s="10" t="str">
        <f aca="false">IFERROR(INDEX(Section_Master!$F$2:$F$477,MATCH($E1619,Section_Master!$A$2:$A$477,0))&amp;"","")</f>
        <v>N/A</v>
      </c>
      <c r="I1619" s="10" t="str">
        <f aca="false">IFERROR(INDEX(Section_Master!$G$2:$G$477,MATCH($E1619,Section_Master!$A$2:$A$477,0))&amp;"","")</f>
        <v>N/A</v>
      </c>
      <c r="J1619" s="10" t="s">
        <v>58</v>
      </c>
      <c r="K1619" s="8" t="s">
        <v>3819</v>
      </c>
    </row>
    <row r="1620" customFormat="false" ht="23.25" hidden="false" customHeight="true" outlineLevel="0" collapsed="false">
      <c r="A1620" s="10" t="s">
        <v>3826</v>
      </c>
      <c r="B1620" s="10" t="s">
        <v>45</v>
      </c>
      <c r="C1620" s="8" t="s">
        <v>3817</v>
      </c>
      <c r="D1620" s="8" t="s">
        <v>3827</v>
      </c>
      <c r="E1620" s="11" t="n">
        <v>270</v>
      </c>
      <c r="F1620" s="8" t="str">
        <f aca="false">IFERROR(INDEX(Section_Master!$D$2:$D$477,MATCH($E1620,Section_Master!$A$2:$A$477,0))&amp;"","")</f>
        <v>Not applicable - no offence or penalty defined here (definition, exception or general provision)</v>
      </c>
      <c r="G1620" s="10" t="str">
        <f aca="false">IFERROR(INDEX(Section_Master!$E$2:$E$477,MATCH($E1620,Section_Master!$A$2:$A$477,0))&amp;"","")</f>
        <v>N/A</v>
      </c>
      <c r="H1620" s="10" t="str">
        <f aca="false">IFERROR(INDEX(Section_Master!$F$2:$F$477,MATCH($E1620,Section_Master!$A$2:$A$477,0))&amp;"","")</f>
        <v>N/A</v>
      </c>
      <c r="I1620" s="10" t="str">
        <f aca="false">IFERROR(INDEX(Section_Master!$G$2:$G$477,MATCH($E1620,Section_Master!$A$2:$A$477,0))&amp;"","")</f>
        <v>N/A</v>
      </c>
      <c r="J1620" s="10" t="s">
        <v>61</v>
      </c>
      <c r="K1620" s="8" t="s">
        <v>3819</v>
      </c>
    </row>
    <row r="1621" customFormat="false" ht="34.5" hidden="false" customHeight="true" outlineLevel="0" collapsed="false">
      <c r="A1621" s="10" t="s">
        <v>3828</v>
      </c>
      <c r="B1621" s="10" t="s">
        <v>45</v>
      </c>
      <c r="C1621" s="8" t="s">
        <v>3817</v>
      </c>
      <c r="D1621" s="8" t="s">
        <v>3829</v>
      </c>
      <c r="E1621" s="11" t="n">
        <v>270</v>
      </c>
      <c r="F1621" s="8" t="str">
        <f aca="false">IFERROR(INDEX(Section_Master!$D$2:$D$477,MATCH($E1621,Section_Master!$A$2:$A$477,0))&amp;"","")</f>
        <v>Not applicable - no offence or penalty defined here (definition, exception or general provision)</v>
      </c>
      <c r="G1621" s="10" t="str">
        <f aca="false">IFERROR(INDEX(Section_Master!$E$2:$E$477,MATCH($E1621,Section_Master!$A$2:$A$477,0))&amp;"","")</f>
        <v>N/A</v>
      </c>
      <c r="H1621" s="10" t="str">
        <f aca="false">IFERROR(INDEX(Section_Master!$F$2:$F$477,MATCH($E1621,Section_Master!$A$2:$A$477,0))&amp;"","")</f>
        <v>N/A</v>
      </c>
      <c r="I1621" s="10" t="str">
        <f aca="false">IFERROR(INDEX(Section_Master!$G$2:$G$477,MATCH($E1621,Section_Master!$A$2:$A$477,0))&amp;"","")</f>
        <v>N/A</v>
      </c>
      <c r="J1621" s="10" t="s">
        <v>64</v>
      </c>
      <c r="K1621" s="8" t="s">
        <v>3819</v>
      </c>
    </row>
    <row r="1622" customFormat="false" ht="34.5" hidden="false" customHeight="true" outlineLevel="0" collapsed="false">
      <c r="A1622" s="10" t="s">
        <v>3830</v>
      </c>
      <c r="B1622" s="10" t="s">
        <v>45</v>
      </c>
      <c r="C1622" s="8" t="s">
        <v>3831</v>
      </c>
      <c r="D1622" s="8" t="s">
        <v>3832</v>
      </c>
      <c r="E1622" s="11" t="n">
        <v>271</v>
      </c>
      <c r="F1622" s="8" t="str">
        <f aca="false">IFERROR(INDEX(Section_Master!$D$2:$D$477,MATCH($E1622,Section_Master!$A$2:$A$477,0))&amp;"","")</f>
        <v>Imprisonment up to 6 months, or fine, or both</v>
      </c>
      <c r="G1622" s="10" t="str">
        <f aca="false">IFERROR(INDEX(Section_Master!$E$2:$E$477,MATCH($E1622,Section_Master!$A$2:$A$477,0))&amp;"","")</f>
        <v>Yes</v>
      </c>
      <c r="H1622" s="10" t="str">
        <f aca="false">IFERROR(INDEX(Section_Master!$F$2:$F$477,MATCH($E1622,Section_Master!$A$2:$A$477,0))&amp;"","")</f>
        <v>Yes</v>
      </c>
      <c r="I1622" s="10" t="str">
        <f aca="false">IFERROR(INDEX(Section_Master!$G$2:$G$477,MATCH($E1622,Section_Master!$A$2:$A$477,0))&amp;"","")</f>
        <v>No</v>
      </c>
      <c r="J1622" s="10" t="s">
        <v>48</v>
      </c>
      <c r="K1622" s="8" t="s">
        <v>3833</v>
      </c>
    </row>
    <row r="1623" customFormat="false" ht="34.5" hidden="false" customHeight="true" outlineLevel="0" collapsed="false">
      <c r="A1623" s="10" t="s">
        <v>3834</v>
      </c>
      <c r="B1623" s="10" t="s">
        <v>45</v>
      </c>
      <c r="C1623" s="8" t="s">
        <v>3831</v>
      </c>
      <c r="D1623" s="8" t="s">
        <v>3835</v>
      </c>
      <c r="E1623" s="11" t="n">
        <v>271</v>
      </c>
      <c r="F1623" s="8" t="str">
        <f aca="false">IFERROR(INDEX(Section_Master!$D$2:$D$477,MATCH($E1623,Section_Master!$A$2:$A$477,0))&amp;"","")</f>
        <v>Imprisonment up to 6 months, or fine, or both</v>
      </c>
      <c r="G1623" s="10" t="str">
        <f aca="false">IFERROR(INDEX(Section_Master!$E$2:$E$477,MATCH($E1623,Section_Master!$A$2:$A$477,0))&amp;"","")</f>
        <v>Yes</v>
      </c>
      <c r="H1623" s="10" t="str">
        <f aca="false">IFERROR(INDEX(Section_Master!$F$2:$F$477,MATCH($E1623,Section_Master!$A$2:$A$477,0))&amp;"","")</f>
        <v>Yes</v>
      </c>
      <c r="I1623" s="10" t="str">
        <f aca="false">IFERROR(INDEX(Section_Master!$G$2:$G$477,MATCH($E1623,Section_Master!$A$2:$A$477,0))&amp;"","")</f>
        <v>No</v>
      </c>
      <c r="J1623" s="10" t="s">
        <v>52</v>
      </c>
      <c r="K1623" s="8" t="s">
        <v>3833</v>
      </c>
    </row>
    <row r="1624" customFormat="false" ht="34.5" hidden="false" customHeight="true" outlineLevel="0" collapsed="false">
      <c r="A1624" s="10" t="s">
        <v>3836</v>
      </c>
      <c r="B1624" s="10" t="s">
        <v>45</v>
      </c>
      <c r="C1624" s="8" t="s">
        <v>3831</v>
      </c>
      <c r="D1624" s="8" t="s">
        <v>3837</v>
      </c>
      <c r="E1624" s="11" t="n">
        <v>271</v>
      </c>
      <c r="F1624" s="8" t="str">
        <f aca="false">IFERROR(INDEX(Section_Master!$D$2:$D$477,MATCH($E1624,Section_Master!$A$2:$A$477,0))&amp;"","")</f>
        <v>Imprisonment up to 6 months, or fine, or both</v>
      </c>
      <c r="G1624" s="10" t="str">
        <f aca="false">IFERROR(INDEX(Section_Master!$E$2:$E$477,MATCH($E1624,Section_Master!$A$2:$A$477,0))&amp;"","")</f>
        <v>Yes</v>
      </c>
      <c r="H1624" s="10" t="str">
        <f aca="false">IFERROR(INDEX(Section_Master!$F$2:$F$477,MATCH($E1624,Section_Master!$A$2:$A$477,0))&amp;"","")</f>
        <v>Yes</v>
      </c>
      <c r="I1624" s="10" t="str">
        <f aca="false">IFERROR(INDEX(Section_Master!$G$2:$G$477,MATCH($E1624,Section_Master!$A$2:$A$477,0))&amp;"","")</f>
        <v>No</v>
      </c>
      <c r="J1624" s="10" t="s">
        <v>55</v>
      </c>
      <c r="K1624" s="8" t="s">
        <v>3833</v>
      </c>
    </row>
    <row r="1625" customFormat="false" ht="23.25" hidden="false" customHeight="true" outlineLevel="0" collapsed="false">
      <c r="A1625" s="10" t="s">
        <v>3838</v>
      </c>
      <c r="B1625" s="10" t="s">
        <v>45</v>
      </c>
      <c r="C1625" s="8" t="s">
        <v>3831</v>
      </c>
      <c r="D1625" s="8" t="s">
        <v>3839</v>
      </c>
      <c r="E1625" s="11" t="n">
        <v>271</v>
      </c>
      <c r="F1625" s="8" t="str">
        <f aca="false">IFERROR(INDEX(Section_Master!$D$2:$D$477,MATCH($E1625,Section_Master!$A$2:$A$477,0))&amp;"","")</f>
        <v>Imprisonment up to 6 months, or fine, or both</v>
      </c>
      <c r="G1625" s="10" t="str">
        <f aca="false">IFERROR(INDEX(Section_Master!$E$2:$E$477,MATCH($E1625,Section_Master!$A$2:$A$477,0))&amp;"","")</f>
        <v>Yes</v>
      </c>
      <c r="H1625" s="10" t="str">
        <f aca="false">IFERROR(INDEX(Section_Master!$F$2:$F$477,MATCH($E1625,Section_Master!$A$2:$A$477,0))&amp;"","")</f>
        <v>Yes</v>
      </c>
      <c r="I1625" s="10" t="str">
        <f aca="false">IFERROR(INDEX(Section_Master!$G$2:$G$477,MATCH($E1625,Section_Master!$A$2:$A$477,0))&amp;"","")</f>
        <v>No</v>
      </c>
      <c r="J1625" s="10" t="s">
        <v>58</v>
      </c>
      <c r="K1625" s="8" t="s">
        <v>3833</v>
      </c>
    </row>
    <row r="1626" customFormat="false" ht="34.5" hidden="false" customHeight="true" outlineLevel="0" collapsed="false">
      <c r="A1626" s="10" t="s">
        <v>3840</v>
      </c>
      <c r="B1626" s="10" t="s">
        <v>45</v>
      </c>
      <c r="C1626" s="8" t="s">
        <v>3831</v>
      </c>
      <c r="D1626" s="8" t="s">
        <v>3841</v>
      </c>
      <c r="E1626" s="11" t="n">
        <v>271</v>
      </c>
      <c r="F1626" s="8" t="str">
        <f aca="false">IFERROR(INDEX(Section_Master!$D$2:$D$477,MATCH($E1626,Section_Master!$A$2:$A$477,0))&amp;"","")</f>
        <v>Imprisonment up to 6 months, or fine, or both</v>
      </c>
      <c r="G1626" s="10" t="str">
        <f aca="false">IFERROR(INDEX(Section_Master!$E$2:$E$477,MATCH($E1626,Section_Master!$A$2:$A$477,0))&amp;"","")</f>
        <v>Yes</v>
      </c>
      <c r="H1626" s="10" t="str">
        <f aca="false">IFERROR(INDEX(Section_Master!$F$2:$F$477,MATCH($E1626,Section_Master!$A$2:$A$477,0))&amp;"","")</f>
        <v>Yes</v>
      </c>
      <c r="I1626" s="10" t="str">
        <f aca="false">IFERROR(INDEX(Section_Master!$G$2:$G$477,MATCH($E1626,Section_Master!$A$2:$A$477,0))&amp;"","")</f>
        <v>No</v>
      </c>
      <c r="J1626" s="10" t="s">
        <v>61</v>
      </c>
      <c r="K1626" s="8" t="s">
        <v>3833</v>
      </c>
    </row>
    <row r="1627" customFormat="false" ht="34.5" hidden="false" customHeight="true" outlineLevel="0" collapsed="false">
      <c r="A1627" s="10" t="s">
        <v>3842</v>
      </c>
      <c r="B1627" s="10" t="s">
        <v>45</v>
      </c>
      <c r="C1627" s="8" t="s">
        <v>3831</v>
      </c>
      <c r="D1627" s="8" t="s">
        <v>3843</v>
      </c>
      <c r="E1627" s="11" t="n">
        <v>271</v>
      </c>
      <c r="F1627" s="8" t="str">
        <f aca="false">IFERROR(INDEX(Section_Master!$D$2:$D$477,MATCH($E1627,Section_Master!$A$2:$A$477,0))&amp;"","")</f>
        <v>Imprisonment up to 6 months, or fine, or both</v>
      </c>
      <c r="G1627" s="10" t="str">
        <f aca="false">IFERROR(INDEX(Section_Master!$E$2:$E$477,MATCH($E1627,Section_Master!$A$2:$A$477,0))&amp;"","")</f>
        <v>Yes</v>
      </c>
      <c r="H1627" s="10" t="str">
        <f aca="false">IFERROR(INDEX(Section_Master!$F$2:$F$477,MATCH($E1627,Section_Master!$A$2:$A$477,0))&amp;"","")</f>
        <v>Yes</v>
      </c>
      <c r="I1627" s="10" t="str">
        <f aca="false">IFERROR(INDEX(Section_Master!$G$2:$G$477,MATCH($E1627,Section_Master!$A$2:$A$477,0))&amp;"","")</f>
        <v>No</v>
      </c>
      <c r="J1627" s="10" t="s">
        <v>64</v>
      </c>
      <c r="K1627" s="8" t="s">
        <v>3833</v>
      </c>
    </row>
    <row r="1628" customFormat="false" ht="23.25" hidden="false" customHeight="true" outlineLevel="0" collapsed="false">
      <c r="A1628" s="10" t="s">
        <v>3844</v>
      </c>
      <c r="B1628" s="10" t="s">
        <v>45</v>
      </c>
      <c r="C1628" s="8" t="s">
        <v>3845</v>
      </c>
      <c r="D1628" s="8" t="s">
        <v>3846</v>
      </c>
      <c r="E1628" s="11" t="n">
        <v>272</v>
      </c>
      <c r="F1628" s="8" t="str">
        <f aca="false">IFERROR(INDEX(Section_Master!$D$2:$D$477,MATCH($E1628,Section_Master!$A$2:$A$477,0))&amp;"","")</f>
        <v>Imprisonment up to 2 years, or fine, or both</v>
      </c>
      <c r="G1628" s="10" t="str">
        <f aca="false">IFERROR(INDEX(Section_Master!$E$2:$E$477,MATCH($E1628,Section_Master!$A$2:$A$477,0))&amp;"","")</f>
        <v>Yes</v>
      </c>
      <c r="H1628" s="10" t="str">
        <f aca="false">IFERROR(INDEX(Section_Master!$F$2:$F$477,MATCH($E1628,Section_Master!$A$2:$A$477,0))&amp;"","")</f>
        <v>Yes</v>
      </c>
      <c r="I1628" s="10" t="str">
        <f aca="false">IFERROR(INDEX(Section_Master!$G$2:$G$477,MATCH($E1628,Section_Master!$A$2:$A$477,0))&amp;"","")</f>
        <v>No</v>
      </c>
      <c r="J1628" s="10" t="s">
        <v>48</v>
      </c>
      <c r="K1628" s="8" t="s">
        <v>3847</v>
      </c>
    </row>
    <row r="1629" customFormat="false" ht="34.5" hidden="false" customHeight="true" outlineLevel="0" collapsed="false">
      <c r="A1629" s="10" t="s">
        <v>3848</v>
      </c>
      <c r="B1629" s="10" t="s">
        <v>45</v>
      </c>
      <c r="C1629" s="8" t="s">
        <v>3845</v>
      </c>
      <c r="D1629" s="8" t="s">
        <v>3849</v>
      </c>
      <c r="E1629" s="11" t="n">
        <v>272</v>
      </c>
      <c r="F1629" s="8" t="str">
        <f aca="false">IFERROR(INDEX(Section_Master!$D$2:$D$477,MATCH($E1629,Section_Master!$A$2:$A$477,0))&amp;"","")</f>
        <v>Imprisonment up to 2 years, or fine, or both</v>
      </c>
      <c r="G1629" s="10" t="str">
        <f aca="false">IFERROR(INDEX(Section_Master!$E$2:$E$477,MATCH($E1629,Section_Master!$A$2:$A$477,0))&amp;"","")</f>
        <v>Yes</v>
      </c>
      <c r="H1629" s="10" t="str">
        <f aca="false">IFERROR(INDEX(Section_Master!$F$2:$F$477,MATCH($E1629,Section_Master!$A$2:$A$477,0))&amp;"","")</f>
        <v>Yes</v>
      </c>
      <c r="I1629" s="10" t="str">
        <f aca="false">IFERROR(INDEX(Section_Master!$G$2:$G$477,MATCH($E1629,Section_Master!$A$2:$A$477,0))&amp;"","")</f>
        <v>No</v>
      </c>
      <c r="J1629" s="10" t="s">
        <v>52</v>
      </c>
      <c r="K1629" s="8" t="s">
        <v>3847</v>
      </c>
    </row>
    <row r="1630" customFormat="false" ht="34.5" hidden="false" customHeight="true" outlineLevel="0" collapsed="false">
      <c r="A1630" s="10" t="s">
        <v>3850</v>
      </c>
      <c r="B1630" s="10" t="s">
        <v>45</v>
      </c>
      <c r="C1630" s="8" t="s">
        <v>3845</v>
      </c>
      <c r="D1630" s="8" t="s">
        <v>3851</v>
      </c>
      <c r="E1630" s="11" t="n">
        <v>272</v>
      </c>
      <c r="F1630" s="8" t="str">
        <f aca="false">IFERROR(INDEX(Section_Master!$D$2:$D$477,MATCH($E1630,Section_Master!$A$2:$A$477,0))&amp;"","")</f>
        <v>Imprisonment up to 2 years, or fine, or both</v>
      </c>
      <c r="G1630" s="10" t="str">
        <f aca="false">IFERROR(INDEX(Section_Master!$E$2:$E$477,MATCH($E1630,Section_Master!$A$2:$A$477,0))&amp;"","")</f>
        <v>Yes</v>
      </c>
      <c r="H1630" s="10" t="str">
        <f aca="false">IFERROR(INDEX(Section_Master!$F$2:$F$477,MATCH($E1630,Section_Master!$A$2:$A$477,0))&amp;"","")</f>
        <v>Yes</v>
      </c>
      <c r="I1630" s="10" t="str">
        <f aca="false">IFERROR(INDEX(Section_Master!$G$2:$G$477,MATCH($E1630,Section_Master!$A$2:$A$477,0))&amp;"","")</f>
        <v>No</v>
      </c>
      <c r="J1630" s="10" t="s">
        <v>55</v>
      </c>
      <c r="K1630" s="8" t="s">
        <v>3847</v>
      </c>
    </row>
    <row r="1631" customFormat="false" ht="23.25" hidden="false" customHeight="true" outlineLevel="0" collapsed="false">
      <c r="A1631" s="10" t="s">
        <v>3852</v>
      </c>
      <c r="B1631" s="10" t="s">
        <v>45</v>
      </c>
      <c r="C1631" s="8" t="s">
        <v>3845</v>
      </c>
      <c r="D1631" s="8" t="s">
        <v>3853</v>
      </c>
      <c r="E1631" s="11" t="n">
        <v>272</v>
      </c>
      <c r="F1631" s="8" t="str">
        <f aca="false">IFERROR(INDEX(Section_Master!$D$2:$D$477,MATCH($E1631,Section_Master!$A$2:$A$477,0))&amp;"","")</f>
        <v>Imprisonment up to 2 years, or fine, or both</v>
      </c>
      <c r="G1631" s="10" t="str">
        <f aca="false">IFERROR(INDEX(Section_Master!$E$2:$E$477,MATCH($E1631,Section_Master!$A$2:$A$477,0))&amp;"","")</f>
        <v>Yes</v>
      </c>
      <c r="H1631" s="10" t="str">
        <f aca="false">IFERROR(INDEX(Section_Master!$F$2:$F$477,MATCH($E1631,Section_Master!$A$2:$A$477,0))&amp;"","")</f>
        <v>Yes</v>
      </c>
      <c r="I1631" s="10" t="str">
        <f aca="false">IFERROR(INDEX(Section_Master!$G$2:$G$477,MATCH($E1631,Section_Master!$A$2:$A$477,0))&amp;"","")</f>
        <v>No</v>
      </c>
      <c r="J1631" s="10" t="s">
        <v>58</v>
      </c>
      <c r="K1631" s="8" t="s">
        <v>3847</v>
      </c>
    </row>
    <row r="1632" customFormat="false" ht="23.25" hidden="false" customHeight="true" outlineLevel="0" collapsed="false">
      <c r="A1632" s="10" t="s">
        <v>3854</v>
      </c>
      <c r="B1632" s="10" t="s">
        <v>45</v>
      </c>
      <c r="C1632" s="8" t="s">
        <v>3845</v>
      </c>
      <c r="D1632" s="8" t="s">
        <v>3855</v>
      </c>
      <c r="E1632" s="11" t="n">
        <v>272</v>
      </c>
      <c r="F1632" s="8" t="str">
        <f aca="false">IFERROR(INDEX(Section_Master!$D$2:$D$477,MATCH($E1632,Section_Master!$A$2:$A$477,0))&amp;"","")</f>
        <v>Imprisonment up to 2 years, or fine, or both</v>
      </c>
      <c r="G1632" s="10" t="str">
        <f aca="false">IFERROR(INDEX(Section_Master!$E$2:$E$477,MATCH($E1632,Section_Master!$A$2:$A$477,0))&amp;"","")</f>
        <v>Yes</v>
      </c>
      <c r="H1632" s="10" t="str">
        <f aca="false">IFERROR(INDEX(Section_Master!$F$2:$F$477,MATCH($E1632,Section_Master!$A$2:$A$477,0))&amp;"","")</f>
        <v>Yes</v>
      </c>
      <c r="I1632" s="10" t="str">
        <f aca="false">IFERROR(INDEX(Section_Master!$G$2:$G$477,MATCH($E1632,Section_Master!$A$2:$A$477,0))&amp;"","")</f>
        <v>No</v>
      </c>
      <c r="J1632" s="10" t="s">
        <v>61</v>
      </c>
      <c r="K1632" s="8" t="s">
        <v>3847</v>
      </c>
    </row>
    <row r="1633" customFormat="false" ht="34.5" hidden="false" customHeight="true" outlineLevel="0" collapsed="false">
      <c r="A1633" s="10" t="s">
        <v>3856</v>
      </c>
      <c r="B1633" s="10" t="s">
        <v>45</v>
      </c>
      <c r="C1633" s="8" t="s">
        <v>3845</v>
      </c>
      <c r="D1633" s="8" t="s">
        <v>3857</v>
      </c>
      <c r="E1633" s="11" t="n">
        <v>272</v>
      </c>
      <c r="F1633" s="8" t="str">
        <f aca="false">IFERROR(INDEX(Section_Master!$D$2:$D$477,MATCH($E1633,Section_Master!$A$2:$A$477,0))&amp;"","")</f>
        <v>Imprisonment up to 2 years, or fine, or both</v>
      </c>
      <c r="G1633" s="10" t="str">
        <f aca="false">IFERROR(INDEX(Section_Master!$E$2:$E$477,MATCH($E1633,Section_Master!$A$2:$A$477,0))&amp;"","")</f>
        <v>Yes</v>
      </c>
      <c r="H1633" s="10" t="str">
        <f aca="false">IFERROR(INDEX(Section_Master!$F$2:$F$477,MATCH($E1633,Section_Master!$A$2:$A$477,0))&amp;"","")</f>
        <v>Yes</v>
      </c>
      <c r="I1633" s="10" t="str">
        <f aca="false">IFERROR(INDEX(Section_Master!$G$2:$G$477,MATCH($E1633,Section_Master!$A$2:$A$477,0))&amp;"","")</f>
        <v>No</v>
      </c>
      <c r="J1633" s="10" t="s">
        <v>64</v>
      </c>
      <c r="K1633" s="8" t="s">
        <v>3847</v>
      </c>
    </row>
    <row r="1634" customFormat="false" ht="34.5" hidden="false" customHeight="true" outlineLevel="0" collapsed="false">
      <c r="A1634" s="10" t="s">
        <v>3858</v>
      </c>
      <c r="B1634" s="10" t="s">
        <v>45</v>
      </c>
      <c r="C1634" s="8" t="s">
        <v>3859</v>
      </c>
      <c r="D1634" s="8" t="s">
        <v>3860</v>
      </c>
      <c r="E1634" s="11" t="n">
        <v>273</v>
      </c>
      <c r="F1634" s="8" t="str">
        <f aca="false">IFERROR(INDEX(Section_Master!$D$2:$D$477,MATCH($E1634,Section_Master!$A$2:$A$477,0))&amp;"","")</f>
        <v>Imprisonment up to 6 months, or fine, or both</v>
      </c>
      <c r="G1634" s="10" t="str">
        <f aca="false">IFERROR(INDEX(Section_Master!$E$2:$E$477,MATCH($E1634,Section_Master!$A$2:$A$477,0))&amp;"","")</f>
        <v>Yes</v>
      </c>
      <c r="H1634" s="10" t="str">
        <f aca="false">IFERROR(INDEX(Section_Master!$F$2:$F$477,MATCH($E1634,Section_Master!$A$2:$A$477,0))&amp;"","")</f>
        <v>Yes</v>
      </c>
      <c r="I1634" s="10" t="str">
        <f aca="false">IFERROR(INDEX(Section_Master!$G$2:$G$477,MATCH($E1634,Section_Master!$A$2:$A$477,0))&amp;"","")</f>
        <v>No</v>
      </c>
      <c r="J1634" s="10" t="s">
        <v>48</v>
      </c>
      <c r="K1634" s="8" t="s">
        <v>3861</v>
      </c>
    </row>
    <row r="1635" customFormat="false" ht="34.5" hidden="false" customHeight="true" outlineLevel="0" collapsed="false">
      <c r="A1635" s="10" t="s">
        <v>3862</v>
      </c>
      <c r="B1635" s="10" t="s">
        <v>45</v>
      </c>
      <c r="C1635" s="8" t="s">
        <v>3859</v>
      </c>
      <c r="D1635" s="8" t="s">
        <v>3863</v>
      </c>
      <c r="E1635" s="11" t="n">
        <v>273</v>
      </c>
      <c r="F1635" s="8" t="str">
        <f aca="false">IFERROR(INDEX(Section_Master!$D$2:$D$477,MATCH($E1635,Section_Master!$A$2:$A$477,0))&amp;"","")</f>
        <v>Imprisonment up to 6 months, or fine, or both</v>
      </c>
      <c r="G1635" s="10" t="str">
        <f aca="false">IFERROR(INDEX(Section_Master!$E$2:$E$477,MATCH($E1635,Section_Master!$A$2:$A$477,0))&amp;"","")</f>
        <v>Yes</v>
      </c>
      <c r="H1635" s="10" t="str">
        <f aca="false">IFERROR(INDEX(Section_Master!$F$2:$F$477,MATCH($E1635,Section_Master!$A$2:$A$477,0))&amp;"","")</f>
        <v>Yes</v>
      </c>
      <c r="I1635" s="10" t="str">
        <f aca="false">IFERROR(INDEX(Section_Master!$G$2:$G$477,MATCH($E1635,Section_Master!$A$2:$A$477,0))&amp;"","")</f>
        <v>No</v>
      </c>
      <c r="J1635" s="10" t="s">
        <v>52</v>
      </c>
      <c r="K1635" s="8" t="s">
        <v>3861</v>
      </c>
    </row>
    <row r="1636" customFormat="false" ht="34.5" hidden="false" customHeight="true" outlineLevel="0" collapsed="false">
      <c r="A1636" s="10" t="s">
        <v>3864</v>
      </c>
      <c r="B1636" s="10" t="s">
        <v>45</v>
      </c>
      <c r="C1636" s="8" t="s">
        <v>3859</v>
      </c>
      <c r="D1636" s="8" t="s">
        <v>3865</v>
      </c>
      <c r="E1636" s="11" t="n">
        <v>273</v>
      </c>
      <c r="F1636" s="8" t="str">
        <f aca="false">IFERROR(INDEX(Section_Master!$D$2:$D$477,MATCH($E1636,Section_Master!$A$2:$A$477,0))&amp;"","")</f>
        <v>Imprisonment up to 6 months, or fine, or both</v>
      </c>
      <c r="G1636" s="10" t="str">
        <f aca="false">IFERROR(INDEX(Section_Master!$E$2:$E$477,MATCH($E1636,Section_Master!$A$2:$A$477,0))&amp;"","")</f>
        <v>Yes</v>
      </c>
      <c r="H1636" s="10" t="str">
        <f aca="false">IFERROR(INDEX(Section_Master!$F$2:$F$477,MATCH($E1636,Section_Master!$A$2:$A$477,0))&amp;"","")</f>
        <v>Yes</v>
      </c>
      <c r="I1636" s="10" t="str">
        <f aca="false">IFERROR(INDEX(Section_Master!$G$2:$G$477,MATCH($E1636,Section_Master!$A$2:$A$477,0))&amp;"","")</f>
        <v>No</v>
      </c>
      <c r="J1636" s="10" t="s">
        <v>55</v>
      </c>
      <c r="K1636" s="8" t="s">
        <v>3861</v>
      </c>
    </row>
    <row r="1637" customFormat="false" ht="23.25" hidden="false" customHeight="true" outlineLevel="0" collapsed="false">
      <c r="A1637" s="10" t="s">
        <v>3866</v>
      </c>
      <c r="B1637" s="10" t="s">
        <v>45</v>
      </c>
      <c r="C1637" s="8" t="s">
        <v>3859</v>
      </c>
      <c r="D1637" s="8" t="s">
        <v>3867</v>
      </c>
      <c r="E1637" s="11" t="n">
        <v>273</v>
      </c>
      <c r="F1637" s="8" t="str">
        <f aca="false">IFERROR(INDEX(Section_Master!$D$2:$D$477,MATCH($E1637,Section_Master!$A$2:$A$477,0))&amp;"","")</f>
        <v>Imprisonment up to 6 months, or fine, or both</v>
      </c>
      <c r="G1637" s="10" t="str">
        <f aca="false">IFERROR(INDEX(Section_Master!$E$2:$E$477,MATCH($E1637,Section_Master!$A$2:$A$477,0))&amp;"","")</f>
        <v>Yes</v>
      </c>
      <c r="H1637" s="10" t="str">
        <f aca="false">IFERROR(INDEX(Section_Master!$F$2:$F$477,MATCH($E1637,Section_Master!$A$2:$A$477,0))&amp;"","")</f>
        <v>Yes</v>
      </c>
      <c r="I1637" s="10" t="str">
        <f aca="false">IFERROR(INDEX(Section_Master!$G$2:$G$477,MATCH($E1637,Section_Master!$A$2:$A$477,0))&amp;"","")</f>
        <v>No</v>
      </c>
      <c r="J1637" s="10" t="s">
        <v>58</v>
      </c>
      <c r="K1637" s="8" t="s">
        <v>3861</v>
      </c>
    </row>
    <row r="1638" customFormat="false" ht="23.25" hidden="false" customHeight="true" outlineLevel="0" collapsed="false">
      <c r="A1638" s="10" t="s">
        <v>3868</v>
      </c>
      <c r="B1638" s="10" t="s">
        <v>45</v>
      </c>
      <c r="C1638" s="8" t="s">
        <v>3859</v>
      </c>
      <c r="D1638" s="8" t="s">
        <v>3869</v>
      </c>
      <c r="E1638" s="11" t="n">
        <v>273</v>
      </c>
      <c r="F1638" s="8" t="str">
        <f aca="false">IFERROR(INDEX(Section_Master!$D$2:$D$477,MATCH($E1638,Section_Master!$A$2:$A$477,0))&amp;"","")</f>
        <v>Imprisonment up to 6 months, or fine, or both</v>
      </c>
      <c r="G1638" s="10" t="str">
        <f aca="false">IFERROR(INDEX(Section_Master!$E$2:$E$477,MATCH($E1638,Section_Master!$A$2:$A$477,0))&amp;"","")</f>
        <v>Yes</v>
      </c>
      <c r="H1638" s="10" t="str">
        <f aca="false">IFERROR(INDEX(Section_Master!$F$2:$F$477,MATCH($E1638,Section_Master!$A$2:$A$477,0))&amp;"","")</f>
        <v>Yes</v>
      </c>
      <c r="I1638" s="10" t="str">
        <f aca="false">IFERROR(INDEX(Section_Master!$G$2:$G$477,MATCH($E1638,Section_Master!$A$2:$A$477,0))&amp;"","")</f>
        <v>No</v>
      </c>
      <c r="J1638" s="10" t="s">
        <v>61</v>
      </c>
      <c r="K1638" s="8" t="s">
        <v>3861</v>
      </c>
    </row>
    <row r="1639" customFormat="false" ht="34.5" hidden="false" customHeight="true" outlineLevel="0" collapsed="false">
      <c r="A1639" s="10" t="s">
        <v>3870</v>
      </c>
      <c r="B1639" s="10" t="s">
        <v>45</v>
      </c>
      <c r="C1639" s="8" t="s">
        <v>3859</v>
      </c>
      <c r="D1639" s="8" t="s">
        <v>3871</v>
      </c>
      <c r="E1639" s="11" t="n">
        <v>273</v>
      </c>
      <c r="F1639" s="8" t="str">
        <f aca="false">IFERROR(INDEX(Section_Master!$D$2:$D$477,MATCH($E1639,Section_Master!$A$2:$A$477,0))&amp;"","")</f>
        <v>Imprisonment up to 6 months, or fine, or both</v>
      </c>
      <c r="G1639" s="10" t="str">
        <f aca="false">IFERROR(INDEX(Section_Master!$E$2:$E$477,MATCH($E1639,Section_Master!$A$2:$A$477,0))&amp;"","")</f>
        <v>Yes</v>
      </c>
      <c r="H1639" s="10" t="str">
        <f aca="false">IFERROR(INDEX(Section_Master!$F$2:$F$477,MATCH($E1639,Section_Master!$A$2:$A$477,0))&amp;"","")</f>
        <v>Yes</v>
      </c>
      <c r="I1639" s="10" t="str">
        <f aca="false">IFERROR(INDEX(Section_Master!$G$2:$G$477,MATCH($E1639,Section_Master!$A$2:$A$477,0))&amp;"","")</f>
        <v>No</v>
      </c>
      <c r="J1639" s="10" t="s">
        <v>64</v>
      </c>
      <c r="K1639" s="8" t="s">
        <v>3861</v>
      </c>
    </row>
    <row r="1640" customFormat="false" ht="23.25" hidden="false" customHeight="true" outlineLevel="0" collapsed="false">
      <c r="A1640" s="10" t="s">
        <v>3872</v>
      </c>
      <c r="B1640" s="10" t="s">
        <v>45</v>
      </c>
      <c r="C1640" s="8" t="s">
        <v>3873</v>
      </c>
      <c r="D1640" s="8" t="s">
        <v>3874</v>
      </c>
      <c r="E1640" s="11" t="n">
        <v>274</v>
      </c>
      <c r="F1640" s="8" t="str">
        <f aca="false">IFERROR(INDEX(Section_Master!$D$2:$D$477,MATCH($E1640,Section_Master!$A$2:$A$477,0))&amp;"","")</f>
        <v>Imprisonment up to 6 months, or fine, or both</v>
      </c>
      <c r="G1640" s="10" t="str">
        <f aca="false">IFERROR(INDEX(Section_Master!$E$2:$E$477,MATCH($E1640,Section_Master!$A$2:$A$477,0))&amp;"","")</f>
        <v>No</v>
      </c>
      <c r="H1640" s="10" t="str">
        <f aca="false">IFERROR(INDEX(Section_Master!$F$2:$F$477,MATCH($E1640,Section_Master!$A$2:$A$477,0))&amp;"","")</f>
        <v>Yes</v>
      </c>
      <c r="I1640" s="10" t="str">
        <f aca="false">IFERROR(INDEX(Section_Master!$G$2:$G$477,MATCH($E1640,Section_Master!$A$2:$A$477,0))&amp;"","")</f>
        <v>No</v>
      </c>
      <c r="J1640" s="10" t="s">
        <v>48</v>
      </c>
      <c r="K1640" s="8" t="s">
        <v>3875</v>
      </c>
    </row>
    <row r="1641" customFormat="false" ht="34.5" hidden="false" customHeight="true" outlineLevel="0" collapsed="false">
      <c r="A1641" s="10" t="s">
        <v>3876</v>
      </c>
      <c r="B1641" s="10" t="s">
        <v>45</v>
      </c>
      <c r="C1641" s="8" t="s">
        <v>3873</v>
      </c>
      <c r="D1641" s="8" t="s">
        <v>3877</v>
      </c>
      <c r="E1641" s="11" t="n">
        <v>274</v>
      </c>
      <c r="F1641" s="8" t="str">
        <f aca="false">IFERROR(INDEX(Section_Master!$D$2:$D$477,MATCH($E1641,Section_Master!$A$2:$A$477,0))&amp;"","")</f>
        <v>Imprisonment up to 6 months, or fine, or both</v>
      </c>
      <c r="G1641" s="10" t="str">
        <f aca="false">IFERROR(INDEX(Section_Master!$E$2:$E$477,MATCH($E1641,Section_Master!$A$2:$A$477,0))&amp;"","")</f>
        <v>No</v>
      </c>
      <c r="H1641" s="10" t="str">
        <f aca="false">IFERROR(INDEX(Section_Master!$F$2:$F$477,MATCH($E1641,Section_Master!$A$2:$A$477,0))&amp;"","")</f>
        <v>Yes</v>
      </c>
      <c r="I1641" s="10" t="str">
        <f aca="false">IFERROR(INDEX(Section_Master!$G$2:$G$477,MATCH($E1641,Section_Master!$A$2:$A$477,0))&amp;"","")</f>
        <v>No</v>
      </c>
      <c r="J1641" s="10" t="s">
        <v>52</v>
      </c>
      <c r="K1641" s="8" t="s">
        <v>3875</v>
      </c>
    </row>
    <row r="1642" customFormat="false" ht="34.5" hidden="false" customHeight="true" outlineLevel="0" collapsed="false">
      <c r="A1642" s="10" t="s">
        <v>3878</v>
      </c>
      <c r="B1642" s="10" t="s">
        <v>45</v>
      </c>
      <c r="C1642" s="8" t="s">
        <v>3873</v>
      </c>
      <c r="D1642" s="8" t="s">
        <v>3879</v>
      </c>
      <c r="E1642" s="11" t="n">
        <v>274</v>
      </c>
      <c r="F1642" s="8" t="str">
        <f aca="false">IFERROR(INDEX(Section_Master!$D$2:$D$477,MATCH($E1642,Section_Master!$A$2:$A$477,0))&amp;"","")</f>
        <v>Imprisonment up to 6 months, or fine, or both</v>
      </c>
      <c r="G1642" s="10" t="str">
        <f aca="false">IFERROR(INDEX(Section_Master!$E$2:$E$477,MATCH($E1642,Section_Master!$A$2:$A$477,0))&amp;"","")</f>
        <v>No</v>
      </c>
      <c r="H1642" s="10" t="str">
        <f aca="false">IFERROR(INDEX(Section_Master!$F$2:$F$477,MATCH($E1642,Section_Master!$A$2:$A$477,0))&amp;"","")</f>
        <v>Yes</v>
      </c>
      <c r="I1642" s="10" t="str">
        <f aca="false">IFERROR(INDEX(Section_Master!$G$2:$G$477,MATCH($E1642,Section_Master!$A$2:$A$477,0))&amp;"","")</f>
        <v>No</v>
      </c>
      <c r="J1642" s="10" t="s">
        <v>55</v>
      </c>
      <c r="K1642" s="8" t="s">
        <v>3875</v>
      </c>
    </row>
    <row r="1643" customFormat="false" ht="23.25" hidden="false" customHeight="true" outlineLevel="0" collapsed="false">
      <c r="A1643" s="10" t="s">
        <v>3880</v>
      </c>
      <c r="B1643" s="10" t="s">
        <v>45</v>
      </c>
      <c r="C1643" s="8" t="s">
        <v>3873</v>
      </c>
      <c r="D1643" s="8" t="s">
        <v>3881</v>
      </c>
      <c r="E1643" s="11" t="n">
        <v>274</v>
      </c>
      <c r="F1643" s="8" t="str">
        <f aca="false">IFERROR(INDEX(Section_Master!$D$2:$D$477,MATCH($E1643,Section_Master!$A$2:$A$477,0))&amp;"","")</f>
        <v>Imprisonment up to 6 months, or fine, or both</v>
      </c>
      <c r="G1643" s="10" t="str">
        <f aca="false">IFERROR(INDEX(Section_Master!$E$2:$E$477,MATCH($E1643,Section_Master!$A$2:$A$477,0))&amp;"","")</f>
        <v>No</v>
      </c>
      <c r="H1643" s="10" t="str">
        <f aca="false">IFERROR(INDEX(Section_Master!$F$2:$F$477,MATCH($E1643,Section_Master!$A$2:$A$477,0))&amp;"","")</f>
        <v>Yes</v>
      </c>
      <c r="I1643" s="10" t="str">
        <f aca="false">IFERROR(INDEX(Section_Master!$G$2:$G$477,MATCH($E1643,Section_Master!$A$2:$A$477,0))&amp;"","")</f>
        <v>No</v>
      </c>
      <c r="J1643" s="10" t="s">
        <v>58</v>
      </c>
      <c r="K1643" s="8" t="s">
        <v>3875</v>
      </c>
    </row>
    <row r="1644" customFormat="false" ht="23.25" hidden="false" customHeight="true" outlineLevel="0" collapsed="false">
      <c r="A1644" s="10" t="s">
        <v>3882</v>
      </c>
      <c r="B1644" s="10" t="s">
        <v>45</v>
      </c>
      <c r="C1644" s="8" t="s">
        <v>3873</v>
      </c>
      <c r="D1644" s="8" t="s">
        <v>3883</v>
      </c>
      <c r="E1644" s="11" t="n">
        <v>274</v>
      </c>
      <c r="F1644" s="8" t="str">
        <f aca="false">IFERROR(INDEX(Section_Master!$D$2:$D$477,MATCH($E1644,Section_Master!$A$2:$A$477,0))&amp;"","")</f>
        <v>Imprisonment up to 6 months, or fine, or both</v>
      </c>
      <c r="G1644" s="10" t="str">
        <f aca="false">IFERROR(INDEX(Section_Master!$E$2:$E$477,MATCH($E1644,Section_Master!$A$2:$A$477,0))&amp;"","")</f>
        <v>No</v>
      </c>
      <c r="H1644" s="10" t="str">
        <f aca="false">IFERROR(INDEX(Section_Master!$F$2:$F$477,MATCH($E1644,Section_Master!$A$2:$A$477,0))&amp;"","")</f>
        <v>Yes</v>
      </c>
      <c r="I1644" s="10" t="str">
        <f aca="false">IFERROR(INDEX(Section_Master!$G$2:$G$477,MATCH($E1644,Section_Master!$A$2:$A$477,0))&amp;"","")</f>
        <v>No</v>
      </c>
      <c r="J1644" s="10" t="s">
        <v>61</v>
      </c>
      <c r="K1644" s="8" t="s">
        <v>3875</v>
      </c>
    </row>
    <row r="1645" customFormat="false" ht="34.5" hidden="false" customHeight="true" outlineLevel="0" collapsed="false">
      <c r="A1645" s="10" t="s">
        <v>3884</v>
      </c>
      <c r="B1645" s="10" t="s">
        <v>45</v>
      </c>
      <c r="C1645" s="8" t="s">
        <v>3873</v>
      </c>
      <c r="D1645" s="8" t="s">
        <v>3885</v>
      </c>
      <c r="E1645" s="11" t="n">
        <v>274</v>
      </c>
      <c r="F1645" s="8" t="str">
        <f aca="false">IFERROR(INDEX(Section_Master!$D$2:$D$477,MATCH($E1645,Section_Master!$A$2:$A$477,0))&amp;"","")</f>
        <v>Imprisonment up to 6 months, or fine, or both</v>
      </c>
      <c r="G1645" s="10" t="str">
        <f aca="false">IFERROR(INDEX(Section_Master!$E$2:$E$477,MATCH($E1645,Section_Master!$A$2:$A$477,0))&amp;"","")</f>
        <v>No</v>
      </c>
      <c r="H1645" s="10" t="str">
        <f aca="false">IFERROR(INDEX(Section_Master!$F$2:$F$477,MATCH($E1645,Section_Master!$A$2:$A$477,0))&amp;"","")</f>
        <v>Yes</v>
      </c>
      <c r="I1645" s="10" t="str">
        <f aca="false">IFERROR(INDEX(Section_Master!$G$2:$G$477,MATCH($E1645,Section_Master!$A$2:$A$477,0))&amp;"","")</f>
        <v>No</v>
      </c>
      <c r="J1645" s="10" t="s">
        <v>64</v>
      </c>
      <c r="K1645" s="8" t="s">
        <v>3875</v>
      </c>
    </row>
    <row r="1646" customFormat="false" ht="34.5" hidden="false" customHeight="true" outlineLevel="0" collapsed="false">
      <c r="A1646" s="10" t="s">
        <v>3886</v>
      </c>
      <c r="B1646" s="10" t="s">
        <v>45</v>
      </c>
      <c r="C1646" s="8" t="s">
        <v>3887</v>
      </c>
      <c r="D1646" s="8" t="s">
        <v>3888</v>
      </c>
      <c r="E1646" s="11" t="n">
        <v>275</v>
      </c>
      <c r="F1646" s="8" t="str">
        <f aca="false">IFERROR(INDEX(Section_Master!$D$2:$D$477,MATCH($E1646,Section_Master!$A$2:$A$477,0))&amp;"","")</f>
        <v>Imprisonment up to 6 months, or fine, or both</v>
      </c>
      <c r="G1646" s="10" t="str">
        <f aca="false">IFERROR(INDEX(Section_Master!$E$2:$E$477,MATCH($E1646,Section_Master!$A$2:$A$477,0))&amp;"","")</f>
        <v>No</v>
      </c>
      <c r="H1646" s="10" t="str">
        <f aca="false">IFERROR(INDEX(Section_Master!$F$2:$F$477,MATCH($E1646,Section_Master!$A$2:$A$477,0))&amp;"","")</f>
        <v>Yes</v>
      </c>
      <c r="I1646" s="10" t="str">
        <f aca="false">IFERROR(INDEX(Section_Master!$G$2:$G$477,MATCH($E1646,Section_Master!$A$2:$A$477,0))&amp;"","")</f>
        <v>No</v>
      </c>
      <c r="J1646" s="10" t="s">
        <v>48</v>
      </c>
      <c r="K1646" s="8" t="s">
        <v>3889</v>
      </c>
    </row>
    <row r="1647" customFormat="false" ht="34.5" hidden="false" customHeight="true" outlineLevel="0" collapsed="false">
      <c r="A1647" s="10" t="s">
        <v>3890</v>
      </c>
      <c r="B1647" s="10" t="s">
        <v>45</v>
      </c>
      <c r="C1647" s="8" t="s">
        <v>3887</v>
      </c>
      <c r="D1647" s="8" t="s">
        <v>3891</v>
      </c>
      <c r="E1647" s="11" t="n">
        <v>275</v>
      </c>
      <c r="F1647" s="8" t="str">
        <f aca="false">IFERROR(INDEX(Section_Master!$D$2:$D$477,MATCH($E1647,Section_Master!$A$2:$A$477,0))&amp;"","")</f>
        <v>Imprisonment up to 6 months, or fine, or both</v>
      </c>
      <c r="G1647" s="10" t="str">
        <f aca="false">IFERROR(INDEX(Section_Master!$E$2:$E$477,MATCH($E1647,Section_Master!$A$2:$A$477,0))&amp;"","")</f>
        <v>No</v>
      </c>
      <c r="H1647" s="10" t="str">
        <f aca="false">IFERROR(INDEX(Section_Master!$F$2:$F$477,MATCH($E1647,Section_Master!$A$2:$A$477,0))&amp;"","")</f>
        <v>Yes</v>
      </c>
      <c r="I1647" s="10" t="str">
        <f aca="false">IFERROR(INDEX(Section_Master!$G$2:$G$477,MATCH($E1647,Section_Master!$A$2:$A$477,0))&amp;"","")</f>
        <v>No</v>
      </c>
      <c r="J1647" s="10" t="s">
        <v>52</v>
      </c>
      <c r="K1647" s="8" t="s">
        <v>3889</v>
      </c>
    </row>
    <row r="1648" customFormat="false" ht="34.5" hidden="false" customHeight="true" outlineLevel="0" collapsed="false">
      <c r="A1648" s="10" t="s">
        <v>3892</v>
      </c>
      <c r="B1648" s="10" t="s">
        <v>45</v>
      </c>
      <c r="C1648" s="8" t="s">
        <v>3887</v>
      </c>
      <c r="D1648" s="8" t="s">
        <v>3893</v>
      </c>
      <c r="E1648" s="11" t="n">
        <v>275</v>
      </c>
      <c r="F1648" s="8" t="str">
        <f aca="false">IFERROR(INDEX(Section_Master!$D$2:$D$477,MATCH($E1648,Section_Master!$A$2:$A$477,0))&amp;"","")</f>
        <v>Imprisonment up to 6 months, or fine, or both</v>
      </c>
      <c r="G1648" s="10" t="str">
        <f aca="false">IFERROR(INDEX(Section_Master!$E$2:$E$477,MATCH($E1648,Section_Master!$A$2:$A$477,0))&amp;"","")</f>
        <v>No</v>
      </c>
      <c r="H1648" s="10" t="str">
        <f aca="false">IFERROR(INDEX(Section_Master!$F$2:$F$477,MATCH($E1648,Section_Master!$A$2:$A$477,0))&amp;"","")</f>
        <v>Yes</v>
      </c>
      <c r="I1648" s="10" t="str">
        <f aca="false">IFERROR(INDEX(Section_Master!$G$2:$G$477,MATCH($E1648,Section_Master!$A$2:$A$477,0))&amp;"","")</f>
        <v>No</v>
      </c>
      <c r="J1648" s="10" t="s">
        <v>55</v>
      </c>
      <c r="K1648" s="8" t="s">
        <v>3889</v>
      </c>
    </row>
    <row r="1649" customFormat="false" ht="23.25" hidden="false" customHeight="true" outlineLevel="0" collapsed="false">
      <c r="A1649" s="10" t="s">
        <v>3894</v>
      </c>
      <c r="B1649" s="10" t="s">
        <v>45</v>
      </c>
      <c r="C1649" s="8" t="s">
        <v>3887</v>
      </c>
      <c r="D1649" s="8" t="s">
        <v>3895</v>
      </c>
      <c r="E1649" s="11" t="n">
        <v>275</v>
      </c>
      <c r="F1649" s="8" t="str">
        <f aca="false">IFERROR(INDEX(Section_Master!$D$2:$D$477,MATCH($E1649,Section_Master!$A$2:$A$477,0))&amp;"","")</f>
        <v>Imprisonment up to 6 months, or fine, or both</v>
      </c>
      <c r="G1649" s="10" t="str">
        <f aca="false">IFERROR(INDEX(Section_Master!$E$2:$E$477,MATCH($E1649,Section_Master!$A$2:$A$477,0))&amp;"","")</f>
        <v>No</v>
      </c>
      <c r="H1649" s="10" t="str">
        <f aca="false">IFERROR(INDEX(Section_Master!$F$2:$F$477,MATCH($E1649,Section_Master!$A$2:$A$477,0))&amp;"","")</f>
        <v>Yes</v>
      </c>
      <c r="I1649" s="10" t="str">
        <f aca="false">IFERROR(INDEX(Section_Master!$G$2:$G$477,MATCH($E1649,Section_Master!$A$2:$A$477,0))&amp;"","")</f>
        <v>No</v>
      </c>
      <c r="J1649" s="10" t="s">
        <v>58</v>
      </c>
      <c r="K1649" s="8" t="s">
        <v>3889</v>
      </c>
    </row>
    <row r="1650" customFormat="false" ht="23.25" hidden="false" customHeight="true" outlineLevel="0" collapsed="false">
      <c r="A1650" s="10" t="s">
        <v>3896</v>
      </c>
      <c r="B1650" s="10" t="s">
        <v>45</v>
      </c>
      <c r="C1650" s="8" t="s">
        <v>3887</v>
      </c>
      <c r="D1650" s="8" t="s">
        <v>3897</v>
      </c>
      <c r="E1650" s="11" t="n">
        <v>275</v>
      </c>
      <c r="F1650" s="8" t="str">
        <f aca="false">IFERROR(INDEX(Section_Master!$D$2:$D$477,MATCH($E1650,Section_Master!$A$2:$A$477,0))&amp;"","")</f>
        <v>Imprisonment up to 6 months, or fine, or both</v>
      </c>
      <c r="G1650" s="10" t="str">
        <f aca="false">IFERROR(INDEX(Section_Master!$E$2:$E$477,MATCH($E1650,Section_Master!$A$2:$A$477,0))&amp;"","")</f>
        <v>No</v>
      </c>
      <c r="H1650" s="10" t="str">
        <f aca="false">IFERROR(INDEX(Section_Master!$F$2:$F$477,MATCH($E1650,Section_Master!$A$2:$A$477,0))&amp;"","")</f>
        <v>Yes</v>
      </c>
      <c r="I1650" s="10" t="str">
        <f aca="false">IFERROR(INDEX(Section_Master!$G$2:$G$477,MATCH($E1650,Section_Master!$A$2:$A$477,0))&amp;"","")</f>
        <v>No</v>
      </c>
      <c r="J1650" s="10" t="s">
        <v>61</v>
      </c>
      <c r="K1650" s="8" t="s">
        <v>3889</v>
      </c>
    </row>
    <row r="1651" customFormat="false" ht="34.5" hidden="false" customHeight="true" outlineLevel="0" collapsed="false">
      <c r="A1651" s="10" t="s">
        <v>3898</v>
      </c>
      <c r="B1651" s="10" t="s">
        <v>45</v>
      </c>
      <c r="C1651" s="8" t="s">
        <v>3887</v>
      </c>
      <c r="D1651" s="8" t="s">
        <v>3899</v>
      </c>
      <c r="E1651" s="11" t="n">
        <v>275</v>
      </c>
      <c r="F1651" s="8" t="str">
        <f aca="false">IFERROR(INDEX(Section_Master!$D$2:$D$477,MATCH($E1651,Section_Master!$A$2:$A$477,0))&amp;"","")</f>
        <v>Imprisonment up to 6 months, or fine, or both</v>
      </c>
      <c r="G1651" s="10" t="str">
        <f aca="false">IFERROR(INDEX(Section_Master!$E$2:$E$477,MATCH($E1651,Section_Master!$A$2:$A$477,0))&amp;"","")</f>
        <v>No</v>
      </c>
      <c r="H1651" s="10" t="str">
        <f aca="false">IFERROR(INDEX(Section_Master!$F$2:$F$477,MATCH($E1651,Section_Master!$A$2:$A$477,0))&amp;"","")</f>
        <v>Yes</v>
      </c>
      <c r="I1651" s="10" t="str">
        <f aca="false">IFERROR(INDEX(Section_Master!$G$2:$G$477,MATCH($E1651,Section_Master!$A$2:$A$477,0))&amp;"","")</f>
        <v>No</v>
      </c>
      <c r="J1651" s="10" t="s">
        <v>64</v>
      </c>
      <c r="K1651" s="8" t="s">
        <v>3889</v>
      </c>
    </row>
    <row r="1652" customFormat="false" ht="34.5" hidden="false" customHeight="true" outlineLevel="0" collapsed="false">
      <c r="A1652" s="10" t="s">
        <v>3900</v>
      </c>
      <c r="B1652" s="10" t="s">
        <v>45</v>
      </c>
      <c r="C1652" s="8" t="s">
        <v>3901</v>
      </c>
      <c r="D1652" s="8" t="s">
        <v>3902</v>
      </c>
      <c r="E1652" s="11" t="n">
        <v>276</v>
      </c>
      <c r="F1652" s="8" t="str">
        <f aca="false">IFERROR(INDEX(Section_Master!$D$2:$D$477,MATCH($E1652,Section_Master!$A$2:$A$477,0))&amp;"","")</f>
        <v>Imprisonment up to 6 months, or fine, or both</v>
      </c>
      <c r="G1652" s="10" t="str">
        <f aca="false">IFERROR(INDEX(Section_Master!$E$2:$E$477,MATCH($E1652,Section_Master!$A$2:$A$477,0))&amp;"","")</f>
        <v>No</v>
      </c>
      <c r="H1652" s="10" t="str">
        <f aca="false">IFERROR(INDEX(Section_Master!$F$2:$F$477,MATCH($E1652,Section_Master!$A$2:$A$477,0))&amp;"","")</f>
        <v>Yes</v>
      </c>
      <c r="I1652" s="10" t="str">
        <f aca="false">IFERROR(INDEX(Section_Master!$G$2:$G$477,MATCH($E1652,Section_Master!$A$2:$A$477,0))&amp;"","")</f>
        <v>No</v>
      </c>
      <c r="J1652" s="10" t="s">
        <v>48</v>
      </c>
      <c r="K1652" s="8" t="s">
        <v>3903</v>
      </c>
    </row>
    <row r="1653" customFormat="false" ht="34.5" hidden="false" customHeight="true" outlineLevel="0" collapsed="false">
      <c r="A1653" s="10" t="s">
        <v>3904</v>
      </c>
      <c r="B1653" s="10" t="s">
        <v>45</v>
      </c>
      <c r="C1653" s="8" t="s">
        <v>3901</v>
      </c>
      <c r="D1653" s="8" t="s">
        <v>3905</v>
      </c>
      <c r="E1653" s="11" t="n">
        <v>276</v>
      </c>
      <c r="F1653" s="8" t="str">
        <f aca="false">IFERROR(INDEX(Section_Master!$D$2:$D$477,MATCH($E1653,Section_Master!$A$2:$A$477,0))&amp;"","")</f>
        <v>Imprisonment up to 6 months, or fine, or both</v>
      </c>
      <c r="G1653" s="10" t="str">
        <f aca="false">IFERROR(INDEX(Section_Master!$E$2:$E$477,MATCH($E1653,Section_Master!$A$2:$A$477,0))&amp;"","")</f>
        <v>No</v>
      </c>
      <c r="H1653" s="10" t="str">
        <f aca="false">IFERROR(INDEX(Section_Master!$F$2:$F$477,MATCH($E1653,Section_Master!$A$2:$A$477,0))&amp;"","")</f>
        <v>Yes</v>
      </c>
      <c r="I1653" s="10" t="str">
        <f aca="false">IFERROR(INDEX(Section_Master!$G$2:$G$477,MATCH($E1653,Section_Master!$A$2:$A$477,0))&amp;"","")</f>
        <v>No</v>
      </c>
      <c r="J1653" s="10" t="s">
        <v>52</v>
      </c>
      <c r="K1653" s="8" t="s">
        <v>3903</v>
      </c>
    </row>
    <row r="1654" customFormat="false" ht="34.5" hidden="false" customHeight="true" outlineLevel="0" collapsed="false">
      <c r="A1654" s="10" t="s">
        <v>3906</v>
      </c>
      <c r="B1654" s="10" t="s">
        <v>45</v>
      </c>
      <c r="C1654" s="8" t="s">
        <v>3901</v>
      </c>
      <c r="D1654" s="8" t="s">
        <v>3907</v>
      </c>
      <c r="E1654" s="11" t="n">
        <v>276</v>
      </c>
      <c r="F1654" s="8" t="str">
        <f aca="false">IFERROR(INDEX(Section_Master!$D$2:$D$477,MATCH($E1654,Section_Master!$A$2:$A$477,0))&amp;"","")</f>
        <v>Imprisonment up to 6 months, or fine, or both</v>
      </c>
      <c r="G1654" s="10" t="str">
        <f aca="false">IFERROR(INDEX(Section_Master!$E$2:$E$477,MATCH($E1654,Section_Master!$A$2:$A$477,0))&amp;"","")</f>
        <v>No</v>
      </c>
      <c r="H1654" s="10" t="str">
        <f aca="false">IFERROR(INDEX(Section_Master!$F$2:$F$477,MATCH($E1654,Section_Master!$A$2:$A$477,0))&amp;"","")</f>
        <v>Yes</v>
      </c>
      <c r="I1654" s="10" t="str">
        <f aca="false">IFERROR(INDEX(Section_Master!$G$2:$G$477,MATCH($E1654,Section_Master!$A$2:$A$477,0))&amp;"","")</f>
        <v>No</v>
      </c>
      <c r="J1654" s="10" t="s">
        <v>55</v>
      </c>
      <c r="K1654" s="8" t="s">
        <v>3903</v>
      </c>
    </row>
    <row r="1655" customFormat="false" ht="23.25" hidden="false" customHeight="true" outlineLevel="0" collapsed="false">
      <c r="A1655" s="10" t="s">
        <v>3908</v>
      </c>
      <c r="B1655" s="10" t="s">
        <v>45</v>
      </c>
      <c r="C1655" s="8" t="s">
        <v>3901</v>
      </c>
      <c r="D1655" s="8" t="s">
        <v>3909</v>
      </c>
      <c r="E1655" s="11" t="n">
        <v>276</v>
      </c>
      <c r="F1655" s="8" t="str">
        <f aca="false">IFERROR(INDEX(Section_Master!$D$2:$D$477,MATCH($E1655,Section_Master!$A$2:$A$477,0))&amp;"","")</f>
        <v>Imprisonment up to 6 months, or fine, or both</v>
      </c>
      <c r="G1655" s="10" t="str">
        <f aca="false">IFERROR(INDEX(Section_Master!$E$2:$E$477,MATCH($E1655,Section_Master!$A$2:$A$477,0))&amp;"","")</f>
        <v>No</v>
      </c>
      <c r="H1655" s="10" t="str">
        <f aca="false">IFERROR(INDEX(Section_Master!$F$2:$F$477,MATCH($E1655,Section_Master!$A$2:$A$477,0))&amp;"","")</f>
        <v>Yes</v>
      </c>
      <c r="I1655" s="10" t="str">
        <f aca="false">IFERROR(INDEX(Section_Master!$G$2:$G$477,MATCH($E1655,Section_Master!$A$2:$A$477,0))&amp;"","")</f>
        <v>No</v>
      </c>
      <c r="J1655" s="10" t="s">
        <v>58</v>
      </c>
      <c r="K1655" s="8" t="s">
        <v>3903</v>
      </c>
    </row>
    <row r="1656" customFormat="false" ht="23.25" hidden="false" customHeight="true" outlineLevel="0" collapsed="false">
      <c r="A1656" s="10" t="s">
        <v>3910</v>
      </c>
      <c r="B1656" s="10" t="s">
        <v>45</v>
      </c>
      <c r="C1656" s="8" t="s">
        <v>3901</v>
      </c>
      <c r="D1656" s="8" t="s">
        <v>3911</v>
      </c>
      <c r="E1656" s="11" t="n">
        <v>276</v>
      </c>
      <c r="F1656" s="8" t="str">
        <f aca="false">IFERROR(INDEX(Section_Master!$D$2:$D$477,MATCH($E1656,Section_Master!$A$2:$A$477,0))&amp;"","")</f>
        <v>Imprisonment up to 6 months, or fine, or both</v>
      </c>
      <c r="G1656" s="10" t="str">
        <f aca="false">IFERROR(INDEX(Section_Master!$E$2:$E$477,MATCH($E1656,Section_Master!$A$2:$A$477,0))&amp;"","")</f>
        <v>No</v>
      </c>
      <c r="H1656" s="10" t="str">
        <f aca="false">IFERROR(INDEX(Section_Master!$F$2:$F$477,MATCH($E1656,Section_Master!$A$2:$A$477,0))&amp;"","")</f>
        <v>Yes</v>
      </c>
      <c r="I1656" s="10" t="str">
        <f aca="false">IFERROR(INDEX(Section_Master!$G$2:$G$477,MATCH($E1656,Section_Master!$A$2:$A$477,0))&amp;"","")</f>
        <v>No</v>
      </c>
      <c r="J1656" s="10" t="s">
        <v>61</v>
      </c>
      <c r="K1656" s="8" t="s">
        <v>3903</v>
      </c>
    </row>
    <row r="1657" customFormat="false" ht="34.5" hidden="false" customHeight="true" outlineLevel="0" collapsed="false">
      <c r="A1657" s="10" t="s">
        <v>3912</v>
      </c>
      <c r="B1657" s="10" t="s">
        <v>45</v>
      </c>
      <c r="C1657" s="8" t="s">
        <v>3901</v>
      </c>
      <c r="D1657" s="8" t="s">
        <v>3913</v>
      </c>
      <c r="E1657" s="11" t="n">
        <v>276</v>
      </c>
      <c r="F1657" s="8" t="str">
        <f aca="false">IFERROR(INDEX(Section_Master!$D$2:$D$477,MATCH($E1657,Section_Master!$A$2:$A$477,0))&amp;"","")</f>
        <v>Imprisonment up to 6 months, or fine, or both</v>
      </c>
      <c r="G1657" s="10" t="str">
        <f aca="false">IFERROR(INDEX(Section_Master!$E$2:$E$477,MATCH($E1657,Section_Master!$A$2:$A$477,0))&amp;"","")</f>
        <v>No</v>
      </c>
      <c r="H1657" s="10" t="str">
        <f aca="false">IFERROR(INDEX(Section_Master!$F$2:$F$477,MATCH($E1657,Section_Master!$A$2:$A$477,0))&amp;"","")</f>
        <v>Yes</v>
      </c>
      <c r="I1657" s="10" t="str">
        <f aca="false">IFERROR(INDEX(Section_Master!$G$2:$G$477,MATCH($E1657,Section_Master!$A$2:$A$477,0))&amp;"","")</f>
        <v>No</v>
      </c>
      <c r="J1657" s="10" t="s">
        <v>64</v>
      </c>
      <c r="K1657" s="8" t="s">
        <v>3903</v>
      </c>
    </row>
    <row r="1658" customFormat="false" ht="34.5" hidden="false" customHeight="true" outlineLevel="0" collapsed="false">
      <c r="A1658" s="10" t="s">
        <v>3914</v>
      </c>
      <c r="B1658" s="10" t="s">
        <v>45</v>
      </c>
      <c r="C1658" s="8" t="s">
        <v>3915</v>
      </c>
      <c r="D1658" s="8" t="s">
        <v>3916</v>
      </c>
      <c r="E1658" s="11" t="n">
        <v>277</v>
      </c>
      <c r="F1658" s="8" t="str">
        <f aca="false">IFERROR(INDEX(Section_Master!$D$2:$D$477,MATCH($E1658,Section_Master!$A$2:$A$477,0))&amp;"","")</f>
        <v>Imprisonment up to 6 months, or fine, or both</v>
      </c>
      <c r="G1658" s="10" t="str">
        <f aca="false">IFERROR(INDEX(Section_Master!$E$2:$E$477,MATCH($E1658,Section_Master!$A$2:$A$477,0))&amp;"","")</f>
        <v>No</v>
      </c>
      <c r="H1658" s="10" t="str">
        <f aca="false">IFERROR(INDEX(Section_Master!$F$2:$F$477,MATCH($E1658,Section_Master!$A$2:$A$477,0))&amp;"","")</f>
        <v>Yes</v>
      </c>
      <c r="I1658" s="10" t="str">
        <f aca="false">IFERROR(INDEX(Section_Master!$G$2:$G$477,MATCH($E1658,Section_Master!$A$2:$A$477,0))&amp;"","")</f>
        <v>No</v>
      </c>
      <c r="J1658" s="10" t="s">
        <v>48</v>
      </c>
      <c r="K1658" s="8" t="s">
        <v>3917</v>
      </c>
    </row>
    <row r="1659" customFormat="false" ht="34.5" hidden="false" customHeight="true" outlineLevel="0" collapsed="false">
      <c r="A1659" s="10" t="s">
        <v>3918</v>
      </c>
      <c r="B1659" s="10" t="s">
        <v>45</v>
      </c>
      <c r="C1659" s="8" t="s">
        <v>3915</v>
      </c>
      <c r="D1659" s="8" t="s">
        <v>3919</v>
      </c>
      <c r="E1659" s="11" t="n">
        <v>277</v>
      </c>
      <c r="F1659" s="8" t="str">
        <f aca="false">IFERROR(INDEX(Section_Master!$D$2:$D$477,MATCH($E1659,Section_Master!$A$2:$A$477,0))&amp;"","")</f>
        <v>Imprisonment up to 6 months, or fine, or both</v>
      </c>
      <c r="G1659" s="10" t="str">
        <f aca="false">IFERROR(INDEX(Section_Master!$E$2:$E$477,MATCH($E1659,Section_Master!$A$2:$A$477,0))&amp;"","")</f>
        <v>No</v>
      </c>
      <c r="H1659" s="10" t="str">
        <f aca="false">IFERROR(INDEX(Section_Master!$F$2:$F$477,MATCH($E1659,Section_Master!$A$2:$A$477,0))&amp;"","")</f>
        <v>Yes</v>
      </c>
      <c r="I1659" s="10" t="str">
        <f aca="false">IFERROR(INDEX(Section_Master!$G$2:$G$477,MATCH($E1659,Section_Master!$A$2:$A$477,0))&amp;"","")</f>
        <v>No</v>
      </c>
      <c r="J1659" s="10" t="s">
        <v>52</v>
      </c>
      <c r="K1659" s="8" t="s">
        <v>3917</v>
      </c>
    </row>
    <row r="1660" customFormat="false" ht="34.5" hidden="false" customHeight="true" outlineLevel="0" collapsed="false">
      <c r="A1660" s="10" t="s">
        <v>3920</v>
      </c>
      <c r="B1660" s="10" t="s">
        <v>45</v>
      </c>
      <c r="C1660" s="8" t="s">
        <v>3915</v>
      </c>
      <c r="D1660" s="8" t="s">
        <v>3921</v>
      </c>
      <c r="E1660" s="11" t="n">
        <v>277</v>
      </c>
      <c r="F1660" s="8" t="str">
        <f aca="false">IFERROR(INDEX(Section_Master!$D$2:$D$477,MATCH($E1660,Section_Master!$A$2:$A$477,0))&amp;"","")</f>
        <v>Imprisonment up to 6 months, or fine, or both</v>
      </c>
      <c r="G1660" s="10" t="str">
        <f aca="false">IFERROR(INDEX(Section_Master!$E$2:$E$477,MATCH($E1660,Section_Master!$A$2:$A$477,0))&amp;"","")</f>
        <v>No</v>
      </c>
      <c r="H1660" s="10" t="str">
        <f aca="false">IFERROR(INDEX(Section_Master!$F$2:$F$477,MATCH($E1660,Section_Master!$A$2:$A$477,0))&amp;"","")</f>
        <v>Yes</v>
      </c>
      <c r="I1660" s="10" t="str">
        <f aca="false">IFERROR(INDEX(Section_Master!$G$2:$G$477,MATCH($E1660,Section_Master!$A$2:$A$477,0))&amp;"","")</f>
        <v>No</v>
      </c>
      <c r="J1660" s="10" t="s">
        <v>55</v>
      </c>
      <c r="K1660" s="8" t="s">
        <v>3917</v>
      </c>
    </row>
    <row r="1661" customFormat="false" ht="23.25" hidden="false" customHeight="true" outlineLevel="0" collapsed="false">
      <c r="A1661" s="10" t="s">
        <v>3922</v>
      </c>
      <c r="B1661" s="10" t="s">
        <v>45</v>
      </c>
      <c r="C1661" s="8" t="s">
        <v>3915</v>
      </c>
      <c r="D1661" s="8" t="s">
        <v>3923</v>
      </c>
      <c r="E1661" s="11" t="n">
        <v>277</v>
      </c>
      <c r="F1661" s="8" t="str">
        <f aca="false">IFERROR(INDEX(Section_Master!$D$2:$D$477,MATCH($E1661,Section_Master!$A$2:$A$477,0))&amp;"","")</f>
        <v>Imprisonment up to 6 months, or fine, or both</v>
      </c>
      <c r="G1661" s="10" t="str">
        <f aca="false">IFERROR(INDEX(Section_Master!$E$2:$E$477,MATCH($E1661,Section_Master!$A$2:$A$477,0))&amp;"","")</f>
        <v>No</v>
      </c>
      <c r="H1661" s="10" t="str">
        <f aca="false">IFERROR(INDEX(Section_Master!$F$2:$F$477,MATCH($E1661,Section_Master!$A$2:$A$477,0))&amp;"","")</f>
        <v>Yes</v>
      </c>
      <c r="I1661" s="10" t="str">
        <f aca="false">IFERROR(INDEX(Section_Master!$G$2:$G$477,MATCH($E1661,Section_Master!$A$2:$A$477,0))&amp;"","")</f>
        <v>No</v>
      </c>
      <c r="J1661" s="10" t="s">
        <v>58</v>
      </c>
      <c r="K1661" s="8" t="s">
        <v>3917</v>
      </c>
    </row>
    <row r="1662" customFormat="false" ht="23.25" hidden="false" customHeight="true" outlineLevel="0" collapsed="false">
      <c r="A1662" s="10" t="s">
        <v>3924</v>
      </c>
      <c r="B1662" s="10" t="s">
        <v>45</v>
      </c>
      <c r="C1662" s="8" t="s">
        <v>3915</v>
      </c>
      <c r="D1662" s="8" t="s">
        <v>3925</v>
      </c>
      <c r="E1662" s="11" t="n">
        <v>277</v>
      </c>
      <c r="F1662" s="8" t="str">
        <f aca="false">IFERROR(INDEX(Section_Master!$D$2:$D$477,MATCH($E1662,Section_Master!$A$2:$A$477,0))&amp;"","")</f>
        <v>Imprisonment up to 6 months, or fine, or both</v>
      </c>
      <c r="G1662" s="10" t="str">
        <f aca="false">IFERROR(INDEX(Section_Master!$E$2:$E$477,MATCH($E1662,Section_Master!$A$2:$A$477,0))&amp;"","")</f>
        <v>No</v>
      </c>
      <c r="H1662" s="10" t="str">
        <f aca="false">IFERROR(INDEX(Section_Master!$F$2:$F$477,MATCH($E1662,Section_Master!$A$2:$A$477,0))&amp;"","")</f>
        <v>Yes</v>
      </c>
      <c r="I1662" s="10" t="str">
        <f aca="false">IFERROR(INDEX(Section_Master!$G$2:$G$477,MATCH($E1662,Section_Master!$A$2:$A$477,0))&amp;"","")</f>
        <v>No</v>
      </c>
      <c r="J1662" s="10" t="s">
        <v>61</v>
      </c>
      <c r="K1662" s="8" t="s">
        <v>3917</v>
      </c>
    </row>
    <row r="1663" customFormat="false" ht="34.5" hidden="false" customHeight="true" outlineLevel="0" collapsed="false">
      <c r="A1663" s="10" t="s">
        <v>3926</v>
      </c>
      <c r="B1663" s="10" t="s">
        <v>45</v>
      </c>
      <c r="C1663" s="8" t="s">
        <v>3915</v>
      </c>
      <c r="D1663" s="8" t="s">
        <v>3927</v>
      </c>
      <c r="E1663" s="11" t="n">
        <v>277</v>
      </c>
      <c r="F1663" s="8" t="str">
        <f aca="false">IFERROR(INDEX(Section_Master!$D$2:$D$477,MATCH($E1663,Section_Master!$A$2:$A$477,0))&amp;"","")</f>
        <v>Imprisonment up to 6 months, or fine, or both</v>
      </c>
      <c r="G1663" s="10" t="str">
        <f aca="false">IFERROR(INDEX(Section_Master!$E$2:$E$477,MATCH($E1663,Section_Master!$A$2:$A$477,0))&amp;"","")</f>
        <v>No</v>
      </c>
      <c r="H1663" s="10" t="str">
        <f aca="false">IFERROR(INDEX(Section_Master!$F$2:$F$477,MATCH($E1663,Section_Master!$A$2:$A$477,0))&amp;"","")</f>
        <v>Yes</v>
      </c>
      <c r="I1663" s="10" t="str">
        <f aca="false">IFERROR(INDEX(Section_Master!$G$2:$G$477,MATCH($E1663,Section_Master!$A$2:$A$477,0))&amp;"","")</f>
        <v>No</v>
      </c>
      <c r="J1663" s="10" t="s">
        <v>64</v>
      </c>
      <c r="K1663" s="8" t="s">
        <v>3917</v>
      </c>
    </row>
    <row r="1664" customFormat="false" ht="34.5" hidden="false" customHeight="true" outlineLevel="0" collapsed="false">
      <c r="A1664" s="10" t="s">
        <v>3928</v>
      </c>
      <c r="B1664" s="10" t="s">
        <v>45</v>
      </c>
      <c r="C1664" s="8" t="s">
        <v>3929</v>
      </c>
      <c r="D1664" s="8" t="s">
        <v>3930</v>
      </c>
      <c r="E1664" s="11" t="n">
        <v>278</v>
      </c>
      <c r="F1664" s="8" t="str">
        <f aca="false">IFERROR(INDEX(Section_Master!$D$2:$D$477,MATCH($E1664,Section_Master!$A$2:$A$477,0))&amp;"","")</f>
        <v>Imprisonment up to 6 months, or fine, or both</v>
      </c>
      <c r="G1664" s="10" t="str">
        <f aca="false">IFERROR(INDEX(Section_Master!$E$2:$E$477,MATCH($E1664,Section_Master!$A$2:$A$477,0))&amp;"","")</f>
        <v>No</v>
      </c>
      <c r="H1664" s="10" t="str">
        <f aca="false">IFERROR(INDEX(Section_Master!$F$2:$F$477,MATCH($E1664,Section_Master!$A$2:$A$477,0))&amp;"","")</f>
        <v>Yes</v>
      </c>
      <c r="I1664" s="10" t="str">
        <f aca="false">IFERROR(INDEX(Section_Master!$G$2:$G$477,MATCH($E1664,Section_Master!$A$2:$A$477,0))&amp;"","")</f>
        <v>No</v>
      </c>
      <c r="J1664" s="10" t="s">
        <v>48</v>
      </c>
      <c r="K1664" s="8" t="s">
        <v>3931</v>
      </c>
    </row>
    <row r="1665" customFormat="false" ht="34.5" hidden="false" customHeight="true" outlineLevel="0" collapsed="false">
      <c r="A1665" s="10" t="s">
        <v>3932</v>
      </c>
      <c r="B1665" s="10" t="s">
        <v>45</v>
      </c>
      <c r="C1665" s="8" t="s">
        <v>3929</v>
      </c>
      <c r="D1665" s="8" t="s">
        <v>3933</v>
      </c>
      <c r="E1665" s="11" t="n">
        <v>278</v>
      </c>
      <c r="F1665" s="8" t="str">
        <f aca="false">IFERROR(INDEX(Section_Master!$D$2:$D$477,MATCH($E1665,Section_Master!$A$2:$A$477,0))&amp;"","")</f>
        <v>Imprisonment up to 6 months, or fine, or both</v>
      </c>
      <c r="G1665" s="10" t="str">
        <f aca="false">IFERROR(INDEX(Section_Master!$E$2:$E$477,MATCH($E1665,Section_Master!$A$2:$A$477,0))&amp;"","")</f>
        <v>No</v>
      </c>
      <c r="H1665" s="10" t="str">
        <f aca="false">IFERROR(INDEX(Section_Master!$F$2:$F$477,MATCH($E1665,Section_Master!$A$2:$A$477,0))&amp;"","")</f>
        <v>Yes</v>
      </c>
      <c r="I1665" s="10" t="str">
        <f aca="false">IFERROR(INDEX(Section_Master!$G$2:$G$477,MATCH($E1665,Section_Master!$A$2:$A$477,0))&amp;"","")</f>
        <v>No</v>
      </c>
      <c r="J1665" s="10" t="s">
        <v>52</v>
      </c>
      <c r="K1665" s="8" t="s">
        <v>3931</v>
      </c>
    </row>
    <row r="1666" customFormat="false" ht="34.5" hidden="false" customHeight="true" outlineLevel="0" collapsed="false">
      <c r="A1666" s="10" t="s">
        <v>3934</v>
      </c>
      <c r="B1666" s="10" t="s">
        <v>45</v>
      </c>
      <c r="C1666" s="8" t="s">
        <v>3929</v>
      </c>
      <c r="D1666" s="8" t="s">
        <v>3935</v>
      </c>
      <c r="E1666" s="11" t="n">
        <v>278</v>
      </c>
      <c r="F1666" s="8" t="str">
        <f aca="false">IFERROR(INDEX(Section_Master!$D$2:$D$477,MATCH($E1666,Section_Master!$A$2:$A$477,0))&amp;"","")</f>
        <v>Imprisonment up to 6 months, or fine, or both</v>
      </c>
      <c r="G1666" s="10" t="str">
        <f aca="false">IFERROR(INDEX(Section_Master!$E$2:$E$477,MATCH($E1666,Section_Master!$A$2:$A$477,0))&amp;"","")</f>
        <v>No</v>
      </c>
      <c r="H1666" s="10" t="str">
        <f aca="false">IFERROR(INDEX(Section_Master!$F$2:$F$477,MATCH($E1666,Section_Master!$A$2:$A$477,0))&amp;"","")</f>
        <v>Yes</v>
      </c>
      <c r="I1666" s="10" t="str">
        <f aca="false">IFERROR(INDEX(Section_Master!$G$2:$G$477,MATCH($E1666,Section_Master!$A$2:$A$477,0))&amp;"","")</f>
        <v>No</v>
      </c>
      <c r="J1666" s="10" t="s">
        <v>55</v>
      </c>
      <c r="K1666" s="8" t="s">
        <v>3931</v>
      </c>
    </row>
    <row r="1667" customFormat="false" ht="34.5" hidden="false" customHeight="true" outlineLevel="0" collapsed="false">
      <c r="A1667" s="10" t="s">
        <v>3936</v>
      </c>
      <c r="B1667" s="10" t="s">
        <v>45</v>
      </c>
      <c r="C1667" s="8" t="s">
        <v>3929</v>
      </c>
      <c r="D1667" s="8" t="s">
        <v>3937</v>
      </c>
      <c r="E1667" s="11" t="n">
        <v>278</v>
      </c>
      <c r="F1667" s="8" t="str">
        <f aca="false">IFERROR(INDEX(Section_Master!$D$2:$D$477,MATCH($E1667,Section_Master!$A$2:$A$477,0))&amp;"","")</f>
        <v>Imprisonment up to 6 months, or fine, or both</v>
      </c>
      <c r="G1667" s="10" t="str">
        <f aca="false">IFERROR(INDEX(Section_Master!$E$2:$E$477,MATCH($E1667,Section_Master!$A$2:$A$477,0))&amp;"","")</f>
        <v>No</v>
      </c>
      <c r="H1667" s="10" t="str">
        <f aca="false">IFERROR(INDEX(Section_Master!$F$2:$F$477,MATCH($E1667,Section_Master!$A$2:$A$477,0))&amp;"","")</f>
        <v>Yes</v>
      </c>
      <c r="I1667" s="10" t="str">
        <f aca="false">IFERROR(INDEX(Section_Master!$G$2:$G$477,MATCH($E1667,Section_Master!$A$2:$A$477,0))&amp;"","")</f>
        <v>No</v>
      </c>
      <c r="J1667" s="10" t="s">
        <v>58</v>
      </c>
      <c r="K1667" s="8" t="s">
        <v>3931</v>
      </c>
    </row>
    <row r="1668" customFormat="false" ht="34.5" hidden="false" customHeight="true" outlineLevel="0" collapsed="false">
      <c r="A1668" s="10" t="s">
        <v>3938</v>
      </c>
      <c r="B1668" s="10" t="s">
        <v>45</v>
      </c>
      <c r="C1668" s="8" t="s">
        <v>3929</v>
      </c>
      <c r="D1668" s="8" t="s">
        <v>3939</v>
      </c>
      <c r="E1668" s="11" t="n">
        <v>278</v>
      </c>
      <c r="F1668" s="8" t="str">
        <f aca="false">IFERROR(INDEX(Section_Master!$D$2:$D$477,MATCH($E1668,Section_Master!$A$2:$A$477,0))&amp;"","")</f>
        <v>Imprisonment up to 6 months, or fine, or both</v>
      </c>
      <c r="G1668" s="10" t="str">
        <f aca="false">IFERROR(INDEX(Section_Master!$E$2:$E$477,MATCH($E1668,Section_Master!$A$2:$A$477,0))&amp;"","")</f>
        <v>No</v>
      </c>
      <c r="H1668" s="10" t="str">
        <f aca="false">IFERROR(INDEX(Section_Master!$F$2:$F$477,MATCH($E1668,Section_Master!$A$2:$A$477,0))&amp;"","")</f>
        <v>Yes</v>
      </c>
      <c r="I1668" s="10" t="str">
        <f aca="false">IFERROR(INDEX(Section_Master!$G$2:$G$477,MATCH($E1668,Section_Master!$A$2:$A$477,0))&amp;"","")</f>
        <v>No</v>
      </c>
      <c r="J1668" s="10" t="s">
        <v>61</v>
      </c>
      <c r="K1668" s="8" t="s">
        <v>3931</v>
      </c>
    </row>
    <row r="1669" customFormat="false" ht="34.5" hidden="false" customHeight="true" outlineLevel="0" collapsed="false">
      <c r="A1669" s="10" t="s">
        <v>3940</v>
      </c>
      <c r="B1669" s="10" t="s">
        <v>45</v>
      </c>
      <c r="C1669" s="8" t="s">
        <v>3929</v>
      </c>
      <c r="D1669" s="8" t="s">
        <v>3941</v>
      </c>
      <c r="E1669" s="11" t="n">
        <v>278</v>
      </c>
      <c r="F1669" s="8" t="str">
        <f aca="false">IFERROR(INDEX(Section_Master!$D$2:$D$477,MATCH($E1669,Section_Master!$A$2:$A$477,0))&amp;"","")</f>
        <v>Imprisonment up to 6 months, or fine, or both</v>
      </c>
      <c r="G1669" s="10" t="str">
        <f aca="false">IFERROR(INDEX(Section_Master!$E$2:$E$477,MATCH($E1669,Section_Master!$A$2:$A$477,0))&amp;"","")</f>
        <v>No</v>
      </c>
      <c r="H1669" s="10" t="str">
        <f aca="false">IFERROR(INDEX(Section_Master!$F$2:$F$477,MATCH($E1669,Section_Master!$A$2:$A$477,0))&amp;"","")</f>
        <v>Yes</v>
      </c>
      <c r="I1669" s="10" t="str">
        <f aca="false">IFERROR(INDEX(Section_Master!$G$2:$G$477,MATCH($E1669,Section_Master!$A$2:$A$477,0))&amp;"","")</f>
        <v>No</v>
      </c>
      <c r="J1669" s="10" t="s">
        <v>64</v>
      </c>
      <c r="K1669" s="8" t="s">
        <v>3931</v>
      </c>
    </row>
    <row r="1670" customFormat="false" ht="34.5" hidden="false" customHeight="true" outlineLevel="0" collapsed="false">
      <c r="A1670" s="10" t="s">
        <v>3942</v>
      </c>
      <c r="B1670" s="10" t="s">
        <v>45</v>
      </c>
      <c r="C1670" s="8" t="s">
        <v>3943</v>
      </c>
      <c r="D1670" s="8" t="s">
        <v>3944</v>
      </c>
      <c r="E1670" s="11" t="n">
        <v>279</v>
      </c>
      <c r="F1670" s="8" t="str">
        <f aca="false">IFERROR(INDEX(Section_Master!$D$2:$D$477,MATCH($E1670,Section_Master!$A$2:$A$477,0))&amp;"","")</f>
        <v>Imprisonment up to 3 months, or fine, or both</v>
      </c>
      <c r="G1670" s="10" t="str">
        <f aca="false">IFERROR(INDEX(Section_Master!$E$2:$E$477,MATCH($E1670,Section_Master!$A$2:$A$477,0))&amp;"","")</f>
        <v>No</v>
      </c>
      <c r="H1670" s="10" t="str">
        <f aca="false">IFERROR(INDEX(Section_Master!$F$2:$F$477,MATCH($E1670,Section_Master!$A$2:$A$477,0))&amp;"","")</f>
        <v>Yes</v>
      </c>
      <c r="I1670" s="10" t="str">
        <f aca="false">IFERROR(INDEX(Section_Master!$G$2:$G$477,MATCH($E1670,Section_Master!$A$2:$A$477,0))&amp;"","")</f>
        <v>No</v>
      </c>
      <c r="J1670" s="10" t="s">
        <v>48</v>
      </c>
      <c r="K1670" s="8" t="s">
        <v>3945</v>
      </c>
    </row>
    <row r="1671" customFormat="false" ht="34.5" hidden="false" customHeight="true" outlineLevel="0" collapsed="false">
      <c r="A1671" s="10" t="s">
        <v>3946</v>
      </c>
      <c r="B1671" s="10" t="s">
        <v>45</v>
      </c>
      <c r="C1671" s="8" t="s">
        <v>3943</v>
      </c>
      <c r="D1671" s="8" t="s">
        <v>3947</v>
      </c>
      <c r="E1671" s="11" t="n">
        <v>279</v>
      </c>
      <c r="F1671" s="8" t="str">
        <f aca="false">IFERROR(INDEX(Section_Master!$D$2:$D$477,MATCH($E1671,Section_Master!$A$2:$A$477,0))&amp;"","")</f>
        <v>Imprisonment up to 3 months, or fine, or both</v>
      </c>
      <c r="G1671" s="10" t="str">
        <f aca="false">IFERROR(INDEX(Section_Master!$E$2:$E$477,MATCH($E1671,Section_Master!$A$2:$A$477,0))&amp;"","")</f>
        <v>No</v>
      </c>
      <c r="H1671" s="10" t="str">
        <f aca="false">IFERROR(INDEX(Section_Master!$F$2:$F$477,MATCH($E1671,Section_Master!$A$2:$A$477,0))&amp;"","")</f>
        <v>Yes</v>
      </c>
      <c r="I1671" s="10" t="str">
        <f aca="false">IFERROR(INDEX(Section_Master!$G$2:$G$477,MATCH($E1671,Section_Master!$A$2:$A$477,0))&amp;"","")</f>
        <v>No</v>
      </c>
      <c r="J1671" s="10" t="s">
        <v>52</v>
      </c>
      <c r="K1671" s="8" t="s">
        <v>3945</v>
      </c>
    </row>
    <row r="1672" customFormat="false" ht="34.5" hidden="false" customHeight="true" outlineLevel="0" collapsed="false">
      <c r="A1672" s="10" t="s">
        <v>3948</v>
      </c>
      <c r="B1672" s="10" t="s">
        <v>45</v>
      </c>
      <c r="C1672" s="8" t="s">
        <v>3943</v>
      </c>
      <c r="D1672" s="8" t="s">
        <v>3949</v>
      </c>
      <c r="E1672" s="11" t="n">
        <v>279</v>
      </c>
      <c r="F1672" s="8" t="str">
        <f aca="false">IFERROR(INDEX(Section_Master!$D$2:$D$477,MATCH($E1672,Section_Master!$A$2:$A$477,0))&amp;"","")</f>
        <v>Imprisonment up to 3 months, or fine, or both</v>
      </c>
      <c r="G1672" s="10" t="str">
        <f aca="false">IFERROR(INDEX(Section_Master!$E$2:$E$477,MATCH($E1672,Section_Master!$A$2:$A$477,0))&amp;"","")</f>
        <v>No</v>
      </c>
      <c r="H1672" s="10" t="str">
        <f aca="false">IFERROR(INDEX(Section_Master!$F$2:$F$477,MATCH($E1672,Section_Master!$A$2:$A$477,0))&amp;"","")</f>
        <v>Yes</v>
      </c>
      <c r="I1672" s="10" t="str">
        <f aca="false">IFERROR(INDEX(Section_Master!$G$2:$G$477,MATCH($E1672,Section_Master!$A$2:$A$477,0))&amp;"","")</f>
        <v>No</v>
      </c>
      <c r="J1672" s="10" t="s">
        <v>55</v>
      </c>
      <c r="K1672" s="8" t="s">
        <v>3945</v>
      </c>
    </row>
    <row r="1673" customFormat="false" ht="23.25" hidden="false" customHeight="true" outlineLevel="0" collapsed="false">
      <c r="A1673" s="10" t="s">
        <v>3950</v>
      </c>
      <c r="B1673" s="10" t="s">
        <v>45</v>
      </c>
      <c r="C1673" s="8" t="s">
        <v>3943</v>
      </c>
      <c r="D1673" s="8" t="s">
        <v>3951</v>
      </c>
      <c r="E1673" s="11" t="n">
        <v>279</v>
      </c>
      <c r="F1673" s="8" t="str">
        <f aca="false">IFERROR(INDEX(Section_Master!$D$2:$D$477,MATCH($E1673,Section_Master!$A$2:$A$477,0))&amp;"","")</f>
        <v>Imprisonment up to 3 months, or fine, or both</v>
      </c>
      <c r="G1673" s="10" t="str">
        <f aca="false">IFERROR(INDEX(Section_Master!$E$2:$E$477,MATCH($E1673,Section_Master!$A$2:$A$477,0))&amp;"","")</f>
        <v>No</v>
      </c>
      <c r="H1673" s="10" t="str">
        <f aca="false">IFERROR(INDEX(Section_Master!$F$2:$F$477,MATCH($E1673,Section_Master!$A$2:$A$477,0))&amp;"","")</f>
        <v>Yes</v>
      </c>
      <c r="I1673" s="10" t="str">
        <f aca="false">IFERROR(INDEX(Section_Master!$G$2:$G$477,MATCH($E1673,Section_Master!$A$2:$A$477,0))&amp;"","")</f>
        <v>No</v>
      </c>
      <c r="J1673" s="10" t="s">
        <v>58</v>
      </c>
      <c r="K1673" s="8" t="s">
        <v>3945</v>
      </c>
    </row>
    <row r="1674" customFormat="false" ht="23.25" hidden="false" customHeight="true" outlineLevel="0" collapsed="false">
      <c r="A1674" s="10" t="s">
        <v>3952</v>
      </c>
      <c r="B1674" s="10" t="s">
        <v>45</v>
      </c>
      <c r="C1674" s="8" t="s">
        <v>3943</v>
      </c>
      <c r="D1674" s="8" t="s">
        <v>3953</v>
      </c>
      <c r="E1674" s="11" t="n">
        <v>279</v>
      </c>
      <c r="F1674" s="8" t="str">
        <f aca="false">IFERROR(INDEX(Section_Master!$D$2:$D$477,MATCH($E1674,Section_Master!$A$2:$A$477,0))&amp;"","")</f>
        <v>Imprisonment up to 3 months, or fine, or both</v>
      </c>
      <c r="G1674" s="10" t="str">
        <f aca="false">IFERROR(INDEX(Section_Master!$E$2:$E$477,MATCH($E1674,Section_Master!$A$2:$A$477,0))&amp;"","")</f>
        <v>No</v>
      </c>
      <c r="H1674" s="10" t="str">
        <f aca="false">IFERROR(INDEX(Section_Master!$F$2:$F$477,MATCH($E1674,Section_Master!$A$2:$A$477,0))&amp;"","")</f>
        <v>Yes</v>
      </c>
      <c r="I1674" s="10" t="str">
        <f aca="false">IFERROR(INDEX(Section_Master!$G$2:$G$477,MATCH($E1674,Section_Master!$A$2:$A$477,0))&amp;"","")</f>
        <v>No</v>
      </c>
      <c r="J1674" s="10" t="s">
        <v>61</v>
      </c>
      <c r="K1674" s="8" t="s">
        <v>3945</v>
      </c>
    </row>
    <row r="1675" customFormat="false" ht="34.5" hidden="false" customHeight="true" outlineLevel="0" collapsed="false">
      <c r="A1675" s="10" t="s">
        <v>3954</v>
      </c>
      <c r="B1675" s="10" t="s">
        <v>45</v>
      </c>
      <c r="C1675" s="8" t="s">
        <v>3943</v>
      </c>
      <c r="D1675" s="8" t="s">
        <v>3955</v>
      </c>
      <c r="E1675" s="11" t="n">
        <v>279</v>
      </c>
      <c r="F1675" s="8" t="str">
        <f aca="false">IFERROR(INDEX(Section_Master!$D$2:$D$477,MATCH($E1675,Section_Master!$A$2:$A$477,0))&amp;"","")</f>
        <v>Imprisonment up to 3 months, or fine, or both</v>
      </c>
      <c r="G1675" s="10" t="str">
        <f aca="false">IFERROR(INDEX(Section_Master!$E$2:$E$477,MATCH($E1675,Section_Master!$A$2:$A$477,0))&amp;"","")</f>
        <v>No</v>
      </c>
      <c r="H1675" s="10" t="str">
        <f aca="false">IFERROR(INDEX(Section_Master!$F$2:$F$477,MATCH($E1675,Section_Master!$A$2:$A$477,0))&amp;"","")</f>
        <v>Yes</v>
      </c>
      <c r="I1675" s="10" t="str">
        <f aca="false">IFERROR(INDEX(Section_Master!$G$2:$G$477,MATCH($E1675,Section_Master!$A$2:$A$477,0))&amp;"","")</f>
        <v>No</v>
      </c>
      <c r="J1675" s="10" t="s">
        <v>64</v>
      </c>
      <c r="K1675" s="8" t="s">
        <v>3945</v>
      </c>
    </row>
    <row r="1676" customFormat="false" ht="34.5" hidden="false" customHeight="true" outlineLevel="0" collapsed="false">
      <c r="A1676" s="10" t="s">
        <v>3956</v>
      </c>
      <c r="B1676" s="10" t="s">
        <v>45</v>
      </c>
      <c r="C1676" s="8" t="s">
        <v>3957</v>
      </c>
      <c r="D1676" s="8" t="s">
        <v>3958</v>
      </c>
      <c r="E1676" s="11" t="n">
        <v>280</v>
      </c>
      <c r="F1676" s="8" t="str">
        <f aca="false">IFERROR(INDEX(Section_Master!$D$2:$D$477,MATCH($E1676,Section_Master!$A$2:$A$477,0))&amp;"","")</f>
        <v>Fine</v>
      </c>
      <c r="G1676" s="10" t="str">
        <f aca="false">IFERROR(INDEX(Section_Master!$E$2:$E$477,MATCH($E1676,Section_Master!$A$2:$A$477,0))&amp;"","")</f>
        <v>No</v>
      </c>
      <c r="H1676" s="10" t="str">
        <f aca="false">IFERROR(INDEX(Section_Master!$F$2:$F$477,MATCH($E1676,Section_Master!$A$2:$A$477,0))&amp;"","")</f>
        <v>Yes</v>
      </c>
      <c r="I1676" s="10" t="str">
        <f aca="false">IFERROR(INDEX(Section_Master!$G$2:$G$477,MATCH($E1676,Section_Master!$A$2:$A$477,0))&amp;"","")</f>
        <v>No</v>
      </c>
      <c r="J1676" s="10" t="s">
        <v>48</v>
      </c>
      <c r="K1676" s="8" t="s">
        <v>3959</v>
      </c>
    </row>
    <row r="1677" customFormat="false" ht="34.5" hidden="false" customHeight="true" outlineLevel="0" collapsed="false">
      <c r="A1677" s="10" t="s">
        <v>3960</v>
      </c>
      <c r="B1677" s="10" t="s">
        <v>45</v>
      </c>
      <c r="C1677" s="8" t="s">
        <v>3957</v>
      </c>
      <c r="D1677" s="8" t="s">
        <v>3961</v>
      </c>
      <c r="E1677" s="11" t="n">
        <v>280</v>
      </c>
      <c r="F1677" s="8" t="str">
        <f aca="false">IFERROR(INDEX(Section_Master!$D$2:$D$477,MATCH($E1677,Section_Master!$A$2:$A$477,0))&amp;"","")</f>
        <v>Fine</v>
      </c>
      <c r="G1677" s="10" t="str">
        <f aca="false">IFERROR(INDEX(Section_Master!$E$2:$E$477,MATCH($E1677,Section_Master!$A$2:$A$477,0))&amp;"","")</f>
        <v>No</v>
      </c>
      <c r="H1677" s="10" t="str">
        <f aca="false">IFERROR(INDEX(Section_Master!$F$2:$F$477,MATCH($E1677,Section_Master!$A$2:$A$477,0))&amp;"","")</f>
        <v>Yes</v>
      </c>
      <c r="I1677" s="10" t="str">
        <f aca="false">IFERROR(INDEX(Section_Master!$G$2:$G$477,MATCH($E1677,Section_Master!$A$2:$A$477,0))&amp;"","")</f>
        <v>No</v>
      </c>
      <c r="J1677" s="10" t="s">
        <v>52</v>
      </c>
      <c r="K1677" s="8" t="s">
        <v>3959</v>
      </c>
    </row>
    <row r="1678" customFormat="false" ht="34.5" hidden="false" customHeight="true" outlineLevel="0" collapsed="false">
      <c r="A1678" s="10" t="s">
        <v>3962</v>
      </c>
      <c r="B1678" s="10" t="s">
        <v>45</v>
      </c>
      <c r="C1678" s="8" t="s">
        <v>3957</v>
      </c>
      <c r="D1678" s="8" t="s">
        <v>3963</v>
      </c>
      <c r="E1678" s="11" t="n">
        <v>280</v>
      </c>
      <c r="F1678" s="8" t="str">
        <f aca="false">IFERROR(INDEX(Section_Master!$D$2:$D$477,MATCH($E1678,Section_Master!$A$2:$A$477,0))&amp;"","")</f>
        <v>Fine</v>
      </c>
      <c r="G1678" s="10" t="str">
        <f aca="false">IFERROR(INDEX(Section_Master!$E$2:$E$477,MATCH($E1678,Section_Master!$A$2:$A$477,0))&amp;"","")</f>
        <v>No</v>
      </c>
      <c r="H1678" s="10" t="str">
        <f aca="false">IFERROR(INDEX(Section_Master!$F$2:$F$477,MATCH($E1678,Section_Master!$A$2:$A$477,0))&amp;"","")</f>
        <v>Yes</v>
      </c>
      <c r="I1678" s="10" t="str">
        <f aca="false">IFERROR(INDEX(Section_Master!$G$2:$G$477,MATCH($E1678,Section_Master!$A$2:$A$477,0))&amp;"","")</f>
        <v>No</v>
      </c>
      <c r="J1678" s="10" t="s">
        <v>55</v>
      </c>
      <c r="K1678" s="8" t="s">
        <v>3959</v>
      </c>
    </row>
    <row r="1679" customFormat="false" ht="23.25" hidden="false" customHeight="true" outlineLevel="0" collapsed="false">
      <c r="A1679" s="10" t="s">
        <v>3964</v>
      </c>
      <c r="B1679" s="10" t="s">
        <v>45</v>
      </c>
      <c r="C1679" s="8" t="s">
        <v>3957</v>
      </c>
      <c r="D1679" s="8" t="s">
        <v>3965</v>
      </c>
      <c r="E1679" s="11" t="n">
        <v>280</v>
      </c>
      <c r="F1679" s="8" t="str">
        <f aca="false">IFERROR(INDEX(Section_Master!$D$2:$D$477,MATCH($E1679,Section_Master!$A$2:$A$477,0))&amp;"","")</f>
        <v>Fine</v>
      </c>
      <c r="G1679" s="10" t="str">
        <f aca="false">IFERROR(INDEX(Section_Master!$E$2:$E$477,MATCH($E1679,Section_Master!$A$2:$A$477,0))&amp;"","")</f>
        <v>No</v>
      </c>
      <c r="H1679" s="10" t="str">
        <f aca="false">IFERROR(INDEX(Section_Master!$F$2:$F$477,MATCH($E1679,Section_Master!$A$2:$A$477,0))&amp;"","")</f>
        <v>Yes</v>
      </c>
      <c r="I1679" s="10" t="str">
        <f aca="false">IFERROR(INDEX(Section_Master!$G$2:$G$477,MATCH($E1679,Section_Master!$A$2:$A$477,0))&amp;"","")</f>
        <v>No</v>
      </c>
      <c r="J1679" s="10" t="s">
        <v>58</v>
      </c>
      <c r="K1679" s="8" t="s">
        <v>3959</v>
      </c>
    </row>
    <row r="1680" customFormat="false" ht="23.25" hidden="false" customHeight="true" outlineLevel="0" collapsed="false">
      <c r="A1680" s="10" t="s">
        <v>3966</v>
      </c>
      <c r="B1680" s="10" t="s">
        <v>45</v>
      </c>
      <c r="C1680" s="8" t="s">
        <v>3957</v>
      </c>
      <c r="D1680" s="8" t="s">
        <v>3967</v>
      </c>
      <c r="E1680" s="11" t="n">
        <v>280</v>
      </c>
      <c r="F1680" s="8" t="str">
        <f aca="false">IFERROR(INDEX(Section_Master!$D$2:$D$477,MATCH($E1680,Section_Master!$A$2:$A$477,0))&amp;"","")</f>
        <v>Fine</v>
      </c>
      <c r="G1680" s="10" t="str">
        <f aca="false">IFERROR(INDEX(Section_Master!$E$2:$E$477,MATCH($E1680,Section_Master!$A$2:$A$477,0))&amp;"","")</f>
        <v>No</v>
      </c>
      <c r="H1680" s="10" t="str">
        <f aca="false">IFERROR(INDEX(Section_Master!$F$2:$F$477,MATCH($E1680,Section_Master!$A$2:$A$477,0))&amp;"","")</f>
        <v>Yes</v>
      </c>
      <c r="I1680" s="10" t="str">
        <f aca="false">IFERROR(INDEX(Section_Master!$G$2:$G$477,MATCH($E1680,Section_Master!$A$2:$A$477,0))&amp;"","")</f>
        <v>No</v>
      </c>
      <c r="J1680" s="10" t="s">
        <v>61</v>
      </c>
      <c r="K1680" s="8" t="s">
        <v>3959</v>
      </c>
    </row>
    <row r="1681" customFormat="false" ht="45.75" hidden="false" customHeight="true" outlineLevel="0" collapsed="false">
      <c r="A1681" s="10" t="s">
        <v>3968</v>
      </c>
      <c r="B1681" s="10" t="s">
        <v>45</v>
      </c>
      <c r="C1681" s="8" t="s">
        <v>3957</v>
      </c>
      <c r="D1681" s="8" t="s">
        <v>3969</v>
      </c>
      <c r="E1681" s="11" t="n">
        <v>280</v>
      </c>
      <c r="F1681" s="8" t="str">
        <f aca="false">IFERROR(INDEX(Section_Master!$D$2:$D$477,MATCH($E1681,Section_Master!$A$2:$A$477,0))&amp;"","")</f>
        <v>Fine</v>
      </c>
      <c r="G1681" s="10" t="str">
        <f aca="false">IFERROR(INDEX(Section_Master!$E$2:$E$477,MATCH($E1681,Section_Master!$A$2:$A$477,0))&amp;"","")</f>
        <v>No</v>
      </c>
      <c r="H1681" s="10" t="str">
        <f aca="false">IFERROR(INDEX(Section_Master!$F$2:$F$477,MATCH($E1681,Section_Master!$A$2:$A$477,0))&amp;"","")</f>
        <v>Yes</v>
      </c>
      <c r="I1681" s="10" t="str">
        <f aca="false">IFERROR(INDEX(Section_Master!$G$2:$G$477,MATCH($E1681,Section_Master!$A$2:$A$477,0))&amp;"","")</f>
        <v>No</v>
      </c>
      <c r="J1681" s="10" t="s">
        <v>64</v>
      </c>
      <c r="K1681" s="8" t="s">
        <v>3959</v>
      </c>
    </row>
    <row r="1682" customFormat="false" ht="34.5" hidden="false" customHeight="true" outlineLevel="0" collapsed="false">
      <c r="A1682" s="10" t="s">
        <v>3970</v>
      </c>
      <c r="B1682" s="10" t="s">
        <v>45</v>
      </c>
      <c r="C1682" s="8" t="s">
        <v>3971</v>
      </c>
      <c r="D1682" s="8" t="s">
        <v>3972</v>
      </c>
      <c r="E1682" s="11" t="n">
        <v>281</v>
      </c>
      <c r="F1682" s="8" t="str">
        <f aca="false">IFERROR(INDEX(Section_Master!$D$2:$D$477,MATCH($E1682,Section_Master!$A$2:$A$477,0))&amp;"","")</f>
        <v>Imprisonment up to 6 months, or fine up to Rs 1,000, or both</v>
      </c>
      <c r="G1682" s="10" t="str">
        <f aca="false">IFERROR(INDEX(Section_Master!$E$2:$E$477,MATCH($E1682,Section_Master!$A$2:$A$477,0))&amp;"","")</f>
        <v>Yes</v>
      </c>
      <c r="H1682" s="10" t="str">
        <f aca="false">IFERROR(INDEX(Section_Master!$F$2:$F$477,MATCH($E1682,Section_Master!$A$2:$A$477,0))&amp;"","")</f>
        <v>Yes</v>
      </c>
      <c r="I1682" s="10" t="str">
        <f aca="false">IFERROR(INDEX(Section_Master!$G$2:$G$477,MATCH($E1682,Section_Master!$A$2:$A$477,0))&amp;"","")</f>
        <v>No</v>
      </c>
      <c r="J1682" s="10" t="s">
        <v>48</v>
      </c>
      <c r="K1682" s="8" t="s">
        <v>3973</v>
      </c>
    </row>
    <row r="1683" customFormat="false" ht="34.5" hidden="false" customHeight="true" outlineLevel="0" collapsed="false">
      <c r="A1683" s="10" t="s">
        <v>3974</v>
      </c>
      <c r="B1683" s="10" t="s">
        <v>45</v>
      </c>
      <c r="C1683" s="8" t="s">
        <v>3971</v>
      </c>
      <c r="D1683" s="8" t="s">
        <v>3975</v>
      </c>
      <c r="E1683" s="11" t="n">
        <v>281</v>
      </c>
      <c r="F1683" s="8" t="str">
        <f aca="false">IFERROR(INDEX(Section_Master!$D$2:$D$477,MATCH($E1683,Section_Master!$A$2:$A$477,0))&amp;"","")</f>
        <v>Imprisonment up to 6 months, or fine up to Rs 1,000, or both</v>
      </c>
      <c r="G1683" s="10" t="str">
        <f aca="false">IFERROR(INDEX(Section_Master!$E$2:$E$477,MATCH($E1683,Section_Master!$A$2:$A$477,0))&amp;"","")</f>
        <v>Yes</v>
      </c>
      <c r="H1683" s="10" t="str">
        <f aca="false">IFERROR(INDEX(Section_Master!$F$2:$F$477,MATCH($E1683,Section_Master!$A$2:$A$477,0))&amp;"","")</f>
        <v>Yes</v>
      </c>
      <c r="I1683" s="10" t="str">
        <f aca="false">IFERROR(INDEX(Section_Master!$G$2:$G$477,MATCH($E1683,Section_Master!$A$2:$A$477,0))&amp;"","")</f>
        <v>No</v>
      </c>
      <c r="J1683" s="10" t="s">
        <v>52</v>
      </c>
      <c r="K1683" s="8" t="s">
        <v>3973</v>
      </c>
    </row>
    <row r="1684" customFormat="false" ht="34.5" hidden="false" customHeight="true" outlineLevel="0" collapsed="false">
      <c r="A1684" s="10" t="s">
        <v>3976</v>
      </c>
      <c r="B1684" s="10" t="s">
        <v>45</v>
      </c>
      <c r="C1684" s="8" t="s">
        <v>3971</v>
      </c>
      <c r="D1684" s="8" t="s">
        <v>3977</v>
      </c>
      <c r="E1684" s="11" t="n">
        <v>281</v>
      </c>
      <c r="F1684" s="8" t="str">
        <f aca="false">IFERROR(INDEX(Section_Master!$D$2:$D$477,MATCH($E1684,Section_Master!$A$2:$A$477,0))&amp;"","")</f>
        <v>Imprisonment up to 6 months, or fine up to Rs 1,000, or both</v>
      </c>
      <c r="G1684" s="10" t="str">
        <f aca="false">IFERROR(INDEX(Section_Master!$E$2:$E$477,MATCH($E1684,Section_Master!$A$2:$A$477,0))&amp;"","")</f>
        <v>Yes</v>
      </c>
      <c r="H1684" s="10" t="str">
        <f aca="false">IFERROR(INDEX(Section_Master!$F$2:$F$477,MATCH($E1684,Section_Master!$A$2:$A$477,0))&amp;"","")</f>
        <v>Yes</v>
      </c>
      <c r="I1684" s="10" t="str">
        <f aca="false">IFERROR(INDEX(Section_Master!$G$2:$G$477,MATCH($E1684,Section_Master!$A$2:$A$477,0))&amp;"","")</f>
        <v>No</v>
      </c>
      <c r="J1684" s="10" t="s">
        <v>55</v>
      </c>
      <c r="K1684" s="8" t="s">
        <v>3973</v>
      </c>
    </row>
    <row r="1685" customFormat="false" ht="23.25" hidden="false" customHeight="true" outlineLevel="0" collapsed="false">
      <c r="A1685" s="10" t="s">
        <v>3978</v>
      </c>
      <c r="B1685" s="10" t="s">
        <v>45</v>
      </c>
      <c r="C1685" s="8" t="s">
        <v>3971</v>
      </c>
      <c r="D1685" s="8" t="s">
        <v>3979</v>
      </c>
      <c r="E1685" s="11" t="n">
        <v>281</v>
      </c>
      <c r="F1685" s="8" t="str">
        <f aca="false">IFERROR(INDEX(Section_Master!$D$2:$D$477,MATCH($E1685,Section_Master!$A$2:$A$477,0))&amp;"","")</f>
        <v>Imprisonment up to 6 months, or fine up to Rs 1,000, or both</v>
      </c>
      <c r="G1685" s="10" t="str">
        <f aca="false">IFERROR(INDEX(Section_Master!$E$2:$E$477,MATCH($E1685,Section_Master!$A$2:$A$477,0))&amp;"","")</f>
        <v>Yes</v>
      </c>
      <c r="H1685" s="10" t="str">
        <f aca="false">IFERROR(INDEX(Section_Master!$F$2:$F$477,MATCH($E1685,Section_Master!$A$2:$A$477,0))&amp;"","")</f>
        <v>Yes</v>
      </c>
      <c r="I1685" s="10" t="str">
        <f aca="false">IFERROR(INDEX(Section_Master!$G$2:$G$477,MATCH($E1685,Section_Master!$A$2:$A$477,0))&amp;"","")</f>
        <v>No</v>
      </c>
      <c r="J1685" s="10" t="s">
        <v>58</v>
      </c>
      <c r="K1685" s="8" t="s">
        <v>3973</v>
      </c>
    </row>
    <row r="1686" customFormat="false" ht="23.25" hidden="false" customHeight="true" outlineLevel="0" collapsed="false">
      <c r="A1686" s="10" t="s">
        <v>3980</v>
      </c>
      <c r="B1686" s="10" t="s">
        <v>45</v>
      </c>
      <c r="C1686" s="8" t="s">
        <v>3971</v>
      </c>
      <c r="D1686" s="8" t="s">
        <v>3981</v>
      </c>
      <c r="E1686" s="11" t="n">
        <v>281</v>
      </c>
      <c r="F1686" s="8" t="str">
        <f aca="false">IFERROR(INDEX(Section_Master!$D$2:$D$477,MATCH($E1686,Section_Master!$A$2:$A$477,0))&amp;"","")</f>
        <v>Imprisonment up to 6 months, or fine up to Rs 1,000, or both</v>
      </c>
      <c r="G1686" s="10" t="str">
        <f aca="false">IFERROR(INDEX(Section_Master!$E$2:$E$477,MATCH($E1686,Section_Master!$A$2:$A$477,0))&amp;"","")</f>
        <v>Yes</v>
      </c>
      <c r="H1686" s="10" t="str">
        <f aca="false">IFERROR(INDEX(Section_Master!$F$2:$F$477,MATCH($E1686,Section_Master!$A$2:$A$477,0))&amp;"","")</f>
        <v>Yes</v>
      </c>
      <c r="I1686" s="10" t="str">
        <f aca="false">IFERROR(INDEX(Section_Master!$G$2:$G$477,MATCH($E1686,Section_Master!$A$2:$A$477,0))&amp;"","")</f>
        <v>No</v>
      </c>
      <c r="J1686" s="10" t="s">
        <v>61</v>
      </c>
      <c r="K1686" s="8" t="s">
        <v>3973</v>
      </c>
    </row>
    <row r="1687" customFormat="false" ht="34.5" hidden="false" customHeight="true" outlineLevel="0" collapsed="false">
      <c r="A1687" s="10" t="s">
        <v>3982</v>
      </c>
      <c r="B1687" s="10" t="s">
        <v>45</v>
      </c>
      <c r="C1687" s="8" t="s">
        <v>3971</v>
      </c>
      <c r="D1687" s="8" t="s">
        <v>3983</v>
      </c>
      <c r="E1687" s="11" t="n">
        <v>281</v>
      </c>
      <c r="F1687" s="8" t="str">
        <f aca="false">IFERROR(INDEX(Section_Master!$D$2:$D$477,MATCH($E1687,Section_Master!$A$2:$A$477,0))&amp;"","")</f>
        <v>Imprisonment up to 6 months, or fine up to Rs 1,000, or both</v>
      </c>
      <c r="G1687" s="10" t="str">
        <f aca="false">IFERROR(INDEX(Section_Master!$E$2:$E$477,MATCH($E1687,Section_Master!$A$2:$A$477,0))&amp;"","")</f>
        <v>Yes</v>
      </c>
      <c r="H1687" s="10" t="str">
        <f aca="false">IFERROR(INDEX(Section_Master!$F$2:$F$477,MATCH($E1687,Section_Master!$A$2:$A$477,0))&amp;"","")</f>
        <v>Yes</v>
      </c>
      <c r="I1687" s="10" t="str">
        <f aca="false">IFERROR(INDEX(Section_Master!$G$2:$G$477,MATCH($E1687,Section_Master!$A$2:$A$477,0))&amp;"","")</f>
        <v>No</v>
      </c>
      <c r="J1687" s="10" t="s">
        <v>64</v>
      </c>
      <c r="K1687" s="8" t="s">
        <v>3973</v>
      </c>
    </row>
    <row r="1688" customFormat="false" ht="34.5" hidden="false" customHeight="true" outlineLevel="0" collapsed="false">
      <c r="A1688" s="10" t="s">
        <v>3984</v>
      </c>
      <c r="B1688" s="10" t="s">
        <v>45</v>
      </c>
      <c r="C1688" s="8" t="s">
        <v>3985</v>
      </c>
      <c r="D1688" s="8" t="s">
        <v>3986</v>
      </c>
      <c r="E1688" s="11" t="n">
        <v>282</v>
      </c>
      <c r="F1688" s="8" t="str">
        <f aca="false">IFERROR(INDEX(Section_Master!$D$2:$D$477,MATCH($E1688,Section_Master!$A$2:$A$477,0))&amp;"","")</f>
        <v>Imprisonment up to 6 months, or fine, or both</v>
      </c>
      <c r="G1688" s="10" t="str">
        <f aca="false">IFERROR(INDEX(Section_Master!$E$2:$E$477,MATCH($E1688,Section_Master!$A$2:$A$477,0))&amp;"","")</f>
        <v>Yes</v>
      </c>
      <c r="H1688" s="10" t="str">
        <f aca="false">IFERROR(INDEX(Section_Master!$F$2:$F$477,MATCH($E1688,Section_Master!$A$2:$A$477,0))&amp;"","")</f>
        <v>Yes</v>
      </c>
      <c r="I1688" s="10" t="str">
        <f aca="false">IFERROR(INDEX(Section_Master!$G$2:$G$477,MATCH($E1688,Section_Master!$A$2:$A$477,0))&amp;"","")</f>
        <v>No</v>
      </c>
      <c r="J1688" s="10" t="s">
        <v>48</v>
      </c>
      <c r="K1688" s="8" t="s">
        <v>3987</v>
      </c>
    </row>
    <row r="1689" customFormat="false" ht="34.5" hidden="false" customHeight="true" outlineLevel="0" collapsed="false">
      <c r="A1689" s="10" t="s">
        <v>3988</v>
      </c>
      <c r="B1689" s="10" t="s">
        <v>45</v>
      </c>
      <c r="C1689" s="8" t="s">
        <v>3985</v>
      </c>
      <c r="D1689" s="8" t="s">
        <v>3989</v>
      </c>
      <c r="E1689" s="11" t="n">
        <v>282</v>
      </c>
      <c r="F1689" s="8" t="str">
        <f aca="false">IFERROR(INDEX(Section_Master!$D$2:$D$477,MATCH($E1689,Section_Master!$A$2:$A$477,0))&amp;"","")</f>
        <v>Imprisonment up to 6 months, or fine, or both</v>
      </c>
      <c r="G1689" s="10" t="str">
        <f aca="false">IFERROR(INDEX(Section_Master!$E$2:$E$477,MATCH($E1689,Section_Master!$A$2:$A$477,0))&amp;"","")</f>
        <v>Yes</v>
      </c>
      <c r="H1689" s="10" t="str">
        <f aca="false">IFERROR(INDEX(Section_Master!$F$2:$F$477,MATCH($E1689,Section_Master!$A$2:$A$477,0))&amp;"","")</f>
        <v>Yes</v>
      </c>
      <c r="I1689" s="10" t="str">
        <f aca="false">IFERROR(INDEX(Section_Master!$G$2:$G$477,MATCH($E1689,Section_Master!$A$2:$A$477,0))&amp;"","")</f>
        <v>No</v>
      </c>
      <c r="J1689" s="10" t="s">
        <v>52</v>
      </c>
      <c r="K1689" s="8" t="s">
        <v>3987</v>
      </c>
    </row>
    <row r="1690" customFormat="false" ht="34.5" hidden="false" customHeight="true" outlineLevel="0" collapsed="false">
      <c r="A1690" s="10" t="s">
        <v>3990</v>
      </c>
      <c r="B1690" s="10" t="s">
        <v>45</v>
      </c>
      <c r="C1690" s="8" t="s">
        <v>3985</v>
      </c>
      <c r="D1690" s="8" t="s">
        <v>3991</v>
      </c>
      <c r="E1690" s="11" t="n">
        <v>282</v>
      </c>
      <c r="F1690" s="8" t="str">
        <f aca="false">IFERROR(INDEX(Section_Master!$D$2:$D$477,MATCH($E1690,Section_Master!$A$2:$A$477,0))&amp;"","")</f>
        <v>Imprisonment up to 6 months, or fine, or both</v>
      </c>
      <c r="G1690" s="10" t="str">
        <f aca="false">IFERROR(INDEX(Section_Master!$E$2:$E$477,MATCH($E1690,Section_Master!$A$2:$A$477,0))&amp;"","")</f>
        <v>Yes</v>
      </c>
      <c r="H1690" s="10" t="str">
        <f aca="false">IFERROR(INDEX(Section_Master!$F$2:$F$477,MATCH($E1690,Section_Master!$A$2:$A$477,0))&amp;"","")</f>
        <v>Yes</v>
      </c>
      <c r="I1690" s="10" t="str">
        <f aca="false">IFERROR(INDEX(Section_Master!$G$2:$G$477,MATCH($E1690,Section_Master!$A$2:$A$477,0))&amp;"","")</f>
        <v>No</v>
      </c>
      <c r="J1690" s="10" t="s">
        <v>55</v>
      </c>
      <c r="K1690" s="8" t="s">
        <v>3987</v>
      </c>
    </row>
    <row r="1691" customFormat="false" ht="34.5" hidden="false" customHeight="true" outlineLevel="0" collapsed="false">
      <c r="A1691" s="10" t="s">
        <v>3992</v>
      </c>
      <c r="B1691" s="10" t="s">
        <v>45</v>
      </c>
      <c r="C1691" s="8" t="s">
        <v>3985</v>
      </c>
      <c r="D1691" s="8" t="s">
        <v>3993</v>
      </c>
      <c r="E1691" s="11" t="n">
        <v>282</v>
      </c>
      <c r="F1691" s="8" t="str">
        <f aca="false">IFERROR(INDEX(Section_Master!$D$2:$D$477,MATCH($E1691,Section_Master!$A$2:$A$477,0))&amp;"","")</f>
        <v>Imprisonment up to 6 months, or fine, or both</v>
      </c>
      <c r="G1691" s="10" t="str">
        <f aca="false">IFERROR(INDEX(Section_Master!$E$2:$E$477,MATCH($E1691,Section_Master!$A$2:$A$477,0))&amp;"","")</f>
        <v>Yes</v>
      </c>
      <c r="H1691" s="10" t="str">
        <f aca="false">IFERROR(INDEX(Section_Master!$F$2:$F$477,MATCH($E1691,Section_Master!$A$2:$A$477,0))&amp;"","")</f>
        <v>Yes</v>
      </c>
      <c r="I1691" s="10" t="str">
        <f aca="false">IFERROR(INDEX(Section_Master!$G$2:$G$477,MATCH($E1691,Section_Master!$A$2:$A$477,0))&amp;"","")</f>
        <v>No</v>
      </c>
      <c r="J1691" s="10" t="s">
        <v>58</v>
      </c>
      <c r="K1691" s="8" t="s">
        <v>3987</v>
      </c>
    </row>
    <row r="1692" customFormat="false" ht="23.25" hidden="false" customHeight="true" outlineLevel="0" collapsed="false">
      <c r="A1692" s="10" t="s">
        <v>3994</v>
      </c>
      <c r="B1692" s="10" t="s">
        <v>45</v>
      </c>
      <c r="C1692" s="8" t="s">
        <v>3985</v>
      </c>
      <c r="D1692" s="8" t="s">
        <v>3995</v>
      </c>
      <c r="E1692" s="11" t="n">
        <v>282</v>
      </c>
      <c r="F1692" s="8" t="str">
        <f aca="false">IFERROR(INDEX(Section_Master!$D$2:$D$477,MATCH($E1692,Section_Master!$A$2:$A$477,0))&amp;"","")</f>
        <v>Imprisonment up to 6 months, or fine, or both</v>
      </c>
      <c r="G1692" s="10" t="str">
        <f aca="false">IFERROR(INDEX(Section_Master!$E$2:$E$477,MATCH($E1692,Section_Master!$A$2:$A$477,0))&amp;"","")</f>
        <v>Yes</v>
      </c>
      <c r="H1692" s="10" t="str">
        <f aca="false">IFERROR(INDEX(Section_Master!$F$2:$F$477,MATCH($E1692,Section_Master!$A$2:$A$477,0))&amp;"","")</f>
        <v>Yes</v>
      </c>
      <c r="I1692" s="10" t="str">
        <f aca="false">IFERROR(INDEX(Section_Master!$G$2:$G$477,MATCH($E1692,Section_Master!$A$2:$A$477,0))&amp;"","")</f>
        <v>No</v>
      </c>
      <c r="J1692" s="10" t="s">
        <v>61</v>
      </c>
      <c r="K1692" s="8" t="s">
        <v>3987</v>
      </c>
    </row>
    <row r="1693" customFormat="false" ht="34.5" hidden="false" customHeight="true" outlineLevel="0" collapsed="false">
      <c r="A1693" s="10" t="s">
        <v>3996</v>
      </c>
      <c r="B1693" s="10" t="s">
        <v>45</v>
      </c>
      <c r="C1693" s="8" t="s">
        <v>3985</v>
      </c>
      <c r="D1693" s="8" t="s">
        <v>3997</v>
      </c>
      <c r="E1693" s="11" t="n">
        <v>282</v>
      </c>
      <c r="F1693" s="8" t="str">
        <f aca="false">IFERROR(INDEX(Section_Master!$D$2:$D$477,MATCH($E1693,Section_Master!$A$2:$A$477,0))&amp;"","")</f>
        <v>Imprisonment up to 6 months, or fine, or both</v>
      </c>
      <c r="G1693" s="10" t="str">
        <f aca="false">IFERROR(INDEX(Section_Master!$E$2:$E$477,MATCH($E1693,Section_Master!$A$2:$A$477,0))&amp;"","")</f>
        <v>Yes</v>
      </c>
      <c r="H1693" s="10" t="str">
        <f aca="false">IFERROR(INDEX(Section_Master!$F$2:$F$477,MATCH($E1693,Section_Master!$A$2:$A$477,0))&amp;"","")</f>
        <v>Yes</v>
      </c>
      <c r="I1693" s="10" t="str">
        <f aca="false">IFERROR(INDEX(Section_Master!$G$2:$G$477,MATCH($E1693,Section_Master!$A$2:$A$477,0))&amp;"","")</f>
        <v>No</v>
      </c>
      <c r="J1693" s="10" t="s">
        <v>64</v>
      </c>
      <c r="K1693" s="8" t="s">
        <v>3987</v>
      </c>
    </row>
    <row r="1694" customFormat="false" ht="34.5" hidden="false" customHeight="true" outlineLevel="0" collapsed="false">
      <c r="A1694" s="10" t="s">
        <v>3998</v>
      </c>
      <c r="B1694" s="10" t="s">
        <v>45</v>
      </c>
      <c r="C1694" s="8" t="s">
        <v>3999</v>
      </c>
      <c r="D1694" s="8" t="s">
        <v>4000</v>
      </c>
      <c r="E1694" s="11" t="n">
        <v>283</v>
      </c>
      <c r="F1694" s="8" t="str">
        <f aca="false">IFERROR(INDEX(Section_Master!$D$2:$D$477,MATCH($E1694,Section_Master!$A$2:$A$477,0))&amp;"","")</f>
        <v>Imprisonment up to 7 years, or fine, or both</v>
      </c>
      <c r="G1694" s="10" t="str">
        <f aca="false">IFERROR(INDEX(Section_Master!$E$2:$E$477,MATCH($E1694,Section_Master!$A$2:$A$477,0))&amp;"","")</f>
        <v>Yes</v>
      </c>
      <c r="H1694" s="10" t="str">
        <f aca="false">IFERROR(INDEX(Section_Master!$F$2:$F$477,MATCH($E1694,Section_Master!$A$2:$A$477,0))&amp;"","")</f>
        <v>Yes</v>
      </c>
      <c r="I1694" s="10" t="str">
        <f aca="false">IFERROR(INDEX(Section_Master!$G$2:$G$477,MATCH($E1694,Section_Master!$A$2:$A$477,0))&amp;"","")</f>
        <v>No</v>
      </c>
      <c r="J1694" s="10" t="s">
        <v>48</v>
      </c>
      <c r="K1694" s="8" t="s">
        <v>4001</v>
      </c>
    </row>
    <row r="1695" customFormat="false" ht="34.5" hidden="false" customHeight="true" outlineLevel="0" collapsed="false">
      <c r="A1695" s="10" t="s">
        <v>4002</v>
      </c>
      <c r="B1695" s="10" t="s">
        <v>45</v>
      </c>
      <c r="C1695" s="8" t="s">
        <v>3999</v>
      </c>
      <c r="D1695" s="8" t="s">
        <v>4003</v>
      </c>
      <c r="E1695" s="11" t="n">
        <v>283</v>
      </c>
      <c r="F1695" s="8" t="str">
        <f aca="false">IFERROR(INDEX(Section_Master!$D$2:$D$477,MATCH($E1695,Section_Master!$A$2:$A$477,0))&amp;"","")</f>
        <v>Imprisonment up to 7 years, or fine, or both</v>
      </c>
      <c r="G1695" s="10" t="str">
        <f aca="false">IFERROR(INDEX(Section_Master!$E$2:$E$477,MATCH($E1695,Section_Master!$A$2:$A$477,0))&amp;"","")</f>
        <v>Yes</v>
      </c>
      <c r="H1695" s="10" t="str">
        <f aca="false">IFERROR(INDEX(Section_Master!$F$2:$F$477,MATCH($E1695,Section_Master!$A$2:$A$477,0))&amp;"","")</f>
        <v>Yes</v>
      </c>
      <c r="I1695" s="10" t="str">
        <f aca="false">IFERROR(INDEX(Section_Master!$G$2:$G$477,MATCH($E1695,Section_Master!$A$2:$A$477,0))&amp;"","")</f>
        <v>No</v>
      </c>
      <c r="J1695" s="10" t="s">
        <v>52</v>
      </c>
      <c r="K1695" s="8" t="s">
        <v>4001</v>
      </c>
    </row>
    <row r="1696" customFormat="false" ht="34.5" hidden="false" customHeight="true" outlineLevel="0" collapsed="false">
      <c r="A1696" s="10" t="s">
        <v>4004</v>
      </c>
      <c r="B1696" s="10" t="s">
        <v>45</v>
      </c>
      <c r="C1696" s="8" t="s">
        <v>3999</v>
      </c>
      <c r="D1696" s="8" t="s">
        <v>4005</v>
      </c>
      <c r="E1696" s="11" t="n">
        <v>283</v>
      </c>
      <c r="F1696" s="8" t="str">
        <f aca="false">IFERROR(INDEX(Section_Master!$D$2:$D$477,MATCH($E1696,Section_Master!$A$2:$A$477,0))&amp;"","")</f>
        <v>Imprisonment up to 7 years, or fine, or both</v>
      </c>
      <c r="G1696" s="10" t="str">
        <f aca="false">IFERROR(INDEX(Section_Master!$E$2:$E$477,MATCH($E1696,Section_Master!$A$2:$A$477,0))&amp;"","")</f>
        <v>Yes</v>
      </c>
      <c r="H1696" s="10" t="str">
        <f aca="false">IFERROR(INDEX(Section_Master!$F$2:$F$477,MATCH($E1696,Section_Master!$A$2:$A$477,0))&amp;"","")</f>
        <v>Yes</v>
      </c>
      <c r="I1696" s="10" t="str">
        <f aca="false">IFERROR(INDEX(Section_Master!$G$2:$G$477,MATCH($E1696,Section_Master!$A$2:$A$477,0))&amp;"","")</f>
        <v>No</v>
      </c>
      <c r="J1696" s="10" t="s">
        <v>55</v>
      </c>
      <c r="K1696" s="8" t="s">
        <v>4001</v>
      </c>
    </row>
    <row r="1697" customFormat="false" ht="34.5" hidden="false" customHeight="true" outlineLevel="0" collapsed="false">
      <c r="A1697" s="10" t="s">
        <v>4006</v>
      </c>
      <c r="B1697" s="10" t="s">
        <v>45</v>
      </c>
      <c r="C1697" s="8" t="s">
        <v>3999</v>
      </c>
      <c r="D1697" s="8" t="s">
        <v>4007</v>
      </c>
      <c r="E1697" s="11" t="n">
        <v>283</v>
      </c>
      <c r="F1697" s="8" t="str">
        <f aca="false">IFERROR(INDEX(Section_Master!$D$2:$D$477,MATCH($E1697,Section_Master!$A$2:$A$477,0))&amp;"","")</f>
        <v>Imprisonment up to 7 years, or fine, or both</v>
      </c>
      <c r="G1697" s="10" t="str">
        <f aca="false">IFERROR(INDEX(Section_Master!$E$2:$E$477,MATCH($E1697,Section_Master!$A$2:$A$477,0))&amp;"","")</f>
        <v>Yes</v>
      </c>
      <c r="H1697" s="10" t="str">
        <f aca="false">IFERROR(INDEX(Section_Master!$F$2:$F$477,MATCH($E1697,Section_Master!$A$2:$A$477,0))&amp;"","")</f>
        <v>Yes</v>
      </c>
      <c r="I1697" s="10" t="str">
        <f aca="false">IFERROR(INDEX(Section_Master!$G$2:$G$477,MATCH($E1697,Section_Master!$A$2:$A$477,0))&amp;"","")</f>
        <v>No</v>
      </c>
      <c r="J1697" s="10" t="s">
        <v>58</v>
      </c>
      <c r="K1697" s="8" t="s">
        <v>4001</v>
      </c>
    </row>
    <row r="1698" customFormat="false" ht="23.25" hidden="false" customHeight="true" outlineLevel="0" collapsed="false">
      <c r="A1698" s="10" t="s">
        <v>4008</v>
      </c>
      <c r="B1698" s="10" t="s">
        <v>45</v>
      </c>
      <c r="C1698" s="8" t="s">
        <v>3999</v>
      </c>
      <c r="D1698" s="8" t="s">
        <v>4009</v>
      </c>
      <c r="E1698" s="11" t="n">
        <v>283</v>
      </c>
      <c r="F1698" s="8" t="str">
        <f aca="false">IFERROR(INDEX(Section_Master!$D$2:$D$477,MATCH($E1698,Section_Master!$A$2:$A$477,0))&amp;"","")</f>
        <v>Imprisonment up to 7 years, or fine, or both</v>
      </c>
      <c r="G1698" s="10" t="str">
        <f aca="false">IFERROR(INDEX(Section_Master!$E$2:$E$477,MATCH($E1698,Section_Master!$A$2:$A$477,0))&amp;"","")</f>
        <v>Yes</v>
      </c>
      <c r="H1698" s="10" t="str">
        <f aca="false">IFERROR(INDEX(Section_Master!$F$2:$F$477,MATCH($E1698,Section_Master!$A$2:$A$477,0))&amp;"","")</f>
        <v>Yes</v>
      </c>
      <c r="I1698" s="10" t="str">
        <f aca="false">IFERROR(INDEX(Section_Master!$G$2:$G$477,MATCH($E1698,Section_Master!$A$2:$A$477,0))&amp;"","")</f>
        <v>No</v>
      </c>
      <c r="J1698" s="10" t="s">
        <v>61</v>
      </c>
      <c r="K1698" s="8" t="s">
        <v>4001</v>
      </c>
    </row>
    <row r="1699" customFormat="false" ht="34.5" hidden="false" customHeight="true" outlineLevel="0" collapsed="false">
      <c r="A1699" s="10" t="s">
        <v>4010</v>
      </c>
      <c r="B1699" s="10" t="s">
        <v>45</v>
      </c>
      <c r="C1699" s="8" t="s">
        <v>3999</v>
      </c>
      <c r="D1699" s="8" t="s">
        <v>4011</v>
      </c>
      <c r="E1699" s="11" t="n">
        <v>283</v>
      </c>
      <c r="F1699" s="8" t="str">
        <f aca="false">IFERROR(INDEX(Section_Master!$D$2:$D$477,MATCH($E1699,Section_Master!$A$2:$A$477,0))&amp;"","")</f>
        <v>Imprisonment up to 7 years, or fine, or both</v>
      </c>
      <c r="G1699" s="10" t="str">
        <f aca="false">IFERROR(INDEX(Section_Master!$E$2:$E$477,MATCH($E1699,Section_Master!$A$2:$A$477,0))&amp;"","")</f>
        <v>Yes</v>
      </c>
      <c r="H1699" s="10" t="str">
        <f aca="false">IFERROR(INDEX(Section_Master!$F$2:$F$477,MATCH($E1699,Section_Master!$A$2:$A$477,0))&amp;"","")</f>
        <v>Yes</v>
      </c>
      <c r="I1699" s="10" t="str">
        <f aca="false">IFERROR(INDEX(Section_Master!$G$2:$G$477,MATCH($E1699,Section_Master!$A$2:$A$477,0))&amp;"","")</f>
        <v>No</v>
      </c>
      <c r="J1699" s="10" t="s">
        <v>64</v>
      </c>
      <c r="K1699" s="8" t="s">
        <v>4001</v>
      </c>
    </row>
    <row r="1700" customFormat="false" ht="34.5" hidden="false" customHeight="true" outlineLevel="0" collapsed="false">
      <c r="A1700" s="10" t="s">
        <v>4012</v>
      </c>
      <c r="B1700" s="10" t="s">
        <v>45</v>
      </c>
      <c r="C1700" s="8" t="s">
        <v>4013</v>
      </c>
      <c r="D1700" s="8" t="s">
        <v>4014</v>
      </c>
      <c r="E1700" s="11" t="n">
        <v>284</v>
      </c>
      <c r="F1700" s="8" t="str">
        <f aca="false">IFERROR(INDEX(Section_Master!$D$2:$D$477,MATCH($E1700,Section_Master!$A$2:$A$477,0))&amp;"","")</f>
        <v>Imprisonment up to 6 months, or fine, or both</v>
      </c>
      <c r="G1700" s="10" t="str">
        <f aca="false">IFERROR(INDEX(Section_Master!$E$2:$E$477,MATCH($E1700,Section_Master!$A$2:$A$477,0))&amp;"","")</f>
        <v>Yes</v>
      </c>
      <c r="H1700" s="10" t="str">
        <f aca="false">IFERROR(INDEX(Section_Master!$F$2:$F$477,MATCH($E1700,Section_Master!$A$2:$A$477,0))&amp;"","")</f>
        <v>Yes</v>
      </c>
      <c r="I1700" s="10" t="str">
        <f aca="false">IFERROR(INDEX(Section_Master!$G$2:$G$477,MATCH($E1700,Section_Master!$A$2:$A$477,0))&amp;"","")</f>
        <v>No</v>
      </c>
      <c r="J1700" s="10" t="s">
        <v>48</v>
      </c>
      <c r="K1700" s="8" t="s">
        <v>4015</v>
      </c>
    </row>
    <row r="1701" customFormat="false" ht="34.5" hidden="false" customHeight="true" outlineLevel="0" collapsed="false">
      <c r="A1701" s="10" t="s">
        <v>4016</v>
      </c>
      <c r="B1701" s="10" t="s">
        <v>45</v>
      </c>
      <c r="C1701" s="8" t="s">
        <v>4013</v>
      </c>
      <c r="D1701" s="8" t="s">
        <v>4017</v>
      </c>
      <c r="E1701" s="11" t="n">
        <v>284</v>
      </c>
      <c r="F1701" s="8" t="str">
        <f aca="false">IFERROR(INDEX(Section_Master!$D$2:$D$477,MATCH($E1701,Section_Master!$A$2:$A$477,0))&amp;"","")</f>
        <v>Imprisonment up to 6 months, or fine, or both</v>
      </c>
      <c r="G1701" s="10" t="str">
        <f aca="false">IFERROR(INDEX(Section_Master!$E$2:$E$477,MATCH($E1701,Section_Master!$A$2:$A$477,0))&amp;"","")</f>
        <v>Yes</v>
      </c>
      <c r="H1701" s="10" t="str">
        <f aca="false">IFERROR(INDEX(Section_Master!$F$2:$F$477,MATCH($E1701,Section_Master!$A$2:$A$477,0))&amp;"","")</f>
        <v>Yes</v>
      </c>
      <c r="I1701" s="10" t="str">
        <f aca="false">IFERROR(INDEX(Section_Master!$G$2:$G$477,MATCH($E1701,Section_Master!$A$2:$A$477,0))&amp;"","")</f>
        <v>No</v>
      </c>
      <c r="J1701" s="10" t="s">
        <v>52</v>
      </c>
      <c r="K1701" s="8" t="s">
        <v>4015</v>
      </c>
    </row>
    <row r="1702" customFormat="false" ht="34.5" hidden="false" customHeight="true" outlineLevel="0" collapsed="false">
      <c r="A1702" s="10" t="s">
        <v>4018</v>
      </c>
      <c r="B1702" s="10" t="s">
        <v>45</v>
      </c>
      <c r="C1702" s="8" t="s">
        <v>4013</v>
      </c>
      <c r="D1702" s="8" t="s">
        <v>4019</v>
      </c>
      <c r="E1702" s="11" t="n">
        <v>284</v>
      </c>
      <c r="F1702" s="8" t="str">
        <f aca="false">IFERROR(INDEX(Section_Master!$D$2:$D$477,MATCH($E1702,Section_Master!$A$2:$A$477,0))&amp;"","")</f>
        <v>Imprisonment up to 6 months, or fine, or both</v>
      </c>
      <c r="G1702" s="10" t="str">
        <f aca="false">IFERROR(INDEX(Section_Master!$E$2:$E$477,MATCH($E1702,Section_Master!$A$2:$A$477,0))&amp;"","")</f>
        <v>Yes</v>
      </c>
      <c r="H1702" s="10" t="str">
        <f aca="false">IFERROR(INDEX(Section_Master!$F$2:$F$477,MATCH($E1702,Section_Master!$A$2:$A$477,0))&amp;"","")</f>
        <v>Yes</v>
      </c>
      <c r="I1702" s="10" t="str">
        <f aca="false">IFERROR(INDEX(Section_Master!$G$2:$G$477,MATCH($E1702,Section_Master!$A$2:$A$477,0))&amp;"","")</f>
        <v>No</v>
      </c>
      <c r="J1702" s="10" t="s">
        <v>55</v>
      </c>
      <c r="K1702" s="8" t="s">
        <v>4015</v>
      </c>
    </row>
    <row r="1703" customFormat="false" ht="23.25" hidden="false" customHeight="true" outlineLevel="0" collapsed="false">
      <c r="A1703" s="10" t="s">
        <v>4020</v>
      </c>
      <c r="B1703" s="10" t="s">
        <v>45</v>
      </c>
      <c r="C1703" s="8" t="s">
        <v>4013</v>
      </c>
      <c r="D1703" s="8" t="s">
        <v>4021</v>
      </c>
      <c r="E1703" s="11" t="n">
        <v>284</v>
      </c>
      <c r="F1703" s="8" t="str">
        <f aca="false">IFERROR(INDEX(Section_Master!$D$2:$D$477,MATCH($E1703,Section_Master!$A$2:$A$477,0))&amp;"","")</f>
        <v>Imprisonment up to 6 months, or fine, or both</v>
      </c>
      <c r="G1703" s="10" t="str">
        <f aca="false">IFERROR(INDEX(Section_Master!$E$2:$E$477,MATCH($E1703,Section_Master!$A$2:$A$477,0))&amp;"","")</f>
        <v>Yes</v>
      </c>
      <c r="H1703" s="10" t="str">
        <f aca="false">IFERROR(INDEX(Section_Master!$F$2:$F$477,MATCH($E1703,Section_Master!$A$2:$A$477,0))&amp;"","")</f>
        <v>Yes</v>
      </c>
      <c r="I1703" s="10" t="str">
        <f aca="false">IFERROR(INDEX(Section_Master!$G$2:$G$477,MATCH($E1703,Section_Master!$A$2:$A$477,0))&amp;"","")</f>
        <v>No</v>
      </c>
      <c r="J1703" s="10" t="s">
        <v>58</v>
      </c>
      <c r="K1703" s="8" t="s">
        <v>4015</v>
      </c>
    </row>
    <row r="1704" customFormat="false" ht="34.5" hidden="false" customHeight="true" outlineLevel="0" collapsed="false">
      <c r="A1704" s="10" t="s">
        <v>4022</v>
      </c>
      <c r="B1704" s="10" t="s">
        <v>45</v>
      </c>
      <c r="C1704" s="8" t="s">
        <v>4013</v>
      </c>
      <c r="D1704" s="8" t="s">
        <v>4023</v>
      </c>
      <c r="E1704" s="11" t="n">
        <v>284</v>
      </c>
      <c r="F1704" s="8" t="str">
        <f aca="false">IFERROR(INDEX(Section_Master!$D$2:$D$477,MATCH($E1704,Section_Master!$A$2:$A$477,0))&amp;"","")</f>
        <v>Imprisonment up to 6 months, or fine, or both</v>
      </c>
      <c r="G1704" s="10" t="str">
        <f aca="false">IFERROR(INDEX(Section_Master!$E$2:$E$477,MATCH($E1704,Section_Master!$A$2:$A$477,0))&amp;"","")</f>
        <v>Yes</v>
      </c>
      <c r="H1704" s="10" t="str">
        <f aca="false">IFERROR(INDEX(Section_Master!$F$2:$F$477,MATCH($E1704,Section_Master!$A$2:$A$477,0))&amp;"","")</f>
        <v>Yes</v>
      </c>
      <c r="I1704" s="10" t="str">
        <f aca="false">IFERROR(INDEX(Section_Master!$G$2:$G$477,MATCH($E1704,Section_Master!$A$2:$A$477,0))&amp;"","")</f>
        <v>No</v>
      </c>
      <c r="J1704" s="10" t="s">
        <v>61</v>
      </c>
      <c r="K1704" s="8" t="s">
        <v>4015</v>
      </c>
    </row>
    <row r="1705" customFormat="false" ht="34.5" hidden="false" customHeight="true" outlineLevel="0" collapsed="false">
      <c r="A1705" s="10" t="s">
        <v>4024</v>
      </c>
      <c r="B1705" s="10" t="s">
        <v>45</v>
      </c>
      <c r="C1705" s="8" t="s">
        <v>4013</v>
      </c>
      <c r="D1705" s="8" t="s">
        <v>4025</v>
      </c>
      <c r="E1705" s="11" t="n">
        <v>284</v>
      </c>
      <c r="F1705" s="8" t="str">
        <f aca="false">IFERROR(INDEX(Section_Master!$D$2:$D$477,MATCH($E1705,Section_Master!$A$2:$A$477,0))&amp;"","")</f>
        <v>Imprisonment up to 6 months, or fine, or both</v>
      </c>
      <c r="G1705" s="10" t="str">
        <f aca="false">IFERROR(INDEX(Section_Master!$E$2:$E$477,MATCH($E1705,Section_Master!$A$2:$A$477,0))&amp;"","")</f>
        <v>Yes</v>
      </c>
      <c r="H1705" s="10" t="str">
        <f aca="false">IFERROR(INDEX(Section_Master!$F$2:$F$477,MATCH($E1705,Section_Master!$A$2:$A$477,0))&amp;"","")</f>
        <v>Yes</v>
      </c>
      <c r="I1705" s="10" t="str">
        <f aca="false">IFERROR(INDEX(Section_Master!$G$2:$G$477,MATCH($E1705,Section_Master!$A$2:$A$477,0))&amp;"","")</f>
        <v>No</v>
      </c>
      <c r="J1705" s="10" t="s">
        <v>64</v>
      </c>
      <c r="K1705" s="8" t="s">
        <v>4015</v>
      </c>
    </row>
    <row r="1706" customFormat="false" ht="34.5" hidden="false" customHeight="true" outlineLevel="0" collapsed="false">
      <c r="A1706" s="10" t="s">
        <v>4026</v>
      </c>
      <c r="B1706" s="10" t="s">
        <v>45</v>
      </c>
      <c r="C1706" s="8" t="s">
        <v>4027</v>
      </c>
      <c r="D1706" s="8" t="s">
        <v>4028</v>
      </c>
      <c r="E1706" s="11" t="n">
        <v>285</v>
      </c>
      <c r="F1706" s="8" t="str">
        <f aca="false">IFERROR(INDEX(Section_Master!$D$2:$D$477,MATCH($E1706,Section_Master!$A$2:$A$477,0))&amp;"","")</f>
        <v>Fine</v>
      </c>
      <c r="G1706" s="10" t="str">
        <f aca="false">IFERROR(INDEX(Section_Master!$E$2:$E$477,MATCH($E1706,Section_Master!$A$2:$A$477,0))&amp;"","")</f>
        <v>No</v>
      </c>
      <c r="H1706" s="10" t="str">
        <f aca="false">IFERROR(INDEX(Section_Master!$F$2:$F$477,MATCH($E1706,Section_Master!$A$2:$A$477,0))&amp;"","")</f>
        <v>Yes</v>
      </c>
      <c r="I1706" s="10" t="str">
        <f aca="false">IFERROR(INDEX(Section_Master!$G$2:$G$477,MATCH($E1706,Section_Master!$A$2:$A$477,0))&amp;"","")</f>
        <v>No</v>
      </c>
      <c r="J1706" s="10" t="s">
        <v>48</v>
      </c>
      <c r="K1706" s="8" t="s">
        <v>4029</v>
      </c>
    </row>
    <row r="1707" customFormat="false" ht="34.5" hidden="false" customHeight="true" outlineLevel="0" collapsed="false">
      <c r="A1707" s="10" t="s">
        <v>4030</v>
      </c>
      <c r="B1707" s="10" t="s">
        <v>45</v>
      </c>
      <c r="C1707" s="8" t="s">
        <v>4027</v>
      </c>
      <c r="D1707" s="8" t="s">
        <v>4031</v>
      </c>
      <c r="E1707" s="11" t="n">
        <v>285</v>
      </c>
      <c r="F1707" s="8" t="str">
        <f aca="false">IFERROR(INDEX(Section_Master!$D$2:$D$477,MATCH($E1707,Section_Master!$A$2:$A$477,0))&amp;"","")</f>
        <v>Fine</v>
      </c>
      <c r="G1707" s="10" t="str">
        <f aca="false">IFERROR(INDEX(Section_Master!$E$2:$E$477,MATCH($E1707,Section_Master!$A$2:$A$477,0))&amp;"","")</f>
        <v>No</v>
      </c>
      <c r="H1707" s="10" t="str">
        <f aca="false">IFERROR(INDEX(Section_Master!$F$2:$F$477,MATCH($E1707,Section_Master!$A$2:$A$477,0))&amp;"","")</f>
        <v>Yes</v>
      </c>
      <c r="I1707" s="10" t="str">
        <f aca="false">IFERROR(INDEX(Section_Master!$G$2:$G$477,MATCH($E1707,Section_Master!$A$2:$A$477,0))&amp;"","")</f>
        <v>No</v>
      </c>
      <c r="J1707" s="10" t="s">
        <v>52</v>
      </c>
      <c r="K1707" s="8" t="s">
        <v>4029</v>
      </c>
    </row>
    <row r="1708" customFormat="false" ht="34.5" hidden="false" customHeight="true" outlineLevel="0" collapsed="false">
      <c r="A1708" s="10" t="s">
        <v>4032</v>
      </c>
      <c r="B1708" s="10" t="s">
        <v>45</v>
      </c>
      <c r="C1708" s="8" t="s">
        <v>4027</v>
      </c>
      <c r="D1708" s="8" t="s">
        <v>4033</v>
      </c>
      <c r="E1708" s="11" t="n">
        <v>285</v>
      </c>
      <c r="F1708" s="8" t="str">
        <f aca="false">IFERROR(INDEX(Section_Master!$D$2:$D$477,MATCH($E1708,Section_Master!$A$2:$A$477,0))&amp;"","")</f>
        <v>Fine</v>
      </c>
      <c r="G1708" s="10" t="str">
        <f aca="false">IFERROR(INDEX(Section_Master!$E$2:$E$477,MATCH($E1708,Section_Master!$A$2:$A$477,0))&amp;"","")</f>
        <v>No</v>
      </c>
      <c r="H1708" s="10" t="str">
        <f aca="false">IFERROR(INDEX(Section_Master!$F$2:$F$477,MATCH($E1708,Section_Master!$A$2:$A$477,0))&amp;"","")</f>
        <v>Yes</v>
      </c>
      <c r="I1708" s="10" t="str">
        <f aca="false">IFERROR(INDEX(Section_Master!$G$2:$G$477,MATCH($E1708,Section_Master!$A$2:$A$477,0))&amp;"","")</f>
        <v>No</v>
      </c>
      <c r="J1708" s="10" t="s">
        <v>55</v>
      </c>
      <c r="K1708" s="8" t="s">
        <v>4029</v>
      </c>
    </row>
    <row r="1709" customFormat="false" ht="23.25" hidden="false" customHeight="true" outlineLevel="0" collapsed="false">
      <c r="A1709" s="10" t="s">
        <v>4034</v>
      </c>
      <c r="B1709" s="10" t="s">
        <v>45</v>
      </c>
      <c r="C1709" s="8" t="s">
        <v>4027</v>
      </c>
      <c r="D1709" s="8" t="s">
        <v>4035</v>
      </c>
      <c r="E1709" s="11" t="n">
        <v>285</v>
      </c>
      <c r="F1709" s="8" t="str">
        <f aca="false">IFERROR(INDEX(Section_Master!$D$2:$D$477,MATCH($E1709,Section_Master!$A$2:$A$477,0))&amp;"","")</f>
        <v>Fine</v>
      </c>
      <c r="G1709" s="10" t="str">
        <f aca="false">IFERROR(INDEX(Section_Master!$E$2:$E$477,MATCH($E1709,Section_Master!$A$2:$A$477,0))&amp;"","")</f>
        <v>No</v>
      </c>
      <c r="H1709" s="10" t="str">
        <f aca="false">IFERROR(INDEX(Section_Master!$F$2:$F$477,MATCH($E1709,Section_Master!$A$2:$A$477,0))&amp;"","")</f>
        <v>Yes</v>
      </c>
      <c r="I1709" s="10" t="str">
        <f aca="false">IFERROR(INDEX(Section_Master!$G$2:$G$477,MATCH($E1709,Section_Master!$A$2:$A$477,0))&amp;"","")</f>
        <v>No</v>
      </c>
      <c r="J1709" s="10" t="s">
        <v>58</v>
      </c>
      <c r="K1709" s="8" t="s">
        <v>4029</v>
      </c>
    </row>
    <row r="1710" customFormat="false" ht="23.25" hidden="false" customHeight="true" outlineLevel="0" collapsed="false">
      <c r="A1710" s="10" t="s">
        <v>4036</v>
      </c>
      <c r="B1710" s="10" t="s">
        <v>45</v>
      </c>
      <c r="C1710" s="8" t="s">
        <v>4027</v>
      </c>
      <c r="D1710" s="8" t="s">
        <v>4037</v>
      </c>
      <c r="E1710" s="11" t="n">
        <v>285</v>
      </c>
      <c r="F1710" s="8" t="str">
        <f aca="false">IFERROR(INDEX(Section_Master!$D$2:$D$477,MATCH($E1710,Section_Master!$A$2:$A$477,0))&amp;"","")</f>
        <v>Fine</v>
      </c>
      <c r="G1710" s="10" t="str">
        <f aca="false">IFERROR(INDEX(Section_Master!$E$2:$E$477,MATCH($E1710,Section_Master!$A$2:$A$477,0))&amp;"","")</f>
        <v>No</v>
      </c>
      <c r="H1710" s="10" t="str">
        <f aca="false">IFERROR(INDEX(Section_Master!$F$2:$F$477,MATCH($E1710,Section_Master!$A$2:$A$477,0))&amp;"","")</f>
        <v>Yes</v>
      </c>
      <c r="I1710" s="10" t="str">
        <f aca="false">IFERROR(INDEX(Section_Master!$G$2:$G$477,MATCH($E1710,Section_Master!$A$2:$A$477,0))&amp;"","")</f>
        <v>No</v>
      </c>
      <c r="J1710" s="10" t="s">
        <v>61</v>
      </c>
      <c r="K1710" s="8" t="s">
        <v>4029</v>
      </c>
    </row>
    <row r="1711" customFormat="false" ht="45.75" hidden="false" customHeight="true" outlineLevel="0" collapsed="false">
      <c r="A1711" s="10" t="s">
        <v>4038</v>
      </c>
      <c r="B1711" s="10" t="s">
        <v>45</v>
      </c>
      <c r="C1711" s="8" t="s">
        <v>4027</v>
      </c>
      <c r="D1711" s="8" t="s">
        <v>4039</v>
      </c>
      <c r="E1711" s="11" t="n">
        <v>285</v>
      </c>
      <c r="F1711" s="8" t="str">
        <f aca="false">IFERROR(INDEX(Section_Master!$D$2:$D$477,MATCH($E1711,Section_Master!$A$2:$A$477,0))&amp;"","")</f>
        <v>Fine</v>
      </c>
      <c r="G1711" s="10" t="str">
        <f aca="false">IFERROR(INDEX(Section_Master!$E$2:$E$477,MATCH($E1711,Section_Master!$A$2:$A$477,0))&amp;"","")</f>
        <v>No</v>
      </c>
      <c r="H1711" s="10" t="str">
        <f aca="false">IFERROR(INDEX(Section_Master!$F$2:$F$477,MATCH($E1711,Section_Master!$A$2:$A$477,0))&amp;"","")</f>
        <v>Yes</v>
      </c>
      <c r="I1711" s="10" t="str">
        <f aca="false">IFERROR(INDEX(Section_Master!$G$2:$G$477,MATCH($E1711,Section_Master!$A$2:$A$477,0))&amp;"","")</f>
        <v>No</v>
      </c>
      <c r="J1711" s="10" t="s">
        <v>64</v>
      </c>
      <c r="K1711" s="8" t="s">
        <v>4029</v>
      </c>
    </row>
    <row r="1712" customFormat="false" ht="34.5" hidden="false" customHeight="true" outlineLevel="0" collapsed="false">
      <c r="A1712" s="10" t="s">
        <v>4040</v>
      </c>
      <c r="B1712" s="10" t="s">
        <v>45</v>
      </c>
      <c r="C1712" s="8" t="s">
        <v>4041</v>
      </c>
      <c r="D1712" s="8" t="s">
        <v>4042</v>
      </c>
      <c r="E1712" s="11" t="n">
        <v>286</v>
      </c>
      <c r="F1712" s="8" t="str">
        <f aca="false">IFERROR(INDEX(Section_Master!$D$2:$D$477,MATCH($E1712,Section_Master!$A$2:$A$477,0))&amp;"","")</f>
        <v>Imprisonment up to 6 months, or fine, or both</v>
      </c>
      <c r="G1712" s="10" t="str">
        <f aca="false">IFERROR(INDEX(Section_Master!$E$2:$E$477,MATCH($E1712,Section_Master!$A$2:$A$477,0))&amp;"","")</f>
        <v>Yes</v>
      </c>
      <c r="H1712" s="10" t="str">
        <f aca="false">IFERROR(INDEX(Section_Master!$F$2:$F$477,MATCH($E1712,Section_Master!$A$2:$A$477,0))&amp;"","")</f>
        <v>Yes</v>
      </c>
      <c r="I1712" s="10" t="str">
        <f aca="false">IFERROR(INDEX(Section_Master!$G$2:$G$477,MATCH($E1712,Section_Master!$A$2:$A$477,0))&amp;"","")</f>
        <v>No</v>
      </c>
      <c r="J1712" s="10" t="s">
        <v>48</v>
      </c>
      <c r="K1712" s="8" t="s">
        <v>4043</v>
      </c>
    </row>
    <row r="1713" customFormat="false" ht="34.5" hidden="false" customHeight="true" outlineLevel="0" collapsed="false">
      <c r="A1713" s="10" t="s">
        <v>4044</v>
      </c>
      <c r="B1713" s="10" t="s">
        <v>45</v>
      </c>
      <c r="C1713" s="8" t="s">
        <v>4041</v>
      </c>
      <c r="D1713" s="8" t="s">
        <v>4045</v>
      </c>
      <c r="E1713" s="11" t="n">
        <v>286</v>
      </c>
      <c r="F1713" s="8" t="str">
        <f aca="false">IFERROR(INDEX(Section_Master!$D$2:$D$477,MATCH($E1713,Section_Master!$A$2:$A$477,0))&amp;"","")</f>
        <v>Imprisonment up to 6 months, or fine, or both</v>
      </c>
      <c r="G1713" s="10" t="str">
        <f aca="false">IFERROR(INDEX(Section_Master!$E$2:$E$477,MATCH($E1713,Section_Master!$A$2:$A$477,0))&amp;"","")</f>
        <v>Yes</v>
      </c>
      <c r="H1713" s="10" t="str">
        <f aca="false">IFERROR(INDEX(Section_Master!$F$2:$F$477,MATCH($E1713,Section_Master!$A$2:$A$477,0))&amp;"","")</f>
        <v>Yes</v>
      </c>
      <c r="I1713" s="10" t="str">
        <f aca="false">IFERROR(INDEX(Section_Master!$G$2:$G$477,MATCH($E1713,Section_Master!$A$2:$A$477,0))&amp;"","")</f>
        <v>No</v>
      </c>
      <c r="J1713" s="10" t="s">
        <v>52</v>
      </c>
      <c r="K1713" s="8" t="s">
        <v>4043</v>
      </c>
    </row>
    <row r="1714" customFormat="false" ht="34.5" hidden="false" customHeight="true" outlineLevel="0" collapsed="false">
      <c r="A1714" s="10" t="s">
        <v>4046</v>
      </c>
      <c r="B1714" s="10" t="s">
        <v>45</v>
      </c>
      <c r="C1714" s="8" t="s">
        <v>4041</v>
      </c>
      <c r="D1714" s="8" t="s">
        <v>4047</v>
      </c>
      <c r="E1714" s="11" t="n">
        <v>286</v>
      </c>
      <c r="F1714" s="8" t="str">
        <f aca="false">IFERROR(INDEX(Section_Master!$D$2:$D$477,MATCH($E1714,Section_Master!$A$2:$A$477,0))&amp;"","")</f>
        <v>Imprisonment up to 6 months, or fine, or both</v>
      </c>
      <c r="G1714" s="10" t="str">
        <f aca="false">IFERROR(INDEX(Section_Master!$E$2:$E$477,MATCH($E1714,Section_Master!$A$2:$A$477,0))&amp;"","")</f>
        <v>Yes</v>
      </c>
      <c r="H1714" s="10" t="str">
        <f aca="false">IFERROR(INDEX(Section_Master!$F$2:$F$477,MATCH($E1714,Section_Master!$A$2:$A$477,0))&amp;"","")</f>
        <v>Yes</v>
      </c>
      <c r="I1714" s="10" t="str">
        <f aca="false">IFERROR(INDEX(Section_Master!$G$2:$G$477,MATCH($E1714,Section_Master!$A$2:$A$477,0))&amp;"","")</f>
        <v>No</v>
      </c>
      <c r="J1714" s="10" t="s">
        <v>55</v>
      </c>
      <c r="K1714" s="8" t="s">
        <v>4043</v>
      </c>
    </row>
    <row r="1715" customFormat="false" ht="23.25" hidden="false" customHeight="true" outlineLevel="0" collapsed="false">
      <c r="A1715" s="10" t="s">
        <v>4048</v>
      </c>
      <c r="B1715" s="10" t="s">
        <v>45</v>
      </c>
      <c r="C1715" s="8" t="s">
        <v>4041</v>
      </c>
      <c r="D1715" s="8" t="s">
        <v>4049</v>
      </c>
      <c r="E1715" s="11" t="n">
        <v>286</v>
      </c>
      <c r="F1715" s="8" t="str">
        <f aca="false">IFERROR(INDEX(Section_Master!$D$2:$D$477,MATCH($E1715,Section_Master!$A$2:$A$477,0))&amp;"","")</f>
        <v>Imprisonment up to 6 months, or fine, or both</v>
      </c>
      <c r="G1715" s="10" t="str">
        <f aca="false">IFERROR(INDEX(Section_Master!$E$2:$E$477,MATCH($E1715,Section_Master!$A$2:$A$477,0))&amp;"","")</f>
        <v>Yes</v>
      </c>
      <c r="H1715" s="10" t="str">
        <f aca="false">IFERROR(INDEX(Section_Master!$F$2:$F$477,MATCH($E1715,Section_Master!$A$2:$A$477,0))&amp;"","")</f>
        <v>Yes</v>
      </c>
      <c r="I1715" s="10" t="str">
        <f aca="false">IFERROR(INDEX(Section_Master!$G$2:$G$477,MATCH($E1715,Section_Master!$A$2:$A$477,0))&amp;"","")</f>
        <v>No</v>
      </c>
      <c r="J1715" s="10" t="s">
        <v>58</v>
      </c>
      <c r="K1715" s="8" t="s">
        <v>4043</v>
      </c>
    </row>
    <row r="1716" customFormat="false" ht="34.5" hidden="false" customHeight="true" outlineLevel="0" collapsed="false">
      <c r="A1716" s="10" t="s">
        <v>4050</v>
      </c>
      <c r="B1716" s="10" t="s">
        <v>45</v>
      </c>
      <c r="C1716" s="8" t="s">
        <v>4041</v>
      </c>
      <c r="D1716" s="8" t="s">
        <v>4051</v>
      </c>
      <c r="E1716" s="11" t="n">
        <v>286</v>
      </c>
      <c r="F1716" s="8" t="str">
        <f aca="false">IFERROR(INDEX(Section_Master!$D$2:$D$477,MATCH($E1716,Section_Master!$A$2:$A$477,0))&amp;"","")</f>
        <v>Imprisonment up to 6 months, or fine, or both</v>
      </c>
      <c r="G1716" s="10" t="str">
        <f aca="false">IFERROR(INDEX(Section_Master!$E$2:$E$477,MATCH($E1716,Section_Master!$A$2:$A$477,0))&amp;"","")</f>
        <v>Yes</v>
      </c>
      <c r="H1716" s="10" t="str">
        <f aca="false">IFERROR(INDEX(Section_Master!$F$2:$F$477,MATCH($E1716,Section_Master!$A$2:$A$477,0))&amp;"","")</f>
        <v>Yes</v>
      </c>
      <c r="I1716" s="10" t="str">
        <f aca="false">IFERROR(INDEX(Section_Master!$G$2:$G$477,MATCH($E1716,Section_Master!$A$2:$A$477,0))&amp;"","")</f>
        <v>No</v>
      </c>
      <c r="J1716" s="10" t="s">
        <v>61</v>
      </c>
      <c r="K1716" s="8" t="s">
        <v>4043</v>
      </c>
    </row>
    <row r="1717" customFormat="false" ht="34.5" hidden="false" customHeight="true" outlineLevel="0" collapsed="false">
      <c r="A1717" s="10" t="s">
        <v>4052</v>
      </c>
      <c r="B1717" s="10" t="s">
        <v>45</v>
      </c>
      <c r="C1717" s="8" t="s">
        <v>4041</v>
      </c>
      <c r="D1717" s="8" t="s">
        <v>4053</v>
      </c>
      <c r="E1717" s="11" t="n">
        <v>286</v>
      </c>
      <c r="F1717" s="8" t="str">
        <f aca="false">IFERROR(INDEX(Section_Master!$D$2:$D$477,MATCH($E1717,Section_Master!$A$2:$A$477,0))&amp;"","")</f>
        <v>Imprisonment up to 6 months, or fine, or both</v>
      </c>
      <c r="G1717" s="10" t="str">
        <f aca="false">IFERROR(INDEX(Section_Master!$E$2:$E$477,MATCH($E1717,Section_Master!$A$2:$A$477,0))&amp;"","")</f>
        <v>Yes</v>
      </c>
      <c r="H1717" s="10" t="str">
        <f aca="false">IFERROR(INDEX(Section_Master!$F$2:$F$477,MATCH($E1717,Section_Master!$A$2:$A$477,0))&amp;"","")</f>
        <v>Yes</v>
      </c>
      <c r="I1717" s="10" t="str">
        <f aca="false">IFERROR(INDEX(Section_Master!$G$2:$G$477,MATCH($E1717,Section_Master!$A$2:$A$477,0))&amp;"","")</f>
        <v>No</v>
      </c>
      <c r="J1717" s="10" t="s">
        <v>64</v>
      </c>
      <c r="K1717" s="8" t="s">
        <v>4043</v>
      </c>
    </row>
    <row r="1718" customFormat="false" ht="34.5" hidden="false" customHeight="true" outlineLevel="0" collapsed="false">
      <c r="A1718" s="10" t="s">
        <v>4054</v>
      </c>
      <c r="B1718" s="10" t="s">
        <v>45</v>
      </c>
      <c r="C1718" s="8" t="s">
        <v>4055</v>
      </c>
      <c r="D1718" s="8" t="s">
        <v>4056</v>
      </c>
      <c r="E1718" s="11" t="n">
        <v>287</v>
      </c>
      <c r="F1718" s="8" t="str">
        <f aca="false">IFERROR(INDEX(Section_Master!$D$2:$D$477,MATCH($E1718,Section_Master!$A$2:$A$477,0))&amp;"","")</f>
        <v>Imprisonment up to 6 months, or fine, or both</v>
      </c>
      <c r="G1718" s="10" t="str">
        <f aca="false">IFERROR(INDEX(Section_Master!$E$2:$E$477,MATCH($E1718,Section_Master!$A$2:$A$477,0))&amp;"","")</f>
        <v>Yes</v>
      </c>
      <c r="H1718" s="10" t="str">
        <f aca="false">IFERROR(INDEX(Section_Master!$F$2:$F$477,MATCH($E1718,Section_Master!$A$2:$A$477,0))&amp;"","")</f>
        <v>Yes</v>
      </c>
      <c r="I1718" s="10" t="str">
        <f aca="false">IFERROR(INDEX(Section_Master!$G$2:$G$477,MATCH($E1718,Section_Master!$A$2:$A$477,0))&amp;"","")</f>
        <v>No</v>
      </c>
      <c r="J1718" s="10" t="s">
        <v>48</v>
      </c>
      <c r="K1718" s="8" t="s">
        <v>4057</v>
      </c>
    </row>
    <row r="1719" customFormat="false" ht="34.5" hidden="false" customHeight="true" outlineLevel="0" collapsed="false">
      <c r="A1719" s="10" t="s">
        <v>4058</v>
      </c>
      <c r="B1719" s="10" t="s">
        <v>45</v>
      </c>
      <c r="C1719" s="8" t="s">
        <v>4055</v>
      </c>
      <c r="D1719" s="8" t="s">
        <v>4059</v>
      </c>
      <c r="E1719" s="11" t="n">
        <v>287</v>
      </c>
      <c r="F1719" s="8" t="str">
        <f aca="false">IFERROR(INDEX(Section_Master!$D$2:$D$477,MATCH($E1719,Section_Master!$A$2:$A$477,0))&amp;"","")</f>
        <v>Imprisonment up to 6 months, or fine, or both</v>
      </c>
      <c r="G1719" s="10" t="str">
        <f aca="false">IFERROR(INDEX(Section_Master!$E$2:$E$477,MATCH($E1719,Section_Master!$A$2:$A$477,0))&amp;"","")</f>
        <v>Yes</v>
      </c>
      <c r="H1719" s="10" t="str">
        <f aca="false">IFERROR(INDEX(Section_Master!$F$2:$F$477,MATCH($E1719,Section_Master!$A$2:$A$477,0))&amp;"","")</f>
        <v>Yes</v>
      </c>
      <c r="I1719" s="10" t="str">
        <f aca="false">IFERROR(INDEX(Section_Master!$G$2:$G$477,MATCH($E1719,Section_Master!$A$2:$A$477,0))&amp;"","")</f>
        <v>No</v>
      </c>
      <c r="J1719" s="10" t="s">
        <v>52</v>
      </c>
      <c r="K1719" s="8" t="s">
        <v>4057</v>
      </c>
    </row>
    <row r="1720" customFormat="false" ht="34.5" hidden="false" customHeight="true" outlineLevel="0" collapsed="false">
      <c r="A1720" s="10" t="s">
        <v>4060</v>
      </c>
      <c r="B1720" s="10" t="s">
        <v>45</v>
      </c>
      <c r="C1720" s="8" t="s">
        <v>4055</v>
      </c>
      <c r="D1720" s="8" t="s">
        <v>4061</v>
      </c>
      <c r="E1720" s="11" t="n">
        <v>287</v>
      </c>
      <c r="F1720" s="8" t="str">
        <f aca="false">IFERROR(INDEX(Section_Master!$D$2:$D$477,MATCH($E1720,Section_Master!$A$2:$A$477,0))&amp;"","")</f>
        <v>Imprisonment up to 6 months, or fine, or both</v>
      </c>
      <c r="G1720" s="10" t="str">
        <f aca="false">IFERROR(INDEX(Section_Master!$E$2:$E$477,MATCH($E1720,Section_Master!$A$2:$A$477,0))&amp;"","")</f>
        <v>Yes</v>
      </c>
      <c r="H1720" s="10" t="str">
        <f aca="false">IFERROR(INDEX(Section_Master!$F$2:$F$477,MATCH($E1720,Section_Master!$A$2:$A$477,0))&amp;"","")</f>
        <v>Yes</v>
      </c>
      <c r="I1720" s="10" t="str">
        <f aca="false">IFERROR(INDEX(Section_Master!$G$2:$G$477,MATCH($E1720,Section_Master!$A$2:$A$477,0))&amp;"","")</f>
        <v>No</v>
      </c>
      <c r="J1720" s="10" t="s">
        <v>55</v>
      </c>
      <c r="K1720" s="8" t="s">
        <v>4057</v>
      </c>
    </row>
    <row r="1721" customFormat="false" ht="34.5" hidden="false" customHeight="true" outlineLevel="0" collapsed="false">
      <c r="A1721" s="10" t="s">
        <v>4062</v>
      </c>
      <c r="B1721" s="10" t="s">
        <v>45</v>
      </c>
      <c r="C1721" s="8" t="s">
        <v>4055</v>
      </c>
      <c r="D1721" s="8" t="s">
        <v>4063</v>
      </c>
      <c r="E1721" s="11" t="n">
        <v>287</v>
      </c>
      <c r="F1721" s="8" t="str">
        <f aca="false">IFERROR(INDEX(Section_Master!$D$2:$D$477,MATCH($E1721,Section_Master!$A$2:$A$477,0))&amp;"","")</f>
        <v>Imprisonment up to 6 months, or fine, or both</v>
      </c>
      <c r="G1721" s="10" t="str">
        <f aca="false">IFERROR(INDEX(Section_Master!$E$2:$E$477,MATCH($E1721,Section_Master!$A$2:$A$477,0))&amp;"","")</f>
        <v>Yes</v>
      </c>
      <c r="H1721" s="10" t="str">
        <f aca="false">IFERROR(INDEX(Section_Master!$F$2:$F$477,MATCH($E1721,Section_Master!$A$2:$A$477,0))&amp;"","")</f>
        <v>Yes</v>
      </c>
      <c r="I1721" s="10" t="str">
        <f aca="false">IFERROR(INDEX(Section_Master!$G$2:$G$477,MATCH($E1721,Section_Master!$A$2:$A$477,0))&amp;"","")</f>
        <v>No</v>
      </c>
      <c r="J1721" s="10" t="s">
        <v>58</v>
      </c>
      <c r="K1721" s="8" t="s">
        <v>4057</v>
      </c>
    </row>
    <row r="1722" customFormat="false" ht="23.25" hidden="false" customHeight="true" outlineLevel="0" collapsed="false">
      <c r="A1722" s="10" t="s">
        <v>4064</v>
      </c>
      <c r="B1722" s="10" t="s">
        <v>45</v>
      </c>
      <c r="C1722" s="8" t="s">
        <v>4055</v>
      </c>
      <c r="D1722" s="8" t="s">
        <v>4065</v>
      </c>
      <c r="E1722" s="11" t="n">
        <v>287</v>
      </c>
      <c r="F1722" s="8" t="str">
        <f aca="false">IFERROR(INDEX(Section_Master!$D$2:$D$477,MATCH($E1722,Section_Master!$A$2:$A$477,0))&amp;"","")</f>
        <v>Imprisonment up to 6 months, or fine, or both</v>
      </c>
      <c r="G1722" s="10" t="str">
        <f aca="false">IFERROR(INDEX(Section_Master!$E$2:$E$477,MATCH($E1722,Section_Master!$A$2:$A$477,0))&amp;"","")</f>
        <v>Yes</v>
      </c>
      <c r="H1722" s="10" t="str">
        <f aca="false">IFERROR(INDEX(Section_Master!$F$2:$F$477,MATCH($E1722,Section_Master!$A$2:$A$477,0))&amp;"","")</f>
        <v>Yes</v>
      </c>
      <c r="I1722" s="10" t="str">
        <f aca="false">IFERROR(INDEX(Section_Master!$G$2:$G$477,MATCH($E1722,Section_Master!$A$2:$A$477,0))&amp;"","")</f>
        <v>No</v>
      </c>
      <c r="J1722" s="10" t="s">
        <v>61</v>
      </c>
      <c r="K1722" s="8" t="s">
        <v>4057</v>
      </c>
    </row>
    <row r="1723" customFormat="false" ht="34.5" hidden="false" customHeight="true" outlineLevel="0" collapsed="false">
      <c r="A1723" s="10" t="s">
        <v>4066</v>
      </c>
      <c r="B1723" s="10" t="s">
        <v>45</v>
      </c>
      <c r="C1723" s="8" t="s">
        <v>4055</v>
      </c>
      <c r="D1723" s="8" t="s">
        <v>4067</v>
      </c>
      <c r="E1723" s="11" t="n">
        <v>287</v>
      </c>
      <c r="F1723" s="8" t="str">
        <f aca="false">IFERROR(INDEX(Section_Master!$D$2:$D$477,MATCH($E1723,Section_Master!$A$2:$A$477,0))&amp;"","")</f>
        <v>Imprisonment up to 6 months, or fine, or both</v>
      </c>
      <c r="G1723" s="10" t="str">
        <f aca="false">IFERROR(INDEX(Section_Master!$E$2:$E$477,MATCH($E1723,Section_Master!$A$2:$A$477,0))&amp;"","")</f>
        <v>Yes</v>
      </c>
      <c r="H1723" s="10" t="str">
        <f aca="false">IFERROR(INDEX(Section_Master!$F$2:$F$477,MATCH($E1723,Section_Master!$A$2:$A$477,0))&amp;"","")</f>
        <v>Yes</v>
      </c>
      <c r="I1723" s="10" t="str">
        <f aca="false">IFERROR(INDEX(Section_Master!$G$2:$G$477,MATCH($E1723,Section_Master!$A$2:$A$477,0))&amp;"","")</f>
        <v>No</v>
      </c>
      <c r="J1723" s="10" t="s">
        <v>64</v>
      </c>
      <c r="K1723" s="8" t="s">
        <v>4057</v>
      </c>
    </row>
    <row r="1724" customFormat="false" ht="34.5" hidden="false" customHeight="true" outlineLevel="0" collapsed="false">
      <c r="A1724" s="10" t="s">
        <v>4068</v>
      </c>
      <c r="B1724" s="10" t="s">
        <v>45</v>
      </c>
      <c r="C1724" s="8" t="s">
        <v>4069</v>
      </c>
      <c r="D1724" s="8" t="s">
        <v>4070</v>
      </c>
      <c r="E1724" s="11" t="n">
        <v>288</v>
      </c>
      <c r="F1724" s="8" t="str">
        <f aca="false">IFERROR(INDEX(Section_Master!$D$2:$D$477,MATCH($E1724,Section_Master!$A$2:$A$477,0))&amp;"","")</f>
        <v>Imprisonment up to 6 months, or fine, or both; higher terms if hurt or death results [s.288]</v>
      </c>
      <c r="G1724" s="10" t="str">
        <f aca="false">IFERROR(INDEX(Section_Master!$E$2:$E$477,MATCH($E1724,Section_Master!$A$2:$A$477,0))&amp;"","")</f>
        <v>Yes</v>
      </c>
      <c r="H1724" s="10" t="str">
        <f aca="false">IFERROR(INDEX(Section_Master!$F$2:$F$477,MATCH($E1724,Section_Master!$A$2:$A$477,0))&amp;"","")</f>
        <v>Yes</v>
      </c>
      <c r="I1724" s="10" t="str">
        <f aca="false">IFERROR(INDEX(Section_Master!$G$2:$G$477,MATCH($E1724,Section_Master!$A$2:$A$477,0))&amp;"","")</f>
        <v>No</v>
      </c>
      <c r="J1724" s="10" t="s">
        <v>48</v>
      </c>
      <c r="K1724" s="8" t="s">
        <v>4071</v>
      </c>
    </row>
    <row r="1725" customFormat="false" ht="34.5" hidden="false" customHeight="true" outlineLevel="0" collapsed="false">
      <c r="A1725" s="10" t="s">
        <v>4072</v>
      </c>
      <c r="B1725" s="10" t="s">
        <v>45</v>
      </c>
      <c r="C1725" s="8" t="s">
        <v>4069</v>
      </c>
      <c r="D1725" s="8" t="s">
        <v>4073</v>
      </c>
      <c r="E1725" s="11" t="n">
        <v>288</v>
      </c>
      <c r="F1725" s="8" t="str">
        <f aca="false">IFERROR(INDEX(Section_Master!$D$2:$D$477,MATCH($E1725,Section_Master!$A$2:$A$477,0))&amp;"","")</f>
        <v>Imprisonment up to 6 months, or fine, or both; higher terms if hurt or death results [s.288]</v>
      </c>
      <c r="G1725" s="10" t="str">
        <f aca="false">IFERROR(INDEX(Section_Master!$E$2:$E$477,MATCH($E1725,Section_Master!$A$2:$A$477,0))&amp;"","")</f>
        <v>Yes</v>
      </c>
      <c r="H1725" s="10" t="str">
        <f aca="false">IFERROR(INDEX(Section_Master!$F$2:$F$477,MATCH($E1725,Section_Master!$A$2:$A$477,0))&amp;"","")</f>
        <v>Yes</v>
      </c>
      <c r="I1725" s="10" t="str">
        <f aca="false">IFERROR(INDEX(Section_Master!$G$2:$G$477,MATCH($E1725,Section_Master!$A$2:$A$477,0))&amp;"","")</f>
        <v>No</v>
      </c>
      <c r="J1725" s="10" t="s">
        <v>52</v>
      </c>
      <c r="K1725" s="8" t="s">
        <v>4071</v>
      </c>
    </row>
    <row r="1726" customFormat="false" ht="34.5" hidden="false" customHeight="true" outlineLevel="0" collapsed="false">
      <c r="A1726" s="10" t="s">
        <v>4074</v>
      </c>
      <c r="B1726" s="10" t="s">
        <v>45</v>
      </c>
      <c r="C1726" s="8" t="s">
        <v>4069</v>
      </c>
      <c r="D1726" s="8" t="s">
        <v>4075</v>
      </c>
      <c r="E1726" s="11" t="n">
        <v>288</v>
      </c>
      <c r="F1726" s="8" t="str">
        <f aca="false">IFERROR(INDEX(Section_Master!$D$2:$D$477,MATCH($E1726,Section_Master!$A$2:$A$477,0))&amp;"","")</f>
        <v>Imprisonment up to 6 months, or fine, or both; higher terms if hurt or death results [s.288]</v>
      </c>
      <c r="G1726" s="10" t="str">
        <f aca="false">IFERROR(INDEX(Section_Master!$E$2:$E$477,MATCH($E1726,Section_Master!$A$2:$A$477,0))&amp;"","")</f>
        <v>Yes</v>
      </c>
      <c r="H1726" s="10" t="str">
        <f aca="false">IFERROR(INDEX(Section_Master!$F$2:$F$477,MATCH($E1726,Section_Master!$A$2:$A$477,0))&amp;"","")</f>
        <v>Yes</v>
      </c>
      <c r="I1726" s="10" t="str">
        <f aca="false">IFERROR(INDEX(Section_Master!$G$2:$G$477,MATCH($E1726,Section_Master!$A$2:$A$477,0))&amp;"","")</f>
        <v>No</v>
      </c>
      <c r="J1726" s="10" t="s">
        <v>55</v>
      </c>
      <c r="K1726" s="8" t="s">
        <v>4071</v>
      </c>
    </row>
    <row r="1727" customFormat="false" ht="34.5" hidden="false" customHeight="true" outlineLevel="0" collapsed="false">
      <c r="A1727" s="10" t="s">
        <v>4076</v>
      </c>
      <c r="B1727" s="10" t="s">
        <v>45</v>
      </c>
      <c r="C1727" s="8" t="s">
        <v>4069</v>
      </c>
      <c r="D1727" s="8" t="s">
        <v>4077</v>
      </c>
      <c r="E1727" s="11" t="n">
        <v>288</v>
      </c>
      <c r="F1727" s="8" t="str">
        <f aca="false">IFERROR(INDEX(Section_Master!$D$2:$D$477,MATCH($E1727,Section_Master!$A$2:$A$477,0))&amp;"","")</f>
        <v>Imprisonment up to 6 months, or fine, or both; higher terms if hurt or death results [s.288]</v>
      </c>
      <c r="G1727" s="10" t="str">
        <f aca="false">IFERROR(INDEX(Section_Master!$E$2:$E$477,MATCH($E1727,Section_Master!$A$2:$A$477,0))&amp;"","")</f>
        <v>Yes</v>
      </c>
      <c r="H1727" s="10" t="str">
        <f aca="false">IFERROR(INDEX(Section_Master!$F$2:$F$477,MATCH($E1727,Section_Master!$A$2:$A$477,0))&amp;"","")</f>
        <v>Yes</v>
      </c>
      <c r="I1727" s="10" t="str">
        <f aca="false">IFERROR(INDEX(Section_Master!$G$2:$G$477,MATCH($E1727,Section_Master!$A$2:$A$477,0))&amp;"","")</f>
        <v>No</v>
      </c>
      <c r="J1727" s="10" t="s">
        <v>58</v>
      </c>
      <c r="K1727" s="8" t="s">
        <v>4071</v>
      </c>
    </row>
    <row r="1728" customFormat="false" ht="34.5" hidden="false" customHeight="true" outlineLevel="0" collapsed="false">
      <c r="A1728" s="10" t="s">
        <v>4078</v>
      </c>
      <c r="B1728" s="10" t="s">
        <v>45</v>
      </c>
      <c r="C1728" s="8" t="s">
        <v>4069</v>
      </c>
      <c r="D1728" s="8" t="s">
        <v>4079</v>
      </c>
      <c r="E1728" s="11" t="n">
        <v>288</v>
      </c>
      <c r="F1728" s="8" t="str">
        <f aca="false">IFERROR(INDEX(Section_Master!$D$2:$D$477,MATCH($E1728,Section_Master!$A$2:$A$477,0))&amp;"","")</f>
        <v>Imprisonment up to 6 months, or fine, or both; higher terms if hurt or death results [s.288]</v>
      </c>
      <c r="G1728" s="10" t="str">
        <f aca="false">IFERROR(INDEX(Section_Master!$E$2:$E$477,MATCH($E1728,Section_Master!$A$2:$A$477,0))&amp;"","")</f>
        <v>Yes</v>
      </c>
      <c r="H1728" s="10" t="str">
        <f aca="false">IFERROR(INDEX(Section_Master!$F$2:$F$477,MATCH($E1728,Section_Master!$A$2:$A$477,0))&amp;"","")</f>
        <v>Yes</v>
      </c>
      <c r="I1728" s="10" t="str">
        <f aca="false">IFERROR(INDEX(Section_Master!$G$2:$G$477,MATCH($E1728,Section_Master!$A$2:$A$477,0))&amp;"","")</f>
        <v>No</v>
      </c>
      <c r="J1728" s="10" t="s">
        <v>61</v>
      </c>
      <c r="K1728" s="8" t="s">
        <v>4071</v>
      </c>
    </row>
    <row r="1729" customFormat="false" ht="34.5" hidden="false" customHeight="true" outlineLevel="0" collapsed="false">
      <c r="A1729" s="10" t="s">
        <v>4080</v>
      </c>
      <c r="B1729" s="10" t="s">
        <v>45</v>
      </c>
      <c r="C1729" s="8" t="s">
        <v>4069</v>
      </c>
      <c r="D1729" s="8" t="s">
        <v>4081</v>
      </c>
      <c r="E1729" s="11" t="n">
        <v>288</v>
      </c>
      <c r="F1729" s="8" t="str">
        <f aca="false">IFERROR(INDEX(Section_Master!$D$2:$D$477,MATCH($E1729,Section_Master!$A$2:$A$477,0))&amp;"","")</f>
        <v>Imprisonment up to 6 months, or fine, or both; higher terms if hurt or death results [s.288]</v>
      </c>
      <c r="G1729" s="10" t="str">
        <f aca="false">IFERROR(INDEX(Section_Master!$E$2:$E$477,MATCH($E1729,Section_Master!$A$2:$A$477,0))&amp;"","")</f>
        <v>Yes</v>
      </c>
      <c r="H1729" s="10" t="str">
        <f aca="false">IFERROR(INDEX(Section_Master!$F$2:$F$477,MATCH($E1729,Section_Master!$A$2:$A$477,0))&amp;"","")</f>
        <v>Yes</v>
      </c>
      <c r="I1729" s="10" t="str">
        <f aca="false">IFERROR(INDEX(Section_Master!$G$2:$G$477,MATCH($E1729,Section_Master!$A$2:$A$477,0))&amp;"","")</f>
        <v>No</v>
      </c>
      <c r="J1729" s="10" t="s">
        <v>64</v>
      </c>
      <c r="K1729" s="8" t="s">
        <v>4071</v>
      </c>
    </row>
    <row r="1730" customFormat="false" ht="34.5" hidden="false" customHeight="true" outlineLevel="0" collapsed="false">
      <c r="A1730" s="10" t="s">
        <v>4082</v>
      </c>
      <c r="B1730" s="10" t="s">
        <v>45</v>
      </c>
      <c r="C1730" s="8" t="s">
        <v>4083</v>
      </c>
      <c r="D1730" s="8" t="s">
        <v>4084</v>
      </c>
      <c r="E1730" s="11" t="n">
        <v>289</v>
      </c>
      <c r="F1730" s="8" t="str">
        <f aca="false">IFERROR(INDEX(Section_Master!$D$2:$D$477,MATCH($E1730,Section_Master!$A$2:$A$477,0))&amp;"","")</f>
        <v>Imprisonment up to 6 months, or fine, or both</v>
      </c>
      <c r="G1730" s="10" t="str">
        <f aca="false">IFERROR(INDEX(Section_Master!$E$2:$E$477,MATCH($E1730,Section_Master!$A$2:$A$477,0))&amp;"","")</f>
        <v>Yes</v>
      </c>
      <c r="H1730" s="10" t="str">
        <f aca="false">IFERROR(INDEX(Section_Master!$F$2:$F$477,MATCH($E1730,Section_Master!$A$2:$A$477,0))&amp;"","")</f>
        <v>Yes</v>
      </c>
      <c r="I1730" s="10" t="str">
        <f aca="false">IFERROR(INDEX(Section_Master!$G$2:$G$477,MATCH($E1730,Section_Master!$A$2:$A$477,0))&amp;"","")</f>
        <v>No</v>
      </c>
      <c r="J1730" s="10" t="s">
        <v>48</v>
      </c>
      <c r="K1730" s="8" t="s">
        <v>4085</v>
      </c>
    </row>
    <row r="1731" customFormat="false" ht="34.5" hidden="false" customHeight="true" outlineLevel="0" collapsed="false">
      <c r="A1731" s="10" t="s">
        <v>4086</v>
      </c>
      <c r="B1731" s="10" t="s">
        <v>45</v>
      </c>
      <c r="C1731" s="8" t="s">
        <v>4083</v>
      </c>
      <c r="D1731" s="8" t="s">
        <v>4087</v>
      </c>
      <c r="E1731" s="11" t="n">
        <v>289</v>
      </c>
      <c r="F1731" s="8" t="str">
        <f aca="false">IFERROR(INDEX(Section_Master!$D$2:$D$477,MATCH($E1731,Section_Master!$A$2:$A$477,0))&amp;"","")</f>
        <v>Imprisonment up to 6 months, or fine, or both</v>
      </c>
      <c r="G1731" s="10" t="str">
        <f aca="false">IFERROR(INDEX(Section_Master!$E$2:$E$477,MATCH($E1731,Section_Master!$A$2:$A$477,0))&amp;"","")</f>
        <v>Yes</v>
      </c>
      <c r="H1731" s="10" t="str">
        <f aca="false">IFERROR(INDEX(Section_Master!$F$2:$F$477,MATCH($E1731,Section_Master!$A$2:$A$477,0))&amp;"","")</f>
        <v>Yes</v>
      </c>
      <c r="I1731" s="10" t="str">
        <f aca="false">IFERROR(INDEX(Section_Master!$G$2:$G$477,MATCH($E1731,Section_Master!$A$2:$A$477,0))&amp;"","")</f>
        <v>No</v>
      </c>
      <c r="J1731" s="10" t="s">
        <v>52</v>
      </c>
      <c r="K1731" s="8" t="s">
        <v>4085</v>
      </c>
    </row>
    <row r="1732" customFormat="false" ht="34.5" hidden="false" customHeight="true" outlineLevel="0" collapsed="false">
      <c r="A1732" s="10" t="s">
        <v>4088</v>
      </c>
      <c r="B1732" s="10" t="s">
        <v>45</v>
      </c>
      <c r="C1732" s="8" t="s">
        <v>4083</v>
      </c>
      <c r="D1732" s="8" t="s">
        <v>4089</v>
      </c>
      <c r="E1732" s="11" t="n">
        <v>289</v>
      </c>
      <c r="F1732" s="8" t="str">
        <f aca="false">IFERROR(INDEX(Section_Master!$D$2:$D$477,MATCH($E1732,Section_Master!$A$2:$A$477,0))&amp;"","")</f>
        <v>Imprisonment up to 6 months, or fine, or both</v>
      </c>
      <c r="G1732" s="10" t="str">
        <f aca="false">IFERROR(INDEX(Section_Master!$E$2:$E$477,MATCH($E1732,Section_Master!$A$2:$A$477,0))&amp;"","")</f>
        <v>Yes</v>
      </c>
      <c r="H1732" s="10" t="str">
        <f aca="false">IFERROR(INDEX(Section_Master!$F$2:$F$477,MATCH($E1732,Section_Master!$A$2:$A$477,0))&amp;"","")</f>
        <v>Yes</v>
      </c>
      <c r="I1732" s="10" t="str">
        <f aca="false">IFERROR(INDEX(Section_Master!$G$2:$G$477,MATCH($E1732,Section_Master!$A$2:$A$477,0))&amp;"","")</f>
        <v>No</v>
      </c>
      <c r="J1732" s="10" t="s">
        <v>55</v>
      </c>
      <c r="K1732" s="8" t="s">
        <v>4085</v>
      </c>
    </row>
    <row r="1733" customFormat="false" ht="34.5" hidden="false" customHeight="true" outlineLevel="0" collapsed="false">
      <c r="A1733" s="10" t="s">
        <v>4090</v>
      </c>
      <c r="B1733" s="10" t="s">
        <v>45</v>
      </c>
      <c r="C1733" s="8" t="s">
        <v>4083</v>
      </c>
      <c r="D1733" s="8" t="s">
        <v>4091</v>
      </c>
      <c r="E1733" s="11" t="n">
        <v>289</v>
      </c>
      <c r="F1733" s="8" t="str">
        <f aca="false">IFERROR(INDEX(Section_Master!$D$2:$D$477,MATCH($E1733,Section_Master!$A$2:$A$477,0))&amp;"","")</f>
        <v>Imprisonment up to 6 months, or fine, or both</v>
      </c>
      <c r="G1733" s="10" t="str">
        <f aca="false">IFERROR(INDEX(Section_Master!$E$2:$E$477,MATCH($E1733,Section_Master!$A$2:$A$477,0))&amp;"","")</f>
        <v>Yes</v>
      </c>
      <c r="H1733" s="10" t="str">
        <f aca="false">IFERROR(INDEX(Section_Master!$F$2:$F$477,MATCH($E1733,Section_Master!$A$2:$A$477,0))&amp;"","")</f>
        <v>Yes</v>
      </c>
      <c r="I1733" s="10" t="str">
        <f aca="false">IFERROR(INDEX(Section_Master!$G$2:$G$477,MATCH($E1733,Section_Master!$A$2:$A$477,0))&amp;"","")</f>
        <v>No</v>
      </c>
      <c r="J1733" s="10" t="s">
        <v>58</v>
      </c>
      <c r="K1733" s="8" t="s">
        <v>4085</v>
      </c>
    </row>
    <row r="1734" customFormat="false" ht="23.25" hidden="false" customHeight="true" outlineLevel="0" collapsed="false">
      <c r="A1734" s="10" t="s">
        <v>4092</v>
      </c>
      <c r="B1734" s="10" t="s">
        <v>45</v>
      </c>
      <c r="C1734" s="8" t="s">
        <v>4083</v>
      </c>
      <c r="D1734" s="8" t="s">
        <v>4093</v>
      </c>
      <c r="E1734" s="11" t="n">
        <v>289</v>
      </c>
      <c r="F1734" s="8" t="str">
        <f aca="false">IFERROR(INDEX(Section_Master!$D$2:$D$477,MATCH($E1734,Section_Master!$A$2:$A$477,0))&amp;"","")</f>
        <v>Imprisonment up to 6 months, or fine, or both</v>
      </c>
      <c r="G1734" s="10" t="str">
        <f aca="false">IFERROR(INDEX(Section_Master!$E$2:$E$477,MATCH($E1734,Section_Master!$A$2:$A$477,0))&amp;"","")</f>
        <v>Yes</v>
      </c>
      <c r="H1734" s="10" t="str">
        <f aca="false">IFERROR(INDEX(Section_Master!$F$2:$F$477,MATCH($E1734,Section_Master!$A$2:$A$477,0))&amp;"","")</f>
        <v>Yes</v>
      </c>
      <c r="I1734" s="10" t="str">
        <f aca="false">IFERROR(INDEX(Section_Master!$G$2:$G$477,MATCH($E1734,Section_Master!$A$2:$A$477,0))&amp;"","")</f>
        <v>No</v>
      </c>
      <c r="J1734" s="10" t="s">
        <v>61</v>
      </c>
      <c r="K1734" s="8" t="s">
        <v>4085</v>
      </c>
    </row>
    <row r="1735" customFormat="false" ht="34.5" hidden="false" customHeight="true" outlineLevel="0" collapsed="false">
      <c r="A1735" s="10" t="s">
        <v>4094</v>
      </c>
      <c r="B1735" s="10" t="s">
        <v>45</v>
      </c>
      <c r="C1735" s="8" t="s">
        <v>4083</v>
      </c>
      <c r="D1735" s="8" t="s">
        <v>4095</v>
      </c>
      <c r="E1735" s="11" t="n">
        <v>289</v>
      </c>
      <c r="F1735" s="8" t="str">
        <f aca="false">IFERROR(INDEX(Section_Master!$D$2:$D$477,MATCH($E1735,Section_Master!$A$2:$A$477,0))&amp;"","")</f>
        <v>Imprisonment up to 6 months, or fine, or both</v>
      </c>
      <c r="G1735" s="10" t="str">
        <f aca="false">IFERROR(INDEX(Section_Master!$E$2:$E$477,MATCH($E1735,Section_Master!$A$2:$A$477,0))&amp;"","")</f>
        <v>Yes</v>
      </c>
      <c r="H1735" s="10" t="str">
        <f aca="false">IFERROR(INDEX(Section_Master!$F$2:$F$477,MATCH($E1735,Section_Master!$A$2:$A$477,0))&amp;"","")</f>
        <v>Yes</v>
      </c>
      <c r="I1735" s="10" t="str">
        <f aca="false">IFERROR(INDEX(Section_Master!$G$2:$G$477,MATCH($E1735,Section_Master!$A$2:$A$477,0))&amp;"","")</f>
        <v>No</v>
      </c>
      <c r="J1735" s="10" t="s">
        <v>64</v>
      </c>
      <c r="K1735" s="8" t="s">
        <v>4085</v>
      </c>
    </row>
    <row r="1736" customFormat="false" ht="34.5" hidden="false" customHeight="true" outlineLevel="0" collapsed="false">
      <c r="A1736" s="10" t="s">
        <v>4096</v>
      </c>
      <c r="B1736" s="10" t="s">
        <v>45</v>
      </c>
      <c r="C1736" s="8" t="s">
        <v>4097</v>
      </c>
      <c r="D1736" s="8" t="s">
        <v>4098</v>
      </c>
      <c r="E1736" s="11" t="n">
        <v>290</v>
      </c>
      <c r="F1736" s="8" t="str">
        <f aca="false">IFERROR(INDEX(Section_Master!$D$2:$D$477,MATCH($E1736,Section_Master!$A$2:$A$477,0))&amp;"","")</f>
        <v>Imprisonment up to 6 months, or fine, or both</v>
      </c>
      <c r="G1736" s="10" t="str">
        <f aca="false">IFERROR(INDEX(Section_Master!$E$2:$E$477,MATCH($E1736,Section_Master!$A$2:$A$477,0))&amp;"","")</f>
        <v>Yes</v>
      </c>
      <c r="H1736" s="10" t="str">
        <f aca="false">IFERROR(INDEX(Section_Master!$F$2:$F$477,MATCH($E1736,Section_Master!$A$2:$A$477,0))&amp;"","")</f>
        <v>Yes</v>
      </c>
      <c r="I1736" s="10" t="str">
        <f aca="false">IFERROR(INDEX(Section_Master!$G$2:$G$477,MATCH($E1736,Section_Master!$A$2:$A$477,0))&amp;"","")</f>
        <v>No</v>
      </c>
      <c r="J1736" s="10" t="s">
        <v>48</v>
      </c>
      <c r="K1736" s="8" t="s">
        <v>4099</v>
      </c>
    </row>
    <row r="1737" customFormat="false" ht="45.75" hidden="false" customHeight="true" outlineLevel="0" collapsed="false">
      <c r="A1737" s="10" t="s">
        <v>4100</v>
      </c>
      <c r="B1737" s="10" t="s">
        <v>45</v>
      </c>
      <c r="C1737" s="8" t="s">
        <v>4097</v>
      </c>
      <c r="D1737" s="8" t="s">
        <v>4101</v>
      </c>
      <c r="E1737" s="11" t="n">
        <v>290</v>
      </c>
      <c r="F1737" s="8" t="str">
        <f aca="false">IFERROR(INDEX(Section_Master!$D$2:$D$477,MATCH($E1737,Section_Master!$A$2:$A$477,0))&amp;"","")</f>
        <v>Imprisonment up to 6 months, or fine, or both</v>
      </c>
      <c r="G1737" s="10" t="str">
        <f aca="false">IFERROR(INDEX(Section_Master!$E$2:$E$477,MATCH($E1737,Section_Master!$A$2:$A$477,0))&amp;"","")</f>
        <v>Yes</v>
      </c>
      <c r="H1737" s="10" t="str">
        <f aca="false">IFERROR(INDEX(Section_Master!$F$2:$F$477,MATCH($E1737,Section_Master!$A$2:$A$477,0))&amp;"","")</f>
        <v>Yes</v>
      </c>
      <c r="I1737" s="10" t="str">
        <f aca="false">IFERROR(INDEX(Section_Master!$G$2:$G$477,MATCH($E1737,Section_Master!$A$2:$A$477,0))&amp;"","")</f>
        <v>No</v>
      </c>
      <c r="J1737" s="10" t="s">
        <v>52</v>
      </c>
      <c r="K1737" s="8" t="s">
        <v>4099</v>
      </c>
    </row>
    <row r="1738" customFormat="false" ht="34.5" hidden="false" customHeight="true" outlineLevel="0" collapsed="false">
      <c r="A1738" s="10" t="s">
        <v>4102</v>
      </c>
      <c r="B1738" s="10" t="s">
        <v>45</v>
      </c>
      <c r="C1738" s="8" t="s">
        <v>4097</v>
      </c>
      <c r="D1738" s="8" t="s">
        <v>4103</v>
      </c>
      <c r="E1738" s="11" t="n">
        <v>290</v>
      </c>
      <c r="F1738" s="8" t="str">
        <f aca="false">IFERROR(INDEX(Section_Master!$D$2:$D$477,MATCH($E1738,Section_Master!$A$2:$A$477,0))&amp;"","")</f>
        <v>Imprisonment up to 6 months, or fine, or both</v>
      </c>
      <c r="G1738" s="10" t="str">
        <f aca="false">IFERROR(INDEX(Section_Master!$E$2:$E$477,MATCH($E1738,Section_Master!$A$2:$A$477,0))&amp;"","")</f>
        <v>Yes</v>
      </c>
      <c r="H1738" s="10" t="str">
        <f aca="false">IFERROR(INDEX(Section_Master!$F$2:$F$477,MATCH($E1738,Section_Master!$A$2:$A$477,0))&amp;"","")</f>
        <v>Yes</v>
      </c>
      <c r="I1738" s="10" t="str">
        <f aca="false">IFERROR(INDEX(Section_Master!$G$2:$G$477,MATCH($E1738,Section_Master!$A$2:$A$477,0))&amp;"","")</f>
        <v>No</v>
      </c>
      <c r="J1738" s="10" t="s">
        <v>55</v>
      </c>
      <c r="K1738" s="8" t="s">
        <v>4099</v>
      </c>
    </row>
    <row r="1739" customFormat="false" ht="34.5" hidden="false" customHeight="true" outlineLevel="0" collapsed="false">
      <c r="A1739" s="10" t="s">
        <v>4104</v>
      </c>
      <c r="B1739" s="10" t="s">
        <v>45</v>
      </c>
      <c r="C1739" s="8" t="s">
        <v>4097</v>
      </c>
      <c r="D1739" s="8" t="s">
        <v>4105</v>
      </c>
      <c r="E1739" s="11" t="n">
        <v>290</v>
      </c>
      <c r="F1739" s="8" t="str">
        <f aca="false">IFERROR(INDEX(Section_Master!$D$2:$D$477,MATCH($E1739,Section_Master!$A$2:$A$477,0))&amp;"","")</f>
        <v>Imprisonment up to 6 months, or fine, or both</v>
      </c>
      <c r="G1739" s="10" t="str">
        <f aca="false">IFERROR(INDEX(Section_Master!$E$2:$E$477,MATCH($E1739,Section_Master!$A$2:$A$477,0))&amp;"","")</f>
        <v>Yes</v>
      </c>
      <c r="H1739" s="10" t="str">
        <f aca="false">IFERROR(INDEX(Section_Master!$F$2:$F$477,MATCH($E1739,Section_Master!$A$2:$A$477,0))&amp;"","")</f>
        <v>Yes</v>
      </c>
      <c r="I1739" s="10" t="str">
        <f aca="false">IFERROR(INDEX(Section_Master!$G$2:$G$477,MATCH($E1739,Section_Master!$A$2:$A$477,0))&amp;"","")</f>
        <v>No</v>
      </c>
      <c r="J1739" s="10" t="s">
        <v>58</v>
      </c>
      <c r="K1739" s="8" t="s">
        <v>4099</v>
      </c>
    </row>
    <row r="1740" customFormat="false" ht="34.5" hidden="false" customHeight="true" outlineLevel="0" collapsed="false">
      <c r="A1740" s="10" t="s">
        <v>4106</v>
      </c>
      <c r="B1740" s="10" t="s">
        <v>45</v>
      </c>
      <c r="C1740" s="8" t="s">
        <v>4097</v>
      </c>
      <c r="D1740" s="8" t="s">
        <v>4107</v>
      </c>
      <c r="E1740" s="11" t="n">
        <v>290</v>
      </c>
      <c r="F1740" s="8" t="str">
        <f aca="false">IFERROR(INDEX(Section_Master!$D$2:$D$477,MATCH($E1740,Section_Master!$A$2:$A$477,0))&amp;"","")</f>
        <v>Imprisonment up to 6 months, or fine, or both</v>
      </c>
      <c r="G1740" s="10" t="str">
        <f aca="false">IFERROR(INDEX(Section_Master!$E$2:$E$477,MATCH($E1740,Section_Master!$A$2:$A$477,0))&amp;"","")</f>
        <v>Yes</v>
      </c>
      <c r="H1740" s="10" t="str">
        <f aca="false">IFERROR(INDEX(Section_Master!$F$2:$F$477,MATCH($E1740,Section_Master!$A$2:$A$477,0))&amp;"","")</f>
        <v>Yes</v>
      </c>
      <c r="I1740" s="10" t="str">
        <f aca="false">IFERROR(INDEX(Section_Master!$G$2:$G$477,MATCH($E1740,Section_Master!$A$2:$A$477,0))&amp;"","")</f>
        <v>No</v>
      </c>
      <c r="J1740" s="10" t="s">
        <v>61</v>
      </c>
      <c r="K1740" s="8" t="s">
        <v>4099</v>
      </c>
    </row>
    <row r="1741" customFormat="false" ht="34.5" hidden="false" customHeight="true" outlineLevel="0" collapsed="false">
      <c r="A1741" s="10" t="s">
        <v>4108</v>
      </c>
      <c r="B1741" s="10" t="s">
        <v>45</v>
      </c>
      <c r="C1741" s="8" t="s">
        <v>4097</v>
      </c>
      <c r="D1741" s="8" t="s">
        <v>4109</v>
      </c>
      <c r="E1741" s="11" t="n">
        <v>290</v>
      </c>
      <c r="F1741" s="8" t="str">
        <f aca="false">IFERROR(INDEX(Section_Master!$D$2:$D$477,MATCH($E1741,Section_Master!$A$2:$A$477,0))&amp;"","")</f>
        <v>Imprisonment up to 6 months, or fine, or both</v>
      </c>
      <c r="G1741" s="10" t="str">
        <f aca="false">IFERROR(INDEX(Section_Master!$E$2:$E$477,MATCH($E1741,Section_Master!$A$2:$A$477,0))&amp;"","")</f>
        <v>Yes</v>
      </c>
      <c r="H1741" s="10" t="str">
        <f aca="false">IFERROR(INDEX(Section_Master!$F$2:$F$477,MATCH($E1741,Section_Master!$A$2:$A$477,0))&amp;"","")</f>
        <v>Yes</v>
      </c>
      <c r="I1741" s="10" t="str">
        <f aca="false">IFERROR(INDEX(Section_Master!$G$2:$G$477,MATCH($E1741,Section_Master!$A$2:$A$477,0))&amp;"","")</f>
        <v>No</v>
      </c>
      <c r="J1741" s="10" t="s">
        <v>64</v>
      </c>
      <c r="K1741" s="8" t="s">
        <v>4099</v>
      </c>
    </row>
    <row r="1742" customFormat="false" ht="34.5" hidden="false" customHeight="true" outlineLevel="0" collapsed="false">
      <c r="A1742" s="10" t="s">
        <v>4110</v>
      </c>
      <c r="B1742" s="10" t="s">
        <v>45</v>
      </c>
      <c r="C1742" s="8" t="s">
        <v>4111</v>
      </c>
      <c r="D1742" s="8" t="s">
        <v>4112</v>
      </c>
      <c r="E1742" s="11" t="n">
        <v>291</v>
      </c>
      <c r="F1742" s="8" t="str">
        <f aca="false">IFERROR(INDEX(Section_Master!$D$2:$D$477,MATCH($E1742,Section_Master!$A$2:$A$477,0))&amp;"","")</f>
        <v>Imprisonment up to 6 months, or fine, or both</v>
      </c>
      <c r="G1742" s="10" t="str">
        <f aca="false">IFERROR(INDEX(Section_Master!$E$2:$E$477,MATCH($E1742,Section_Master!$A$2:$A$477,0))&amp;"","")</f>
        <v>Yes</v>
      </c>
      <c r="H1742" s="10" t="str">
        <f aca="false">IFERROR(INDEX(Section_Master!$F$2:$F$477,MATCH($E1742,Section_Master!$A$2:$A$477,0))&amp;"","")</f>
        <v>Yes</v>
      </c>
      <c r="I1742" s="10" t="str">
        <f aca="false">IFERROR(INDEX(Section_Master!$G$2:$G$477,MATCH($E1742,Section_Master!$A$2:$A$477,0))&amp;"","")</f>
        <v>No</v>
      </c>
      <c r="J1742" s="10" t="s">
        <v>48</v>
      </c>
      <c r="K1742" s="8" t="s">
        <v>4113</v>
      </c>
    </row>
    <row r="1743" customFormat="false" ht="34.5" hidden="false" customHeight="true" outlineLevel="0" collapsed="false">
      <c r="A1743" s="10" t="s">
        <v>4114</v>
      </c>
      <c r="B1743" s="10" t="s">
        <v>45</v>
      </c>
      <c r="C1743" s="8" t="s">
        <v>4111</v>
      </c>
      <c r="D1743" s="8" t="s">
        <v>4115</v>
      </c>
      <c r="E1743" s="11" t="n">
        <v>291</v>
      </c>
      <c r="F1743" s="8" t="str">
        <f aca="false">IFERROR(INDEX(Section_Master!$D$2:$D$477,MATCH($E1743,Section_Master!$A$2:$A$477,0))&amp;"","")</f>
        <v>Imprisonment up to 6 months, or fine, or both</v>
      </c>
      <c r="G1743" s="10" t="str">
        <f aca="false">IFERROR(INDEX(Section_Master!$E$2:$E$477,MATCH($E1743,Section_Master!$A$2:$A$477,0))&amp;"","")</f>
        <v>Yes</v>
      </c>
      <c r="H1743" s="10" t="str">
        <f aca="false">IFERROR(INDEX(Section_Master!$F$2:$F$477,MATCH($E1743,Section_Master!$A$2:$A$477,0))&amp;"","")</f>
        <v>Yes</v>
      </c>
      <c r="I1743" s="10" t="str">
        <f aca="false">IFERROR(INDEX(Section_Master!$G$2:$G$477,MATCH($E1743,Section_Master!$A$2:$A$477,0))&amp;"","")</f>
        <v>No</v>
      </c>
      <c r="J1743" s="10" t="s">
        <v>52</v>
      </c>
      <c r="K1743" s="8" t="s">
        <v>4113</v>
      </c>
    </row>
    <row r="1744" customFormat="false" ht="34.5" hidden="false" customHeight="true" outlineLevel="0" collapsed="false">
      <c r="A1744" s="10" t="s">
        <v>4116</v>
      </c>
      <c r="B1744" s="10" t="s">
        <v>45</v>
      </c>
      <c r="C1744" s="8" t="s">
        <v>4111</v>
      </c>
      <c r="D1744" s="8" t="s">
        <v>4117</v>
      </c>
      <c r="E1744" s="11" t="n">
        <v>291</v>
      </c>
      <c r="F1744" s="8" t="str">
        <f aca="false">IFERROR(INDEX(Section_Master!$D$2:$D$477,MATCH($E1744,Section_Master!$A$2:$A$477,0))&amp;"","")</f>
        <v>Imprisonment up to 6 months, or fine, or both</v>
      </c>
      <c r="G1744" s="10" t="str">
        <f aca="false">IFERROR(INDEX(Section_Master!$E$2:$E$477,MATCH($E1744,Section_Master!$A$2:$A$477,0))&amp;"","")</f>
        <v>Yes</v>
      </c>
      <c r="H1744" s="10" t="str">
        <f aca="false">IFERROR(INDEX(Section_Master!$F$2:$F$477,MATCH($E1744,Section_Master!$A$2:$A$477,0))&amp;"","")</f>
        <v>Yes</v>
      </c>
      <c r="I1744" s="10" t="str">
        <f aca="false">IFERROR(INDEX(Section_Master!$G$2:$G$477,MATCH($E1744,Section_Master!$A$2:$A$477,0))&amp;"","")</f>
        <v>No</v>
      </c>
      <c r="J1744" s="10" t="s">
        <v>55</v>
      </c>
      <c r="K1744" s="8" t="s">
        <v>4113</v>
      </c>
    </row>
    <row r="1745" customFormat="false" ht="23.25" hidden="false" customHeight="true" outlineLevel="0" collapsed="false">
      <c r="A1745" s="10" t="s">
        <v>4118</v>
      </c>
      <c r="B1745" s="10" t="s">
        <v>45</v>
      </c>
      <c r="C1745" s="8" t="s">
        <v>4111</v>
      </c>
      <c r="D1745" s="8" t="s">
        <v>4119</v>
      </c>
      <c r="E1745" s="11" t="n">
        <v>291</v>
      </c>
      <c r="F1745" s="8" t="str">
        <f aca="false">IFERROR(INDEX(Section_Master!$D$2:$D$477,MATCH($E1745,Section_Master!$A$2:$A$477,0))&amp;"","")</f>
        <v>Imprisonment up to 6 months, or fine, or both</v>
      </c>
      <c r="G1745" s="10" t="str">
        <f aca="false">IFERROR(INDEX(Section_Master!$E$2:$E$477,MATCH($E1745,Section_Master!$A$2:$A$477,0))&amp;"","")</f>
        <v>Yes</v>
      </c>
      <c r="H1745" s="10" t="str">
        <f aca="false">IFERROR(INDEX(Section_Master!$F$2:$F$477,MATCH($E1745,Section_Master!$A$2:$A$477,0))&amp;"","")</f>
        <v>Yes</v>
      </c>
      <c r="I1745" s="10" t="str">
        <f aca="false">IFERROR(INDEX(Section_Master!$G$2:$G$477,MATCH($E1745,Section_Master!$A$2:$A$477,0))&amp;"","")</f>
        <v>No</v>
      </c>
      <c r="J1745" s="10" t="s">
        <v>58</v>
      </c>
      <c r="K1745" s="8" t="s">
        <v>4113</v>
      </c>
    </row>
    <row r="1746" customFormat="false" ht="34.5" hidden="false" customHeight="true" outlineLevel="0" collapsed="false">
      <c r="A1746" s="10" t="s">
        <v>4120</v>
      </c>
      <c r="B1746" s="10" t="s">
        <v>45</v>
      </c>
      <c r="C1746" s="8" t="s">
        <v>4111</v>
      </c>
      <c r="D1746" s="8" t="s">
        <v>4121</v>
      </c>
      <c r="E1746" s="11" t="n">
        <v>291</v>
      </c>
      <c r="F1746" s="8" t="str">
        <f aca="false">IFERROR(INDEX(Section_Master!$D$2:$D$477,MATCH($E1746,Section_Master!$A$2:$A$477,0))&amp;"","")</f>
        <v>Imprisonment up to 6 months, or fine, or both</v>
      </c>
      <c r="G1746" s="10" t="str">
        <f aca="false">IFERROR(INDEX(Section_Master!$E$2:$E$477,MATCH($E1746,Section_Master!$A$2:$A$477,0))&amp;"","")</f>
        <v>Yes</v>
      </c>
      <c r="H1746" s="10" t="str">
        <f aca="false">IFERROR(INDEX(Section_Master!$F$2:$F$477,MATCH($E1746,Section_Master!$A$2:$A$477,0))&amp;"","")</f>
        <v>Yes</v>
      </c>
      <c r="I1746" s="10" t="str">
        <f aca="false">IFERROR(INDEX(Section_Master!$G$2:$G$477,MATCH($E1746,Section_Master!$A$2:$A$477,0))&amp;"","")</f>
        <v>No</v>
      </c>
      <c r="J1746" s="10" t="s">
        <v>61</v>
      </c>
      <c r="K1746" s="8" t="s">
        <v>4113</v>
      </c>
    </row>
    <row r="1747" customFormat="false" ht="34.5" hidden="false" customHeight="true" outlineLevel="0" collapsed="false">
      <c r="A1747" s="10" t="s">
        <v>4122</v>
      </c>
      <c r="B1747" s="10" t="s">
        <v>45</v>
      </c>
      <c r="C1747" s="8" t="s">
        <v>4111</v>
      </c>
      <c r="D1747" s="8" t="s">
        <v>4123</v>
      </c>
      <c r="E1747" s="11" t="n">
        <v>291</v>
      </c>
      <c r="F1747" s="8" t="str">
        <f aca="false">IFERROR(INDEX(Section_Master!$D$2:$D$477,MATCH($E1747,Section_Master!$A$2:$A$477,0))&amp;"","")</f>
        <v>Imprisonment up to 6 months, or fine, or both</v>
      </c>
      <c r="G1747" s="10" t="str">
        <f aca="false">IFERROR(INDEX(Section_Master!$E$2:$E$477,MATCH($E1747,Section_Master!$A$2:$A$477,0))&amp;"","")</f>
        <v>Yes</v>
      </c>
      <c r="H1747" s="10" t="str">
        <f aca="false">IFERROR(INDEX(Section_Master!$F$2:$F$477,MATCH($E1747,Section_Master!$A$2:$A$477,0))&amp;"","")</f>
        <v>Yes</v>
      </c>
      <c r="I1747" s="10" t="str">
        <f aca="false">IFERROR(INDEX(Section_Master!$G$2:$G$477,MATCH($E1747,Section_Master!$A$2:$A$477,0))&amp;"","")</f>
        <v>No</v>
      </c>
      <c r="J1747" s="10" t="s">
        <v>64</v>
      </c>
      <c r="K1747" s="8" t="s">
        <v>4113</v>
      </c>
    </row>
    <row r="1748" customFormat="false" ht="34.5" hidden="false" customHeight="true" outlineLevel="0" collapsed="false">
      <c r="A1748" s="10" t="s">
        <v>4124</v>
      </c>
      <c r="B1748" s="10" t="s">
        <v>45</v>
      </c>
      <c r="C1748" s="8" t="s">
        <v>4125</v>
      </c>
      <c r="D1748" s="8" t="s">
        <v>4126</v>
      </c>
      <c r="E1748" s="11" t="n">
        <v>292</v>
      </c>
      <c r="F1748" s="8" t="str">
        <f aca="false">IFERROR(INDEX(Section_Master!$D$2:$D$477,MATCH($E1748,Section_Master!$A$2:$A$477,0))&amp;"","")</f>
        <v>Fine</v>
      </c>
      <c r="G1748" s="10" t="str">
        <f aca="false">IFERROR(INDEX(Section_Master!$E$2:$E$477,MATCH($E1748,Section_Master!$A$2:$A$477,0))&amp;"","")</f>
        <v>No</v>
      </c>
      <c r="H1748" s="10" t="str">
        <f aca="false">IFERROR(INDEX(Section_Master!$F$2:$F$477,MATCH($E1748,Section_Master!$A$2:$A$477,0))&amp;"","")</f>
        <v>Yes</v>
      </c>
      <c r="I1748" s="10" t="str">
        <f aca="false">IFERROR(INDEX(Section_Master!$G$2:$G$477,MATCH($E1748,Section_Master!$A$2:$A$477,0))&amp;"","")</f>
        <v>No</v>
      </c>
      <c r="J1748" s="10" t="s">
        <v>48</v>
      </c>
      <c r="K1748" s="8" t="s">
        <v>4127</v>
      </c>
    </row>
    <row r="1749" customFormat="false" ht="34.5" hidden="false" customHeight="true" outlineLevel="0" collapsed="false">
      <c r="A1749" s="10" t="s">
        <v>4128</v>
      </c>
      <c r="B1749" s="10" t="s">
        <v>45</v>
      </c>
      <c r="C1749" s="8" t="s">
        <v>4125</v>
      </c>
      <c r="D1749" s="8" t="s">
        <v>4129</v>
      </c>
      <c r="E1749" s="11" t="n">
        <v>292</v>
      </c>
      <c r="F1749" s="8" t="str">
        <f aca="false">IFERROR(INDEX(Section_Master!$D$2:$D$477,MATCH($E1749,Section_Master!$A$2:$A$477,0))&amp;"","")</f>
        <v>Fine</v>
      </c>
      <c r="G1749" s="10" t="str">
        <f aca="false">IFERROR(INDEX(Section_Master!$E$2:$E$477,MATCH($E1749,Section_Master!$A$2:$A$477,0))&amp;"","")</f>
        <v>No</v>
      </c>
      <c r="H1749" s="10" t="str">
        <f aca="false">IFERROR(INDEX(Section_Master!$F$2:$F$477,MATCH($E1749,Section_Master!$A$2:$A$477,0))&amp;"","")</f>
        <v>Yes</v>
      </c>
      <c r="I1749" s="10" t="str">
        <f aca="false">IFERROR(INDEX(Section_Master!$G$2:$G$477,MATCH($E1749,Section_Master!$A$2:$A$477,0))&amp;"","")</f>
        <v>No</v>
      </c>
      <c r="J1749" s="10" t="s">
        <v>52</v>
      </c>
      <c r="K1749" s="8" t="s">
        <v>4127</v>
      </c>
    </row>
    <row r="1750" customFormat="false" ht="34.5" hidden="false" customHeight="true" outlineLevel="0" collapsed="false">
      <c r="A1750" s="10" t="s">
        <v>4130</v>
      </c>
      <c r="B1750" s="10" t="s">
        <v>45</v>
      </c>
      <c r="C1750" s="8" t="s">
        <v>4125</v>
      </c>
      <c r="D1750" s="8" t="s">
        <v>4131</v>
      </c>
      <c r="E1750" s="11" t="n">
        <v>292</v>
      </c>
      <c r="F1750" s="8" t="str">
        <f aca="false">IFERROR(INDEX(Section_Master!$D$2:$D$477,MATCH($E1750,Section_Master!$A$2:$A$477,0))&amp;"","")</f>
        <v>Fine</v>
      </c>
      <c r="G1750" s="10" t="str">
        <f aca="false">IFERROR(INDEX(Section_Master!$E$2:$E$477,MATCH($E1750,Section_Master!$A$2:$A$477,0))&amp;"","")</f>
        <v>No</v>
      </c>
      <c r="H1750" s="10" t="str">
        <f aca="false">IFERROR(INDEX(Section_Master!$F$2:$F$477,MATCH($E1750,Section_Master!$A$2:$A$477,0))&amp;"","")</f>
        <v>Yes</v>
      </c>
      <c r="I1750" s="10" t="str">
        <f aca="false">IFERROR(INDEX(Section_Master!$G$2:$G$477,MATCH($E1750,Section_Master!$A$2:$A$477,0))&amp;"","")</f>
        <v>No</v>
      </c>
      <c r="J1750" s="10" t="s">
        <v>55</v>
      </c>
      <c r="K1750" s="8" t="s">
        <v>4127</v>
      </c>
    </row>
    <row r="1751" customFormat="false" ht="23.25" hidden="false" customHeight="true" outlineLevel="0" collapsed="false">
      <c r="A1751" s="10" t="s">
        <v>4132</v>
      </c>
      <c r="B1751" s="10" t="s">
        <v>45</v>
      </c>
      <c r="C1751" s="8" t="s">
        <v>4125</v>
      </c>
      <c r="D1751" s="8" t="s">
        <v>4133</v>
      </c>
      <c r="E1751" s="11" t="n">
        <v>292</v>
      </c>
      <c r="F1751" s="8" t="str">
        <f aca="false">IFERROR(INDEX(Section_Master!$D$2:$D$477,MATCH($E1751,Section_Master!$A$2:$A$477,0))&amp;"","")</f>
        <v>Fine</v>
      </c>
      <c r="G1751" s="10" t="str">
        <f aca="false">IFERROR(INDEX(Section_Master!$E$2:$E$477,MATCH($E1751,Section_Master!$A$2:$A$477,0))&amp;"","")</f>
        <v>No</v>
      </c>
      <c r="H1751" s="10" t="str">
        <f aca="false">IFERROR(INDEX(Section_Master!$F$2:$F$477,MATCH($E1751,Section_Master!$A$2:$A$477,0))&amp;"","")</f>
        <v>Yes</v>
      </c>
      <c r="I1751" s="10" t="str">
        <f aca="false">IFERROR(INDEX(Section_Master!$G$2:$G$477,MATCH($E1751,Section_Master!$A$2:$A$477,0))&amp;"","")</f>
        <v>No</v>
      </c>
      <c r="J1751" s="10" t="s">
        <v>58</v>
      </c>
      <c r="K1751" s="8" t="s">
        <v>4127</v>
      </c>
    </row>
    <row r="1752" customFormat="false" ht="34.5" hidden="false" customHeight="true" outlineLevel="0" collapsed="false">
      <c r="A1752" s="10" t="s">
        <v>4134</v>
      </c>
      <c r="B1752" s="10" t="s">
        <v>45</v>
      </c>
      <c r="C1752" s="8" t="s">
        <v>4125</v>
      </c>
      <c r="D1752" s="8" t="s">
        <v>4135</v>
      </c>
      <c r="E1752" s="11" t="n">
        <v>292</v>
      </c>
      <c r="F1752" s="8" t="str">
        <f aca="false">IFERROR(INDEX(Section_Master!$D$2:$D$477,MATCH($E1752,Section_Master!$A$2:$A$477,0))&amp;"","")</f>
        <v>Fine</v>
      </c>
      <c r="G1752" s="10" t="str">
        <f aca="false">IFERROR(INDEX(Section_Master!$E$2:$E$477,MATCH($E1752,Section_Master!$A$2:$A$477,0))&amp;"","")</f>
        <v>No</v>
      </c>
      <c r="H1752" s="10" t="str">
        <f aca="false">IFERROR(INDEX(Section_Master!$F$2:$F$477,MATCH($E1752,Section_Master!$A$2:$A$477,0))&amp;"","")</f>
        <v>Yes</v>
      </c>
      <c r="I1752" s="10" t="str">
        <f aca="false">IFERROR(INDEX(Section_Master!$G$2:$G$477,MATCH($E1752,Section_Master!$A$2:$A$477,0))&amp;"","")</f>
        <v>No</v>
      </c>
      <c r="J1752" s="10" t="s">
        <v>61</v>
      </c>
      <c r="K1752" s="8" t="s">
        <v>4127</v>
      </c>
    </row>
    <row r="1753" customFormat="false" ht="34.5" hidden="false" customHeight="true" outlineLevel="0" collapsed="false">
      <c r="A1753" s="10" t="s">
        <v>4136</v>
      </c>
      <c r="B1753" s="10" t="s">
        <v>45</v>
      </c>
      <c r="C1753" s="8" t="s">
        <v>4125</v>
      </c>
      <c r="D1753" s="8" t="s">
        <v>4137</v>
      </c>
      <c r="E1753" s="11" t="n">
        <v>292</v>
      </c>
      <c r="F1753" s="8" t="str">
        <f aca="false">IFERROR(INDEX(Section_Master!$D$2:$D$477,MATCH($E1753,Section_Master!$A$2:$A$477,0))&amp;"","")</f>
        <v>Fine</v>
      </c>
      <c r="G1753" s="10" t="str">
        <f aca="false">IFERROR(INDEX(Section_Master!$E$2:$E$477,MATCH($E1753,Section_Master!$A$2:$A$477,0))&amp;"","")</f>
        <v>No</v>
      </c>
      <c r="H1753" s="10" t="str">
        <f aca="false">IFERROR(INDEX(Section_Master!$F$2:$F$477,MATCH($E1753,Section_Master!$A$2:$A$477,0))&amp;"","")</f>
        <v>Yes</v>
      </c>
      <c r="I1753" s="10" t="str">
        <f aca="false">IFERROR(INDEX(Section_Master!$G$2:$G$477,MATCH($E1753,Section_Master!$A$2:$A$477,0))&amp;"","")</f>
        <v>No</v>
      </c>
      <c r="J1753" s="10" t="s">
        <v>64</v>
      </c>
      <c r="K1753" s="8" t="s">
        <v>4127</v>
      </c>
    </row>
    <row r="1754" customFormat="false" ht="34.5" hidden="false" customHeight="true" outlineLevel="0" collapsed="false">
      <c r="A1754" s="10" t="s">
        <v>4138</v>
      </c>
      <c r="B1754" s="10" t="s">
        <v>45</v>
      </c>
      <c r="C1754" s="8" t="s">
        <v>4139</v>
      </c>
      <c r="D1754" s="8" t="s">
        <v>4140</v>
      </c>
      <c r="E1754" s="11" t="n">
        <v>293</v>
      </c>
      <c r="F1754" s="8" t="str">
        <f aca="false">IFERROR(INDEX(Section_Master!$D$2:$D$477,MATCH($E1754,Section_Master!$A$2:$A$477,0))&amp;"","")</f>
        <v>Imprisonment up to 6 months, or fine, or both</v>
      </c>
      <c r="G1754" s="10" t="str">
        <f aca="false">IFERROR(INDEX(Section_Master!$E$2:$E$477,MATCH($E1754,Section_Master!$A$2:$A$477,0))&amp;"","")</f>
        <v>No</v>
      </c>
      <c r="H1754" s="10" t="str">
        <f aca="false">IFERROR(INDEX(Section_Master!$F$2:$F$477,MATCH($E1754,Section_Master!$A$2:$A$477,0))&amp;"","")</f>
        <v>Yes</v>
      </c>
      <c r="I1754" s="10" t="str">
        <f aca="false">IFERROR(INDEX(Section_Master!$G$2:$G$477,MATCH($E1754,Section_Master!$A$2:$A$477,0))&amp;"","")</f>
        <v>No</v>
      </c>
      <c r="J1754" s="10" t="s">
        <v>48</v>
      </c>
      <c r="K1754" s="8" t="s">
        <v>4141</v>
      </c>
    </row>
    <row r="1755" customFormat="false" ht="34.5" hidden="false" customHeight="true" outlineLevel="0" collapsed="false">
      <c r="A1755" s="10" t="s">
        <v>4142</v>
      </c>
      <c r="B1755" s="10" t="s">
        <v>45</v>
      </c>
      <c r="C1755" s="8" t="s">
        <v>4139</v>
      </c>
      <c r="D1755" s="8" t="s">
        <v>4143</v>
      </c>
      <c r="E1755" s="11" t="n">
        <v>293</v>
      </c>
      <c r="F1755" s="8" t="str">
        <f aca="false">IFERROR(INDEX(Section_Master!$D$2:$D$477,MATCH($E1755,Section_Master!$A$2:$A$477,0))&amp;"","")</f>
        <v>Imprisonment up to 6 months, or fine, or both</v>
      </c>
      <c r="G1755" s="10" t="str">
        <f aca="false">IFERROR(INDEX(Section_Master!$E$2:$E$477,MATCH($E1755,Section_Master!$A$2:$A$477,0))&amp;"","")</f>
        <v>No</v>
      </c>
      <c r="H1755" s="10" t="str">
        <f aca="false">IFERROR(INDEX(Section_Master!$F$2:$F$477,MATCH($E1755,Section_Master!$A$2:$A$477,0))&amp;"","")</f>
        <v>Yes</v>
      </c>
      <c r="I1755" s="10" t="str">
        <f aca="false">IFERROR(INDEX(Section_Master!$G$2:$G$477,MATCH($E1755,Section_Master!$A$2:$A$477,0))&amp;"","")</f>
        <v>No</v>
      </c>
      <c r="J1755" s="10" t="s">
        <v>52</v>
      </c>
      <c r="K1755" s="8" t="s">
        <v>4141</v>
      </c>
    </row>
    <row r="1756" customFormat="false" ht="34.5" hidden="false" customHeight="true" outlineLevel="0" collapsed="false">
      <c r="A1756" s="10" t="s">
        <v>4144</v>
      </c>
      <c r="B1756" s="10" t="s">
        <v>45</v>
      </c>
      <c r="C1756" s="8" t="s">
        <v>4139</v>
      </c>
      <c r="D1756" s="8" t="s">
        <v>4145</v>
      </c>
      <c r="E1756" s="11" t="n">
        <v>293</v>
      </c>
      <c r="F1756" s="8" t="str">
        <f aca="false">IFERROR(INDEX(Section_Master!$D$2:$D$477,MATCH($E1756,Section_Master!$A$2:$A$477,0))&amp;"","")</f>
        <v>Imprisonment up to 6 months, or fine, or both</v>
      </c>
      <c r="G1756" s="10" t="str">
        <f aca="false">IFERROR(INDEX(Section_Master!$E$2:$E$477,MATCH($E1756,Section_Master!$A$2:$A$477,0))&amp;"","")</f>
        <v>No</v>
      </c>
      <c r="H1756" s="10" t="str">
        <f aca="false">IFERROR(INDEX(Section_Master!$F$2:$F$477,MATCH($E1756,Section_Master!$A$2:$A$477,0))&amp;"","")</f>
        <v>Yes</v>
      </c>
      <c r="I1756" s="10" t="str">
        <f aca="false">IFERROR(INDEX(Section_Master!$G$2:$G$477,MATCH($E1756,Section_Master!$A$2:$A$477,0))&amp;"","")</f>
        <v>No</v>
      </c>
      <c r="J1756" s="10" t="s">
        <v>55</v>
      </c>
      <c r="K1756" s="8" t="s">
        <v>4141</v>
      </c>
    </row>
    <row r="1757" customFormat="false" ht="23.25" hidden="false" customHeight="true" outlineLevel="0" collapsed="false">
      <c r="A1757" s="10" t="s">
        <v>4146</v>
      </c>
      <c r="B1757" s="10" t="s">
        <v>45</v>
      </c>
      <c r="C1757" s="8" t="s">
        <v>4139</v>
      </c>
      <c r="D1757" s="8" t="s">
        <v>4147</v>
      </c>
      <c r="E1757" s="11" t="n">
        <v>293</v>
      </c>
      <c r="F1757" s="8" t="str">
        <f aca="false">IFERROR(INDEX(Section_Master!$D$2:$D$477,MATCH($E1757,Section_Master!$A$2:$A$477,0))&amp;"","")</f>
        <v>Imprisonment up to 6 months, or fine, or both</v>
      </c>
      <c r="G1757" s="10" t="str">
        <f aca="false">IFERROR(INDEX(Section_Master!$E$2:$E$477,MATCH($E1757,Section_Master!$A$2:$A$477,0))&amp;"","")</f>
        <v>No</v>
      </c>
      <c r="H1757" s="10" t="str">
        <f aca="false">IFERROR(INDEX(Section_Master!$F$2:$F$477,MATCH($E1757,Section_Master!$A$2:$A$477,0))&amp;"","")</f>
        <v>Yes</v>
      </c>
      <c r="I1757" s="10" t="str">
        <f aca="false">IFERROR(INDEX(Section_Master!$G$2:$G$477,MATCH($E1757,Section_Master!$A$2:$A$477,0))&amp;"","")</f>
        <v>No</v>
      </c>
      <c r="J1757" s="10" t="s">
        <v>58</v>
      </c>
      <c r="K1757" s="8" t="s">
        <v>4141</v>
      </c>
    </row>
    <row r="1758" customFormat="false" ht="23.25" hidden="false" customHeight="true" outlineLevel="0" collapsed="false">
      <c r="A1758" s="10" t="s">
        <v>4148</v>
      </c>
      <c r="B1758" s="10" t="s">
        <v>45</v>
      </c>
      <c r="C1758" s="8" t="s">
        <v>4139</v>
      </c>
      <c r="D1758" s="8" t="s">
        <v>4149</v>
      </c>
      <c r="E1758" s="11" t="n">
        <v>293</v>
      </c>
      <c r="F1758" s="8" t="str">
        <f aca="false">IFERROR(INDEX(Section_Master!$D$2:$D$477,MATCH($E1758,Section_Master!$A$2:$A$477,0))&amp;"","")</f>
        <v>Imprisonment up to 6 months, or fine, or both</v>
      </c>
      <c r="G1758" s="10" t="str">
        <f aca="false">IFERROR(INDEX(Section_Master!$E$2:$E$477,MATCH($E1758,Section_Master!$A$2:$A$477,0))&amp;"","")</f>
        <v>No</v>
      </c>
      <c r="H1758" s="10" t="str">
        <f aca="false">IFERROR(INDEX(Section_Master!$F$2:$F$477,MATCH($E1758,Section_Master!$A$2:$A$477,0))&amp;"","")</f>
        <v>Yes</v>
      </c>
      <c r="I1758" s="10" t="str">
        <f aca="false">IFERROR(INDEX(Section_Master!$G$2:$G$477,MATCH($E1758,Section_Master!$A$2:$A$477,0))&amp;"","")</f>
        <v>No</v>
      </c>
      <c r="J1758" s="10" t="s">
        <v>61</v>
      </c>
      <c r="K1758" s="8" t="s">
        <v>4141</v>
      </c>
    </row>
    <row r="1759" customFormat="false" ht="34.5" hidden="false" customHeight="true" outlineLevel="0" collapsed="false">
      <c r="A1759" s="10" t="s">
        <v>4150</v>
      </c>
      <c r="B1759" s="10" t="s">
        <v>45</v>
      </c>
      <c r="C1759" s="8" t="s">
        <v>4139</v>
      </c>
      <c r="D1759" s="8" t="s">
        <v>4151</v>
      </c>
      <c r="E1759" s="11" t="n">
        <v>293</v>
      </c>
      <c r="F1759" s="8" t="str">
        <f aca="false">IFERROR(INDEX(Section_Master!$D$2:$D$477,MATCH($E1759,Section_Master!$A$2:$A$477,0))&amp;"","")</f>
        <v>Imprisonment up to 6 months, or fine, or both</v>
      </c>
      <c r="G1759" s="10" t="str">
        <f aca="false">IFERROR(INDEX(Section_Master!$E$2:$E$477,MATCH($E1759,Section_Master!$A$2:$A$477,0))&amp;"","")</f>
        <v>No</v>
      </c>
      <c r="H1759" s="10" t="str">
        <f aca="false">IFERROR(INDEX(Section_Master!$F$2:$F$477,MATCH($E1759,Section_Master!$A$2:$A$477,0))&amp;"","")</f>
        <v>Yes</v>
      </c>
      <c r="I1759" s="10" t="str">
        <f aca="false">IFERROR(INDEX(Section_Master!$G$2:$G$477,MATCH($E1759,Section_Master!$A$2:$A$477,0))&amp;"","")</f>
        <v>No</v>
      </c>
      <c r="J1759" s="10" t="s">
        <v>64</v>
      </c>
      <c r="K1759" s="8" t="s">
        <v>4141</v>
      </c>
    </row>
    <row r="1760" customFormat="false" ht="23.25" hidden="false" customHeight="true" outlineLevel="0" collapsed="false">
      <c r="A1760" s="10" t="s">
        <v>4152</v>
      </c>
      <c r="B1760" s="10" t="s">
        <v>45</v>
      </c>
      <c r="C1760" s="8" t="s">
        <v>4153</v>
      </c>
      <c r="D1760" s="8" t="s">
        <v>4154</v>
      </c>
      <c r="E1760" s="11" t="n">
        <v>294</v>
      </c>
      <c r="F1760" s="8" t="str">
        <f aca="false">IFERROR(INDEX(Section_Master!$D$2:$D$477,MATCH($E1760,Section_Master!$A$2:$A$477,0))&amp;"","")</f>
        <v>First conviction: up to 2 years and fine; repeat conviction: up to 5 years and fine [s.294]</v>
      </c>
      <c r="G1760" s="10" t="str">
        <f aca="false">IFERROR(INDEX(Section_Master!$E$2:$E$477,MATCH($E1760,Section_Master!$A$2:$A$477,0))&amp;"","")</f>
        <v>Yes</v>
      </c>
      <c r="H1760" s="10" t="str">
        <f aca="false">IFERROR(INDEX(Section_Master!$F$2:$F$477,MATCH($E1760,Section_Master!$A$2:$A$477,0))&amp;"","")</f>
        <v>Yes (first conviction); No (repeat)</v>
      </c>
      <c r="I1760" s="10" t="str">
        <f aca="false">IFERROR(INDEX(Section_Master!$G$2:$G$477,MATCH($E1760,Section_Master!$A$2:$A$477,0))&amp;"","")</f>
        <v>No</v>
      </c>
      <c r="J1760" s="10" t="s">
        <v>48</v>
      </c>
      <c r="K1760" s="8" t="s">
        <v>4155</v>
      </c>
    </row>
    <row r="1761" customFormat="false" ht="34.5" hidden="false" customHeight="true" outlineLevel="0" collapsed="false">
      <c r="A1761" s="10" t="s">
        <v>4156</v>
      </c>
      <c r="B1761" s="10" t="s">
        <v>45</v>
      </c>
      <c r="C1761" s="8" t="s">
        <v>4153</v>
      </c>
      <c r="D1761" s="8" t="s">
        <v>4157</v>
      </c>
      <c r="E1761" s="11" t="n">
        <v>294</v>
      </c>
      <c r="F1761" s="8" t="str">
        <f aca="false">IFERROR(INDEX(Section_Master!$D$2:$D$477,MATCH($E1761,Section_Master!$A$2:$A$477,0))&amp;"","")</f>
        <v>First conviction: up to 2 years and fine; repeat conviction: up to 5 years and fine [s.294]</v>
      </c>
      <c r="G1761" s="10" t="str">
        <f aca="false">IFERROR(INDEX(Section_Master!$E$2:$E$477,MATCH($E1761,Section_Master!$A$2:$A$477,0))&amp;"","")</f>
        <v>Yes</v>
      </c>
      <c r="H1761" s="10" t="str">
        <f aca="false">IFERROR(INDEX(Section_Master!$F$2:$F$477,MATCH($E1761,Section_Master!$A$2:$A$477,0))&amp;"","")</f>
        <v>Yes (first conviction); No (repeat)</v>
      </c>
      <c r="I1761" s="10" t="str">
        <f aca="false">IFERROR(INDEX(Section_Master!$G$2:$G$477,MATCH($E1761,Section_Master!$A$2:$A$477,0))&amp;"","")</f>
        <v>No</v>
      </c>
      <c r="J1761" s="10" t="s">
        <v>52</v>
      </c>
      <c r="K1761" s="8" t="s">
        <v>4155</v>
      </c>
    </row>
    <row r="1762" customFormat="false" ht="34.5" hidden="false" customHeight="true" outlineLevel="0" collapsed="false">
      <c r="A1762" s="10" t="s">
        <v>4158</v>
      </c>
      <c r="B1762" s="10" t="s">
        <v>45</v>
      </c>
      <c r="C1762" s="8" t="s">
        <v>4153</v>
      </c>
      <c r="D1762" s="8" t="s">
        <v>4159</v>
      </c>
      <c r="E1762" s="11" t="n">
        <v>294</v>
      </c>
      <c r="F1762" s="8" t="str">
        <f aca="false">IFERROR(INDEX(Section_Master!$D$2:$D$477,MATCH($E1762,Section_Master!$A$2:$A$477,0))&amp;"","")</f>
        <v>First conviction: up to 2 years and fine; repeat conviction: up to 5 years and fine [s.294]</v>
      </c>
      <c r="G1762" s="10" t="str">
        <f aca="false">IFERROR(INDEX(Section_Master!$E$2:$E$477,MATCH($E1762,Section_Master!$A$2:$A$477,0))&amp;"","")</f>
        <v>Yes</v>
      </c>
      <c r="H1762" s="10" t="str">
        <f aca="false">IFERROR(INDEX(Section_Master!$F$2:$F$477,MATCH($E1762,Section_Master!$A$2:$A$477,0))&amp;"","")</f>
        <v>Yes (first conviction); No (repeat)</v>
      </c>
      <c r="I1762" s="10" t="str">
        <f aca="false">IFERROR(INDEX(Section_Master!$G$2:$G$477,MATCH($E1762,Section_Master!$A$2:$A$477,0))&amp;"","")</f>
        <v>No</v>
      </c>
      <c r="J1762" s="10" t="s">
        <v>55</v>
      </c>
      <c r="K1762" s="8" t="s">
        <v>4155</v>
      </c>
    </row>
    <row r="1763" customFormat="false" ht="34.5" hidden="false" customHeight="true" outlineLevel="0" collapsed="false">
      <c r="A1763" s="10" t="s">
        <v>4160</v>
      </c>
      <c r="B1763" s="10" t="s">
        <v>45</v>
      </c>
      <c r="C1763" s="8" t="s">
        <v>4153</v>
      </c>
      <c r="D1763" s="8" t="s">
        <v>4161</v>
      </c>
      <c r="E1763" s="11" t="n">
        <v>294</v>
      </c>
      <c r="F1763" s="8" t="str">
        <f aca="false">IFERROR(INDEX(Section_Master!$D$2:$D$477,MATCH($E1763,Section_Master!$A$2:$A$477,0))&amp;"","")</f>
        <v>First conviction: up to 2 years and fine; repeat conviction: up to 5 years and fine [s.294]</v>
      </c>
      <c r="G1763" s="10" t="str">
        <f aca="false">IFERROR(INDEX(Section_Master!$E$2:$E$477,MATCH($E1763,Section_Master!$A$2:$A$477,0))&amp;"","")</f>
        <v>Yes</v>
      </c>
      <c r="H1763" s="10" t="str">
        <f aca="false">IFERROR(INDEX(Section_Master!$F$2:$F$477,MATCH($E1763,Section_Master!$A$2:$A$477,0))&amp;"","")</f>
        <v>Yes (first conviction); No (repeat)</v>
      </c>
      <c r="I1763" s="10" t="str">
        <f aca="false">IFERROR(INDEX(Section_Master!$G$2:$G$477,MATCH($E1763,Section_Master!$A$2:$A$477,0))&amp;"","")</f>
        <v>No</v>
      </c>
      <c r="J1763" s="10" t="s">
        <v>58</v>
      </c>
      <c r="K1763" s="8" t="s">
        <v>4155</v>
      </c>
    </row>
    <row r="1764" customFormat="false" ht="34.5" hidden="false" customHeight="true" outlineLevel="0" collapsed="false">
      <c r="A1764" s="10" t="s">
        <v>4162</v>
      </c>
      <c r="B1764" s="10" t="s">
        <v>45</v>
      </c>
      <c r="C1764" s="8" t="s">
        <v>4153</v>
      </c>
      <c r="D1764" s="8" t="s">
        <v>4163</v>
      </c>
      <c r="E1764" s="11" t="n">
        <v>294</v>
      </c>
      <c r="F1764" s="8" t="str">
        <f aca="false">IFERROR(INDEX(Section_Master!$D$2:$D$477,MATCH($E1764,Section_Master!$A$2:$A$477,0))&amp;"","")</f>
        <v>First conviction: up to 2 years and fine; repeat conviction: up to 5 years and fine [s.294]</v>
      </c>
      <c r="G1764" s="10" t="str">
        <f aca="false">IFERROR(INDEX(Section_Master!$E$2:$E$477,MATCH($E1764,Section_Master!$A$2:$A$477,0))&amp;"","")</f>
        <v>Yes</v>
      </c>
      <c r="H1764" s="10" t="str">
        <f aca="false">IFERROR(INDEX(Section_Master!$F$2:$F$477,MATCH($E1764,Section_Master!$A$2:$A$477,0))&amp;"","")</f>
        <v>Yes (first conviction); No (repeat)</v>
      </c>
      <c r="I1764" s="10" t="str">
        <f aca="false">IFERROR(INDEX(Section_Master!$G$2:$G$477,MATCH($E1764,Section_Master!$A$2:$A$477,0))&amp;"","")</f>
        <v>No</v>
      </c>
      <c r="J1764" s="10" t="s">
        <v>61</v>
      </c>
      <c r="K1764" s="8" t="s">
        <v>4155</v>
      </c>
    </row>
    <row r="1765" customFormat="false" ht="34.5" hidden="false" customHeight="true" outlineLevel="0" collapsed="false">
      <c r="A1765" s="10" t="s">
        <v>4164</v>
      </c>
      <c r="B1765" s="10" t="s">
        <v>45</v>
      </c>
      <c r="C1765" s="8" t="s">
        <v>4153</v>
      </c>
      <c r="D1765" s="8" t="s">
        <v>4165</v>
      </c>
      <c r="E1765" s="11" t="n">
        <v>294</v>
      </c>
      <c r="F1765" s="8" t="str">
        <f aca="false">IFERROR(INDEX(Section_Master!$D$2:$D$477,MATCH($E1765,Section_Master!$A$2:$A$477,0))&amp;"","")</f>
        <v>First conviction: up to 2 years and fine; repeat conviction: up to 5 years and fine [s.294]</v>
      </c>
      <c r="G1765" s="10" t="str">
        <f aca="false">IFERROR(INDEX(Section_Master!$E$2:$E$477,MATCH($E1765,Section_Master!$A$2:$A$477,0))&amp;"","")</f>
        <v>Yes</v>
      </c>
      <c r="H1765" s="10" t="str">
        <f aca="false">IFERROR(INDEX(Section_Master!$F$2:$F$477,MATCH($E1765,Section_Master!$A$2:$A$477,0))&amp;"","")</f>
        <v>Yes (first conviction); No (repeat)</v>
      </c>
      <c r="I1765" s="10" t="str">
        <f aca="false">IFERROR(INDEX(Section_Master!$G$2:$G$477,MATCH($E1765,Section_Master!$A$2:$A$477,0))&amp;"","")</f>
        <v>No</v>
      </c>
      <c r="J1765" s="10" t="s">
        <v>64</v>
      </c>
      <c r="K1765" s="8" t="s">
        <v>4155</v>
      </c>
    </row>
    <row r="1766" customFormat="false" ht="34.5" hidden="false" customHeight="true" outlineLevel="0" collapsed="false">
      <c r="A1766" s="10" t="s">
        <v>4166</v>
      </c>
      <c r="B1766" s="10" t="s">
        <v>45</v>
      </c>
      <c r="C1766" s="8" t="s">
        <v>4167</v>
      </c>
      <c r="D1766" s="8" t="s">
        <v>4168</v>
      </c>
      <c r="E1766" s="11" t="n">
        <v>295</v>
      </c>
      <c r="F1766" s="8" t="str">
        <f aca="false">IFERROR(INDEX(Section_Master!$D$2:$D$477,MATCH($E1766,Section_Master!$A$2:$A$477,0))&amp;"","")</f>
        <v>First conviction: up to 3 years and fine; repeat conviction: up to 7 years and fine [s.295]</v>
      </c>
      <c r="G1766" s="10" t="str">
        <f aca="false">IFERROR(INDEX(Section_Master!$E$2:$E$477,MATCH($E1766,Section_Master!$A$2:$A$477,0))&amp;"","")</f>
        <v>Yes</v>
      </c>
      <c r="H1766" s="10" t="str">
        <f aca="false">IFERROR(INDEX(Section_Master!$F$2:$F$477,MATCH($E1766,Section_Master!$A$2:$A$477,0))&amp;"","")</f>
        <v>Yes (first conviction); No (repeat)</v>
      </c>
      <c r="I1766" s="10" t="str">
        <f aca="false">IFERROR(INDEX(Section_Master!$G$2:$G$477,MATCH($E1766,Section_Master!$A$2:$A$477,0))&amp;"","")</f>
        <v>No</v>
      </c>
      <c r="J1766" s="10" t="s">
        <v>48</v>
      </c>
      <c r="K1766" s="8" t="s">
        <v>4169</v>
      </c>
    </row>
    <row r="1767" customFormat="false" ht="34.5" hidden="false" customHeight="true" outlineLevel="0" collapsed="false">
      <c r="A1767" s="10" t="s">
        <v>4170</v>
      </c>
      <c r="B1767" s="10" t="s">
        <v>45</v>
      </c>
      <c r="C1767" s="8" t="s">
        <v>4167</v>
      </c>
      <c r="D1767" s="8" t="s">
        <v>4171</v>
      </c>
      <c r="E1767" s="11" t="n">
        <v>295</v>
      </c>
      <c r="F1767" s="8" t="str">
        <f aca="false">IFERROR(INDEX(Section_Master!$D$2:$D$477,MATCH($E1767,Section_Master!$A$2:$A$477,0))&amp;"","")</f>
        <v>First conviction: up to 3 years and fine; repeat conviction: up to 7 years and fine [s.295]</v>
      </c>
      <c r="G1767" s="10" t="str">
        <f aca="false">IFERROR(INDEX(Section_Master!$E$2:$E$477,MATCH($E1767,Section_Master!$A$2:$A$477,0))&amp;"","")</f>
        <v>Yes</v>
      </c>
      <c r="H1767" s="10" t="str">
        <f aca="false">IFERROR(INDEX(Section_Master!$F$2:$F$477,MATCH($E1767,Section_Master!$A$2:$A$477,0))&amp;"","")</f>
        <v>Yes (first conviction); No (repeat)</v>
      </c>
      <c r="I1767" s="10" t="str">
        <f aca="false">IFERROR(INDEX(Section_Master!$G$2:$G$477,MATCH($E1767,Section_Master!$A$2:$A$477,0))&amp;"","")</f>
        <v>No</v>
      </c>
      <c r="J1767" s="10" t="s">
        <v>52</v>
      </c>
      <c r="K1767" s="8" t="s">
        <v>4169</v>
      </c>
    </row>
    <row r="1768" customFormat="false" ht="34.5" hidden="false" customHeight="true" outlineLevel="0" collapsed="false">
      <c r="A1768" s="10" t="s">
        <v>4172</v>
      </c>
      <c r="B1768" s="10" t="s">
        <v>45</v>
      </c>
      <c r="C1768" s="8" t="s">
        <v>4167</v>
      </c>
      <c r="D1768" s="8" t="s">
        <v>4173</v>
      </c>
      <c r="E1768" s="11" t="n">
        <v>295</v>
      </c>
      <c r="F1768" s="8" t="str">
        <f aca="false">IFERROR(INDEX(Section_Master!$D$2:$D$477,MATCH($E1768,Section_Master!$A$2:$A$477,0))&amp;"","")</f>
        <v>First conviction: up to 3 years and fine; repeat conviction: up to 7 years and fine [s.295]</v>
      </c>
      <c r="G1768" s="10" t="str">
        <f aca="false">IFERROR(INDEX(Section_Master!$E$2:$E$477,MATCH($E1768,Section_Master!$A$2:$A$477,0))&amp;"","")</f>
        <v>Yes</v>
      </c>
      <c r="H1768" s="10" t="str">
        <f aca="false">IFERROR(INDEX(Section_Master!$F$2:$F$477,MATCH($E1768,Section_Master!$A$2:$A$477,0))&amp;"","")</f>
        <v>Yes (first conviction); No (repeat)</v>
      </c>
      <c r="I1768" s="10" t="str">
        <f aca="false">IFERROR(INDEX(Section_Master!$G$2:$G$477,MATCH($E1768,Section_Master!$A$2:$A$477,0))&amp;"","")</f>
        <v>No</v>
      </c>
      <c r="J1768" s="10" t="s">
        <v>55</v>
      </c>
      <c r="K1768" s="8" t="s">
        <v>4169</v>
      </c>
    </row>
    <row r="1769" customFormat="false" ht="23.25" hidden="false" customHeight="true" outlineLevel="0" collapsed="false">
      <c r="A1769" s="10" t="s">
        <v>4174</v>
      </c>
      <c r="B1769" s="10" t="s">
        <v>45</v>
      </c>
      <c r="C1769" s="8" t="s">
        <v>4167</v>
      </c>
      <c r="D1769" s="8" t="s">
        <v>4175</v>
      </c>
      <c r="E1769" s="11" t="n">
        <v>295</v>
      </c>
      <c r="F1769" s="8" t="str">
        <f aca="false">IFERROR(INDEX(Section_Master!$D$2:$D$477,MATCH($E1769,Section_Master!$A$2:$A$477,0))&amp;"","")</f>
        <v>First conviction: up to 3 years and fine; repeat conviction: up to 7 years and fine [s.295]</v>
      </c>
      <c r="G1769" s="10" t="str">
        <f aca="false">IFERROR(INDEX(Section_Master!$E$2:$E$477,MATCH($E1769,Section_Master!$A$2:$A$477,0))&amp;"","")</f>
        <v>Yes</v>
      </c>
      <c r="H1769" s="10" t="str">
        <f aca="false">IFERROR(INDEX(Section_Master!$F$2:$F$477,MATCH($E1769,Section_Master!$A$2:$A$477,0))&amp;"","")</f>
        <v>Yes (first conviction); No (repeat)</v>
      </c>
      <c r="I1769" s="10" t="str">
        <f aca="false">IFERROR(INDEX(Section_Master!$G$2:$G$477,MATCH($E1769,Section_Master!$A$2:$A$477,0))&amp;"","")</f>
        <v>No</v>
      </c>
      <c r="J1769" s="10" t="s">
        <v>58</v>
      </c>
      <c r="K1769" s="8" t="s">
        <v>4169</v>
      </c>
    </row>
    <row r="1770" customFormat="false" ht="34.5" hidden="false" customHeight="true" outlineLevel="0" collapsed="false">
      <c r="A1770" s="10" t="s">
        <v>4176</v>
      </c>
      <c r="B1770" s="10" t="s">
        <v>45</v>
      </c>
      <c r="C1770" s="8" t="s">
        <v>4167</v>
      </c>
      <c r="D1770" s="8" t="s">
        <v>4177</v>
      </c>
      <c r="E1770" s="11" t="n">
        <v>295</v>
      </c>
      <c r="F1770" s="8" t="str">
        <f aca="false">IFERROR(INDEX(Section_Master!$D$2:$D$477,MATCH($E1770,Section_Master!$A$2:$A$477,0))&amp;"","")</f>
        <v>First conviction: up to 3 years and fine; repeat conviction: up to 7 years and fine [s.295]</v>
      </c>
      <c r="G1770" s="10" t="str">
        <f aca="false">IFERROR(INDEX(Section_Master!$E$2:$E$477,MATCH($E1770,Section_Master!$A$2:$A$477,0))&amp;"","")</f>
        <v>Yes</v>
      </c>
      <c r="H1770" s="10" t="str">
        <f aca="false">IFERROR(INDEX(Section_Master!$F$2:$F$477,MATCH($E1770,Section_Master!$A$2:$A$477,0))&amp;"","")</f>
        <v>Yes (first conviction); No (repeat)</v>
      </c>
      <c r="I1770" s="10" t="str">
        <f aca="false">IFERROR(INDEX(Section_Master!$G$2:$G$477,MATCH($E1770,Section_Master!$A$2:$A$477,0))&amp;"","")</f>
        <v>No</v>
      </c>
      <c r="J1770" s="10" t="s">
        <v>61</v>
      </c>
      <c r="K1770" s="8" t="s">
        <v>4169</v>
      </c>
    </row>
    <row r="1771" customFormat="false" ht="34.5" hidden="false" customHeight="true" outlineLevel="0" collapsed="false">
      <c r="A1771" s="10" t="s">
        <v>4178</v>
      </c>
      <c r="B1771" s="10" t="s">
        <v>45</v>
      </c>
      <c r="C1771" s="8" t="s">
        <v>4167</v>
      </c>
      <c r="D1771" s="8" t="s">
        <v>4179</v>
      </c>
      <c r="E1771" s="11" t="n">
        <v>295</v>
      </c>
      <c r="F1771" s="8" t="str">
        <f aca="false">IFERROR(INDEX(Section_Master!$D$2:$D$477,MATCH($E1771,Section_Master!$A$2:$A$477,0))&amp;"","")</f>
        <v>First conviction: up to 3 years and fine; repeat conviction: up to 7 years and fine [s.295]</v>
      </c>
      <c r="G1771" s="10" t="str">
        <f aca="false">IFERROR(INDEX(Section_Master!$E$2:$E$477,MATCH($E1771,Section_Master!$A$2:$A$477,0))&amp;"","")</f>
        <v>Yes</v>
      </c>
      <c r="H1771" s="10" t="str">
        <f aca="false">IFERROR(INDEX(Section_Master!$F$2:$F$477,MATCH($E1771,Section_Master!$A$2:$A$477,0))&amp;"","")</f>
        <v>Yes (first conviction); No (repeat)</v>
      </c>
      <c r="I1771" s="10" t="str">
        <f aca="false">IFERROR(INDEX(Section_Master!$G$2:$G$477,MATCH($E1771,Section_Master!$A$2:$A$477,0))&amp;"","")</f>
        <v>No</v>
      </c>
      <c r="J1771" s="10" t="s">
        <v>64</v>
      </c>
      <c r="K1771" s="8" t="s">
        <v>4169</v>
      </c>
    </row>
    <row r="1772" customFormat="false" ht="34.5" hidden="false" customHeight="true" outlineLevel="0" collapsed="false">
      <c r="A1772" s="10" t="s">
        <v>4180</v>
      </c>
      <c r="B1772" s="10" t="s">
        <v>45</v>
      </c>
      <c r="C1772" s="8" t="s">
        <v>4181</v>
      </c>
      <c r="D1772" s="8" t="s">
        <v>4182</v>
      </c>
      <c r="E1772" s="11" t="n">
        <v>296</v>
      </c>
      <c r="F1772" s="8" t="str">
        <f aca="false">IFERROR(INDEX(Section_Master!$D$2:$D$477,MATCH($E1772,Section_Master!$A$2:$A$477,0))&amp;"","")</f>
        <v>Imprisonment up to 3 months, or fine, or both</v>
      </c>
      <c r="G1772" s="10" t="str">
        <f aca="false">IFERROR(INDEX(Section_Master!$E$2:$E$477,MATCH($E1772,Section_Master!$A$2:$A$477,0))&amp;"","")</f>
        <v>Yes</v>
      </c>
      <c r="H1772" s="10" t="str">
        <f aca="false">IFERROR(INDEX(Section_Master!$F$2:$F$477,MATCH($E1772,Section_Master!$A$2:$A$477,0))&amp;"","")</f>
        <v>Yes</v>
      </c>
      <c r="I1772" s="10" t="str">
        <f aca="false">IFERROR(INDEX(Section_Master!$G$2:$G$477,MATCH($E1772,Section_Master!$A$2:$A$477,0))&amp;"","")</f>
        <v>No</v>
      </c>
      <c r="J1772" s="10" t="s">
        <v>48</v>
      </c>
      <c r="K1772" s="8" t="s">
        <v>4183</v>
      </c>
    </row>
    <row r="1773" customFormat="false" ht="34.5" hidden="false" customHeight="true" outlineLevel="0" collapsed="false">
      <c r="A1773" s="10" t="s">
        <v>4184</v>
      </c>
      <c r="B1773" s="10" t="s">
        <v>45</v>
      </c>
      <c r="C1773" s="8" t="s">
        <v>4181</v>
      </c>
      <c r="D1773" s="8" t="s">
        <v>4185</v>
      </c>
      <c r="E1773" s="11" t="n">
        <v>296</v>
      </c>
      <c r="F1773" s="8" t="str">
        <f aca="false">IFERROR(INDEX(Section_Master!$D$2:$D$477,MATCH($E1773,Section_Master!$A$2:$A$477,0))&amp;"","")</f>
        <v>Imprisonment up to 3 months, or fine, or both</v>
      </c>
      <c r="G1773" s="10" t="str">
        <f aca="false">IFERROR(INDEX(Section_Master!$E$2:$E$477,MATCH($E1773,Section_Master!$A$2:$A$477,0))&amp;"","")</f>
        <v>Yes</v>
      </c>
      <c r="H1773" s="10" t="str">
        <f aca="false">IFERROR(INDEX(Section_Master!$F$2:$F$477,MATCH($E1773,Section_Master!$A$2:$A$477,0))&amp;"","")</f>
        <v>Yes</v>
      </c>
      <c r="I1773" s="10" t="str">
        <f aca="false">IFERROR(INDEX(Section_Master!$G$2:$G$477,MATCH($E1773,Section_Master!$A$2:$A$477,0))&amp;"","")</f>
        <v>No</v>
      </c>
      <c r="J1773" s="10" t="s">
        <v>52</v>
      </c>
      <c r="K1773" s="8" t="s">
        <v>4183</v>
      </c>
    </row>
    <row r="1774" customFormat="false" ht="34.5" hidden="false" customHeight="true" outlineLevel="0" collapsed="false">
      <c r="A1774" s="10" t="s">
        <v>4186</v>
      </c>
      <c r="B1774" s="10" t="s">
        <v>45</v>
      </c>
      <c r="C1774" s="8" t="s">
        <v>4181</v>
      </c>
      <c r="D1774" s="8" t="s">
        <v>4187</v>
      </c>
      <c r="E1774" s="11" t="n">
        <v>296</v>
      </c>
      <c r="F1774" s="8" t="str">
        <f aca="false">IFERROR(INDEX(Section_Master!$D$2:$D$477,MATCH($E1774,Section_Master!$A$2:$A$477,0))&amp;"","")</f>
        <v>Imprisonment up to 3 months, or fine, or both</v>
      </c>
      <c r="G1774" s="10" t="str">
        <f aca="false">IFERROR(INDEX(Section_Master!$E$2:$E$477,MATCH($E1774,Section_Master!$A$2:$A$477,0))&amp;"","")</f>
        <v>Yes</v>
      </c>
      <c r="H1774" s="10" t="str">
        <f aca="false">IFERROR(INDEX(Section_Master!$F$2:$F$477,MATCH($E1774,Section_Master!$A$2:$A$477,0))&amp;"","")</f>
        <v>Yes</v>
      </c>
      <c r="I1774" s="10" t="str">
        <f aca="false">IFERROR(INDEX(Section_Master!$G$2:$G$477,MATCH($E1774,Section_Master!$A$2:$A$477,0))&amp;"","")</f>
        <v>No</v>
      </c>
      <c r="J1774" s="10" t="s">
        <v>55</v>
      </c>
      <c r="K1774" s="8" t="s">
        <v>4183</v>
      </c>
    </row>
    <row r="1775" customFormat="false" ht="23.25" hidden="false" customHeight="true" outlineLevel="0" collapsed="false">
      <c r="A1775" s="10" t="s">
        <v>4188</v>
      </c>
      <c r="B1775" s="10" t="s">
        <v>45</v>
      </c>
      <c r="C1775" s="8" t="s">
        <v>4181</v>
      </c>
      <c r="D1775" s="8" t="s">
        <v>4189</v>
      </c>
      <c r="E1775" s="11" t="n">
        <v>296</v>
      </c>
      <c r="F1775" s="8" t="str">
        <f aca="false">IFERROR(INDEX(Section_Master!$D$2:$D$477,MATCH($E1775,Section_Master!$A$2:$A$477,0))&amp;"","")</f>
        <v>Imprisonment up to 3 months, or fine, or both</v>
      </c>
      <c r="G1775" s="10" t="str">
        <f aca="false">IFERROR(INDEX(Section_Master!$E$2:$E$477,MATCH($E1775,Section_Master!$A$2:$A$477,0))&amp;"","")</f>
        <v>Yes</v>
      </c>
      <c r="H1775" s="10" t="str">
        <f aca="false">IFERROR(INDEX(Section_Master!$F$2:$F$477,MATCH($E1775,Section_Master!$A$2:$A$477,0))&amp;"","")</f>
        <v>Yes</v>
      </c>
      <c r="I1775" s="10" t="str">
        <f aca="false">IFERROR(INDEX(Section_Master!$G$2:$G$477,MATCH($E1775,Section_Master!$A$2:$A$477,0))&amp;"","")</f>
        <v>No</v>
      </c>
      <c r="J1775" s="10" t="s">
        <v>58</v>
      </c>
      <c r="K1775" s="8" t="s">
        <v>4183</v>
      </c>
    </row>
    <row r="1776" customFormat="false" ht="34.5" hidden="false" customHeight="true" outlineLevel="0" collapsed="false">
      <c r="A1776" s="10" t="s">
        <v>4190</v>
      </c>
      <c r="B1776" s="10" t="s">
        <v>45</v>
      </c>
      <c r="C1776" s="8" t="s">
        <v>4181</v>
      </c>
      <c r="D1776" s="8" t="s">
        <v>4191</v>
      </c>
      <c r="E1776" s="11" t="n">
        <v>296</v>
      </c>
      <c r="F1776" s="8" t="str">
        <f aca="false">IFERROR(INDEX(Section_Master!$D$2:$D$477,MATCH($E1776,Section_Master!$A$2:$A$477,0))&amp;"","")</f>
        <v>Imprisonment up to 3 months, or fine, or both</v>
      </c>
      <c r="G1776" s="10" t="str">
        <f aca="false">IFERROR(INDEX(Section_Master!$E$2:$E$477,MATCH($E1776,Section_Master!$A$2:$A$477,0))&amp;"","")</f>
        <v>Yes</v>
      </c>
      <c r="H1776" s="10" t="str">
        <f aca="false">IFERROR(INDEX(Section_Master!$F$2:$F$477,MATCH($E1776,Section_Master!$A$2:$A$477,0))&amp;"","")</f>
        <v>Yes</v>
      </c>
      <c r="I1776" s="10" t="str">
        <f aca="false">IFERROR(INDEX(Section_Master!$G$2:$G$477,MATCH($E1776,Section_Master!$A$2:$A$477,0))&amp;"","")</f>
        <v>No</v>
      </c>
      <c r="J1776" s="10" t="s">
        <v>61</v>
      </c>
      <c r="K1776" s="8" t="s">
        <v>4183</v>
      </c>
    </row>
    <row r="1777" customFormat="false" ht="34.5" hidden="false" customHeight="true" outlineLevel="0" collapsed="false">
      <c r="A1777" s="10" t="s">
        <v>4192</v>
      </c>
      <c r="B1777" s="10" t="s">
        <v>45</v>
      </c>
      <c r="C1777" s="8" t="s">
        <v>4181</v>
      </c>
      <c r="D1777" s="8" t="s">
        <v>4193</v>
      </c>
      <c r="E1777" s="11" t="n">
        <v>296</v>
      </c>
      <c r="F1777" s="8" t="str">
        <f aca="false">IFERROR(INDEX(Section_Master!$D$2:$D$477,MATCH($E1777,Section_Master!$A$2:$A$477,0))&amp;"","")</f>
        <v>Imprisonment up to 3 months, or fine, or both</v>
      </c>
      <c r="G1777" s="10" t="str">
        <f aca="false">IFERROR(INDEX(Section_Master!$E$2:$E$477,MATCH($E1777,Section_Master!$A$2:$A$477,0))&amp;"","")</f>
        <v>Yes</v>
      </c>
      <c r="H1777" s="10" t="str">
        <f aca="false">IFERROR(INDEX(Section_Master!$F$2:$F$477,MATCH($E1777,Section_Master!$A$2:$A$477,0))&amp;"","")</f>
        <v>Yes</v>
      </c>
      <c r="I1777" s="10" t="str">
        <f aca="false">IFERROR(INDEX(Section_Master!$G$2:$G$477,MATCH($E1777,Section_Master!$A$2:$A$477,0))&amp;"","")</f>
        <v>No</v>
      </c>
      <c r="J1777" s="10" t="s">
        <v>64</v>
      </c>
      <c r="K1777" s="8" t="s">
        <v>4183</v>
      </c>
    </row>
    <row r="1778" customFormat="false" ht="34.5" hidden="false" customHeight="true" outlineLevel="0" collapsed="false">
      <c r="A1778" s="10" t="s">
        <v>4194</v>
      </c>
      <c r="B1778" s="10" t="s">
        <v>45</v>
      </c>
      <c r="C1778" s="8" t="s">
        <v>4195</v>
      </c>
      <c r="D1778" s="8" t="s">
        <v>4196</v>
      </c>
      <c r="E1778" s="11" t="n">
        <v>297</v>
      </c>
      <c r="F1778" s="8" t="str">
        <f aca="false">IFERROR(INDEX(Section_Master!$D$2:$D$477,MATCH($E1778,Section_Master!$A$2:$A$477,0))&amp;"","")</f>
        <v>Imprisonment up to 6 months, or fine, or both</v>
      </c>
      <c r="G1778" s="10" t="str">
        <f aca="false">IFERROR(INDEX(Section_Master!$E$2:$E$477,MATCH($E1778,Section_Master!$A$2:$A$477,0))&amp;"","")</f>
        <v>Yes</v>
      </c>
      <c r="H1778" s="10" t="str">
        <f aca="false">IFERROR(INDEX(Section_Master!$F$2:$F$477,MATCH($E1778,Section_Master!$A$2:$A$477,0))&amp;"","")</f>
        <v>Yes</v>
      </c>
      <c r="I1778" s="10" t="str">
        <f aca="false">IFERROR(INDEX(Section_Master!$G$2:$G$477,MATCH($E1778,Section_Master!$A$2:$A$477,0))&amp;"","")</f>
        <v>No</v>
      </c>
      <c r="J1778" s="10" t="s">
        <v>48</v>
      </c>
      <c r="K1778" s="8" t="s">
        <v>4197</v>
      </c>
    </row>
    <row r="1779" customFormat="false" ht="34.5" hidden="false" customHeight="true" outlineLevel="0" collapsed="false">
      <c r="A1779" s="10" t="s">
        <v>4198</v>
      </c>
      <c r="B1779" s="10" t="s">
        <v>45</v>
      </c>
      <c r="C1779" s="8" t="s">
        <v>4195</v>
      </c>
      <c r="D1779" s="8" t="s">
        <v>4199</v>
      </c>
      <c r="E1779" s="11" t="n">
        <v>297</v>
      </c>
      <c r="F1779" s="8" t="str">
        <f aca="false">IFERROR(INDEX(Section_Master!$D$2:$D$477,MATCH($E1779,Section_Master!$A$2:$A$477,0))&amp;"","")</f>
        <v>Imprisonment up to 6 months, or fine, or both</v>
      </c>
      <c r="G1779" s="10" t="str">
        <f aca="false">IFERROR(INDEX(Section_Master!$E$2:$E$477,MATCH($E1779,Section_Master!$A$2:$A$477,0))&amp;"","")</f>
        <v>Yes</v>
      </c>
      <c r="H1779" s="10" t="str">
        <f aca="false">IFERROR(INDEX(Section_Master!$F$2:$F$477,MATCH($E1779,Section_Master!$A$2:$A$477,0))&amp;"","")</f>
        <v>Yes</v>
      </c>
      <c r="I1779" s="10" t="str">
        <f aca="false">IFERROR(INDEX(Section_Master!$G$2:$G$477,MATCH($E1779,Section_Master!$A$2:$A$477,0))&amp;"","")</f>
        <v>No</v>
      </c>
      <c r="J1779" s="10" t="s">
        <v>52</v>
      </c>
      <c r="K1779" s="8" t="s">
        <v>4197</v>
      </c>
    </row>
    <row r="1780" customFormat="false" ht="34.5" hidden="false" customHeight="true" outlineLevel="0" collapsed="false">
      <c r="A1780" s="10" t="s">
        <v>4200</v>
      </c>
      <c r="B1780" s="10" t="s">
        <v>45</v>
      </c>
      <c r="C1780" s="8" t="s">
        <v>4195</v>
      </c>
      <c r="D1780" s="8" t="s">
        <v>4201</v>
      </c>
      <c r="E1780" s="11" t="n">
        <v>297</v>
      </c>
      <c r="F1780" s="8" t="str">
        <f aca="false">IFERROR(INDEX(Section_Master!$D$2:$D$477,MATCH($E1780,Section_Master!$A$2:$A$477,0))&amp;"","")</f>
        <v>Imprisonment up to 6 months, or fine, or both</v>
      </c>
      <c r="G1780" s="10" t="str">
        <f aca="false">IFERROR(INDEX(Section_Master!$E$2:$E$477,MATCH($E1780,Section_Master!$A$2:$A$477,0))&amp;"","")</f>
        <v>Yes</v>
      </c>
      <c r="H1780" s="10" t="str">
        <f aca="false">IFERROR(INDEX(Section_Master!$F$2:$F$477,MATCH($E1780,Section_Master!$A$2:$A$477,0))&amp;"","")</f>
        <v>Yes</v>
      </c>
      <c r="I1780" s="10" t="str">
        <f aca="false">IFERROR(INDEX(Section_Master!$G$2:$G$477,MATCH($E1780,Section_Master!$A$2:$A$477,0))&amp;"","")</f>
        <v>No</v>
      </c>
      <c r="J1780" s="10" t="s">
        <v>55</v>
      </c>
      <c r="K1780" s="8" t="s">
        <v>4197</v>
      </c>
    </row>
    <row r="1781" customFormat="false" ht="23.25" hidden="false" customHeight="true" outlineLevel="0" collapsed="false">
      <c r="A1781" s="10" t="s">
        <v>4202</v>
      </c>
      <c r="B1781" s="10" t="s">
        <v>45</v>
      </c>
      <c r="C1781" s="8" t="s">
        <v>4195</v>
      </c>
      <c r="D1781" s="8" t="s">
        <v>4203</v>
      </c>
      <c r="E1781" s="11" t="n">
        <v>297</v>
      </c>
      <c r="F1781" s="8" t="str">
        <f aca="false">IFERROR(INDEX(Section_Master!$D$2:$D$477,MATCH($E1781,Section_Master!$A$2:$A$477,0))&amp;"","")</f>
        <v>Imprisonment up to 6 months, or fine, or both</v>
      </c>
      <c r="G1781" s="10" t="str">
        <f aca="false">IFERROR(INDEX(Section_Master!$E$2:$E$477,MATCH($E1781,Section_Master!$A$2:$A$477,0))&amp;"","")</f>
        <v>Yes</v>
      </c>
      <c r="H1781" s="10" t="str">
        <f aca="false">IFERROR(INDEX(Section_Master!$F$2:$F$477,MATCH($E1781,Section_Master!$A$2:$A$477,0))&amp;"","")</f>
        <v>Yes</v>
      </c>
      <c r="I1781" s="10" t="str">
        <f aca="false">IFERROR(INDEX(Section_Master!$G$2:$G$477,MATCH($E1781,Section_Master!$A$2:$A$477,0))&amp;"","")</f>
        <v>No</v>
      </c>
      <c r="J1781" s="10" t="s">
        <v>58</v>
      </c>
      <c r="K1781" s="8" t="s">
        <v>4197</v>
      </c>
    </row>
    <row r="1782" customFormat="false" ht="23.25" hidden="false" customHeight="true" outlineLevel="0" collapsed="false">
      <c r="A1782" s="10" t="s">
        <v>4204</v>
      </c>
      <c r="B1782" s="10" t="s">
        <v>45</v>
      </c>
      <c r="C1782" s="8" t="s">
        <v>4195</v>
      </c>
      <c r="D1782" s="8" t="s">
        <v>4205</v>
      </c>
      <c r="E1782" s="11" t="n">
        <v>297</v>
      </c>
      <c r="F1782" s="8" t="str">
        <f aca="false">IFERROR(INDEX(Section_Master!$D$2:$D$477,MATCH($E1782,Section_Master!$A$2:$A$477,0))&amp;"","")</f>
        <v>Imprisonment up to 6 months, or fine, or both</v>
      </c>
      <c r="G1782" s="10" t="str">
        <f aca="false">IFERROR(INDEX(Section_Master!$E$2:$E$477,MATCH($E1782,Section_Master!$A$2:$A$477,0))&amp;"","")</f>
        <v>Yes</v>
      </c>
      <c r="H1782" s="10" t="str">
        <f aca="false">IFERROR(INDEX(Section_Master!$F$2:$F$477,MATCH($E1782,Section_Master!$A$2:$A$477,0))&amp;"","")</f>
        <v>Yes</v>
      </c>
      <c r="I1782" s="10" t="str">
        <f aca="false">IFERROR(INDEX(Section_Master!$G$2:$G$477,MATCH($E1782,Section_Master!$A$2:$A$477,0))&amp;"","")</f>
        <v>No</v>
      </c>
      <c r="J1782" s="10" t="s">
        <v>61</v>
      </c>
      <c r="K1782" s="8" t="s">
        <v>4197</v>
      </c>
    </row>
    <row r="1783" customFormat="false" ht="34.5" hidden="false" customHeight="true" outlineLevel="0" collapsed="false">
      <c r="A1783" s="10" t="s">
        <v>4206</v>
      </c>
      <c r="B1783" s="10" t="s">
        <v>45</v>
      </c>
      <c r="C1783" s="8" t="s">
        <v>4195</v>
      </c>
      <c r="D1783" s="8" t="s">
        <v>4207</v>
      </c>
      <c r="E1783" s="11" t="n">
        <v>297</v>
      </c>
      <c r="F1783" s="8" t="str">
        <f aca="false">IFERROR(INDEX(Section_Master!$D$2:$D$477,MATCH($E1783,Section_Master!$A$2:$A$477,0))&amp;"","")</f>
        <v>Imprisonment up to 6 months, or fine, or both</v>
      </c>
      <c r="G1783" s="10" t="str">
        <f aca="false">IFERROR(INDEX(Section_Master!$E$2:$E$477,MATCH($E1783,Section_Master!$A$2:$A$477,0))&amp;"","")</f>
        <v>Yes</v>
      </c>
      <c r="H1783" s="10" t="str">
        <f aca="false">IFERROR(INDEX(Section_Master!$F$2:$F$477,MATCH($E1783,Section_Master!$A$2:$A$477,0))&amp;"","")</f>
        <v>Yes</v>
      </c>
      <c r="I1783" s="10" t="str">
        <f aca="false">IFERROR(INDEX(Section_Master!$G$2:$G$477,MATCH($E1783,Section_Master!$A$2:$A$477,0))&amp;"","")</f>
        <v>No</v>
      </c>
      <c r="J1783" s="10" t="s">
        <v>64</v>
      </c>
      <c r="K1783" s="8" t="s">
        <v>4197</v>
      </c>
    </row>
    <row r="1784" customFormat="false" ht="34.5" hidden="false" customHeight="true" outlineLevel="0" collapsed="false">
      <c r="A1784" s="10" t="s">
        <v>4208</v>
      </c>
      <c r="B1784" s="10" t="s">
        <v>45</v>
      </c>
      <c r="C1784" s="8" t="s">
        <v>4209</v>
      </c>
      <c r="D1784" s="8" t="s">
        <v>4210</v>
      </c>
      <c r="E1784" s="11" t="n">
        <v>298</v>
      </c>
      <c r="F1784" s="8" t="str">
        <f aca="false">IFERROR(INDEX(Section_Master!$D$2:$D$477,MATCH($E1784,Section_Master!$A$2:$A$477,0))&amp;"","")</f>
        <v>Imprisonment up to 2 years, or fine, or both</v>
      </c>
      <c r="G1784" s="10" t="str">
        <f aca="false">IFERROR(INDEX(Section_Master!$E$2:$E$477,MATCH($E1784,Section_Master!$A$2:$A$477,0))&amp;"","")</f>
        <v>No</v>
      </c>
      <c r="H1784" s="10" t="str">
        <f aca="false">IFERROR(INDEX(Section_Master!$F$2:$F$477,MATCH($E1784,Section_Master!$A$2:$A$477,0))&amp;"","")</f>
        <v>Yes</v>
      </c>
      <c r="I1784" s="10" t="str">
        <f aca="false">IFERROR(INDEX(Section_Master!$G$2:$G$477,MATCH($E1784,Section_Master!$A$2:$A$477,0))&amp;"","")</f>
        <v>No</v>
      </c>
      <c r="J1784" s="10" t="s">
        <v>48</v>
      </c>
      <c r="K1784" s="8" t="s">
        <v>4211</v>
      </c>
    </row>
    <row r="1785" customFormat="false" ht="34.5" hidden="false" customHeight="true" outlineLevel="0" collapsed="false">
      <c r="A1785" s="10" t="s">
        <v>4212</v>
      </c>
      <c r="B1785" s="10" t="s">
        <v>45</v>
      </c>
      <c r="C1785" s="8" t="s">
        <v>4209</v>
      </c>
      <c r="D1785" s="8" t="s">
        <v>4213</v>
      </c>
      <c r="E1785" s="11" t="n">
        <v>298</v>
      </c>
      <c r="F1785" s="8" t="str">
        <f aca="false">IFERROR(INDEX(Section_Master!$D$2:$D$477,MATCH($E1785,Section_Master!$A$2:$A$477,0))&amp;"","")</f>
        <v>Imprisonment up to 2 years, or fine, or both</v>
      </c>
      <c r="G1785" s="10" t="str">
        <f aca="false">IFERROR(INDEX(Section_Master!$E$2:$E$477,MATCH($E1785,Section_Master!$A$2:$A$477,0))&amp;"","")</f>
        <v>No</v>
      </c>
      <c r="H1785" s="10" t="str">
        <f aca="false">IFERROR(INDEX(Section_Master!$F$2:$F$477,MATCH($E1785,Section_Master!$A$2:$A$477,0))&amp;"","")</f>
        <v>Yes</v>
      </c>
      <c r="I1785" s="10" t="str">
        <f aca="false">IFERROR(INDEX(Section_Master!$G$2:$G$477,MATCH($E1785,Section_Master!$A$2:$A$477,0))&amp;"","")</f>
        <v>No</v>
      </c>
      <c r="J1785" s="10" t="s">
        <v>52</v>
      </c>
      <c r="K1785" s="8" t="s">
        <v>4211</v>
      </c>
    </row>
    <row r="1786" customFormat="false" ht="34.5" hidden="false" customHeight="true" outlineLevel="0" collapsed="false">
      <c r="A1786" s="10" t="s">
        <v>4214</v>
      </c>
      <c r="B1786" s="10" t="s">
        <v>45</v>
      </c>
      <c r="C1786" s="8" t="s">
        <v>4209</v>
      </c>
      <c r="D1786" s="8" t="s">
        <v>4215</v>
      </c>
      <c r="E1786" s="11" t="n">
        <v>298</v>
      </c>
      <c r="F1786" s="8" t="str">
        <f aca="false">IFERROR(INDEX(Section_Master!$D$2:$D$477,MATCH($E1786,Section_Master!$A$2:$A$477,0))&amp;"","")</f>
        <v>Imprisonment up to 2 years, or fine, or both</v>
      </c>
      <c r="G1786" s="10" t="str">
        <f aca="false">IFERROR(INDEX(Section_Master!$E$2:$E$477,MATCH($E1786,Section_Master!$A$2:$A$477,0))&amp;"","")</f>
        <v>No</v>
      </c>
      <c r="H1786" s="10" t="str">
        <f aca="false">IFERROR(INDEX(Section_Master!$F$2:$F$477,MATCH($E1786,Section_Master!$A$2:$A$477,0))&amp;"","")</f>
        <v>Yes</v>
      </c>
      <c r="I1786" s="10" t="str">
        <f aca="false">IFERROR(INDEX(Section_Master!$G$2:$G$477,MATCH($E1786,Section_Master!$A$2:$A$477,0))&amp;"","")</f>
        <v>No</v>
      </c>
      <c r="J1786" s="10" t="s">
        <v>55</v>
      </c>
      <c r="K1786" s="8" t="s">
        <v>4211</v>
      </c>
    </row>
    <row r="1787" customFormat="false" ht="34.5" hidden="false" customHeight="true" outlineLevel="0" collapsed="false">
      <c r="A1787" s="10" t="s">
        <v>4216</v>
      </c>
      <c r="B1787" s="10" t="s">
        <v>45</v>
      </c>
      <c r="C1787" s="8" t="s">
        <v>4209</v>
      </c>
      <c r="D1787" s="8" t="s">
        <v>4217</v>
      </c>
      <c r="E1787" s="11" t="n">
        <v>298</v>
      </c>
      <c r="F1787" s="8" t="str">
        <f aca="false">IFERROR(INDEX(Section_Master!$D$2:$D$477,MATCH($E1787,Section_Master!$A$2:$A$477,0))&amp;"","")</f>
        <v>Imprisonment up to 2 years, or fine, or both</v>
      </c>
      <c r="G1787" s="10" t="str">
        <f aca="false">IFERROR(INDEX(Section_Master!$E$2:$E$477,MATCH($E1787,Section_Master!$A$2:$A$477,0))&amp;"","")</f>
        <v>No</v>
      </c>
      <c r="H1787" s="10" t="str">
        <f aca="false">IFERROR(INDEX(Section_Master!$F$2:$F$477,MATCH($E1787,Section_Master!$A$2:$A$477,0))&amp;"","")</f>
        <v>Yes</v>
      </c>
      <c r="I1787" s="10" t="str">
        <f aca="false">IFERROR(INDEX(Section_Master!$G$2:$G$477,MATCH($E1787,Section_Master!$A$2:$A$477,0))&amp;"","")</f>
        <v>No</v>
      </c>
      <c r="J1787" s="10" t="s">
        <v>58</v>
      </c>
      <c r="K1787" s="8" t="s">
        <v>4211</v>
      </c>
    </row>
    <row r="1788" customFormat="false" ht="34.5" hidden="false" customHeight="true" outlineLevel="0" collapsed="false">
      <c r="A1788" s="10" t="s">
        <v>4218</v>
      </c>
      <c r="B1788" s="10" t="s">
        <v>45</v>
      </c>
      <c r="C1788" s="8" t="s">
        <v>4209</v>
      </c>
      <c r="D1788" s="8" t="s">
        <v>4219</v>
      </c>
      <c r="E1788" s="11" t="n">
        <v>298</v>
      </c>
      <c r="F1788" s="8" t="str">
        <f aca="false">IFERROR(INDEX(Section_Master!$D$2:$D$477,MATCH($E1788,Section_Master!$A$2:$A$477,0))&amp;"","")</f>
        <v>Imprisonment up to 2 years, or fine, or both</v>
      </c>
      <c r="G1788" s="10" t="str">
        <f aca="false">IFERROR(INDEX(Section_Master!$E$2:$E$477,MATCH($E1788,Section_Master!$A$2:$A$477,0))&amp;"","")</f>
        <v>No</v>
      </c>
      <c r="H1788" s="10" t="str">
        <f aca="false">IFERROR(INDEX(Section_Master!$F$2:$F$477,MATCH($E1788,Section_Master!$A$2:$A$477,0))&amp;"","")</f>
        <v>Yes</v>
      </c>
      <c r="I1788" s="10" t="str">
        <f aca="false">IFERROR(INDEX(Section_Master!$G$2:$G$477,MATCH($E1788,Section_Master!$A$2:$A$477,0))&amp;"","")</f>
        <v>No</v>
      </c>
      <c r="J1788" s="10" t="s">
        <v>61</v>
      </c>
      <c r="K1788" s="8" t="s">
        <v>4211</v>
      </c>
    </row>
    <row r="1789" customFormat="false" ht="34.5" hidden="false" customHeight="true" outlineLevel="0" collapsed="false">
      <c r="A1789" s="10" t="s">
        <v>4220</v>
      </c>
      <c r="B1789" s="10" t="s">
        <v>45</v>
      </c>
      <c r="C1789" s="8" t="s">
        <v>4209</v>
      </c>
      <c r="D1789" s="8" t="s">
        <v>4221</v>
      </c>
      <c r="E1789" s="11" t="n">
        <v>298</v>
      </c>
      <c r="F1789" s="8" t="str">
        <f aca="false">IFERROR(INDEX(Section_Master!$D$2:$D$477,MATCH($E1789,Section_Master!$A$2:$A$477,0))&amp;"","")</f>
        <v>Imprisonment up to 2 years, or fine, or both</v>
      </c>
      <c r="G1789" s="10" t="str">
        <f aca="false">IFERROR(INDEX(Section_Master!$E$2:$E$477,MATCH($E1789,Section_Master!$A$2:$A$477,0))&amp;"","")</f>
        <v>No</v>
      </c>
      <c r="H1789" s="10" t="str">
        <f aca="false">IFERROR(INDEX(Section_Master!$F$2:$F$477,MATCH($E1789,Section_Master!$A$2:$A$477,0))&amp;"","")</f>
        <v>Yes</v>
      </c>
      <c r="I1789" s="10" t="str">
        <f aca="false">IFERROR(INDEX(Section_Master!$G$2:$G$477,MATCH($E1789,Section_Master!$A$2:$A$477,0))&amp;"","")</f>
        <v>No</v>
      </c>
      <c r="J1789" s="10" t="s">
        <v>64</v>
      </c>
      <c r="K1789" s="8" t="s">
        <v>4211</v>
      </c>
    </row>
    <row r="1790" customFormat="false" ht="34.5" hidden="false" customHeight="true" outlineLevel="0" collapsed="false">
      <c r="A1790" s="10" t="s">
        <v>4222</v>
      </c>
      <c r="B1790" s="10" t="s">
        <v>45</v>
      </c>
      <c r="C1790" s="8" t="s">
        <v>4223</v>
      </c>
      <c r="D1790" s="8" t="s">
        <v>4224</v>
      </c>
      <c r="E1790" s="11" t="n">
        <v>299</v>
      </c>
      <c r="F1790" s="8" t="str">
        <f aca="false">IFERROR(INDEX(Section_Master!$D$2:$D$477,MATCH($E1790,Section_Master!$A$2:$A$477,0))&amp;"","")</f>
        <v>Imprisonment up to 3 years, or fine, or both</v>
      </c>
      <c r="G1790" s="10" t="str">
        <f aca="false">IFERROR(INDEX(Section_Master!$E$2:$E$477,MATCH($E1790,Section_Master!$A$2:$A$477,0))&amp;"","")</f>
        <v>Yes</v>
      </c>
      <c r="H1790" s="10" t="str">
        <f aca="false">IFERROR(INDEX(Section_Master!$F$2:$F$477,MATCH($E1790,Section_Master!$A$2:$A$477,0))&amp;"","")</f>
        <v>No</v>
      </c>
      <c r="I1790" s="10" t="str">
        <f aca="false">IFERROR(INDEX(Section_Master!$G$2:$G$477,MATCH($E1790,Section_Master!$A$2:$A$477,0))&amp;"","")</f>
        <v>No</v>
      </c>
      <c r="J1790" s="10" t="s">
        <v>48</v>
      </c>
      <c r="K1790" s="8" t="s">
        <v>4225</v>
      </c>
    </row>
    <row r="1791" customFormat="false" ht="34.5" hidden="false" customHeight="true" outlineLevel="0" collapsed="false">
      <c r="A1791" s="10" t="s">
        <v>4226</v>
      </c>
      <c r="B1791" s="10" t="s">
        <v>45</v>
      </c>
      <c r="C1791" s="8" t="s">
        <v>4223</v>
      </c>
      <c r="D1791" s="8" t="s">
        <v>4227</v>
      </c>
      <c r="E1791" s="11" t="n">
        <v>299</v>
      </c>
      <c r="F1791" s="8" t="str">
        <f aca="false">IFERROR(INDEX(Section_Master!$D$2:$D$477,MATCH($E1791,Section_Master!$A$2:$A$477,0))&amp;"","")</f>
        <v>Imprisonment up to 3 years, or fine, or both</v>
      </c>
      <c r="G1791" s="10" t="str">
        <f aca="false">IFERROR(INDEX(Section_Master!$E$2:$E$477,MATCH($E1791,Section_Master!$A$2:$A$477,0))&amp;"","")</f>
        <v>Yes</v>
      </c>
      <c r="H1791" s="10" t="str">
        <f aca="false">IFERROR(INDEX(Section_Master!$F$2:$F$477,MATCH($E1791,Section_Master!$A$2:$A$477,0))&amp;"","")</f>
        <v>No</v>
      </c>
      <c r="I1791" s="10" t="str">
        <f aca="false">IFERROR(INDEX(Section_Master!$G$2:$G$477,MATCH($E1791,Section_Master!$A$2:$A$477,0))&amp;"","")</f>
        <v>No</v>
      </c>
      <c r="J1791" s="10" t="s">
        <v>52</v>
      </c>
      <c r="K1791" s="8" t="s">
        <v>4225</v>
      </c>
    </row>
    <row r="1792" customFormat="false" ht="34.5" hidden="false" customHeight="true" outlineLevel="0" collapsed="false">
      <c r="A1792" s="10" t="s">
        <v>4228</v>
      </c>
      <c r="B1792" s="10" t="s">
        <v>45</v>
      </c>
      <c r="C1792" s="8" t="s">
        <v>4223</v>
      </c>
      <c r="D1792" s="8" t="s">
        <v>4229</v>
      </c>
      <c r="E1792" s="11" t="n">
        <v>299</v>
      </c>
      <c r="F1792" s="8" t="str">
        <f aca="false">IFERROR(INDEX(Section_Master!$D$2:$D$477,MATCH($E1792,Section_Master!$A$2:$A$477,0))&amp;"","")</f>
        <v>Imprisonment up to 3 years, or fine, or both</v>
      </c>
      <c r="G1792" s="10" t="str">
        <f aca="false">IFERROR(INDEX(Section_Master!$E$2:$E$477,MATCH($E1792,Section_Master!$A$2:$A$477,0))&amp;"","")</f>
        <v>Yes</v>
      </c>
      <c r="H1792" s="10" t="str">
        <f aca="false">IFERROR(INDEX(Section_Master!$F$2:$F$477,MATCH($E1792,Section_Master!$A$2:$A$477,0))&amp;"","")</f>
        <v>No</v>
      </c>
      <c r="I1792" s="10" t="str">
        <f aca="false">IFERROR(INDEX(Section_Master!$G$2:$G$477,MATCH($E1792,Section_Master!$A$2:$A$477,0))&amp;"","")</f>
        <v>No</v>
      </c>
      <c r="J1792" s="10" t="s">
        <v>55</v>
      </c>
      <c r="K1792" s="8" t="s">
        <v>4225</v>
      </c>
    </row>
    <row r="1793" customFormat="false" ht="34.5" hidden="false" customHeight="true" outlineLevel="0" collapsed="false">
      <c r="A1793" s="10" t="s">
        <v>4230</v>
      </c>
      <c r="B1793" s="10" t="s">
        <v>45</v>
      </c>
      <c r="C1793" s="8" t="s">
        <v>4223</v>
      </c>
      <c r="D1793" s="8" t="s">
        <v>4231</v>
      </c>
      <c r="E1793" s="11" t="n">
        <v>299</v>
      </c>
      <c r="F1793" s="8" t="str">
        <f aca="false">IFERROR(INDEX(Section_Master!$D$2:$D$477,MATCH($E1793,Section_Master!$A$2:$A$477,0))&amp;"","")</f>
        <v>Imprisonment up to 3 years, or fine, or both</v>
      </c>
      <c r="G1793" s="10" t="str">
        <f aca="false">IFERROR(INDEX(Section_Master!$E$2:$E$477,MATCH($E1793,Section_Master!$A$2:$A$477,0))&amp;"","")</f>
        <v>Yes</v>
      </c>
      <c r="H1793" s="10" t="str">
        <f aca="false">IFERROR(INDEX(Section_Master!$F$2:$F$477,MATCH($E1793,Section_Master!$A$2:$A$477,0))&amp;"","")</f>
        <v>No</v>
      </c>
      <c r="I1793" s="10" t="str">
        <f aca="false">IFERROR(INDEX(Section_Master!$G$2:$G$477,MATCH($E1793,Section_Master!$A$2:$A$477,0))&amp;"","")</f>
        <v>No</v>
      </c>
      <c r="J1793" s="10" t="s">
        <v>58</v>
      </c>
      <c r="K1793" s="8" t="s">
        <v>4225</v>
      </c>
    </row>
    <row r="1794" customFormat="false" ht="34.5" hidden="false" customHeight="true" outlineLevel="0" collapsed="false">
      <c r="A1794" s="10" t="s">
        <v>4232</v>
      </c>
      <c r="B1794" s="10" t="s">
        <v>45</v>
      </c>
      <c r="C1794" s="8" t="s">
        <v>4223</v>
      </c>
      <c r="D1794" s="8" t="s">
        <v>4233</v>
      </c>
      <c r="E1794" s="11" t="n">
        <v>299</v>
      </c>
      <c r="F1794" s="8" t="str">
        <f aca="false">IFERROR(INDEX(Section_Master!$D$2:$D$477,MATCH($E1794,Section_Master!$A$2:$A$477,0))&amp;"","")</f>
        <v>Imprisonment up to 3 years, or fine, or both</v>
      </c>
      <c r="G1794" s="10" t="str">
        <f aca="false">IFERROR(INDEX(Section_Master!$E$2:$E$477,MATCH($E1794,Section_Master!$A$2:$A$477,0))&amp;"","")</f>
        <v>Yes</v>
      </c>
      <c r="H1794" s="10" t="str">
        <f aca="false">IFERROR(INDEX(Section_Master!$F$2:$F$477,MATCH($E1794,Section_Master!$A$2:$A$477,0))&amp;"","")</f>
        <v>No</v>
      </c>
      <c r="I1794" s="10" t="str">
        <f aca="false">IFERROR(INDEX(Section_Master!$G$2:$G$477,MATCH($E1794,Section_Master!$A$2:$A$477,0))&amp;"","")</f>
        <v>No</v>
      </c>
      <c r="J1794" s="10" t="s">
        <v>61</v>
      </c>
      <c r="K1794" s="8" t="s">
        <v>4225</v>
      </c>
    </row>
    <row r="1795" customFormat="false" ht="34.5" hidden="false" customHeight="true" outlineLevel="0" collapsed="false">
      <c r="A1795" s="10" t="s">
        <v>4234</v>
      </c>
      <c r="B1795" s="10" t="s">
        <v>45</v>
      </c>
      <c r="C1795" s="8" t="s">
        <v>4223</v>
      </c>
      <c r="D1795" s="8" t="s">
        <v>4235</v>
      </c>
      <c r="E1795" s="11" t="n">
        <v>299</v>
      </c>
      <c r="F1795" s="8" t="str">
        <f aca="false">IFERROR(INDEX(Section_Master!$D$2:$D$477,MATCH($E1795,Section_Master!$A$2:$A$477,0))&amp;"","")</f>
        <v>Imprisonment up to 3 years, or fine, or both</v>
      </c>
      <c r="G1795" s="10" t="str">
        <f aca="false">IFERROR(INDEX(Section_Master!$E$2:$E$477,MATCH($E1795,Section_Master!$A$2:$A$477,0))&amp;"","")</f>
        <v>Yes</v>
      </c>
      <c r="H1795" s="10" t="str">
        <f aca="false">IFERROR(INDEX(Section_Master!$F$2:$F$477,MATCH($E1795,Section_Master!$A$2:$A$477,0))&amp;"","")</f>
        <v>No</v>
      </c>
      <c r="I1795" s="10" t="str">
        <f aca="false">IFERROR(INDEX(Section_Master!$G$2:$G$477,MATCH($E1795,Section_Master!$A$2:$A$477,0))&amp;"","")</f>
        <v>No</v>
      </c>
      <c r="J1795" s="10" t="s">
        <v>64</v>
      </c>
      <c r="K1795" s="8" t="s">
        <v>4225</v>
      </c>
    </row>
    <row r="1796" customFormat="false" ht="23.25" hidden="false" customHeight="true" outlineLevel="0" collapsed="false">
      <c r="A1796" s="10" t="s">
        <v>4236</v>
      </c>
      <c r="B1796" s="10" t="s">
        <v>45</v>
      </c>
      <c r="C1796" s="8" t="s">
        <v>4237</v>
      </c>
      <c r="D1796" s="8" t="s">
        <v>4238</v>
      </c>
      <c r="E1796" s="11" t="n">
        <v>300</v>
      </c>
      <c r="F1796" s="8" t="str">
        <f aca="false">IFERROR(INDEX(Section_Master!$D$2:$D$477,MATCH($E1796,Section_Master!$A$2:$A$477,0))&amp;"","")</f>
        <v>Imprisonment up to 1 year, or fine, or both</v>
      </c>
      <c r="G1796" s="10" t="str">
        <f aca="false">IFERROR(INDEX(Section_Master!$E$2:$E$477,MATCH($E1796,Section_Master!$A$2:$A$477,0))&amp;"","")</f>
        <v>Yes</v>
      </c>
      <c r="H1796" s="10" t="str">
        <f aca="false">IFERROR(INDEX(Section_Master!$F$2:$F$477,MATCH($E1796,Section_Master!$A$2:$A$477,0))&amp;"","")</f>
        <v>Yes</v>
      </c>
      <c r="I1796" s="10" t="str">
        <f aca="false">IFERROR(INDEX(Section_Master!$G$2:$G$477,MATCH($E1796,Section_Master!$A$2:$A$477,0))&amp;"","")</f>
        <v>No</v>
      </c>
      <c r="J1796" s="10" t="s">
        <v>48</v>
      </c>
      <c r="K1796" s="8" t="s">
        <v>4239</v>
      </c>
    </row>
    <row r="1797" customFormat="false" ht="34.5" hidden="false" customHeight="true" outlineLevel="0" collapsed="false">
      <c r="A1797" s="10" t="s">
        <v>4240</v>
      </c>
      <c r="B1797" s="10" t="s">
        <v>45</v>
      </c>
      <c r="C1797" s="8" t="s">
        <v>4237</v>
      </c>
      <c r="D1797" s="8" t="s">
        <v>4241</v>
      </c>
      <c r="E1797" s="11" t="n">
        <v>300</v>
      </c>
      <c r="F1797" s="8" t="str">
        <f aca="false">IFERROR(INDEX(Section_Master!$D$2:$D$477,MATCH($E1797,Section_Master!$A$2:$A$477,0))&amp;"","")</f>
        <v>Imprisonment up to 1 year, or fine, or both</v>
      </c>
      <c r="G1797" s="10" t="str">
        <f aca="false">IFERROR(INDEX(Section_Master!$E$2:$E$477,MATCH($E1797,Section_Master!$A$2:$A$477,0))&amp;"","")</f>
        <v>Yes</v>
      </c>
      <c r="H1797" s="10" t="str">
        <f aca="false">IFERROR(INDEX(Section_Master!$F$2:$F$477,MATCH($E1797,Section_Master!$A$2:$A$477,0))&amp;"","")</f>
        <v>Yes</v>
      </c>
      <c r="I1797" s="10" t="str">
        <f aca="false">IFERROR(INDEX(Section_Master!$G$2:$G$477,MATCH($E1797,Section_Master!$A$2:$A$477,0))&amp;"","")</f>
        <v>No</v>
      </c>
      <c r="J1797" s="10" t="s">
        <v>52</v>
      </c>
      <c r="K1797" s="8" t="s">
        <v>4239</v>
      </c>
    </row>
    <row r="1798" customFormat="false" ht="34.5" hidden="false" customHeight="true" outlineLevel="0" collapsed="false">
      <c r="A1798" s="10" t="s">
        <v>4242</v>
      </c>
      <c r="B1798" s="10" t="s">
        <v>45</v>
      </c>
      <c r="C1798" s="8" t="s">
        <v>4237</v>
      </c>
      <c r="D1798" s="8" t="s">
        <v>4243</v>
      </c>
      <c r="E1798" s="11" t="n">
        <v>300</v>
      </c>
      <c r="F1798" s="8" t="str">
        <f aca="false">IFERROR(INDEX(Section_Master!$D$2:$D$477,MATCH($E1798,Section_Master!$A$2:$A$477,0))&amp;"","")</f>
        <v>Imprisonment up to 1 year, or fine, or both</v>
      </c>
      <c r="G1798" s="10" t="str">
        <f aca="false">IFERROR(INDEX(Section_Master!$E$2:$E$477,MATCH($E1798,Section_Master!$A$2:$A$477,0))&amp;"","")</f>
        <v>Yes</v>
      </c>
      <c r="H1798" s="10" t="str">
        <f aca="false">IFERROR(INDEX(Section_Master!$F$2:$F$477,MATCH($E1798,Section_Master!$A$2:$A$477,0))&amp;"","")</f>
        <v>Yes</v>
      </c>
      <c r="I1798" s="10" t="str">
        <f aca="false">IFERROR(INDEX(Section_Master!$G$2:$G$477,MATCH($E1798,Section_Master!$A$2:$A$477,0))&amp;"","")</f>
        <v>No</v>
      </c>
      <c r="J1798" s="10" t="s">
        <v>55</v>
      </c>
      <c r="K1798" s="8" t="s">
        <v>4239</v>
      </c>
    </row>
    <row r="1799" customFormat="false" ht="23.25" hidden="false" customHeight="true" outlineLevel="0" collapsed="false">
      <c r="A1799" s="10" t="s">
        <v>4244</v>
      </c>
      <c r="B1799" s="10" t="s">
        <v>45</v>
      </c>
      <c r="C1799" s="8" t="s">
        <v>4237</v>
      </c>
      <c r="D1799" s="8" t="s">
        <v>4245</v>
      </c>
      <c r="E1799" s="11" t="n">
        <v>300</v>
      </c>
      <c r="F1799" s="8" t="str">
        <f aca="false">IFERROR(INDEX(Section_Master!$D$2:$D$477,MATCH($E1799,Section_Master!$A$2:$A$477,0))&amp;"","")</f>
        <v>Imprisonment up to 1 year, or fine, or both</v>
      </c>
      <c r="G1799" s="10" t="str">
        <f aca="false">IFERROR(INDEX(Section_Master!$E$2:$E$477,MATCH($E1799,Section_Master!$A$2:$A$477,0))&amp;"","")</f>
        <v>Yes</v>
      </c>
      <c r="H1799" s="10" t="str">
        <f aca="false">IFERROR(INDEX(Section_Master!$F$2:$F$477,MATCH($E1799,Section_Master!$A$2:$A$477,0))&amp;"","")</f>
        <v>Yes</v>
      </c>
      <c r="I1799" s="10" t="str">
        <f aca="false">IFERROR(INDEX(Section_Master!$G$2:$G$477,MATCH($E1799,Section_Master!$A$2:$A$477,0))&amp;"","")</f>
        <v>No</v>
      </c>
      <c r="J1799" s="10" t="s">
        <v>58</v>
      </c>
      <c r="K1799" s="8" t="s">
        <v>4239</v>
      </c>
    </row>
    <row r="1800" customFormat="false" ht="34.5" hidden="false" customHeight="true" outlineLevel="0" collapsed="false">
      <c r="A1800" s="10" t="s">
        <v>4246</v>
      </c>
      <c r="B1800" s="10" t="s">
        <v>45</v>
      </c>
      <c r="C1800" s="8" t="s">
        <v>4237</v>
      </c>
      <c r="D1800" s="8" t="s">
        <v>4247</v>
      </c>
      <c r="E1800" s="11" t="n">
        <v>300</v>
      </c>
      <c r="F1800" s="8" t="str">
        <f aca="false">IFERROR(INDEX(Section_Master!$D$2:$D$477,MATCH($E1800,Section_Master!$A$2:$A$477,0))&amp;"","")</f>
        <v>Imprisonment up to 1 year, or fine, or both</v>
      </c>
      <c r="G1800" s="10" t="str">
        <f aca="false">IFERROR(INDEX(Section_Master!$E$2:$E$477,MATCH($E1800,Section_Master!$A$2:$A$477,0))&amp;"","")</f>
        <v>Yes</v>
      </c>
      <c r="H1800" s="10" t="str">
        <f aca="false">IFERROR(INDEX(Section_Master!$F$2:$F$477,MATCH($E1800,Section_Master!$A$2:$A$477,0))&amp;"","")</f>
        <v>Yes</v>
      </c>
      <c r="I1800" s="10" t="str">
        <f aca="false">IFERROR(INDEX(Section_Master!$G$2:$G$477,MATCH($E1800,Section_Master!$A$2:$A$477,0))&amp;"","")</f>
        <v>No</v>
      </c>
      <c r="J1800" s="10" t="s">
        <v>61</v>
      </c>
      <c r="K1800" s="8" t="s">
        <v>4239</v>
      </c>
    </row>
    <row r="1801" customFormat="false" ht="34.5" hidden="false" customHeight="true" outlineLevel="0" collapsed="false">
      <c r="A1801" s="10" t="s">
        <v>4248</v>
      </c>
      <c r="B1801" s="10" t="s">
        <v>45</v>
      </c>
      <c r="C1801" s="8" t="s">
        <v>4237</v>
      </c>
      <c r="D1801" s="8" t="s">
        <v>4249</v>
      </c>
      <c r="E1801" s="11" t="n">
        <v>300</v>
      </c>
      <c r="F1801" s="8" t="str">
        <f aca="false">IFERROR(INDEX(Section_Master!$D$2:$D$477,MATCH($E1801,Section_Master!$A$2:$A$477,0))&amp;"","")</f>
        <v>Imprisonment up to 1 year, or fine, or both</v>
      </c>
      <c r="G1801" s="10" t="str">
        <f aca="false">IFERROR(INDEX(Section_Master!$E$2:$E$477,MATCH($E1801,Section_Master!$A$2:$A$477,0))&amp;"","")</f>
        <v>Yes</v>
      </c>
      <c r="H1801" s="10" t="str">
        <f aca="false">IFERROR(INDEX(Section_Master!$F$2:$F$477,MATCH($E1801,Section_Master!$A$2:$A$477,0))&amp;"","")</f>
        <v>Yes</v>
      </c>
      <c r="I1801" s="10" t="str">
        <f aca="false">IFERROR(INDEX(Section_Master!$G$2:$G$477,MATCH($E1801,Section_Master!$A$2:$A$477,0))&amp;"","")</f>
        <v>No</v>
      </c>
      <c r="J1801" s="10" t="s">
        <v>64</v>
      </c>
      <c r="K1801" s="8" t="s">
        <v>4239</v>
      </c>
    </row>
    <row r="1802" customFormat="false" ht="34.5" hidden="false" customHeight="true" outlineLevel="0" collapsed="false">
      <c r="A1802" s="10" t="s">
        <v>4250</v>
      </c>
      <c r="B1802" s="10" t="s">
        <v>45</v>
      </c>
      <c r="C1802" s="8" t="s">
        <v>4251</v>
      </c>
      <c r="D1802" s="8" t="s">
        <v>4252</v>
      </c>
      <c r="E1802" s="11" t="n">
        <v>301</v>
      </c>
      <c r="F1802" s="8" t="str">
        <f aca="false">IFERROR(INDEX(Section_Master!$D$2:$D$477,MATCH($E1802,Section_Master!$A$2:$A$477,0))&amp;"","")</f>
        <v>Imprisonment up to 1 year, or fine, or both</v>
      </c>
      <c r="G1802" s="10" t="str">
        <f aca="false">IFERROR(INDEX(Section_Master!$E$2:$E$477,MATCH($E1802,Section_Master!$A$2:$A$477,0))&amp;"","")</f>
        <v>Yes</v>
      </c>
      <c r="H1802" s="10" t="str">
        <f aca="false">IFERROR(INDEX(Section_Master!$F$2:$F$477,MATCH($E1802,Section_Master!$A$2:$A$477,0))&amp;"","")</f>
        <v>Yes</v>
      </c>
      <c r="I1802" s="10" t="str">
        <f aca="false">IFERROR(INDEX(Section_Master!$G$2:$G$477,MATCH($E1802,Section_Master!$A$2:$A$477,0))&amp;"","")</f>
        <v>No</v>
      </c>
      <c r="J1802" s="10" t="s">
        <v>48</v>
      </c>
      <c r="K1802" s="8" t="s">
        <v>4253</v>
      </c>
    </row>
    <row r="1803" customFormat="false" ht="34.5" hidden="false" customHeight="true" outlineLevel="0" collapsed="false">
      <c r="A1803" s="10" t="s">
        <v>4254</v>
      </c>
      <c r="B1803" s="10" t="s">
        <v>45</v>
      </c>
      <c r="C1803" s="8" t="s">
        <v>4251</v>
      </c>
      <c r="D1803" s="8" t="s">
        <v>4255</v>
      </c>
      <c r="E1803" s="11" t="n">
        <v>301</v>
      </c>
      <c r="F1803" s="8" t="str">
        <f aca="false">IFERROR(INDEX(Section_Master!$D$2:$D$477,MATCH($E1803,Section_Master!$A$2:$A$477,0))&amp;"","")</f>
        <v>Imprisonment up to 1 year, or fine, or both</v>
      </c>
      <c r="G1803" s="10" t="str">
        <f aca="false">IFERROR(INDEX(Section_Master!$E$2:$E$477,MATCH($E1803,Section_Master!$A$2:$A$477,0))&amp;"","")</f>
        <v>Yes</v>
      </c>
      <c r="H1803" s="10" t="str">
        <f aca="false">IFERROR(INDEX(Section_Master!$F$2:$F$477,MATCH($E1803,Section_Master!$A$2:$A$477,0))&amp;"","")</f>
        <v>Yes</v>
      </c>
      <c r="I1803" s="10" t="str">
        <f aca="false">IFERROR(INDEX(Section_Master!$G$2:$G$477,MATCH($E1803,Section_Master!$A$2:$A$477,0))&amp;"","")</f>
        <v>No</v>
      </c>
      <c r="J1803" s="10" t="s">
        <v>52</v>
      </c>
      <c r="K1803" s="8" t="s">
        <v>4253</v>
      </c>
    </row>
    <row r="1804" customFormat="false" ht="34.5" hidden="false" customHeight="true" outlineLevel="0" collapsed="false">
      <c r="A1804" s="10" t="s">
        <v>4256</v>
      </c>
      <c r="B1804" s="10" t="s">
        <v>45</v>
      </c>
      <c r="C1804" s="8" t="s">
        <v>4251</v>
      </c>
      <c r="D1804" s="8" t="s">
        <v>4257</v>
      </c>
      <c r="E1804" s="11" t="n">
        <v>301</v>
      </c>
      <c r="F1804" s="8" t="str">
        <f aca="false">IFERROR(INDEX(Section_Master!$D$2:$D$477,MATCH($E1804,Section_Master!$A$2:$A$477,0))&amp;"","")</f>
        <v>Imprisonment up to 1 year, or fine, or both</v>
      </c>
      <c r="G1804" s="10" t="str">
        <f aca="false">IFERROR(INDEX(Section_Master!$E$2:$E$477,MATCH($E1804,Section_Master!$A$2:$A$477,0))&amp;"","")</f>
        <v>Yes</v>
      </c>
      <c r="H1804" s="10" t="str">
        <f aca="false">IFERROR(INDEX(Section_Master!$F$2:$F$477,MATCH($E1804,Section_Master!$A$2:$A$477,0))&amp;"","")</f>
        <v>Yes</v>
      </c>
      <c r="I1804" s="10" t="str">
        <f aca="false">IFERROR(INDEX(Section_Master!$G$2:$G$477,MATCH($E1804,Section_Master!$A$2:$A$477,0))&amp;"","")</f>
        <v>No</v>
      </c>
      <c r="J1804" s="10" t="s">
        <v>55</v>
      </c>
      <c r="K1804" s="8" t="s">
        <v>4253</v>
      </c>
    </row>
    <row r="1805" customFormat="false" ht="23.25" hidden="false" customHeight="true" outlineLevel="0" collapsed="false">
      <c r="A1805" s="10" t="s">
        <v>4258</v>
      </c>
      <c r="B1805" s="10" t="s">
        <v>45</v>
      </c>
      <c r="C1805" s="8" t="s">
        <v>4251</v>
      </c>
      <c r="D1805" s="8" t="s">
        <v>4259</v>
      </c>
      <c r="E1805" s="11" t="n">
        <v>301</v>
      </c>
      <c r="F1805" s="8" t="str">
        <f aca="false">IFERROR(INDEX(Section_Master!$D$2:$D$477,MATCH($E1805,Section_Master!$A$2:$A$477,0))&amp;"","")</f>
        <v>Imprisonment up to 1 year, or fine, or both</v>
      </c>
      <c r="G1805" s="10" t="str">
        <f aca="false">IFERROR(INDEX(Section_Master!$E$2:$E$477,MATCH($E1805,Section_Master!$A$2:$A$477,0))&amp;"","")</f>
        <v>Yes</v>
      </c>
      <c r="H1805" s="10" t="str">
        <f aca="false">IFERROR(INDEX(Section_Master!$F$2:$F$477,MATCH($E1805,Section_Master!$A$2:$A$477,0))&amp;"","")</f>
        <v>Yes</v>
      </c>
      <c r="I1805" s="10" t="str">
        <f aca="false">IFERROR(INDEX(Section_Master!$G$2:$G$477,MATCH($E1805,Section_Master!$A$2:$A$477,0))&amp;"","")</f>
        <v>No</v>
      </c>
      <c r="J1805" s="10" t="s">
        <v>58</v>
      </c>
      <c r="K1805" s="8" t="s">
        <v>4253</v>
      </c>
    </row>
    <row r="1806" customFormat="false" ht="23.25" hidden="false" customHeight="true" outlineLevel="0" collapsed="false">
      <c r="A1806" s="10" t="s">
        <v>4260</v>
      </c>
      <c r="B1806" s="10" t="s">
        <v>45</v>
      </c>
      <c r="C1806" s="8" t="s">
        <v>4251</v>
      </c>
      <c r="D1806" s="8" t="s">
        <v>4261</v>
      </c>
      <c r="E1806" s="11" t="n">
        <v>301</v>
      </c>
      <c r="F1806" s="8" t="str">
        <f aca="false">IFERROR(INDEX(Section_Master!$D$2:$D$477,MATCH($E1806,Section_Master!$A$2:$A$477,0))&amp;"","")</f>
        <v>Imprisonment up to 1 year, or fine, or both</v>
      </c>
      <c r="G1806" s="10" t="str">
        <f aca="false">IFERROR(INDEX(Section_Master!$E$2:$E$477,MATCH($E1806,Section_Master!$A$2:$A$477,0))&amp;"","")</f>
        <v>Yes</v>
      </c>
      <c r="H1806" s="10" t="str">
        <f aca="false">IFERROR(INDEX(Section_Master!$F$2:$F$477,MATCH($E1806,Section_Master!$A$2:$A$477,0))&amp;"","")</f>
        <v>Yes</v>
      </c>
      <c r="I1806" s="10" t="str">
        <f aca="false">IFERROR(INDEX(Section_Master!$G$2:$G$477,MATCH($E1806,Section_Master!$A$2:$A$477,0))&amp;"","")</f>
        <v>No</v>
      </c>
      <c r="J1806" s="10" t="s">
        <v>61</v>
      </c>
      <c r="K1806" s="8" t="s">
        <v>4253</v>
      </c>
    </row>
    <row r="1807" customFormat="false" ht="34.5" hidden="false" customHeight="true" outlineLevel="0" collapsed="false">
      <c r="A1807" s="10" t="s">
        <v>4262</v>
      </c>
      <c r="B1807" s="10" t="s">
        <v>45</v>
      </c>
      <c r="C1807" s="8" t="s">
        <v>4251</v>
      </c>
      <c r="D1807" s="8" t="s">
        <v>4263</v>
      </c>
      <c r="E1807" s="11" t="n">
        <v>301</v>
      </c>
      <c r="F1807" s="8" t="str">
        <f aca="false">IFERROR(INDEX(Section_Master!$D$2:$D$477,MATCH($E1807,Section_Master!$A$2:$A$477,0))&amp;"","")</f>
        <v>Imprisonment up to 1 year, or fine, or both</v>
      </c>
      <c r="G1807" s="10" t="str">
        <f aca="false">IFERROR(INDEX(Section_Master!$E$2:$E$477,MATCH($E1807,Section_Master!$A$2:$A$477,0))&amp;"","")</f>
        <v>Yes</v>
      </c>
      <c r="H1807" s="10" t="str">
        <f aca="false">IFERROR(INDEX(Section_Master!$F$2:$F$477,MATCH($E1807,Section_Master!$A$2:$A$477,0))&amp;"","")</f>
        <v>Yes</v>
      </c>
      <c r="I1807" s="10" t="str">
        <f aca="false">IFERROR(INDEX(Section_Master!$G$2:$G$477,MATCH($E1807,Section_Master!$A$2:$A$477,0))&amp;"","")</f>
        <v>No</v>
      </c>
      <c r="J1807" s="10" t="s">
        <v>64</v>
      </c>
      <c r="K1807" s="8" t="s">
        <v>4253</v>
      </c>
    </row>
    <row r="1808" customFormat="false" ht="34.5" hidden="false" customHeight="true" outlineLevel="0" collapsed="false">
      <c r="A1808" s="10" t="s">
        <v>4264</v>
      </c>
      <c r="B1808" s="10" t="s">
        <v>45</v>
      </c>
      <c r="C1808" s="8" t="s">
        <v>4265</v>
      </c>
      <c r="D1808" s="8" t="s">
        <v>4266</v>
      </c>
      <c r="E1808" s="11" t="n">
        <v>302</v>
      </c>
      <c r="F1808" s="8" t="str">
        <f aca="false">IFERROR(INDEX(Section_Master!$D$2:$D$477,MATCH($E1808,Section_Master!$A$2:$A$477,0))&amp;"","")</f>
        <v>Imprisonment up to 1 year, or fine, or both</v>
      </c>
      <c r="G1808" s="10" t="str">
        <f aca="false">IFERROR(INDEX(Section_Master!$E$2:$E$477,MATCH($E1808,Section_Master!$A$2:$A$477,0))&amp;"","")</f>
        <v>No</v>
      </c>
      <c r="H1808" s="10" t="str">
        <f aca="false">IFERROR(INDEX(Section_Master!$F$2:$F$477,MATCH($E1808,Section_Master!$A$2:$A$477,0))&amp;"","")</f>
        <v>Yes</v>
      </c>
      <c r="I1808" s="10" t="str">
        <f aca="false">IFERROR(INDEX(Section_Master!$G$2:$G$477,MATCH($E1808,Section_Master!$A$2:$A$477,0))&amp;"","")</f>
        <v>Yes</v>
      </c>
      <c r="J1808" s="10" t="s">
        <v>48</v>
      </c>
      <c r="K1808" s="8" t="s">
        <v>4267</v>
      </c>
    </row>
    <row r="1809" customFormat="false" ht="34.5" hidden="false" customHeight="true" outlineLevel="0" collapsed="false">
      <c r="A1809" s="10" t="s">
        <v>4268</v>
      </c>
      <c r="B1809" s="10" t="s">
        <v>45</v>
      </c>
      <c r="C1809" s="8" t="s">
        <v>4265</v>
      </c>
      <c r="D1809" s="8" t="s">
        <v>4269</v>
      </c>
      <c r="E1809" s="11" t="n">
        <v>302</v>
      </c>
      <c r="F1809" s="8" t="str">
        <f aca="false">IFERROR(INDEX(Section_Master!$D$2:$D$477,MATCH($E1809,Section_Master!$A$2:$A$477,0))&amp;"","")</f>
        <v>Imprisonment up to 1 year, or fine, or both</v>
      </c>
      <c r="G1809" s="10" t="str">
        <f aca="false">IFERROR(INDEX(Section_Master!$E$2:$E$477,MATCH($E1809,Section_Master!$A$2:$A$477,0))&amp;"","")</f>
        <v>No</v>
      </c>
      <c r="H1809" s="10" t="str">
        <f aca="false">IFERROR(INDEX(Section_Master!$F$2:$F$477,MATCH($E1809,Section_Master!$A$2:$A$477,0))&amp;"","")</f>
        <v>Yes</v>
      </c>
      <c r="I1809" s="10" t="str">
        <f aca="false">IFERROR(INDEX(Section_Master!$G$2:$G$477,MATCH($E1809,Section_Master!$A$2:$A$477,0))&amp;"","")</f>
        <v>Yes</v>
      </c>
      <c r="J1809" s="10" t="s">
        <v>52</v>
      </c>
      <c r="K1809" s="8" t="s">
        <v>4267</v>
      </c>
    </row>
    <row r="1810" customFormat="false" ht="34.5" hidden="false" customHeight="true" outlineLevel="0" collapsed="false">
      <c r="A1810" s="10" t="s">
        <v>4270</v>
      </c>
      <c r="B1810" s="10" t="s">
        <v>45</v>
      </c>
      <c r="C1810" s="8" t="s">
        <v>4265</v>
      </c>
      <c r="D1810" s="8" t="s">
        <v>4271</v>
      </c>
      <c r="E1810" s="11" t="n">
        <v>302</v>
      </c>
      <c r="F1810" s="8" t="str">
        <f aca="false">IFERROR(INDEX(Section_Master!$D$2:$D$477,MATCH($E1810,Section_Master!$A$2:$A$477,0))&amp;"","")</f>
        <v>Imprisonment up to 1 year, or fine, or both</v>
      </c>
      <c r="G1810" s="10" t="str">
        <f aca="false">IFERROR(INDEX(Section_Master!$E$2:$E$477,MATCH($E1810,Section_Master!$A$2:$A$477,0))&amp;"","")</f>
        <v>No</v>
      </c>
      <c r="H1810" s="10" t="str">
        <f aca="false">IFERROR(INDEX(Section_Master!$F$2:$F$477,MATCH($E1810,Section_Master!$A$2:$A$477,0))&amp;"","")</f>
        <v>Yes</v>
      </c>
      <c r="I1810" s="10" t="str">
        <f aca="false">IFERROR(INDEX(Section_Master!$G$2:$G$477,MATCH($E1810,Section_Master!$A$2:$A$477,0))&amp;"","")</f>
        <v>Yes</v>
      </c>
      <c r="J1810" s="10" t="s">
        <v>55</v>
      </c>
      <c r="K1810" s="8" t="s">
        <v>4267</v>
      </c>
    </row>
    <row r="1811" customFormat="false" ht="34.5" hidden="false" customHeight="true" outlineLevel="0" collapsed="false">
      <c r="A1811" s="10" t="s">
        <v>4272</v>
      </c>
      <c r="B1811" s="10" t="s">
        <v>45</v>
      </c>
      <c r="C1811" s="8" t="s">
        <v>4265</v>
      </c>
      <c r="D1811" s="8" t="s">
        <v>4273</v>
      </c>
      <c r="E1811" s="11" t="n">
        <v>302</v>
      </c>
      <c r="F1811" s="8" t="str">
        <f aca="false">IFERROR(INDEX(Section_Master!$D$2:$D$477,MATCH($E1811,Section_Master!$A$2:$A$477,0))&amp;"","")</f>
        <v>Imprisonment up to 1 year, or fine, or both</v>
      </c>
      <c r="G1811" s="10" t="str">
        <f aca="false">IFERROR(INDEX(Section_Master!$E$2:$E$477,MATCH($E1811,Section_Master!$A$2:$A$477,0))&amp;"","")</f>
        <v>No</v>
      </c>
      <c r="H1811" s="10" t="str">
        <f aca="false">IFERROR(INDEX(Section_Master!$F$2:$F$477,MATCH($E1811,Section_Master!$A$2:$A$477,0))&amp;"","")</f>
        <v>Yes</v>
      </c>
      <c r="I1811" s="10" t="str">
        <f aca="false">IFERROR(INDEX(Section_Master!$G$2:$G$477,MATCH($E1811,Section_Master!$A$2:$A$477,0))&amp;"","")</f>
        <v>Yes</v>
      </c>
      <c r="J1811" s="10" t="s">
        <v>58</v>
      </c>
      <c r="K1811" s="8" t="s">
        <v>4267</v>
      </c>
    </row>
    <row r="1812" customFormat="false" ht="34.5" hidden="false" customHeight="true" outlineLevel="0" collapsed="false">
      <c r="A1812" s="10" t="s">
        <v>4274</v>
      </c>
      <c r="B1812" s="10" t="s">
        <v>45</v>
      </c>
      <c r="C1812" s="8" t="s">
        <v>4265</v>
      </c>
      <c r="D1812" s="8" t="s">
        <v>4275</v>
      </c>
      <c r="E1812" s="11" t="n">
        <v>302</v>
      </c>
      <c r="F1812" s="8" t="str">
        <f aca="false">IFERROR(INDEX(Section_Master!$D$2:$D$477,MATCH($E1812,Section_Master!$A$2:$A$477,0))&amp;"","")</f>
        <v>Imprisonment up to 1 year, or fine, or both</v>
      </c>
      <c r="G1812" s="10" t="str">
        <f aca="false">IFERROR(INDEX(Section_Master!$E$2:$E$477,MATCH($E1812,Section_Master!$A$2:$A$477,0))&amp;"","")</f>
        <v>No</v>
      </c>
      <c r="H1812" s="10" t="str">
        <f aca="false">IFERROR(INDEX(Section_Master!$F$2:$F$477,MATCH($E1812,Section_Master!$A$2:$A$477,0))&amp;"","")</f>
        <v>Yes</v>
      </c>
      <c r="I1812" s="10" t="str">
        <f aca="false">IFERROR(INDEX(Section_Master!$G$2:$G$477,MATCH($E1812,Section_Master!$A$2:$A$477,0))&amp;"","")</f>
        <v>Yes</v>
      </c>
      <c r="J1812" s="10" t="s">
        <v>61</v>
      </c>
      <c r="K1812" s="8" t="s">
        <v>4267</v>
      </c>
    </row>
    <row r="1813" customFormat="false" ht="34.5" hidden="false" customHeight="true" outlineLevel="0" collapsed="false">
      <c r="A1813" s="10" t="s">
        <v>4276</v>
      </c>
      <c r="B1813" s="10" t="s">
        <v>45</v>
      </c>
      <c r="C1813" s="8" t="s">
        <v>4265</v>
      </c>
      <c r="D1813" s="8" t="s">
        <v>4277</v>
      </c>
      <c r="E1813" s="11" t="n">
        <v>302</v>
      </c>
      <c r="F1813" s="8" t="str">
        <f aca="false">IFERROR(INDEX(Section_Master!$D$2:$D$477,MATCH($E1813,Section_Master!$A$2:$A$477,0))&amp;"","")</f>
        <v>Imprisonment up to 1 year, or fine, or both</v>
      </c>
      <c r="G1813" s="10" t="str">
        <f aca="false">IFERROR(INDEX(Section_Master!$E$2:$E$477,MATCH($E1813,Section_Master!$A$2:$A$477,0))&amp;"","")</f>
        <v>No</v>
      </c>
      <c r="H1813" s="10" t="str">
        <f aca="false">IFERROR(INDEX(Section_Master!$F$2:$F$477,MATCH($E1813,Section_Master!$A$2:$A$477,0))&amp;"","")</f>
        <v>Yes</v>
      </c>
      <c r="I1813" s="10" t="str">
        <f aca="false">IFERROR(INDEX(Section_Master!$G$2:$G$477,MATCH($E1813,Section_Master!$A$2:$A$477,0))&amp;"","")</f>
        <v>Yes</v>
      </c>
      <c r="J1813" s="10" t="s">
        <v>64</v>
      </c>
      <c r="K1813" s="8" t="s">
        <v>4267</v>
      </c>
    </row>
    <row r="1814" customFormat="false" ht="45.75" hidden="false" customHeight="true" outlineLevel="0" collapsed="false">
      <c r="A1814" s="10" t="s">
        <v>4278</v>
      </c>
      <c r="B1814" s="10" t="s">
        <v>45</v>
      </c>
      <c r="C1814" s="8" t="s">
        <v>4279</v>
      </c>
      <c r="D1814" s="8" t="s">
        <v>4280</v>
      </c>
      <c r="E1814" s="11" t="n">
        <v>303</v>
      </c>
      <c r="F1814" s="8" t="str">
        <f aca="false">IFERROR(INDEX(Section_Master!$D$2:$D$477,MATCH($E1814,Section_Master!$A$2:$A$477,0))&amp;"","")</f>
        <v>Imprisonment up to 3 years, or fine, or both [s.303(2)]</v>
      </c>
      <c r="G1814" s="10" t="str">
        <f aca="false">IFERROR(INDEX(Section_Master!$E$2:$E$477,MATCH($E1814,Section_Master!$A$2:$A$477,0))&amp;"","")</f>
        <v>Yes</v>
      </c>
      <c r="H1814" s="10" t="str">
        <f aca="false">IFERROR(INDEX(Section_Master!$F$2:$F$477,MATCH($E1814,Section_Master!$A$2:$A$477,0))&amp;"","")</f>
        <v>No</v>
      </c>
      <c r="I1814" s="10" t="str">
        <f aca="false">IFERROR(INDEX(Section_Master!$G$2:$G$477,MATCH($E1814,Section_Master!$A$2:$A$477,0))&amp;"","")</f>
        <v>With court permission</v>
      </c>
      <c r="J1814" s="10" t="s">
        <v>48</v>
      </c>
      <c r="K1814" s="8" t="s">
        <v>4281</v>
      </c>
    </row>
    <row r="1815" customFormat="false" ht="45.75" hidden="false" customHeight="true" outlineLevel="0" collapsed="false">
      <c r="A1815" s="10" t="s">
        <v>4282</v>
      </c>
      <c r="B1815" s="10" t="s">
        <v>45</v>
      </c>
      <c r="C1815" s="8" t="s">
        <v>4279</v>
      </c>
      <c r="D1815" s="8" t="s">
        <v>4283</v>
      </c>
      <c r="E1815" s="11" t="n">
        <v>303</v>
      </c>
      <c r="F1815" s="8" t="str">
        <f aca="false">IFERROR(INDEX(Section_Master!$D$2:$D$477,MATCH($E1815,Section_Master!$A$2:$A$477,0))&amp;"","")</f>
        <v>Imprisonment up to 3 years, or fine, or both [s.303(2)]</v>
      </c>
      <c r="G1815" s="10" t="str">
        <f aca="false">IFERROR(INDEX(Section_Master!$E$2:$E$477,MATCH($E1815,Section_Master!$A$2:$A$477,0))&amp;"","")</f>
        <v>Yes</v>
      </c>
      <c r="H1815" s="10" t="str">
        <f aca="false">IFERROR(INDEX(Section_Master!$F$2:$F$477,MATCH($E1815,Section_Master!$A$2:$A$477,0))&amp;"","")</f>
        <v>No</v>
      </c>
      <c r="I1815" s="10" t="str">
        <f aca="false">IFERROR(INDEX(Section_Master!$G$2:$G$477,MATCH($E1815,Section_Master!$A$2:$A$477,0))&amp;"","")</f>
        <v>With court permission</v>
      </c>
      <c r="J1815" s="10" t="s">
        <v>52</v>
      </c>
      <c r="K1815" s="8" t="s">
        <v>4281</v>
      </c>
    </row>
    <row r="1816" customFormat="false" ht="34.5" hidden="false" customHeight="true" outlineLevel="0" collapsed="false">
      <c r="A1816" s="10" t="s">
        <v>4284</v>
      </c>
      <c r="B1816" s="10" t="s">
        <v>45</v>
      </c>
      <c r="C1816" s="8" t="s">
        <v>4279</v>
      </c>
      <c r="D1816" s="8" t="s">
        <v>4285</v>
      </c>
      <c r="E1816" s="11" t="n">
        <v>303</v>
      </c>
      <c r="F1816" s="8" t="str">
        <f aca="false">IFERROR(INDEX(Section_Master!$D$2:$D$477,MATCH($E1816,Section_Master!$A$2:$A$477,0))&amp;"","")</f>
        <v>Imprisonment up to 3 years, or fine, or both [s.303(2)]</v>
      </c>
      <c r="G1816" s="10" t="str">
        <f aca="false">IFERROR(INDEX(Section_Master!$E$2:$E$477,MATCH($E1816,Section_Master!$A$2:$A$477,0))&amp;"","")</f>
        <v>Yes</v>
      </c>
      <c r="H1816" s="10" t="str">
        <f aca="false">IFERROR(INDEX(Section_Master!$F$2:$F$477,MATCH($E1816,Section_Master!$A$2:$A$477,0))&amp;"","")</f>
        <v>No</v>
      </c>
      <c r="I1816" s="10" t="str">
        <f aca="false">IFERROR(INDEX(Section_Master!$G$2:$G$477,MATCH($E1816,Section_Master!$A$2:$A$477,0))&amp;"","")</f>
        <v>With court permission</v>
      </c>
      <c r="J1816" s="10" t="s">
        <v>55</v>
      </c>
      <c r="K1816" s="8" t="s">
        <v>4281</v>
      </c>
    </row>
    <row r="1817" customFormat="false" ht="34.5" hidden="false" customHeight="true" outlineLevel="0" collapsed="false">
      <c r="A1817" s="10" t="s">
        <v>4286</v>
      </c>
      <c r="B1817" s="10" t="s">
        <v>45</v>
      </c>
      <c r="C1817" s="8" t="s">
        <v>4279</v>
      </c>
      <c r="D1817" s="8" t="s">
        <v>4287</v>
      </c>
      <c r="E1817" s="11" t="n">
        <v>303</v>
      </c>
      <c r="F1817" s="8" t="str">
        <f aca="false">IFERROR(INDEX(Section_Master!$D$2:$D$477,MATCH($E1817,Section_Master!$A$2:$A$477,0))&amp;"","")</f>
        <v>Imprisonment up to 3 years, or fine, or both [s.303(2)]</v>
      </c>
      <c r="G1817" s="10" t="str">
        <f aca="false">IFERROR(INDEX(Section_Master!$E$2:$E$477,MATCH($E1817,Section_Master!$A$2:$A$477,0))&amp;"","")</f>
        <v>Yes</v>
      </c>
      <c r="H1817" s="10" t="str">
        <f aca="false">IFERROR(INDEX(Section_Master!$F$2:$F$477,MATCH($E1817,Section_Master!$A$2:$A$477,0))&amp;"","")</f>
        <v>No</v>
      </c>
      <c r="I1817" s="10" t="str">
        <f aca="false">IFERROR(INDEX(Section_Master!$G$2:$G$477,MATCH($E1817,Section_Master!$A$2:$A$477,0))&amp;"","")</f>
        <v>With court permission</v>
      </c>
      <c r="J1817" s="10" t="s">
        <v>58</v>
      </c>
      <c r="K1817" s="8" t="s">
        <v>4281</v>
      </c>
    </row>
    <row r="1818" customFormat="false" ht="34.5" hidden="false" customHeight="true" outlineLevel="0" collapsed="false">
      <c r="A1818" s="10" t="s">
        <v>4288</v>
      </c>
      <c r="B1818" s="10" t="s">
        <v>45</v>
      </c>
      <c r="C1818" s="8" t="s">
        <v>4279</v>
      </c>
      <c r="D1818" s="8" t="s">
        <v>4289</v>
      </c>
      <c r="E1818" s="11" t="n">
        <v>303</v>
      </c>
      <c r="F1818" s="8" t="str">
        <f aca="false">IFERROR(INDEX(Section_Master!$D$2:$D$477,MATCH($E1818,Section_Master!$A$2:$A$477,0))&amp;"","")</f>
        <v>Imprisonment up to 3 years, or fine, or both [s.303(2)]</v>
      </c>
      <c r="G1818" s="10" t="str">
        <f aca="false">IFERROR(INDEX(Section_Master!$E$2:$E$477,MATCH($E1818,Section_Master!$A$2:$A$477,0))&amp;"","")</f>
        <v>Yes</v>
      </c>
      <c r="H1818" s="10" t="str">
        <f aca="false">IFERROR(INDEX(Section_Master!$F$2:$F$477,MATCH($E1818,Section_Master!$A$2:$A$477,0))&amp;"","")</f>
        <v>No</v>
      </c>
      <c r="I1818" s="10" t="str">
        <f aca="false">IFERROR(INDEX(Section_Master!$G$2:$G$477,MATCH($E1818,Section_Master!$A$2:$A$477,0))&amp;"","")</f>
        <v>With court permission</v>
      </c>
      <c r="J1818" s="10" t="s">
        <v>61</v>
      </c>
      <c r="K1818" s="8" t="s">
        <v>4281</v>
      </c>
    </row>
    <row r="1819" customFormat="false" ht="34.5" hidden="false" customHeight="true" outlineLevel="0" collapsed="false">
      <c r="A1819" s="10" t="s">
        <v>4290</v>
      </c>
      <c r="B1819" s="10" t="s">
        <v>45</v>
      </c>
      <c r="C1819" s="8" t="s">
        <v>4279</v>
      </c>
      <c r="D1819" s="8" t="s">
        <v>4291</v>
      </c>
      <c r="E1819" s="11" t="n">
        <v>303</v>
      </c>
      <c r="F1819" s="8" t="str">
        <f aca="false">IFERROR(INDEX(Section_Master!$D$2:$D$477,MATCH($E1819,Section_Master!$A$2:$A$477,0))&amp;"","")</f>
        <v>Imprisonment up to 3 years, or fine, or both [s.303(2)]</v>
      </c>
      <c r="G1819" s="10" t="str">
        <f aca="false">IFERROR(INDEX(Section_Master!$E$2:$E$477,MATCH($E1819,Section_Master!$A$2:$A$477,0))&amp;"","")</f>
        <v>Yes</v>
      </c>
      <c r="H1819" s="10" t="str">
        <f aca="false">IFERROR(INDEX(Section_Master!$F$2:$F$477,MATCH($E1819,Section_Master!$A$2:$A$477,0))&amp;"","")</f>
        <v>No</v>
      </c>
      <c r="I1819" s="10" t="str">
        <f aca="false">IFERROR(INDEX(Section_Master!$G$2:$G$477,MATCH($E1819,Section_Master!$A$2:$A$477,0))&amp;"","")</f>
        <v>With court permission</v>
      </c>
      <c r="J1819" s="10" t="s">
        <v>64</v>
      </c>
      <c r="K1819" s="8" t="s">
        <v>4281</v>
      </c>
    </row>
    <row r="1820" customFormat="false" ht="34.5" hidden="false" customHeight="true" outlineLevel="0" collapsed="false">
      <c r="A1820" s="10" t="s">
        <v>4292</v>
      </c>
      <c r="B1820" s="10" t="s">
        <v>45</v>
      </c>
      <c r="C1820" s="8" t="s">
        <v>4293</v>
      </c>
      <c r="D1820" s="8" t="s">
        <v>4294</v>
      </c>
      <c r="E1820" s="11" t="n">
        <v>304</v>
      </c>
      <c r="F1820" s="8" t="str">
        <f aca="false">IFERROR(INDEX(Section_Master!$D$2:$D$477,MATCH($E1820,Section_Master!$A$2:$A$477,0))&amp;"","")</f>
        <v>Imprisonment up to 3 years and fine</v>
      </c>
      <c r="G1820" s="10" t="str">
        <f aca="false">IFERROR(INDEX(Section_Master!$E$2:$E$477,MATCH($E1820,Section_Master!$A$2:$A$477,0))&amp;"","")</f>
        <v>Yes</v>
      </c>
      <c r="H1820" s="10" t="str">
        <f aca="false">IFERROR(INDEX(Section_Master!$F$2:$F$477,MATCH($E1820,Section_Master!$A$2:$A$477,0))&amp;"","")</f>
        <v>No</v>
      </c>
      <c r="I1820" s="10" t="str">
        <f aca="false">IFERROR(INDEX(Section_Master!$G$2:$G$477,MATCH($E1820,Section_Master!$A$2:$A$477,0))&amp;"","")</f>
        <v>No</v>
      </c>
      <c r="J1820" s="10" t="s">
        <v>48</v>
      </c>
      <c r="K1820" s="8" t="s">
        <v>4295</v>
      </c>
    </row>
    <row r="1821" customFormat="false" ht="34.5" hidden="false" customHeight="true" outlineLevel="0" collapsed="false">
      <c r="A1821" s="10" t="s">
        <v>4296</v>
      </c>
      <c r="B1821" s="10" t="s">
        <v>45</v>
      </c>
      <c r="C1821" s="8" t="s">
        <v>4293</v>
      </c>
      <c r="D1821" s="8" t="s">
        <v>4297</v>
      </c>
      <c r="E1821" s="11" t="n">
        <v>304</v>
      </c>
      <c r="F1821" s="8" t="str">
        <f aca="false">IFERROR(INDEX(Section_Master!$D$2:$D$477,MATCH($E1821,Section_Master!$A$2:$A$477,0))&amp;"","")</f>
        <v>Imprisonment up to 3 years and fine</v>
      </c>
      <c r="G1821" s="10" t="str">
        <f aca="false">IFERROR(INDEX(Section_Master!$E$2:$E$477,MATCH($E1821,Section_Master!$A$2:$A$477,0))&amp;"","")</f>
        <v>Yes</v>
      </c>
      <c r="H1821" s="10" t="str">
        <f aca="false">IFERROR(INDEX(Section_Master!$F$2:$F$477,MATCH($E1821,Section_Master!$A$2:$A$477,0))&amp;"","")</f>
        <v>No</v>
      </c>
      <c r="I1821" s="10" t="str">
        <f aca="false">IFERROR(INDEX(Section_Master!$G$2:$G$477,MATCH($E1821,Section_Master!$A$2:$A$477,0))&amp;"","")</f>
        <v>No</v>
      </c>
      <c r="J1821" s="10" t="s">
        <v>52</v>
      </c>
      <c r="K1821" s="8" t="s">
        <v>4295</v>
      </c>
    </row>
    <row r="1822" customFormat="false" ht="34.5" hidden="false" customHeight="true" outlineLevel="0" collapsed="false">
      <c r="A1822" s="10" t="s">
        <v>4298</v>
      </c>
      <c r="B1822" s="10" t="s">
        <v>45</v>
      </c>
      <c r="C1822" s="8" t="s">
        <v>4293</v>
      </c>
      <c r="D1822" s="8" t="s">
        <v>4299</v>
      </c>
      <c r="E1822" s="11" t="n">
        <v>304</v>
      </c>
      <c r="F1822" s="8" t="str">
        <f aca="false">IFERROR(INDEX(Section_Master!$D$2:$D$477,MATCH($E1822,Section_Master!$A$2:$A$477,0))&amp;"","")</f>
        <v>Imprisonment up to 3 years and fine</v>
      </c>
      <c r="G1822" s="10" t="str">
        <f aca="false">IFERROR(INDEX(Section_Master!$E$2:$E$477,MATCH($E1822,Section_Master!$A$2:$A$477,0))&amp;"","")</f>
        <v>Yes</v>
      </c>
      <c r="H1822" s="10" t="str">
        <f aca="false">IFERROR(INDEX(Section_Master!$F$2:$F$477,MATCH($E1822,Section_Master!$A$2:$A$477,0))&amp;"","")</f>
        <v>No</v>
      </c>
      <c r="I1822" s="10" t="str">
        <f aca="false">IFERROR(INDEX(Section_Master!$G$2:$G$477,MATCH($E1822,Section_Master!$A$2:$A$477,0))&amp;"","")</f>
        <v>No</v>
      </c>
      <c r="J1822" s="10" t="s">
        <v>55</v>
      </c>
      <c r="K1822" s="8" t="s">
        <v>4295</v>
      </c>
    </row>
    <row r="1823" customFormat="false" ht="34.5" hidden="false" customHeight="true" outlineLevel="0" collapsed="false">
      <c r="A1823" s="10" t="s">
        <v>4300</v>
      </c>
      <c r="B1823" s="10" t="s">
        <v>45</v>
      </c>
      <c r="C1823" s="8" t="s">
        <v>4293</v>
      </c>
      <c r="D1823" s="8" t="s">
        <v>4301</v>
      </c>
      <c r="E1823" s="11" t="n">
        <v>304</v>
      </c>
      <c r="F1823" s="8" t="str">
        <f aca="false">IFERROR(INDEX(Section_Master!$D$2:$D$477,MATCH($E1823,Section_Master!$A$2:$A$477,0))&amp;"","")</f>
        <v>Imprisonment up to 3 years and fine</v>
      </c>
      <c r="G1823" s="10" t="str">
        <f aca="false">IFERROR(INDEX(Section_Master!$E$2:$E$477,MATCH($E1823,Section_Master!$A$2:$A$477,0))&amp;"","")</f>
        <v>Yes</v>
      </c>
      <c r="H1823" s="10" t="str">
        <f aca="false">IFERROR(INDEX(Section_Master!$F$2:$F$477,MATCH($E1823,Section_Master!$A$2:$A$477,0))&amp;"","")</f>
        <v>No</v>
      </c>
      <c r="I1823" s="10" t="str">
        <f aca="false">IFERROR(INDEX(Section_Master!$G$2:$G$477,MATCH($E1823,Section_Master!$A$2:$A$477,0))&amp;"","")</f>
        <v>No</v>
      </c>
      <c r="J1823" s="10" t="s">
        <v>58</v>
      </c>
      <c r="K1823" s="8" t="s">
        <v>4295</v>
      </c>
    </row>
    <row r="1824" customFormat="false" ht="23.25" hidden="false" customHeight="true" outlineLevel="0" collapsed="false">
      <c r="A1824" s="10" t="s">
        <v>4302</v>
      </c>
      <c r="B1824" s="10" t="s">
        <v>45</v>
      </c>
      <c r="C1824" s="8" t="s">
        <v>4293</v>
      </c>
      <c r="D1824" s="8" t="s">
        <v>4303</v>
      </c>
      <c r="E1824" s="11" t="n">
        <v>304</v>
      </c>
      <c r="F1824" s="8" t="str">
        <f aca="false">IFERROR(INDEX(Section_Master!$D$2:$D$477,MATCH($E1824,Section_Master!$A$2:$A$477,0))&amp;"","")</f>
        <v>Imprisonment up to 3 years and fine</v>
      </c>
      <c r="G1824" s="10" t="str">
        <f aca="false">IFERROR(INDEX(Section_Master!$E$2:$E$477,MATCH($E1824,Section_Master!$A$2:$A$477,0))&amp;"","")</f>
        <v>Yes</v>
      </c>
      <c r="H1824" s="10" t="str">
        <f aca="false">IFERROR(INDEX(Section_Master!$F$2:$F$477,MATCH($E1824,Section_Master!$A$2:$A$477,0))&amp;"","")</f>
        <v>No</v>
      </c>
      <c r="I1824" s="10" t="str">
        <f aca="false">IFERROR(INDEX(Section_Master!$G$2:$G$477,MATCH($E1824,Section_Master!$A$2:$A$477,0))&amp;"","")</f>
        <v>No</v>
      </c>
      <c r="J1824" s="10" t="s">
        <v>61</v>
      </c>
      <c r="K1824" s="8" t="s">
        <v>4295</v>
      </c>
    </row>
    <row r="1825" customFormat="false" ht="34.5" hidden="false" customHeight="true" outlineLevel="0" collapsed="false">
      <c r="A1825" s="10" t="s">
        <v>4304</v>
      </c>
      <c r="B1825" s="10" t="s">
        <v>45</v>
      </c>
      <c r="C1825" s="8" t="s">
        <v>4293</v>
      </c>
      <c r="D1825" s="8" t="s">
        <v>4305</v>
      </c>
      <c r="E1825" s="11" t="n">
        <v>304</v>
      </c>
      <c r="F1825" s="8" t="str">
        <f aca="false">IFERROR(INDEX(Section_Master!$D$2:$D$477,MATCH($E1825,Section_Master!$A$2:$A$477,0))&amp;"","")</f>
        <v>Imprisonment up to 3 years and fine</v>
      </c>
      <c r="G1825" s="10" t="str">
        <f aca="false">IFERROR(INDEX(Section_Master!$E$2:$E$477,MATCH($E1825,Section_Master!$A$2:$A$477,0))&amp;"","")</f>
        <v>Yes</v>
      </c>
      <c r="H1825" s="10" t="str">
        <f aca="false">IFERROR(INDEX(Section_Master!$F$2:$F$477,MATCH($E1825,Section_Master!$A$2:$A$477,0))&amp;"","")</f>
        <v>No</v>
      </c>
      <c r="I1825" s="10" t="str">
        <f aca="false">IFERROR(INDEX(Section_Master!$G$2:$G$477,MATCH($E1825,Section_Master!$A$2:$A$477,0))&amp;"","")</f>
        <v>No</v>
      </c>
      <c r="J1825" s="10" t="s">
        <v>64</v>
      </c>
      <c r="K1825" s="8" t="s">
        <v>4295</v>
      </c>
    </row>
    <row r="1826" customFormat="false" ht="34.5" hidden="false" customHeight="true" outlineLevel="0" collapsed="false">
      <c r="A1826" s="10" t="s">
        <v>4306</v>
      </c>
      <c r="B1826" s="10" t="s">
        <v>45</v>
      </c>
      <c r="C1826" s="8" t="s">
        <v>4307</v>
      </c>
      <c r="D1826" s="8" t="s">
        <v>4308</v>
      </c>
      <c r="E1826" s="11" t="n">
        <v>305</v>
      </c>
      <c r="F1826" s="8" t="str">
        <f aca="false">IFERROR(INDEX(Section_Master!$D$2:$D$477,MATCH($E1826,Section_Master!$A$2:$A$477,0))&amp;"","")</f>
        <v>Imprisonment up to 7 years and fine</v>
      </c>
      <c r="G1826" s="10" t="str">
        <f aca="false">IFERROR(INDEX(Section_Master!$E$2:$E$477,MATCH($E1826,Section_Master!$A$2:$A$477,0))&amp;"","")</f>
        <v>Yes</v>
      </c>
      <c r="H1826" s="10" t="str">
        <f aca="false">IFERROR(INDEX(Section_Master!$F$2:$F$477,MATCH($E1826,Section_Master!$A$2:$A$477,0))&amp;"","")</f>
        <v>No</v>
      </c>
      <c r="I1826" s="10" t="str">
        <f aca="false">IFERROR(INDEX(Section_Master!$G$2:$G$477,MATCH($E1826,Section_Master!$A$2:$A$477,0))&amp;"","")</f>
        <v>With court permission</v>
      </c>
      <c r="J1826" s="10" t="s">
        <v>48</v>
      </c>
      <c r="K1826" s="8" t="s">
        <v>4309</v>
      </c>
    </row>
    <row r="1827" customFormat="false" ht="34.5" hidden="false" customHeight="true" outlineLevel="0" collapsed="false">
      <c r="A1827" s="10" t="s">
        <v>4310</v>
      </c>
      <c r="B1827" s="10" t="s">
        <v>45</v>
      </c>
      <c r="C1827" s="8" t="s">
        <v>4307</v>
      </c>
      <c r="D1827" s="8" t="s">
        <v>4311</v>
      </c>
      <c r="E1827" s="11" t="n">
        <v>305</v>
      </c>
      <c r="F1827" s="8" t="str">
        <f aca="false">IFERROR(INDEX(Section_Master!$D$2:$D$477,MATCH($E1827,Section_Master!$A$2:$A$477,0))&amp;"","")</f>
        <v>Imprisonment up to 7 years and fine</v>
      </c>
      <c r="G1827" s="10" t="str">
        <f aca="false">IFERROR(INDEX(Section_Master!$E$2:$E$477,MATCH($E1827,Section_Master!$A$2:$A$477,0))&amp;"","")</f>
        <v>Yes</v>
      </c>
      <c r="H1827" s="10" t="str">
        <f aca="false">IFERROR(INDEX(Section_Master!$F$2:$F$477,MATCH($E1827,Section_Master!$A$2:$A$477,0))&amp;"","")</f>
        <v>No</v>
      </c>
      <c r="I1827" s="10" t="str">
        <f aca="false">IFERROR(INDEX(Section_Master!$G$2:$G$477,MATCH($E1827,Section_Master!$A$2:$A$477,0))&amp;"","")</f>
        <v>With court permission</v>
      </c>
      <c r="J1827" s="10" t="s">
        <v>52</v>
      </c>
      <c r="K1827" s="8" t="s">
        <v>4309</v>
      </c>
    </row>
    <row r="1828" customFormat="false" ht="23.25" hidden="false" customHeight="true" outlineLevel="0" collapsed="false">
      <c r="A1828" s="10" t="s">
        <v>4312</v>
      </c>
      <c r="B1828" s="10" t="s">
        <v>45</v>
      </c>
      <c r="C1828" s="8" t="s">
        <v>4307</v>
      </c>
      <c r="D1828" s="8" t="s">
        <v>4313</v>
      </c>
      <c r="E1828" s="11" t="n">
        <v>305</v>
      </c>
      <c r="F1828" s="8" t="str">
        <f aca="false">IFERROR(INDEX(Section_Master!$D$2:$D$477,MATCH($E1828,Section_Master!$A$2:$A$477,0))&amp;"","")</f>
        <v>Imprisonment up to 7 years and fine</v>
      </c>
      <c r="G1828" s="10" t="str">
        <f aca="false">IFERROR(INDEX(Section_Master!$E$2:$E$477,MATCH($E1828,Section_Master!$A$2:$A$477,0))&amp;"","")</f>
        <v>Yes</v>
      </c>
      <c r="H1828" s="10" t="str">
        <f aca="false">IFERROR(INDEX(Section_Master!$F$2:$F$477,MATCH($E1828,Section_Master!$A$2:$A$477,0))&amp;"","")</f>
        <v>No</v>
      </c>
      <c r="I1828" s="10" t="str">
        <f aca="false">IFERROR(INDEX(Section_Master!$G$2:$G$477,MATCH($E1828,Section_Master!$A$2:$A$477,0))&amp;"","")</f>
        <v>With court permission</v>
      </c>
      <c r="J1828" s="10" t="s">
        <v>55</v>
      </c>
      <c r="K1828" s="8" t="s">
        <v>4309</v>
      </c>
    </row>
    <row r="1829" customFormat="false" ht="23.25" hidden="false" customHeight="true" outlineLevel="0" collapsed="false">
      <c r="A1829" s="10" t="s">
        <v>4314</v>
      </c>
      <c r="B1829" s="10" t="s">
        <v>45</v>
      </c>
      <c r="C1829" s="8" t="s">
        <v>4307</v>
      </c>
      <c r="D1829" s="8" t="s">
        <v>4315</v>
      </c>
      <c r="E1829" s="11" t="n">
        <v>305</v>
      </c>
      <c r="F1829" s="8" t="str">
        <f aca="false">IFERROR(INDEX(Section_Master!$D$2:$D$477,MATCH($E1829,Section_Master!$A$2:$A$477,0))&amp;"","")</f>
        <v>Imprisonment up to 7 years and fine</v>
      </c>
      <c r="G1829" s="10" t="str">
        <f aca="false">IFERROR(INDEX(Section_Master!$E$2:$E$477,MATCH($E1829,Section_Master!$A$2:$A$477,0))&amp;"","")</f>
        <v>Yes</v>
      </c>
      <c r="H1829" s="10" t="str">
        <f aca="false">IFERROR(INDEX(Section_Master!$F$2:$F$477,MATCH($E1829,Section_Master!$A$2:$A$477,0))&amp;"","")</f>
        <v>No</v>
      </c>
      <c r="I1829" s="10" t="str">
        <f aca="false">IFERROR(INDEX(Section_Master!$G$2:$G$477,MATCH($E1829,Section_Master!$A$2:$A$477,0))&amp;"","")</f>
        <v>With court permission</v>
      </c>
      <c r="J1829" s="10" t="s">
        <v>58</v>
      </c>
      <c r="K1829" s="8" t="s">
        <v>4309</v>
      </c>
    </row>
    <row r="1830" customFormat="false" ht="34.5" hidden="false" customHeight="true" outlineLevel="0" collapsed="false">
      <c r="A1830" s="10" t="s">
        <v>4316</v>
      </c>
      <c r="B1830" s="10" t="s">
        <v>45</v>
      </c>
      <c r="C1830" s="8" t="s">
        <v>4307</v>
      </c>
      <c r="D1830" s="8" t="s">
        <v>4317</v>
      </c>
      <c r="E1830" s="11" t="n">
        <v>305</v>
      </c>
      <c r="F1830" s="8" t="str">
        <f aca="false">IFERROR(INDEX(Section_Master!$D$2:$D$477,MATCH($E1830,Section_Master!$A$2:$A$477,0))&amp;"","")</f>
        <v>Imprisonment up to 7 years and fine</v>
      </c>
      <c r="G1830" s="10" t="str">
        <f aca="false">IFERROR(INDEX(Section_Master!$E$2:$E$477,MATCH($E1830,Section_Master!$A$2:$A$477,0))&amp;"","")</f>
        <v>Yes</v>
      </c>
      <c r="H1830" s="10" t="str">
        <f aca="false">IFERROR(INDEX(Section_Master!$F$2:$F$477,MATCH($E1830,Section_Master!$A$2:$A$477,0))&amp;"","")</f>
        <v>No</v>
      </c>
      <c r="I1830" s="10" t="str">
        <f aca="false">IFERROR(INDEX(Section_Master!$G$2:$G$477,MATCH($E1830,Section_Master!$A$2:$A$477,0))&amp;"","")</f>
        <v>With court permission</v>
      </c>
      <c r="J1830" s="10" t="s">
        <v>61</v>
      </c>
      <c r="K1830" s="8" t="s">
        <v>4309</v>
      </c>
    </row>
    <row r="1831" customFormat="false" ht="34.5" hidden="false" customHeight="true" outlineLevel="0" collapsed="false">
      <c r="A1831" s="10" t="s">
        <v>4318</v>
      </c>
      <c r="B1831" s="10" t="s">
        <v>45</v>
      </c>
      <c r="C1831" s="8" t="s">
        <v>4307</v>
      </c>
      <c r="D1831" s="8" t="s">
        <v>4319</v>
      </c>
      <c r="E1831" s="11" t="n">
        <v>305</v>
      </c>
      <c r="F1831" s="8" t="str">
        <f aca="false">IFERROR(INDEX(Section_Master!$D$2:$D$477,MATCH($E1831,Section_Master!$A$2:$A$477,0))&amp;"","")</f>
        <v>Imprisonment up to 7 years and fine</v>
      </c>
      <c r="G1831" s="10" t="str">
        <f aca="false">IFERROR(INDEX(Section_Master!$E$2:$E$477,MATCH($E1831,Section_Master!$A$2:$A$477,0))&amp;"","")</f>
        <v>Yes</v>
      </c>
      <c r="H1831" s="10" t="str">
        <f aca="false">IFERROR(INDEX(Section_Master!$F$2:$F$477,MATCH($E1831,Section_Master!$A$2:$A$477,0))&amp;"","")</f>
        <v>No</v>
      </c>
      <c r="I1831" s="10" t="str">
        <f aca="false">IFERROR(INDEX(Section_Master!$G$2:$G$477,MATCH($E1831,Section_Master!$A$2:$A$477,0))&amp;"","")</f>
        <v>With court permission</v>
      </c>
      <c r="J1831" s="10" t="s">
        <v>64</v>
      </c>
      <c r="K1831" s="8" t="s">
        <v>4309</v>
      </c>
    </row>
    <row r="1832" customFormat="false" ht="23.25" hidden="false" customHeight="true" outlineLevel="0" collapsed="false">
      <c r="A1832" s="10" t="s">
        <v>4320</v>
      </c>
      <c r="B1832" s="10" t="s">
        <v>45</v>
      </c>
      <c r="C1832" s="8" t="s">
        <v>4321</v>
      </c>
      <c r="D1832" s="8" t="s">
        <v>4322</v>
      </c>
      <c r="E1832" s="11" t="n">
        <v>306</v>
      </c>
      <c r="F1832" s="8" t="str">
        <f aca="false">IFERROR(INDEX(Section_Master!$D$2:$D$477,MATCH($E1832,Section_Master!$A$2:$A$477,0))&amp;"","")</f>
        <v>Imprisonment up to 7 years and fine</v>
      </c>
      <c r="G1832" s="10" t="str">
        <f aca="false">IFERROR(INDEX(Section_Master!$E$2:$E$477,MATCH($E1832,Section_Master!$A$2:$A$477,0))&amp;"","")</f>
        <v>Yes</v>
      </c>
      <c r="H1832" s="10" t="str">
        <f aca="false">IFERROR(INDEX(Section_Master!$F$2:$F$477,MATCH($E1832,Section_Master!$A$2:$A$477,0))&amp;"","")</f>
        <v>No</v>
      </c>
      <c r="I1832" s="10" t="str">
        <f aca="false">IFERROR(INDEX(Section_Master!$G$2:$G$477,MATCH($E1832,Section_Master!$A$2:$A$477,0))&amp;"","")</f>
        <v>With court permission</v>
      </c>
      <c r="J1832" s="10" t="s">
        <v>48</v>
      </c>
      <c r="K1832" s="8" t="s">
        <v>4323</v>
      </c>
    </row>
    <row r="1833" customFormat="false" ht="34.5" hidden="false" customHeight="true" outlineLevel="0" collapsed="false">
      <c r="A1833" s="10" t="s">
        <v>4324</v>
      </c>
      <c r="B1833" s="10" t="s">
        <v>45</v>
      </c>
      <c r="C1833" s="8" t="s">
        <v>4321</v>
      </c>
      <c r="D1833" s="8" t="s">
        <v>4325</v>
      </c>
      <c r="E1833" s="11" t="n">
        <v>306</v>
      </c>
      <c r="F1833" s="8" t="str">
        <f aca="false">IFERROR(INDEX(Section_Master!$D$2:$D$477,MATCH($E1833,Section_Master!$A$2:$A$477,0))&amp;"","")</f>
        <v>Imprisonment up to 7 years and fine</v>
      </c>
      <c r="G1833" s="10" t="str">
        <f aca="false">IFERROR(INDEX(Section_Master!$E$2:$E$477,MATCH($E1833,Section_Master!$A$2:$A$477,0))&amp;"","")</f>
        <v>Yes</v>
      </c>
      <c r="H1833" s="10" t="str">
        <f aca="false">IFERROR(INDEX(Section_Master!$F$2:$F$477,MATCH($E1833,Section_Master!$A$2:$A$477,0))&amp;"","")</f>
        <v>No</v>
      </c>
      <c r="I1833" s="10" t="str">
        <f aca="false">IFERROR(INDEX(Section_Master!$G$2:$G$477,MATCH($E1833,Section_Master!$A$2:$A$477,0))&amp;"","")</f>
        <v>With court permission</v>
      </c>
      <c r="J1833" s="10" t="s">
        <v>52</v>
      </c>
      <c r="K1833" s="8" t="s">
        <v>4323</v>
      </c>
    </row>
    <row r="1834" customFormat="false" ht="34.5" hidden="false" customHeight="true" outlineLevel="0" collapsed="false">
      <c r="A1834" s="10" t="s">
        <v>4326</v>
      </c>
      <c r="B1834" s="10" t="s">
        <v>45</v>
      </c>
      <c r="C1834" s="8" t="s">
        <v>4321</v>
      </c>
      <c r="D1834" s="8" t="s">
        <v>4327</v>
      </c>
      <c r="E1834" s="11" t="n">
        <v>306</v>
      </c>
      <c r="F1834" s="8" t="str">
        <f aca="false">IFERROR(INDEX(Section_Master!$D$2:$D$477,MATCH($E1834,Section_Master!$A$2:$A$477,0))&amp;"","")</f>
        <v>Imprisonment up to 7 years and fine</v>
      </c>
      <c r="G1834" s="10" t="str">
        <f aca="false">IFERROR(INDEX(Section_Master!$E$2:$E$477,MATCH($E1834,Section_Master!$A$2:$A$477,0))&amp;"","")</f>
        <v>Yes</v>
      </c>
      <c r="H1834" s="10" t="str">
        <f aca="false">IFERROR(INDEX(Section_Master!$F$2:$F$477,MATCH($E1834,Section_Master!$A$2:$A$477,0))&amp;"","")</f>
        <v>No</v>
      </c>
      <c r="I1834" s="10" t="str">
        <f aca="false">IFERROR(INDEX(Section_Master!$G$2:$G$477,MATCH($E1834,Section_Master!$A$2:$A$477,0))&amp;"","")</f>
        <v>With court permission</v>
      </c>
      <c r="J1834" s="10" t="s">
        <v>55</v>
      </c>
      <c r="K1834" s="8" t="s">
        <v>4323</v>
      </c>
    </row>
    <row r="1835" customFormat="false" ht="34.5" hidden="false" customHeight="true" outlineLevel="0" collapsed="false">
      <c r="A1835" s="10" t="s">
        <v>4328</v>
      </c>
      <c r="B1835" s="10" t="s">
        <v>45</v>
      </c>
      <c r="C1835" s="8" t="s">
        <v>4321</v>
      </c>
      <c r="D1835" s="8" t="s">
        <v>4329</v>
      </c>
      <c r="E1835" s="11" t="n">
        <v>306</v>
      </c>
      <c r="F1835" s="8" t="str">
        <f aca="false">IFERROR(INDEX(Section_Master!$D$2:$D$477,MATCH($E1835,Section_Master!$A$2:$A$477,0))&amp;"","")</f>
        <v>Imprisonment up to 7 years and fine</v>
      </c>
      <c r="G1835" s="10" t="str">
        <f aca="false">IFERROR(INDEX(Section_Master!$E$2:$E$477,MATCH($E1835,Section_Master!$A$2:$A$477,0))&amp;"","")</f>
        <v>Yes</v>
      </c>
      <c r="H1835" s="10" t="str">
        <f aca="false">IFERROR(INDEX(Section_Master!$F$2:$F$477,MATCH($E1835,Section_Master!$A$2:$A$477,0))&amp;"","")</f>
        <v>No</v>
      </c>
      <c r="I1835" s="10" t="str">
        <f aca="false">IFERROR(INDEX(Section_Master!$G$2:$G$477,MATCH($E1835,Section_Master!$A$2:$A$477,0))&amp;"","")</f>
        <v>With court permission</v>
      </c>
      <c r="J1835" s="10" t="s">
        <v>58</v>
      </c>
      <c r="K1835" s="8" t="s">
        <v>4323</v>
      </c>
    </row>
    <row r="1836" customFormat="false" ht="34.5" hidden="false" customHeight="true" outlineLevel="0" collapsed="false">
      <c r="A1836" s="10" t="s">
        <v>4330</v>
      </c>
      <c r="B1836" s="10" t="s">
        <v>45</v>
      </c>
      <c r="C1836" s="8" t="s">
        <v>4321</v>
      </c>
      <c r="D1836" s="8" t="s">
        <v>4331</v>
      </c>
      <c r="E1836" s="11" t="n">
        <v>306</v>
      </c>
      <c r="F1836" s="8" t="str">
        <f aca="false">IFERROR(INDEX(Section_Master!$D$2:$D$477,MATCH($E1836,Section_Master!$A$2:$A$477,0))&amp;"","")</f>
        <v>Imprisonment up to 7 years and fine</v>
      </c>
      <c r="G1836" s="10" t="str">
        <f aca="false">IFERROR(INDEX(Section_Master!$E$2:$E$477,MATCH($E1836,Section_Master!$A$2:$A$477,0))&amp;"","")</f>
        <v>Yes</v>
      </c>
      <c r="H1836" s="10" t="str">
        <f aca="false">IFERROR(INDEX(Section_Master!$F$2:$F$477,MATCH($E1836,Section_Master!$A$2:$A$477,0))&amp;"","")</f>
        <v>No</v>
      </c>
      <c r="I1836" s="10" t="str">
        <f aca="false">IFERROR(INDEX(Section_Master!$G$2:$G$477,MATCH($E1836,Section_Master!$A$2:$A$477,0))&amp;"","")</f>
        <v>With court permission</v>
      </c>
      <c r="J1836" s="10" t="s">
        <v>61</v>
      </c>
      <c r="K1836" s="8" t="s">
        <v>4323</v>
      </c>
    </row>
    <row r="1837" customFormat="false" ht="34.5" hidden="false" customHeight="true" outlineLevel="0" collapsed="false">
      <c r="A1837" s="10" t="s">
        <v>4332</v>
      </c>
      <c r="B1837" s="10" t="s">
        <v>45</v>
      </c>
      <c r="C1837" s="8" t="s">
        <v>4321</v>
      </c>
      <c r="D1837" s="8" t="s">
        <v>4333</v>
      </c>
      <c r="E1837" s="11" t="n">
        <v>306</v>
      </c>
      <c r="F1837" s="8" t="str">
        <f aca="false">IFERROR(INDEX(Section_Master!$D$2:$D$477,MATCH($E1837,Section_Master!$A$2:$A$477,0))&amp;"","")</f>
        <v>Imprisonment up to 7 years and fine</v>
      </c>
      <c r="G1837" s="10" t="str">
        <f aca="false">IFERROR(INDEX(Section_Master!$E$2:$E$477,MATCH($E1837,Section_Master!$A$2:$A$477,0))&amp;"","")</f>
        <v>Yes</v>
      </c>
      <c r="H1837" s="10" t="str">
        <f aca="false">IFERROR(INDEX(Section_Master!$F$2:$F$477,MATCH($E1837,Section_Master!$A$2:$A$477,0))&amp;"","")</f>
        <v>No</v>
      </c>
      <c r="I1837" s="10" t="str">
        <f aca="false">IFERROR(INDEX(Section_Master!$G$2:$G$477,MATCH($E1837,Section_Master!$A$2:$A$477,0))&amp;"","")</f>
        <v>With court permission</v>
      </c>
      <c r="J1837" s="10" t="s">
        <v>64</v>
      </c>
      <c r="K1837" s="8" t="s">
        <v>4323</v>
      </c>
    </row>
    <row r="1838" customFormat="false" ht="34.5" hidden="false" customHeight="true" outlineLevel="0" collapsed="false">
      <c r="A1838" s="10" t="s">
        <v>4334</v>
      </c>
      <c r="B1838" s="10" t="s">
        <v>45</v>
      </c>
      <c r="C1838" s="8" t="s">
        <v>4335</v>
      </c>
      <c r="D1838" s="8" t="s">
        <v>4336</v>
      </c>
      <c r="E1838" s="11" t="n">
        <v>307</v>
      </c>
      <c r="F1838" s="8" t="str">
        <f aca="false">IFERROR(INDEX(Section_Master!$D$2:$D$477,MATCH($E1838,Section_Master!$A$2:$A$477,0))&amp;"","")</f>
        <v>Rigorous imprisonment up to 10 years and fine</v>
      </c>
      <c r="G1838" s="10" t="str">
        <f aca="false">IFERROR(INDEX(Section_Master!$E$2:$E$477,MATCH($E1838,Section_Master!$A$2:$A$477,0))&amp;"","")</f>
        <v>Yes</v>
      </c>
      <c r="H1838" s="10" t="str">
        <f aca="false">IFERROR(INDEX(Section_Master!$F$2:$F$477,MATCH($E1838,Section_Master!$A$2:$A$477,0))&amp;"","")</f>
        <v>No</v>
      </c>
      <c r="I1838" s="10" t="str">
        <f aca="false">IFERROR(INDEX(Section_Master!$G$2:$G$477,MATCH($E1838,Section_Master!$A$2:$A$477,0))&amp;"","")</f>
        <v>No</v>
      </c>
      <c r="J1838" s="10" t="s">
        <v>48</v>
      </c>
      <c r="K1838" s="8" t="s">
        <v>4337</v>
      </c>
    </row>
    <row r="1839" customFormat="false" ht="34.5" hidden="false" customHeight="true" outlineLevel="0" collapsed="false">
      <c r="A1839" s="10" t="s">
        <v>4338</v>
      </c>
      <c r="B1839" s="10" t="s">
        <v>45</v>
      </c>
      <c r="C1839" s="8" t="s">
        <v>4335</v>
      </c>
      <c r="D1839" s="8" t="s">
        <v>4339</v>
      </c>
      <c r="E1839" s="11" t="n">
        <v>307</v>
      </c>
      <c r="F1839" s="8" t="str">
        <f aca="false">IFERROR(INDEX(Section_Master!$D$2:$D$477,MATCH($E1839,Section_Master!$A$2:$A$477,0))&amp;"","")</f>
        <v>Rigorous imprisonment up to 10 years and fine</v>
      </c>
      <c r="G1839" s="10" t="str">
        <f aca="false">IFERROR(INDEX(Section_Master!$E$2:$E$477,MATCH($E1839,Section_Master!$A$2:$A$477,0))&amp;"","")</f>
        <v>Yes</v>
      </c>
      <c r="H1839" s="10" t="str">
        <f aca="false">IFERROR(INDEX(Section_Master!$F$2:$F$477,MATCH($E1839,Section_Master!$A$2:$A$477,0))&amp;"","")</f>
        <v>No</v>
      </c>
      <c r="I1839" s="10" t="str">
        <f aca="false">IFERROR(INDEX(Section_Master!$G$2:$G$477,MATCH($E1839,Section_Master!$A$2:$A$477,0))&amp;"","")</f>
        <v>No</v>
      </c>
      <c r="J1839" s="10" t="s">
        <v>52</v>
      </c>
      <c r="K1839" s="8" t="s">
        <v>4337</v>
      </c>
    </row>
    <row r="1840" customFormat="false" ht="34.5" hidden="false" customHeight="true" outlineLevel="0" collapsed="false">
      <c r="A1840" s="10" t="s">
        <v>4340</v>
      </c>
      <c r="B1840" s="10" t="s">
        <v>45</v>
      </c>
      <c r="C1840" s="8" t="s">
        <v>4335</v>
      </c>
      <c r="D1840" s="8" t="s">
        <v>4341</v>
      </c>
      <c r="E1840" s="11" t="n">
        <v>307</v>
      </c>
      <c r="F1840" s="8" t="str">
        <f aca="false">IFERROR(INDEX(Section_Master!$D$2:$D$477,MATCH($E1840,Section_Master!$A$2:$A$477,0))&amp;"","")</f>
        <v>Rigorous imprisonment up to 10 years and fine</v>
      </c>
      <c r="G1840" s="10" t="str">
        <f aca="false">IFERROR(INDEX(Section_Master!$E$2:$E$477,MATCH($E1840,Section_Master!$A$2:$A$477,0))&amp;"","")</f>
        <v>Yes</v>
      </c>
      <c r="H1840" s="10" t="str">
        <f aca="false">IFERROR(INDEX(Section_Master!$F$2:$F$477,MATCH($E1840,Section_Master!$A$2:$A$477,0))&amp;"","")</f>
        <v>No</v>
      </c>
      <c r="I1840" s="10" t="str">
        <f aca="false">IFERROR(INDEX(Section_Master!$G$2:$G$477,MATCH($E1840,Section_Master!$A$2:$A$477,0))&amp;"","")</f>
        <v>No</v>
      </c>
      <c r="J1840" s="10" t="s">
        <v>55</v>
      </c>
      <c r="K1840" s="8" t="s">
        <v>4337</v>
      </c>
    </row>
    <row r="1841" customFormat="false" ht="34.5" hidden="false" customHeight="true" outlineLevel="0" collapsed="false">
      <c r="A1841" s="10" t="s">
        <v>4342</v>
      </c>
      <c r="B1841" s="10" t="s">
        <v>45</v>
      </c>
      <c r="C1841" s="8" t="s">
        <v>4335</v>
      </c>
      <c r="D1841" s="8" t="s">
        <v>4343</v>
      </c>
      <c r="E1841" s="11" t="n">
        <v>307</v>
      </c>
      <c r="F1841" s="8" t="str">
        <f aca="false">IFERROR(INDEX(Section_Master!$D$2:$D$477,MATCH($E1841,Section_Master!$A$2:$A$477,0))&amp;"","")</f>
        <v>Rigorous imprisonment up to 10 years and fine</v>
      </c>
      <c r="G1841" s="10" t="str">
        <f aca="false">IFERROR(INDEX(Section_Master!$E$2:$E$477,MATCH($E1841,Section_Master!$A$2:$A$477,0))&amp;"","")</f>
        <v>Yes</v>
      </c>
      <c r="H1841" s="10" t="str">
        <f aca="false">IFERROR(INDEX(Section_Master!$F$2:$F$477,MATCH($E1841,Section_Master!$A$2:$A$477,0))&amp;"","")</f>
        <v>No</v>
      </c>
      <c r="I1841" s="10" t="str">
        <f aca="false">IFERROR(INDEX(Section_Master!$G$2:$G$477,MATCH($E1841,Section_Master!$A$2:$A$477,0))&amp;"","")</f>
        <v>No</v>
      </c>
      <c r="J1841" s="10" t="s">
        <v>58</v>
      </c>
      <c r="K1841" s="8" t="s">
        <v>4337</v>
      </c>
    </row>
    <row r="1842" customFormat="false" ht="34.5" hidden="false" customHeight="true" outlineLevel="0" collapsed="false">
      <c r="A1842" s="10" t="s">
        <v>4344</v>
      </c>
      <c r="B1842" s="10" t="s">
        <v>45</v>
      </c>
      <c r="C1842" s="8" t="s">
        <v>4335</v>
      </c>
      <c r="D1842" s="8" t="s">
        <v>4345</v>
      </c>
      <c r="E1842" s="11" t="n">
        <v>307</v>
      </c>
      <c r="F1842" s="8" t="str">
        <f aca="false">IFERROR(INDEX(Section_Master!$D$2:$D$477,MATCH($E1842,Section_Master!$A$2:$A$477,0))&amp;"","")</f>
        <v>Rigorous imprisonment up to 10 years and fine</v>
      </c>
      <c r="G1842" s="10" t="str">
        <f aca="false">IFERROR(INDEX(Section_Master!$E$2:$E$477,MATCH($E1842,Section_Master!$A$2:$A$477,0))&amp;"","")</f>
        <v>Yes</v>
      </c>
      <c r="H1842" s="10" t="str">
        <f aca="false">IFERROR(INDEX(Section_Master!$F$2:$F$477,MATCH($E1842,Section_Master!$A$2:$A$477,0))&amp;"","")</f>
        <v>No</v>
      </c>
      <c r="I1842" s="10" t="str">
        <f aca="false">IFERROR(INDEX(Section_Master!$G$2:$G$477,MATCH($E1842,Section_Master!$A$2:$A$477,0))&amp;"","")</f>
        <v>No</v>
      </c>
      <c r="J1842" s="10" t="s">
        <v>61</v>
      </c>
      <c r="K1842" s="8" t="s">
        <v>4337</v>
      </c>
    </row>
    <row r="1843" customFormat="false" ht="34.5" hidden="false" customHeight="true" outlineLevel="0" collapsed="false">
      <c r="A1843" s="10" t="s">
        <v>4346</v>
      </c>
      <c r="B1843" s="10" t="s">
        <v>45</v>
      </c>
      <c r="C1843" s="8" t="s">
        <v>4335</v>
      </c>
      <c r="D1843" s="8" t="s">
        <v>4347</v>
      </c>
      <c r="E1843" s="11" t="n">
        <v>307</v>
      </c>
      <c r="F1843" s="8" t="str">
        <f aca="false">IFERROR(INDEX(Section_Master!$D$2:$D$477,MATCH($E1843,Section_Master!$A$2:$A$477,0))&amp;"","")</f>
        <v>Rigorous imprisonment up to 10 years and fine</v>
      </c>
      <c r="G1843" s="10" t="str">
        <f aca="false">IFERROR(INDEX(Section_Master!$E$2:$E$477,MATCH($E1843,Section_Master!$A$2:$A$477,0))&amp;"","")</f>
        <v>Yes</v>
      </c>
      <c r="H1843" s="10" t="str">
        <f aca="false">IFERROR(INDEX(Section_Master!$F$2:$F$477,MATCH($E1843,Section_Master!$A$2:$A$477,0))&amp;"","")</f>
        <v>No</v>
      </c>
      <c r="I1843" s="10" t="str">
        <f aca="false">IFERROR(INDEX(Section_Master!$G$2:$G$477,MATCH($E1843,Section_Master!$A$2:$A$477,0))&amp;"","")</f>
        <v>No</v>
      </c>
      <c r="J1843" s="10" t="s">
        <v>64</v>
      </c>
      <c r="K1843" s="8" t="s">
        <v>4337</v>
      </c>
    </row>
    <row r="1844" customFormat="false" ht="45.75" hidden="false" customHeight="true" outlineLevel="0" collapsed="false">
      <c r="A1844" s="10" t="s">
        <v>4348</v>
      </c>
      <c r="B1844" s="10" t="s">
        <v>45</v>
      </c>
      <c r="C1844" s="8" t="s">
        <v>4349</v>
      </c>
      <c r="D1844" s="8" t="s">
        <v>4350</v>
      </c>
      <c r="E1844" s="11" t="n">
        <v>308</v>
      </c>
      <c r="F1844" s="8" t="str">
        <f aca="false">IFERROR(INDEX(Section_Master!$D$2:$D$477,MATCH($E1844,Section_Master!$A$2:$A$477,0))&amp;"","")</f>
        <v>Up to 7 years, or fine, or both [s.308(2)]; up to 7 years and fine, up to 10 years and fine, or life for graver forms [s.308(3)-(7)]</v>
      </c>
      <c r="G1844" s="10" t="str">
        <f aca="false">IFERROR(INDEX(Section_Master!$E$2:$E$477,MATCH($E1844,Section_Master!$A$2:$A$477,0))&amp;"","")</f>
        <v>Yes</v>
      </c>
      <c r="H1844" s="10" t="str">
        <f aca="false">IFERROR(INDEX(Section_Master!$F$2:$F$477,MATCH($E1844,Section_Master!$A$2:$A$477,0))&amp;"","")</f>
        <v>No</v>
      </c>
      <c r="I1844" s="10" t="str">
        <f aca="false">IFERROR(INDEX(Section_Master!$G$2:$G$477,MATCH($E1844,Section_Master!$A$2:$A$477,0))&amp;"","")</f>
        <v>No</v>
      </c>
      <c r="J1844" s="10" t="s">
        <v>48</v>
      </c>
      <c r="K1844" s="8" t="s">
        <v>4351</v>
      </c>
    </row>
    <row r="1845" customFormat="false" ht="34.5" hidden="false" customHeight="true" outlineLevel="0" collapsed="false">
      <c r="A1845" s="10" t="s">
        <v>4352</v>
      </c>
      <c r="B1845" s="10" t="s">
        <v>45</v>
      </c>
      <c r="C1845" s="8" t="s">
        <v>4349</v>
      </c>
      <c r="D1845" s="8" t="s">
        <v>4353</v>
      </c>
      <c r="E1845" s="11" t="n">
        <v>308</v>
      </c>
      <c r="F1845" s="8" t="str">
        <f aca="false">IFERROR(INDEX(Section_Master!$D$2:$D$477,MATCH($E1845,Section_Master!$A$2:$A$477,0))&amp;"","")</f>
        <v>Up to 7 years, or fine, or both [s.308(2)]; up to 7 years and fine, up to 10 years and fine, or life for graver forms [s.308(3)-(7)]</v>
      </c>
      <c r="G1845" s="10" t="str">
        <f aca="false">IFERROR(INDEX(Section_Master!$E$2:$E$477,MATCH($E1845,Section_Master!$A$2:$A$477,0))&amp;"","")</f>
        <v>Yes</v>
      </c>
      <c r="H1845" s="10" t="str">
        <f aca="false">IFERROR(INDEX(Section_Master!$F$2:$F$477,MATCH($E1845,Section_Master!$A$2:$A$477,0))&amp;"","")</f>
        <v>No</v>
      </c>
      <c r="I1845" s="10" t="str">
        <f aca="false">IFERROR(INDEX(Section_Master!$G$2:$G$477,MATCH($E1845,Section_Master!$A$2:$A$477,0))&amp;"","")</f>
        <v>No</v>
      </c>
      <c r="J1845" s="10" t="s">
        <v>52</v>
      </c>
      <c r="K1845" s="8" t="s">
        <v>4351</v>
      </c>
    </row>
    <row r="1846" customFormat="false" ht="34.5" hidden="false" customHeight="true" outlineLevel="0" collapsed="false">
      <c r="A1846" s="10" t="s">
        <v>4354</v>
      </c>
      <c r="B1846" s="10" t="s">
        <v>45</v>
      </c>
      <c r="C1846" s="8" t="s">
        <v>4349</v>
      </c>
      <c r="D1846" s="8" t="s">
        <v>4355</v>
      </c>
      <c r="E1846" s="11" t="n">
        <v>308</v>
      </c>
      <c r="F1846" s="8" t="str">
        <f aca="false">IFERROR(INDEX(Section_Master!$D$2:$D$477,MATCH($E1846,Section_Master!$A$2:$A$477,0))&amp;"","")</f>
        <v>Up to 7 years, or fine, or both [s.308(2)]; up to 7 years and fine, up to 10 years and fine, or life for graver forms [s.308(3)-(7)]</v>
      </c>
      <c r="G1846" s="10" t="str">
        <f aca="false">IFERROR(INDEX(Section_Master!$E$2:$E$477,MATCH($E1846,Section_Master!$A$2:$A$477,0))&amp;"","")</f>
        <v>Yes</v>
      </c>
      <c r="H1846" s="10" t="str">
        <f aca="false">IFERROR(INDEX(Section_Master!$F$2:$F$477,MATCH($E1846,Section_Master!$A$2:$A$477,0))&amp;"","")</f>
        <v>No</v>
      </c>
      <c r="I1846" s="10" t="str">
        <f aca="false">IFERROR(INDEX(Section_Master!$G$2:$G$477,MATCH($E1846,Section_Master!$A$2:$A$477,0))&amp;"","")</f>
        <v>No</v>
      </c>
      <c r="J1846" s="10" t="s">
        <v>55</v>
      </c>
      <c r="K1846" s="8" t="s">
        <v>4351</v>
      </c>
    </row>
    <row r="1847" customFormat="false" ht="23.25" hidden="false" customHeight="true" outlineLevel="0" collapsed="false">
      <c r="A1847" s="10" t="s">
        <v>4356</v>
      </c>
      <c r="B1847" s="10" t="s">
        <v>45</v>
      </c>
      <c r="C1847" s="8" t="s">
        <v>4349</v>
      </c>
      <c r="D1847" s="8" t="s">
        <v>4357</v>
      </c>
      <c r="E1847" s="11" t="n">
        <v>308</v>
      </c>
      <c r="F1847" s="8" t="str">
        <f aca="false">IFERROR(INDEX(Section_Master!$D$2:$D$477,MATCH($E1847,Section_Master!$A$2:$A$477,0))&amp;"","")</f>
        <v>Up to 7 years, or fine, or both [s.308(2)]; up to 7 years and fine, up to 10 years and fine, or life for graver forms [s.308(3)-(7)]</v>
      </c>
      <c r="G1847" s="10" t="str">
        <f aca="false">IFERROR(INDEX(Section_Master!$E$2:$E$477,MATCH($E1847,Section_Master!$A$2:$A$477,0))&amp;"","")</f>
        <v>Yes</v>
      </c>
      <c r="H1847" s="10" t="str">
        <f aca="false">IFERROR(INDEX(Section_Master!$F$2:$F$477,MATCH($E1847,Section_Master!$A$2:$A$477,0))&amp;"","")</f>
        <v>No</v>
      </c>
      <c r="I1847" s="10" t="str">
        <f aca="false">IFERROR(INDEX(Section_Master!$G$2:$G$477,MATCH($E1847,Section_Master!$A$2:$A$477,0))&amp;"","")</f>
        <v>No</v>
      </c>
      <c r="J1847" s="10" t="s">
        <v>58</v>
      </c>
      <c r="K1847" s="8" t="s">
        <v>4351</v>
      </c>
    </row>
    <row r="1848" customFormat="false" ht="34.5" hidden="false" customHeight="true" outlineLevel="0" collapsed="false">
      <c r="A1848" s="10" t="s">
        <v>4358</v>
      </c>
      <c r="B1848" s="10" t="s">
        <v>45</v>
      </c>
      <c r="C1848" s="8" t="s">
        <v>4349</v>
      </c>
      <c r="D1848" s="8" t="s">
        <v>4359</v>
      </c>
      <c r="E1848" s="11" t="n">
        <v>308</v>
      </c>
      <c r="F1848" s="8" t="str">
        <f aca="false">IFERROR(INDEX(Section_Master!$D$2:$D$477,MATCH($E1848,Section_Master!$A$2:$A$477,0))&amp;"","")</f>
        <v>Up to 7 years, or fine, or both [s.308(2)]; up to 7 years and fine, up to 10 years and fine, or life for graver forms [s.308(3)-(7)]</v>
      </c>
      <c r="G1848" s="10" t="str">
        <f aca="false">IFERROR(INDEX(Section_Master!$E$2:$E$477,MATCH($E1848,Section_Master!$A$2:$A$477,0))&amp;"","")</f>
        <v>Yes</v>
      </c>
      <c r="H1848" s="10" t="str">
        <f aca="false">IFERROR(INDEX(Section_Master!$F$2:$F$477,MATCH($E1848,Section_Master!$A$2:$A$477,0))&amp;"","")</f>
        <v>No</v>
      </c>
      <c r="I1848" s="10" t="str">
        <f aca="false">IFERROR(INDEX(Section_Master!$G$2:$G$477,MATCH($E1848,Section_Master!$A$2:$A$477,0))&amp;"","")</f>
        <v>No</v>
      </c>
      <c r="J1848" s="10" t="s">
        <v>61</v>
      </c>
      <c r="K1848" s="8" t="s">
        <v>4351</v>
      </c>
    </row>
    <row r="1849" customFormat="false" ht="34.5" hidden="false" customHeight="true" outlineLevel="0" collapsed="false">
      <c r="A1849" s="10" t="s">
        <v>4360</v>
      </c>
      <c r="B1849" s="10" t="s">
        <v>45</v>
      </c>
      <c r="C1849" s="8" t="s">
        <v>4349</v>
      </c>
      <c r="D1849" s="8" t="s">
        <v>4361</v>
      </c>
      <c r="E1849" s="11" t="n">
        <v>308</v>
      </c>
      <c r="F1849" s="8" t="str">
        <f aca="false">IFERROR(INDEX(Section_Master!$D$2:$D$477,MATCH($E1849,Section_Master!$A$2:$A$477,0))&amp;"","")</f>
        <v>Up to 7 years, or fine, or both [s.308(2)]; up to 7 years and fine, up to 10 years and fine, or life for graver forms [s.308(3)-(7)]</v>
      </c>
      <c r="G1849" s="10" t="str">
        <f aca="false">IFERROR(INDEX(Section_Master!$E$2:$E$477,MATCH($E1849,Section_Master!$A$2:$A$477,0))&amp;"","")</f>
        <v>Yes</v>
      </c>
      <c r="H1849" s="10" t="str">
        <f aca="false">IFERROR(INDEX(Section_Master!$F$2:$F$477,MATCH($E1849,Section_Master!$A$2:$A$477,0))&amp;"","")</f>
        <v>No</v>
      </c>
      <c r="I1849" s="10" t="str">
        <f aca="false">IFERROR(INDEX(Section_Master!$G$2:$G$477,MATCH($E1849,Section_Master!$A$2:$A$477,0))&amp;"","")</f>
        <v>No</v>
      </c>
      <c r="J1849" s="10" t="s">
        <v>64</v>
      </c>
      <c r="K1849" s="8" t="s">
        <v>4351</v>
      </c>
    </row>
    <row r="1850" customFormat="false" ht="45.75" hidden="false" customHeight="true" outlineLevel="0" collapsed="false">
      <c r="A1850" s="10" t="s">
        <v>4362</v>
      </c>
      <c r="B1850" s="10" t="s">
        <v>45</v>
      </c>
      <c r="C1850" s="8" t="s">
        <v>4363</v>
      </c>
      <c r="D1850" s="8" t="s">
        <v>4364</v>
      </c>
      <c r="E1850" s="11" t="n">
        <v>309</v>
      </c>
      <c r="F1850" s="8" t="str">
        <f aca="false">IFERROR(INDEX(Section_Master!$D$2:$D$477,MATCH($E1850,Section_Master!$A$2:$A$477,0))&amp;"","")</f>
        <v>Rigorous imprisonment up to 10 years and fine [s.309(4)]</v>
      </c>
      <c r="G1850" s="10" t="str">
        <f aca="false">IFERROR(INDEX(Section_Master!$E$2:$E$477,MATCH($E1850,Section_Master!$A$2:$A$477,0))&amp;"","")</f>
        <v>Yes</v>
      </c>
      <c r="H1850" s="10" t="str">
        <f aca="false">IFERROR(INDEX(Section_Master!$F$2:$F$477,MATCH($E1850,Section_Master!$A$2:$A$477,0))&amp;"","")</f>
        <v>No</v>
      </c>
      <c r="I1850" s="10" t="str">
        <f aca="false">IFERROR(INDEX(Section_Master!$G$2:$G$477,MATCH($E1850,Section_Master!$A$2:$A$477,0))&amp;"","")</f>
        <v>No</v>
      </c>
      <c r="J1850" s="10" t="s">
        <v>48</v>
      </c>
      <c r="K1850" s="8" t="s">
        <v>4365</v>
      </c>
    </row>
    <row r="1851" customFormat="false" ht="45.75" hidden="false" customHeight="true" outlineLevel="0" collapsed="false">
      <c r="A1851" s="10" t="s">
        <v>4366</v>
      </c>
      <c r="B1851" s="10" t="s">
        <v>45</v>
      </c>
      <c r="C1851" s="8" t="s">
        <v>4363</v>
      </c>
      <c r="D1851" s="8" t="s">
        <v>4367</v>
      </c>
      <c r="E1851" s="11" t="n">
        <v>309</v>
      </c>
      <c r="F1851" s="8" t="str">
        <f aca="false">IFERROR(INDEX(Section_Master!$D$2:$D$477,MATCH($E1851,Section_Master!$A$2:$A$477,0))&amp;"","")</f>
        <v>Rigorous imprisonment up to 10 years and fine [s.309(4)]</v>
      </c>
      <c r="G1851" s="10" t="str">
        <f aca="false">IFERROR(INDEX(Section_Master!$E$2:$E$477,MATCH($E1851,Section_Master!$A$2:$A$477,0))&amp;"","")</f>
        <v>Yes</v>
      </c>
      <c r="H1851" s="10" t="str">
        <f aca="false">IFERROR(INDEX(Section_Master!$F$2:$F$477,MATCH($E1851,Section_Master!$A$2:$A$477,0))&amp;"","")</f>
        <v>No</v>
      </c>
      <c r="I1851" s="10" t="str">
        <f aca="false">IFERROR(INDEX(Section_Master!$G$2:$G$477,MATCH($E1851,Section_Master!$A$2:$A$477,0))&amp;"","")</f>
        <v>No</v>
      </c>
      <c r="J1851" s="10" t="s">
        <v>52</v>
      </c>
      <c r="K1851" s="8" t="s">
        <v>4365</v>
      </c>
    </row>
    <row r="1852" customFormat="false" ht="23.25" hidden="false" customHeight="true" outlineLevel="0" collapsed="false">
      <c r="A1852" s="10" t="s">
        <v>4368</v>
      </c>
      <c r="B1852" s="10" t="s">
        <v>45</v>
      </c>
      <c r="C1852" s="8" t="s">
        <v>4363</v>
      </c>
      <c r="D1852" s="8" t="s">
        <v>4369</v>
      </c>
      <c r="E1852" s="11" t="n">
        <v>309</v>
      </c>
      <c r="F1852" s="8" t="str">
        <f aca="false">IFERROR(INDEX(Section_Master!$D$2:$D$477,MATCH($E1852,Section_Master!$A$2:$A$477,0))&amp;"","")</f>
        <v>Rigorous imprisonment up to 10 years and fine [s.309(4)]</v>
      </c>
      <c r="G1852" s="10" t="str">
        <f aca="false">IFERROR(INDEX(Section_Master!$E$2:$E$477,MATCH($E1852,Section_Master!$A$2:$A$477,0))&amp;"","")</f>
        <v>Yes</v>
      </c>
      <c r="H1852" s="10" t="str">
        <f aca="false">IFERROR(INDEX(Section_Master!$F$2:$F$477,MATCH($E1852,Section_Master!$A$2:$A$477,0))&amp;"","")</f>
        <v>No</v>
      </c>
      <c r="I1852" s="10" t="str">
        <f aca="false">IFERROR(INDEX(Section_Master!$G$2:$G$477,MATCH($E1852,Section_Master!$A$2:$A$477,0))&amp;"","")</f>
        <v>No</v>
      </c>
      <c r="J1852" s="10" t="s">
        <v>55</v>
      </c>
      <c r="K1852" s="8" t="s">
        <v>4365</v>
      </c>
    </row>
    <row r="1853" customFormat="false" ht="34.5" hidden="false" customHeight="true" outlineLevel="0" collapsed="false">
      <c r="A1853" s="10" t="s">
        <v>4370</v>
      </c>
      <c r="B1853" s="10" t="s">
        <v>45</v>
      </c>
      <c r="C1853" s="8" t="s">
        <v>4363</v>
      </c>
      <c r="D1853" s="8" t="s">
        <v>4371</v>
      </c>
      <c r="E1853" s="11" t="n">
        <v>309</v>
      </c>
      <c r="F1853" s="8" t="str">
        <f aca="false">IFERROR(INDEX(Section_Master!$D$2:$D$477,MATCH($E1853,Section_Master!$A$2:$A$477,0))&amp;"","")</f>
        <v>Rigorous imprisonment up to 10 years and fine [s.309(4)]</v>
      </c>
      <c r="G1853" s="10" t="str">
        <f aca="false">IFERROR(INDEX(Section_Master!$E$2:$E$477,MATCH($E1853,Section_Master!$A$2:$A$477,0))&amp;"","")</f>
        <v>Yes</v>
      </c>
      <c r="H1853" s="10" t="str">
        <f aca="false">IFERROR(INDEX(Section_Master!$F$2:$F$477,MATCH($E1853,Section_Master!$A$2:$A$477,0))&amp;"","")</f>
        <v>No</v>
      </c>
      <c r="I1853" s="10" t="str">
        <f aca="false">IFERROR(INDEX(Section_Master!$G$2:$G$477,MATCH($E1853,Section_Master!$A$2:$A$477,0))&amp;"","")</f>
        <v>No</v>
      </c>
      <c r="J1853" s="10" t="s">
        <v>58</v>
      </c>
      <c r="K1853" s="8" t="s">
        <v>4365</v>
      </c>
    </row>
    <row r="1854" customFormat="false" ht="34.5" hidden="false" customHeight="true" outlineLevel="0" collapsed="false">
      <c r="A1854" s="10" t="s">
        <v>4372</v>
      </c>
      <c r="B1854" s="10" t="s">
        <v>45</v>
      </c>
      <c r="C1854" s="8" t="s">
        <v>4363</v>
      </c>
      <c r="D1854" s="8" t="s">
        <v>4373</v>
      </c>
      <c r="E1854" s="11" t="n">
        <v>309</v>
      </c>
      <c r="F1854" s="8" t="str">
        <f aca="false">IFERROR(INDEX(Section_Master!$D$2:$D$477,MATCH($E1854,Section_Master!$A$2:$A$477,0))&amp;"","")</f>
        <v>Rigorous imprisonment up to 10 years and fine [s.309(4)]</v>
      </c>
      <c r="G1854" s="10" t="str">
        <f aca="false">IFERROR(INDEX(Section_Master!$E$2:$E$477,MATCH($E1854,Section_Master!$A$2:$A$477,0))&amp;"","")</f>
        <v>Yes</v>
      </c>
      <c r="H1854" s="10" t="str">
        <f aca="false">IFERROR(INDEX(Section_Master!$F$2:$F$477,MATCH($E1854,Section_Master!$A$2:$A$477,0))&amp;"","")</f>
        <v>No</v>
      </c>
      <c r="I1854" s="10" t="str">
        <f aca="false">IFERROR(INDEX(Section_Master!$G$2:$G$477,MATCH($E1854,Section_Master!$A$2:$A$477,0))&amp;"","")</f>
        <v>No</v>
      </c>
      <c r="J1854" s="10" t="s">
        <v>61</v>
      </c>
      <c r="K1854" s="8" t="s">
        <v>4365</v>
      </c>
    </row>
    <row r="1855" customFormat="false" ht="34.5" hidden="false" customHeight="true" outlineLevel="0" collapsed="false">
      <c r="A1855" s="10" t="s">
        <v>4374</v>
      </c>
      <c r="B1855" s="10" t="s">
        <v>45</v>
      </c>
      <c r="C1855" s="8" t="s">
        <v>4363</v>
      </c>
      <c r="D1855" s="8" t="s">
        <v>4375</v>
      </c>
      <c r="E1855" s="11" t="n">
        <v>309</v>
      </c>
      <c r="F1855" s="8" t="str">
        <f aca="false">IFERROR(INDEX(Section_Master!$D$2:$D$477,MATCH($E1855,Section_Master!$A$2:$A$477,0))&amp;"","")</f>
        <v>Rigorous imprisonment up to 10 years and fine [s.309(4)]</v>
      </c>
      <c r="G1855" s="10" t="str">
        <f aca="false">IFERROR(INDEX(Section_Master!$E$2:$E$477,MATCH($E1855,Section_Master!$A$2:$A$477,0))&amp;"","")</f>
        <v>Yes</v>
      </c>
      <c r="H1855" s="10" t="str">
        <f aca="false">IFERROR(INDEX(Section_Master!$F$2:$F$477,MATCH($E1855,Section_Master!$A$2:$A$477,0))&amp;"","")</f>
        <v>No</v>
      </c>
      <c r="I1855" s="10" t="str">
        <f aca="false">IFERROR(INDEX(Section_Master!$G$2:$G$477,MATCH($E1855,Section_Master!$A$2:$A$477,0))&amp;"","")</f>
        <v>No</v>
      </c>
      <c r="J1855" s="10" t="s">
        <v>64</v>
      </c>
      <c r="K1855" s="8" t="s">
        <v>4365</v>
      </c>
    </row>
    <row r="1856" customFormat="false" ht="34.5" hidden="false" customHeight="true" outlineLevel="0" collapsed="false">
      <c r="A1856" s="10" t="s">
        <v>4376</v>
      </c>
      <c r="B1856" s="10" t="s">
        <v>45</v>
      </c>
      <c r="C1856" s="8" t="s">
        <v>4377</v>
      </c>
      <c r="D1856" s="8" t="s">
        <v>4378</v>
      </c>
      <c r="E1856" s="11" t="n">
        <v>310</v>
      </c>
      <c r="F1856" s="8" t="str">
        <f aca="false">IFERROR(INDEX(Section_Master!$D$2:$D$477,MATCH($E1856,Section_Master!$A$2:$A$477,0))&amp;"","")</f>
        <v>Imprisonment for life, or rigorous imprisonment up to 10 years, and fine [s.310(2)]</v>
      </c>
      <c r="G1856" s="10" t="str">
        <f aca="false">IFERROR(INDEX(Section_Master!$E$2:$E$477,MATCH($E1856,Section_Master!$A$2:$A$477,0))&amp;"","")</f>
        <v>Yes</v>
      </c>
      <c r="H1856" s="10" t="str">
        <f aca="false">IFERROR(INDEX(Section_Master!$F$2:$F$477,MATCH($E1856,Section_Master!$A$2:$A$477,0))&amp;"","")</f>
        <v>No</v>
      </c>
      <c r="I1856" s="10" t="str">
        <f aca="false">IFERROR(INDEX(Section_Master!$G$2:$G$477,MATCH($E1856,Section_Master!$A$2:$A$477,0))&amp;"","")</f>
        <v>No</v>
      </c>
      <c r="J1856" s="10" t="s">
        <v>48</v>
      </c>
      <c r="K1856" s="8" t="s">
        <v>4379</v>
      </c>
    </row>
    <row r="1857" customFormat="false" ht="34.5" hidden="false" customHeight="true" outlineLevel="0" collapsed="false">
      <c r="A1857" s="10" t="s">
        <v>4380</v>
      </c>
      <c r="B1857" s="10" t="s">
        <v>45</v>
      </c>
      <c r="C1857" s="8" t="s">
        <v>4377</v>
      </c>
      <c r="D1857" s="8" t="s">
        <v>4381</v>
      </c>
      <c r="E1857" s="11" t="n">
        <v>310</v>
      </c>
      <c r="F1857" s="8" t="str">
        <f aca="false">IFERROR(INDEX(Section_Master!$D$2:$D$477,MATCH($E1857,Section_Master!$A$2:$A$477,0))&amp;"","")</f>
        <v>Imprisonment for life, or rigorous imprisonment up to 10 years, and fine [s.310(2)]</v>
      </c>
      <c r="G1857" s="10" t="str">
        <f aca="false">IFERROR(INDEX(Section_Master!$E$2:$E$477,MATCH($E1857,Section_Master!$A$2:$A$477,0))&amp;"","")</f>
        <v>Yes</v>
      </c>
      <c r="H1857" s="10" t="str">
        <f aca="false">IFERROR(INDEX(Section_Master!$F$2:$F$477,MATCH($E1857,Section_Master!$A$2:$A$477,0))&amp;"","")</f>
        <v>No</v>
      </c>
      <c r="I1857" s="10" t="str">
        <f aca="false">IFERROR(INDEX(Section_Master!$G$2:$G$477,MATCH($E1857,Section_Master!$A$2:$A$477,0))&amp;"","")</f>
        <v>No</v>
      </c>
      <c r="J1857" s="10" t="s">
        <v>52</v>
      </c>
      <c r="K1857" s="8" t="s">
        <v>4379</v>
      </c>
    </row>
    <row r="1858" customFormat="false" ht="34.5" hidden="false" customHeight="true" outlineLevel="0" collapsed="false">
      <c r="A1858" s="10" t="s">
        <v>4382</v>
      </c>
      <c r="B1858" s="10" t="s">
        <v>45</v>
      </c>
      <c r="C1858" s="8" t="s">
        <v>4377</v>
      </c>
      <c r="D1858" s="8" t="s">
        <v>4383</v>
      </c>
      <c r="E1858" s="11" t="n">
        <v>310</v>
      </c>
      <c r="F1858" s="8" t="str">
        <f aca="false">IFERROR(INDEX(Section_Master!$D$2:$D$477,MATCH($E1858,Section_Master!$A$2:$A$477,0))&amp;"","")</f>
        <v>Imprisonment for life, or rigorous imprisonment up to 10 years, and fine [s.310(2)]</v>
      </c>
      <c r="G1858" s="10" t="str">
        <f aca="false">IFERROR(INDEX(Section_Master!$E$2:$E$477,MATCH($E1858,Section_Master!$A$2:$A$477,0))&amp;"","")</f>
        <v>Yes</v>
      </c>
      <c r="H1858" s="10" t="str">
        <f aca="false">IFERROR(INDEX(Section_Master!$F$2:$F$477,MATCH($E1858,Section_Master!$A$2:$A$477,0))&amp;"","")</f>
        <v>No</v>
      </c>
      <c r="I1858" s="10" t="str">
        <f aca="false">IFERROR(INDEX(Section_Master!$G$2:$G$477,MATCH($E1858,Section_Master!$A$2:$A$477,0))&amp;"","")</f>
        <v>No</v>
      </c>
      <c r="J1858" s="10" t="s">
        <v>55</v>
      </c>
      <c r="K1858" s="8" t="s">
        <v>4379</v>
      </c>
    </row>
    <row r="1859" customFormat="false" ht="23.25" hidden="false" customHeight="true" outlineLevel="0" collapsed="false">
      <c r="A1859" s="10" t="s">
        <v>4384</v>
      </c>
      <c r="B1859" s="10" t="s">
        <v>45</v>
      </c>
      <c r="C1859" s="8" t="s">
        <v>4377</v>
      </c>
      <c r="D1859" s="8" t="s">
        <v>4385</v>
      </c>
      <c r="E1859" s="11" t="n">
        <v>310</v>
      </c>
      <c r="F1859" s="8" t="str">
        <f aca="false">IFERROR(INDEX(Section_Master!$D$2:$D$477,MATCH($E1859,Section_Master!$A$2:$A$477,0))&amp;"","")</f>
        <v>Imprisonment for life, or rigorous imprisonment up to 10 years, and fine [s.310(2)]</v>
      </c>
      <c r="G1859" s="10" t="str">
        <f aca="false">IFERROR(INDEX(Section_Master!$E$2:$E$477,MATCH($E1859,Section_Master!$A$2:$A$477,0))&amp;"","")</f>
        <v>Yes</v>
      </c>
      <c r="H1859" s="10" t="str">
        <f aca="false">IFERROR(INDEX(Section_Master!$F$2:$F$477,MATCH($E1859,Section_Master!$A$2:$A$477,0))&amp;"","")</f>
        <v>No</v>
      </c>
      <c r="I1859" s="10" t="str">
        <f aca="false">IFERROR(INDEX(Section_Master!$G$2:$G$477,MATCH($E1859,Section_Master!$A$2:$A$477,0))&amp;"","")</f>
        <v>No</v>
      </c>
      <c r="J1859" s="10" t="s">
        <v>58</v>
      </c>
      <c r="K1859" s="8" t="s">
        <v>4379</v>
      </c>
    </row>
    <row r="1860" customFormat="false" ht="34.5" hidden="false" customHeight="true" outlineLevel="0" collapsed="false">
      <c r="A1860" s="10" t="s">
        <v>4386</v>
      </c>
      <c r="B1860" s="10" t="s">
        <v>45</v>
      </c>
      <c r="C1860" s="8" t="s">
        <v>4377</v>
      </c>
      <c r="D1860" s="8" t="s">
        <v>4387</v>
      </c>
      <c r="E1860" s="11" t="n">
        <v>310</v>
      </c>
      <c r="F1860" s="8" t="str">
        <f aca="false">IFERROR(INDEX(Section_Master!$D$2:$D$477,MATCH($E1860,Section_Master!$A$2:$A$477,0))&amp;"","")</f>
        <v>Imprisonment for life, or rigorous imprisonment up to 10 years, and fine [s.310(2)]</v>
      </c>
      <c r="G1860" s="10" t="str">
        <f aca="false">IFERROR(INDEX(Section_Master!$E$2:$E$477,MATCH($E1860,Section_Master!$A$2:$A$477,0))&amp;"","")</f>
        <v>Yes</v>
      </c>
      <c r="H1860" s="10" t="str">
        <f aca="false">IFERROR(INDEX(Section_Master!$F$2:$F$477,MATCH($E1860,Section_Master!$A$2:$A$477,0))&amp;"","")</f>
        <v>No</v>
      </c>
      <c r="I1860" s="10" t="str">
        <f aca="false">IFERROR(INDEX(Section_Master!$G$2:$G$477,MATCH($E1860,Section_Master!$A$2:$A$477,0))&amp;"","")</f>
        <v>No</v>
      </c>
      <c r="J1860" s="10" t="s">
        <v>61</v>
      </c>
      <c r="K1860" s="8" t="s">
        <v>4379</v>
      </c>
    </row>
    <row r="1861" customFormat="false" ht="34.5" hidden="false" customHeight="true" outlineLevel="0" collapsed="false">
      <c r="A1861" s="10" t="s">
        <v>4388</v>
      </c>
      <c r="B1861" s="10" t="s">
        <v>45</v>
      </c>
      <c r="C1861" s="8" t="s">
        <v>4377</v>
      </c>
      <c r="D1861" s="8" t="s">
        <v>4389</v>
      </c>
      <c r="E1861" s="11" t="n">
        <v>310</v>
      </c>
      <c r="F1861" s="8" t="str">
        <f aca="false">IFERROR(INDEX(Section_Master!$D$2:$D$477,MATCH($E1861,Section_Master!$A$2:$A$477,0))&amp;"","")</f>
        <v>Imprisonment for life, or rigorous imprisonment up to 10 years, and fine [s.310(2)]</v>
      </c>
      <c r="G1861" s="10" t="str">
        <f aca="false">IFERROR(INDEX(Section_Master!$E$2:$E$477,MATCH($E1861,Section_Master!$A$2:$A$477,0))&amp;"","")</f>
        <v>Yes</v>
      </c>
      <c r="H1861" s="10" t="str">
        <f aca="false">IFERROR(INDEX(Section_Master!$F$2:$F$477,MATCH($E1861,Section_Master!$A$2:$A$477,0))&amp;"","")</f>
        <v>No</v>
      </c>
      <c r="I1861" s="10" t="str">
        <f aca="false">IFERROR(INDEX(Section_Master!$G$2:$G$477,MATCH($E1861,Section_Master!$A$2:$A$477,0))&amp;"","")</f>
        <v>No</v>
      </c>
      <c r="J1861" s="10" t="s">
        <v>64</v>
      </c>
      <c r="K1861" s="8" t="s">
        <v>4379</v>
      </c>
    </row>
    <row r="1862" customFormat="false" ht="34.5" hidden="false" customHeight="true" outlineLevel="0" collapsed="false">
      <c r="A1862" s="10" t="s">
        <v>4390</v>
      </c>
      <c r="B1862" s="10" t="s">
        <v>45</v>
      </c>
      <c r="C1862" s="8" t="s">
        <v>4391</v>
      </c>
      <c r="D1862" s="8" t="s">
        <v>4392</v>
      </c>
      <c r="E1862" s="11" t="n">
        <v>311</v>
      </c>
      <c r="F1862" s="8" t="str">
        <f aca="false">IFERROR(INDEX(Section_Master!$D$2:$D$477,MATCH($E1862,Section_Master!$A$2:$A$477,0))&amp;"","")</f>
        <v>Imprisonment not less than 7 years</v>
      </c>
      <c r="G1862" s="10" t="str">
        <f aca="false">IFERROR(INDEX(Section_Master!$E$2:$E$477,MATCH($E1862,Section_Master!$A$2:$A$477,0))&amp;"","")</f>
        <v>Yes</v>
      </c>
      <c r="H1862" s="10" t="str">
        <f aca="false">IFERROR(INDEX(Section_Master!$F$2:$F$477,MATCH($E1862,Section_Master!$A$2:$A$477,0))&amp;"","")</f>
        <v>No</v>
      </c>
      <c r="I1862" s="10" t="str">
        <f aca="false">IFERROR(INDEX(Section_Master!$G$2:$G$477,MATCH($E1862,Section_Master!$A$2:$A$477,0))&amp;"","")</f>
        <v>No</v>
      </c>
      <c r="J1862" s="10" t="s">
        <v>48</v>
      </c>
      <c r="K1862" s="8" t="s">
        <v>4393</v>
      </c>
    </row>
    <row r="1863" customFormat="false" ht="34.5" hidden="false" customHeight="true" outlineLevel="0" collapsed="false">
      <c r="A1863" s="10" t="s">
        <v>4394</v>
      </c>
      <c r="B1863" s="10" t="s">
        <v>45</v>
      </c>
      <c r="C1863" s="8" t="s">
        <v>4391</v>
      </c>
      <c r="D1863" s="8" t="s">
        <v>4395</v>
      </c>
      <c r="E1863" s="11" t="n">
        <v>311</v>
      </c>
      <c r="F1863" s="8" t="str">
        <f aca="false">IFERROR(INDEX(Section_Master!$D$2:$D$477,MATCH($E1863,Section_Master!$A$2:$A$477,0))&amp;"","")</f>
        <v>Imprisonment not less than 7 years</v>
      </c>
      <c r="G1863" s="10" t="str">
        <f aca="false">IFERROR(INDEX(Section_Master!$E$2:$E$477,MATCH($E1863,Section_Master!$A$2:$A$477,0))&amp;"","")</f>
        <v>Yes</v>
      </c>
      <c r="H1863" s="10" t="str">
        <f aca="false">IFERROR(INDEX(Section_Master!$F$2:$F$477,MATCH($E1863,Section_Master!$A$2:$A$477,0))&amp;"","")</f>
        <v>No</v>
      </c>
      <c r="I1863" s="10" t="str">
        <f aca="false">IFERROR(INDEX(Section_Master!$G$2:$G$477,MATCH($E1863,Section_Master!$A$2:$A$477,0))&amp;"","")</f>
        <v>No</v>
      </c>
      <c r="J1863" s="10" t="s">
        <v>52</v>
      </c>
      <c r="K1863" s="8" t="s">
        <v>4393</v>
      </c>
    </row>
    <row r="1864" customFormat="false" ht="34.5" hidden="false" customHeight="true" outlineLevel="0" collapsed="false">
      <c r="A1864" s="10" t="s">
        <v>4396</v>
      </c>
      <c r="B1864" s="10" t="s">
        <v>45</v>
      </c>
      <c r="C1864" s="8" t="s">
        <v>4391</v>
      </c>
      <c r="D1864" s="8" t="s">
        <v>4397</v>
      </c>
      <c r="E1864" s="11" t="n">
        <v>311</v>
      </c>
      <c r="F1864" s="8" t="str">
        <f aca="false">IFERROR(INDEX(Section_Master!$D$2:$D$477,MATCH($E1864,Section_Master!$A$2:$A$477,0))&amp;"","")</f>
        <v>Imprisonment not less than 7 years</v>
      </c>
      <c r="G1864" s="10" t="str">
        <f aca="false">IFERROR(INDEX(Section_Master!$E$2:$E$477,MATCH($E1864,Section_Master!$A$2:$A$477,0))&amp;"","")</f>
        <v>Yes</v>
      </c>
      <c r="H1864" s="10" t="str">
        <f aca="false">IFERROR(INDEX(Section_Master!$F$2:$F$477,MATCH($E1864,Section_Master!$A$2:$A$477,0))&amp;"","")</f>
        <v>No</v>
      </c>
      <c r="I1864" s="10" t="str">
        <f aca="false">IFERROR(INDEX(Section_Master!$G$2:$G$477,MATCH($E1864,Section_Master!$A$2:$A$477,0))&amp;"","")</f>
        <v>No</v>
      </c>
      <c r="J1864" s="10" t="s">
        <v>55</v>
      </c>
      <c r="K1864" s="8" t="s">
        <v>4393</v>
      </c>
    </row>
    <row r="1865" customFormat="false" ht="23.25" hidden="false" customHeight="true" outlineLevel="0" collapsed="false">
      <c r="A1865" s="10" t="s">
        <v>4398</v>
      </c>
      <c r="B1865" s="10" t="s">
        <v>45</v>
      </c>
      <c r="C1865" s="8" t="s">
        <v>4391</v>
      </c>
      <c r="D1865" s="8" t="s">
        <v>4399</v>
      </c>
      <c r="E1865" s="11" t="n">
        <v>311</v>
      </c>
      <c r="F1865" s="8" t="str">
        <f aca="false">IFERROR(INDEX(Section_Master!$D$2:$D$477,MATCH($E1865,Section_Master!$A$2:$A$477,0))&amp;"","")</f>
        <v>Imprisonment not less than 7 years</v>
      </c>
      <c r="G1865" s="10" t="str">
        <f aca="false">IFERROR(INDEX(Section_Master!$E$2:$E$477,MATCH($E1865,Section_Master!$A$2:$A$477,0))&amp;"","")</f>
        <v>Yes</v>
      </c>
      <c r="H1865" s="10" t="str">
        <f aca="false">IFERROR(INDEX(Section_Master!$F$2:$F$477,MATCH($E1865,Section_Master!$A$2:$A$477,0))&amp;"","")</f>
        <v>No</v>
      </c>
      <c r="I1865" s="10" t="str">
        <f aca="false">IFERROR(INDEX(Section_Master!$G$2:$G$477,MATCH($E1865,Section_Master!$A$2:$A$477,0))&amp;"","")</f>
        <v>No</v>
      </c>
      <c r="J1865" s="10" t="s">
        <v>58</v>
      </c>
      <c r="K1865" s="8" t="s">
        <v>4393</v>
      </c>
    </row>
    <row r="1866" customFormat="false" ht="34.5" hidden="false" customHeight="true" outlineLevel="0" collapsed="false">
      <c r="A1866" s="10" t="s">
        <v>4400</v>
      </c>
      <c r="B1866" s="10" t="s">
        <v>45</v>
      </c>
      <c r="C1866" s="8" t="s">
        <v>4391</v>
      </c>
      <c r="D1866" s="8" t="s">
        <v>4401</v>
      </c>
      <c r="E1866" s="11" t="n">
        <v>311</v>
      </c>
      <c r="F1866" s="8" t="str">
        <f aca="false">IFERROR(INDEX(Section_Master!$D$2:$D$477,MATCH($E1866,Section_Master!$A$2:$A$477,0))&amp;"","")</f>
        <v>Imprisonment not less than 7 years</v>
      </c>
      <c r="G1866" s="10" t="str">
        <f aca="false">IFERROR(INDEX(Section_Master!$E$2:$E$477,MATCH($E1866,Section_Master!$A$2:$A$477,0))&amp;"","")</f>
        <v>Yes</v>
      </c>
      <c r="H1866" s="10" t="str">
        <f aca="false">IFERROR(INDEX(Section_Master!$F$2:$F$477,MATCH($E1866,Section_Master!$A$2:$A$477,0))&amp;"","")</f>
        <v>No</v>
      </c>
      <c r="I1866" s="10" t="str">
        <f aca="false">IFERROR(INDEX(Section_Master!$G$2:$G$477,MATCH($E1866,Section_Master!$A$2:$A$477,0))&amp;"","")</f>
        <v>No</v>
      </c>
      <c r="J1866" s="10" t="s">
        <v>61</v>
      </c>
      <c r="K1866" s="8" t="s">
        <v>4393</v>
      </c>
    </row>
    <row r="1867" customFormat="false" ht="34.5" hidden="false" customHeight="true" outlineLevel="0" collapsed="false">
      <c r="A1867" s="10" t="s">
        <v>4402</v>
      </c>
      <c r="B1867" s="10" t="s">
        <v>45</v>
      </c>
      <c r="C1867" s="8" t="s">
        <v>4391</v>
      </c>
      <c r="D1867" s="8" t="s">
        <v>4403</v>
      </c>
      <c r="E1867" s="11" t="n">
        <v>311</v>
      </c>
      <c r="F1867" s="8" t="str">
        <f aca="false">IFERROR(INDEX(Section_Master!$D$2:$D$477,MATCH($E1867,Section_Master!$A$2:$A$477,0))&amp;"","")</f>
        <v>Imprisonment not less than 7 years</v>
      </c>
      <c r="G1867" s="10" t="str">
        <f aca="false">IFERROR(INDEX(Section_Master!$E$2:$E$477,MATCH($E1867,Section_Master!$A$2:$A$477,0))&amp;"","")</f>
        <v>Yes</v>
      </c>
      <c r="H1867" s="10" t="str">
        <f aca="false">IFERROR(INDEX(Section_Master!$F$2:$F$477,MATCH($E1867,Section_Master!$A$2:$A$477,0))&amp;"","")</f>
        <v>No</v>
      </c>
      <c r="I1867" s="10" t="str">
        <f aca="false">IFERROR(INDEX(Section_Master!$G$2:$G$477,MATCH($E1867,Section_Master!$A$2:$A$477,0))&amp;"","")</f>
        <v>No</v>
      </c>
      <c r="J1867" s="10" t="s">
        <v>64</v>
      </c>
      <c r="K1867" s="8" t="s">
        <v>4393</v>
      </c>
    </row>
    <row r="1868" customFormat="false" ht="23.25" hidden="false" customHeight="true" outlineLevel="0" collapsed="false">
      <c r="A1868" s="10" t="s">
        <v>4404</v>
      </c>
      <c r="B1868" s="10" t="s">
        <v>45</v>
      </c>
      <c r="C1868" s="8" t="s">
        <v>4405</v>
      </c>
      <c r="D1868" s="8" t="s">
        <v>4406</v>
      </c>
      <c r="E1868" s="11" t="n">
        <v>312</v>
      </c>
      <c r="F1868" s="8" t="str">
        <f aca="false">IFERROR(INDEX(Section_Master!$D$2:$D$477,MATCH($E1868,Section_Master!$A$2:$A$477,0))&amp;"","")</f>
        <v>Imprisonment not less than 7 years</v>
      </c>
      <c r="G1868" s="10" t="str">
        <f aca="false">IFERROR(INDEX(Section_Master!$E$2:$E$477,MATCH($E1868,Section_Master!$A$2:$A$477,0))&amp;"","")</f>
        <v>Yes</v>
      </c>
      <c r="H1868" s="10" t="str">
        <f aca="false">IFERROR(INDEX(Section_Master!$F$2:$F$477,MATCH($E1868,Section_Master!$A$2:$A$477,0))&amp;"","")</f>
        <v>No</v>
      </c>
      <c r="I1868" s="10" t="str">
        <f aca="false">IFERROR(INDEX(Section_Master!$G$2:$G$477,MATCH($E1868,Section_Master!$A$2:$A$477,0))&amp;"","")</f>
        <v>No</v>
      </c>
      <c r="J1868" s="10" t="s">
        <v>48</v>
      </c>
      <c r="K1868" s="8" t="s">
        <v>4407</v>
      </c>
    </row>
    <row r="1869" customFormat="false" ht="34.5" hidden="false" customHeight="true" outlineLevel="0" collapsed="false">
      <c r="A1869" s="10" t="s">
        <v>4408</v>
      </c>
      <c r="B1869" s="10" t="s">
        <v>45</v>
      </c>
      <c r="C1869" s="8" t="s">
        <v>4405</v>
      </c>
      <c r="D1869" s="8" t="s">
        <v>4409</v>
      </c>
      <c r="E1869" s="11" t="n">
        <v>312</v>
      </c>
      <c r="F1869" s="8" t="str">
        <f aca="false">IFERROR(INDEX(Section_Master!$D$2:$D$477,MATCH($E1869,Section_Master!$A$2:$A$477,0))&amp;"","")</f>
        <v>Imprisonment not less than 7 years</v>
      </c>
      <c r="G1869" s="10" t="str">
        <f aca="false">IFERROR(INDEX(Section_Master!$E$2:$E$477,MATCH($E1869,Section_Master!$A$2:$A$477,0))&amp;"","")</f>
        <v>Yes</v>
      </c>
      <c r="H1869" s="10" t="str">
        <f aca="false">IFERROR(INDEX(Section_Master!$F$2:$F$477,MATCH($E1869,Section_Master!$A$2:$A$477,0))&amp;"","")</f>
        <v>No</v>
      </c>
      <c r="I1869" s="10" t="str">
        <f aca="false">IFERROR(INDEX(Section_Master!$G$2:$G$477,MATCH($E1869,Section_Master!$A$2:$A$477,0))&amp;"","")</f>
        <v>No</v>
      </c>
      <c r="J1869" s="10" t="s">
        <v>52</v>
      </c>
      <c r="K1869" s="8" t="s">
        <v>4407</v>
      </c>
    </row>
    <row r="1870" customFormat="false" ht="34.5" hidden="false" customHeight="true" outlineLevel="0" collapsed="false">
      <c r="A1870" s="10" t="s">
        <v>4410</v>
      </c>
      <c r="B1870" s="10" t="s">
        <v>45</v>
      </c>
      <c r="C1870" s="8" t="s">
        <v>4405</v>
      </c>
      <c r="D1870" s="8" t="s">
        <v>4411</v>
      </c>
      <c r="E1870" s="11" t="n">
        <v>312</v>
      </c>
      <c r="F1870" s="8" t="str">
        <f aca="false">IFERROR(INDEX(Section_Master!$D$2:$D$477,MATCH($E1870,Section_Master!$A$2:$A$477,0))&amp;"","")</f>
        <v>Imprisonment not less than 7 years</v>
      </c>
      <c r="G1870" s="10" t="str">
        <f aca="false">IFERROR(INDEX(Section_Master!$E$2:$E$477,MATCH($E1870,Section_Master!$A$2:$A$477,0))&amp;"","")</f>
        <v>Yes</v>
      </c>
      <c r="H1870" s="10" t="str">
        <f aca="false">IFERROR(INDEX(Section_Master!$F$2:$F$477,MATCH($E1870,Section_Master!$A$2:$A$477,0))&amp;"","")</f>
        <v>No</v>
      </c>
      <c r="I1870" s="10" t="str">
        <f aca="false">IFERROR(INDEX(Section_Master!$G$2:$G$477,MATCH($E1870,Section_Master!$A$2:$A$477,0))&amp;"","")</f>
        <v>No</v>
      </c>
      <c r="J1870" s="10" t="s">
        <v>55</v>
      </c>
      <c r="K1870" s="8" t="s">
        <v>4407</v>
      </c>
    </row>
    <row r="1871" customFormat="false" ht="45.75" hidden="false" customHeight="true" outlineLevel="0" collapsed="false">
      <c r="A1871" s="10" t="s">
        <v>4412</v>
      </c>
      <c r="B1871" s="10" t="s">
        <v>45</v>
      </c>
      <c r="C1871" s="8" t="s">
        <v>4405</v>
      </c>
      <c r="D1871" s="8" t="s">
        <v>4413</v>
      </c>
      <c r="E1871" s="11" t="n">
        <v>312</v>
      </c>
      <c r="F1871" s="8" t="str">
        <f aca="false">IFERROR(INDEX(Section_Master!$D$2:$D$477,MATCH($E1871,Section_Master!$A$2:$A$477,0))&amp;"","")</f>
        <v>Imprisonment not less than 7 years</v>
      </c>
      <c r="G1871" s="10" t="str">
        <f aca="false">IFERROR(INDEX(Section_Master!$E$2:$E$477,MATCH($E1871,Section_Master!$A$2:$A$477,0))&amp;"","")</f>
        <v>Yes</v>
      </c>
      <c r="H1871" s="10" t="str">
        <f aca="false">IFERROR(INDEX(Section_Master!$F$2:$F$477,MATCH($E1871,Section_Master!$A$2:$A$477,0))&amp;"","")</f>
        <v>No</v>
      </c>
      <c r="I1871" s="10" t="str">
        <f aca="false">IFERROR(INDEX(Section_Master!$G$2:$G$477,MATCH($E1871,Section_Master!$A$2:$A$477,0))&amp;"","")</f>
        <v>No</v>
      </c>
      <c r="J1871" s="10" t="s">
        <v>58</v>
      </c>
      <c r="K1871" s="8" t="s">
        <v>4407</v>
      </c>
    </row>
    <row r="1872" customFormat="false" ht="23.25" hidden="false" customHeight="true" outlineLevel="0" collapsed="false">
      <c r="A1872" s="10" t="s">
        <v>4414</v>
      </c>
      <c r="B1872" s="10" t="s">
        <v>45</v>
      </c>
      <c r="C1872" s="8" t="s">
        <v>4405</v>
      </c>
      <c r="D1872" s="8" t="s">
        <v>4415</v>
      </c>
      <c r="E1872" s="11" t="n">
        <v>312</v>
      </c>
      <c r="F1872" s="8" t="str">
        <f aca="false">IFERROR(INDEX(Section_Master!$D$2:$D$477,MATCH($E1872,Section_Master!$A$2:$A$477,0))&amp;"","")</f>
        <v>Imprisonment not less than 7 years</v>
      </c>
      <c r="G1872" s="10" t="str">
        <f aca="false">IFERROR(INDEX(Section_Master!$E$2:$E$477,MATCH($E1872,Section_Master!$A$2:$A$477,0))&amp;"","")</f>
        <v>Yes</v>
      </c>
      <c r="H1872" s="10" t="str">
        <f aca="false">IFERROR(INDEX(Section_Master!$F$2:$F$477,MATCH($E1872,Section_Master!$A$2:$A$477,0))&amp;"","")</f>
        <v>No</v>
      </c>
      <c r="I1872" s="10" t="str">
        <f aca="false">IFERROR(INDEX(Section_Master!$G$2:$G$477,MATCH($E1872,Section_Master!$A$2:$A$477,0))&amp;"","")</f>
        <v>No</v>
      </c>
      <c r="J1872" s="10" t="s">
        <v>61</v>
      </c>
      <c r="K1872" s="8" t="s">
        <v>4407</v>
      </c>
    </row>
    <row r="1873" customFormat="false" ht="34.5" hidden="false" customHeight="true" outlineLevel="0" collapsed="false">
      <c r="A1873" s="10" t="s">
        <v>4416</v>
      </c>
      <c r="B1873" s="10" t="s">
        <v>45</v>
      </c>
      <c r="C1873" s="8" t="s">
        <v>4405</v>
      </c>
      <c r="D1873" s="8" t="s">
        <v>4417</v>
      </c>
      <c r="E1873" s="11" t="n">
        <v>312</v>
      </c>
      <c r="F1873" s="8" t="str">
        <f aca="false">IFERROR(INDEX(Section_Master!$D$2:$D$477,MATCH($E1873,Section_Master!$A$2:$A$477,0))&amp;"","")</f>
        <v>Imprisonment not less than 7 years</v>
      </c>
      <c r="G1873" s="10" t="str">
        <f aca="false">IFERROR(INDEX(Section_Master!$E$2:$E$477,MATCH($E1873,Section_Master!$A$2:$A$477,0))&amp;"","")</f>
        <v>Yes</v>
      </c>
      <c r="H1873" s="10" t="str">
        <f aca="false">IFERROR(INDEX(Section_Master!$F$2:$F$477,MATCH($E1873,Section_Master!$A$2:$A$477,0))&amp;"","")</f>
        <v>No</v>
      </c>
      <c r="I1873" s="10" t="str">
        <f aca="false">IFERROR(INDEX(Section_Master!$G$2:$G$477,MATCH($E1873,Section_Master!$A$2:$A$477,0))&amp;"","")</f>
        <v>No</v>
      </c>
      <c r="J1873" s="10" t="s">
        <v>64</v>
      </c>
      <c r="K1873" s="8" t="s">
        <v>4407</v>
      </c>
    </row>
    <row r="1874" customFormat="false" ht="34.5" hidden="false" customHeight="true" outlineLevel="0" collapsed="false">
      <c r="A1874" s="10" t="s">
        <v>4418</v>
      </c>
      <c r="B1874" s="10" t="s">
        <v>45</v>
      </c>
      <c r="C1874" s="8" t="s">
        <v>4419</v>
      </c>
      <c r="D1874" s="8" t="s">
        <v>4420</v>
      </c>
      <c r="E1874" s="11" t="n">
        <v>313</v>
      </c>
      <c r="F1874" s="8" t="str">
        <f aca="false">IFERROR(INDEX(Section_Master!$D$2:$D$477,MATCH($E1874,Section_Master!$A$2:$A$477,0))&amp;"","")</f>
        <v>Rigorous imprisonment for life, or up to 10 years, and fine</v>
      </c>
      <c r="G1874" s="10" t="str">
        <f aca="false">IFERROR(INDEX(Section_Master!$E$2:$E$477,MATCH($E1874,Section_Master!$A$2:$A$477,0))&amp;"","")</f>
        <v>Yes</v>
      </c>
      <c r="H1874" s="10" t="str">
        <f aca="false">IFERROR(INDEX(Section_Master!$F$2:$F$477,MATCH($E1874,Section_Master!$A$2:$A$477,0))&amp;"","")</f>
        <v>No</v>
      </c>
      <c r="I1874" s="10" t="str">
        <f aca="false">IFERROR(INDEX(Section_Master!$G$2:$G$477,MATCH($E1874,Section_Master!$A$2:$A$477,0))&amp;"","")</f>
        <v>No</v>
      </c>
      <c r="J1874" s="10" t="s">
        <v>48</v>
      </c>
      <c r="K1874" s="8" t="s">
        <v>4421</v>
      </c>
    </row>
    <row r="1875" customFormat="false" ht="34.5" hidden="false" customHeight="true" outlineLevel="0" collapsed="false">
      <c r="A1875" s="10" t="s">
        <v>4422</v>
      </c>
      <c r="B1875" s="10" t="s">
        <v>45</v>
      </c>
      <c r="C1875" s="8" t="s">
        <v>4419</v>
      </c>
      <c r="D1875" s="8" t="s">
        <v>4423</v>
      </c>
      <c r="E1875" s="11" t="n">
        <v>313</v>
      </c>
      <c r="F1875" s="8" t="str">
        <f aca="false">IFERROR(INDEX(Section_Master!$D$2:$D$477,MATCH($E1875,Section_Master!$A$2:$A$477,0))&amp;"","")</f>
        <v>Rigorous imprisonment for life, or up to 10 years, and fine</v>
      </c>
      <c r="G1875" s="10" t="str">
        <f aca="false">IFERROR(INDEX(Section_Master!$E$2:$E$477,MATCH($E1875,Section_Master!$A$2:$A$477,0))&amp;"","")</f>
        <v>Yes</v>
      </c>
      <c r="H1875" s="10" t="str">
        <f aca="false">IFERROR(INDEX(Section_Master!$F$2:$F$477,MATCH($E1875,Section_Master!$A$2:$A$477,0))&amp;"","")</f>
        <v>No</v>
      </c>
      <c r="I1875" s="10" t="str">
        <f aca="false">IFERROR(INDEX(Section_Master!$G$2:$G$477,MATCH($E1875,Section_Master!$A$2:$A$477,0))&amp;"","")</f>
        <v>No</v>
      </c>
      <c r="J1875" s="10" t="s">
        <v>52</v>
      </c>
      <c r="K1875" s="8" t="s">
        <v>4421</v>
      </c>
    </row>
    <row r="1876" customFormat="false" ht="34.5" hidden="false" customHeight="true" outlineLevel="0" collapsed="false">
      <c r="A1876" s="10" t="s">
        <v>4424</v>
      </c>
      <c r="B1876" s="10" t="s">
        <v>45</v>
      </c>
      <c r="C1876" s="8" t="s">
        <v>4419</v>
      </c>
      <c r="D1876" s="8" t="s">
        <v>4425</v>
      </c>
      <c r="E1876" s="11" t="n">
        <v>313</v>
      </c>
      <c r="F1876" s="8" t="str">
        <f aca="false">IFERROR(INDEX(Section_Master!$D$2:$D$477,MATCH($E1876,Section_Master!$A$2:$A$477,0))&amp;"","")</f>
        <v>Rigorous imprisonment for life, or up to 10 years, and fine</v>
      </c>
      <c r="G1876" s="10" t="str">
        <f aca="false">IFERROR(INDEX(Section_Master!$E$2:$E$477,MATCH($E1876,Section_Master!$A$2:$A$477,0))&amp;"","")</f>
        <v>Yes</v>
      </c>
      <c r="H1876" s="10" t="str">
        <f aca="false">IFERROR(INDEX(Section_Master!$F$2:$F$477,MATCH($E1876,Section_Master!$A$2:$A$477,0))&amp;"","")</f>
        <v>No</v>
      </c>
      <c r="I1876" s="10" t="str">
        <f aca="false">IFERROR(INDEX(Section_Master!$G$2:$G$477,MATCH($E1876,Section_Master!$A$2:$A$477,0))&amp;"","")</f>
        <v>No</v>
      </c>
      <c r="J1876" s="10" t="s">
        <v>55</v>
      </c>
      <c r="K1876" s="8" t="s">
        <v>4421</v>
      </c>
    </row>
    <row r="1877" customFormat="false" ht="34.5" hidden="false" customHeight="true" outlineLevel="0" collapsed="false">
      <c r="A1877" s="10" t="s">
        <v>4426</v>
      </c>
      <c r="B1877" s="10" t="s">
        <v>45</v>
      </c>
      <c r="C1877" s="8" t="s">
        <v>4419</v>
      </c>
      <c r="D1877" s="8" t="s">
        <v>4427</v>
      </c>
      <c r="E1877" s="11" t="n">
        <v>313</v>
      </c>
      <c r="F1877" s="8" t="str">
        <f aca="false">IFERROR(INDEX(Section_Master!$D$2:$D$477,MATCH($E1877,Section_Master!$A$2:$A$477,0))&amp;"","")</f>
        <v>Rigorous imprisonment for life, or up to 10 years, and fine</v>
      </c>
      <c r="G1877" s="10" t="str">
        <f aca="false">IFERROR(INDEX(Section_Master!$E$2:$E$477,MATCH($E1877,Section_Master!$A$2:$A$477,0))&amp;"","")</f>
        <v>Yes</v>
      </c>
      <c r="H1877" s="10" t="str">
        <f aca="false">IFERROR(INDEX(Section_Master!$F$2:$F$477,MATCH($E1877,Section_Master!$A$2:$A$477,0))&amp;"","")</f>
        <v>No</v>
      </c>
      <c r="I1877" s="10" t="str">
        <f aca="false">IFERROR(INDEX(Section_Master!$G$2:$G$477,MATCH($E1877,Section_Master!$A$2:$A$477,0))&amp;"","")</f>
        <v>No</v>
      </c>
      <c r="J1877" s="10" t="s">
        <v>58</v>
      </c>
      <c r="K1877" s="8" t="s">
        <v>4421</v>
      </c>
    </row>
    <row r="1878" customFormat="false" ht="34.5" hidden="false" customHeight="true" outlineLevel="0" collapsed="false">
      <c r="A1878" s="10" t="s">
        <v>4428</v>
      </c>
      <c r="B1878" s="10" t="s">
        <v>45</v>
      </c>
      <c r="C1878" s="8" t="s">
        <v>4419</v>
      </c>
      <c r="D1878" s="8" t="s">
        <v>4429</v>
      </c>
      <c r="E1878" s="11" t="n">
        <v>313</v>
      </c>
      <c r="F1878" s="8" t="str">
        <f aca="false">IFERROR(INDEX(Section_Master!$D$2:$D$477,MATCH($E1878,Section_Master!$A$2:$A$477,0))&amp;"","")</f>
        <v>Rigorous imprisonment for life, or up to 10 years, and fine</v>
      </c>
      <c r="G1878" s="10" t="str">
        <f aca="false">IFERROR(INDEX(Section_Master!$E$2:$E$477,MATCH($E1878,Section_Master!$A$2:$A$477,0))&amp;"","")</f>
        <v>Yes</v>
      </c>
      <c r="H1878" s="10" t="str">
        <f aca="false">IFERROR(INDEX(Section_Master!$F$2:$F$477,MATCH($E1878,Section_Master!$A$2:$A$477,0))&amp;"","")</f>
        <v>No</v>
      </c>
      <c r="I1878" s="10" t="str">
        <f aca="false">IFERROR(INDEX(Section_Master!$G$2:$G$477,MATCH($E1878,Section_Master!$A$2:$A$477,0))&amp;"","")</f>
        <v>No</v>
      </c>
      <c r="J1878" s="10" t="s">
        <v>61</v>
      </c>
      <c r="K1878" s="8" t="s">
        <v>4421</v>
      </c>
    </row>
    <row r="1879" customFormat="false" ht="34.5" hidden="false" customHeight="true" outlineLevel="0" collapsed="false">
      <c r="A1879" s="10" t="s">
        <v>4430</v>
      </c>
      <c r="B1879" s="10" t="s">
        <v>45</v>
      </c>
      <c r="C1879" s="8" t="s">
        <v>4419</v>
      </c>
      <c r="D1879" s="8" t="s">
        <v>4431</v>
      </c>
      <c r="E1879" s="11" t="n">
        <v>313</v>
      </c>
      <c r="F1879" s="8" t="str">
        <f aca="false">IFERROR(INDEX(Section_Master!$D$2:$D$477,MATCH($E1879,Section_Master!$A$2:$A$477,0))&amp;"","")</f>
        <v>Rigorous imprisonment for life, or up to 10 years, and fine</v>
      </c>
      <c r="G1879" s="10" t="str">
        <f aca="false">IFERROR(INDEX(Section_Master!$E$2:$E$477,MATCH($E1879,Section_Master!$A$2:$A$477,0))&amp;"","")</f>
        <v>Yes</v>
      </c>
      <c r="H1879" s="10" t="str">
        <f aca="false">IFERROR(INDEX(Section_Master!$F$2:$F$477,MATCH($E1879,Section_Master!$A$2:$A$477,0))&amp;"","")</f>
        <v>No</v>
      </c>
      <c r="I1879" s="10" t="str">
        <f aca="false">IFERROR(INDEX(Section_Master!$G$2:$G$477,MATCH($E1879,Section_Master!$A$2:$A$477,0))&amp;"","")</f>
        <v>No</v>
      </c>
      <c r="J1879" s="10" t="s">
        <v>64</v>
      </c>
      <c r="K1879" s="8" t="s">
        <v>4421</v>
      </c>
    </row>
    <row r="1880" customFormat="false" ht="34.5" hidden="false" customHeight="true" outlineLevel="0" collapsed="false">
      <c r="A1880" s="10" t="s">
        <v>4432</v>
      </c>
      <c r="B1880" s="10" t="s">
        <v>45</v>
      </c>
      <c r="C1880" s="8" t="s">
        <v>4433</v>
      </c>
      <c r="D1880" s="8" t="s">
        <v>4434</v>
      </c>
      <c r="E1880" s="11" t="n">
        <v>314</v>
      </c>
      <c r="F1880" s="8" t="str">
        <f aca="false">IFERROR(INDEX(Section_Master!$D$2:$D$477,MATCH($E1880,Section_Master!$A$2:$A$477,0))&amp;"","")</f>
        <v>Imprisonment 6 months to 2 years and fine</v>
      </c>
      <c r="G1880" s="10" t="str">
        <f aca="false">IFERROR(INDEX(Section_Master!$E$2:$E$477,MATCH($E1880,Section_Master!$A$2:$A$477,0))&amp;"","")</f>
        <v>No</v>
      </c>
      <c r="H1880" s="10" t="str">
        <f aca="false">IFERROR(INDEX(Section_Master!$F$2:$F$477,MATCH($E1880,Section_Master!$A$2:$A$477,0))&amp;"","")</f>
        <v>Yes</v>
      </c>
      <c r="I1880" s="10" t="str">
        <f aca="false">IFERROR(INDEX(Section_Master!$G$2:$G$477,MATCH($E1880,Section_Master!$A$2:$A$477,0))&amp;"","")</f>
        <v>With court permission</v>
      </c>
      <c r="J1880" s="10" t="s">
        <v>48</v>
      </c>
      <c r="K1880" s="8" t="s">
        <v>4435</v>
      </c>
    </row>
    <row r="1881" customFormat="false" ht="34.5" hidden="false" customHeight="true" outlineLevel="0" collapsed="false">
      <c r="A1881" s="10" t="s">
        <v>4436</v>
      </c>
      <c r="B1881" s="10" t="s">
        <v>45</v>
      </c>
      <c r="C1881" s="8" t="s">
        <v>4433</v>
      </c>
      <c r="D1881" s="8" t="s">
        <v>4437</v>
      </c>
      <c r="E1881" s="11" t="n">
        <v>314</v>
      </c>
      <c r="F1881" s="8" t="str">
        <f aca="false">IFERROR(INDEX(Section_Master!$D$2:$D$477,MATCH($E1881,Section_Master!$A$2:$A$477,0))&amp;"","")</f>
        <v>Imprisonment 6 months to 2 years and fine</v>
      </c>
      <c r="G1881" s="10" t="str">
        <f aca="false">IFERROR(INDEX(Section_Master!$E$2:$E$477,MATCH($E1881,Section_Master!$A$2:$A$477,0))&amp;"","")</f>
        <v>No</v>
      </c>
      <c r="H1881" s="10" t="str">
        <f aca="false">IFERROR(INDEX(Section_Master!$F$2:$F$477,MATCH($E1881,Section_Master!$A$2:$A$477,0))&amp;"","")</f>
        <v>Yes</v>
      </c>
      <c r="I1881" s="10" t="str">
        <f aca="false">IFERROR(INDEX(Section_Master!$G$2:$G$477,MATCH($E1881,Section_Master!$A$2:$A$477,0))&amp;"","")</f>
        <v>With court permission</v>
      </c>
      <c r="J1881" s="10" t="s">
        <v>52</v>
      </c>
      <c r="K1881" s="8" t="s">
        <v>4435</v>
      </c>
    </row>
    <row r="1882" customFormat="false" ht="34.5" hidden="false" customHeight="true" outlineLevel="0" collapsed="false">
      <c r="A1882" s="10" t="s">
        <v>4438</v>
      </c>
      <c r="B1882" s="10" t="s">
        <v>45</v>
      </c>
      <c r="C1882" s="8" t="s">
        <v>4433</v>
      </c>
      <c r="D1882" s="8" t="s">
        <v>4439</v>
      </c>
      <c r="E1882" s="11" t="n">
        <v>314</v>
      </c>
      <c r="F1882" s="8" t="str">
        <f aca="false">IFERROR(INDEX(Section_Master!$D$2:$D$477,MATCH($E1882,Section_Master!$A$2:$A$477,0))&amp;"","")</f>
        <v>Imprisonment 6 months to 2 years and fine</v>
      </c>
      <c r="G1882" s="10" t="str">
        <f aca="false">IFERROR(INDEX(Section_Master!$E$2:$E$477,MATCH($E1882,Section_Master!$A$2:$A$477,0))&amp;"","")</f>
        <v>No</v>
      </c>
      <c r="H1882" s="10" t="str">
        <f aca="false">IFERROR(INDEX(Section_Master!$F$2:$F$477,MATCH($E1882,Section_Master!$A$2:$A$477,0))&amp;"","")</f>
        <v>Yes</v>
      </c>
      <c r="I1882" s="10" t="str">
        <f aca="false">IFERROR(INDEX(Section_Master!$G$2:$G$477,MATCH($E1882,Section_Master!$A$2:$A$477,0))&amp;"","")</f>
        <v>With court permission</v>
      </c>
      <c r="J1882" s="10" t="s">
        <v>55</v>
      </c>
      <c r="K1882" s="8" t="s">
        <v>4435</v>
      </c>
    </row>
    <row r="1883" customFormat="false" ht="23.25" hidden="false" customHeight="true" outlineLevel="0" collapsed="false">
      <c r="A1883" s="10" t="s">
        <v>4440</v>
      </c>
      <c r="B1883" s="10" t="s">
        <v>45</v>
      </c>
      <c r="C1883" s="8" t="s">
        <v>4433</v>
      </c>
      <c r="D1883" s="8" t="s">
        <v>4441</v>
      </c>
      <c r="E1883" s="11" t="n">
        <v>314</v>
      </c>
      <c r="F1883" s="8" t="str">
        <f aca="false">IFERROR(INDEX(Section_Master!$D$2:$D$477,MATCH($E1883,Section_Master!$A$2:$A$477,0))&amp;"","")</f>
        <v>Imprisonment 6 months to 2 years and fine</v>
      </c>
      <c r="G1883" s="10" t="str">
        <f aca="false">IFERROR(INDEX(Section_Master!$E$2:$E$477,MATCH($E1883,Section_Master!$A$2:$A$477,0))&amp;"","")</f>
        <v>No</v>
      </c>
      <c r="H1883" s="10" t="str">
        <f aca="false">IFERROR(INDEX(Section_Master!$F$2:$F$477,MATCH($E1883,Section_Master!$A$2:$A$477,0))&amp;"","")</f>
        <v>Yes</v>
      </c>
      <c r="I1883" s="10" t="str">
        <f aca="false">IFERROR(INDEX(Section_Master!$G$2:$G$477,MATCH($E1883,Section_Master!$A$2:$A$477,0))&amp;"","")</f>
        <v>With court permission</v>
      </c>
      <c r="J1883" s="10" t="s">
        <v>58</v>
      </c>
      <c r="K1883" s="8" t="s">
        <v>4435</v>
      </c>
    </row>
    <row r="1884" customFormat="false" ht="34.5" hidden="false" customHeight="true" outlineLevel="0" collapsed="false">
      <c r="A1884" s="10" t="s">
        <v>4442</v>
      </c>
      <c r="B1884" s="10" t="s">
        <v>45</v>
      </c>
      <c r="C1884" s="8" t="s">
        <v>4433</v>
      </c>
      <c r="D1884" s="8" t="s">
        <v>4443</v>
      </c>
      <c r="E1884" s="11" t="n">
        <v>314</v>
      </c>
      <c r="F1884" s="8" t="str">
        <f aca="false">IFERROR(INDEX(Section_Master!$D$2:$D$477,MATCH($E1884,Section_Master!$A$2:$A$477,0))&amp;"","")</f>
        <v>Imprisonment 6 months to 2 years and fine</v>
      </c>
      <c r="G1884" s="10" t="str">
        <f aca="false">IFERROR(INDEX(Section_Master!$E$2:$E$477,MATCH($E1884,Section_Master!$A$2:$A$477,0))&amp;"","")</f>
        <v>No</v>
      </c>
      <c r="H1884" s="10" t="str">
        <f aca="false">IFERROR(INDEX(Section_Master!$F$2:$F$477,MATCH($E1884,Section_Master!$A$2:$A$477,0))&amp;"","")</f>
        <v>Yes</v>
      </c>
      <c r="I1884" s="10" t="str">
        <f aca="false">IFERROR(INDEX(Section_Master!$G$2:$G$477,MATCH($E1884,Section_Master!$A$2:$A$477,0))&amp;"","")</f>
        <v>With court permission</v>
      </c>
      <c r="J1884" s="10" t="s">
        <v>61</v>
      </c>
      <c r="K1884" s="8" t="s">
        <v>4435</v>
      </c>
    </row>
    <row r="1885" customFormat="false" ht="34.5" hidden="false" customHeight="true" outlineLevel="0" collapsed="false">
      <c r="A1885" s="10" t="s">
        <v>4444</v>
      </c>
      <c r="B1885" s="10" t="s">
        <v>45</v>
      </c>
      <c r="C1885" s="8" t="s">
        <v>4433</v>
      </c>
      <c r="D1885" s="8" t="s">
        <v>4445</v>
      </c>
      <c r="E1885" s="11" t="n">
        <v>314</v>
      </c>
      <c r="F1885" s="8" t="str">
        <f aca="false">IFERROR(INDEX(Section_Master!$D$2:$D$477,MATCH($E1885,Section_Master!$A$2:$A$477,0))&amp;"","")</f>
        <v>Imprisonment 6 months to 2 years and fine</v>
      </c>
      <c r="G1885" s="10" t="str">
        <f aca="false">IFERROR(INDEX(Section_Master!$E$2:$E$477,MATCH($E1885,Section_Master!$A$2:$A$477,0))&amp;"","")</f>
        <v>No</v>
      </c>
      <c r="H1885" s="10" t="str">
        <f aca="false">IFERROR(INDEX(Section_Master!$F$2:$F$477,MATCH($E1885,Section_Master!$A$2:$A$477,0))&amp;"","")</f>
        <v>Yes</v>
      </c>
      <c r="I1885" s="10" t="str">
        <f aca="false">IFERROR(INDEX(Section_Master!$G$2:$G$477,MATCH($E1885,Section_Master!$A$2:$A$477,0))&amp;"","")</f>
        <v>With court permission</v>
      </c>
      <c r="J1885" s="10" t="s">
        <v>64</v>
      </c>
      <c r="K1885" s="8" t="s">
        <v>4435</v>
      </c>
    </row>
    <row r="1886" customFormat="false" ht="34.5" hidden="false" customHeight="true" outlineLevel="0" collapsed="false">
      <c r="A1886" s="10" t="s">
        <v>4446</v>
      </c>
      <c r="B1886" s="10" t="s">
        <v>45</v>
      </c>
      <c r="C1886" s="8" t="s">
        <v>4447</v>
      </c>
      <c r="D1886" s="8" t="s">
        <v>4448</v>
      </c>
      <c r="E1886" s="11" t="n">
        <v>315</v>
      </c>
      <c r="F1886" s="8" t="str">
        <f aca="false">IFERROR(INDEX(Section_Master!$D$2:$D$477,MATCH($E1886,Section_Master!$A$2:$A$477,0))&amp;"","")</f>
        <v>Imprisonment up to 3 years and fine; up to 7 years and fine for clerk or servant [s.315]</v>
      </c>
      <c r="G1886" s="10" t="str">
        <f aca="false">IFERROR(INDEX(Section_Master!$E$2:$E$477,MATCH($E1886,Section_Master!$A$2:$A$477,0))&amp;"","")</f>
        <v>No</v>
      </c>
      <c r="H1886" s="10" t="str">
        <f aca="false">IFERROR(INDEX(Section_Master!$F$2:$F$477,MATCH($E1886,Section_Master!$A$2:$A$477,0))&amp;"","")</f>
        <v>No</v>
      </c>
      <c r="I1886" s="10" t="str">
        <f aca="false">IFERROR(INDEX(Section_Master!$G$2:$G$477,MATCH($E1886,Section_Master!$A$2:$A$477,0))&amp;"","")</f>
        <v>With court permission</v>
      </c>
      <c r="J1886" s="10" t="s">
        <v>48</v>
      </c>
      <c r="K1886" s="8" t="s">
        <v>4449</v>
      </c>
    </row>
    <row r="1887" customFormat="false" ht="45.75" hidden="false" customHeight="true" outlineLevel="0" collapsed="false">
      <c r="A1887" s="10" t="s">
        <v>4450</v>
      </c>
      <c r="B1887" s="10" t="s">
        <v>45</v>
      </c>
      <c r="C1887" s="8" t="s">
        <v>4447</v>
      </c>
      <c r="D1887" s="8" t="s">
        <v>4451</v>
      </c>
      <c r="E1887" s="11" t="n">
        <v>315</v>
      </c>
      <c r="F1887" s="8" t="str">
        <f aca="false">IFERROR(INDEX(Section_Master!$D$2:$D$477,MATCH($E1887,Section_Master!$A$2:$A$477,0))&amp;"","")</f>
        <v>Imprisonment up to 3 years and fine; up to 7 years and fine for clerk or servant [s.315]</v>
      </c>
      <c r="G1887" s="10" t="str">
        <f aca="false">IFERROR(INDEX(Section_Master!$E$2:$E$477,MATCH($E1887,Section_Master!$A$2:$A$477,0))&amp;"","")</f>
        <v>No</v>
      </c>
      <c r="H1887" s="10" t="str">
        <f aca="false">IFERROR(INDEX(Section_Master!$F$2:$F$477,MATCH($E1887,Section_Master!$A$2:$A$477,0))&amp;"","")</f>
        <v>No</v>
      </c>
      <c r="I1887" s="10" t="str">
        <f aca="false">IFERROR(INDEX(Section_Master!$G$2:$G$477,MATCH($E1887,Section_Master!$A$2:$A$477,0))&amp;"","")</f>
        <v>With court permission</v>
      </c>
      <c r="J1887" s="10" t="s">
        <v>52</v>
      </c>
      <c r="K1887" s="8" t="s">
        <v>4449</v>
      </c>
    </row>
    <row r="1888" customFormat="false" ht="34.5" hidden="false" customHeight="true" outlineLevel="0" collapsed="false">
      <c r="A1888" s="10" t="s">
        <v>4452</v>
      </c>
      <c r="B1888" s="10" t="s">
        <v>45</v>
      </c>
      <c r="C1888" s="8" t="s">
        <v>4447</v>
      </c>
      <c r="D1888" s="8" t="s">
        <v>4453</v>
      </c>
      <c r="E1888" s="11" t="n">
        <v>315</v>
      </c>
      <c r="F1888" s="8" t="str">
        <f aca="false">IFERROR(INDEX(Section_Master!$D$2:$D$477,MATCH($E1888,Section_Master!$A$2:$A$477,0))&amp;"","")</f>
        <v>Imprisonment up to 3 years and fine; up to 7 years and fine for clerk or servant [s.315]</v>
      </c>
      <c r="G1888" s="10" t="str">
        <f aca="false">IFERROR(INDEX(Section_Master!$E$2:$E$477,MATCH($E1888,Section_Master!$A$2:$A$477,0))&amp;"","")</f>
        <v>No</v>
      </c>
      <c r="H1888" s="10" t="str">
        <f aca="false">IFERROR(INDEX(Section_Master!$F$2:$F$477,MATCH($E1888,Section_Master!$A$2:$A$477,0))&amp;"","")</f>
        <v>No</v>
      </c>
      <c r="I1888" s="10" t="str">
        <f aca="false">IFERROR(INDEX(Section_Master!$G$2:$G$477,MATCH($E1888,Section_Master!$A$2:$A$477,0))&amp;"","")</f>
        <v>With court permission</v>
      </c>
      <c r="J1888" s="10" t="s">
        <v>55</v>
      </c>
      <c r="K1888" s="8" t="s">
        <v>4449</v>
      </c>
    </row>
    <row r="1889" customFormat="false" ht="45.75" hidden="false" customHeight="true" outlineLevel="0" collapsed="false">
      <c r="A1889" s="10" t="s">
        <v>4454</v>
      </c>
      <c r="B1889" s="10" t="s">
        <v>45</v>
      </c>
      <c r="C1889" s="8" t="s">
        <v>4447</v>
      </c>
      <c r="D1889" s="8" t="s">
        <v>4455</v>
      </c>
      <c r="E1889" s="11" t="n">
        <v>315</v>
      </c>
      <c r="F1889" s="8" t="str">
        <f aca="false">IFERROR(INDEX(Section_Master!$D$2:$D$477,MATCH($E1889,Section_Master!$A$2:$A$477,0))&amp;"","")</f>
        <v>Imprisonment up to 3 years and fine; up to 7 years and fine for clerk or servant [s.315]</v>
      </c>
      <c r="G1889" s="10" t="str">
        <f aca="false">IFERROR(INDEX(Section_Master!$E$2:$E$477,MATCH($E1889,Section_Master!$A$2:$A$477,0))&amp;"","")</f>
        <v>No</v>
      </c>
      <c r="H1889" s="10" t="str">
        <f aca="false">IFERROR(INDEX(Section_Master!$F$2:$F$477,MATCH($E1889,Section_Master!$A$2:$A$477,0))&amp;"","")</f>
        <v>No</v>
      </c>
      <c r="I1889" s="10" t="str">
        <f aca="false">IFERROR(INDEX(Section_Master!$G$2:$G$477,MATCH($E1889,Section_Master!$A$2:$A$477,0))&amp;"","")</f>
        <v>With court permission</v>
      </c>
      <c r="J1889" s="10" t="s">
        <v>58</v>
      </c>
      <c r="K1889" s="8" t="s">
        <v>4449</v>
      </c>
    </row>
    <row r="1890" customFormat="false" ht="34.5" hidden="false" customHeight="true" outlineLevel="0" collapsed="false">
      <c r="A1890" s="10" t="s">
        <v>4456</v>
      </c>
      <c r="B1890" s="10" t="s">
        <v>45</v>
      </c>
      <c r="C1890" s="8" t="s">
        <v>4447</v>
      </c>
      <c r="D1890" s="8" t="s">
        <v>4457</v>
      </c>
      <c r="E1890" s="11" t="n">
        <v>315</v>
      </c>
      <c r="F1890" s="8" t="str">
        <f aca="false">IFERROR(INDEX(Section_Master!$D$2:$D$477,MATCH($E1890,Section_Master!$A$2:$A$477,0))&amp;"","")</f>
        <v>Imprisonment up to 3 years and fine; up to 7 years and fine for clerk or servant [s.315]</v>
      </c>
      <c r="G1890" s="10" t="str">
        <f aca="false">IFERROR(INDEX(Section_Master!$E$2:$E$477,MATCH($E1890,Section_Master!$A$2:$A$477,0))&amp;"","")</f>
        <v>No</v>
      </c>
      <c r="H1890" s="10" t="str">
        <f aca="false">IFERROR(INDEX(Section_Master!$F$2:$F$477,MATCH($E1890,Section_Master!$A$2:$A$477,0))&amp;"","")</f>
        <v>No</v>
      </c>
      <c r="I1890" s="10" t="str">
        <f aca="false">IFERROR(INDEX(Section_Master!$G$2:$G$477,MATCH($E1890,Section_Master!$A$2:$A$477,0))&amp;"","")</f>
        <v>With court permission</v>
      </c>
      <c r="J1890" s="10" t="s">
        <v>61</v>
      </c>
      <c r="K1890" s="8" t="s">
        <v>4449</v>
      </c>
    </row>
    <row r="1891" customFormat="false" ht="34.5" hidden="false" customHeight="true" outlineLevel="0" collapsed="false">
      <c r="A1891" s="10" t="s">
        <v>4458</v>
      </c>
      <c r="B1891" s="10" t="s">
        <v>45</v>
      </c>
      <c r="C1891" s="8" t="s">
        <v>4447</v>
      </c>
      <c r="D1891" s="8" t="s">
        <v>4459</v>
      </c>
      <c r="E1891" s="11" t="n">
        <v>315</v>
      </c>
      <c r="F1891" s="8" t="str">
        <f aca="false">IFERROR(INDEX(Section_Master!$D$2:$D$477,MATCH($E1891,Section_Master!$A$2:$A$477,0))&amp;"","")</f>
        <v>Imprisonment up to 3 years and fine; up to 7 years and fine for clerk or servant [s.315]</v>
      </c>
      <c r="G1891" s="10" t="str">
        <f aca="false">IFERROR(INDEX(Section_Master!$E$2:$E$477,MATCH($E1891,Section_Master!$A$2:$A$477,0))&amp;"","")</f>
        <v>No</v>
      </c>
      <c r="H1891" s="10" t="str">
        <f aca="false">IFERROR(INDEX(Section_Master!$F$2:$F$477,MATCH($E1891,Section_Master!$A$2:$A$477,0))&amp;"","")</f>
        <v>No</v>
      </c>
      <c r="I1891" s="10" t="str">
        <f aca="false">IFERROR(INDEX(Section_Master!$G$2:$G$477,MATCH($E1891,Section_Master!$A$2:$A$477,0))&amp;"","")</f>
        <v>With court permission</v>
      </c>
      <c r="J1891" s="10" t="s">
        <v>64</v>
      </c>
      <c r="K1891" s="8" t="s">
        <v>4449</v>
      </c>
    </row>
    <row r="1892" customFormat="false" ht="45.75" hidden="false" customHeight="true" outlineLevel="0" collapsed="false">
      <c r="A1892" s="10" t="s">
        <v>4460</v>
      </c>
      <c r="B1892" s="10" t="s">
        <v>45</v>
      </c>
      <c r="C1892" s="8" t="s">
        <v>4461</v>
      </c>
      <c r="D1892" s="8" t="s">
        <v>4462</v>
      </c>
      <c r="E1892" s="11" t="n">
        <v>316</v>
      </c>
      <c r="F1892" s="8" t="str">
        <f aca="false">IFERROR(INDEX(Section_Master!$D$2:$D$477,MATCH($E1892,Section_Master!$A$2:$A$477,0))&amp;"","")</f>
        <v>Imprisonment up to 5 years, or fine, or both [s.316(2)]</v>
      </c>
      <c r="G1892" s="10" t="str">
        <f aca="false">IFERROR(INDEX(Section_Master!$E$2:$E$477,MATCH($E1892,Section_Master!$A$2:$A$477,0))&amp;"","")</f>
        <v>Yes</v>
      </c>
      <c r="H1892" s="10" t="str">
        <f aca="false">IFERROR(INDEX(Section_Master!$F$2:$F$477,MATCH($E1892,Section_Master!$A$2:$A$477,0))&amp;"","")</f>
        <v>No</v>
      </c>
      <c r="I1892" s="10" t="str">
        <f aca="false">IFERROR(INDEX(Section_Master!$G$2:$G$477,MATCH($E1892,Section_Master!$A$2:$A$477,0))&amp;"","")</f>
        <v>With court permission</v>
      </c>
      <c r="J1892" s="10" t="s">
        <v>48</v>
      </c>
      <c r="K1892" s="8" t="s">
        <v>4463</v>
      </c>
    </row>
    <row r="1893" customFormat="false" ht="45.75" hidden="false" customHeight="true" outlineLevel="0" collapsed="false">
      <c r="A1893" s="10" t="s">
        <v>4464</v>
      </c>
      <c r="B1893" s="10" t="s">
        <v>45</v>
      </c>
      <c r="C1893" s="8" t="s">
        <v>4461</v>
      </c>
      <c r="D1893" s="8" t="s">
        <v>4465</v>
      </c>
      <c r="E1893" s="11" t="n">
        <v>316</v>
      </c>
      <c r="F1893" s="8" t="str">
        <f aca="false">IFERROR(INDEX(Section_Master!$D$2:$D$477,MATCH($E1893,Section_Master!$A$2:$A$477,0))&amp;"","")</f>
        <v>Imprisonment up to 5 years, or fine, or both [s.316(2)]</v>
      </c>
      <c r="G1893" s="10" t="str">
        <f aca="false">IFERROR(INDEX(Section_Master!$E$2:$E$477,MATCH($E1893,Section_Master!$A$2:$A$477,0))&amp;"","")</f>
        <v>Yes</v>
      </c>
      <c r="H1893" s="10" t="str">
        <f aca="false">IFERROR(INDEX(Section_Master!$F$2:$F$477,MATCH($E1893,Section_Master!$A$2:$A$477,0))&amp;"","")</f>
        <v>No</v>
      </c>
      <c r="I1893" s="10" t="str">
        <f aca="false">IFERROR(INDEX(Section_Master!$G$2:$G$477,MATCH($E1893,Section_Master!$A$2:$A$477,0))&amp;"","")</f>
        <v>With court permission</v>
      </c>
      <c r="J1893" s="10" t="s">
        <v>52</v>
      </c>
      <c r="K1893" s="8" t="s">
        <v>4463</v>
      </c>
    </row>
    <row r="1894" customFormat="false" ht="34.5" hidden="false" customHeight="true" outlineLevel="0" collapsed="false">
      <c r="A1894" s="10" t="s">
        <v>4466</v>
      </c>
      <c r="B1894" s="10" t="s">
        <v>45</v>
      </c>
      <c r="C1894" s="8" t="s">
        <v>4461</v>
      </c>
      <c r="D1894" s="8" t="s">
        <v>4467</v>
      </c>
      <c r="E1894" s="11" t="n">
        <v>316</v>
      </c>
      <c r="F1894" s="8" t="str">
        <f aca="false">IFERROR(INDEX(Section_Master!$D$2:$D$477,MATCH($E1894,Section_Master!$A$2:$A$477,0))&amp;"","")</f>
        <v>Imprisonment up to 5 years, or fine, or both [s.316(2)]</v>
      </c>
      <c r="G1894" s="10" t="str">
        <f aca="false">IFERROR(INDEX(Section_Master!$E$2:$E$477,MATCH($E1894,Section_Master!$A$2:$A$477,0))&amp;"","")</f>
        <v>Yes</v>
      </c>
      <c r="H1894" s="10" t="str">
        <f aca="false">IFERROR(INDEX(Section_Master!$F$2:$F$477,MATCH($E1894,Section_Master!$A$2:$A$477,0))&amp;"","")</f>
        <v>No</v>
      </c>
      <c r="I1894" s="10" t="str">
        <f aca="false">IFERROR(INDEX(Section_Master!$G$2:$G$477,MATCH($E1894,Section_Master!$A$2:$A$477,0))&amp;"","")</f>
        <v>With court permission</v>
      </c>
      <c r="J1894" s="10" t="s">
        <v>55</v>
      </c>
      <c r="K1894" s="8" t="s">
        <v>4463</v>
      </c>
    </row>
    <row r="1895" customFormat="false" ht="34.5" hidden="false" customHeight="true" outlineLevel="0" collapsed="false">
      <c r="A1895" s="10" t="s">
        <v>4468</v>
      </c>
      <c r="B1895" s="10" t="s">
        <v>45</v>
      </c>
      <c r="C1895" s="8" t="s">
        <v>4461</v>
      </c>
      <c r="D1895" s="8" t="s">
        <v>4469</v>
      </c>
      <c r="E1895" s="11" t="n">
        <v>316</v>
      </c>
      <c r="F1895" s="8" t="str">
        <f aca="false">IFERROR(INDEX(Section_Master!$D$2:$D$477,MATCH($E1895,Section_Master!$A$2:$A$477,0))&amp;"","")</f>
        <v>Imprisonment up to 5 years, or fine, or both [s.316(2)]</v>
      </c>
      <c r="G1895" s="10" t="str">
        <f aca="false">IFERROR(INDEX(Section_Master!$E$2:$E$477,MATCH($E1895,Section_Master!$A$2:$A$477,0))&amp;"","")</f>
        <v>Yes</v>
      </c>
      <c r="H1895" s="10" t="str">
        <f aca="false">IFERROR(INDEX(Section_Master!$F$2:$F$477,MATCH($E1895,Section_Master!$A$2:$A$477,0))&amp;"","")</f>
        <v>No</v>
      </c>
      <c r="I1895" s="10" t="str">
        <f aca="false">IFERROR(INDEX(Section_Master!$G$2:$G$477,MATCH($E1895,Section_Master!$A$2:$A$477,0))&amp;"","")</f>
        <v>With court permission</v>
      </c>
      <c r="J1895" s="10" t="s">
        <v>58</v>
      </c>
      <c r="K1895" s="8" t="s">
        <v>4463</v>
      </c>
    </row>
    <row r="1896" customFormat="false" ht="34.5" hidden="false" customHeight="true" outlineLevel="0" collapsed="false">
      <c r="A1896" s="10" t="s">
        <v>4470</v>
      </c>
      <c r="B1896" s="10" t="s">
        <v>45</v>
      </c>
      <c r="C1896" s="8" t="s">
        <v>4461</v>
      </c>
      <c r="D1896" s="8" t="s">
        <v>4471</v>
      </c>
      <c r="E1896" s="11" t="n">
        <v>316</v>
      </c>
      <c r="F1896" s="8" t="str">
        <f aca="false">IFERROR(INDEX(Section_Master!$D$2:$D$477,MATCH($E1896,Section_Master!$A$2:$A$477,0))&amp;"","")</f>
        <v>Imprisonment up to 5 years, or fine, or both [s.316(2)]</v>
      </c>
      <c r="G1896" s="10" t="str">
        <f aca="false">IFERROR(INDEX(Section_Master!$E$2:$E$477,MATCH($E1896,Section_Master!$A$2:$A$477,0))&amp;"","")</f>
        <v>Yes</v>
      </c>
      <c r="H1896" s="10" t="str">
        <f aca="false">IFERROR(INDEX(Section_Master!$F$2:$F$477,MATCH($E1896,Section_Master!$A$2:$A$477,0))&amp;"","")</f>
        <v>No</v>
      </c>
      <c r="I1896" s="10" t="str">
        <f aca="false">IFERROR(INDEX(Section_Master!$G$2:$G$477,MATCH($E1896,Section_Master!$A$2:$A$477,0))&amp;"","")</f>
        <v>With court permission</v>
      </c>
      <c r="J1896" s="10" t="s">
        <v>61</v>
      </c>
      <c r="K1896" s="8" t="s">
        <v>4463</v>
      </c>
    </row>
    <row r="1897" customFormat="false" ht="34.5" hidden="false" customHeight="true" outlineLevel="0" collapsed="false">
      <c r="A1897" s="10" t="s">
        <v>4472</v>
      </c>
      <c r="B1897" s="10" t="s">
        <v>45</v>
      </c>
      <c r="C1897" s="8" t="s">
        <v>4461</v>
      </c>
      <c r="D1897" s="8" t="s">
        <v>4473</v>
      </c>
      <c r="E1897" s="11" t="n">
        <v>316</v>
      </c>
      <c r="F1897" s="8" t="str">
        <f aca="false">IFERROR(INDEX(Section_Master!$D$2:$D$477,MATCH($E1897,Section_Master!$A$2:$A$477,0))&amp;"","")</f>
        <v>Imprisonment up to 5 years, or fine, or both [s.316(2)]</v>
      </c>
      <c r="G1897" s="10" t="str">
        <f aca="false">IFERROR(INDEX(Section_Master!$E$2:$E$477,MATCH($E1897,Section_Master!$A$2:$A$477,0))&amp;"","")</f>
        <v>Yes</v>
      </c>
      <c r="H1897" s="10" t="str">
        <f aca="false">IFERROR(INDEX(Section_Master!$F$2:$F$477,MATCH($E1897,Section_Master!$A$2:$A$477,0))&amp;"","")</f>
        <v>No</v>
      </c>
      <c r="I1897" s="10" t="str">
        <f aca="false">IFERROR(INDEX(Section_Master!$G$2:$G$477,MATCH($E1897,Section_Master!$A$2:$A$477,0))&amp;"","")</f>
        <v>With court permission</v>
      </c>
      <c r="J1897" s="10" t="s">
        <v>64</v>
      </c>
      <c r="K1897" s="8" t="s">
        <v>4463</v>
      </c>
    </row>
    <row r="1898" customFormat="false" ht="45.75" hidden="false" customHeight="true" outlineLevel="0" collapsed="false">
      <c r="A1898" s="10" t="s">
        <v>4474</v>
      </c>
      <c r="B1898" s="10" t="s">
        <v>45</v>
      </c>
      <c r="C1898" s="8" t="s">
        <v>4475</v>
      </c>
      <c r="D1898" s="8" t="s">
        <v>4476</v>
      </c>
      <c r="E1898" s="11" t="n">
        <v>317</v>
      </c>
      <c r="F1898" s="8" t="str">
        <f aca="false">IFERROR(INDEX(Section_Master!$D$2:$D$477,MATCH($E1898,Section_Master!$A$2:$A$477,0))&amp;"","")</f>
        <v>Not applicable - no offence or penalty defined here (definition, exception or general provision)</v>
      </c>
      <c r="G1898" s="10" t="str">
        <f aca="false">IFERROR(INDEX(Section_Master!$E$2:$E$477,MATCH($E1898,Section_Master!$A$2:$A$477,0))&amp;"","")</f>
        <v>N/A</v>
      </c>
      <c r="H1898" s="10" t="str">
        <f aca="false">IFERROR(INDEX(Section_Master!$F$2:$F$477,MATCH($E1898,Section_Master!$A$2:$A$477,0))&amp;"","")</f>
        <v>N/A</v>
      </c>
      <c r="I1898" s="10" t="str">
        <f aca="false">IFERROR(INDEX(Section_Master!$G$2:$G$477,MATCH($E1898,Section_Master!$A$2:$A$477,0))&amp;"","")</f>
        <v>N/A</v>
      </c>
      <c r="J1898" s="10" t="s">
        <v>48</v>
      </c>
      <c r="K1898" s="8" t="s">
        <v>4477</v>
      </c>
    </row>
    <row r="1899" customFormat="false" ht="45.75" hidden="false" customHeight="true" outlineLevel="0" collapsed="false">
      <c r="A1899" s="10" t="s">
        <v>4478</v>
      </c>
      <c r="B1899" s="10" t="s">
        <v>45</v>
      </c>
      <c r="C1899" s="8" t="s">
        <v>4475</v>
      </c>
      <c r="D1899" s="8" t="s">
        <v>4479</v>
      </c>
      <c r="E1899" s="11" t="n">
        <v>317</v>
      </c>
      <c r="F1899" s="8" t="str">
        <f aca="false">IFERROR(INDEX(Section_Master!$D$2:$D$477,MATCH($E1899,Section_Master!$A$2:$A$477,0))&amp;"","")</f>
        <v>Not applicable - no offence or penalty defined here (definition, exception or general provision)</v>
      </c>
      <c r="G1899" s="10" t="str">
        <f aca="false">IFERROR(INDEX(Section_Master!$E$2:$E$477,MATCH($E1899,Section_Master!$A$2:$A$477,0))&amp;"","")</f>
        <v>N/A</v>
      </c>
      <c r="H1899" s="10" t="str">
        <f aca="false">IFERROR(INDEX(Section_Master!$F$2:$F$477,MATCH($E1899,Section_Master!$A$2:$A$477,0))&amp;"","")</f>
        <v>N/A</v>
      </c>
      <c r="I1899" s="10" t="str">
        <f aca="false">IFERROR(INDEX(Section_Master!$G$2:$G$477,MATCH($E1899,Section_Master!$A$2:$A$477,0))&amp;"","")</f>
        <v>N/A</v>
      </c>
      <c r="J1899" s="10" t="s">
        <v>52</v>
      </c>
      <c r="K1899" s="8" t="s">
        <v>4477</v>
      </c>
    </row>
    <row r="1900" customFormat="false" ht="34.5" hidden="false" customHeight="true" outlineLevel="0" collapsed="false">
      <c r="A1900" s="10" t="s">
        <v>4480</v>
      </c>
      <c r="B1900" s="10" t="s">
        <v>45</v>
      </c>
      <c r="C1900" s="8" t="s">
        <v>4475</v>
      </c>
      <c r="D1900" s="8" t="s">
        <v>4481</v>
      </c>
      <c r="E1900" s="11" t="n">
        <v>317</v>
      </c>
      <c r="F1900" s="8" t="str">
        <f aca="false">IFERROR(INDEX(Section_Master!$D$2:$D$477,MATCH($E1900,Section_Master!$A$2:$A$477,0))&amp;"","")</f>
        <v>Not applicable - no offence or penalty defined here (definition, exception or general provision)</v>
      </c>
      <c r="G1900" s="10" t="str">
        <f aca="false">IFERROR(INDEX(Section_Master!$E$2:$E$477,MATCH($E1900,Section_Master!$A$2:$A$477,0))&amp;"","")</f>
        <v>N/A</v>
      </c>
      <c r="H1900" s="10" t="str">
        <f aca="false">IFERROR(INDEX(Section_Master!$F$2:$F$477,MATCH($E1900,Section_Master!$A$2:$A$477,0))&amp;"","")</f>
        <v>N/A</v>
      </c>
      <c r="I1900" s="10" t="str">
        <f aca="false">IFERROR(INDEX(Section_Master!$G$2:$G$477,MATCH($E1900,Section_Master!$A$2:$A$477,0))&amp;"","")</f>
        <v>N/A</v>
      </c>
      <c r="J1900" s="10" t="s">
        <v>55</v>
      </c>
      <c r="K1900" s="8" t="s">
        <v>4477</v>
      </c>
    </row>
    <row r="1901" customFormat="false" ht="34.5" hidden="false" customHeight="true" outlineLevel="0" collapsed="false">
      <c r="A1901" s="10" t="s">
        <v>4482</v>
      </c>
      <c r="B1901" s="10" t="s">
        <v>45</v>
      </c>
      <c r="C1901" s="8" t="s">
        <v>4475</v>
      </c>
      <c r="D1901" s="8" t="s">
        <v>4483</v>
      </c>
      <c r="E1901" s="11" t="n">
        <v>317</v>
      </c>
      <c r="F1901" s="8" t="str">
        <f aca="false">IFERROR(INDEX(Section_Master!$D$2:$D$477,MATCH($E1901,Section_Master!$A$2:$A$477,0))&amp;"","")</f>
        <v>Not applicable - no offence or penalty defined here (definition, exception or general provision)</v>
      </c>
      <c r="G1901" s="10" t="str">
        <f aca="false">IFERROR(INDEX(Section_Master!$E$2:$E$477,MATCH($E1901,Section_Master!$A$2:$A$477,0))&amp;"","")</f>
        <v>N/A</v>
      </c>
      <c r="H1901" s="10" t="str">
        <f aca="false">IFERROR(INDEX(Section_Master!$F$2:$F$477,MATCH($E1901,Section_Master!$A$2:$A$477,0))&amp;"","")</f>
        <v>N/A</v>
      </c>
      <c r="I1901" s="10" t="str">
        <f aca="false">IFERROR(INDEX(Section_Master!$G$2:$G$477,MATCH($E1901,Section_Master!$A$2:$A$477,0))&amp;"","")</f>
        <v>N/A</v>
      </c>
      <c r="J1901" s="10" t="s">
        <v>58</v>
      </c>
      <c r="K1901" s="8" t="s">
        <v>4477</v>
      </c>
    </row>
    <row r="1902" customFormat="false" ht="34.5" hidden="false" customHeight="true" outlineLevel="0" collapsed="false">
      <c r="A1902" s="10" t="s">
        <v>4484</v>
      </c>
      <c r="B1902" s="10" t="s">
        <v>45</v>
      </c>
      <c r="C1902" s="8" t="s">
        <v>4475</v>
      </c>
      <c r="D1902" s="8" t="s">
        <v>4485</v>
      </c>
      <c r="E1902" s="11" t="n">
        <v>317</v>
      </c>
      <c r="F1902" s="8" t="str">
        <f aca="false">IFERROR(INDEX(Section_Master!$D$2:$D$477,MATCH($E1902,Section_Master!$A$2:$A$477,0))&amp;"","")</f>
        <v>Not applicable - no offence or penalty defined here (definition, exception or general provision)</v>
      </c>
      <c r="G1902" s="10" t="str">
        <f aca="false">IFERROR(INDEX(Section_Master!$E$2:$E$477,MATCH($E1902,Section_Master!$A$2:$A$477,0))&amp;"","")</f>
        <v>N/A</v>
      </c>
      <c r="H1902" s="10" t="str">
        <f aca="false">IFERROR(INDEX(Section_Master!$F$2:$F$477,MATCH($E1902,Section_Master!$A$2:$A$477,0))&amp;"","")</f>
        <v>N/A</v>
      </c>
      <c r="I1902" s="10" t="str">
        <f aca="false">IFERROR(INDEX(Section_Master!$G$2:$G$477,MATCH($E1902,Section_Master!$A$2:$A$477,0))&amp;"","")</f>
        <v>N/A</v>
      </c>
      <c r="J1902" s="10" t="s">
        <v>61</v>
      </c>
      <c r="K1902" s="8" t="s">
        <v>4477</v>
      </c>
    </row>
    <row r="1903" customFormat="false" ht="34.5" hidden="false" customHeight="true" outlineLevel="0" collapsed="false">
      <c r="A1903" s="10" t="s">
        <v>4486</v>
      </c>
      <c r="B1903" s="10" t="s">
        <v>45</v>
      </c>
      <c r="C1903" s="8" t="s">
        <v>4475</v>
      </c>
      <c r="D1903" s="8" t="s">
        <v>4487</v>
      </c>
      <c r="E1903" s="11" t="n">
        <v>317</v>
      </c>
      <c r="F1903" s="8" t="str">
        <f aca="false">IFERROR(INDEX(Section_Master!$D$2:$D$477,MATCH($E1903,Section_Master!$A$2:$A$477,0))&amp;"","")</f>
        <v>Not applicable - no offence or penalty defined here (definition, exception or general provision)</v>
      </c>
      <c r="G1903" s="10" t="str">
        <f aca="false">IFERROR(INDEX(Section_Master!$E$2:$E$477,MATCH($E1903,Section_Master!$A$2:$A$477,0))&amp;"","")</f>
        <v>N/A</v>
      </c>
      <c r="H1903" s="10" t="str">
        <f aca="false">IFERROR(INDEX(Section_Master!$F$2:$F$477,MATCH($E1903,Section_Master!$A$2:$A$477,0))&amp;"","")</f>
        <v>N/A</v>
      </c>
      <c r="I1903" s="10" t="str">
        <f aca="false">IFERROR(INDEX(Section_Master!$G$2:$G$477,MATCH($E1903,Section_Master!$A$2:$A$477,0))&amp;"","")</f>
        <v>N/A</v>
      </c>
      <c r="J1903" s="10" t="s">
        <v>64</v>
      </c>
      <c r="K1903" s="8" t="s">
        <v>4477</v>
      </c>
    </row>
    <row r="1904" customFormat="false" ht="45.75" hidden="false" customHeight="true" outlineLevel="0" collapsed="false">
      <c r="A1904" s="10" t="s">
        <v>4488</v>
      </c>
      <c r="B1904" s="10" t="s">
        <v>45</v>
      </c>
      <c r="C1904" s="8" t="s">
        <v>4489</v>
      </c>
      <c r="D1904" s="8" t="s">
        <v>4490</v>
      </c>
      <c r="E1904" s="11" t="n">
        <v>318</v>
      </c>
      <c r="F1904" s="8" t="str">
        <f aca="false">IFERROR(INDEX(Section_Master!$D$2:$D$477,MATCH($E1904,Section_Master!$A$2:$A$477,0))&amp;"","")</f>
        <v>Imprisonment up to 7 years and fine [s.318(4)]</v>
      </c>
      <c r="G1904" s="10" t="str">
        <f aca="false">IFERROR(INDEX(Section_Master!$E$2:$E$477,MATCH($E1904,Section_Master!$A$2:$A$477,0))&amp;"","")</f>
        <v>Yes</v>
      </c>
      <c r="H1904" s="10" t="str">
        <f aca="false">IFERROR(INDEX(Section_Master!$F$2:$F$477,MATCH($E1904,Section_Master!$A$2:$A$477,0))&amp;"","")</f>
        <v>No</v>
      </c>
      <c r="I1904" s="10" t="str">
        <f aca="false">IFERROR(INDEX(Section_Master!$G$2:$G$477,MATCH($E1904,Section_Master!$A$2:$A$477,0))&amp;"","")</f>
        <v>With court permission</v>
      </c>
      <c r="J1904" s="10" t="s">
        <v>48</v>
      </c>
      <c r="K1904" s="8" t="s">
        <v>4491</v>
      </c>
    </row>
    <row r="1905" customFormat="false" ht="45.75" hidden="false" customHeight="true" outlineLevel="0" collapsed="false">
      <c r="A1905" s="10" t="s">
        <v>4492</v>
      </c>
      <c r="B1905" s="10" t="s">
        <v>45</v>
      </c>
      <c r="C1905" s="8" t="s">
        <v>4489</v>
      </c>
      <c r="D1905" s="8" t="s">
        <v>4493</v>
      </c>
      <c r="E1905" s="11" t="n">
        <v>318</v>
      </c>
      <c r="F1905" s="8" t="str">
        <f aca="false">IFERROR(INDEX(Section_Master!$D$2:$D$477,MATCH($E1905,Section_Master!$A$2:$A$477,0))&amp;"","")</f>
        <v>Imprisonment up to 7 years and fine [s.318(4)]</v>
      </c>
      <c r="G1905" s="10" t="str">
        <f aca="false">IFERROR(INDEX(Section_Master!$E$2:$E$477,MATCH($E1905,Section_Master!$A$2:$A$477,0))&amp;"","")</f>
        <v>Yes</v>
      </c>
      <c r="H1905" s="10" t="str">
        <f aca="false">IFERROR(INDEX(Section_Master!$F$2:$F$477,MATCH($E1905,Section_Master!$A$2:$A$477,0))&amp;"","")</f>
        <v>No</v>
      </c>
      <c r="I1905" s="10" t="str">
        <f aca="false">IFERROR(INDEX(Section_Master!$G$2:$G$477,MATCH($E1905,Section_Master!$A$2:$A$477,0))&amp;"","")</f>
        <v>With court permission</v>
      </c>
      <c r="J1905" s="10" t="s">
        <v>52</v>
      </c>
      <c r="K1905" s="8" t="s">
        <v>4491</v>
      </c>
    </row>
    <row r="1906" customFormat="false" ht="34.5" hidden="false" customHeight="true" outlineLevel="0" collapsed="false">
      <c r="A1906" s="10" t="s">
        <v>4494</v>
      </c>
      <c r="B1906" s="10" t="s">
        <v>45</v>
      </c>
      <c r="C1906" s="8" t="s">
        <v>4489</v>
      </c>
      <c r="D1906" s="8" t="s">
        <v>4495</v>
      </c>
      <c r="E1906" s="11" t="n">
        <v>318</v>
      </c>
      <c r="F1906" s="8" t="str">
        <f aca="false">IFERROR(INDEX(Section_Master!$D$2:$D$477,MATCH($E1906,Section_Master!$A$2:$A$477,0))&amp;"","")</f>
        <v>Imprisonment up to 7 years and fine [s.318(4)]</v>
      </c>
      <c r="G1906" s="10" t="str">
        <f aca="false">IFERROR(INDEX(Section_Master!$E$2:$E$477,MATCH($E1906,Section_Master!$A$2:$A$477,0))&amp;"","")</f>
        <v>Yes</v>
      </c>
      <c r="H1906" s="10" t="str">
        <f aca="false">IFERROR(INDEX(Section_Master!$F$2:$F$477,MATCH($E1906,Section_Master!$A$2:$A$477,0))&amp;"","")</f>
        <v>No</v>
      </c>
      <c r="I1906" s="10" t="str">
        <f aca="false">IFERROR(INDEX(Section_Master!$G$2:$G$477,MATCH($E1906,Section_Master!$A$2:$A$477,0))&amp;"","")</f>
        <v>With court permission</v>
      </c>
      <c r="J1906" s="10" t="s">
        <v>55</v>
      </c>
      <c r="K1906" s="8" t="s">
        <v>4491</v>
      </c>
    </row>
    <row r="1907" customFormat="false" ht="23.25" hidden="false" customHeight="true" outlineLevel="0" collapsed="false">
      <c r="A1907" s="10" t="s">
        <v>4496</v>
      </c>
      <c r="B1907" s="10" t="s">
        <v>45</v>
      </c>
      <c r="C1907" s="8" t="s">
        <v>4489</v>
      </c>
      <c r="D1907" s="8" t="s">
        <v>4497</v>
      </c>
      <c r="E1907" s="11" t="n">
        <v>318</v>
      </c>
      <c r="F1907" s="8" t="str">
        <f aca="false">IFERROR(INDEX(Section_Master!$D$2:$D$477,MATCH($E1907,Section_Master!$A$2:$A$477,0))&amp;"","")</f>
        <v>Imprisonment up to 7 years and fine [s.318(4)]</v>
      </c>
      <c r="G1907" s="10" t="str">
        <f aca="false">IFERROR(INDEX(Section_Master!$E$2:$E$477,MATCH($E1907,Section_Master!$A$2:$A$477,0))&amp;"","")</f>
        <v>Yes</v>
      </c>
      <c r="H1907" s="10" t="str">
        <f aca="false">IFERROR(INDEX(Section_Master!$F$2:$F$477,MATCH($E1907,Section_Master!$A$2:$A$477,0))&amp;"","")</f>
        <v>No</v>
      </c>
      <c r="I1907" s="10" t="str">
        <f aca="false">IFERROR(INDEX(Section_Master!$G$2:$G$477,MATCH($E1907,Section_Master!$A$2:$A$477,0))&amp;"","")</f>
        <v>With court permission</v>
      </c>
      <c r="J1907" s="10" t="s">
        <v>58</v>
      </c>
      <c r="K1907" s="8" t="s">
        <v>4491</v>
      </c>
    </row>
    <row r="1908" customFormat="false" ht="34.5" hidden="false" customHeight="true" outlineLevel="0" collapsed="false">
      <c r="A1908" s="10" t="s">
        <v>4498</v>
      </c>
      <c r="B1908" s="10" t="s">
        <v>45</v>
      </c>
      <c r="C1908" s="8" t="s">
        <v>4489</v>
      </c>
      <c r="D1908" s="8" t="s">
        <v>4499</v>
      </c>
      <c r="E1908" s="11" t="n">
        <v>318</v>
      </c>
      <c r="F1908" s="8" t="str">
        <f aca="false">IFERROR(INDEX(Section_Master!$D$2:$D$477,MATCH($E1908,Section_Master!$A$2:$A$477,0))&amp;"","")</f>
        <v>Imprisonment up to 7 years and fine [s.318(4)]</v>
      </c>
      <c r="G1908" s="10" t="str">
        <f aca="false">IFERROR(INDEX(Section_Master!$E$2:$E$477,MATCH($E1908,Section_Master!$A$2:$A$477,0))&amp;"","")</f>
        <v>Yes</v>
      </c>
      <c r="H1908" s="10" t="str">
        <f aca="false">IFERROR(INDEX(Section_Master!$F$2:$F$477,MATCH($E1908,Section_Master!$A$2:$A$477,0))&amp;"","")</f>
        <v>No</v>
      </c>
      <c r="I1908" s="10" t="str">
        <f aca="false">IFERROR(INDEX(Section_Master!$G$2:$G$477,MATCH($E1908,Section_Master!$A$2:$A$477,0))&amp;"","")</f>
        <v>With court permission</v>
      </c>
      <c r="J1908" s="10" t="s">
        <v>61</v>
      </c>
      <c r="K1908" s="8" t="s">
        <v>4491</v>
      </c>
    </row>
    <row r="1909" customFormat="false" ht="34.5" hidden="false" customHeight="true" outlineLevel="0" collapsed="false">
      <c r="A1909" s="10" t="s">
        <v>4500</v>
      </c>
      <c r="B1909" s="10" t="s">
        <v>45</v>
      </c>
      <c r="C1909" s="8" t="s">
        <v>4489</v>
      </c>
      <c r="D1909" s="8" t="s">
        <v>4501</v>
      </c>
      <c r="E1909" s="11" t="n">
        <v>318</v>
      </c>
      <c r="F1909" s="8" t="str">
        <f aca="false">IFERROR(INDEX(Section_Master!$D$2:$D$477,MATCH($E1909,Section_Master!$A$2:$A$477,0))&amp;"","")</f>
        <v>Imprisonment up to 7 years and fine [s.318(4)]</v>
      </c>
      <c r="G1909" s="10" t="str">
        <f aca="false">IFERROR(INDEX(Section_Master!$E$2:$E$477,MATCH($E1909,Section_Master!$A$2:$A$477,0))&amp;"","")</f>
        <v>Yes</v>
      </c>
      <c r="H1909" s="10" t="str">
        <f aca="false">IFERROR(INDEX(Section_Master!$F$2:$F$477,MATCH($E1909,Section_Master!$A$2:$A$477,0))&amp;"","")</f>
        <v>No</v>
      </c>
      <c r="I1909" s="10" t="str">
        <f aca="false">IFERROR(INDEX(Section_Master!$G$2:$G$477,MATCH($E1909,Section_Master!$A$2:$A$477,0))&amp;"","")</f>
        <v>With court permission</v>
      </c>
      <c r="J1909" s="10" t="s">
        <v>64</v>
      </c>
      <c r="K1909" s="8" t="s">
        <v>4491</v>
      </c>
    </row>
    <row r="1910" customFormat="false" ht="34.5" hidden="false" customHeight="true" outlineLevel="0" collapsed="false">
      <c r="A1910" s="10" t="s">
        <v>4502</v>
      </c>
      <c r="B1910" s="10" t="s">
        <v>45</v>
      </c>
      <c r="C1910" s="8" t="s">
        <v>4503</v>
      </c>
      <c r="D1910" s="8" t="s">
        <v>4504</v>
      </c>
      <c r="E1910" s="11" t="n">
        <v>319</v>
      </c>
      <c r="F1910" s="8" t="str">
        <f aca="false">IFERROR(INDEX(Section_Master!$D$2:$D$477,MATCH($E1910,Section_Master!$A$2:$A$477,0))&amp;"","")</f>
        <v>Imprisonment up to 5 years, or fine, or both [s.319(2)]</v>
      </c>
      <c r="G1910" s="10" t="str">
        <f aca="false">IFERROR(INDEX(Section_Master!$E$2:$E$477,MATCH($E1910,Section_Master!$A$2:$A$477,0))&amp;"","")</f>
        <v>Yes</v>
      </c>
      <c r="H1910" s="10" t="str">
        <f aca="false">IFERROR(INDEX(Section_Master!$F$2:$F$477,MATCH($E1910,Section_Master!$A$2:$A$477,0))&amp;"","")</f>
        <v>Yes</v>
      </c>
      <c r="I1910" s="10" t="str">
        <f aca="false">IFERROR(INDEX(Section_Master!$G$2:$G$477,MATCH($E1910,Section_Master!$A$2:$A$477,0))&amp;"","")</f>
        <v>With court permission</v>
      </c>
      <c r="J1910" s="10" t="s">
        <v>48</v>
      </c>
      <c r="K1910" s="8" t="s">
        <v>4505</v>
      </c>
    </row>
    <row r="1911" customFormat="false" ht="34.5" hidden="false" customHeight="true" outlineLevel="0" collapsed="false">
      <c r="A1911" s="10" t="s">
        <v>4506</v>
      </c>
      <c r="B1911" s="10" t="s">
        <v>45</v>
      </c>
      <c r="C1911" s="8" t="s">
        <v>4503</v>
      </c>
      <c r="D1911" s="8" t="s">
        <v>4507</v>
      </c>
      <c r="E1911" s="11" t="n">
        <v>319</v>
      </c>
      <c r="F1911" s="8" t="str">
        <f aca="false">IFERROR(INDEX(Section_Master!$D$2:$D$477,MATCH($E1911,Section_Master!$A$2:$A$477,0))&amp;"","")</f>
        <v>Imprisonment up to 5 years, or fine, or both [s.319(2)]</v>
      </c>
      <c r="G1911" s="10" t="str">
        <f aca="false">IFERROR(INDEX(Section_Master!$E$2:$E$477,MATCH($E1911,Section_Master!$A$2:$A$477,0))&amp;"","")</f>
        <v>Yes</v>
      </c>
      <c r="H1911" s="10" t="str">
        <f aca="false">IFERROR(INDEX(Section_Master!$F$2:$F$477,MATCH($E1911,Section_Master!$A$2:$A$477,0))&amp;"","")</f>
        <v>Yes</v>
      </c>
      <c r="I1911" s="10" t="str">
        <f aca="false">IFERROR(INDEX(Section_Master!$G$2:$G$477,MATCH($E1911,Section_Master!$A$2:$A$477,0))&amp;"","")</f>
        <v>With court permission</v>
      </c>
      <c r="J1911" s="10" t="s">
        <v>52</v>
      </c>
      <c r="K1911" s="8" t="s">
        <v>4505</v>
      </c>
    </row>
    <row r="1912" customFormat="false" ht="23.25" hidden="false" customHeight="true" outlineLevel="0" collapsed="false">
      <c r="A1912" s="10" t="s">
        <v>4508</v>
      </c>
      <c r="B1912" s="10" t="s">
        <v>45</v>
      </c>
      <c r="C1912" s="8" t="s">
        <v>4503</v>
      </c>
      <c r="D1912" s="8" t="s">
        <v>4509</v>
      </c>
      <c r="E1912" s="11" t="n">
        <v>319</v>
      </c>
      <c r="F1912" s="8" t="str">
        <f aca="false">IFERROR(INDEX(Section_Master!$D$2:$D$477,MATCH($E1912,Section_Master!$A$2:$A$477,0))&amp;"","")</f>
        <v>Imprisonment up to 5 years, or fine, or both [s.319(2)]</v>
      </c>
      <c r="G1912" s="10" t="str">
        <f aca="false">IFERROR(INDEX(Section_Master!$E$2:$E$477,MATCH($E1912,Section_Master!$A$2:$A$477,0))&amp;"","")</f>
        <v>Yes</v>
      </c>
      <c r="H1912" s="10" t="str">
        <f aca="false">IFERROR(INDEX(Section_Master!$F$2:$F$477,MATCH($E1912,Section_Master!$A$2:$A$477,0))&amp;"","")</f>
        <v>Yes</v>
      </c>
      <c r="I1912" s="10" t="str">
        <f aca="false">IFERROR(INDEX(Section_Master!$G$2:$G$477,MATCH($E1912,Section_Master!$A$2:$A$477,0))&amp;"","")</f>
        <v>With court permission</v>
      </c>
      <c r="J1912" s="10" t="s">
        <v>55</v>
      </c>
      <c r="K1912" s="8" t="s">
        <v>4505</v>
      </c>
    </row>
    <row r="1913" customFormat="false" ht="23.25" hidden="false" customHeight="true" outlineLevel="0" collapsed="false">
      <c r="A1913" s="10" t="s">
        <v>4510</v>
      </c>
      <c r="B1913" s="10" t="s">
        <v>45</v>
      </c>
      <c r="C1913" s="8" t="s">
        <v>4503</v>
      </c>
      <c r="D1913" s="8" t="s">
        <v>4511</v>
      </c>
      <c r="E1913" s="11" t="n">
        <v>319</v>
      </c>
      <c r="F1913" s="8" t="str">
        <f aca="false">IFERROR(INDEX(Section_Master!$D$2:$D$477,MATCH($E1913,Section_Master!$A$2:$A$477,0))&amp;"","")</f>
        <v>Imprisonment up to 5 years, or fine, or both [s.319(2)]</v>
      </c>
      <c r="G1913" s="10" t="str">
        <f aca="false">IFERROR(INDEX(Section_Master!$E$2:$E$477,MATCH($E1913,Section_Master!$A$2:$A$477,0))&amp;"","")</f>
        <v>Yes</v>
      </c>
      <c r="H1913" s="10" t="str">
        <f aca="false">IFERROR(INDEX(Section_Master!$F$2:$F$477,MATCH($E1913,Section_Master!$A$2:$A$477,0))&amp;"","")</f>
        <v>Yes</v>
      </c>
      <c r="I1913" s="10" t="str">
        <f aca="false">IFERROR(INDEX(Section_Master!$G$2:$G$477,MATCH($E1913,Section_Master!$A$2:$A$477,0))&amp;"","")</f>
        <v>With court permission</v>
      </c>
      <c r="J1913" s="10" t="s">
        <v>58</v>
      </c>
      <c r="K1913" s="8" t="s">
        <v>4505</v>
      </c>
    </row>
    <row r="1914" customFormat="false" ht="34.5" hidden="false" customHeight="true" outlineLevel="0" collapsed="false">
      <c r="A1914" s="10" t="s">
        <v>4512</v>
      </c>
      <c r="B1914" s="10" t="s">
        <v>45</v>
      </c>
      <c r="C1914" s="8" t="s">
        <v>4503</v>
      </c>
      <c r="D1914" s="8" t="s">
        <v>4513</v>
      </c>
      <c r="E1914" s="11" t="n">
        <v>319</v>
      </c>
      <c r="F1914" s="8" t="str">
        <f aca="false">IFERROR(INDEX(Section_Master!$D$2:$D$477,MATCH($E1914,Section_Master!$A$2:$A$477,0))&amp;"","")</f>
        <v>Imprisonment up to 5 years, or fine, or both [s.319(2)]</v>
      </c>
      <c r="G1914" s="10" t="str">
        <f aca="false">IFERROR(INDEX(Section_Master!$E$2:$E$477,MATCH($E1914,Section_Master!$A$2:$A$477,0))&amp;"","")</f>
        <v>Yes</v>
      </c>
      <c r="H1914" s="10" t="str">
        <f aca="false">IFERROR(INDEX(Section_Master!$F$2:$F$477,MATCH($E1914,Section_Master!$A$2:$A$477,0))&amp;"","")</f>
        <v>Yes</v>
      </c>
      <c r="I1914" s="10" t="str">
        <f aca="false">IFERROR(INDEX(Section_Master!$G$2:$G$477,MATCH($E1914,Section_Master!$A$2:$A$477,0))&amp;"","")</f>
        <v>With court permission</v>
      </c>
      <c r="J1914" s="10" t="s">
        <v>61</v>
      </c>
      <c r="K1914" s="8" t="s">
        <v>4505</v>
      </c>
    </row>
    <row r="1915" customFormat="false" ht="34.5" hidden="false" customHeight="true" outlineLevel="0" collapsed="false">
      <c r="A1915" s="10" t="s">
        <v>4514</v>
      </c>
      <c r="B1915" s="10" t="s">
        <v>45</v>
      </c>
      <c r="C1915" s="8" t="s">
        <v>4503</v>
      </c>
      <c r="D1915" s="8" t="s">
        <v>4515</v>
      </c>
      <c r="E1915" s="11" t="n">
        <v>319</v>
      </c>
      <c r="F1915" s="8" t="str">
        <f aca="false">IFERROR(INDEX(Section_Master!$D$2:$D$477,MATCH($E1915,Section_Master!$A$2:$A$477,0))&amp;"","")</f>
        <v>Imprisonment up to 5 years, or fine, or both [s.319(2)]</v>
      </c>
      <c r="G1915" s="10" t="str">
        <f aca="false">IFERROR(INDEX(Section_Master!$E$2:$E$477,MATCH($E1915,Section_Master!$A$2:$A$477,0))&amp;"","")</f>
        <v>Yes</v>
      </c>
      <c r="H1915" s="10" t="str">
        <f aca="false">IFERROR(INDEX(Section_Master!$F$2:$F$477,MATCH($E1915,Section_Master!$A$2:$A$477,0))&amp;"","")</f>
        <v>Yes</v>
      </c>
      <c r="I1915" s="10" t="str">
        <f aca="false">IFERROR(INDEX(Section_Master!$G$2:$G$477,MATCH($E1915,Section_Master!$A$2:$A$477,0))&amp;"","")</f>
        <v>With court permission</v>
      </c>
      <c r="J1915" s="10" t="s">
        <v>64</v>
      </c>
      <c r="K1915" s="8" t="s">
        <v>4505</v>
      </c>
    </row>
    <row r="1916" customFormat="false" ht="34.5" hidden="false" customHeight="true" outlineLevel="0" collapsed="false">
      <c r="A1916" s="10" t="s">
        <v>4516</v>
      </c>
      <c r="B1916" s="10" t="s">
        <v>45</v>
      </c>
      <c r="C1916" s="8" t="s">
        <v>4517</v>
      </c>
      <c r="D1916" s="8" t="s">
        <v>4518</v>
      </c>
      <c r="E1916" s="11" t="n">
        <v>320</v>
      </c>
      <c r="F1916" s="8" t="str">
        <f aca="false">IFERROR(INDEX(Section_Master!$D$2:$D$477,MATCH($E1916,Section_Master!$A$2:$A$477,0))&amp;"","")</f>
        <v>Imprisonment up to 2 years, or fine, or both</v>
      </c>
      <c r="G1916" s="10" t="str">
        <f aca="false">IFERROR(INDEX(Section_Master!$E$2:$E$477,MATCH($E1916,Section_Master!$A$2:$A$477,0))&amp;"","")</f>
        <v>No</v>
      </c>
      <c r="H1916" s="10" t="str">
        <f aca="false">IFERROR(INDEX(Section_Master!$F$2:$F$477,MATCH($E1916,Section_Master!$A$2:$A$477,0))&amp;"","")</f>
        <v>Yes</v>
      </c>
      <c r="I1916" s="10" t="str">
        <f aca="false">IFERROR(INDEX(Section_Master!$G$2:$G$477,MATCH($E1916,Section_Master!$A$2:$A$477,0))&amp;"","")</f>
        <v>With court permission</v>
      </c>
      <c r="J1916" s="10" t="s">
        <v>48</v>
      </c>
      <c r="K1916" s="8" t="s">
        <v>4519</v>
      </c>
    </row>
    <row r="1917" customFormat="false" ht="34.5" hidden="false" customHeight="true" outlineLevel="0" collapsed="false">
      <c r="A1917" s="10" t="s">
        <v>4520</v>
      </c>
      <c r="B1917" s="10" t="s">
        <v>45</v>
      </c>
      <c r="C1917" s="8" t="s">
        <v>4517</v>
      </c>
      <c r="D1917" s="8" t="s">
        <v>4521</v>
      </c>
      <c r="E1917" s="11" t="n">
        <v>320</v>
      </c>
      <c r="F1917" s="8" t="str">
        <f aca="false">IFERROR(INDEX(Section_Master!$D$2:$D$477,MATCH($E1917,Section_Master!$A$2:$A$477,0))&amp;"","")</f>
        <v>Imprisonment up to 2 years, or fine, or both</v>
      </c>
      <c r="G1917" s="10" t="str">
        <f aca="false">IFERROR(INDEX(Section_Master!$E$2:$E$477,MATCH($E1917,Section_Master!$A$2:$A$477,0))&amp;"","")</f>
        <v>No</v>
      </c>
      <c r="H1917" s="10" t="str">
        <f aca="false">IFERROR(INDEX(Section_Master!$F$2:$F$477,MATCH($E1917,Section_Master!$A$2:$A$477,0))&amp;"","")</f>
        <v>Yes</v>
      </c>
      <c r="I1917" s="10" t="str">
        <f aca="false">IFERROR(INDEX(Section_Master!$G$2:$G$477,MATCH($E1917,Section_Master!$A$2:$A$477,0))&amp;"","")</f>
        <v>With court permission</v>
      </c>
      <c r="J1917" s="10" t="s">
        <v>52</v>
      </c>
      <c r="K1917" s="8" t="s">
        <v>4519</v>
      </c>
    </row>
    <row r="1918" customFormat="false" ht="34.5" hidden="false" customHeight="true" outlineLevel="0" collapsed="false">
      <c r="A1918" s="10" t="s">
        <v>4522</v>
      </c>
      <c r="B1918" s="10" t="s">
        <v>45</v>
      </c>
      <c r="C1918" s="8" t="s">
        <v>4517</v>
      </c>
      <c r="D1918" s="8" t="s">
        <v>4523</v>
      </c>
      <c r="E1918" s="11" t="n">
        <v>320</v>
      </c>
      <c r="F1918" s="8" t="str">
        <f aca="false">IFERROR(INDEX(Section_Master!$D$2:$D$477,MATCH($E1918,Section_Master!$A$2:$A$477,0))&amp;"","")</f>
        <v>Imprisonment up to 2 years, or fine, or both</v>
      </c>
      <c r="G1918" s="10" t="str">
        <f aca="false">IFERROR(INDEX(Section_Master!$E$2:$E$477,MATCH($E1918,Section_Master!$A$2:$A$477,0))&amp;"","")</f>
        <v>No</v>
      </c>
      <c r="H1918" s="10" t="str">
        <f aca="false">IFERROR(INDEX(Section_Master!$F$2:$F$477,MATCH($E1918,Section_Master!$A$2:$A$477,0))&amp;"","")</f>
        <v>Yes</v>
      </c>
      <c r="I1918" s="10" t="str">
        <f aca="false">IFERROR(INDEX(Section_Master!$G$2:$G$477,MATCH($E1918,Section_Master!$A$2:$A$477,0))&amp;"","")</f>
        <v>With court permission</v>
      </c>
      <c r="J1918" s="10" t="s">
        <v>55</v>
      </c>
      <c r="K1918" s="8" t="s">
        <v>4519</v>
      </c>
    </row>
    <row r="1919" customFormat="false" ht="34.5" hidden="false" customHeight="true" outlineLevel="0" collapsed="false">
      <c r="A1919" s="10" t="s">
        <v>4524</v>
      </c>
      <c r="B1919" s="10" t="s">
        <v>45</v>
      </c>
      <c r="C1919" s="8" t="s">
        <v>4517</v>
      </c>
      <c r="D1919" s="8" t="s">
        <v>4525</v>
      </c>
      <c r="E1919" s="11" t="n">
        <v>320</v>
      </c>
      <c r="F1919" s="8" t="str">
        <f aca="false">IFERROR(INDEX(Section_Master!$D$2:$D$477,MATCH($E1919,Section_Master!$A$2:$A$477,0))&amp;"","")</f>
        <v>Imprisonment up to 2 years, or fine, or both</v>
      </c>
      <c r="G1919" s="10" t="str">
        <f aca="false">IFERROR(INDEX(Section_Master!$E$2:$E$477,MATCH($E1919,Section_Master!$A$2:$A$477,0))&amp;"","")</f>
        <v>No</v>
      </c>
      <c r="H1919" s="10" t="str">
        <f aca="false">IFERROR(INDEX(Section_Master!$F$2:$F$477,MATCH($E1919,Section_Master!$A$2:$A$477,0))&amp;"","")</f>
        <v>Yes</v>
      </c>
      <c r="I1919" s="10" t="str">
        <f aca="false">IFERROR(INDEX(Section_Master!$G$2:$G$477,MATCH($E1919,Section_Master!$A$2:$A$477,0))&amp;"","")</f>
        <v>With court permission</v>
      </c>
      <c r="J1919" s="10" t="s">
        <v>58</v>
      </c>
      <c r="K1919" s="8" t="s">
        <v>4519</v>
      </c>
    </row>
    <row r="1920" customFormat="false" ht="34.5" hidden="false" customHeight="true" outlineLevel="0" collapsed="false">
      <c r="A1920" s="10" t="s">
        <v>4526</v>
      </c>
      <c r="B1920" s="10" t="s">
        <v>45</v>
      </c>
      <c r="C1920" s="8" t="s">
        <v>4517</v>
      </c>
      <c r="D1920" s="8" t="s">
        <v>4527</v>
      </c>
      <c r="E1920" s="11" t="n">
        <v>320</v>
      </c>
      <c r="F1920" s="8" t="str">
        <f aca="false">IFERROR(INDEX(Section_Master!$D$2:$D$477,MATCH($E1920,Section_Master!$A$2:$A$477,0))&amp;"","")</f>
        <v>Imprisonment up to 2 years, or fine, or both</v>
      </c>
      <c r="G1920" s="10" t="str">
        <f aca="false">IFERROR(INDEX(Section_Master!$E$2:$E$477,MATCH($E1920,Section_Master!$A$2:$A$477,0))&amp;"","")</f>
        <v>No</v>
      </c>
      <c r="H1920" s="10" t="str">
        <f aca="false">IFERROR(INDEX(Section_Master!$F$2:$F$477,MATCH($E1920,Section_Master!$A$2:$A$477,0))&amp;"","")</f>
        <v>Yes</v>
      </c>
      <c r="I1920" s="10" t="str">
        <f aca="false">IFERROR(INDEX(Section_Master!$G$2:$G$477,MATCH($E1920,Section_Master!$A$2:$A$477,0))&amp;"","")</f>
        <v>With court permission</v>
      </c>
      <c r="J1920" s="10" t="s">
        <v>61</v>
      </c>
      <c r="K1920" s="8" t="s">
        <v>4519</v>
      </c>
    </row>
    <row r="1921" customFormat="false" ht="34.5" hidden="false" customHeight="true" outlineLevel="0" collapsed="false">
      <c r="A1921" s="10" t="s">
        <v>4528</v>
      </c>
      <c r="B1921" s="10" t="s">
        <v>45</v>
      </c>
      <c r="C1921" s="8" t="s">
        <v>4517</v>
      </c>
      <c r="D1921" s="8" t="s">
        <v>4529</v>
      </c>
      <c r="E1921" s="11" t="n">
        <v>320</v>
      </c>
      <c r="F1921" s="8" t="str">
        <f aca="false">IFERROR(INDEX(Section_Master!$D$2:$D$477,MATCH($E1921,Section_Master!$A$2:$A$477,0))&amp;"","")</f>
        <v>Imprisonment up to 2 years, or fine, or both</v>
      </c>
      <c r="G1921" s="10" t="str">
        <f aca="false">IFERROR(INDEX(Section_Master!$E$2:$E$477,MATCH($E1921,Section_Master!$A$2:$A$477,0))&amp;"","")</f>
        <v>No</v>
      </c>
      <c r="H1921" s="10" t="str">
        <f aca="false">IFERROR(INDEX(Section_Master!$F$2:$F$477,MATCH($E1921,Section_Master!$A$2:$A$477,0))&amp;"","")</f>
        <v>Yes</v>
      </c>
      <c r="I1921" s="10" t="str">
        <f aca="false">IFERROR(INDEX(Section_Master!$G$2:$G$477,MATCH($E1921,Section_Master!$A$2:$A$477,0))&amp;"","")</f>
        <v>With court permission</v>
      </c>
      <c r="J1921" s="10" t="s">
        <v>64</v>
      </c>
      <c r="K1921" s="8" t="s">
        <v>4519</v>
      </c>
    </row>
    <row r="1922" customFormat="false" ht="34.5" hidden="false" customHeight="true" outlineLevel="0" collapsed="false">
      <c r="A1922" s="10" t="s">
        <v>4530</v>
      </c>
      <c r="B1922" s="10" t="s">
        <v>45</v>
      </c>
      <c r="C1922" s="8" t="s">
        <v>4531</v>
      </c>
      <c r="D1922" s="8" t="s">
        <v>4532</v>
      </c>
      <c r="E1922" s="11" t="n">
        <v>321</v>
      </c>
      <c r="F1922" s="8" t="str">
        <f aca="false">IFERROR(INDEX(Section_Master!$D$2:$D$477,MATCH($E1922,Section_Master!$A$2:$A$477,0))&amp;"","")</f>
        <v>Imprisonment up to 2 years, or fine, or both</v>
      </c>
      <c r="G1922" s="10" t="str">
        <f aca="false">IFERROR(INDEX(Section_Master!$E$2:$E$477,MATCH($E1922,Section_Master!$A$2:$A$477,0))&amp;"","")</f>
        <v>No</v>
      </c>
      <c r="H1922" s="10" t="str">
        <f aca="false">IFERROR(INDEX(Section_Master!$F$2:$F$477,MATCH($E1922,Section_Master!$A$2:$A$477,0))&amp;"","")</f>
        <v>Yes</v>
      </c>
      <c r="I1922" s="10" t="str">
        <f aca="false">IFERROR(INDEX(Section_Master!$G$2:$G$477,MATCH($E1922,Section_Master!$A$2:$A$477,0))&amp;"","")</f>
        <v>With court permission</v>
      </c>
      <c r="J1922" s="10" t="s">
        <v>48</v>
      </c>
      <c r="K1922" s="8" t="s">
        <v>4533</v>
      </c>
    </row>
    <row r="1923" customFormat="false" ht="45.75" hidden="false" customHeight="true" outlineLevel="0" collapsed="false">
      <c r="A1923" s="10" t="s">
        <v>4534</v>
      </c>
      <c r="B1923" s="10" t="s">
        <v>45</v>
      </c>
      <c r="C1923" s="8" t="s">
        <v>4531</v>
      </c>
      <c r="D1923" s="8" t="s">
        <v>4535</v>
      </c>
      <c r="E1923" s="11" t="n">
        <v>321</v>
      </c>
      <c r="F1923" s="8" t="str">
        <f aca="false">IFERROR(INDEX(Section_Master!$D$2:$D$477,MATCH($E1923,Section_Master!$A$2:$A$477,0))&amp;"","")</f>
        <v>Imprisonment up to 2 years, or fine, or both</v>
      </c>
      <c r="G1923" s="10" t="str">
        <f aca="false">IFERROR(INDEX(Section_Master!$E$2:$E$477,MATCH($E1923,Section_Master!$A$2:$A$477,0))&amp;"","")</f>
        <v>No</v>
      </c>
      <c r="H1923" s="10" t="str">
        <f aca="false">IFERROR(INDEX(Section_Master!$F$2:$F$477,MATCH($E1923,Section_Master!$A$2:$A$477,0))&amp;"","")</f>
        <v>Yes</v>
      </c>
      <c r="I1923" s="10" t="str">
        <f aca="false">IFERROR(INDEX(Section_Master!$G$2:$G$477,MATCH($E1923,Section_Master!$A$2:$A$477,0))&amp;"","")</f>
        <v>With court permission</v>
      </c>
      <c r="J1923" s="10" t="s">
        <v>52</v>
      </c>
      <c r="K1923" s="8" t="s">
        <v>4533</v>
      </c>
    </row>
    <row r="1924" customFormat="false" ht="34.5" hidden="false" customHeight="true" outlineLevel="0" collapsed="false">
      <c r="A1924" s="10" t="s">
        <v>4536</v>
      </c>
      <c r="B1924" s="10" t="s">
        <v>45</v>
      </c>
      <c r="C1924" s="8" t="s">
        <v>4531</v>
      </c>
      <c r="D1924" s="8" t="s">
        <v>4537</v>
      </c>
      <c r="E1924" s="11" t="n">
        <v>321</v>
      </c>
      <c r="F1924" s="8" t="str">
        <f aca="false">IFERROR(INDEX(Section_Master!$D$2:$D$477,MATCH($E1924,Section_Master!$A$2:$A$477,0))&amp;"","")</f>
        <v>Imprisonment up to 2 years, or fine, or both</v>
      </c>
      <c r="G1924" s="10" t="str">
        <f aca="false">IFERROR(INDEX(Section_Master!$E$2:$E$477,MATCH($E1924,Section_Master!$A$2:$A$477,0))&amp;"","")</f>
        <v>No</v>
      </c>
      <c r="H1924" s="10" t="str">
        <f aca="false">IFERROR(INDEX(Section_Master!$F$2:$F$477,MATCH($E1924,Section_Master!$A$2:$A$477,0))&amp;"","")</f>
        <v>Yes</v>
      </c>
      <c r="I1924" s="10" t="str">
        <f aca="false">IFERROR(INDEX(Section_Master!$G$2:$G$477,MATCH($E1924,Section_Master!$A$2:$A$477,0))&amp;"","")</f>
        <v>With court permission</v>
      </c>
      <c r="J1924" s="10" t="s">
        <v>55</v>
      </c>
      <c r="K1924" s="8" t="s">
        <v>4533</v>
      </c>
    </row>
    <row r="1925" customFormat="false" ht="34.5" hidden="false" customHeight="true" outlineLevel="0" collapsed="false">
      <c r="A1925" s="10" t="s">
        <v>4538</v>
      </c>
      <c r="B1925" s="10" t="s">
        <v>45</v>
      </c>
      <c r="C1925" s="8" t="s">
        <v>4531</v>
      </c>
      <c r="D1925" s="8" t="s">
        <v>4539</v>
      </c>
      <c r="E1925" s="11" t="n">
        <v>321</v>
      </c>
      <c r="F1925" s="8" t="str">
        <f aca="false">IFERROR(INDEX(Section_Master!$D$2:$D$477,MATCH($E1925,Section_Master!$A$2:$A$477,0))&amp;"","")</f>
        <v>Imprisonment up to 2 years, or fine, or both</v>
      </c>
      <c r="G1925" s="10" t="str">
        <f aca="false">IFERROR(INDEX(Section_Master!$E$2:$E$477,MATCH($E1925,Section_Master!$A$2:$A$477,0))&amp;"","")</f>
        <v>No</v>
      </c>
      <c r="H1925" s="10" t="str">
        <f aca="false">IFERROR(INDEX(Section_Master!$F$2:$F$477,MATCH($E1925,Section_Master!$A$2:$A$477,0))&amp;"","")</f>
        <v>Yes</v>
      </c>
      <c r="I1925" s="10" t="str">
        <f aca="false">IFERROR(INDEX(Section_Master!$G$2:$G$477,MATCH($E1925,Section_Master!$A$2:$A$477,0))&amp;"","")</f>
        <v>With court permission</v>
      </c>
      <c r="J1925" s="10" t="s">
        <v>58</v>
      </c>
      <c r="K1925" s="8" t="s">
        <v>4533</v>
      </c>
    </row>
    <row r="1926" customFormat="false" ht="23.25" hidden="false" customHeight="true" outlineLevel="0" collapsed="false">
      <c r="A1926" s="10" t="s">
        <v>4540</v>
      </c>
      <c r="B1926" s="10" t="s">
        <v>45</v>
      </c>
      <c r="C1926" s="8" t="s">
        <v>4531</v>
      </c>
      <c r="D1926" s="8" t="s">
        <v>4541</v>
      </c>
      <c r="E1926" s="11" t="n">
        <v>321</v>
      </c>
      <c r="F1926" s="8" t="str">
        <f aca="false">IFERROR(INDEX(Section_Master!$D$2:$D$477,MATCH($E1926,Section_Master!$A$2:$A$477,0))&amp;"","")</f>
        <v>Imprisonment up to 2 years, or fine, or both</v>
      </c>
      <c r="G1926" s="10" t="str">
        <f aca="false">IFERROR(INDEX(Section_Master!$E$2:$E$477,MATCH($E1926,Section_Master!$A$2:$A$477,0))&amp;"","")</f>
        <v>No</v>
      </c>
      <c r="H1926" s="10" t="str">
        <f aca="false">IFERROR(INDEX(Section_Master!$F$2:$F$477,MATCH($E1926,Section_Master!$A$2:$A$477,0))&amp;"","")</f>
        <v>Yes</v>
      </c>
      <c r="I1926" s="10" t="str">
        <f aca="false">IFERROR(INDEX(Section_Master!$G$2:$G$477,MATCH($E1926,Section_Master!$A$2:$A$477,0))&amp;"","")</f>
        <v>With court permission</v>
      </c>
      <c r="J1926" s="10" t="s">
        <v>61</v>
      </c>
      <c r="K1926" s="8" t="s">
        <v>4533</v>
      </c>
    </row>
    <row r="1927" customFormat="false" ht="34.5" hidden="false" customHeight="true" outlineLevel="0" collapsed="false">
      <c r="A1927" s="10" t="s">
        <v>4542</v>
      </c>
      <c r="B1927" s="10" t="s">
        <v>45</v>
      </c>
      <c r="C1927" s="8" t="s">
        <v>4531</v>
      </c>
      <c r="D1927" s="8" t="s">
        <v>4543</v>
      </c>
      <c r="E1927" s="11" t="n">
        <v>321</v>
      </c>
      <c r="F1927" s="8" t="str">
        <f aca="false">IFERROR(INDEX(Section_Master!$D$2:$D$477,MATCH($E1927,Section_Master!$A$2:$A$477,0))&amp;"","")</f>
        <v>Imprisonment up to 2 years, or fine, or both</v>
      </c>
      <c r="G1927" s="10" t="str">
        <f aca="false">IFERROR(INDEX(Section_Master!$E$2:$E$477,MATCH($E1927,Section_Master!$A$2:$A$477,0))&amp;"","")</f>
        <v>No</v>
      </c>
      <c r="H1927" s="10" t="str">
        <f aca="false">IFERROR(INDEX(Section_Master!$F$2:$F$477,MATCH($E1927,Section_Master!$A$2:$A$477,0))&amp;"","")</f>
        <v>Yes</v>
      </c>
      <c r="I1927" s="10" t="str">
        <f aca="false">IFERROR(INDEX(Section_Master!$G$2:$G$477,MATCH($E1927,Section_Master!$A$2:$A$477,0))&amp;"","")</f>
        <v>With court permission</v>
      </c>
      <c r="J1927" s="10" t="s">
        <v>64</v>
      </c>
      <c r="K1927" s="8" t="s">
        <v>4533</v>
      </c>
    </row>
    <row r="1928" customFormat="false" ht="34.5" hidden="false" customHeight="true" outlineLevel="0" collapsed="false">
      <c r="A1928" s="10" t="s">
        <v>4544</v>
      </c>
      <c r="B1928" s="10" t="s">
        <v>45</v>
      </c>
      <c r="C1928" s="8" t="s">
        <v>4545</v>
      </c>
      <c r="D1928" s="8" t="s">
        <v>4546</v>
      </c>
      <c r="E1928" s="11" t="n">
        <v>322</v>
      </c>
      <c r="F1928" s="8" t="str">
        <f aca="false">IFERROR(INDEX(Section_Master!$D$2:$D$477,MATCH($E1928,Section_Master!$A$2:$A$477,0))&amp;"","")</f>
        <v>Imprisonment up to 2 years, or fine, or both</v>
      </c>
      <c r="G1928" s="10" t="str">
        <f aca="false">IFERROR(INDEX(Section_Master!$E$2:$E$477,MATCH($E1928,Section_Master!$A$2:$A$477,0))&amp;"","")</f>
        <v>No</v>
      </c>
      <c r="H1928" s="10" t="str">
        <f aca="false">IFERROR(INDEX(Section_Master!$F$2:$F$477,MATCH($E1928,Section_Master!$A$2:$A$477,0))&amp;"","")</f>
        <v>Yes</v>
      </c>
      <c r="I1928" s="10" t="str">
        <f aca="false">IFERROR(INDEX(Section_Master!$G$2:$G$477,MATCH($E1928,Section_Master!$A$2:$A$477,0))&amp;"","")</f>
        <v>With court permission</v>
      </c>
      <c r="J1928" s="10" t="s">
        <v>48</v>
      </c>
      <c r="K1928" s="8" t="s">
        <v>4547</v>
      </c>
    </row>
    <row r="1929" customFormat="false" ht="34.5" hidden="false" customHeight="true" outlineLevel="0" collapsed="false">
      <c r="A1929" s="10" t="s">
        <v>4548</v>
      </c>
      <c r="B1929" s="10" t="s">
        <v>45</v>
      </c>
      <c r="C1929" s="8" t="s">
        <v>4545</v>
      </c>
      <c r="D1929" s="8" t="s">
        <v>4549</v>
      </c>
      <c r="E1929" s="11" t="n">
        <v>322</v>
      </c>
      <c r="F1929" s="8" t="str">
        <f aca="false">IFERROR(INDEX(Section_Master!$D$2:$D$477,MATCH($E1929,Section_Master!$A$2:$A$477,0))&amp;"","")</f>
        <v>Imprisonment up to 2 years, or fine, or both</v>
      </c>
      <c r="G1929" s="10" t="str">
        <f aca="false">IFERROR(INDEX(Section_Master!$E$2:$E$477,MATCH($E1929,Section_Master!$A$2:$A$477,0))&amp;"","")</f>
        <v>No</v>
      </c>
      <c r="H1929" s="10" t="str">
        <f aca="false">IFERROR(INDEX(Section_Master!$F$2:$F$477,MATCH($E1929,Section_Master!$A$2:$A$477,0))&amp;"","")</f>
        <v>Yes</v>
      </c>
      <c r="I1929" s="10" t="str">
        <f aca="false">IFERROR(INDEX(Section_Master!$G$2:$G$477,MATCH($E1929,Section_Master!$A$2:$A$477,0))&amp;"","")</f>
        <v>With court permission</v>
      </c>
      <c r="J1929" s="10" t="s">
        <v>52</v>
      </c>
      <c r="K1929" s="8" t="s">
        <v>4547</v>
      </c>
    </row>
    <row r="1930" customFormat="false" ht="34.5" hidden="false" customHeight="true" outlineLevel="0" collapsed="false">
      <c r="A1930" s="10" t="s">
        <v>4550</v>
      </c>
      <c r="B1930" s="10" t="s">
        <v>45</v>
      </c>
      <c r="C1930" s="8" t="s">
        <v>4545</v>
      </c>
      <c r="D1930" s="8" t="s">
        <v>4551</v>
      </c>
      <c r="E1930" s="11" t="n">
        <v>322</v>
      </c>
      <c r="F1930" s="8" t="str">
        <f aca="false">IFERROR(INDEX(Section_Master!$D$2:$D$477,MATCH($E1930,Section_Master!$A$2:$A$477,0))&amp;"","")</f>
        <v>Imprisonment up to 2 years, or fine, or both</v>
      </c>
      <c r="G1930" s="10" t="str">
        <f aca="false">IFERROR(INDEX(Section_Master!$E$2:$E$477,MATCH($E1930,Section_Master!$A$2:$A$477,0))&amp;"","")</f>
        <v>No</v>
      </c>
      <c r="H1930" s="10" t="str">
        <f aca="false">IFERROR(INDEX(Section_Master!$F$2:$F$477,MATCH($E1930,Section_Master!$A$2:$A$477,0))&amp;"","")</f>
        <v>Yes</v>
      </c>
      <c r="I1930" s="10" t="str">
        <f aca="false">IFERROR(INDEX(Section_Master!$G$2:$G$477,MATCH($E1930,Section_Master!$A$2:$A$477,0))&amp;"","")</f>
        <v>With court permission</v>
      </c>
      <c r="J1930" s="10" t="s">
        <v>55</v>
      </c>
      <c r="K1930" s="8" t="s">
        <v>4547</v>
      </c>
    </row>
    <row r="1931" customFormat="false" ht="34.5" hidden="false" customHeight="true" outlineLevel="0" collapsed="false">
      <c r="A1931" s="10" t="s">
        <v>4552</v>
      </c>
      <c r="B1931" s="10" t="s">
        <v>45</v>
      </c>
      <c r="C1931" s="8" t="s">
        <v>4545</v>
      </c>
      <c r="D1931" s="8" t="s">
        <v>4553</v>
      </c>
      <c r="E1931" s="11" t="n">
        <v>322</v>
      </c>
      <c r="F1931" s="8" t="str">
        <f aca="false">IFERROR(INDEX(Section_Master!$D$2:$D$477,MATCH($E1931,Section_Master!$A$2:$A$477,0))&amp;"","")</f>
        <v>Imprisonment up to 2 years, or fine, or both</v>
      </c>
      <c r="G1931" s="10" t="str">
        <f aca="false">IFERROR(INDEX(Section_Master!$E$2:$E$477,MATCH($E1931,Section_Master!$A$2:$A$477,0))&amp;"","")</f>
        <v>No</v>
      </c>
      <c r="H1931" s="10" t="str">
        <f aca="false">IFERROR(INDEX(Section_Master!$F$2:$F$477,MATCH($E1931,Section_Master!$A$2:$A$477,0))&amp;"","")</f>
        <v>Yes</v>
      </c>
      <c r="I1931" s="10" t="str">
        <f aca="false">IFERROR(INDEX(Section_Master!$G$2:$G$477,MATCH($E1931,Section_Master!$A$2:$A$477,0))&amp;"","")</f>
        <v>With court permission</v>
      </c>
      <c r="J1931" s="10" t="s">
        <v>58</v>
      </c>
      <c r="K1931" s="8" t="s">
        <v>4547</v>
      </c>
    </row>
    <row r="1932" customFormat="false" ht="34.5" hidden="false" customHeight="true" outlineLevel="0" collapsed="false">
      <c r="A1932" s="10" t="s">
        <v>4554</v>
      </c>
      <c r="B1932" s="10" t="s">
        <v>45</v>
      </c>
      <c r="C1932" s="8" t="s">
        <v>4545</v>
      </c>
      <c r="D1932" s="8" t="s">
        <v>4555</v>
      </c>
      <c r="E1932" s="11" t="n">
        <v>322</v>
      </c>
      <c r="F1932" s="8" t="str">
        <f aca="false">IFERROR(INDEX(Section_Master!$D$2:$D$477,MATCH($E1932,Section_Master!$A$2:$A$477,0))&amp;"","")</f>
        <v>Imprisonment up to 2 years, or fine, or both</v>
      </c>
      <c r="G1932" s="10" t="str">
        <f aca="false">IFERROR(INDEX(Section_Master!$E$2:$E$477,MATCH($E1932,Section_Master!$A$2:$A$477,0))&amp;"","")</f>
        <v>No</v>
      </c>
      <c r="H1932" s="10" t="str">
        <f aca="false">IFERROR(INDEX(Section_Master!$F$2:$F$477,MATCH($E1932,Section_Master!$A$2:$A$477,0))&amp;"","")</f>
        <v>Yes</v>
      </c>
      <c r="I1932" s="10" t="str">
        <f aca="false">IFERROR(INDEX(Section_Master!$G$2:$G$477,MATCH($E1932,Section_Master!$A$2:$A$477,0))&amp;"","")</f>
        <v>With court permission</v>
      </c>
      <c r="J1932" s="10" t="s">
        <v>61</v>
      </c>
      <c r="K1932" s="8" t="s">
        <v>4547</v>
      </c>
    </row>
    <row r="1933" customFormat="false" ht="34.5" hidden="false" customHeight="true" outlineLevel="0" collapsed="false">
      <c r="A1933" s="10" t="s">
        <v>4556</v>
      </c>
      <c r="B1933" s="10" t="s">
        <v>45</v>
      </c>
      <c r="C1933" s="8" t="s">
        <v>4545</v>
      </c>
      <c r="D1933" s="8" t="s">
        <v>4557</v>
      </c>
      <c r="E1933" s="11" t="n">
        <v>322</v>
      </c>
      <c r="F1933" s="8" t="str">
        <f aca="false">IFERROR(INDEX(Section_Master!$D$2:$D$477,MATCH($E1933,Section_Master!$A$2:$A$477,0))&amp;"","")</f>
        <v>Imprisonment up to 2 years, or fine, or both</v>
      </c>
      <c r="G1933" s="10" t="str">
        <f aca="false">IFERROR(INDEX(Section_Master!$E$2:$E$477,MATCH($E1933,Section_Master!$A$2:$A$477,0))&amp;"","")</f>
        <v>No</v>
      </c>
      <c r="H1933" s="10" t="str">
        <f aca="false">IFERROR(INDEX(Section_Master!$F$2:$F$477,MATCH($E1933,Section_Master!$A$2:$A$477,0))&amp;"","")</f>
        <v>Yes</v>
      </c>
      <c r="I1933" s="10" t="str">
        <f aca="false">IFERROR(INDEX(Section_Master!$G$2:$G$477,MATCH($E1933,Section_Master!$A$2:$A$477,0))&amp;"","")</f>
        <v>With court permission</v>
      </c>
      <c r="J1933" s="10" t="s">
        <v>64</v>
      </c>
      <c r="K1933" s="8" t="s">
        <v>4547</v>
      </c>
    </row>
    <row r="1934" customFormat="false" ht="34.5" hidden="false" customHeight="true" outlineLevel="0" collapsed="false">
      <c r="A1934" s="10" t="s">
        <v>4558</v>
      </c>
      <c r="B1934" s="10" t="s">
        <v>45</v>
      </c>
      <c r="C1934" s="8" t="s">
        <v>4559</v>
      </c>
      <c r="D1934" s="8" t="s">
        <v>4560</v>
      </c>
      <c r="E1934" s="11" t="n">
        <v>323</v>
      </c>
      <c r="F1934" s="8" t="str">
        <f aca="false">IFERROR(INDEX(Section_Master!$D$2:$D$477,MATCH($E1934,Section_Master!$A$2:$A$477,0))&amp;"","")</f>
        <v>Imprisonment up to 2 years, or fine, or both</v>
      </c>
      <c r="G1934" s="10" t="str">
        <f aca="false">IFERROR(INDEX(Section_Master!$E$2:$E$477,MATCH($E1934,Section_Master!$A$2:$A$477,0))&amp;"","")</f>
        <v>No</v>
      </c>
      <c r="H1934" s="10" t="str">
        <f aca="false">IFERROR(INDEX(Section_Master!$F$2:$F$477,MATCH($E1934,Section_Master!$A$2:$A$477,0))&amp;"","")</f>
        <v>Yes</v>
      </c>
      <c r="I1934" s="10" t="str">
        <f aca="false">IFERROR(INDEX(Section_Master!$G$2:$G$477,MATCH($E1934,Section_Master!$A$2:$A$477,0))&amp;"","")</f>
        <v>With court permission</v>
      </c>
      <c r="J1934" s="10" t="s">
        <v>48</v>
      </c>
      <c r="K1934" s="8" t="s">
        <v>4561</v>
      </c>
    </row>
    <row r="1935" customFormat="false" ht="34.5" hidden="false" customHeight="true" outlineLevel="0" collapsed="false">
      <c r="A1935" s="10" t="s">
        <v>4562</v>
      </c>
      <c r="B1935" s="10" t="s">
        <v>45</v>
      </c>
      <c r="C1935" s="8" t="s">
        <v>4559</v>
      </c>
      <c r="D1935" s="8" t="s">
        <v>4563</v>
      </c>
      <c r="E1935" s="11" t="n">
        <v>323</v>
      </c>
      <c r="F1935" s="8" t="str">
        <f aca="false">IFERROR(INDEX(Section_Master!$D$2:$D$477,MATCH($E1935,Section_Master!$A$2:$A$477,0))&amp;"","")</f>
        <v>Imprisonment up to 2 years, or fine, or both</v>
      </c>
      <c r="G1935" s="10" t="str">
        <f aca="false">IFERROR(INDEX(Section_Master!$E$2:$E$477,MATCH($E1935,Section_Master!$A$2:$A$477,0))&amp;"","")</f>
        <v>No</v>
      </c>
      <c r="H1935" s="10" t="str">
        <f aca="false">IFERROR(INDEX(Section_Master!$F$2:$F$477,MATCH($E1935,Section_Master!$A$2:$A$477,0))&amp;"","")</f>
        <v>Yes</v>
      </c>
      <c r="I1935" s="10" t="str">
        <f aca="false">IFERROR(INDEX(Section_Master!$G$2:$G$477,MATCH($E1935,Section_Master!$A$2:$A$477,0))&amp;"","")</f>
        <v>With court permission</v>
      </c>
      <c r="J1935" s="10" t="s">
        <v>52</v>
      </c>
      <c r="K1935" s="8" t="s">
        <v>4561</v>
      </c>
    </row>
    <row r="1936" customFormat="false" ht="34.5" hidden="false" customHeight="true" outlineLevel="0" collapsed="false">
      <c r="A1936" s="10" t="s">
        <v>4564</v>
      </c>
      <c r="B1936" s="10" t="s">
        <v>45</v>
      </c>
      <c r="C1936" s="8" t="s">
        <v>4559</v>
      </c>
      <c r="D1936" s="8" t="s">
        <v>4565</v>
      </c>
      <c r="E1936" s="11" t="n">
        <v>323</v>
      </c>
      <c r="F1936" s="8" t="str">
        <f aca="false">IFERROR(INDEX(Section_Master!$D$2:$D$477,MATCH($E1936,Section_Master!$A$2:$A$477,0))&amp;"","")</f>
        <v>Imprisonment up to 2 years, or fine, or both</v>
      </c>
      <c r="G1936" s="10" t="str">
        <f aca="false">IFERROR(INDEX(Section_Master!$E$2:$E$477,MATCH($E1936,Section_Master!$A$2:$A$477,0))&amp;"","")</f>
        <v>No</v>
      </c>
      <c r="H1936" s="10" t="str">
        <f aca="false">IFERROR(INDEX(Section_Master!$F$2:$F$477,MATCH($E1936,Section_Master!$A$2:$A$477,0))&amp;"","")</f>
        <v>Yes</v>
      </c>
      <c r="I1936" s="10" t="str">
        <f aca="false">IFERROR(INDEX(Section_Master!$G$2:$G$477,MATCH($E1936,Section_Master!$A$2:$A$477,0))&amp;"","")</f>
        <v>With court permission</v>
      </c>
      <c r="J1936" s="10" t="s">
        <v>55</v>
      </c>
      <c r="K1936" s="8" t="s">
        <v>4561</v>
      </c>
    </row>
    <row r="1937" customFormat="false" ht="34.5" hidden="false" customHeight="true" outlineLevel="0" collapsed="false">
      <c r="A1937" s="10" t="s">
        <v>4566</v>
      </c>
      <c r="B1937" s="10" t="s">
        <v>45</v>
      </c>
      <c r="C1937" s="8" t="s">
        <v>4559</v>
      </c>
      <c r="D1937" s="8" t="s">
        <v>4567</v>
      </c>
      <c r="E1937" s="11" t="n">
        <v>323</v>
      </c>
      <c r="F1937" s="8" t="str">
        <f aca="false">IFERROR(INDEX(Section_Master!$D$2:$D$477,MATCH($E1937,Section_Master!$A$2:$A$477,0))&amp;"","")</f>
        <v>Imprisonment up to 2 years, or fine, or both</v>
      </c>
      <c r="G1937" s="10" t="str">
        <f aca="false">IFERROR(INDEX(Section_Master!$E$2:$E$477,MATCH($E1937,Section_Master!$A$2:$A$477,0))&amp;"","")</f>
        <v>No</v>
      </c>
      <c r="H1937" s="10" t="str">
        <f aca="false">IFERROR(INDEX(Section_Master!$F$2:$F$477,MATCH($E1937,Section_Master!$A$2:$A$477,0))&amp;"","")</f>
        <v>Yes</v>
      </c>
      <c r="I1937" s="10" t="str">
        <f aca="false">IFERROR(INDEX(Section_Master!$G$2:$G$477,MATCH($E1937,Section_Master!$A$2:$A$477,0))&amp;"","")</f>
        <v>With court permission</v>
      </c>
      <c r="J1937" s="10" t="s">
        <v>58</v>
      </c>
      <c r="K1937" s="8" t="s">
        <v>4561</v>
      </c>
    </row>
    <row r="1938" customFormat="false" ht="23.25" hidden="false" customHeight="true" outlineLevel="0" collapsed="false">
      <c r="A1938" s="10" t="s">
        <v>4568</v>
      </c>
      <c r="B1938" s="10" t="s">
        <v>45</v>
      </c>
      <c r="C1938" s="8" t="s">
        <v>4559</v>
      </c>
      <c r="D1938" s="8" t="s">
        <v>4569</v>
      </c>
      <c r="E1938" s="11" t="n">
        <v>323</v>
      </c>
      <c r="F1938" s="8" t="str">
        <f aca="false">IFERROR(INDEX(Section_Master!$D$2:$D$477,MATCH($E1938,Section_Master!$A$2:$A$477,0))&amp;"","")</f>
        <v>Imprisonment up to 2 years, or fine, or both</v>
      </c>
      <c r="G1938" s="10" t="str">
        <f aca="false">IFERROR(INDEX(Section_Master!$E$2:$E$477,MATCH($E1938,Section_Master!$A$2:$A$477,0))&amp;"","")</f>
        <v>No</v>
      </c>
      <c r="H1938" s="10" t="str">
        <f aca="false">IFERROR(INDEX(Section_Master!$F$2:$F$477,MATCH($E1938,Section_Master!$A$2:$A$477,0))&amp;"","")</f>
        <v>Yes</v>
      </c>
      <c r="I1938" s="10" t="str">
        <f aca="false">IFERROR(INDEX(Section_Master!$G$2:$G$477,MATCH($E1938,Section_Master!$A$2:$A$477,0))&amp;"","")</f>
        <v>With court permission</v>
      </c>
      <c r="J1938" s="10" t="s">
        <v>61</v>
      </c>
      <c r="K1938" s="8" t="s">
        <v>4561</v>
      </c>
    </row>
    <row r="1939" customFormat="false" ht="34.5" hidden="false" customHeight="true" outlineLevel="0" collapsed="false">
      <c r="A1939" s="10" t="s">
        <v>4570</v>
      </c>
      <c r="B1939" s="10" t="s">
        <v>45</v>
      </c>
      <c r="C1939" s="8" t="s">
        <v>4559</v>
      </c>
      <c r="D1939" s="8" t="s">
        <v>4571</v>
      </c>
      <c r="E1939" s="11" t="n">
        <v>323</v>
      </c>
      <c r="F1939" s="8" t="str">
        <f aca="false">IFERROR(INDEX(Section_Master!$D$2:$D$477,MATCH($E1939,Section_Master!$A$2:$A$477,0))&amp;"","")</f>
        <v>Imprisonment up to 2 years, or fine, or both</v>
      </c>
      <c r="G1939" s="10" t="str">
        <f aca="false">IFERROR(INDEX(Section_Master!$E$2:$E$477,MATCH($E1939,Section_Master!$A$2:$A$477,0))&amp;"","")</f>
        <v>No</v>
      </c>
      <c r="H1939" s="10" t="str">
        <f aca="false">IFERROR(INDEX(Section_Master!$F$2:$F$477,MATCH($E1939,Section_Master!$A$2:$A$477,0))&amp;"","")</f>
        <v>Yes</v>
      </c>
      <c r="I1939" s="10" t="str">
        <f aca="false">IFERROR(INDEX(Section_Master!$G$2:$G$477,MATCH($E1939,Section_Master!$A$2:$A$477,0))&amp;"","")</f>
        <v>With court permission</v>
      </c>
      <c r="J1939" s="10" t="s">
        <v>64</v>
      </c>
      <c r="K1939" s="8" t="s">
        <v>4561</v>
      </c>
    </row>
    <row r="1940" customFormat="false" ht="45.75" hidden="false" customHeight="true" outlineLevel="0" collapsed="false">
      <c r="A1940" s="10" t="s">
        <v>4572</v>
      </c>
      <c r="B1940" s="10" t="s">
        <v>45</v>
      </c>
      <c r="C1940" s="8" t="s">
        <v>4573</v>
      </c>
      <c r="D1940" s="8" t="s">
        <v>4574</v>
      </c>
      <c r="E1940" s="11" t="n">
        <v>324</v>
      </c>
      <c r="F1940" s="8" t="str">
        <f aca="false">IFERROR(INDEX(Section_Master!$D$2:$D$477,MATCH($E1940,Section_Master!$A$2:$A$477,0))&amp;"","")</f>
        <v>Imprisonment up to 6 months, or fine, or both [s.324(2)]; higher terms (up to 5 years) for larger loss or damage to public property [s.324(3)-(5)]</v>
      </c>
      <c r="G1940" s="10" t="str">
        <f aca="false">IFERROR(INDEX(Section_Master!$E$2:$E$477,MATCH($E1940,Section_Master!$A$2:$A$477,0))&amp;"","")</f>
        <v>Varies by sub-section</v>
      </c>
      <c r="H1940" s="10" t="str">
        <f aca="false">IFERROR(INDEX(Section_Master!$F$2:$F$477,MATCH($E1940,Section_Master!$A$2:$A$477,0))&amp;"","")</f>
        <v>Varies by sub-section</v>
      </c>
      <c r="I1940" s="10" t="str">
        <f aca="false">IFERROR(INDEX(Section_Master!$G$2:$G$477,MATCH($E1940,Section_Master!$A$2:$A$477,0))&amp;"","")</f>
        <v>Varies by sub-section</v>
      </c>
      <c r="J1940" s="10" t="s">
        <v>48</v>
      </c>
      <c r="K1940" s="8" t="s">
        <v>4575</v>
      </c>
    </row>
    <row r="1941" customFormat="false" ht="45.75" hidden="false" customHeight="true" outlineLevel="0" collapsed="false">
      <c r="A1941" s="10" t="s">
        <v>4576</v>
      </c>
      <c r="B1941" s="10" t="s">
        <v>45</v>
      </c>
      <c r="C1941" s="8" t="s">
        <v>4573</v>
      </c>
      <c r="D1941" s="8" t="s">
        <v>4577</v>
      </c>
      <c r="E1941" s="11" t="n">
        <v>324</v>
      </c>
      <c r="F1941" s="8" t="str">
        <f aca="false">IFERROR(INDEX(Section_Master!$D$2:$D$477,MATCH($E1941,Section_Master!$A$2:$A$477,0))&amp;"","")</f>
        <v>Imprisonment up to 6 months, or fine, or both [s.324(2)]; higher terms (up to 5 years) for larger loss or damage to public property [s.324(3)-(5)]</v>
      </c>
      <c r="G1941" s="10" t="str">
        <f aca="false">IFERROR(INDEX(Section_Master!$E$2:$E$477,MATCH($E1941,Section_Master!$A$2:$A$477,0))&amp;"","")</f>
        <v>Varies by sub-section</v>
      </c>
      <c r="H1941" s="10" t="str">
        <f aca="false">IFERROR(INDEX(Section_Master!$F$2:$F$477,MATCH($E1941,Section_Master!$A$2:$A$477,0))&amp;"","")</f>
        <v>Varies by sub-section</v>
      </c>
      <c r="I1941" s="10" t="str">
        <f aca="false">IFERROR(INDEX(Section_Master!$G$2:$G$477,MATCH($E1941,Section_Master!$A$2:$A$477,0))&amp;"","")</f>
        <v>Varies by sub-section</v>
      </c>
      <c r="J1941" s="10" t="s">
        <v>52</v>
      </c>
      <c r="K1941" s="8" t="s">
        <v>4575</v>
      </c>
    </row>
    <row r="1942" customFormat="false" ht="45.75" hidden="false" customHeight="true" outlineLevel="0" collapsed="false">
      <c r="A1942" s="10" t="s">
        <v>4578</v>
      </c>
      <c r="B1942" s="10" t="s">
        <v>45</v>
      </c>
      <c r="C1942" s="8" t="s">
        <v>4573</v>
      </c>
      <c r="D1942" s="8" t="s">
        <v>4579</v>
      </c>
      <c r="E1942" s="11" t="n">
        <v>324</v>
      </c>
      <c r="F1942" s="8" t="str">
        <f aca="false">IFERROR(INDEX(Section_Master!$D$2:$D$477,MATCH($E1942,Section_Master!$A$2:$A$477,0))&amp;"","")</f>
        <v>Imprisonment up to 6 months, or fine, or both [s.324(2)]; higher terms (up to 5 years) for larger loss or damage to public property [s.324(3)-(5)]</v>
      </c>
      <c r="G1942" s="10" t="str">
        <f aca="false">IFERROR(INDEX(Section_Master!$E$2:$E$477,MATCH($E1942,Section_Master!$A$2:$A$477,0))&amp;"","")</f>
        <v>Varies by sub-section</v>
      </c>
      <c r="H1942" s="10" t="str">
        <f aca="false">IFERROR(INDEX(Section_Master!$F$2:$F$477,MATCH($E1942,Section_Master!$A$2:$A$477,0))&amp;"","")</f>
        <v>Varies by sub-section</v>
      </c>
      <c r="I1942" s="10" t="str">
        <f aca="false">IFERROR(INDEX(Section_Master!$G$2:$G$477,MATCH($E1942,Section_Master!$A$2:$A$477,0))&amp;"","")</f>
        <v>Varies by sub-section</v>
      </c>
      <c r="J1942" s="10" t="s">
        <v>55</v>
      </c>
      <c r="K1942" s="8" t="s">
        <v>4575</v>
      </c>
    </row>
    <row r="1943" customFormat="false" ht="34.5" hidden="false" customHeight="true" outlineLevel="0" collapsed="false">
      <c r="A1943" s="10" t="s">
        <v>4580</v>
      </c>
      <c r="B1943" s="10" t="s">
        <v>45</v>
      </c>
      <c r="C1943" s="8" t="s">
        <v>4573</v>
      </c>
      <c r="D1943" s="8" t="s">
        <v>4581</v>
      </c>
      <c r="E1943" s="11" t="n">
        <v>324</v>
      </c>
      <c r="F1943" s="8" t="str">
        <f aca="false">IFERROR(INDEX(Section_Master!$D$2:$D$477,MATCH($E1943,Section_Master!$A$2:$A$477,0))&amp;"","")</f>
        <v>Imprisonment up to 6 months, or fine, or both [s.324(2)]; higher terms (up to 5 years) for larger loss or damage to public property [s.324(3)-(5)]</v>
      </c>
      <c r="G1943" s="10" t="str">
        <f aca="false">IFERROR(INDEX(Section_Master!$E$2:$E$477,MATCH($E1943,Section_Master!$A$2:$A$477,0))&amp;"","")</f>
        <v>Varies by sub-section</v>
      </c>
      <c r="H1943" s="10" t="str">
        <f aca="false">IFERROR(INDEX(Section_Master!$F$2:$F$477,MATCH($E1943,Section_Master!$A$2:$A$477,0))&amp;"","")</f>
        <v>Varies by sub-section</v>
      </c>
      <c r="I1943" s="10" t="str">
        <f aca="false">IFERROR(INDEX(Section_Master!$G$2:$G$477,MATCH($E1943,Section_Master!$A$2:$A$477,0))&amp;"","")</f>
        <v>Varies by sub-section</v>
      </c>
      <c r="J1943" s="10" t="s">
        <v>58</v>
      </c>
      <c r="K1943" s="8" t="s">
        <v>4575</v>
      </c>
    </row>
    <row r="1944" customFormat="false" ht="34.5" hidden="false" customHeight="true" outlineLevel="0" collapsed="false">
      <c r="A1944" s="10" t="s">
        <v>4582</v>
      </c>
      <c r="B1944" s="10" t="s">
        <v>45</v>
      </c>
      <c r="C1944" s="8" t="s">
        <v>4573</v>
      </c>
      <c r="D1944" s="8" t="s">
        <v>4583</v>
      </c>
      <c r="E1944" s="11" t="n">
        <v>324</v>
      </c>
      <c r="F1944" s="8" t="str">
        <f aca="false">IFERROR(INDEX(Section_Master!$D$2:$D$477,MATCH($E1944,Section_Master!$A$2:$A$477,0))&amp;"","")</f>
        <v>Imprisonment up to 6 months, or fine, or both [s.324(2)]; higher terms (up to 5 years) for larger loss or damage to public property [s.324(3)-(5)]</v>
      </c>
      <c r="G1944" s="10" t="str">
        <f aca="false">IFERROR(INDEX(Section_Master!$E$2:$E$477,MATCH($E1944,Section_Master!$A$2:$A$477,0))&amp;"","")</f>
        <v>Varies by sub-section</v>
      </c>
      <c r="H1944" s="10" t="str">
        <f aca="false">IFERROR(INDEX(Section_Master!$F$2:$F$477,MATCH($E1944,Section_Master!$A$2:$A$477,0))&amp;"","")</f>
        <v>Varies by sub-section</v>
      </c>
      <c r="I1944" s="10" t="str">
        <f aca="false">IFERROR(INDEX(Section_Master!$G$2:$G$477,MATCH($E1944,Section_Master!$A$2:$A$477,0))&amp;"","")</f>
        <v>Varies by sub-section</v>
      </c>
      <c r="J1944" s="10" t="s">
        <v>61</v>
      </c>
      <c r="K1944" s="8" t="s">
        <v>4575</v>
      </c>
    </row>
    <row r="1945" customFormat="false" ht="34.5" hidden="false" customHeight="true" outlineLevel="0" collapsed="false">
      <c r="A1945" s="10" t="s">
        <v>4584</v>
      </c>
      <c r="B1945" s="10" t="s">
        <v>45</v>
      </c>
      <c r="C1945" s="8" t="s">
        <v>4573</v>
      </c>
      <c r="D1945" s="8" t="s">
        <v>4585</v>
      </c>
      <c r="E1945" s="11" t="n">
        <v>324</v>
      </c>
      <c r="F1945" s="8" t="str">
        <f aca="false">IFERROR(INDEX(Section_Master!$D$2:$D$477,MATCH($E1945,Section_Master!$A$2:$A$477,0))&amp;"","")</f>
        <v>Imprisonment up to 6 months, or fine, or both [s.324(2)]; higher terms (up to 5 years) for larger loss or damage to public property [s.324(3)-(5)]</v>
      </c>
      <c r="G1945" s="10" t="str">
        <f aca="false">IFERROR(INDEX(Section_Master!$E$2:$E$477,MATCH($E1945,Section_Master!$A$2:$A$477,0))&amp;"","")</f>
        <v>Varies by sub-section</v>
      </c>
      <c r="H1945" s="10" t="str">
        <f aca="false">IFERROR(INDEX(Section_Master!$F$2:$F$477,MATCH($E1945,Section_Master!$A$2:$A$477,0))&amp;"","")</f>
        <v>Varies by sub-section</v>
      </c>
      <c r="I1945" s="10" t="str">
        <f aca="false">IFERROR(INDEX(Section_Master!$G$2:$G$477,MATCH($E1945,Section_Master!$A$2:$A$477,0))&amp;"","")</f>
        <v>Varies by sub-section</v>
      </c>
      <c r="J1945" s="10" t="s">
        <v>64</v>
      </c>
      <c r="K1945" s="8" t="s">
        <v>4575</v>
      </c>
    </row>
    <row r="1946" customFormat="false" ht="23.25" hidden="false" customHeight="true" outlineLevel="0" collapsed="false">
      <c r="A1946" s="10" t="s">
        <v>4586</v>
      </c>
      <c r="B1946" s="10" t="s">
        <v>45</v>
      </c>
      <c r="C1946" s="8" t="s">
        <v>4587</v>
      </c>
      <c r="D1946" s="8" t="s">
        <v>4588</v>
      </c>
      <c r="E1946" s="11" t="n">
        <v>325</v>
      </c>
      <c r="F1946" s="8" t="str">
        <f aca="false">IFERROR(INDEX(Section_Master!$D$2:$D$477,MATCH($E1946,Section_Master!$A$2:$A$477,0))&amp;"","")</f>
        <v>Imprisonment up to 5 years, or fine, or both</v>
      </c>
      <c r="G1946" s="10" t="str">
        <f aca="false">IFERROR(INDEX(Section_Master!$E$2:$E$477,MATCH($E1946,Section_Master!$A$2:$A$477,0))&amp;"","")</f>
        <v>Yes</v>
      </c>
      <c r="H1946" s="10" t="str">
        <f aca="false">IFERROR(INDEX(Section_Master!$F$2:$F$477,MATCH($E1946,Section_Master!$A$2:$A$477,0))&amp;"","")</f>
        <v>Yes</v>
      </c>
      <c r="I1946" s="10" t="str">
        <f aca="false">IFERROR(INDEX(Section_Master!$G$2:$G$477,MATCH($E1946,Section_Master!$A$2:$A$477,0))&amp;"","")</f>
        <v>No</v>
      </c>
      <c r="J1946" s="10" t="s">
        <v>48</v>
      </c>
      <c r="K1946" s="8" t="s">
        <v>4589</v>
      </c>
    </row>
    <row r="1947" customFormat="false" ht="34.5" hidden="false" customHeight="true" outlineLevel="0" collapsed="false">
      <c r="A1947" s="10" t="s">
        <v>4590</v>
      </c>
      <c r="B1947" s="10" t="s">
        <v>45</v>
      </c>
      <c r="C1947" s="8" t="s">
        <v>4587</v>
      </c>
      <c r="D1947" s="8" t="s">
        <v>4591</v>
      </c>
      <c r="E1947" s="11" t="n">
        <v>325</v>
      </c>
      <c r="F1947" s="8" t="str">
        <f aca="false">IFERROR(INDEX(Section_Master!$D$2:$D$477,MATCH($E1947,Section_Master!$A$2:$A$477,0))&amp;"","")</f>
        <v>Imprisonment up to 5 years, or fine, or both</v>
      </c>
      <c r="G1947" s="10" t="str">
        <f aca="false">IFERROR(INDEX(Section_Master!$E$2:$E$477,MATCH($E1947,Section_Master!$A$2:$A$477,0))&amp;"","")</f>
        <v>Yes</v>
      </c>
      <c r="H1947" s="10" t="str">
        <f aca="false">IFERROR(INDEX(Section_Master!$F$2:$F$477,MATCH($E1947,Section_Master!$A$2:$A$477,0))&amp;"","")</f>
        <v>Yes</v>
      </c>
      <c r="I1947" s="10" t="str">
        <f aca="false">IFERROR(INDEX(Section_Master!$G$2:$G$477,MATCH($E1947,Section_Master!$A$2:$A$477,0))&amp;"","")</f>
        <v>No</v>
      </c>
      <c r="J1947" s="10" t="s">
        <v>52</v>
      </c>
      <c r="K1947" s="8" t="s">
        <v>4589</v>
      </c>
    </row>
    <row r="1948" customFormat="false" ht="23.25" hidden="false" customHeight="true" outlineLevel="0" collapsed="false">
      <c r="A1948" s="10" t="s">
        <v>4592</v>
      </c>
      <c r="B1948" s="10" t="s">
        <v>45</v>
      </c>
      <c r="C1948" s="8" t="s">
        <v>4587</v>
      </c>
      <c r="D1948" s="8" t="s">
        <v>4593</v>
      </c>
      <c r="E1948" s="11" t="n">
        <v>325</v>
      </c>
      <c r="F1948" s="8" t="str">
        <f aca="false">IFERROR(INDEX(Section_Master!$D$2:$D$477,MATCH($E1948,Section_Master!$A$2:$A$477,0))&amp;"","")</f>
        <v>Imprisonment up to 5 years, or fine, or both</v>
      </c>
      <c r="G1948" s="10" t="str">
        <f aca="false">IFERROR(INDEX(Section_Master!$E$2:$E$477,MATCH($E1948,Section_Master!$A$2:$A$477,0))&amp;"","")</f>
        <v>Yes</v>
      </c>
      <c r="H1948" s="10" t="str">
        <f aca="false">IFERROR(INDEX(Section_Master!$F$2:$F$477,MATCH($E1948,Section_Master!$A$2:$A$477,0))&amp;"","")</f>
        <v>Yes</v>
      </c>
      <c r="I1948" s="10" t="str">
        <f aca="false">IFERROR(INDEX(Section_Master!$G$2:$G$477,MATCH($E1948,Section_Master!$A$2:$A$477,0))&amp;"","")</f>
        <v>No</v>
      </c>
      <c r="J1948" s="10" t="s">
        <v>55</v>
      </c>
      <c r="K1948" s="8" t="s">
        <v>4589</v>
      </c>
    </row>
    <row r="1949" customFormat="false" ht="34.5" hidden="false" customHeight="true" outlineLevel="0" collapsed="false">
      <c r="A1949" s="10" t="s">
        <v>4594</v>
      </c>
      <c r="B1949" s="10" t="s">
        <v>45</v>
      </c>
      <c r="C1949" s="8" t="s">
        <v>4587</v>
      </c>
      <c r="D1949" s="8" t="s">
        <v>4595</v>
      </c>
      <c r="E1949" s="11" t="n">
        <v>325</v>
      </c>
      <c r="F1949" s="8" t="str">
        <f aca="false">IFERROR(INDEX(Section_Master!$D$2:$D$477,MATCH($E1949,Section_Master!$A$2:$A$477,0))&amp;"","")</f>
        <v>Imprisonment up to 5 years, or fine, or both</v>
      </c>
      <c r="G1949" s="10" t="str">
        <f aca="false">IFERROR(INDEX(Section_Master!$E$2:$E$477,MATCH($E1949,Section_Master!$A$2:$A$477,0))&amp;"","")</f>
        <v>Yes</v>
      </c>
      <c r="H1949" s="10" t="str">
        <f aca="false">IFERROR(INDEX(Section_Master!$F$2:$F$477,MATCH($E1949,Section_Master!$A$2:$A$477,0))&amp;"","")</f>
        <v>Yes</v>
      </c>
      <c r="I1949" s="10" t="str">
        <f aca="false">IFERROR(INDEX(Section_Master!$G$2:$G$477,MATCH($E1949,Section_Master!$A$2:$A$477,0))&amp;"","")</f>
        <v>No</v>
      </c>
      <c r="J1949" s="10" t="s">
        <v>58</v>
      </c>
      <c r="K1949" s="8" t="s">
        <v>4589</v>
      </c>
    </row>
    <row r="1950" customFormat="false" ht="34.5" hidden="false" customHeight="true" outlineLevel="0" collapsed="false">
      <c r="A1950" s="10" t="s">
        <v>4596</v>
      </c>
      <c r="B1950" s="10" t="s">
        <v>45</v>
      </c>
      <c r="C1950" s="8" t="s">
        <v>4587</v>
      </c>
      <c r="D1950" s="8" t="s">
        <v>4597</v>
      </c>
      <c r="E1950" s="11" t="n">
        <v>325</v>
      </c>
      <c r="F1950" s="8" t="str">
        <f aca="false">IFERROR(INDEX(Section_Master!$D$2:$D$477,MATCH($E1950,Section_Master!$A$2:$A$477,0))&amp;"","")</f>
        <v>Imprisonment up to 5 years, or fine, or both</v>
      </c>
      <c r="G1950" s="10" t="str">
        <f aca="false">IFERROR(INDEX(Section_Master!$E$2:$E$477,MATCH($E1950,Section_Master!$A$2:$A$477,0))&amp;"","")</f>
        <v>Yes</v>
      </c>
      <c r="H1950" s="10" t="str">
        <f aca="false">IFERROR(INDEX(Section_Master!$F$2:$F$477,MATCH($E1950,Section_Master!$A$2:$A$477,0))&amp;"","")</f>
        <v>Yes</v>
      </c>
      <c r="I1950" s="10" t="str">
        <f aca="false">IFERROR(INDEX(Section_Master!$G$2:$G$477,MATCH($E1950,Section_Master!$A$2:$A$477,0))&amp;"","")</f>
        <v>No</v>
      </c>
      <c r="J1950" s="10" t="s">
        <v>61</v>
      </c>
      <c r="K1950" s="8" t="s">
        <v>4589</v>
      </c>
    </row>
    <row r="1951" customFormat="false" ht="34.5" hidden="false" customHeight="true" outlineLevel="0" collapsed="false">
      <c r="A1951" s="10" t="s">
        <v>4598</v>
      </c>
      <c r="B1951" s="10" t="s">
        <v>45</v>
      </c>
      <c r="C1951" s="8" t="s">
        <v>4587</v>
      </c>
      <c r="D1951" s="8" t="s">
        <v>4599</v>
      </c>
      <c r="E1951" s="11" t="n">
        <v>325</v>
      </c>
      <c r="F1951" s="8" t="str">
        <f aca="false">IFERROR(INDEX(Section_Master!$D$2:$D$477,MATCH($E1951,Section_Master!$A$2:$A$477,0))&amp;"","")</f>
        <v>Imprisonment up to 5 years, or fine, or both</v>
      </c>
      <c r="G1951" s="10" t="str">
        <f aca="false">IFERROR(INDEX(Section_Master!$E$2:$E$477,MATCH($E1951,Section_Master!$A$2:$A$477,0))&amp;"","")</f>
        <v>Yes</v>
      </c>
      <c r="H1951" s="10" t="str">
        <f aca="false">IFERROR(INDEX(Section_Master!$F$2:$F$477,MATCH($E1951,Section_Master!$A$2:$A$477,0))&amp;"","")</f>
        <v>Yes</v>
      </c>
      <c r="I1951" s="10" t="str">
        <f aca="false">IFERROR(INDEX(Section_Master!$G$2:$G$477,MATCH($E1951,Section_Master!$A$2:$A$477,0))&amp;"","")</f>
        <v>No</v>
      </c>
      <c r="J1951" s="10" t="s">
        <v>64</v>
      </c>
      <c r="K1951" s="8" t="s">
        <v>4589</v>
      </c>
    </row>
    <row r="1952" customFormat="false" ht="45.75" hidden="false" customHeight="true" outlineLevel="0" collapsed="false">
      <c r="A1952" s="10" t="s">
        <v>4600</v>
      </c>
      <c r="B1952" s="10" t="s">
        <v>45</v>
      </c>
      <c r="C1952" s="8" t="s">
        <v>4601</v>
      </c>
      <c r="D1952" s="8" t="s">
        <v>4602</v>
      </c>
      <c r="E1952" s="11" t="n">
        <v>326</v>
      </c>
      <c r="F1952" s="8" t="str">
        <f aca="false">IFERROR(INDEX(Section_Master!$D$2:$D$477,MATCH($E1952,Section_Master!$A$2:$A$477,0))&amp;"","")</f>
        <v>Imprisonment up to 5 years, 7 years, 10 years or life, depending on the nature of mischief [s.326]</v>
      </c>
      <c r="G1952" s="10" t="str">
        <f aca="false">IFERROR(INDEX(Section_Master!$E$2:$E$477,MATCH($E1952,Section_Master!$A$2:$A$477,0))&amp;"","")</f>
        <v>Varies by sub-section</v>
      </c>
      <c r="H1952" s="10" t="str">
        <f aca="false">IFERROR(INDEX(Section_Master!$F$2:$F$477,MATCH($E1952,Section_Master!$A$2:$A$477,0))&amp;"","")</f>
        <v>Varies by sub-section</v>
      </c>
      <c r="I1952" s="10" t="str">
        <f aca="false">IFERROR(INDEX(Section_Master!$G$2:$G$477,MATCH($E1952,Section_Master!$A$2:$A$477,0))&amp;"","")</f>
        <v>Varies by sub-section</v>
      </c>
      <c r="J1952" s="10" t="s">
        <v>48</v>
      </c>
      <c r="K1952" s="8" t="s">
        <v>4603</v>
      </c>
    </row>
    <row r="1953" customFormat="false" ht="45.75" hidden="false" customHeight="true" outlineLevel="0" collapsed="false">
      <c r="A1953" s="10" t="s">
        <v>4604</v>
      </c>
      <c r="B1953" s="10" t="s">
        <v>45</v>
      </c>
      <c r="C1953" s="8" t="s">
        <v>4601</v>
      </c>
      <c r="D1953" s="8" t="s">
        <v>4605</v>
      </c>
      <c r="E1953" s="11" t="n">
        <v>326</v>
      </c>
      <c r="F1953" s="8" t="str">
        <f aca="false">IFERROR(INDEX(Section_Master!$D$2:$D$477,MATCH($E1953,Section_Master!$A$2:$A$477,0))&amp;"","")</f>
        <v>Imprisonment up to 5 years, 7 years, 10 years or life, depending on the nature of mischief [s.326]</v>
      </c>
      <c r="G1953" s="10" t="str">
        <f aca="false">IFERROR(INDEX(Section_Master!$E$2:$E$477,MATCH($E1953,Section_Master!$A$2:$A$477,0))&amp;"","")</f>
        <v>Varies by sub-section</v>
      </c>
      <c r="H1953" s="10" t="str">
        <f aca="false">IFERROR(INDEX(Section_Master!$F$2:$F$477,MATCH($E1953,Section_Master!$A$2:$A$477,0))&amp;"","")</f>
        <v>Varies by sub-section</v>
      </c>
      <c r="I1953" s="10" t="str">
        <f aca="false">IFERROR(INDEX(Section_Master!$G$2:$G$477,MATCH($E1953,Section_Master!$A$2:$A$477,0))&amp;"","")</f>
        <v>Varies by sub-section</v>
      </c>
      <c r="J1953" s="10" t="s">
        <v>52</v>
      </c>
      <c r="K1953" s="8" t="s">
        <v>4603</v>
      </c>
    </row>
    <row r="1954" customFormat="false" ht="34.5" hidden="false" customHeight="true" outlineLevel="0" collapsed="false">
      <c r="A1954" s="10" t="s">
        <v>4606</v>
      </c>
      <c r="B1954" s="10" t="s">
        <v>45</v>
      </c>
      <c r="C1954" s="8" t="s">
        <v>4601</v>
      </c>
      <c r="D1954" s="8" t="s">
        <v>4607</v>
      </c>
      <c r="E1954" s="11" t="n">
        <v>326</v>
      </c>
      <c r="F1954" s="8" t="str">
        <f aca="false">IFERROR(INDEX(Section_Master!$D$2:$D$477,MATCH($E1954,Section_Master!$A$2:$A$477,0))&amp;"","")</f>
        <v>Imprisonment up to 5 years, 7 years, 10 years or life, depending on the nature of mischief [s.326]</v>
      </c>
      <c r="G1954" s="10" t="str">
        <f aca="false">IFERROR(INDEX(Section_Master!$E$2:$E$477,MATCH($E1954,Section_Master!$A$2:$A$477,0))&amp;"","")</f>
        <v>Varies by sub-section</v>
      </c>
      <c r="H1954" s="10" t="str">
        <f aca="false">IFERROR(INDEX(Section_Master!$F$2:$F$477,MATCH($E1954,Section_Master!$A$2:$A$477,0))&amp;"","")</f>
        <v>Varies by sub-section</v>
      </c>
      <c r="I1954" s="10" t="str">
        <f aca="false">IFERROR(INDEX(Section_Master!$G$2:$G$477,MATCH($E1954,Section_Master!$A$2:$A$477,0))&amp;"","")</f>
        <v>Varies by sub-section</v>
      </c>
      <c r="J1954" s="10" t="s">
        <v>55</v>
      </c>
      <c r="K1954" s="8" t="s">
        <v>4603</v>
      </c>
    </row>
    <row r="1955" customFormat="false" ht="34.5" hidden="false" customHeight="true" outlineLevel="0" collapsed="false">
      <c r="A1955" s="10" t="s">
        <v>4608</v>
      </c>
      <c r="B1955" s="10" t="s">
        <v>45</v>
      </c>
      <c r="C1955" s="8" t="s">
        <v>4601</v>
      </c>
      <c r="D1955" s="8" t="s">
        <v>4609</v>
      </c>
      <c r="E1955" s="11" t="n">
        <v>326</v>
      </c>
      <c r="F1955" s="8" t="str">
        <f aca="false">IFERROR(INDEX(Section_Master!$D$2:$D$477,MATCH($E1955,Section_Master!$A$2:$A$477,0))&amp;"","")</f>
        <v>Imprisonment up to 5 years, 7 years, 10 years or life, depending on the nature of mischief [s.326]</v>
      </c>
      <c r="G1955" s="10" t="str">
        <f aca="false">IFERROR(INDEX(Section_Master!$E$2:$E$477,MATCH($E1955,Section_Master!$A$2:$A$477,0))&amp;"","")</f>
        <v>Varies by sub-section</v>
      </c>
      <c r="H1955" s="10" t="str">
        <f aca="false">IFERROR(INDEX(Section_Master!$F$2:$F$477,MATCH($E1955,Section_Master!$A$2:$A$477,0))&amp;"","")</f>
        <v>Varies by sub-section</v>
      </c>
      <c r="I1955" s="10" t="str">
        <f aca="false">IFERROR(INDEX(Section_Master!$G$2:$G$477,MATCH($E1955,Section_Master!$A$2:$A$477,0))&amp;"","")</f>
        <v>Varies by sub-section</v>
      </c>
      <c r="J1955" s="10" t="s">
        <v>58</v>
      </c>
      <c r="K1955" s="8" t="s">
        <v>4603</v>
      </c>
    </row>
    <row r="1956" customFormat="false" ht="34.5" hidden="false" customHeight="true" outlineLevel="0" collapsed="false">
      <c r="A1956" s="10" t="s">
        <v>4610</v>
      </c>
      <c r="B1956" s="10" t="s">
        <v>45</v>
      </c>
      <c r="C1956" s="8" t="s">
        <v>4601</v>
      </c>
      <c r="D1956" s="8" t="s">
        <v>4611</v>
      </c>
      <c r="E1956" s="11" t="n">
        <v>326</v>
      </c>
      <c r="F1956" s="8" t="str">
        <f aca="false">IFERROR(INDEX(Section_Master!$D$2:$D$477,MATCH($E1956,Section_Master!$A$2:$A$477,0))&amp;"","")</f>
        <v>Imprisonment up to 5 years, 7 years, 10 years or life, depending on the nature of mischief [s.326]</v>
      </c>
      <c r="G1956" s="10" t="str">
        <f aca="false">IFERROR(INDEX(Section_Master!$E$2:$E$477,MATCH($E1956,Section_Master!$A$2:$A$477,0))&amp;"","")</f>
        <v>Varies by sub-section</v>
      </c>
      <c r="H1956" s="10" t="str">
        <f aca="false">IFERROR(INDEX(Section_Master!$F$2:$F$477,MATCH($E1956,Section_Master!$A$2:$A$477,0))&amp;"","")</f>
        <v>Varies by sub-section</v>
      </c>
      <c r="I1956" s="10" t="str">
        <f aca="false">IFERROR(INDEX(Section_Master!$G$2:$G$477,MATCH($E1956,Section_Master!$A$2:$A$477,0))&amp;"","")</f>
        <v>Varies by sub-section</v>
      </c>
      <c r="J1956" s="10" t="s">
        <v>61</v>
      </c>
      <c r="K1956" s="8" t="s">
        <v>4603</v>
      </c>
    </row>
    <row r="1957" customFormat="false" ht="34.5" hidden="false" customHeight="true" outlineLevel="0" collapsed="false">
      <c r="A1957" s="10" t="s">
        <v>4612</v>
      </c>
      <c r="B1957" s="10" t="s">
        <v>45</v>
      </c>
      <c r="C1957" s="8" t="s">
        <v>4601</v>
      </c>
      <c r="D1957" s="8" t="s">
        <v>4613</v>
      </c>
      <c r="E1957" s="11" t="n">
        <v>326</v>
      </c>
      <c r="F1957" s="8" t="str">
        <f aca="false">IFERROR(INDEX(Section_Master!$D$2:$D$477,MATCH($E1957,Section_Master!$A$2:$A$477,0))&amp;"","")</f>
        <v>Imprisonment up to 5 years, 7 years, 10 years or life, depending on the nature of mischief [s.326]</v>
      </c>
      <c r="G1957" s="10" t="str">
        <f aca="false">IFERROR(INDEX(Section_Master!$E$2:$E$477,MATCH($E1957,Section_Master!$A$2:$A$477,0))&amp;"","")</f>
        <v>Varies by sub-section</v>
      </c>
      <c r="H1957" s="10" t="str">
        <f aca="false">IFERROR(INDEX(Section_Master!$F$2:$F$477,MATCH($E1957,Section_Master!$A$2:$A$477,0))&amp;"","")</f>
        <v>Varies by sub-section</v>
      </c>
      <c r="I1957" s="10" t="str">
        <f aca="false">IFERROR(INDEX(Section_Master!$G$2:$G$477,MATCH($E1957,Section_Master!$A$2:$A$477,0))&amp;"","")</f>
        <v>Varies by sub-section</v>
      </c>
      <c r="J1957" s="10" t="s">
        <v>64</v>
      </c>
      <c r="K1957" s="8" t="s">
        <v>4603</v>
      </c>
    </row>
    <row r="1958" customFormat="false" ht="34.5" hidden="false" customHeight="true" outlineLevel="0" collapsed="false">
      <c r="A1958" s="10" t="s">
        <v>4614</v>
      </c>
      <c r="B1958" s="10" t="s">
        <v>45</v>
      </c>
      <c r="C1958" s="8" t="s">
        <v>4615</v>
      </c>
      <c r="D1958" s="8" t="s">
        <v>4616</v>
      </c>
      <c r="E1958" s="11" t="n">
        <v>327</v>
      </c>
      <c r="F1958" s="8" t="str">
        <f aca="false">IFERROR(INDEX(Section_Master!$D$2:$D$477,MATCH($E1958,Section_Master!$A$2:$A$477,0))&amp;"","")</f>
        <v>Imprisonment for life, or up to 10 years, and fine</v>
      </c>
      <c r="G1958" s="10" t="str">
        <f aca="false">IFERROR(INDEX(Section_Master!$E$2:$E$477,MATCH($E1958,Section_Master!$A$2:$A$477,0))&amp;"","")</f>
        <v>Yes</v>
      </c>
      <c r="H1958" s="10" t="str">
        <f aca="false">IFERROR(INDEX(Section_Master!$F$2:$F$477,MATCH($E1958,Section_Master!$A$2:$A$477,0))&amp;"","")</f>
        <v>No</v>
      </c>
      <c r="I1958" s="10" t="str">
        <f aca="false">IFERROR(INDEX(Section_Master!$G$2:$G$477,MATCH($E1958,Section_Master!$A$2:$A$477,0))&amp;"","")</f>
        <v>No</v>
      </c>
      <c r="J1958" s="10" t="s">
        <v>48</v>
      </c>
      <c r="K1958" s="8" t="s">
        <v>4617</v>
      </c>
    </row>
    <row r="1959" customFormat="false" ht="45.75" hidden="false" customHeight="true" outlineLevel="0" collapsed="false">
      <c r="A1959" s="10" t="s">
        <v>4618</v>
      </c>
      <c r="B1959" s="10" t="s">
        <v>45</v>
      </c>
      <c r="C1959" s="8" t="s">
        <v>4615</v>
      </c>
      <c r="D1959" s="8" t="s">
        <v>4619</v>
      </c>
      <c r="E1959" s="11" t="n">
        <v>327</v>
      </c>
      <c r="F1959" s="8" t="str">
        <f aca="false">IFERROR(INDEX(Section_Master!$D$2:$D$477,MATCH($E1959,Section_Master!$A$2:$A$477,0))&amp;"","")</f>
        <v>Imprisonment for life, or up to 10 years, and fine</v>
      </c>
      <c r="G1959" s="10" t="str">
        <f aca="false">IFERROR(INDEX(Section_Master!$E$2:$E$477,MATCH($E1959,Section_Master!$A$2:$A$477,0))&amp;"","")</f>
        <v>Yes</v>
      </c>
      <c r="H1959" s="10" t="str">
        <f aca="false">IFERROR(INDEX(Section_Master!$F$2:$F$477,MATCH($E1959,Section_Master!$A$2:$A$477,0))&amp;"","")</f>
        <v>No</v>
      </c>
      <c r="I1959" s="10" t="str">
        <f aca="false">IFERROR(INDEX(Section_Master!$G$2:$G$477,MATCH($E1959,Section_Master!$A$2:$A$477,0))&amp;"","")</f>
        <v>No</v>
      </c>
      <c r="J1959" s="10" t="s">
        <v>52</v>
      </c>
      <c r="K1959" s="8" t="s">
        <v>4617</v>
      </c>
    </row>
    <row r="1960" customFormat="false" ht="34.5" hidden="false" customHeight="true" outlineLevel="0" collapsed="false">
      <c r="A1960" s="10" t="s">
        <v>4620</v>
      </c>
      <c r="B1960" s="10" t="s">
        <v>45</v>
      </c>
      <c r="C1960" s="8" t="s">
        <v>4615</v>
      </c>
      <c r="D1960" s="8" t="s">
        <v>4621</v>
      </c>
      <c r="E1960" s="11" t="n">
        <v>327</v>
      </c>
      <c r="F1960" s="8" t="str">
        <f aca="false">IFERROR(INDEX(Section_Master!$D$2:$D$477,MATCH($E1960,Section_Master!$A$2:$A$477,0))&amp;"","")</f>
        <v>Imprisonment for life, or up to 10 years, and fine</v>
      </c>
      <c r="G1960" s="10" t="str">
        <f aca="false">IFERROR(INDEX(Section_Master!$E$2:$E$477,MATCH($E1960,Section_Master!$A$2:$A$477,0))&amp;"","")</f>
        <v>Yes</v>
      </c>
      <c r="H1960" s="10" t="str">
        <f aca="false">IFERROR(INDEX(Section_Master!$F$2:$F$477,MATCH($E1960,Section_Master!$A$2:$A$477,0))&amp;"","")</f>
        <v>No</v>
      </c>
      <c r="I1960" s="10" t="str">
        <f aca="false">IFERROR(INDEX(Section_Master!$G$2:$G$477,MATCH($E1960,Section_Master!$A$2:$A$477,0))&amp;"","")</f>
        <v>No</v>
      </c>
      <c r="J1960" s="10" t="s">
        <v>55</v>
      </c>
      <c r="K1960" s="8" t="s">
        <v>4617</v>
      </c>
    </row>
    <row r="1961" customFormat="false" ht="34.5" hidden="false" customHeight="true" outlineLevel="0" collapsed="false">
      <c r="A1961" s="10" t="s">
        <v>4622</v>
      </c>
      <c r="B1961" s="10" t="s">
        <v>45</v>
      </c>
      <c r="C1961" s="8" t="s">
        <v>4615</v>
      </c>
      <c r="D1961" s="8" t="s">
        <v>4623</v>
      </c>
      <c r="E1961" s="11" t="n">
        <v>327</v>
      </c>
      <c r="F1961" s="8" t="str">
        <f aca="false">IFERROR(INDEX(Section_Master!$D$2:$D$477,MATCH($E1961,Section_Master!$A$2:$A$477,0))&amp;"","")</f>
        <v>Imprisonment for life, or up to 10 years, and fine</v>
      </c>
      <c r="G1961" s="10" t="str">
        <f aca="false">IFERROR(INDEX(Section_Master!$E$2:$E$477,MATCH($E1961,Section_Master!$A$2:$A$477,0))&amp;"","")</f>
        <v>Yes</v>
      </c>
      <c r="H1961" s="10" t="str">
        <f aca="false">IFERROR(INDEX(Section_Master!$F$2:$F$477,MATCH($E1961,Section_Master!$A$2:$A$477,0))&amp;"","")</f>
        <v>No</v>
      </c>
      <c r="I1961" s="10" t="str">
        <f aca="false">IFERROR(INDEX(Section_Master!$G$2:$G$477,MATCH($E1961,Section_Master!$A$2:$A$477,0))&amp;"","")</f>
        <v>No</v>
      </c>
      <c r="J1961" s="10" t="s">
        <v>58</v>
      </c>
      <c r="K1961" s="8" t="s">
        <v>4617</v>
      </c>
    </row>
    <row r="1962" customFormat="false" ht="34.5" hidden="false" customHeight="true" outlineLevel="0" collapsed="false">
      <c r="A1962" s="10" t="s">
        <v>4624</v>
      </c>
      <c r="B1962" s="10" t="s">
        <v>45</v>
      </c>
      <c r="C1962" s="8" t="s">
        <v>4615</v>
      </c>
      <c r="D1962" s="8" t="s">
        <v>4625</v>
      </c>
      <c r="E1962" s="11" t="n">
        <v>327</v>
      </c>
      <c r="F1962" s="8" t="str">
        <f aca="false">IFERROR(INDEX(Section_Master!$D$2:$D$477,MATCH($E1962,Section_Master!$A$2:$A$477,0))&amp;"","")</f>
        <v>Imprisonment for life, or up to 10 years, and fine</v>
      </c>
      <c r="G1962" s="10" t="str">
        <f aca="false">IFERROR(INDEX(Section_Master!$E$2:$E$477,MATCH($E1962,Section_Master!$A$2:$A$477,0))&amp;"","")</f>
        <v>Yes</v>
      </c>
      <c r="H1962" s="10" t="str">
        <f aca="false">IFERROR(INDEX(Section_Master!$F$2:$F$477,MATCH($E1962,Section_Master!$A$2:$A$477,0))&amp;"","")</f>
        <v>No</v>
      </c>
      <c r="I1962" s="10" t="str">
        <f aca="false">IFERROR(INDEX(Section_Master!$G$2:$G$477,MATCH($E1962,Section_Master!$A$2:$A$477,0))&amp;"","")</f>
        <v>No</v>
      </c>
      <c r="J1962" s="10" t="s">
        <v>61</v>
      </c>
      <c r="K1962" s="8" t="s">
        <v>4617</v>
      </c>
    </row>
    <row r="1963" customFormat="false" ht="34.5" hidden="false" customHeight="true" outlineLevel="0" collapsed="false">
      <c r="A1963" s="10" t="s">
        <v>4626</v>
      </c>
      <c r="B1963" s="10" t="s">
        <v>45</v>
      </c>
      <c r="C1963" s="8" t="s">
        <v>4615</v>
      </c>
      <c r="D1963" s="8" t="s">
        <v>4627</v>
      </c>
      <c r="E1963" s="11" t="n">
        <v>327</v>
      </c>
      <c r="F1963" s="8" t="str">
        <f aca="false">IFERROR(INDEX(Section_Master!$D$2:$D$477,MATCH($E1963,Section_Master!$A$2:$A$477,0))&amp;"","")</f>
        <v>Imprisonment for life, or up to 10 years, and fine</v>
      </c>
      <c r="G1963" s="10" t="str">
        <f aca="false">IFERROR(INDEX(Section_Master!$E$2:$E$477,MATCH($E1963,Section_Master!$A$2:$A$477,0))&amp;"","")</f>
        <v>Yes</v>
      </c>
      <c r="H1963" s="10" t="str">
        <f aca="false">IFERROR(INDEX(Section_Master!$F$2:$F$477,MATCH($E1963,Section_Master!$A$2:$A$477,0))&amp;"","")</f>
        <v>No</v>
      </c>
      <c r="I1963" s="10" t="str">
        <f aca="false">IFERROR(INDEX(Section_Master!$G$2:$G$477,MATCH($E1963,Section_Master!$A$2:$A$477,0))&amp;"","")</f>
        <v>No</v>
      </c>
      <c r="J1963" s="10" t="s">
        <v>64</v>
      </c>
      <c r="K1963" s="8" t="s">
        <v>4617</v>
      </c>
    </row>
    <row r="1964" customFormat="false" ht="34.5" hidden="false" customHeight="true" outlineLevel="0" collapsed="false">
      <c r="A1964" s="10" t="s">
        <v>4628</v>
      </c>
      <c r="B1964" s="10" t="s">
        <v>45</v>
      </c>
      <c r="C1964" s="8" t="s">
        <v>4629</v>
      </c>
      <c r="D1964" s="8" t="s">
        <v>4630</v>
      </c>
      <c r="E1964" s="11" t="n">
        <v>328</v>
      </c>
      <c r="F1964" s="8" t="str">
        <f aca="false">IFERROR(INDEX(Section_Master!$D$2:$D$477,MATCH($E1964,Section_Master!$A$2:$A$477,0))&amp;"","")</f>
        <v>Imprisonment up to 10 years and fine</v>
      </c>
      <c r="G1964" s="10" t="str">
        <f aca="false">IFERROR(INDEX(Section_Master!$E$2:$E$477,MATCH($E1964,Section_Master!$A$2:$A$477,0))&amp;"","")</f>
        <v>Yes</v>
      </c>
      <c r="H1964" s="10" t="str">
        <f aca="false">IFERROR(INDEX(Section_Master!$F$2:$F$477,MATCH($E1964,Section_Master!$A$2:$A$477,0))&amp;"","")</f>
        <v>No</v>
      </c>
      <c r="I1964" s="10" t="str">
        <f aca="false">IFERROR(INDEX(Section_Master!$G$2:$G$477,MATCH($E1964,Section_Master!$A$2:$A$477,0))&amp;"","")</f>
        <v>No</v>
      </c>
      <c r="J1964" s="10" t="s">
        <v>48</v>
      </c>
      <c r="K1964" s="8" t="s">
        <v>4631</v>
      </c>
    </row>
    <row r="1965" customFormat="false" ht="34.5" hidden="false" customHeight="true" outlineLevel="0" collapsed="false">
      <c r="A1965" s="10" t="s">
        <v>4632</v>
      </c>
      <c r="B1965" s="10" t="s">
        <v>45</v>
      </c>
      <c r="C1965" s="8" t="s">
        <v>4629</v>
      </c>
      <c r="D1965" s="8" t="s">
        <v>4633</v>
      </c>
      <c r="E1965" s="11" t="n">
        <v>328</v>
      </c>
      <c r="F1965" s="8" t="str">
        <f aca="false">IFERROR(INDEX(Section_Master!$D$2:$D$477,MATCH($E1965,Section_Master!$A$2:$A$477,0))&amp;"","")</f>
        <v>Imprisonment up to 10 years and fine</v>
      </c>
      <c r="G1965" s="10" t="str">
        <f aca="false">IFERROR(INDEX(Section_Master!$E$2:$E$477,MATCH($E1965,Section_Master!$A$2:$A$477,0))&amp;"","")</f>
        <v>Yes</v>
      </c>
      <c r="H1965" s="10" t="str">
        <f aca="false">IFERROR(INDEX(Section_Master!$F$2:$F$477,MATCH($E1965,Section_Master!$A$2:$A$477,0))&amp;"","")</f>
        <v>No</v>
      </c>
      <c r="I1965" s="10" t="str">
        <f aca="false">IFERROR(INDEX(Section_Master!$G$2:$G$477,MATCH($E1965,Section_Master!$A$2:$A$477,0))&amp;"","")</f>
        <v>No</v>
      </c>
      <c r="J1965" s="10" t="s">
        <v>52</v>
      </c>
      <c r="K1965" s="8" t="s">
        <v>4631</v>
      </c>
    </row>
    <row r="1966" customFormat="false" ht="34.5" hidden="false" customHeight="true" outlineLevel="0" collapsed="false">
      <c r="A1966" s="10" t="s">
        <v>4634</v>
      </c>
      <c r="B1966" s="10" t="s">
        <v>45</v>
      </c>
      <c r="C1966" s="8" t="s">
        <v>4629</v>
      </c>
      <c r="D1966" s="8" t="s">
        <v>4635</v>
      </c>
      <c r="E1966" s="11" t="n">
        <v>328</v>
      </c>
      <c r="F1966" s="8" t="str">
        <f aca="false">IFERROR(INDEX(Section_Master!$D$2:$D$477,MATCH($E1966,Section_Master!$A$2:$A$477,0))&amp;"","")</f>
        <v>Imprisonment up to 10 years and fine</v>
      </c>
      <c r="G1966" s="10" t="str">
        <f aca="false">IFERROR(INDEX(Section_Master!$E$2:$E$477,MATCH($E1966,Section_Master!$A$2:$A$477,0))&amp;"","")</f>
        <v>Yes</v>
      </c>
      <c r="H1966" s="10" t="str">
        <f aca="false">IFERROR(INDEX(Section_Master!$F$2:$F$477,MATCH($E1966,Section_Master!$A$2:$A$477,0))&amp;"","")</f>
        <v>No</v>
      </c>
      <c r="I1966" s="10" t="str">
        <f aca="false">IFERROR(INDEX(Section_Master!$G$2:$G$477,MATCH($E1966,Section_Master!$A$2:$A$477,0))&amp;"","")</f>
        <v>No</v>
      </c>
      <c r="J1966" s="10" t="s">
        <v>55</v>
      </c>
      <c r="K1966" s="8" t="s">
        <v>4631</v>
      </c>
    </row>
    <row r="1967" customFormat="false" ht="34.5" hidden="false" customHeight="true" outlineLevel="0" collapsed="false">
      <c r="A1967" s="10" t="s">
        <v>4636</v>
      </c>
      <c r="B1967" s="10" t="s">
        <v>45</v>
      </c>
      <c r="C1967" s="8" t="s">
        <v>4629</v>
      </c>
      <c r="D1967" s="8" t="s">
        <v>4637</v>
      </c>
      <c r="E1967" s="11" t="n">
        <v>328</v>
      </c>
      <c r="F1967" s="8" t="str">
        <f aca="false">IFERROR(INDEX(Section_Master!$D$2:$D$477,MATCH($E1967,Section_Master!$A$2:$A$477,0))&amp;"","")</f>
        <v>Imprisonment up to 10 years and fine</v>
      </c>
      <c r="G1967" s="10" t="str">
        <f aca="false">IFERROR(INDEX(Section_Master!$E$2:$E$477,MATCH($E1967,Section_Master!$A$2:$A$477,0))&amp;"","")</f>
        <v>Yes</v>
      </c>
      <c r="H1967" s="10" t="str">
        <f aca="false">IFERROR(INDEX(Section_Master!$F$2:$F$477,MATCH($E1967,Section_Master!$A$2:$A$477,0))&amp;"","")</f>
        <v>No</v>
      </c>
      <c r="I1967" s="10" t="str">
        <f aca="false">IFERROR(INDEX(Section_Master!$G$2:$G$477,MATCH($E1967,Section_Master!$A$2:$A$477,0))&amp;"","")</f>
        <v>No</v>
      </c>
      <c r="J1967" s="10" t="s">
        <v>58</v>
      </c>
      <c r="K1967" s="8" t="s">
        <v>4631</v>
      </c>
    </row>
    <row r="1968" customFormat="false" ht="34.5" hidden="false" customHeight="true" outlineLevel="0" collapsed="false">
      <c r="A1968" s="10" t="s">
        <v>4638</v>
      </c>
      <c r="B1968" s="10" t="s">
        <v>45</v>
      </c>
      <c r="C1968" s="8" t="s">
        <v>4629</v>
      </c>
      <c r="D1968" s="8" t="s">
        <v>4639</v>
      </c>
      <c r="E1968" s="11" t="n">
        <v>328</v>
      </c>
      <c r="F1968" s="8" t="str">
        <f aca="false">IFERROR(INDEX(Section_Master!$D$2:$D$477,MATCH($E1968,Section_Master!$A$2:$A$477,0))&amp;"","")</f>
        <v>Imprisonment up to 10 years and fine</v>
      </c>
      <c r="G1968" s="10" t="str">
        <f aca="false">IFERROR(INDEX(Section_Master!$E$2:$E$477,MATCH($E1968,Section_Master!$A$2:$A$477,0))&amp;"","")</f>
        <v>Yes</v>
      </c>
      <c r="H1968" s="10" t="str">
        <f aca="false">IFERROR(INDEX(Section_Master!$F$2:$F$477,MATCH($E1968,Section_Master!$A$2:$A$477,0))&amp;"","")</f>
        <v>No</v>
      </c>
      <c r="I1968" s="10" t="str">
        <f aca="false">IFERROR(INDEX(Section_Master!$G$2:$G$477,MATCH($E1968,Section_Master!$A$2:$A$477,0))&amp;"","")</f>
        <v>No</v>
      </c>
      <c r="J1968" s="10" t="s">
        <v>61</v>
      </c>
      <c r="K1968" s="8" t="s">
        <v>4631</v>
      </c>
    </row>
    <row r="1969" customFormat="false" ht="34.5" hidden="false" customHeight="true" outlineLevel="0" collapsed="false">
      <c r="A1969" s="10" t="s">
        <v>4640</v>
      </c>
      <c r="B1969" s="10" t="s">
        <v>45</v>
      </c>
      <c r="C1969" s="8" t="s">
        <v>4629</v>
      </c>
      <c r="D1969" s="8" t="s">
        <v>4641</v>
      </c>
      <c r="E1969" s="11" t="n">
        <v>328</v>
      </c>
      <c r="F1969" s="8" t="str">
        <f aca="false">IFERROR(INDEX(Section_Master!$D$2:$D$477,MATCH($E1969,Section_Master!$A$2:$A$477,0))&amp;"","")</f>
        <v>Imprisonment up to 10 years and fine</v>
      </c>
      <c r="G1969" s="10" t="str">
        <f aca="false">IFERROR(INDEX(Section_Master!$E$2:$E$477,MATCH($E1969,Section_Master!$A$2:$A$477,0))&amp;"","")</f>
        <v>Yes</v>
      </c>
      <c r="H1969" s="10" t="str">
        <f aca="false">IFERROR(INDEX(Section_Master!$F$2:$F$477,MATCH($E1969,Section_Master!$A$2:$A$477,0))&amp;"","")</f>
        <v>No</v>
      </c>
      <c r="I1969" s="10" t="str">
        <f aca="false">IFERROR(INDEX(Section_Master!$G$2:$G$477,MATCH($E1969,Section_Master!$A$2:$A$477,0))&amp;"","")</f>
        <v>No</v>
      </c>
      <c r="J1969" s="10" t="s">
        <v>64</v>
      </c>
      <c r="K1969" s="8" t="s">
        <v>4631</v>
      </c>
    </row>
    <row r="1970" customFormat="false" ht="45.75" hidden="false" customHeight="true" outlineLevel="0" collapsed="false">
      <c r="A1970" s="10" t="s">
        <v>4642</v>
      </c>
      <c r="B1970" s="10" t="s">
        <v>45</v>
      </c>
      <c r="C1970" s="8" t="s">
        <v>4643</v>
      </c>
      <c r="D1970" s="8" t="s">
        <v>4644</v>
      </c>
      <c r="E1970" s="11" t="n">
        <v>329</v>
      </c>
      <c r="F1970" s="8" t="str">
        <f aca="false">IFERROR(INDEX(Section_Master!$D$2:$D$477,MATCH($E1970,Section_Master!$A$2:$A$477,0))&amp;"","")</f>
        <v>Imprisonment up to 3 months, or fine, or both [s.329(3)]; up to 1 year, or fine, or both for house-trespass [s.329(4)]</v>
      </c>
      <c r="G1970" s="10" t="str">
        <f aca="false">IFERROR(INDEX(Section_Master!$E$2:$E$477,MATCH($E1970,Section_Master!$A$2:$A$477,0))&amp;"","")</f>
        <v>No</v>
      </c>
      <c r="H1970" s="10" t="str">
        <f aca="false">IFERROR(INDEX(Section_Master!$F$2:$F$477,MATCH($E1970,Section_Master!$A$2:$A$477,0))&amp;"","")</f>
        <v>Yes</v>
      </c>
      <c r="I1970" s="10" t="str">
        <f aca="false">IFERROR(INDEX(Section_Master!$G$2:$G$477,MATCH($E1970,Section_Master!$A$2:$A$477,0))&amp;"","")</f>
        <v>Yes</v>
      </c>
      <c r="J1970" s="10" t="s">
        <v>48</v>
      </c>
      <c r="K1970" s="8" t="s">
        <v>4645</v>
      </c>
    </row>
    <row r="1971" customFormat="false" ht="45.75" hidden="false" customHeight="true" outlineLevel="0" collapsed="false">
      <c r="A1971" s="10" t="s">
        <v>4646</v>
      </c>
      <c r="B1971" s="10" t="s">
        <v>45</v>
      </c>
      <c r="C1971" s="8" t="s">
        <v>4643</v>
      </c>
      <c r="D1971" s="8" t="s">
        <v>4647</v>
      </c>
      <c r="E1971" s="11" t="n">
        <v>329</v>
      </c>
      <c r="F1971" s="8" t="str">
        <f aca="false">IFERROR(INDEX(Section_Master!$D$2:$D$477,MATCH($E1971,Section_Master!$A$2:$A$477,0))&amp;"","")</f>
        <v>Imprisonment up to 3 months, or fine, or both [s.329(3)]; up to 1 year, or fine, or both for house-trespass [s.329(4)]</v>
      </c>
      <c r="G1971" s="10" t="str">
        <f aca="false">IFERROR(INDEX(Section_Master!$E$2:$E$477,MATCH($E1971,Section_Master!$A$2:$A$477,0))&amp;"","")</f>
        <v>No</v>
      </c>
      <c r="H1971" s="10" t="str">
        <f aca="false">IFERROR(INDEX(Section_Master!$F$2:$F$477,MATCH($E1971,Section_Master!$A$2:$A$477,0))&amp;"","")</f>
        <v>Yes</v>
      </c>
      <c r="I1971" s="10" t="str">
        <f aca="false">IFERROR(INDEX(Section_Master!$G$2:$G$477,MATCH($E1971,Section_Master!$A$2:$A$477,0))&amp;"","")</f>
        <v>Yes</v>
      </c>
      <c r="J1971" s="10" t="s">
        <v>52</v>
      </c>
      <c r="K1971" s="8" t="s">
        <v>4645</v>
      </c>
    </row>
    <row r="1972" customFormat="false" ht="34.5" hidden="false" customHeight="true" outlineLevel="0" collapsed="false">
      <c r="A1972" s="10" t="s">
        <v>4648</v>
      </c>
      <c r="B1972" s="10" t="s">
        <v>45</v>
      </c>
      <c r="C1972" s="8" t="s">
        <v>4643</v>
      </c>
      <c r="D1972" s="8" t="s">
        <v>4649</v>
      </c>
      <c r="E1972" s="11" t="n">
        <v>329</v>
      </c>
      <c r="F1972" s="8" t="str">
        <f aca="false">IFERROR(INDEX(Section_Master!$D$2:$D$477,MATCH($E1972,Section_Master!$A$2:$A$477,0))&amp;"","")</f>
        <v>Imprisonment up to 3 months, or fine, or both [s.329(3)]; up to 1 year, or fine, or both for house-trespass [s.329(4)]</v>
      </c>
      <c r="G1972" s="10" t="str">
        <f aca="false">IFERROR(INDEX(Section_Master!$E$2:$E$477,MATCH($E1972,Section_Master!$A$2:$A$477,0))&amp;"","")</f>
        <v>No</v>
      </c>
      <c r="H1972" s="10" t="str">
        <f aca="false">IFERROR(INDEX(Section_Master!$F$2:$F$477,MATCH($E1972,Section_Master!$A$2:$A$477,0))&amp;"","")</f>
        <v>Yes</v>
      </c>
      <c r="I1972" s="10" t="str">
        <f aca="false">IFERROR(INDEX(Section_Master!$G$2:$G$477,MATCH($E1972,Section_Master!$A$2:$A$477,0))&amp;"","")</f>
        <v>Yes</v>
      </c>
      <c r="J1972" s="10" t="s">
        <v>55</v>
      </c>
      <c r="K1972" s="8" t="s">
        <v>4645</v>
      </c>
    </row>
    <row r="1973" customFormat="false" ht="34.5" hidden="false" customHeight="true" outlineLevel="0" collapsed="false">
      <c r="A1973" s="10" t="s">
        <v>4650</v>
      </c>
      <c r="B1973" s="10" t="s">
        <v>45</v>
      </c>
      <c r="C1973" s="8" t="s">
        <v>4643</v>
      </c>
      <c r="D1973" s="8" t="s">
        <v>4651</v>
      </c>
      <c r="E1973" s="11" t="n">
        <v>329</v>
      </c>
      <c r="F1973" s="8" t="str">
        <f aca="false">IFERROR(INDEX(Section_Master!$D$2:$D$477,MATCH($E1973,Section_Master!$A$2:$A$477,0))&amp;"","")</f>
        <v>Imprisonment up to 3 months, or fine, or both [s.329(3)]; up to 1 year, or fine, or both for house-trespass [s.329(4)]</v>
      </c>
      <c r="G1973" s="10" t="str">
        <f aca="false">IFERROR(INDEX(Section_Master!$E$2:$E$477,MATCH($E1973,Section_Master!$A$2:$A$477,0))&amp;"","")</f>
        <v>No</v>
      </c>
      <c r="H1973" s="10" t="str">
        <f aca="false">IFERROR(INDEX(Section_Master!$F$2:$F$477,MATCH($E1973,Section_Master!$A$2:$A$477,0))&amp;"","")</f>
        <v>Yes</v>
      </c>
      <c r="I1973" s="10" t="str">
        <f aca="false">IFERROR(INDEX(Section_Master!$G$2:$G$477,MATCH($E1973,Section_Master!$A$2:$A$477,0))&amp;"","")</f>
        <v>Yes</v>
      </c>
      <c r="J1973" s="10" t="s">
        <v>58</v>
      </c>
      <c r="K1973" s="8" t="s">
        <v>4645</v>
      </c>
    </row>
    <row r="1974" customFormat="false" ht="23.25" hidden="false" customHeight="true" outlineLevel="0" collapsed="false">
      <c r="A1974" s="10" t="s">
        <v>4652</v>
      </c>
      <c r="B1974" s="10" t="s">
        <v>45</v>
      </c>
      <c r="C1974" s="8" t="s">
        <v>4643</v>
      </c>
      <c r="D1974" s="8" t="s">
        <v>4653</v>
      </c>
      <c r="E1974" s="11" t="n">
        <v>329</v>
      </c>
      <c r="F1974" s="8" t="str">
        <f aca="false">IFERROR(INDEX(Section_Master!$D$2:$D$477,MATCH($E1974,Section_Master!$A$2:$A$477,0))&amp;"","")</f>
        <v>Imprisonment up to 3 months, or fine, or both [s.329(3)]; up to 1 year, or fine, or both for house-trespass [s.329(4)]</v>
      </c>
      <c r="G1974" s="10" t="str">
        <f aca="false">IFERROR(INDEX(Section_Master!$E$2:$E$477,MATCH($E1974,Section_Master!$A$2:$A$477,0))&amp;"","")</f>
        <v>No</v>
      </c>
      <c r="H1974" s="10" t="str">
        <f aca="false">IFERROR(INDEX(Section_Master!$F$2:$F$477,MATCH($E1974,Section_Master!$A$2:$A$477,0))&amp;"","")</f>
        <v>Yes</v>
      </c>
      <c r="I1974" s="10" t="str">
        <f aca="false">IFERROR(INDEX(Section_Master!$G$2:$G$477,MATCH($E1974,Section_Master!$A$2:$A$477,0))&amp;"","")</f>
        <v>Yes</v>
      </c>
      <c r="J1974" s="10" t="s">
        <v>61</v>
      </c>
      <c r="K1974" s="8" t="s">
        <v>4645</v>
      </c>
    </row>
    <row r="1975" customFormat="false" ht="34.5" hidden="false" customHeight="true" outlineLevel="0" collapsed="false">
      <c r="A1975" s="10" t="s">
        <v>4654</v>
      </c>
      <c r="B1975" s="10" t="s">
        <v>45</v>
      </c>
      <c r="C1975" s="8" t="s">
        <v>4643</v>
      </c>
      <c r="D1975" s="8" t="s">
        <v>4655</v>
      </c>
      <c r="E1975" s="11" t="n">
        <v>329</v>
      </c>
      <c r="F1975" s="8" t="str">
        <f aca="false">IFERROR(INDEX(Section_Master!$D$2:$D$477,MATCH($E1975,Section_Master!$A$2:$A$477,0))&amp;"","")</f>
        <v>Imprisonment up to 3 months, or fine, or both [s.329(3)]; up to 1 year, or fine, or both for house-trespass [s.329(4)]</v>
      </c>
      <c r="G1975" s="10" t="str">
        <f aca="false">IFERROR(INDEX(Section_Master!$E$2:$E$477,MATCH($E1975,Section_Master!$A$2:$A$477,0))&amp;"","")</f>
        <v>No</v>
      </c>
      <c r="H1975" s="10" t="str">
        <f aca="false">IFERROR(INDEX(Section_Master!$F$2:$F$477,MATCH($E1975,Section_Master!$A$2:$A$477,0))&amp;"","")</f>
        <v>Yes</v>
      </c>
      <c r="I1975" s="10" t="str">
        <f aca="false">IFERROR(INDEX(Section_Master!$G$2:$G$477,MATCH($E1975,Section_Master!$A$2:$A$477,0))&amp;"","")</f>
        <v>Yes</v>
      </c>
      <c r="J1975" s="10" t="s">
        <v>64</v>
      </c>
      <c r="K1975" s="8" t="s">
        <v>4645</v>
      </c>
    </row>
    <row r="1976" customFormat="false" ht="34.5" hidden="false" customHeight="true" outlineLevel="0" collapsed="false">
      <c r="A1976" s="10" t="s">
        <v>4656</v>
      </c>
      <c r="B1976" s="10" t="s">
        <v>45</v>
      </c>
      <c r="C1976" s="8" t="s">
        <v>4657</v>
      </c>
      <c r="D1976" s="8" t="s">
        <v>4658</v>
      </c>
      <c r="E1976" s="11" t="n">
        <v>330</v>
      </c>
      <c r="F1976" s="8" t="str">
        <f aca="false">IFERROR(INDEX(Section_Master!$D$2:$D$477,MATCH($E1976,Section_Master!$A$2:$A$477,0))&amp;"","")</f>
        <v>Not applicable - definitions of lurking house-trespass and house-breaking; penalties are in s.331</v>
      </c>
      <c r="G1976" s="10" t="str">
        <f aca="false">IFERROR(INDEX(Section_Master!$E$2:$E$477,MATCH($E1976,Section_Master!$A$2:$A$477,0))&amp;"","")</f>
        <v>N/A</v>
      </c>
      <c r="H1976" s="10" t="str">
        <f aca="false">IFERROR(INDEX(Section_Master!$F$2:$F$477,MATCH($E1976,Section_Master!$A$2:$A$477,0))&amp;"","")</f>
        <v>N/A</v>
      </c>
      <c r="I1976" s="10" t="str">
        <f aca="false">IFERROR(INDEX(Section_Master!$G$2:$G$477,MATCH($E1976,Section_Master!$A$2:$A$477,0))&amp;"","")</f>
        <v>N/A</v>
      </c>
      <c r="J1976" s="10" t="s">
        <v>48</v>
      </c>
      <c r="K1976" s="8" t="s">
        <v>4659</v>
      </c>
    </row>
    <row r="1977" customFormat="false" ht="45.75" hidden="false" customHeight="true" outlineLevel="0" collapsed="false">
      <c r="A1977" s="10" t="s">
        <v>4660</v>
      </c>
      <c r="B1977" s="10" t="s">
        <v>45</v>
      </c>
      <c r="C1977" s="8" t="s">
        <v>4657</v>
      </c>
      <c r="D1977" s="8" t="s">
        <v>4661</v>
      </c>
      <c r="E1977" s="11" t="n">
        <v>330</v>
      </c>
      <c r="F1977" s="8" t="str">
        <f aca="false">IFERROR(INDEX(Section_Master!$D$2:$D$477,MATCH($E1977,Section_Master!$A$2:$A$477,0))&amp;"","")</f>
        <v>Not applicable - definitions of lurking house-trespass and house-breaking; penalties are in s.331</v>
      </c>
      <c r="G1977" s="10" t="str">
        <f aca="false">IFERROR(INDEX(Section_Master!$E$2:$E$477,MATCH($E1977,Section_Master!$A$2:$A$477,0))&amp;"","")</f>
        <v>N/A</v>
      </c>
      <c r="H1977" s="10" t="str">
        <f aca="false">IFERROR(INDEX(Section_Master!$F$2:$F$477,MATCH($E1977,Section_Master!$A$2:$A$477,0))&amp;"","")</f>
        <v>N/A</v>
      </c>
      <c r="I1977" s="10" t="str">
        <f aca="false">IFERROR(INDEX(Section_Master!$G$2:$G$477,MATCH($E1977,Section_Master!$A$2:$A$477,0))&amp;"","")</f>
        <v>N/A</v>
      </c>
      <c r="J1977" s="10" t="s">
        <v>52</v>
      </c>
      <c r="K1977" s="8" t="s">
        <v>4659</v>
      </c>
    </row>
    <row r="1978" customFormat="false" ht="34.5" hidden="false" customHeight="true" outlineLevel="0" collapsed="false">
      <c r="A1978" s="10" t="s">
        <v>4662</v>
      </c>
      <c r="B1978" s="10" t="s">
        <v>45</v>
      </c>
      <c r="C1978" s="8" t="s">
        <v>4657</v>
      </c>
      <c r="D1978" s="8" t="s">
        <v>4663</v>
      </c>
      <c r="E1978" s="11" t="n">
        <v>330</v>
      </c>
      <c r="F1978" s="8" t="str">
        <f aca="false">IFERROR(INDEX(Section_Master!$D$2:$D$477,MATCH($E1978,Section_Master!$A$2:$A$477,0))&amp;"","")</f>
        <v>Not applicable - definitions of lurking house-trespass and house-breaking; penalties are in s.331</v>
      </c>
      <c r="G1978" s="10" t="str">
        <f aca="false">IFERROR(INDEX(Section_Master!$E$2:$E$477,MATCH($E1978,Section_Master!$A$2:$A$477,0))&amp;"","")</f>
        <v>N/A</v>
      </c>
      <c r="H1978" s="10" t="str">
        <f aca="false">IFERROR(INDEX(Section_Master!$F$2:$F$477,MATCH($E1978,Section_Master!$A$2:$A$477,0))&amp;"","")</f>
        <v>N/A</v>
      </c>
      <c r="I1978" s="10" t="str">
        <f aca="false">IFERROR(INDEX(Section_Master!$G$2:$G$477,MATCH($E1978,Section_Master!$A$2:$A$477,0))&amp;"","")</f>
        <v>N/A</v>
      </c>
      <c r="J1978" s="10" t="s">
        <v>55</v>
      </c>
      <c r="K1978" s="8" t="s">
        <v>4659</v>
      </c>
    </row>
    <row r="1979" customFormat="false" ht="34.5" hidden="false" customHeight="true" outlineLevel="0" collapsed="false">
      <c r="A1979" s="10" t="s">
        <v>4664</v>
      </c>
      <c r="B1979" s="10" t="s">
        <v>45</v>
      </c>
      <c r="C1979" s="8" t="s">
        <v>4657</v>
      </c>
      <c r="D1979" s="8" t="s">
        <v>4665</v>
      </c>
      <c r="E1979" s="11" t="n">
        <v>330</v>
      </c>
      <c r="F1979" s="8" t="str">
        <f aca="false">IFERROR(INDEX(Section_Master!$D$2:$D$477,MATCH($E1979,Section_Master!$A$2:$A$477,0))&amp;"","")</f>
        <v>Not applicable - definitions of lurking house-trespass and house-breaking; penalties are in s.331</v>
      </c>
      <c r="G1979" s="10" t="str">
        <f aca="false">IFERROR(INDEX(Section_Master!$E$2:$E$477,MATCH($E1979,Section_Master!$A$2:$A$477,0))&amp;"","")</f>
        <v>N/A</v>
      </c>
      <c r="H1979" s="10" t="str">
        <f aca="false">IFERROR(INDEX(Section_Master!$F$2:$F$477,MATCH($E1979,Section_Master!$A$2:$A$477,0))&amp;"","")</f>
        <v>N/A</v>
      </c>
      <c r="I1979" s="10" t="str">
        <f aca="false">IFERROR(INDEX(Section_Master!$G$2:$G$477,MATCH($E1979,Section_Master!$A$2:$A$477,0))&amp;"","")</f>
        <v>N/A</v>
      </c>
      <c r="J1979" s="10" t="s">
        <v>58</v>
      </c>
      <c r="K1979" s="8" t="s">
        <v>4659</v>
      </c>
    </row>
    <row r="1980" customFormat="false" ht="34.5" hidden="false" customHeight="true" outlineLevel="0" collapsed="false">
      <c r="A1980" s="10" t="s">
        <v>4666</v>
      </c>
      <c r="B1980" s="10" t="s">
        <v>45</v>
      </c>
      <c r="C1980" s="8" t="s">
        <v>4657</v>
      </c>
      <c r="D1980" s="8" t="s">
        <v>4667</v>
      </c>
      <c r="E1980" s="11" t="n">
        <v>330</v>
      </c>
      <c r="F1980" s="8" t="str">
        <f aca="false">IFERROR(INDEX(Section_Master!$D$2:$D$477,MATCH($E1980,Section_Master!$A$2:$A$477,0))&amp;"","")</f>
        <v>Not applicable - definitions of lurking house-trespass and house-breaking; penalties are in s.331</v>
      </c>
      <c r="G1980" s="10" t="str">
        <f aca="false">IFERROR(INDEX(Section_Master!$E$2:$E$477,MATCH($E1980,Section_Master!$A$2:$A$477,0))&amp;"","")</f>
        <v>N/A</v>
      </c>
      <c r="H1980" s="10" t="str">
        <f aca="false">IFERROR(INDEX(Section_Master!$F$2:$F$477,MATCH($E1980,Section_Master!$A$2:$A$477,0))&amp;"","")</f>
        <v>N/A</v>
      </c>
      <c r="I1980" s="10" t="str">
        <f aca="false">IFERROR(INDEX(Section_Master!$G$2:$G$477,MATCH($E1980,Section_Master!$A$2:$A$477,0))&amp;"","")</f>
        <v>N/A</v>
      </c>
      <c r="J1980" s="10" t="s">
        <v>61</v>
      </c>
      <c r="K1980" s="8" t="s">
        <v>4659</v>
      </c>
    </row>
    <row r="1981" customFormat="false" ht="45.75" hidden="false" customHeight="true" outlineLevel="0" collapsed="false">
      <c r="A1981" s="10" t="s">
        <v>4668</v>
      </c>
      <c r="B1981" s="10" t="s">
        <v>45</v>
      </c>
      <c r="C1981" s="8" t="s">
        <v>4657</v>
      </c>
      <c r="D1981" s="8" t="s">
        <v>4669</v>
      </c>
      <c r="E1981" s="11" t="n">
        <v>330</v>
      </c>
      <c r="F1981" s="8" t="str">
        <f aca="false">IFERROR(INDEX(Section_Master!$D$2:$D$477,MATCH($E1981,Section_Master!$A$2:$A$477,0))&amp;"","")</f>
        <v>Not applicable - definitions of lurking house-trespass and house-breaking; penalties are in s.331</v>
      </c>
      <c r="G1981" s="10" t="str">
        <f aca="false">IFERROR(INDEX(Section_Master!$E$2:$E$477,MATCH($E1981,Section_Master!$A$2:$A$477,0))&amp;"","")</f>
        <v>N/A</v>
      </c>
      <c r="H1981" s="10" t="str">
        <f aca="false">IFERROR(INDEX(Section_Master!$F$2:$F$477,MATCH($E1981,Section_Master!$A$2:$A$477,0))&amp;"","")</f>
        <v>N/A</v>
      </c>
      <c r="I1981" s="10" t="str">
        <f aca="false">IFERROR(INDEX(Section_Master!$G$2:$G$477,MATCH($E1981,Section_Master!$A$2:$A$477,0))&amp;"","")</f>
        <v>N/A</v>
      </c>
      <c r="J1981" s="10" t="s">
        <v>64</v>
      </c>
      <c r="K1981" s="8" t="s">
        <v>4659</v>
      </c>
    </row>
    <row r="1982" customFormat="false" ht="34.5" hidden="false" customHeight="true" outlineLevel="0" collapsed="false">
      <c r="A1982" s="10" t="s">
        <v>4670</v>
      </c>
      <c r="B1982" s="10" t="s">
        <v>45</v>
      </c>
      <c r="C1982" s="8" t="s">
        <v>4671</v>
      </c>
      <c r="D1982" s="8" t="s">
        <v>4672</v>
      </c>
      <c r="E1982" s="11" t="n">
        <v>331</v>
      </c>
      <c r="F1982" s="8" t="str">
        <f aca="false">IFERROR(INDEX(Section_Master!$D$2:$D$477,MATCH($E1982,Section_Master!$A$2:$A$477,0))&amp;"","")</f>
        <v>Up to 2 years and fine for house-trespass; 3 to 14 years or life and fine for graver forms (night, with weapons, hurt) [s.331]</v>
      </c>
      <c r="G1982" s="10" t="str">
        <f aca="false">IFERROR(INDEX(Section_Master!$E$2:$E$477,MATCH($E1982,Section_Master!$A$2:$A$477,0))&amp;"","")</f>
        <v>Varies by sub-section</v>
      </c>
      <c r="H1982" s="10" t="str">
        <f aca="false">IFERROR(INDEX(Section_Master!$F$2:$F$477,MATCH($E1982,Section_Master!$A$2:$A$477,0))&amp;"","")</f>
        <v>Varies by sub-section</v>
      </c>
      <c r="I1982" s="10" t="str">
        <f aca="false">IFERROR(INDEX(Section_Master!$G$2:$G$477,MATCH($E1982,Section_Master!$A$2:$A$477,0))&amp;"","")</f>
        <v>No</v>
      </c>
      <c r="J1982" s="10" t="s">
        <v>48</v>
      </c>
      <c r="K1982" s="8" t="s">
        <v>4673</v>
      </c>
    </row>
    <row r="1983" customFormat="false" ht="45.75" hidden="false" customHeight="true" outlineLevel="0" collapsed="false">
      <c r="A1983" s="10" t="s">
        <v>4674</v>
      </c>
      <c r="B1983" s="10" t="s">
        <v>45</v>
      </c>
      <c r="C1983" s="8" t="s">
        <v>4671</v>
      </c>
      <c r="D1983" s="8" t="s">
        <v>4675</v>
      </c>
      <c r="E1983" s="11" t="n">
        <v>331</v>
      </c>
      <c r="F1983" s="8" t="str">
        <f aca="false">IFERROR(INDEX(Section_Master!$D$2:$D$477,MATCH($E1983,Section_Master!$A$2:$A$477,0))&amp;"","")</f>
        <v>Up to 2 years and fine for house-trespass; 3 to 14 years or life and fine for graver forms (night, with weapons, hurt) [s.331]</v>
      </c>
      <c r="G1983" s="10" t="str">
        <f aca="false">IFERROR(INDEX(Section_Master!$E$2:$E$477,MATCH($E1983,Section_Master!$A$2:$A$477,0))&amp;"","")</f>
        <v>Varies by sub-section</v>
      </c>
      <c r="H1983" s="10" t="str">
        <f aca="false">IFERROR(INDEX(Section_Master!$F$2:$F$477,MATCH($E1983,Section_Master!$A$2:$A$477,0))&amp;"","")</f>
        <v>Varies by sub-section</v>
      </c>
      <c r="I1983" s="10" t="str">
        <f aca="false">IFERROR(INDEX(Section_Master!$G$2:$G$477,MATCH($E1983,Section_Master!$A$2:$A$477,0))&amp;"","")</f>
        <v>No</v>
      </c>
      <c r="J1983" s="10" t="s">
        <v>52</v>
      </c>
      <c r="K1983" s="8" t="s">
        <v>4673</v>
      </c>
    </row>
    <row r="1984" customFormat="false" ht="34.5" hidden="false" customHeight="true" outlineLevel="0" collapsed="false">
      <c r="A1984" s="10" t="s">
        <v>4676</v>
      </c>
      <c r="B1984" s="10" t="s">
        <v>45</v>
      </c>
      <c r="C1984" s="8" t="s">
        <v>4671</v>
      </c>
      <c r="D1984" s="8" t="s">
        <v>4677</v>
      </c>
      <c r="E1984" s="11" t="n">
        <v>331</v>
      </c>
      <c r="F1984" s="8" t="str">
        <f aca="false">IFERROR(INDEX(Section_Master!$D$2:$D$477,MATCH($E1984,Section_Master!$A$2:$A$477,0))&amp;"","")</f>
        <v>Up to 2 years and fine for house-trespass; 3 to 14 years or life and fine for graver forms (night, with weapons, hurt) [s.331]</v>
      </c>
      <c r="G1984" s="10" t="str">
        <f aca="false">IFERROR(INDEX(Section_Master!$E$2:$E$477,MATCH($E1984,Section_Master!$A$2:$A$477,0))&amp;"","")</f>
        <v>Varies by sub-section</v>
      </c>
      <c r="H1984" s="10" t="str">
        <f aca="false">IFERROR(INDEX(Section_Master!$F$2:$F$477,MATCH($E1984,Section_Master!$A$2:$A$477,0))&amp;"","")</f>
        <v>Varies by sub-section</v>
      </c>
      <c r="I1984" s="10" t="str">
        <f aca="false">IFERROR(INDEX(Section_Master!$G$2:$G$477,MATCH($E1984,Section_Master!$A$2:$A$477,0))&amp;"","")</f>
        <v>No</v>
      </c>
      <c r="J1984" s="10" t="s">
        <v>55</v>
      </c>
      <c r="K1984" s="8" t="s">
        <v>4673</v>
      </c>
    </row>
    <row r="1985" customFormat="false" ht="34.5" hidden="false" customHeight="true" outlineLevel="0" collapsed="false">
      <c r="A1985" s="10" t="s">
        <v>4678</v>
      </c>
      <c r="B1985" s="10" t="s">
        <v>45</v>
      </c>
      <c r="C1985" s="8" t="s">
        <v>4671</v>
      </c>
      <c r="D1985" s="8" t="s">
        <v>4679</v>
      </c>
      <c r="E1985" s="11" t="n">
        <v>331</v>
      </c>
      <c r="F1985" s="8" t="str">
        <f aca="false">IFERROR(INDEX(Section_Master!$D$2:$D$477,MATCH($E1985,Section_Master!$A$2:$A$477,0))&amp;"","")</f>
        <v>Up to 2 years and fine for house-trespass; 3 to 14 years or life and fine for graver forms (night, with weapons, hurt) [s.331]</v>
      </c>
      <c r="G1985" s="10" t="str">
        <f aca="false">IFERROR(INDEX(Section_Master!$E$2:$E$477,MATCH($E1985,Section_Master!$A$2:$A$477,0))&amp;"","")</f>
        <v>Varies by sub-section</v>
      </c>
      <c r="H1985" s="10" t="str">
        <f aca="false">IFERROR(INDEX(Section_Master!$F$2:$F$477,MATCH($E1985,Section_Master!$A$2:$A$477,0))&amp;"","")</f>
        <v>Varies by sub-section</v>
      </c>
      <c r="I1985" s="10" t="str">
        <f aca="false">IFERROR(INDEX(Section_Master!$G$2:$G$477,MATCH($E1985,Section_Master!$A$2:$A$477,0))&amp;"","")</f>
        <v>No</v>
      </c>
      <c r="J1985" s="10" t="s">
        <v>58</v>
      </c>
      <c r="K1985" s="8" t="s">
        <v>4673</v>
      </c>
    </row>
    <row r="1986" customFormat="false" ht="34.5" hidden="false" customHeight="true" outlineLevel="0" collapsed="false">
      <c r="A1986" s="10" t="s">
        <v>4680</v>
      </c>
      <c r="B1986" s="10" t="s">
        <v>45</v>
      </c>
      <c r="C1986" s="8" t="s">
        <v>4671</v>
      </c>
      <c r="D1986" s="8" t="s">
        <v>4681</v>
      </c>
      <c r="E1986" s="11" t="n">
        <v>331</v>
      </c>
      <c r="F1986" s="8" t="str">
        <f aca="false">IFERROR(INDEX(Section_Master!$D$2:$D$477,MATCH($E1986,Section_Master!$A$2:$A$477,0))&amp;"","")</f>
        <v>Up to 2 years and fine for house-trespass; 3 to 14 years or life and fine for graver forms (night, with weapons, hurt) [s.331]</v>
      </c>
      <c r="G1986" s="10" t="str">
        <f aca="false">IFERROR(INDEX(Section_Master!$E$2:$E$477,MATCH($E1986,Section_Master!$A$2:$A$477,0))&amp;"","")</f>
        <v>Varies by sub-section</v>
      </c>
      <c r="H1986" s="10" t="str">
        <f aca="false">IFERROR(INDEX(Section_Master!$F$2:$F$477,MATCH($E1986,Section_Master!$A$2:$A$477,0))&amp;"","")</f>
        <v>Varies by sub-section</v>
      </c>
      <c r="I1986" s="10" t="str">
        <f aca="false">IFERROR(INDEX(Section_Master!$G$2:$G$477,MATCH($E1986,Section_Master!$A$2:$A$477,0))&amp;"","")</f>
        <v>No</v>
      </c>
      <c r="J1986" s="10" t="s">
        <v>61</v>
      </c>
      <c r="K1986" s="8" t="s">
        <v>4673</v>
      </c>
    </row>
    <row r="1987" customFormat="false" ht="34.5" hidden="false" customHeight="true" outlineLevel="0" collapsed="false">
      <c r="A1987" s="10" t="s">
        <v>4682</v>
      </c>
      <c r="B1987" s="10" t="s">
        <v>45</v>
      </c>
      <c r="C1987" s="8" t="s">
        <v>4671</v>
      </c>
      <c r="D1987" s="8" t="s">
        <v>4683</v>
      </c>
      <c r="E1987" s="11" t="n">
        <v>331</v>
      </c>
      <c r="F1987" s="8" t="str">
        <f aca="false">IFERROR(INDEX(Section_Master!$D$2:$D$477,MATCH($E1987,Section_Master!$A$2:$A$477,0))&amp;"","")</f>
        <v>Up to 2 years and fine for house-trespass; 3 to 14 years or life and fine for graver forms (night, with weapons, hurt) [s.331]</v>
      </c>
      <c r="G1987" s="10" t="str">
        <f aca="false">IFERROR(INDEX(Section_Master!$E$2:$E$477,MATCH($E1987,Section_Master!$A$2:$A$477,0))&amp;"","")</f>
        <v>Varies by sub-section</v>
      </c>
      <c r="H1987" s="10" t="str">
        <f aca="false">IFERROR(INDEX(Section_Master!$F$2:$F$477,MATCH($E1987,Section_Master!$A$2:$A$477,0))&amp;"","")</f>
        <v>Varies by sub-section</v>
      </c>
      <c r="I1987" s="10" t="str">
        <f aca="false">IFERROR(INDEX(Section_Master!$G$2:$G$477,MATCH($E1987,Section_Master!$A$2:$A$477,0))&amp;"","")</f>
        <v>No</v>
      </c>
      <c r="J1987" s="10" t="s">
        <v>64</v>
      </c>
      <c r="K1987" s="8" t="s">
        <v>4673</v>
      </c>
    </row>
    <row r="1988" customFormat="false" ht="45.75" hidden="false" customHeight="true" outlineLevel="0" collapsed="false">
      <c r="A1988" s="10" t="s">
        <v>4684</v>
      </c>
      <c r="B1988" s="10" t="s">
        <v>45</v>
      </c>
      <c r="C1988" s="8" t="s">
        <v>4685</v>
      </c>
      <c r="D1988" s="8" t="s">
        <v>4686</v>
      </c>
      <c r="E1988" s="11" t="n">
        <v>332</v>
      </c>
      <c r="F1988" s="8" t="str">
        <f aca="false">IFERROR(INDEX(Section_Master!$D$2:$D$477,MATCH($E1988,Section_Master!$A$2:$A$477,0))&amp;"","")</f>
        <v>Up to 2 years and fine, rising to 10 years or life depending on the offence intended [s.332]</v>
      </c>
      <c r="G1988" s="10" t="str">
        <f aca="false">IFERROR(INDEX(Section_Master!$E$2:$E$477,MATCH($E1988,Section_Master!$A$2:$A$477,0))&amp;"","")</f>
        <v>Yes</v>
      </c>
      <c r="H1988" s="10" t="str">
        <f aca="false">IFERROR(INDEX(Section_Master!$F$2:$F$477,MATCH($E1988,Section_Master!$A$2:$A$477,0))&amp;"","")</f>
        <v>No</v>
      </c>
      <c r="I1988" s="10" t="str">
        <f aca="false">IFERROR(INDEX(Section_Master!$G$2:$G$477,MATCH($E1988,Section_Master!$A$2:$A$477,0))&amp;"","")</f>
        <v>No</v>
      </c>
      <c r="J1988" s="10" t="s">
        <v>48</v>
      </c>
      <c r="K1988" s="8" t="s">
        <v>4687</v>
      </c>
    </row>
    <row r="1989" customFormat="false" ht="45.75" hidden="false" customHeight="true" outlineLevel="0" collapsed="false">
      <c r="A1989" s="10" t="s">
        <v>4688</v>
      </c>
      <c r="B1989" s="10" t="s">
        <v>45</v>
      </c>
      <c r="C1989" s="8" t="s">
        <v>4685</v>
      </c>
      <c r="D1989" s="8" t="s">
        <v>4689</v>
      </c>
      <c r="E1989" s="11" t="n">
        <v>332</v>
      </c>
      <c r="F1989" s="8" t="str">
        <f aca="false">IFERROR(INDEX(Section_Master!$D$2:$D$477,MATCH($E1989,Section_Master!$A$2:$A$477,0))&amp;"","")</f>
        <v>Up to 2 years and fine, rising to 10 years or life depending on the offence intended [s.332]</v>
      </c>
      <c r="G1989" s="10" t="str">
        <f aca="false">IFERROR(INDEX(Section_Master!$E$2:$E$477,MATCH($E1989,Section_Master!$A$2:$A$477,0))&amp;"","")</f>
        <v>Yes</v>
      </c>
      <c r="H1989" s="10" t="str">
        <f aca="false">IFERROR(INDEX(Section_Master!$F$2:$F$477,MATCH($E1989,Section_Master!$A$2:$A$477,0))&amp;"","")</f>
        <v>No</v>
      </c>
      <c r="I1989" s="10" t="str">
        <f aca="false">IFERROR(INDEX(Section_Master!$G$2:$G$477,MATCH($E1989,Section_Master!$A$2:$A$477,0))&amp;"","")</f>
        <v>No</v>
      </c>
      <c r="J1989" s="10" t="s">
        <v>52</v>
      </c>
      <c r="K1989" s="8" t="s">
        <v>4687</v>
      </c>
    </row>
    <row r="1990" customFormat="false" ht="34.5" hidden="false" customHeight="true" outlineLevel="0" collapsed="false">
      <c r="A1990" s="10" t="s">
        <v>4690</v>
      </c>
      <c r="B1990" s="10" t="s">
        <v>45</v>
      </c>
      <c r="C1990" s="8" t="s">
        <v>4685</v>
      </c>
      <c r="D1990" s="8" t="s">
        <v>4691</v>
      </c>
      <c r="E1990" s="11" t="n">
        <v>332</v>
      </c>
      <c r="F1990" s="8" t="str">
        <f aca="false">IFERROR(INDEX(Section_Master!$D$2:$D$477,MATCH($E1990,Section_Master!$A$2:$A$477,0))&amp;"","")</f>
        <v>Up to 2 years and fine, rising to 10 years or life depending on the offence intended [s.332]</v>
      </c>
      <c r="G1990" s="10" t="str">
        <f aca="false">IFERROR(INDEX(Section_Master!$E$2:$E$477,MATCH($E1990,Section_Master!$A$2:$A$477,0))&amp;"","")</f>
        <v>Yes</v>
      </c>
      <c r="H1990" s="10" t="str">
        <f aca="false">IFERROR(INDEX(Section_Master!$F$2:$F$477,MATCH($E1990,Section_Master!$A$2:$A$477,0))&amp;"","")</f>
        <v>No</v>
      </c>
      <c r="I1990" s="10" t="str">
        <f aca="false">IFERROR(INDEX(Section_Master!$G$2:$G$477,MATCH($E1990,Section_Master!$A$2:$A$477,0))&amp;"","")</f>
        <v>No</v>
      </c>
      <c r="J1990" s="10" t="s">
        <v>55</v>
      </c>
      <c r="K1990" s="8" t="s">
        <v>4687</v>
      </c>
    </row>
    <row r="1991" customFormat="false" ht="34.5" hidden="false" customHeight="true" outlineLevel="0" collapsed="false">
      <c r="A1991" s="10" t="s">
        <v>4692</v>
      </c>
      <c r="B1991" s="10" t="s">
        <v>45</v>
      </c>
      <c r="C1991" s="8" t="s">
        <v>4685</v>
      </c>
      <c r="D1991" s="8" t="s">
        <v>4693</v>
      </c>
      <c r="E1991" s="11" t="n">
        <v>332</v>
      </c>
      <c r="F1991" s="8" t="str">
        <f aca="false">IFERROR(INDEX(Section_Master!$D$2:$D$477,MATCH($E1991,Section_Master!$A$2:$A$477,0))&amp;"","")</f>
        <v>Up to 2 years and fine, rising to 10 years or life depending on the offence intended [s.332]</v>
      </c>
      <c r="G1991" s="10" t="str">
        <f aca="false">IFERROR(INDEX(Section_Master!$E$2:$E$477,MATCH($E1991,Section_Master!$A$2:$A$477,0))&amp;"","")</f>
        <v>Yes</v>
      </c>
      <c r="H1991" s="10" t="str">
        <f aca="false">IFERROR(INDEX(Section_Master!$F$2:$F$477,MATCH($E1991,Section_Master!$A$2:$A$477,0))&amp;"","")</f>
        <v>No</v>
      </c>
      <c r="I1991" s="10" t="str">
        <f aca="false">IFERROR(INDEX(Section_Master!$G$2:$G$477,MATCH($E1991,Section_Master!$A$2:$A$477,0))&amp;"","")</f>
        <v>No</v>
      </c>
      <c r="J1991" s="10" t="s">
        <v>58</v>
      </c>
      <c r="K1991" s="8" t="s">
        <v>4687</v>
      </c>
    </row>
    <row r="1992" customFormat="false" ht="34.5" hidden="false" customHeight="true" outlineLevel="0" collapsed="false">
      <c r="A1992" s="10" t="s">
        <v>4694</v>
      </c>
      <c r="B1992" s="10" t="s">
        <v>45</v>
      </c>
      <c r="C1992" s="8" t="s">
        <v>4685</v>
      </c>
      <c r="D1992" s="8" t="s">
        <v>4695</v>
      </c>
      <c r="E1992" s="11" t="n">
        <v>332</v>
      </c>
      <c r="F1992" s="8" t="str">
        <f aca="false">IFERROR(INDEX(Section_Master!$D$2:$D$477,MATCH($E1992,Section_Master!$A$2:$A$477,0))&amp;"","")</f>
        <v>Up to 2 years and fine, rising to 10 years or life depending on the offence intended [s.332]</v>
      </c>
      <c r="G1992" s="10" t="str">
        <f aca="false">IFERROR(INDEX(Section_Master!$E$2:$E$477,MATCH($E1992,Section_Master!$A$2:$A$477,0))&amp;"","")</f>
        <v>Yes</v>
      </c>
      <c r="H1992" s="10" t="str">
        <f aca="false">IFERROR(INDEX(Section_Master!$F$2:$F$477,MATCH($E1992,Section_Master!$A$2:$A$477,0))&amp;"","")</f>
        <v>No</v>
      </c>
      <c r="I1992" s="10" t="str">
        <f aca="false">IFERROR(INDEX(Section_Master!$G$2:$G$477,MATCH($E1992,Section_Master!$A$2:$A$477,0))&amp;"","")</f>
        <v>No</v>
      </c>
      <c r="J1992" s="10" t="s">
        <v>61</v>
      </c>
      <c r="K1992" s="8" t="s">
        <v>4687</v>
      </c>
    </row>
    <row r="1993" customFormat="false" ht="45.75" hidden="false" customHeight="true" outlineLevel="0" collapsed="false">
      <c r="A1993" s="10" t="s">
        <v>4696</v>
      </c>
      <c r="B1993" s="10" t="s">
        <v>45</v>
      </c>
      <c r="C1993" s="8" t="s">
        <v>4685</v>
      </c>
      <c r="D1993" s="8" t="s">
        <v>4697</v>
      </c>
      <c r="E1993" s="11" t="n">
        <v>332</v>
      </c>
      <c r="F1993" s="8" t="str">
        <f aca="false">IFERROR(INDEX(Section_Master!$D$2:$D$477,MATCH($E1993,Section_Master!$A$2:$A$477,0))&amp;"","")</f>
        <v>Up to 2 years and fine, rising to 10 years or life depending on the offence intended [s.332]</v>
      </c>
      <c r="G1993" s="10" t="str">
        <f aca="false">IFERROR(INDEX(Section_Master!$E$2:$E$477,MATCH($E1993,Section_Master!$A$2:$A$477,0))&amp;"","")</f>
        <v>Yes</v>
      </c>
      <c r="H1993" s="10" t="str">
        <f aca="false">IFERROR(INDEX(Section_Master!$F$2:$F$477,MATCH($E1993,Section_Master!$A$2:$A$477,0))&amp;"","")</f>
        <v>No</v>
      </c>
      <c r="I1993" s="10" t="str">
        <f aca="false">IFERROR(INDEX(Section_Master!$G$2:$G$477,MATCH($E1993,Section_Master!$A$2:$A$477,0))&amp;"","")</f>
        <v>No</v>
      </c>
      <c r="J1993" s="10" t="s">
        <v>64</v>
      </c>
      <c r="K1993" s="8" t="s">
        <v>4687</v>
      </c>
    </row>
    <row r="1994" customFormat="false" ht="34.5" hidden="false" customHeight="true" outlineLevel="0" collapsed="false">
      <c r="A1994" s="10" t="s">
        <v>4698</v>
      </c>
      <c r="B1994" s="10" t="s">
        <v>45</v>
      </c>
      <c r="C1994" s="8" t="s">
        <v>4699</v>
      </c>
      <c r="D1994" s="8" t="s">
        <v>4700</v>
      </c>
      <c r="E1994" s="11" t="n">
        <v>333</v>
      </c>
      <c r="F1994" s="8" t="str">
        <f aca="false">IFERROR(INDEX(Section_Master!$D$2:$D$477,MATCH($E1994,Section_Master!$A$2:$A$477,0))&amp;"","")</f>
        <v>Imprisonment up to 7 years and fine</v>
      </c>
      <c r="G1994" s="10" t="str">
        <f aca="false">IFERROR(INDEX(Section_Master!$E$2:$E$477,MATCH($E1994,Section_Master!$A$2:$A$477,0))&amp;"","")</f>
        <v>Yes</v>
      </c>
      <c r="H1994" s="10" t="str">
        <f aca="false">IFERROR(INDEX(Section_Master!$F$2:$F$477,MATCH($E1994,Section_Master!$A$2:$A$477,0))&amp;"","")</f>
        <v>No</v>
      </c>
      <c r="I1994" s="10" t="str">
        <f aca="false">IFERROR(INDEX(Section_Master!$G$2:$G$477,MATCH($E1994,Section_Master!$A$2:$A$477,0))&amp;"","")</f>
        <v>No</v>
      </c>
      <c r="J1994" s="10" t="s">
        <v>48</v>
      </c>
      <c r="K1994" s="8" t="s">
        <v>4701</v>
      </c>
    </row>
    <row r="1995" customFormat="false" ht="34.5" hidden="false" customHeight="true" outlineLevel="0" collapsed="false">
      <c r="A1995" s="10" t="s">
        <v>4702</v>
      </c>
      <c r="B1995" s="10" t="s">
        <v>45</v>
      </c>
      <c r="C1995" s="8" t="s">
        <v>4699</v>
      </c>
      <c r="D1995" s="8" t="s">
        <v>4703</v>
      </c>
      <c r="E1995" s="11" t="n">
        <v>333</v>
      </c>
      <c r="F1995" s="8" t="str">
        <f aca="false">IFERROR(INDEX(Section_Master!$D$2:$D$477,MATCH($E1995,Section_Master!$A$2:$A$477,0))&amp;"","")</f>
        <v>Imprisonment up to 7 years and fine</v>
      </c>
      <c r="G1995" s="10" t="str">
        <f aca="false">IFERROR(INDEX(Section_Master!$E$2:$E$477,MATCH($E1995,Section_Master!$A$2:$A$477,0))&amp;"","")</f>
        <v>Yes</v>
      </c>
      <c r="H1995" s="10" t="str">
        <f aca="false">IFERROR(INDEX(Section_Master!$F$2:$F$477,MATCH($E1995,Section_Master!$A$2:$A$477,0))&amp;"","")</f>
        <v>No</v>
      </c>
      <c r="I1995" s="10" t="str">
        <f aca="false">IFERROR(INDEX(Section_Master!$G$2:$G$477,MATCH($E1995,Section_Master!$A$2:$A$477,0))&amp;"","")</f>
        <v>No</v>
      </c>
      <c r="J1995" s="10" t="s">
        <v>52</v>
      </c>
      <c r="K1995" s="8" t="s">
        <v>4701</v>
      </c>
    </row>
    <row r="1996" customFormat="false" ht="34.5" hidden="false" customHeight="true" outlineLevel="0" collapsed="false">
      <c r="A1996" s="10" t="s">
        <v>4704</v>
      </c>
      <c r="B1996" s="10" t="s">
        <v>45</v>
      </c>
      <c r="C1996" s="8" t="s">
        <v>4699</v>
      </c>
      <c r="D1996" s="8" t="s">
        <v>4705</v>
      </c>
      <c r="E1996" s="11" t="n">
        <v>333</v>
      </c>
      <c r="F1996" s="8" t="str">
        <f aca="false">IFERROR(INDEX(Section_Master!$D$2:$D$477,MATCH($E1996,Section_Master!$A$2:$A$477,0))&amp;"","")</f>
        <v>Imprisonment up to 7 years and fine</v>
      </c>
      <c r="G1996" s="10" t="str">
        <f aca="false">IFERROR(INDEX(Section_Master!$E$2:$E$477,MATCH($E1996,Section_Master!$A$2:$A$477,0))&amp;"","")</f>
        <v>Yes</v>
      </c>
      <c r="H1996" s="10" t="str">
        <f aca="false">IFERROR(INDEX(Section_Master!$F$2:$F$477,MATCH($E1996,Section_Master!$A$2:$A$477,0))&amp;"","")</f>
        <v>No</v>
      </c>
      <c r="I1996" s="10" t="str">
        <f aca="false">IFERROR(INDEX(Section_Master!$G$2:$G$477,MATCH($E1996,Section_Master!$A$2:$A$477,0))&amp;"","")</f>
        <v>No</v>
      </c>
      <c r="J1996" s="10" t="s">
        <v>55</v>
      </c>
      <c r="K1996" s="8" t="s">
        <v>4701</v>
      </c>
    </row>
    <row r="1997" customFormat="false" ht="34.5" hidden="false" customHeight="true" outlineLevel="0" collapsed="false">
      <c r="A1997" s="10" t="s">
        <v>4706</v>
      </c>
      <c r="B1997" s="10" t="s">
        <v>45</v>
      </c>
      <c r="C1997" s="8" t="s">
        <v>4699</v>
      </c>
      <c r="D1997" s="8" t="s">
        <v>4707</v>
      </c>
      <c r="E1997" s="11" t="n">
        <v>333</v>
      </c>
      <c r="F1997" s="8" t="str">
        <f aca="false">IFERROR(INDEX(Section_Master!$D$2:$D$477,MATCH($E1997,Section_Master!$A$2:$A$477,0))&amp;"","")</f>
        <v>Imprisonment up to 7 years and fine</v>
      </c>
      <c r="G1997" s="10" t="str">
        <f aca="false">IFERROR(INDEX(Section_Master!$E$2:$E$477,MATCH($E1997,Section_Master!$A$2:$A$477,0))&amp;"","")</f>
        <v>Yes</v>
      </c>
      <c r="H1997" s="10" t="str">
        <f aca="false">IFERROR(INDEX(Section_Master!$F$2:$F$477,MATCH($E1997,Section_Master!$A$2:$A$477,0))&amp;"","")</f>
        <v>No</v>
      </c>
      <c r="I1997" s="10" t="str">
        <f aca="false">IFERROR(INDEX(Section_Master!$G$2:$G$477,MATCH($E1997,Section_Master!$A$2:$A$477,0))&amp;"","")</f>
        <v>No</v>
      </c>
      <c r="J1997" s="10" t="s">
        <v>58</v>
      </c>
      <c r="K1997" s="8" t="s">
        <v>4701</v>
      </c>
    </row>
    <row r="1998" customFormat="false" ht="34.5" hidden="false" customHeight="true" outlineLevel="0" collapsed="false">
      <c r="A1998" s="10" t="s">
        <v>4708</v>
      </c>
      <c r="B1998" s="10" t="s">
        <v>45</v>
      </c>
      <c r="C1998" s="8" t="s">
        <v>4699</v>
      </c>
      <c r="D1998" s="8" t="s">
        <v>4709</v>
      </c>
      <c r="E1998" s="11" t="n">
        <v>333</v>
      </c>
      <c r="F1998" s="8" t="str">
        <f aca="false">IFERROR(INDEX(Section_Master!$D$2:$D$477,MATCH($E1998,Section_Master!$A$2:$A$477,0))&amp;"","")</f>
        <v>Imprisonment up to 7 years and fine</v>
      </c>
      <c r="G1998" s="10" t="str">
        <f aca="false">IFERROR(INDEX(Section_Master!$E$2:$E$477,MATCH($E1998,Section_Master!$A$2:$A$477,0))&amp;"","")</f>
        <v>Yes</v>
      </c>
      <c r="H1998" s="10" t="str">
        <f aca="false">IFERROR(INDEX(Section_Master!$F$2:$F$477,MATCH($E1998,Section_Master!$A$2:$A$477,0))&amp;"","")</f>
        <v>No</v>
      </c>
      <c r="I1998" s="10" t="str">
        <f aca="false">IFERROR(INDEX(Section_Master!$G$2:$G$477,MATCH($E1998,Section_Master!$A$2:$A$477,0))&amp;"","")</f>
        <v>No</v>
      </c>
      <c r="J1998" s="10" t="s">
        <v>61</v>
      </c>
      <c r="K1998" s="8" t="s">
        <v>4701</v>
      </c>
    </row>
    <row r="1999" customFormat="false" ht="45.75" hidden="false" customHeight="true" outlineLevel="0" collapsed="false">
      <c r="A1999" s="10" t="s">
        <v>4710</v>
      </c>
      <c r="B1999" s="10" t="s">
        <v>45</v>
      </c>
      <c r="C1999" s="8" t="s">
        <v>4699</v>
      </c>
      <c r="D1999" s="8" t="s">
        <v>4711</v>
      </c>
      <c r="E1999" s="11" t="n">
        <v>333</v>
      </c>
      <c r="F1999" s="8" t="str">
        <f aca="false">IFERROR(INDEX(Section_Master!$D$2:$D$477,MATCH($E1999,Section_Master!$A$2:$A$477,0))&amp;"","")</f>
        <v>Imprisonment up to 7 years and fine</v>
      </c>
      <c r="G1999" s="10" t="str">
        <f aca="false">IFERROR(INDEX(Section_Master!$E$2:$E$477,MATCH($E1999,Section_Master!$A$2:$A$477,0))&amp;"","")</f>
        <v>Yes</v>
      </c>
      <c r="H1999" s="10" t="str">
        <f aca="false">IFERROR(INDEX(Section_Master!$F$2:$F$477,MATCH($E1999,Section_Master!$A$2:$A$477,0))&amp;"","")</f>
        <v>No</v>
      </c>
      <c r="I1999" s="10" t="str">
        <f aca="false">IFERROR(INDEX(Section_Master!$G$2:$G$477,MATCH($E1999,Section_Master!$A$2:$A$477,0))&amp;"","")</f>
        <v>No</v>
      </c>
      <c r="J1999" s="10" t="s">
        <v>64</v>
      </c>
      <c r="K1999" s="8" t="s">
        <v>4701</v>
      </c>
    </row>
    <row r="2000" customFormat="false" ht="34.5" hidden="false" customHeight="true" outlineLevel="0" collapsed="false">
      <c r="A2000" s="10" t="s">
        <v>4712</v>
      </c>
      <c r="B2000" s="10" t="s">
        <v>45</v>
      </c>
      <c r="C2000" s="8" t="s">
        <v>4713</v>
      </c>
      <c r="D2000" s="8" t="s">
        <v>4714</v>
      </c>
      <c r="E2000" s="11" t="n">
        <v>334</v>
      </c>
      <c r="F2000" s="8" t="str">
        <f aca="false">IFERROR(INDEX(Section_Master!$D$2:$D$477,MATCH($E2000,Section_Master!$A$2:$A$477,0))&amp;"","")</f>
        <v>Imprisonment up to 2 years, or fine, or both; up to 7 years if by a clerk or servant [s.334]</v>
      </c>
      <c r="G2000" s="10" t="str">
        <f aca="false">IFERROR(INDEX(Section_Master!$E$2:$E$477,MATCH($E2000,Section_Master!$A$2:$A$477,0))&amp;"","")</f>
        <v>No</v>
      </c>
      <c r="H2000" s="10" t="str">
        <f aca="false">IFERROR(INDEX(Section_Master!$F$2:$F$477,MATCH($E2000,Section_Master!$A$2:$A$477,0))&amp;"","")</f>
        <v>Yes</v>
      </c>
      <c r="I2000" s="10" t="str">
        <f aca="false">IFERROR(INDEX(Section_Master!$G$2:$G$477,MATCH($E2000,Section_Master!$A$2:$A$477,0))&amp;"","")</f>
        <v>No</v>
      </c>
      <c r="J2000" s="10" t="s">
        <v>48</v>
      </c>
      <c r="K2000" s="8" t="s">
        <v>4715</v>
      </c>
    </row>
    <row r="2001" customFormat="false" ht="34.5" hidden="false" customHeight="true" outlineLevel="0" collapsed="false">
      <c r="A2001" s="10" t="s">
        <v>4716</v>
      </c>
      <c r="B2001" s="10" t="s">
        <v>45</v>
      </c>
      <c r="C2001" s="8" t="s">
        <v>4713</v>
      </c>
      <c r="D2001" s="8" t="s">
        <v>4717</v>
      </c>
      <c r="E2001" s="11" t="n">
        <v>334</v>
      </c>
      <c r="F2001" s="8" t="str">
        <f aca="false">IFERROR(INDEX(Section_Master!$D$2:$D$477,MATCH($E2001,Section_Master!$A$2:$A$477,0))&amp;"","")</f>
        <v>Imprisonment up to 2 years, or fine, or both; up to 7 years if by a clerk or servant [s.334]</v>
      </c>
      <c r="G2001" s="10" t="str">
        <f aca="false">IFERROR(INDEX(Section_Master!$E$2:$E$477,MATCH($E2001,Section_Master!$A$2:$A$477,0))&amp;"","")</f>
        <v>No</v>
      </c>
      <c r="H2001" s="10" t="str">
        <f aca="false">IFERROR(INDEX(Section_Master!$F$2:$F$477,MATCH($E2001,Section_Master!$A$2:$A$477,0))&amp;"","")</f>
        <v>Yes</v>
      </c>
      <c r="I2001" s="10" t="str">
        <f aca="false">IFERROR(INDEX(Section_Master!$G$2:$G$477,MATCH($E2001,Section_Master!$A$2:$A$477,0))&amp;"","")</f>
        <v>No</v>
      </c>
      <c r="J2001" s="10" t="s">
        <v>52</v>
      </c>
      <c r="K2001" s="8" t="s">
        <v>4715</v>
      </c>
    </row>
    <row r="2002" customFormat="false" ht="34.5" hidden="false" customHeight="true" outlineLevel="0" collapsed="false">
      <c r="A2002" s="10" t="s">
        <v>4718</v>
      </c>
      <c r="B2002" s="10" t="s">
        <v>45</v>
      </c>
      <c r="C2002" s="8" t="s">
        <v>4713</v>
      </c>
      <c r="D2002" s="8" t="s">
        <v>4719</v>
      </c>
      <c r="E2002" s="11" t="n">
        <v>334</v>
      </c>
      <c r="F2002" s="8" t="str">
        <f aca="false">IFERROR(INDEX(Section_Master!$D$2:$D$477,MATCH($E2002,Section_Master!$A$2:$A$477,0))&amp;"","")</f>
        <v>Imprisonment up to 2 years, or fine, or both; up to 7 years if by a clerk or servant [s.334]</v>
      </c>
      <c r="G2002" s="10" t="str">
        <f aca="false">IFERROR(INDEX(Section_Master!$E$2:$E$477,MATCH($E2002,Section_Master!$A$2:$A$477,0))&amp;"","")</f>
        <v>No</v>
      </c>
      <c r="H2002" s="10" t="str">
        <f aca="false">IFERROR(INDEX(Section_Master!$F$2:$F$477,MATCH($E2002,Section_Master!$A$2:$A$477,0))&amp;"","")</f>
        <v>Yes</v>
      </c>
      <c r="I2002" s="10" t="str">
        <f aca="false">IFERROR(INDEX(Section_Master!$G$2:$G$477,MATCH($E2002,Section_Master!$A$2:$A$477,0))&amp;"","")</f>
        <v>No</v>
      </c>
      <c r="J2002" s="10" t="s">
        <v>55</v>
      </c>
      <c r="K2002" s="8" t="s">
        <v>4715</v>
      </c>
    </row>
    <row r="2003" customFormat="false" ht="23.25" hidden="false" customHeight="true" outlineLevel="0" collapsed="false">
      <c r="A2003" s="10" t="s">
        <v>4720</v>
      </c>
      <c r="B2003" s="10" t="s">
        <v>45</v>
      </c>
      <c r="C2003" s="8" t="s">
        <v>4713</v>
      </c>
      <c r="D2003" s="8" t="s">
        <v>4721</v>
      </c>
      <c r="E2003" s="11" t="n">
        <v>334</v>
      </c>
      <c r="F2003" s="8" t="str">
        <f aca="false">IFERROR(INDEX(Section_Master!$D$2:$D$477,MATCH($E2003,Section_Master!$A$2:$A$477,0))&amp;"","")</f>
        <v>Imprisonment up to 2 years, or fine, or both; up to 7 years if by a clerk or servant [s.334]</v>
      </c>
      <c r="G2003" s="10" t="str">
        <f aca="false">IFERROR(INDEX(Section_Master!$E$2:$E$477,MATCH($E2003,Section_Master!$A$2:$A$477,0))&amp;"","")</f>
        <v>No</v>
      </c>
      <c r="H2003" s="10" t="str">
        <f aca="false">IFERROR(INDEX(Section_Master!$F$2:$F$477,MATCH($E2003,Section_Master!$A$2:$A$477,0))&amp;"","")</f>
        <v>Yes</v>
      </c>
      <c r="I2003" s="10" t="str">
        <f aca="false">IFERROR(INDEX(Section_Master!$G$2:$G$477,MATCH($E2003,Section_Master!$A$2:$A$477,0))&amp;"","")</f>
        <v>No</v>
      </c>
      <c r="J2003" s="10" t="s">
        <v>58</v>
      </c>
      <c r="K2003" s="8" t="s">
        <v>4715</v>
      </c>
    </row>
    <row r="2004" customFormat="false" ht="23.25" hidden="false" customHeight="true" outlineLevel="0" collapsed="false">
      <c r="A2004" s="10" t="s">
        <v>4722</v>
      </c>
      <c r="B2004" s="10" t="s">
        <v>45</v>
      </c>
      <c r="C2004" s="8" t="s">
        <v>4713</v>
      </c>
      <c r="D2004" s="8" t="s">
        <v>4723</v>
      </c>
      <c r="E2004" s="11" t="n">
        <v>334</v>
      </c>
      <c r="F2004" s="8" t="str">
        <f aca="false">IFERROR(INDEX(Section_Master!$D$2:$D$477,MATCH($E2004,Section_Master!$A$2:$A$477,0))&amp;"","")</f>
        <v>Imprisonment up to 2 years, or fine, or both; up to 7 years if by a clerk or servant [s.334]</v>
      </c>
      <c r="G2004" s="10" t="str">
        <f aca="false">IFERROR(INDEX(Section_Master!$E$2:$E$477,MATCH($E2004,Section_Master!$A$2:$A$477,0))&amp;"","")</f>
        <v>No</v>
      </c>
      <c r="H2004" s="10" t="str">
        <f aca="false">IFERROR(INDEX(Section_Master!$F$2:$F$477,MATCH($E2004,Section_Master!$A$2:$A$477,0))&amp;"","")</f>
        <v>Yes</v>
      </c>
      <c r="I2004" s="10" t="str">
        <f aca="false">IFERROR(INDEX(Section_Master!$G$2:$G$477,MATCH($E2004,Section_Master!$A$2:$A$477,0))&amp;"","")</f>
        <v>No</v>
      </c>
      <c r="J2004" s="10" t="s">
        <v>61</v>
      </c>
      <c r="K2004" s="8" t="s">
        <v>4715</v>
      </c>
    </row>
    <row r="2005" customFormat="false" ht="45.75" hidden="false" customHeight="true" outlineLevel="0" collapsed="false">
      <c r="A2005" s="10" t="s">
        <v>4724</v>
      </c>
      <c r="B2005" s="10" t="s">
        <v>45</v>
      </c>
      <c r="C2005" s="8" t="s">
        <v>4713</v>
      </c>
      <c r="D2005" s="8" t="s">
        <v>4725</v>
      </c>
      <c r="E2005" s="11" t="n">
        <v>334</v>
      </c>
      <c r="F2005" s="8" t="str">
        <f aca="false">IFERROR(INDEX(Section_Master!$D$2:$D$477,MATCH($E2005,Section_Master!$A$2:$A$477,0))&amp;"","")</f>
        <v>Imprisonment up to 2 years, or fine, or both; up to 7 years if by a clerk or servant [s.334]</v>
      </c>
      <c r="G2005" s="10" t="str">
        <f aca="false">IFERROR(INDEX(Section_Master!$E$2:$E$477,MATCH($E2005,Section_Master!$A$2:$A$477,0))&amp;"","")</f>
        <v>No</v>
      </c>
      <c r="H2005" s="10" t="str">
        <f aca="false">IFERROR(INDEX(Section_Master!$F$2:$F$477,MATCH($E2005,Section_Master!$A$2:$A$477,0))&amp;"","")</f>
        <v>Yes</v>
      </c>
      <c r="I2005" s="10" t="str">
        <f aca="false">IFERROR(INDEX(Section_Master!$G$2:$G$477,MATCH($E2005,Section_Master!$A$2:$A$477,0))&amp;"","")</f>
        <v>No</v>
      </c>
      <c r="J2005" s="10" t="s">
        <v>64</v>
      </c>
      <c r="K2005" s="8" t="s">
        <v>4715</v>
      </c>
    </row>
    <row r="2006" customFormat="false" ht="45.75" hidden="false" customHeight="true" outlineLevel="0" collapsed="false">
      <c r="A2006" s="10" t="s">
        <v>4726</v>
      </c>
      <c r="B2006" s="10" t="s">
        <v>45</v>
      </c>
      <c r="C2006" s="8" t="s">
        <v>4727</v>
      </c>
      <c r="D2006" s="8" t="s">
        <v>4728</v>
      </c>
      <c r="E2006" s="11" t="n">
        <v>335</v>
      </c>
      <c r="F2006" s="8" t="str">
        <f aca="false">IFERROR(INDEX(Section_Master!$D$2:$D$477,MATCH($E2006,Section_Master!$A$2:$A$477,0))&amp;"","")</f>
        <v>Not applicable - no offence or penalty defined here (definition, exception or general provision)</v>
      </c>
      <c r="G2006" s="10" t="str">
        <f aca="false">IFERROR(INDEX(Section_Master!$E$2:$E$477,MATCH($E2006,Section_Master!$A$2:$A$477,0))&amp;"","")</f>
        <v>N/A</v>
      </c>
      <c r="H2006" s="10" t="str">
        <f aca="false">IFERROR(INDEX(Section_Master!$F$2:$F$477,MATCH($E2006,Section_Master!$A$2:$A$477,0))&amp;"","")</f>
        <v>N/A</v>
      </c>
      <c r="I2006" s="10" t="str">
        <f aca="false">IFERROR(INDEX(Section_Master!$G$2:$G$477,MATCH($E2006,Section_Master!$A$2:$A$477,0))&amp;"","")</f>
        <v>N/A</v>
      </c>
      <c r="J2006" s="10" t="s">
        <v>48</v>
      </c>
      <c r="K2006" s="8" t="s">
        <v>4729</v>
      </c>
    </row>
    <row r="2007" customFormat="false" ht="45.75" hidden="false" customHeight="true" outlineLevel="0" collapsed="false">
      <c r="A2007" s="10" t="s">
        <v>4730</v>
      </c>
      <c r="B2007" s="10" t="s">
        <v>45</v>
      </c>
      <c r="C2007" s="8" t="s">
        <v>4727</v>
      </c>
      <c r="D2007" s="8" t="s">
        <v>4731</v>
      </c>
      <c r="E2007" s="11" t="n">
        <v>335</v>
      </c>
      <c r="F2007" s="8" t="str">
        <f aca="false">IFERROR(INDEX(Section_Master!$D$2:$D$477,MATCH($E2007,Section_Master!$A$2:$A$477,0))&amp;"","")</f>
        <v>Not applicable - no offence or penalty defined here (definition, exception or general provision)</v>
      </c>
      <c r="G2007" s="10" t="str">
        <f aca="false">IFERROR(INDEX(Section_Master!$E$2:$E$477,MATCH($E2007,Section_Master!$A$2:$A$477,0))&amp;"","")</f>
        <v>N/A</v>
      </c>
      <c r="H2007" s="10" t="str">
        <f aca="false">IFERROR(INDEX(Section_Master!$F$2:$F$477,MATCH($E2007,Section_Master!$A$2:$A$477,0))&amp;"","")</f>
        <v>N/A</v>
      </c>
      <c r="I2007" s="10" t="str">
        <f aca="false">IFERROR(INDEX(Section_Master!$G$2:$G$477,MATCH($E2007,Section_Master!$A$2:$A$477,0))&amp;"","")</f>
        <v>N/A</v>
      </c>
      <c r="J2007" s="10" t="s">
        <v>52</v>
      </c>
      <c r="K2007" s="8" t="s">
        <v>4729</v>
      </c>
    </row>
    <row r="2008" customFormat="false" ht="34.5" hidden="false" customHeight="true" outlineLevel="0" collapsed="false">
      <c r="A2008" s="10" t="s">
        <v>4732</v>
      </c>
      <c r="B2008" s="10" t="s">
        <v>45</v>
      </c>
      <c r="C2008" s="8" t="s">
        <v>4727</v>
      </c>
      <c r="D2008" s="8" t="s">
        <v>4733</v>
      </c>
      <c r="E2008" s="11" t="n">
        <v>335</v>
      </c>
      <c r="F2008" s="8" t="str">
        <f aca="false">IFERROR(INDEX(Section_Master!$D$2:$D$477,MATCH($E2008,Section_Master!$A$2:$A$477,0))&amp;"","")</f>
        <v>Not applicable - no offence or penalty defined here (definition, exception or general provision)</v>
      </c>
      <c r="G2008" s="10" t="str">
        <f aca="false">IFERROR(INDEX(Section_Master!$E$2:$E$477,MATCH($E2008,Section_Master!$A$2:$A$477,0))&amp;"","")</f>
        <v>N/A</v>
      </c>
      <c r="H2008" s="10" t="str">
        <f aca="false">IFERROR(INDEX(Section_Master!$F$2:$F$477,MATCH($E2008,Section_Master!$A$2:$A$477,0))&amp;"","")</f>
        <v>N/A</v>
      </c>
      <c r="I2008" s="10" t="str">
        <f aca="false">IFERROR(INDEX(Section_Master!$G$2:$G$477,MATCH($E2008,Section_Master!$A$2:$A$477,0))&amp;"","")</f>
        <v>N/A</v>
      </c>
      <c r="J2008" s="10" t="s">
        <v>55</v>
      </c>
      <c r="K2008" s="8" t="s">
        <v>4729</v>
      </c>
    </row>
    <row r="2009" customFormat="false" ht="34.5" hidden="false" customHeight="true" outlineLevel="0" collapsed="false">
      <c r="A2009" s="10" t="s">
        <v>4734</v>
      </c>
      <c r="B2009" s="10" t="s">
        <v>45</v>
      </c>
      <c r="C2009" s="8" t="s">
        <v>4727</v>
      </c>
      <c r="D2009" s="8" t="s">
        <v>4735</v>
      </c>
      <c r="E2009" s="11" t="n">
        <v>335</v>
      </c>
      <c r="F2009" s="8" t="str">
        <f aca="false">IFERROR(INDEX(Section_Master!$D$2:$D$477,MATCH($E2009,Section_Master!$A$2:$A$477,0))&amp;"","")</f>
        <v>Not applicable - no offence or penalty defined here (definition, exception or general provision)</v>
      </c>
      <c r="G2009" s="10" t="str">
        <f aca="false">IFERROR(INDEX(Section_Master!$E$2:$E$477,MATCH($E2009,Section_Master!$A$2:$A$477,0))&amp;"","")</f>
        <v>N/A</v>
      </c>
      <c r="H2009" s="10" t="str">
        <f aca="false">IFERROR(INDEX(Section_Master!$F$2:$F$477,MATCH($E2009,Section_Master!$A$2:$A$477,0))&amp;"","")</f>
        <v>N/A</v>
      </c>
      <c r="I2009" s="10" t="str">
        <f aca="false">IFERROR(INDEX(Section_Master!$G$2:$G$477,MATCH($E2009,Section_Master!$A$2:$A$477,0))&amp;"","")</f>
        <v>N/A</v>
      </c>
      <c r="J2009" s="10" t="s">
        <v>58</v>
      </c>
      <c r="K2009" s="8" t="s">
        <v>4729</v>
      </c>
    </row>
    <row r="2010" customFormat="false" ht="34.5" hidden="false" customHeight="true" outlineLevel="0" collapsed="false">
      <c r="A2010" s="10" t="s">
        <v>4736</v>
      </c>
      <c r="B2010" s="10" t="s">
        <v>45</v>
      </c>
      <c r="C2010" s="8" t="s">
        <v>4727</v>
      </c>
      <c r="D2010" s="8" t="s">
        <v>4737</v>
      </c>
      <c r="E2010" s="11" t="n">
        <v>335</v>
      </c>
      <c r="F2010" s="8" t="str">
        <f aca="false">IFERROR(INDEX(Section_Master!$D$2:$D$477,MATCH($E2010,Section_Master!$A$2:$A$477,0))&amp;"","")</f>
        <v>Not applicable - no offence or penalty defined here (definition, exception or general provision)</v>
      </c>
      <c r="G2010" s="10" t="str">
        <f aca="false">IFERROR(INDEX(Section_Master!$E$2:$E$477,MATCH($E2010,Section_Master!$A$2:$A$477,0))&amp;"","")</f>
        <v>N/A</v>
      </c>
      <c r="H2010" s="10" t="str">
        <f aca="false">IFERROR(INDEX(Section_Master!$F$2:$F$477,MATCH($E2010,Section_Master!$A$2:$A$477,0))&amp;"","")</f>
        <v>N/A</v>
      </c>
      <c r="I2010" s="10" t="str">
        <f aca="false">IFERROR(INDEX(Section_Master!$G$2:$G$477,MATCH($E2010,Section_Master!$A$2:$A$477,0))&amp;"","")</f>
        <v>N/A</v>
      </c>
      <c r="J2010" s="10" t="s">
        <v>61</v>
      </c>
      <c r="K2010" s="8" t="s">
        <v>4729</v>
      </c>
    </row>
    <row r="2011" customFormat="false" ht="34.5" hidden="false" customHeight="true" outlineLevel="0" collapsed="false">
      <c r="A2011" s="10" t="s">
        <v>4738</v>
      </c>
      <c r="B2011" s="10" t="s">
        <v>45</v>
      </c>
      <c r="C2011" s="8" t="s">
        <v>4727</v>
      </c>
      <c r="D2011" s="8" t="s">
        <v>4739</v>
      </c>
      <c r="E2011" s="11" t="n">
        <v>335</v>
      </c>
      <c r="F2011" s="8" t="str">
        <f aca="false">IFERROR(INDEX(Section_Master!$D$2:$D$477,MATCH($E2011,Section_Master!$A$2:$A$477,0))&amp;"","")</f>
        <v>Not applicable - no offence or penalty defined here (definition, exception or general provision)</v>
      </c>
      <c r="G2011" s="10" t="str">
        <f aca="false">IFERROR(INDEX(Section_Master!$E$2:$E$477,MATCH($E2011,Section_Master!$A$2:$A$477,0))&amp;"","")</f>
        <v>N/A</v>
      </c>
      <c r="H2011" s="10" t="str">
        <f aca="false">IFERROR(INDEX(Section_Master!$F$2:$F$477,MATCH($E2011,Section_Master!$A$2:$A$477,0))&amp;"","")</f>
        <v>N/A</v>
      </c>
      <c r="I2011" s="10" t="str">
        <f aca="false">IFERROR(INDEX(Section_Master!$G$2:$G$477,MATCH($E2011,Section_Master!$A$2:$A$477,0))&amp;"","")</f>
        <v>N/A</v>
      </c>
      <c r="J2011" s="10" t="s">
        <v>64</v>
      </c>
      <c r="K2011" s="8" t="s">
        <v>4729</v>
      </c>
    </row>
    <row r="2012" customFormat="false" ht="34.5" hidden="false" customHeight="true" outlineLevel="0" collapsed="false">
      <c r="A2012" s="10" t="s">
        <v>4740</v>
      </c>
      <c r="B2012" s="10" t="s">
        <v>45</v>
      </c>
      <c r="C2012" s="8" t="s">
        <v>4741</v>
      </c>
      <c r="D2012" s="8" t="s">
        <v>4742</v>
      </c>
      <c r="E2012" s="11" t="n">
        <v>336</v>
      </c>
      <c r="F2012" s="8" t="str">
        <f aca="false">IFERROR(INDEX(Section_Master!$D$2:$D$477,MATCH($E2012,Section_Master!$A$2:$A$477,0))&amp;"","")</f>
        <v>Imprisonment up to 2 years, or fine, or both [s.336(2)]</v>
      </c>
      <c r="G2012" s="10" t="str">
        <f aca="false">IFERROR(INDEX(Section_Master!$E$2:$E$477,MATCH($E2012,Section_Master!$A$2:$A$477,0))&amp;"","")</f>
        <v>No</v>
      </c>
      <c r="H2012" s="10" t="str">
        <f aca="false">IFERROR(INDEX(Section_Master!$F$2:$F$477,MATCH($E2012,Section_Master!$A$2:$A$477,0))&amp;"","")</f>
        <v>Yes</v>
      </c>
      <c r="I2012" s="10" t="str">
        <f aca="false">IFERROR(INDEX(Section_Master!$G$2:$G$477,MATCH($E2012,Section_Master!$A$2:$A$477,0))&amp;"","")</f>
        <v>No</v>
      </c>
      <c r="J2012" s="10" t="s">
        <v>48</v>
      </c>
      <c r="K2012" s="8" t="s">
        <v>4743</v>
      </c>
    </row>
    <row r="2013" customFormat="false" ht="34.5" hidden="false" customHeight="true" outlineLevel="0" collapsed="false">
      <c r="A2013" s="10" t="s">
        <v>4744</v>
      </c>
      <c r="B2013" s="10" t="s">
        <v>45</v>
      </c>
      <c r="C2013" s="8" t="s">
        <v>4741</v>
      </c>
      <c r="D2013" s="8" t="s">
        <v>4745</v>
      </c>
      <c r="E2013" s="11" t="n">
        <v>336</v>
      </c>
      <c r="F2013" s="8" t="str">
        <f aca="false">IFERROR(INDEX(Section_Master!$D$2:$D$477,MATCH($E2013,Section_Master!$A$2:$A$477,0))&amp;"","")</f>
        <v>Imprisonment up to 2 years, or fine, or both [s.336(2)]</v>
      </c>
      <c r="G2013" s="10" t="str">
        <f aca="false">IFERROR(INDEX(Section_Master!$E$2:$E$477,MATCH($E2013,Section_Master!$A$2:$A$477,0))&amp;"","")</f>
        <v>No</v>
      </c>
      <c r="H2013" s="10" t="str">
        <f aca="false">IFERROR(INDEX(Section_Master!$F$2:$F$477,MATCH($E2013,Section_Master!$A$2:$A$477,0))&amp;"","")</f>
        <v>Yes</v>
      </c>
      <c r="I2013" s="10" t="str">
        <f aca="false">IFERROR(INDEX(Section_Master!$G$2:$G$477,MATCH($E2013,Section_Master!$A$2:$A$477,0))&amp;"","")</f>
        <v>No</v>
      </c>
      <c r="J2013" s="10" t="s">
        <v>52</v>
      </c>
      <c r="K2013" s="8" t="s">
        <v>4743</v>
      </c>
    </row>
    <row r="2014" customFormat="false" ht="34.5" hidden="false" customHeight="true" outlineLevel="0" collapsed="false">
      <c r="A2014" s="10" t="s">
        <v>4746</v>
      </c>
      <c r="B2014" s="10" t="s">
        <v>45</v>
      </c>
      <c r="C2014" s="8" t="s">
        <v>4741</v>
      </c>
      <c r="D2014" s="8" t="s">
        <v>4747</v>
      </c>
      <c r="E2014" s="11" t="n">
        <v>336</v>
      </c>
      <c r="F2014" s="8" t="str">
        <f aca="false">IFERROR(INDEX(Section_Master!$D$2:$D$477,MATCH($E2014,Section_Master!$A$2:$A$477,0))&amp;"","")</f>
        <v>Imprisonment up to 2 years, or fine, or both [s.336(2)]</v>
      </c>
      <c r="G2014" s="10" t="str">
        <f aca="false">IFERROR(INDEX(Section_Master!$E$2:$E$477,MATCH($E2014,Section_Master!$A$2:$A$477,0))&amp;"","")</f>
        <v>No</v>
      </c>
      <c r="H2014" s="10" t="str">
        <f aca="false">IFERROR(INDEX(Section_Master!$F$2:$F$477,MATCH($E2014,Section_Master!$A$2:$A$477,0))&amp;"","")</f>
        <v>Yes</v>
      </c>
      <c r="I2014" s="10" t="str">
        <f aca="false">IFERROR(INDEX(Section_Master!$G$2:$G$477,MATCH($E2014,Section_Master!$A$2:$A$477,0))&amp;"","")</f>
        <v>No</v>
      </c>
      <c r="J2014" s="10" t="s">
        <v>55</v>
      </c>
      <c r="K2014" s="8" t="s">
        <v>4743</v>
      </c>
    </row>
    <row r="2015" customFormat="false" ht="34.5" hidden="false" customHeight="true" outlineLevel="0" collapsed="false">
      <c r="A2015" s="10" t="s">
        <v>4748</v>
      </c>
      <c r="B2015" s="10" t="s">
        <v>45</v>
      </c>
      <c r="C2015" s="8" t="s">
        <v>4741</v>
      </c>
      <c r="D2015" s="8" t="s">
        <v>4749</v>
      </c>
      <c r="E2015" s="11" t="n">
        <v>336</v>
      </c>
      <c r="F2015" s="8" t="str">
        <f aca="false">IFERROR(INDEX(Section_Master!$D$2:$D$477,MATCH($E2015,Section_Master!$A$2:$A$477,0))&amp;"","")</f>
        <v>Imprisonment up to 2 years, or fine, or both [s.336(2)]</v>
      </c>
      <c r="G2015" s="10" t="str">
        <f aca="false">IFERROR(INDEX(Section_Master!$E$2:$E$477,MATCH($E2015,Section_Master!$A$2:$A$477,0))&amp;"","")</f>
        <v>No</v>
      </c>
      <c r="H2015" s="10" t="str">
        <f aca="false">IFERROR(INDEX(Section_Master!$F$2:$F$477,MATCH($E2015,Section_Master!$A$2:$A$477,0))&amp;"","")</f>
        <v>Yes</v>
      </c>
      <c r="I2015" s="10" t="str">
        <f aca="false">IFERROR(INDEX(Section_Master!$G$2:$G$477,MATCH($E2015,Section_Master!$A$2:$A$477,0))&amp;"","")</f>
        <v>No</v>
      </c>
      <c r="J2015" s="10" t="s">
        <v>58</v>
      </c>
      <c r="K2015" s="8" t="s">
        <v>4743</v>
      </c>
    </row>
    <row r="2016" customFormat="false" ht="34.5" hidden="false" customHeight="true" outlineLevel="0" collapsed="false">
      <c r="A2016" s="10" t="s">
        <v>4750</v>
      </c>
      <c r="B2016" s="10" t="s">
        <v>45</v>
      </c>
      <c r="C2016" s="8" t="s">
        <v>4741</v>
      </c>
      <c r="D2016" s="8" t="s">
        <v>4751</v>
      </c>
      <c r="E2016" s="11" t="n">
        <v>336</v>
      </c>
      <c r="F2016" s="8" t="str">
        <f aca="false">IFERROR(INDEX(Section_Master!$D$2:$D$477,MATCH($E2016,Section_Master!$A$2:$A$477,0))&amp;"","")</f>
        <v>Imprisonment up to 2 years, or fine, or both [s.336(2)]</v>
      </c>
      <c r="G2016" s="10" t="str">
        <f aca="false">IFERROR(INDEX(Section_Master!$E$2:$E$477,MATCH($E2016,Section_Master!$A$2:$A$477,0))&amp;"","")</f>
        <v>No</v>
      </c>
      <c r="H2016" s="10" t="str">
        <f aca="false">IFERROR(INDEX(Section_Master!$F$2:$F$477,MATCH($E2016,Section_Master!$A$2:$A$477,0))&amp;"","")</f>
        <v>Yes</v>
      </c>
      <c r="I2016" s="10" t="str">
        <f aca="false">IFERROR(INDEX(Section_Master!$G$2:$G$477,MATCH($E2016,Section_Master!$A$2:$A$477,0))&amp;"","")</f>
        <v>No</v>
      </c>
      <c r="J2016" s="10" t="s">
        <v>61</v>
      </c>
      <c r="K2016" s="8" t="s">
        <v>4743</v>
      </c>
    </row>
    <row r="2017" customFormat="false" ht="34.5" hidden="false" customHeight="true" outlineLevel="0" collapsed="false">
      <c r="A2017" s="10" t="s">
        <v>4752</v>
      </c>
      <c r="B2017" s="10" t="s">
        <v>45</v>
      </c>
      <c r="C2017" s="8" t="s">
        <v>4741</v>
      </c>
      <c r="D2017" s="8" t="s">
        <v>4753</v>
      </c>
      <c r="E2017" s="11" t="n">
        <v>336</v>
      </c>
      <c r="F2017" s="8" t="str">
        <f aca="false">IFERROR(INDEX(Section_Master!$D$2:$D$477,MATCH($E2017,Section_Master!$A$2:$A$477,0))&amp;"","")</f>
        <v>Imprisonment up to 2 years, or fine, or both [s.336(2)]</v>
      </c>
      <c r="G2017" s="10" t="str">
        <f aca="false">IFERROR(INDEX(Section_Master!$E$2:$E$477,MATCH($E2017,Section_Master!$A$2:$A$477,0))&amp;"","")</f>
        <v>No</v>
      </c>
      <c r="H2017" s="10" t="str">
        <f aca="false">IFERROR(INDEX(Section_Master!$F$2:$F$477,MATCH($E2017,Section_Master!$A$2:$A$477,0))&amp;"","")</f>
        <v>Yes</v>
      </c>
      <c r="I2017" s="10" t="str">
        <f aca="false">IFERROR(INDEX(Section_Master!$G$2:$G$477,MATCH($E2017,Section_Master!$A$2:$A$477,0))&amp;"","")</f>
        <v>No</v>
      </c>
      <c r="J2017" s="10" t="s">
        <v>64</v>
      </c>
      <c r="K2017" s="8" t="s">
        <v>4743</v>
      </c>
    </row>
    <row r="2018" customFormat="false" ht="34.5" hidden="false" customHeight="true" outlineLevel="0" collapsed="false">
      <c r="A2018" s="10" t="s">
        <v>4754</v>
      </c>
      <c r="B2018" s="10" t="s">
        <v>45</v>
      </c>
      <c r="C2018" s="8" t="s">
        <v>4755</v>
      </c>
      <c r="D2018" s="8" t="s">
        <v>4756</v>
      </c>
      <c r="E2018" s="11" t="n">
        <v>337</v>
      </c>
      <c r="F2018" s="8" t="str">
        <f aca="false">IFERROR(INDEX(Section_Master!$D$2:$D$477,MATCH($E2018,Section_Master!$A$2:$A$477,0))&amp;"","")</f>
        <v>Imprisonment up to 7 years and fine</v>
      </c>
      <c r="G2018" s="10" t="str">
        <f aca="false">IFERROR(INDEX(Section_Master!$E$2:$E$477,MATCH($E2018,Section_Master!$A$2:$A$477,0))&amp;"","")</f>
        <v>No</v>
      </c>
      <c r="H2018" s="10" t="str">
        <f aca="false">IFERROR(INDEX(Section_Master!$F$2:$F$477,MATCH($E2018,Section_Master!$A$2:$A$477,0))&amp;"","")</f>
        <v>No</v>
      </c>
      <c r="I2018" s="10" t="str">
        <f aca="false">IFERROR(INDEX(Section_Master!$G$2:$G$477,MATCH($E2018,Section_Master!$A$2:$A$477,0))&amp;"","")</f>
        <v>No</v>
      </c>
      <c r="J2018" s="10" t="s">
        <v>48</v>
      </c>
      <c r="K2018" s="8" t="s">
        <v>4757</v>
      </c>
    </row>
    <row r="2019" customFormat="false" ht="34.5" hidden="false" customHeight="true" outlineLevel="0" collapsed="false">
      <c r="A2019" s="10" t="s">
        <v>4758</v>
      </c>
      <c r="B2019" s="10" t="s">
        <v>45</v>
      </c>
      <c r="C2019" s="8" t="s">
        <v>4755</v>
      </c>
      <c r="D2019" s="8" t="s">
        <v>4759</v>
      </c>
      <c r="E2019" s="11" t="n">
        <v>337</v>
      </c>
      <c r="F2019" s="8" t="str">
        <f aca="false">IFERROR(INDEX(Section_Master!$D$2:$D$477,MATCH($E2019,Section_Master!$A$2:$A$477,0))&amp;"","")</f>
        <v>Imprisonment up to 7 years and fine</v>
      </c>
      <c r="G2019" s="10" t="str">
        <f aca="false">IFERROR(INDEX(Section_Master!$E$2:$E$477,MATCH($E2019,Section_Master!$A$2:$A$477,0))&amp;"","")</f>
        <v>No</v>
      </c>
      <c r="H2019" s="10" t="str">
        <f aca="false">IFERROR(INDEX(Section_Master!$F$2:$F$477,MATCH($E2019,Section_Master!$A$2:$A$477,0))&amp;"","")</f>
        <v>No</v>
      </c>
      <c r="I2019" s="10" t="str">
        <f aca="false">IFERROR(INDEX(Section_Master!$G$2:$G$477,MATCH($E2019,Section_Master!$A$2:$A$477,0))&amp;"","")</f>
        <v>No</v>
      </c>
      <c r="J2019" s="10" t="s">
        <v>52</v>
      </c>
      <c r="K2019" s="8" t="s">
        <v>4757</v>
      </c>
    </row>
    <row r="2020" customFormat="false" ht="34.5" hidden="false" customHeight="true" outlineLevel="0" collapsed="false">
      <c r="A2020" s="10" t="s">
        <v>4760</v>
      </c>
      <c r="B2020" s="10" t="s">
        <v>45</v>
      </c>
      <c r="C2020" s="8" t="s">
        <v>4755</v>
      </c>
      <c r="D2020" s="8" t="s">
        <v>4761</v>
      </c>
      <c r="E2020" s="11" t="n">
        <v>337</v>
      </c>
      <c r="F2020" s="8" t="str">
        <f aca="false">IFERROR(INDEX(Section_Master!$D$2:$D$477,MATCH($E2020,Section_Master!$A$2:$A$477,0))&amp;"","")</f>
        <v>Imprisonment up to 7 years and fine</v>
      </c>
      <c r="G2020" s="10" t="str">
        <f aca="false">IFERROR(INDEX(Section_Master!$E$2:$E$477,MATCH($E2020,Section_Master!$A$2:$A$477,0))&amp;"","")</f>
        <v>No</v>
      </c>
      <c r="H2020" s="10" t="str">
        <f aca="false">IFERROR(INDEX(Section_Master!$F$2:$F$477,MATCH($E2020,Section_Master!$A$2:$A$477,0))&amp;"","")</f>
        <v>No</v>
      </c>
      <c r="I2020" s="10" t="str">
        <f aca="false">IFERROR(INDEX(Section_Master!$G$2:$G$477,MATCH($E2020,Section_Master!$A$2:$A$477,0))&amp;"","")</f>
        <v>No</v>
      </c>
      <c r="J2020" s="10" t="s">
        <v>55</v>
      </c>
      <c r="K2020" s="8" t="s">
        <v>4757</v>
      </c>
    </row>
    <row r="2021" customFormat="false" ht="34.5" hidden="false" customHeight="true" outlineLevel="0" collapsed="false">
      <c r="A2021" s="10" t="s">
        <v>4762</v>
      </c>
      <c r="B2021" s="10" t="s">
        <v>45</v>
      </c>
      <c r="C2021" s="8" t="s">
        <v>4755</v>
      </c>
      <c r="D2021" s="8" t="s">
        <v>4763</v>
      </c>
      <c r="E2021" s="11" t="n">
        <v>337</v>
      </c>
      <c r="F2021" s="8" t="str">
        <f aca="false">IFERROR(INDEX(Section_Master!$D$2:$D$477,MATCH($E2021,Section_Master!$A$2:$A$477,0))&amp;"","")</f>
        <v>Imprisonment up to 7 years and fine</v>
      </c>
      <c r="G2021" s="10" t="str">
        <f aca="false">IFERROR(INDEX(Section_Master!$E$2:$E$477,MATCH($E2021,Section_Master!$A$2:$A$477,0))&amp;"","")</f>
        <v>No</v>
      </c>
      <c r="H2021" s="10" t="str">
        <f aca="false">IFERROR(INDEX(Section_Master!$F$2:$F$477,MATCH($E2021,Section_Master!$A$2:$A$477,0))&amp;"","")</f>
        <v>No</v>
      </c>
      <c r="I2021" s="10" t="str">
        <f aca="false">IFERROR(INDEX(Section_Master!$G$2:$G$477,MATCH($E2021,Section_Master!$A$2:$A$477,0))&amp;"","")</f>
        <v>No</v>
      </c>
      <c r="J2021" s="10" t="s">
        <v>58</v>
      </c>
      <c r="K2021" s="8" t="s">
        <v>4757</v>
      </c>
    </row>
    <row r="2022" customFormat="false" ht="34.5" hidden="false" customHeight="true" outlineLevel="0" collapsed="false">
      <c r="A2022" s="10" t="s">
        <v>4764</v>
      </c>
      <c r="B2022" s="10" t="s">
        <v>45</v>
      </c>
      <c r="C2022" s="8" t="s">
        <v>4755</v>
      </c>
      <c r="D2022" s="8" t="s">
        <v>4765</v>
      </c>
      <c r="E2022" s="11" t="n">
        <v>337</v>
      </c>
      <c r="F2022" s="8" t="str">
        <f aca="false">IFERROR(INDEX(Section_Master!$D$2:$D$477,MATCH($E2022,Section_Master!$A$2:$A$477,0))&amp;"","")</f>
        <v>Imprisonment up to 7 years and fine</v>
      </c>
      <c r="G2022" s="10" t="str">
        <f aca="false">IFERROR(INDEX(Section_Master!$E$2:$E$477,MATCH($E2022,Section_Master!$A$2:$A$477,0))&amp;"","")</f>
        <v>No</v>
      </c>
      <c r="H2022" s="10" t="str">
        <f aca="false">IFERROR(INDEX(Section_Master!$F$2:$F$477,MATCH($E2022,Section_Master!$A$2:$A$477,0))&amp;"","")</f>
        <v>No</v>
      </c>
      <c r="I2022" s="10" t="str">
        <f aca="false">IFERROR(INDEX(Section_Master!$G$2:$G$477,MATCH($E2022,Section_Master!$A$2:$A$477,0))&amp;"","")</f>
        <v>No</v>
      </c>
      <c r="J2022" s="10" t="s">
        <v>61</v>
      </c>
      <c r="K2022" s="8" t="s">
        <v>4757</v>
      </c>
    </row>
    <row r="2023" customFormat="false" ht="34.5" hidden="false" customHeight="true" outlineLevel="0" collapsed="false">
      <c r="A2023" s="10" t="s">
        <v>4766</v>
      </c>
      <c r="B2023" s="10" t="s">
        <v>45</v>
      </c>
      <c r="C2023" s="8" t="s">
        <v>4755</v>
      </c>
      <c r="D2023" s="8" t="s">
        <v>4767</v>
      </c>
      <c r="E2023" s="11" t="n">
        <v>337</v>
      </c>
      <c r="F2023" s="8" t="str">
        <f aca="false">IFERROR(INDEX(Section_Master!$D$2:$D$477,MATCH($E2023,Section_Master!$A$2:$A$477,0))&amp;"","")</f>
        <v>Imprisonment up to 7 years and fine</v>
      </c>
      <c r="G2023" s="10" t="str">
        <f aca="false">IFERROR(INDEX(Section_Master!$E$2:$E$477,MATCH($E2023,Section_Master!$A$2:$A$477,0))&amp;"","")</f>
        <v>No</v>
      </c>
      <c r="H2023" s="10" t="str">
        <f aca="false">IFERROR(INDEX(Section_Master!$F$2:$F$477,MATCH($E2023,Section_Master!$A$2:$A$477,0))&amp;"","")</f>
        <v>No</v>
      </c>
      <c r="I2023" s="10" t="str">
        <f aca="false">IFERROR(INDEX(Section_Master!$G$2:$G$477,MATCH($E2023,Section_Master!$A$2:$A$477,0))&amp;"","")</f>
        <v>No</v>
      </c>
      <c r="J2023" s="10" t="s">
        <v>64</v>
      </c>
      <c r="K2023" s="8" t="s">
        <v>4757</v>
      </c>
    </row>
    <row r="2024" customFormat="false" ht="34.5" hidden="false" customHeight="true" outlineLevel="0" collapsed="false">
      <c r="A2024" s="10" t="s">
        <v>4768</v>
      </c>
      <c r="B2024" s="10" t="s">
        <v>45</v>
      </c>
      <c r="C2024" s="8" t="s">
        <v>4769</v>
      </c>
      <c r="D2024" s="8" t="s">
        <v>4770</v>
      </c>
      <c r="E2024" s="11" t="n">
        <v>338</v>
      </c>
      <c r="F2024" s="8" t="str">
        <f aca="false">IFERROR(INDEX(Section_Master!$D$2:$D$477,MATCH($E2024,Section_Master!$A$2:$A$477,0))&amp;"","")</f>
        <v>Imprisonment for life, or up to 7 years, and fine</v>
      </c>
      <c r="G2024" s="10" t="str">
        <f aca="false">IFERROR(INDEX(Section_Master!$E$2:$E$477,MATCH($E2024,Section_Master!$A$2:$A$477,0))&amp;"","")</f>
        <v>Yes</v>
      </c>
      <c r="H2024" s="10" t="str">
        <f aca="false">IFERROR(INDEX(Section_Master!$F$2:$F$477,MATCH($E2024,Section_Master!$A$2:$A$477,0))&amp;"","")</f>
        <v>No</v>
      </c>
      <c r="I2024" s="10" t="str">
        <f aca="false">IFERROR(INDEX(Section_Master!$G$2:$G$477,MATCH($E2024,Section_Master!$A$2:$A$477,0))&amp;"","")</f>
        <v>No</v>
      </c>
      <c r="J2024" s="10" t="s">
        <v>48</v>
      </c>
      <c r="K2024" s="8" t="s">
        <v>4771</v>
      </c>
    </row>
    <row r="2025" customFormat="false" ht="34.5" hidden="false" customHeight="true" outlineLevel="0" collapsed="false">
      <c r="A2025" s="10" t="s">
        <v>4772</v>
      </c>
      <c r="B2025" s="10" t="s">
        <v>45</v>
      </c>
      <c r="C2025" s="8" t="s">
        <v>4769</v>
      </c>
      <c r="D2025" s="8" t="s">
        <v>4773</v>
      </c>
      <c r="E2025" s="11" t="n">
        <v>338</v>
      </c>
      <c r="F2025" s="8" t="str">
        <f aca="false">IFERROR(INDEX(Section_Master!$D$2:$D$477,MATCH($E2025,Section_Master!$A$2:$A$477,0))&amp;"","")</f>
        <v>Imprisonment for life, or up to 7 years, and fine</v>
      </c>
      <c r="G2025" s="10" t="str">
        <f aca="false">IFERROR(INDEX(Section_Master!$E$2:$E$477,MATCH($E2025,Section_Master!$A$2:$A$477,0))&amp;"","")</f>
        <v>Yes</v>
      </c>
      <c r="H2025" s="10" t="str">
        <f aca="false">IFERROR(INDEX(Section_Master!$F$2:$F$477,MATCH($E2025,Section_Master!$A$2:$A$477,0))&amp;"","")</f>
        <v>No</v>
      </c>
      <c r="I2025" s="10" t="str">
        <f aca="false">IFERROR(INDEX(Section_Master!$G$2:$G$477,MATCH($E2025,Section_Master!$A$2:$A$477,0))&amp;"","")</f>
        <v>No</v>
      </c>
      <c r="J2025" s="10" t="s">
        <v>52</v>
      </c>
      <c r="K2025" s="8" t="s">
        <v>4771</v>
      </c>
    </row>
    <row r="2026" customFormat="false" ht="23.25" hidden="false" customHeight="true" outlineLevel="0" collapsed="false">
      <c r="A2026" s="10" t="s">
        <v>4774</v>
      </c>
      <c r="B2026" s="10" t="s">
        <v>45</v>
      </c>
      <c r="C2026" s="8" t="s">
        <v>4769</v>
      </c>
      <c r="D2026" s="8" t="s">
        <v>4775</v>
      </c>
      <c r="E2026" s="11" t="n">
        <v>338</v>
      </c>
      <c r="F2026" s="8" t="str">
        <f aca="false">IFERROR(INDEX(Section_Master!$D$2:$D$477,MATCH($E2026,Section_Master!$A$2:$A$477,0))&amp;"","")</f>
        <v>Imprisonment for life, or up to 7 years, and fine</v>
      </c>
      <c r="G2026" s="10" t="str">
        <f aca="false">IFERROR(INDEX(Section_Master!$E$2:$E$477,MATCH($E2026,Section_Master!$A$2:$A$477,0))&amp;"","")</f>
        <v>Yes</v>
      </c>
      <c r="H2026" s="10" t="str">
        <f aca="false">IFERROR(INDEX(Section_Master!$F$2:$F$477,MATCH($E2026,Section_Master!$A$2:$A$477,0))&amp;"","")</f>
        <v>No</v>
      </c>
      <c r="I2026" s="10" t="str">
        <f aca="false">IFERROR(INDEX(Section_Master!$G$2:$G$477,MATCH($E2026,Section_Master!$A$2:$A$477,0))&amp;"","")</f>
        <v>No</v>
      </c>
      <c r="J2026" s="10" t="s">
        <v>55</v>
      </c>
      <c r="K2026" s="8" t="s">
        <v>4771</v>
      </c>
    </row>
    <row r="2027" customFormat="false" ht="34.5" hidden="false" customHeight="true" outlineLevel="0" collapsed="false">
      <c r="A2027" s="10" t="s">
        <v>4776</v>
      </c>
      <c r="B2027" s="10" t="s">
        <v>45</v>
      </c>
      <c r="C2027" s="8" t="s">
        <v>4769</v>
      </c>
      <c r="D2027" s="8" t="s">
        <v>4777</v>
      </c>
      <c r="E2027" s="11" t="n">
        <v>338</v>
      </c>
      <c r="F2027" s="8" t="str">
        <f aca="false">IFERROR(INDEX(Section_Master!$D$2:$D$477,MATCH($E2027,Section_Master!$A$2:$A$477,0))&amp;"","")</f>
        <v>Imprisonment for life, or up to 7 years, and fine</v>
      </c>
      <c r="G2027" s="10" t="str">
        <f aca="false">IFERROR(INDEX(Section_Master!$E$2:$E$477,MATCH($E2027,Section_Master!$A$2:$A$477,0))&amp;"","")</f>
        <v>Yes</v>
      </c>
      <c r="H2027" s="10" t="str">
        <f aca="false">IFERROR(INDEX(Section_Master!$F$2:$F$477,MATCH($E2027,Section_Master!$A$2:$A$477,0))&amp;"","")</f>
        <v>No</v>
      </c>
      <c r="I2027" s="10" t="str">
        <f aca="false">IFERROR(INDEX(Section_Master!$G$2:$G$477,MATCH($E2027,Section_Master!$A$2:$A$477,0))&amp;"","")</f>
        <v>No</v>
      </c>
      <c r="J2027" s="10" t="s">
        <v>58</v>
      </c>
      <c r="K2027" s="8" t="s">
        <v>4771</v>
      </c>
    </row>
    <row r="2028" customFormat="false" ht="34.5" hidden="false" customHeight="true" outlineLevel="0" collapsed="false">
      <c r="A2028" s="10" t="s">
        <v>4778</v>
      </c>
      <c r="B2028" s="10" t="s">
        <v>45</v>
      </c>
      <c r="C2028" s="8" t="s">
        <v>4769</v>
      </c>
      <c r="D2028" s="8" t="s">
        <v>4779</v>
      </c>
      <c r="E2028" s="11" t="n">
        <v>338</v>
      </c>
      <c r="F2028" s="8" t="str">
        <f aca="false">IFERROR(INDEX(Section_Master!$D$2:$D$477,MATCH($E2028,Section_Master!$A$2:$A$477,0))&amp;"","")</f>
        <v>Imprisonment for life, or up to 7 years, and fine</v>
      </c>
      <c r="G2028" s="10" t="str">
        <f aca="false">IFERROR(INDEX(Section_Master!$E$2:$E$477,MATCH($E2028,Section_Master!$A$2:$A$477,0))&amp;"","")</f>
        <v>Yes</v>
      </c>
      <c r="H2028" s="10" t="str">
        <f aca="false">IFERROR(INDEX(Section_Master!$F$2:$F$477,MATCH($E2028,Section_Master!$A$2:$A$477,0))&amp;"","")</f>
        <v>No</v>
      </c>
      <c r="I2028" s="10" t="str">
        <f aca="false">IFERROR(INDEX(Section_Master!$G$2:$G$477,MATCH($E2028,Section_Master!$A$2:$A$477,0))&amp;"","")</f>
        <v>No</v>
      </c>
      <c r="J2028" s="10" t="s">
        <v>61</v>
      </c>
      <c r="K2028" s="8" t="s">
        <v>4771</v>
      </c>
    </row>
    <row r="2029" customFormat="false" ht="34.5" hidden="false" customHeight="true" outlineLevel="0" collapsed="false">
      <c r="A2029" s="10" t="s">
        <v>4780</v>
      </c>
      <c r="B2029" s="10" t="s">
        <v>45</v>
      </c>
      <c r="C2029" s="8" t="s">
        <v>4769</v>
      </c>
      <c r="D2029" s="8" t="s">
        <v>4781</v>
      </c>
      <c r="E2029" s="11" t="n">
        <v>338</v>
      </c>
      <c r="F2029" s="8" t="str">
        <f aca="false">IFERROR(INDEX(Section_Master!$D$2:$D$477,MATCH($E2029,Section_Master!$A$2:$A$477,0))&amp;"","")</f>
        <v>Imprisonment for life, or up to 7 years, and fine</v>
      </c>
      <c r="G2029" s="10" t="str">
        <f aca="false">IFERROR(INDEX(Section_Master!$E$2:$E$477,MATCH($E2029,Section_Master!$A$2:$A$477,0))&amp;"","")</f>
        <v>Yes</v>
      </c>
      <c r="H2029" s="10" t="str">
        <f aca="false">IFERROR(INDEX(Section_Master!$F$2:$F$477,MATCH($E2029,Section_Master!$A$2:$A$477,0))&amp;"","")</f>
        <v>No</v>
      </c>
      <c r="I2029" s="10" t="str">
        <f aca="false">IFERROR(INDEX(Section_Master!$G$2:$G$477,MATCH($E2029,Section_Master!$A$2:$A$477,0))&amp;"","")</f>
        <v>No</v>
      </c>
      <c r="J2029" s="10" t="s">
        <v>64</v>
      </c>
      <c r="K2029" s="8" t="s">
        <v>4771</v>
      </c>
    </row>
    <row r="2030" customFormat="false" ht="45.75" hidden="false" customHeight="true" outlineLevel="0" collapsed="false">
      <c r="A2030" s="10" t="s">
        <v>4782</v>
      </c>
      <c r="B2030" s="10" t="s">
        <v>45</v>
      </c>
      <c r="C2030" s="8" t="s">
        <v>4783</v>
      </c>
      <c r="D2030" s="8" t="s">
        <v>4784</v>
      </c>
      <c r="E2030" s="11" t="n">
        <v>339</v>
      </c>
      <c r="F2030" s="8" t="str">
        <f aca="false">IFERROR(INDEX(Section_Master!$D$2:$D$477,MATCH($E2030,Section_Master!$A$2:$A$477,0))&amp;"","")</f>
        <v>Imprisonment up to 7 years and fine; life or 7 years for documents under s.338 [s.339]</v>
      </c>
      <c r="G2030" s="10" t="str">
        <f aca="false">IFERROR(INDEX(Section_Master!$E$2:$E$477,MATCH($E2030,Section_Master!$A$2:$A$477,0))&amp;"","")</f>
        <v>Varies by sub-section</v>
      </c>
      <c r="H2030" s="10" t="str">
        <f aca="false">IFERROR(INDEX(Section_Master!$F$2:$F$477,MATCH($E2030,Section_Master!$A$2:$A$477,0))&amp;"","")</f>
        <v>No</v>
      </c>
      <c r="I2030" s="10" t="str">
        <f aca="false">IFERROR(INDEX(Section_Master!$G$2:$G$477,MATCH($E2030,Section_Master!$A$2:$A$477,0))&amp;"","")</f>
        <v>No</v>
      </c>
      <c r="J2030" s="10" t="s">
        <v>48</v>
      </c>
      <c r="K2030" s="8" t="s">
        <v>4785</v>
      </c>
    </row>
    <row r="2031" customFormat="false" ht="45.75" hidden="false" customHeight="true" outlineLevel="0" collapsed="false">
      <c r="A2031" s="10" t="s">
        <v>4786</v>
      </c>
      <c r="B2031" s="10" t="s">
        <v>45</v>
      </c>
      <c r="C2031" s="8" t="s">
        <v>4783</v>
      </c>
      <c r="D2031" s="8" t="s">
        <v>4787</v>
      </c>
      <c r="E2031" s="11" t="n">
        <v>339</v>
      </c>
      <c r="F2031" s="8" t="str">
        <f aca="false">IFERROR(INDEX(Section_Master!$D$2:$D$477,MATCH($E2031,Section_Master!$A$2:$A$477,0))&amp;"","")</f>
        <v>Imprisonment up to 7 years and fine; life or 7 years for documents under s.338 [s.339]</v>
      </c>
      <c r="G2031" s="10" t="str">
        <f aca="false">IFERROR(INDEX(Section_Master!$E$2:$E$477,MATCH($E2031,Section_Master!$A$2:$A$477,0))&amp;"","")</f>
        <v>Varies by sub-section</v>
      </c>
      <c r="H2031" s="10" t="str">
        <f aca="false">IFERROR(INDEX(Section_Master!$F$2:$F$477,MATCH($E2031,Section_Master!$A$2:$A$477,0))&amp;"","")</f>
        <v>No</v>
      </c>
      <c r="I2031" s="10" t="str">
        <f aca="false">IFERROR(INDEX(Section_Master!$G$2:$G$477,MATCH($E2031,Section_Master!$A$2:$A$477,0))&amp;"","")</f>
        <v>No</v>
      </c>
      <c r="J2031" s="10" t="s">
        <v>52</v>
      </c>
      <c r="K2031" s="8" t="s">
        <v>4785</v>
      </c>
    </row>
    <row r="2032" customFormat="false" ht="45.75" hidden="false" customHeight="true" outlineLevel="0" collapsed="false">
      <c r="A2032" s="10" t="s">
        <v>4788</v>
      </c>
      <c r="B2032" s="10" t="s">
        <v>45</v>
      </c>
      <c r="C2032" s="8" t="s">
        <v>4783</v>
      </c>
      <c r="D2032" s="8" t="s">
        <v>4789</v>
      </c>
      <c r="E2032" s="11" t="n">
        <v>339</v>
      </c>
      <c r="F2032" s="8" t="str">
        <f aca="false">IFERROR(INDEX(Section_Master!$D$2:$D$477,MATCH($E2032,Section_Master!$A$2:$A$477,0))&amp;"","")</f>
        <v>Imprisonment up to 7 years and fine; life or 7 years for documents under s.338 [s.339]</v>
      </c>
      <c r="G2032" s="10" t="str">
        <f aca="false">IFERROR(INDEX(Section_Master!$E$2:$E$477,MATCH($E2032,Section_Master!$A$2:$A$477,0))&amp;"","")</f>
        <v>Varies by sub-section</v>
      </c>
      <c r="H2032" s="10" t="str">
        <f aca="false">IFERROR(INDEX(Section_Master!$F$2:$F$477,MATCH($E2032,Section_Master!$A$2:$A$477,0))&amp;"","")</f>
        <v>No</v>
      </c>
      <c r="I2032" s="10" t="str">
        <f aca="false">IFERROR(INDEX(Section_Master!$G$2:$G$477,MATCH($E2032,Section_Master!$A$2:$A$477,0))&amp;"","")</f>
        <v>No</v>
      </c>
      <c r="J2032" s="10" t="s">
        <v>55</v>
      </c>
      <c r="K2032" s="8" t="s">
        <v>4785</v>
      </c>
    </row>
    <row r="2033" customFormat="false" ht="45.75" hidden="false" customHeight="true" outlineLevel="0" collapsed="false">
      <c r="A2033" s="10" t="s">
        <v>4790</v>
      </c>
      <c r="B2033" s="10" t="s">
        <v>45</v>
      </c>
      <c r="C2033" s="8" t="s">
        <v>4783</v>
      </c>
      <c r="D2033" s="8" t="s">
        <v>4791</v>
      </c>
      <c r="E2033" s="11" t="n">
        <v>339</v>
      </c>
      <c r="F2033" s="8" t="str">
        <f aca="false">IFERROR(INDEX(Section_Master!$D$2:$D$477,MATCH($E2033,Section_Master!$A$2:$A$477,0))&amp;"","")</f>
        <v>Imprisonment up to 7 years and fine; life or 7 years for documents under s.338 [s.339]</v>
      </c>
      <c r="G2033" s="10" t="str">
        <f aca="false">IFERROR(INDEX(Section_Master!$E$2:$E$477,MATCH($E2033,Section_Master!$A$2:$A$477,0))&amp;"","")</f>
        <v>Varies by sub-section</v>
      </c>
      <c r="H2033" s="10" t="str">
        <f aca="false">IFERROR(INDEX(Section_Master!$F$2:$F$477,MATCH($E2033,Section_Master!$A$2:$A$477,0))&amp;"","")</f>
        <v>No</v>
      </c>
      <c r="I2033" s="10" t="str">
        <f aca="false">IFERROR(INDEX(Section_Master!$G$2:$G$477,MATCH($E2033,Section_Master!$A$2:$A$477,0))&amp;"","")</f>
        <v>No</v>
      </c>
      <c r="J2033" s="10" t="s">
        <v>58</v>
      </c>
      <c r="K2033" s="8" t="s">
        <v>4785</v>
      </c>
    </row>
    <row r="2034" customFormat="false" ht="45.75" hidden="false" customHeight="true" outlineLevel="0" collapsed="false">
      <c r="A2034" s="10" t="s">
        <v>4792</v>
      </c>
      <c r="B2034" s="10" t="s">
        <v>45</v>
      </c>
      <c r="C2034" s="8" t="s">
        <v>4783</v>
      </c>
      <c r="D2034" s="8" t="s">
        <v>4793</v>
      </c>
      <c r="E2034" s="11" t="n">
        <v>339</v>
      </c>
      <c r="F2034" s="8" t="str">
        <f aca="false">IFERROR(INDEX(Section_Master!$D$2:$D$477,MATCH($E2034,Section_Master!$A$2:$A$477,0))&amp;"","")</f>
        <v>Imprisonment up to 7 years and fine; life or 7 years for documents under s.338 [s.339]</v>
      </c>
      <c r="G2034" s="10" t="str">
        <f aca="false">IFERROR(INDEX(Section_Master!$E$2:$E$477,MATCH($E2034,Section_Master!$A$2:$A$477,0))&amp;"","")</f>
        <v>Varies by sub-section</v>
      </c>
      <c r="H2034" s="10" t="str">
        <f aca="false">IFERROR(INDEX(Section_Master!$F$2:$F$477,MATCH($E2034,Section_Master!$A$2:$A$477,0))&amp;"","")</f>
        <v>No</v>
      </c>
      <c r="I2034" s="10" t="str">
        <f aca="false">IFERROR(INDEX(Section_Master!$G$2:$G$477,MATCH($E2034,Section_Master!$A$2:$A$477,0))&amp;"","")</f>
        <v>No</v>
      </c>
      <c r="J2034" s="10" t="s">
        <v>61</v>
      </c>
      <c r="K2034" s="8" t="s">
        <v>4785</v>
      </c>
    </row>
    <row r="2035" customFormat="false" ht="45.75" hidden="false" customHeight="true" outlineLevel="0" collapsed="false">
      <c r="A2035" s="10" t="s">
        <v>4794</v>
      </c>
      <c r="B2035" s="10" t="s">
        <v>45</v>
      </c>
      <c r="C2035" s="8" t="s">
        <v>4783</v>
      </c>
      <c r="D2035" s="8" t="s">
        <v>4795</v>
      </c>
      <c r="E2035" s="11" t="n">
        <v>339</v>
      </c>
      <c r="F2035" s="8" t="str">
        <f aca="false">IFERROR(INDEX(Section_Master!$D$2:$D$477,MATCH($E2035,Section_Master!$A$2:$A$477,0))&amp;"","")</f>
        <v>Imprisonment up to 7 years and fine; life or 7 years for documents under s.338 [s.339]</v>
      </c>
      <c r="G2035" s="10" t="str">
        <f aca="false">IFERROR(INDEX(Section_Master!$E$2:$E$477,MATCH($E2035,Section_Master!$A$2:$A$477,0))&amp;"","")</f>
        <v>Varies by sub-section</v>
      </c>
      <c r="H2035" s="10" t="str">
        <f aca="false">IFERROR(INDEX(Section_Master!$F$2:$F$477,MATCH($E2035,Section_Master!$A$2:$A$477,0))&amp;"","")</f>
        <v>No</v>
      </c>
      <c r="I2035" s="10" t="str">
        <f aca="false">IFERROR(INDEX(Section_Master!$G$2:$G$477,MATCH($E2035,Section_Master!$A$2:$A$477,0))&amp;"","")</f>
        <v>No</v>
      </c>
      <c r="J2035" s="10" t="s">
        <v>64</v>
      </c>
      <c r="K2035" s="8" t="s">
        <v>4785</v>
      </c>
    </row>
    <row r="2036" customFormat="false" ht="34.5" hidden="false" customHeight="true" outlineLevel="0" collapsed="false">
      <c r="A2036" s="10" t="s">
        <v>4796</v>
      </c>
      <c r="B2036" s="10" t="s">
        <v>45</v>
      </c>
      <c r="C2036" s="8" t="s">
        <v>4797</v>
      </c>
      <c r="D2036" s="8" t="s">
        <v>4798</v>
      </c>
      <c r="E2036" s="11" t="n">
        <v>340</v>
      </c>
      <c r="F2036" s="8" t="str">
        <f aca="false">IFERROR(INDEX(Section_Master!$D$2:$D$477,MATCH($E2036,Section_Master!$A$2:$A$477,0))&amp;"","")</f>
        <v>Same punishment as for forging that document</v>
      </c>
      <c r="G2036" s="10" t="str">
        <f aca="false">IFERROR(INDEX(Section_Master!$E$2:$E$477,MATCH($E2036,Section_Master!$A$2:$A$477,0))&amp;"","")</f>
        <v>Varies by sub-section</v>
      </c>
      <c r="H2036" s="10" t="str">
        <f aca="false">IFERROR(INDEX(Section_Master!$F$2:$F$477,MATCH($E2036,Section_Master!$A$2:$A$477,0))&amp;"","")</f>
        <v>Varies by sub-section</v>
      </c>
      <c r="I2036" s="10" t="str">
        <f aca="false">IFERROR(INDEX(Section_Master!$G$2:$G$477,MATCH($E2036,Section_Master!$A$2:$A$477,0))&amp;"","")</f>
        <v>No</v>
      </c>
      <c r="J2036" s="10" t="s">
        <v>48</v>
      </c>
      <c r="K2036" s="8" t="s">
        <v>4799</v>
      </c>
    </row>
    <row r="2037" customFormat="false" ht="45.75" hidden="false" customHeight="true" outlineLevel="0" collapsed="false">
      <c r="A2037" s="10" t="s">
        <v>4800</v>
      </c>
      <c r="B2037" s="10" t="s">
        <v>45</v>
      </c>
      <c r="C2037" s="8" t="s">
        <v>4797</v>
      </c>
      <c r="D2037" s="8" t="s">
        <v>4801</v>
      </c>
      <c r="E2037" s="11" t="n">
        <v>340</v>
      </c>
      <c r="F2037" s="8" t="str">
        <f aca="false">IFERROR(INDEX(Section_Master!$D$2:$D$477,MATCH($E2037,Section_Master!$A$2:$A$477,0))&amp;"","")</f>
        <v>Same punishment as for forging that document</v>
      </c>
      <c r="G2037" s="10" t="str">
        <f aca="false">IFERROR(INDEX(Section_Master!$E$2:$E$477,MATCH($E2037,Section_Master!$A$2:$A$477,0))&amp;"","")</f>
        <v>Varies by sub-section</v>
      </c>
      <c r="H2037" s="10" t="str">
        <f aca="false">IFERROR(INDEX(Section_Master!$F$2:$F$477,MATCH($E2037,Section_Master!$A$2:$A$477,0))&amp;"","")</f>
        <v>Varies by sub-section</v>
      </c>
      <c r="I2037" s="10" t="str">
        <f aca="false">IFERROR(INDEX(Section_Master!$G$2:$G$477,MATCH($E2037,Section_Master!$A$2:$A$477,0))&amp;"","")</f>
        <v>No</v>
      </c>
      <c r="J2037" s="10" t="s">
        <v>52</v>
      </c>
      <c r="K2037" s="8" t="s">
        <v>4799</v>
      </c>
    </row>
    <row r="2038" customFormat="false" ht="34.5" hidden="false" customHeight="true" outlineLevel="0" collapsed="false">
      <c r="A2038" s="10" t="s">
        <v>4802</v>
      </c>
      <c r="B2038" s="10" t="s">
        <v>45</v>
      </c>
      <c r="C2038" s="8" t="s">
        <v>4797</v>
      </c>
      <c r="D2038" s="8" t="s">
        <v>4803</v>
      </c>
      <c r="E2038" s="11" t="n">
        <v>340</v>
      </c>
      <c r="F2038" s="8" t="str">
        <f aca="false">IFERROR(INDEX(Section_Master!$D$2:$D$477,MATCH($E2038,Section_Master!$A$2:$A$477,0))&amp;"","")</f>
        <v>Same punishment as for forging that document</v>
      </c>
      <c r="G2038" s="10" t="str">
        <f aca="false">IFERROR(INDEX(Section_Master!$E$2:$E$477,MATCH($E2038,Section_Master!$A$2:$A$477,0))&amp;"","")</f>
        <v>Varies by sub-section</v>
      </c>
      <c r="H2038" s="10" t="str">
        <f aca="false">IFERROR(INDEX(Section_Master!$F$2:$F$477,MATCH($E2038,Section_Master!$A$2:$A$477,0))&amp;"","")</f>
        <v>Varies by sub-section</v>
      </c>
      <c r="I2038" s="10" t="str">
        <f aca="false">IFERROR(INDEX(Section_Master!$G$2:$G$477,MATCH($E2038,Section_Master!$A$2:$A$477,0))&amp;"","")</f>
        <v>No</v>
      </c>
      <c r="J2038" s="10" t="s">
        <v>55</v>
      </c>
      <c r="K2038" s="8" t="s">
        <v>4799</v>
      </c>
    </row>
    <row r="2039" customFormat="false" ht="23.25" hidden="false" customHeight="true" outlineLevel="0" collapsed="false">
      <c r="A2039" s="10" t="s">
        <v>4804</v>
      </c>
      <c r="B2039" s="10" t="s">
        <v>45</v>
      </c>
      <c r="C2039" s="8" t="s">
        <v>4797</v>
      </c>
      <c r="D2039" s="8" t="s">
        <v>4805</v>
      </c>
      <c r="E2039" s="11" t="n">
        <v>340</v>
      </c>
      <c r="F2039" s="8" t="str">
        <f aca="false">IFERROR(INDEX(Section_Master!$D$2:$D$477,MATCH($E2039,Section_Master!$A$2:$A$477,0))&amp;"","")</f>
        <v>Same punishment as for forging that document</v>
      </c>
      <c r="G2039" s="10" t="str">
        <f aca="false">IFERROR(INDEX(Section_Master!$E$2:$E$477,MATCH($E2039,Section_Master!$A$2:$A$477,0))&amp;"","")</f>
        <v>Varies by sub-section</v>
      </c>
      <c r="H2039" s="10" t="str">
        <f aca="false">IFERROR(INDEX(Section_Master!$F$2:$F$477,MATCH($E2039,Section_Master!$A$2:$A$477,0))&amp;"","")</f>
        <v>Varies by sub-section</v>
      </c>
      <c r="I2039" s="10" t="str">
        <f aca="false">IFERROR(INDEX(Section_Master!$G$2:$G$477,MATCH($E2039,Section_Master!$A$2:$A$477,0))&amp;"","")</f>
        <v>No</v>
      </c>
      <c r="J2039" s="10" t="s">
        <v>58</v>
      </c>
      <c r="K2039" s="8" t="s">
        <v>4799</v>
      </c>
    </row>
    <row r="2040" customFormat="false" ht="34.5" hidden="false" customHeight="true" outlineLevel="0" collapsed="false">
      <c r="A2040" s="10" t="s">
        <v>4806</v>
      </c>
      <c r="B2040" s="10" t="s">
        <v>45</v>
      </c>
      <c r="C2040" s="8" t="s">
        <v>4797</v>
      </c>
      <c r="D2040" s="8" t="s">
        <v>4807</v>
      </c>
      <c r="E2040" s="11" t="n">
        <v>340</v>
      </c>
      <c r="F2040" s="8" t="str">
        <f aca="false">IFERROR(INDEX(Section_Master!$D$2:$D$477,MATCH($E2040,Section_Master!$A$2:$A$477,0))&amp;"","")</f>
        <v>Same punishment as for forging that document</v>
      </c>
      <c r="G2040" s="10" t="str">
        <f aca="false">IFERROR(INDEX(Section_Master!$E$2:$E$477,MATCH($E2040,Section_Master!$A$2:$A$477,0))&amp;"","")</f>
        <v>Varies by sub-section</v>
      </c>
      <c r="H2040" s="10" t="str">
        <f aca="false">IFERROR(INDEX(Section_Master!$F$2:$F$477,MATCH($E2040,Section_Master!$A$2:$A$477,0))&amp;"","")</f>
        <v>Varies by sub-section</v>
      </c>
      <c r="I2040" s="10" t="str">
        <f aca="false">IFERROR(INDEX(Section_Master!$G$2:$G$477,MATCH($E2040,Section_Master!$A$2:$A$477,0))&amp;"","")</f>
        <v>No</v>
      </c>
      <c r="J2040" s="10" t="s">
        <v>61</v>
      </c>
      <c r="K2040" s="8" t="s">
        <v>4799</v>
      </c>
    </row>
    <row r="2041" customFormat="false" ht="34.5" hidden="false" customHeight="true" outlineLevel="0" collapsed="false">
      <c r="A2041" s="10" t="s">
        <v>4808</v>
      </c>
      <c r="B2041" s="10" t="s">
        <v>45</v>
      </c>
      <c r="C2041" s="8" t="s">
        <v>4797</v>
      </c>
      <c r="D2041" s="8" t="s">
        <v>4809</v>
      </c>
      <c r="E2041" s="11" t="n">
        <v>340</v>
      </c>
      <c r="F2041" s="8" t="str">
        <f aca="false">IFERROR(INDEX(Section_Master!$D$2:$D$477,MATCH($E2041,Section_Master!$A$2:$A$477,0))&amp;"","")</f>
        <v>Same punishment as for forging that document</v>
      </c>
      <c r="G2041" s="10" t="str">
        <f aca="false">IFERROR(INDEX(Section_Master!$E$2:$E$477,MATCH($E2041,Section_Master!$A$2:$A$477,0))&amp;"","")</f>
        <v>Varies by sub-section</v>
      </c>
      <c r="H2041" s="10" t="str">
        <f aca="false">IFERROR(INDEX(Section_Master!$F$2:$F$477,MATCH($E2041,Section_Master!$A$2:$A$477,0))&amp;"","")</f>
        <v>Varies by sub-section</v>
      </c>
      <c r="I2041" s="10" t="str">
        <f aca="false">IFERROR(INDEX(Section_Master!$G$2:$G$477,MATCH($E2041,Section_Master!$A$2:$A$477,0))&amp;"","")</f>
        <v>No</v>
      </c>
      <c r="J2041" s="10" t="s">
        <v>64</v>
      </c>
      <c r="K2041" s="8" t="s">
        <v>4799</v>
      </c>
    </row>
    <row r="2042" customFormat="false" ht="45.75" hidden="false" customHeight="true" outlineLevel="0" collapsed="false">
      <c r="A2042" s="10" t="s">
        <v>4810</v>
      </c>
      <c r="B2042" s="10" t="s">
        <v>45</v>
      </c>
      <c r="C2042" s="8" t="s">
        <v>4811</v>
      </c>
      <c r="D2042" s="8" t="s">
        <v>4812</v>
      </c>
      <c r="E2042" s="11" t="n">
        <v>341</v>
      </c>
      <c r="F2042" s="8" t="str">
        <f aca="false">IFERROR(INDEX(Section_Master!$D$2:$D$477,MATCH($E2042,Section_Master!$A$2:$A$477,0))&amp;"","")</f>
        <v>Imprisonment for life, or up to 7 years, and fine [s.341]</v>
      </c>
      <c r="G2042" s="10" t="str">
        <f aca="false">IFERROR(INDEX(Section_Master!$E$2:$E$477,MATCH($E2042,Section_Master!$A$2:$A$477,0))&amp;"","")</f>
        <v>Varies by sub-section</v>
      </c>
      <c r="H2042" s="10" t="str">
        <f aca="false">IFERROR(INDEX(Section_Master!$F$2:$F$477,MATCH($E2042,Section_Master!$A$2:$A$477,0))&amp;"","")</f>
        <v>No</v>
      </c>
      <c r="I2042" s="10" t="str">
        <f aca="false">IFERROR(INDEX(Section_Master!$G$2:$G$477,MATCH($E2042,Section_Master!$A$2:$A$477,0))&amp;"","")</f>
        <v>No</v>
      </c>
      <c r="J2042" s="10" t="s">
        <v>48</v>
      </c>
      <c r="K2042" s="8" t="s">
        <v>4813</v>
      </c>
    </row>
    <row r="2043" customFormat="false" ht="45.75" hidden="false" customHeight="true" outlineLevel="0" collapsed="false">
      <c r="A2043" s="10" t="s">
        <v>4814</v>
      </c>
      <c r="B2043" s="10" t="s">
        <v>45</v>
      </c>
      <c r="C2043" s="8" t="s">
        <v>4811</v>
      </c>
      <c r="D2043" s="8" t="s">
        <v>4815</v>
      </c>
      <c r="E2043" s="11" t="n">
        <v>341</v>
      </c>
      <c r="F2043" s="8" t="str">
        <f aca="false">IFERROR(INDEX(Section_Master!$D$2:$D$477,MATCH($E2043,Section_Master!$A$2:$A$477,0))&amp;"","")</f>
        <v>Imprisonment for life, or up to 7 years, and fine [s.341]</v>
      </c>
      <c r="G2043" s="10" t="str">
        <f aca="false">IFERROR(INDEX(Section_Master!$E$2:$E$477,MATCH($E2043,Section_Master!$A$2:$A$477,0))&amp;"","")</f>
        <v>Varies by sub-section</v>
      </c>
      <c r="H2043" s="10" t="str">
        <f aca="false">IFERROR(INDEX(Section_Master!$F$2:$F$477,MATCH($E2043,Section_Master!$A$2:$A$477,0))&amp;"","")</f>
        <v>No</v>
      </c>
      <c r="I2043" s="10" t="str">
        <f aca="false">IFERROR(INDEX(Section_Master!$G$2:$G$477,MATCH($E2043,Section_Master!$A$2:$A$477,0))&amp;"","")</f>
        <v>No</v>
      </c>
      <c r="J2043" s="10" t="s">
        <v>52</v>
      </c>
      <c r="K2043" s="8" t="s">
        <v>4813</v>
      </c>
    </row>
    <row r="2044" customFormat="false" ht="34.5" hidden="false" customHeight="true" outlineLevel="0" collapsed="false">
      <c r="A2044" s="10" t="s">
        <v>4816</v>
      </c>
      <c r="B2044" s="10" t="s">
        <v>45</v>
      </c>
      <c r="C2044" s="8" t="s">
        <v>4811</v>
      </c>
      <c r="D2044" s="8" t="s">
        <v>4817</v>
      </c>
      <c r="E2044" s="11" t="n">
        <v>341</v>
      </c>
      <c r="F2044" s="8" t="str">
        <f aca="false">IFERROR(INDEX(Section_Master!$D$2:$D$477,MATCH($E2044,Section_Master!$A$2:$A$477,0))&amp;"","")</f>
        <v>Imprisonment for life, or up to 7 years, and fine [s.341]</v>
      </c>
      <c r="G2044" s="10" t="str">
        <f aca="false">IFERROR(INDEX(Section_Master!$E$2:$E$477,MATCH($E2044,Section_Master!$A$2:$A$477,0))&amp;"","")</f>
        <v>Varies by sub-section</v>
      </c>
      <c r="H2044" s="10" t="str">
        <f aca="false">IFERROR(INDEX(Section_Master!$F$2:$F$477,MATCH($E2044,Section_Master!$A$2:$A$477,0))&amp;"","")</f>
        <v>No</v>
      </c>
      <c r="I2044" s="10" t="str">
        <f aca="false">IFERROR(INDEX(Section_Master!$G$2:$G$477,MATCH($E2044,Section_Master!$A$2:$A$477,0))&amp;"","")</f>
        <v>No</v>
      </c>
      <c r="J2044" s="10" t="s">
        <v>55</v>
      </c>
      <c r="K2044" s="8" t="s">
        <v>4813</v>
      </c>
    </row>
    <row r="2045" customFormat="false" ht="34.5" hidden="false" customHeight="true" outlineLevel="0" collapsed="false">
      <c r="A2045" s="10" t="s">
        <v>4818</v>
      </c>
      <c r="B2045" s="10" t="s">
        <v>45</v>
      </c>
      <c r="C2045" s="8" t="s">
        <v>4811</v>
      </c>
      <c r="D2045" s="8" t="s">
        <v>4819</v>
      </c>
      <c r="E2045" s="11" t="n">
        <v>341</v>
      </c>
      <c r="F2045" s="8" t="str">
        <f aca="false">IFERROR(INDEX(Section_Master!$D$2:$D$477,MATCH($E2045,Section_Master!$A$2:$A$477,0))&amp;"","")</f>
        <v>Imprisonment for life, or up to 7 years, and fine [s.341]</v>
      </c>
      <c r="G2045" s="10" t="str">
        <f aca="false">IFERROR(INDEX(Section_Master!$E$2:$E$477,MATCH($E2045,Section_Master!$A$2:$A$477,0))&amp;"","")</f>
        <v>Varies by sub-section</v>
      </c>
      <c r="H2045" s="10" t="str">
        <f aca="false">IFERROR(INDEX(Section_Master!$F$2:$F$477,MATCH($E2045,Section_Master!$A$2:$A$477,0))&amp;"","")</f>
        <v>No</v>
      </c>
      <c r="I2045" s="10" t="str">
        <f aca="false">IFERROR(INDEX(Section_Master!$G$2:$G$477,MATCH($E2045,Section_Master!$A$2:$A$477,0))&amp;"","")</f>
        <v>No</v>
      </c>
      <c r="J2045" s="10" t="s">
        <v>58</v>
      </c>
      <c r="K2045" s="8" t="s">
        <v>4813</v>
      </c>
    </row>
    <row r="2046" customFormat="false" ht="34.5" hidden="false" customHeight="true" outlineLevel="0" collapsed="false">
      <c r="A2046" s="10" t="s">
        <v>4820</v>
      </c>
      <c r="B2046" s="10" t="s">
        <v>45</v>
      </c>
      <c r="C2046" s="8" t="s">
        <v>4811</v>
      </c>
      <c r="D2046" s="8" t="s">
        <v>4821</v>
      </c>
      <c r="E2046" s="11" t="n">
        <v>341</v>
      </c>
      <c r="F2046" s="8" t="str">
        <f aca="false">IFERROR(INDEX(Section_Master!$D$2:$D$477,MATCH($E2046,Section_Master!$A$2:$A$477,0))&amp;"","")</f>
        <v>Imprisonment for life, or up to 7 years, and fine [s.341]</v>
      </c>
      <c r="G2046" s="10" t="str">
        <f aca="false">IFERROR(INDEX(Section_Master!$E$2:$E$477,MATCH($E2046,Section_Master!$A$2:$A$477,0))&amp;"","")</f>
        <v>Varies by sub-section</v>
      </c>
      <c r="H2046" s="10" t="str">
        <f aca="false">IFERROR(INDEX(Section_Master!$F$2:$F$477,MATCH($E2046,Section_Master!$A$2:$A$477,0))&amp;"","")</f>
        <v>No</v>
      </c>
      <c r="I2046" s="10" t="str">
        <f aca="false">IFERROR(INDEX(Section_Master!$G$2:$G$477,MATCH($E2046,Section_Master!$A$2:$A$477,0))&amp;"","")</f>
        <v>No</v>
      </c>
      <c r="J2046" s="10" t="s">
        <v>61</v>
      </c>
      <c r="K2046" s="8" t="s">
        <v>4813</v>
      </c>
    </row>
    <row r="2047" customFormat="false" ht="34.5" hidden="false" customHeight="true" outlineLevel="0" collapsed="false">
      <c r="A2047" s="10" t="s">
        <v>4822</v>
      </c>
      <c r="B2047" s="10" t="s">
        <v>45</v>
      </c>
      <c r="C2047" s="8" t="s">
        <v>4811</v>
      </c>
      <c r="D2047" s="8" t="s">
        <v>4823</v>
      </c>
      <c r="E2047" s="11" t="n">
        <v>341</v>
      </c>
      <c r="F2047" s="8" t="str">
        <f aca="false">IFERROR(INDEX(Section_Master!$D$2:$D$477,MATCH($E2047,Section_Master!$A$2:$A$477,0))&amp;"","")</f>
        <v>Imprisonment for life, or up to 7 years, and fine [s.341]</v>
      </c>
      <c r="G2047" s="10" t="str">
        <f aca="false">IFERROR(INDEX(Section_Master!$E$2:$E$477,MATCH($E2047,Section_Master!$A$2:$A$477,0))&amp;"","")</f>
        <v>Varies by sub-section</v>
      </c>
      <c r="H2047" s="10" t="str">
        <f aca="false">IFERROR(INDEX(Section_Master!$F$2:$F$477,MATCH($E2047,Section_Master!$A$2:$A$477,0))&amp;"","")</f>
        <v>No</v>
      </c>
      <c r="I2047" s="10" t="str">
        <f aca="false">IFERROR(INDEX(Section_Master!$G$2:$G$477,MATCH($E2047,Section_Master!$A$2:$A$477,0))&amp;"","")</f>
        <v>No</v>
      </c>
      <c r="J2047" s="10" t="s">
        <v>64</v>
      </c>
      <c r="K2047" s="8" t="s">
        <v>4813</v>
      </c>
    </row>
    <row r="2048" customFormat="false" ht="45.75" hidden="false" customHeight="true" outlineLevel="0" collapsed="false">
      <c r="A2048" s="10" t="s">
        <v>4824</v>
      </c>
      <c r="B2048" s="10" t="s">
        <v>45</v>
      </c>
      <c r="C2048" s="8" t="s">
        <v>4825</v>
      </c>
      <c r="D2048" s="8" t="s">
        <v>4826</v>
      </c>
      <c r="E2048" s="11" t="n">
        <v>342</v>
      </c>
      <c r="F2048" s="8" t="str">
        <f aca="false">IFERROR(INDEX(Section_Master!$D$2:$D$477,MATCH($E2048,Section_Master!$A$2:$A$477,0))&amp;"","")</f>
        <v>Imprisonment for life, or up to 7 years, and fine; up to 7 years and fine for lesser cases [s.342]</v>
      </c>
      <c r="G2048" s="10" t="str">
        <f aca="false">IFERROR(INDEX(Section_Master!$E$2:$E$477,MATCH($E2048,Section_Master!$A$2:$A$477,0))&amp;"","")</f>
        <v>Varies by sub-section</v>
      </c>
      <c r="H2048" s="10" t="str">
        <f aca="false">IFERROR(INDEX(Section_Master!$F$2:$F$477,MATCH($E2048,Section_Master!$A$2:$A$477,0))&amp;"","")</f>
        <v>No</v>
      </c>
      <c r="I2048" s="10" t="str">
        <f aca="false">IFERROR(INDEX(Section_Master!$G$2:$G$477,MATCH($E2048,Section_Master!$A$2:$A$477,0))&amp;"","")</f>
        <v>No</v>
      </c>
      <c r="J2048" s="10" t="s">
        <v>48</v>
      </c>
      <c r="K2048" s="8" t="s">
        <v>4827</v>
      </c>
    </row>
    <row r="2049" customFormat="false" ht="45.75" hidden="false" customHeight="true" outlineLevel="0" collapsed="false">
      <c r="A2049" s="10" t="s">
        <v>4828</v>
      </c>
      <c r="B2049" s="10" t="s">
        <v>45</v>
      </c>
      <c r="C2049" s="8" t="s">
        <v>4825</v>
      </c>
      <c r="D2049" s="8" t="s">
        <v>4829</v>
      </c>
      <c r="E2049" s="11" t="n">
        <v>342</v>
      </c>
      <c r="F2049" s="8" t="str">
        <f aca="false">IFERROR(INDEX(Section_Master!$D$2:$D$477,MATCH($E2049,Section_Master!$A$2:$A$477,0))&amp;"","")</f>
        <v>Imprisonment for life, or up to 7 years, and fine; up to 7 years and fine for lesser cases [s.342]</v>
      </c>
      <c r="G2049" s="10" t="str">
        <f aca="false">IFERROR(INDEX(Section_Master!$E$2:$E$477,MATCH($E2049,Section_Master!$A$2:$A$477,0))&amp;"","")</f>
        <v>Varies by sub-section</v>
      </c>
      <c r="H2049" s="10" t="str">
        <f aca="false">IFERROR(INDEX(Section_Master!$F$2:$F$477,MATCH($E2049,Section_Master!$A$2:$A$477,0))&amp;"","")</f>
        <v>No</v>
      </c>
      <c r="I2049" s="10" t="str">
        <f aca="false">IFERROR(INDEX(Section_Master!$G$2:$G$477,MATCH($E2049,Section_Master!$A$2:$A$477,0))&amp;"","")</f>
        <v>No</v>
      </c>
      <c r="J2049" s="10" t="s">
        <v>52</v>
      </c>
      <c r="K2049" s="8" t="s">
        <v>4827</v>
      </c>
    </row>
    <row r="2050" customFormat="false" ht="45.75" hidden="false" customHeight="true" outlineLevel="0" collapsed="false">
      <c r="A2050" s="10" t="s">
        <v>4830</v>
      </c>
      <c r="B2050" s="10" t="s">
        <v>45</v>
      </c>
      <c r="C2050" s="8" t="s">
        <v>4825</v>
      </c>
      <c r="D2050" s="8" t="s">
        <v>4831</v>
      </c>
      <c r="E2050" s="11" t="n">
        <v>342</v>
      </c>
      <c r="F2050" s="8" t="str">
        <f aca="false">IFERROR(INDEX(Section_Master!$D$2:$D$477,MATCH($E2050,Section_Master!$A$2:$A$477,0))&amp;"","")</f>
        <v>Imprisonment for life, or up to 7 years, and fine; up to 7 years and fine for lesser cases [s.342]</v>
      </c>
      <c r="G2050" s="10" t="str">
        <f aca="false">IFERROR(INDEX(Section_Master!$E$2:$E$477,MATCH($E2050,Section_Master!$A$2:$A$477,0))&amp;"","")</f>
        <v>Varies by sub-section</v>
      </c>
      <c r="H2050" s="10" t="str">
        <f aca="false">IFERROR(INDEX(Section_Master!$F$2:$F$477,MATCH($E2050,Section_Master!$A$2:$A$477,0))&amp;"","")</f>
        <v>No</v>
      </c>
      <c r="I2050" s="10" t="str">
        <f aca="false">IFERROR(INDEX(Section_Master!$G$2:$G$477,MATCH($E2050,Section_Master!$A$2:$A$477,0))&amp;"","")</f>
        <v>No</v>
      </c>
      <c r="J2050" s="10" t="s">
        <v>55</v>
      </c>
      <c r="K2050" s="8" t="s">
        <v>4827</v>
      </c>
    </row>
    <row r="2051" customFormat="false" ht="45.75" hidden="false" customHeight="true" outlineLevel="0" collapsed="false">
      <c r="A2051" s="10" t="s">
        <v>4832</v>
      </c>
      <c r="B2051" s="10" t="s">
        <v>45</v>
      </c>
      <c r="C2051" s="8" t="s">
        <v>4825</v>
      </c>
      <c r="D2051" s="8" t="s">
        <v>4833</v>
      </c>
      <c r="E2051" s="11" t="n">
        <v>342</v>
      </c>
      <c r="F2051" s="8" t="str">
        <f aca="false">IFERROR(INDEX(Section_Master!$D$2:$D$477,MATCH($E2051,Section_Master!$A$2:$A$477,0))&amp;"","")</f>
        <v>Imprisonment for life, or up to 7 years, and fine; up to 7 years and fine for lesser cases [s.342]</v>
      </c>
      <c r="G2051" s="10" t="str">
        <f aca="false">IFERROR(INDEX(Section_Master!$E$2:$E$477,MATCH($E2051,Section_Master!$A$2:$A$477,0))&amp;"","")</f>
        <v>Varies by sub-section</v>
      </c>
      <c r="H2051" s="10" t="str">
        <f aca="false">IFERROR(INDEX(Section_Master!$F$2:$F$477,MATCH($E2051,Section_Master!$A$2:$A$477,0))&amp;"","")</f>
        <v>No</v>
      </c>
      <c r="I2051" s="10" t="str">
        <f aca="false">IFERROR(INDEX(Section_Master!$G$2:$G$477,MATCH($E2051,Section_Master!$A$2:$A$477,0))&amp;"","")</f>
        <v>No</v>
      </c>
      <c r="J2051" s="10" t="s">
        <v>58</v>
      </c>
      <c r="K2051" s="8" t="s">
        <v>4827</v>
      </c>
    </row>
    <row r="2052" customFormat="false" ht="45.75" hidden="false" customHeight="true" outlineLevel="0" collapsed="false">
      <c r="A2052" s="10" t="s">
        <v>4834</v>
      </c>
      <c r="B2052" s="10" t="s">
        <v>45</v>
      </c>
      <c r="C2052" s="8" t="s">
        <v>4825</v>
      </c>
      <c r="D2052" s="8" t="s">
        <v>4835</v>
      </c>
      <c r="E2052" s="11" t="n">
        <v>342</v>
      </c>
      <c r="F2052" s="8" t="str">
        <f aca="false">IFERROR(INDEX(Section_Master!$D$2:$D$477,MATCH($E2052,Section_Master!$A$2:$A$477,0))&amp;"","")</f>
        <v>Imprisonment for life, or up to 7 years, and fine; up to 7 years and fine for lesser cases [s.342]</v>
      </c>
      <c r="G2052" s="10" t="str">
        <f aca="false">IFERROR(INDEX(Section_Master!$E$2:$E$477,MATCH($E2052,Section_Master!$A$2:$A$477,0))&amp;"","")</f>
        <v>Varies by sub-section</v>
      </c>
      <c r="H2052" s="10" t="str">
        <f aca="false">IFERROR(INDEX(Section_Master!$F$2:$F$477,MATCH($E2052,Section_Master!$A$2:$A$477,0))&amp;"","")</f>
        <v>No</v>
      </c>
      <c r="I2052" s="10" t="str">
        <f aca="false">IFERROR(INDEX(Section_Master!$G$2:$G$477,MATCH($E2052,Section_Master!$A$2:$A$477,0))&amp;"","")</f>
        <v>No</v>
      </c>
      <c r="J2052" s="10" t="s">
        <v>61</v>
      </c>
      <c r="K2052" s="8" t="s">
        <v>4827</v>
      </c>
    </row>
    <row r="2053" customFormat="false" ht="45.75" hidden="false" customHeight="true" outlineLevel="0" collapsed="false">
      <c r="A2053" s="10" t="s">
        <v>4836</v>
      </c>
      <c r="B2053" s="10" t="s">
        <v>45</v>
      </c>
      <c r="C2053" s="8" t="s">
        <v>4825</v>
      </c>
      <c r="D2053" s="8" t="s">
        <v>4837</v>
      </c>
      <c r="E2053" s="11" t="n">
        <v>342</v>
      </c>
      <c r="F2053" s="8" t="str">
        <f aca="false">IFERROR(INDEX(Section_Master!$D$2:$D$477,MATCH($E2053,Section_Master!$A$2:$A$477,0))&amp;"","")</f>
        <v>Imprisonment for life, or up to 7 years, and fine; up to 7 years and fine for lesser cases [s.342]</v>
      </c>
      <c r="G2053" s="10" t="str">
        <f aca="false">IFERROR(INDEX(Section_Master!$E$2:$E$477,MATCH($E2053,Section_Master!$A$2:$A$477,0))&amp;"","")</f>
        <v>Varies by sub-section</v>
      </c>
      <c r="H2053" s="10" t="str">
        <f aca="false">IFERROR(INDEX(Section_Master!$F$2:$F$477,MATCH($E2053,Section_Master!$A$2:$A$477,0))&amp;"","")</f>
        <v>No</v>
      </c>
      <c r="I2053" s="10" t="str">
        <f aca="false">IFERROR(INDEX(Section_Master!$G$2:$G$477,MATCH($E2053,Section_Master!$A$2:$A$477,0))&amp;"","")</f>
        <v>No</v>
      </c>
      <c r="J2053" s="10" t="s">
        <v>64</v>
      </c>
      <c r="K2053" s="8" t="s">
        <v>4827</v>
      </c>
    </row>
    <row r="2054" customFormat="false" ht="34.5" hidden="false" customHeight="true" outlineLevel="0" collapsed="false">
      <c r="A2054" s="10" t="s">
        <v>4838</v>
      </c>
      <c r="B2054" s="10" t="s">
        <v>45</v>
      </c>
      <c r="C2054" s="8" t="s">
        <v>4839</v>
      </c>
      <c r="D2054" s="8" t="s">
        <v>4840</v>
      </c>
      <c r="E2054" s="11" t="n">
        <v>343</v>
      </c>
      <c r="F2054" s="8" t="str">
        <f aca="false">IFERROR(INDEX(Section_Master!$D$2:$D$477,MATCH($E2054,Section_Master!$A$2:$A$477,0))&amp;"","")</f>
        <v>Imprisonment for life, or up to 7 years, and fine</v>
      </c>
      <c r="G2054" s="10" t="str">
        <f aca="false">IFERROR(INDEX(Section_Master!$E$2:$E$477,MATCH($E2054,Section_Master!$A$2:$A$477,0))&amp;"","")</f>
        <v>Varies by sub-section</v>
      </c>
      <c r="H2054" s="10" t="str">
        <f aca="false">IFERROR(INDEX(Section_Master!$F$2:$F$477,MATCH($E2054,Section_Master!$A$2:$A$477,0))&amp;"","")</f>
        <v>No</v>
      </c>
      <c r="I2054" s="10" t="str">
        <f aca="false">IFERROR(INDEX(Section_Master!$G$2:$G$477,MATCH($E2054,Section_Master!$A$2:$A$477,0))&amp;"","")</f>
        <v>No</v>
      </c>
      <c r="J2054" s="10" t="s">
        <v>48</v>
      </c>
      <c r="K2054" s="8" t="s">
        <v>4841</v>
      </c>
    </row>
    <row r="2055" customFormat="false" ht="45.75" hidden="false" customHeight="true" outlineLevel="0" collapsed="false">
      <c r="A2055" s="10" t="s">
        <v>4842</v>
      </c>
      <c r="B2055" s="10" t="s">
        <v>45</v>
      </c>
      <c r="C2055" s="8" t="s">
        <v>4839</v>
      </c>
      <c r="D2055" s="8" t="s">
        <v>4843</v>
      </c>
      <c r="E2055" s="11" t="n">
        <v>343</v>
      </c>
      <c r="F2055" s="8" t="str">
        <f aca="false">IFERROR(INDEX(Section_Master!$D$2:$D$477,MATCH($E2055,Section_Master!$A$2:$A$477,0))&amp;"","")</f>
        <v>Imprisonment for life, or up to 7 years, and fine</v>
      </c>
      <c r="G2055" s="10" t="str">
        <f aca="false">IFERROR(INDEX(Section_Master!$E$2:$E$477,MATCH($E2055,Section_Master!$A$2:$A$477,0))&amp;"","")</f>
        <v>Varies by sub-section</v>
      </c>
      <c r="H2055" s="10" t="str">
        <f aca="false">IFERROR(INDEX(Section_Master!$F$2:$F$477,MATCH($E2055,Section_Master!$A$2:$A$477,0))&amp;"","")</f>
        <v>No</v>
      </c>
      <c r="I2055" s="10" t="str">
        <f aca="false">IFERROR(INDEX(Section_Master!$G$2:$G$477,MATCH($E2055,Section_Master!$A$2:$A$477,0))&amp;"","")</f>
        <v>No</v>
      </c>
      <c r="J2055" s="10" t="s">
        <v>52</v>
      </c>
      <c r="K2055" s="8" t="s">
        <v>4841</v>
      </c>
    </row>
    <row r="2056" customFormat="false" ht="34.5" hidden="false" customHeight="true" outlineLevel="0" collapsed="false">
      <c r="A2056" s="10" t="s">
        <v>4844</v>
      </c>
      <c r="B2056" s="10" t="s">
        <v>45</v>
      </c>
      <c r="C2056" s="8" t="s">
        <v>4839</v>
      </c>
      <c r="D2056" s="8" t="s">
        <v>4845</v>
      </c>
      <c r="E2056" s="11" t="n">
        <v>343</v>
      </c>
      <c r="F2056" s="8" t="str">
        <f aca="false">IFERROR(INDEX(Section_Master!$D$2:$D$477,MATCH($E2056,Section_Master!$A$2:$A$477,0))&amp;"","")</f>
        <v>Imprisonment for life, or up to 7 years, and fine</v>
      </c>
      <c r="G2056" s="10" t="str">
        <f aca="false">IFERROR(INDEX(Section_Master!$E$2:$E$477,MATCH($E2056,Section_Master!$A$2:$A$477,0))&amp;"","")</f>
        <v>Varies by sub-section</v>
      </c>
      <c r="H2056" s="10" t="str">
        <f aca="false">IFERROR(INDEX(Section_Master!$F$2:$F$477,MATCH($E2056,Section_Master!$A$2:$A$477,0))&amp;"","")</f>
        <v>No</v>
      </c>
      <c r="I2056" s="10" t="str">
        <f aca="false">IFERROR(INDEX(Section_Master!$G$2:$G$477,MATCH($E2056,Section_Master!$A$2:$A$477,0))&amp;"","")</f>
        <v>No</v>
      </c>
      <c r="J2056" s="10" t="s">
        <v>55</v>
      </c>
      <c r="K2056" s="8" t="s">
        <v>4841</v>
      </c>
    </row>
    <row r="2057" customFormat="false" ht="34.5" hidden="false" customHeight="true" outlineLevel="0" collapsed="false">
      <c r="A2057" s="10" t="s">
        <v>4846</v>
      </c>
      <c r="B2057" s="10" t="s">
        <v>45</v>
      </c>
      <c r="C2057" s="8" t="s">
        <v>4839</v>
      </c>
      <c r="D2057" s="8" t="s">
        <v>4847</v>
      </c>
      <c r="E2057" s="11" t="n">
        <v>343</v>
      </c>
      <c r="F2057" s="8" t="str">
        <f aca="false">IFERROR(INDEX(Section_Master!$D$2:$D$477,MATCH($E2057,Section_Master!$A$2:$A$477,0))&amp;"","")</f>
        <v>Imprisonment for life, or up to 7 years, and fine</v>
      </c>
      <c r="G2057" s="10" t="str">
        <f aca="false">IFERROR(INDEX(Section_Master!$E$2:$E$477,MATCH($E2057,Section_Master!$A$2:$A$477,0))&amp;"","")</f>
        <v>Varies by sub-section</v>
      </c>
      <c r="H2057" s="10" t="str">
        <f aca="false">IFERROR(INDEX(Section_Master!$F$2:$F$477,MATCH($E2057,Section_Master!$A$2:$A$477,0))&amp;"","")</f>
        <v>No</v>
      </c>
      <c r="I2057" s="10" t="str">
        <f aca="false">IFERROR(INDEX(Section_Master!$G$2:$G$477,MATCH($E2057,Section_Master!$A$2:$A$477,0))&amp;"","")</f>
        <v>No</v>
      </c>
      <c r="J2057" s="10" t="s">
        <v>58</v>
      </c>
      <c r="K2057" s="8" t="s">
        <v>4841</v>
      </c>
    </row>
    <row r="2058" customFormat="false" ht="34.5" hidden="false" customHeight="true" outlineLevel="0" collapsed="false">
      <c r="A2058" s="10" t="s">
        <v>4848</v>
      </c>
      <c r="B2058" s="10" t="s">
        <v>45</v>
      </c>
      <c r="C2058" s="8" t="s">
        <v>4839</v>
      </c>
      <c r="D2058" s="8" t="s">
        <v>4849</v>
      </c>
      <c r="E2058" s="11" t="n">
        <v>343</v>
      </c>
      <c r="F2058" s="8" t="str">
        <f aca="false">IFERROR(INDEX(Section_Master!$D$2:$D$477,MATCH($E2058,Section_Master!$A$2:$A$477,0))&amp;"","")</f>
        <v>Imprisonment for life, or up to 7 years, and fine</v>
      </c>
      <c r="G2058" s="10" t="str">
        <f aca="false">IFERROR(INDEX(Section_Master!$E$2:$E$477,MATCH($E2058,Section_Master!$A$2:$A$477,0))&amp;"","")</f>
        <v>Varies by sub-section</v>
      </c>
      <c r="H2058" s="10" t="str">
        <f aca="false">IFERROR(INDEX(Section_Master!$F$2:$F$477,MATCH($E2058,Section_Master!$A$2:$A$477,0))&amp;"","")</f>
        <v>No</v>
      </c>
      <c r="I2058" s="10" t="str">
        <f aca="false">IFERROR(INDEX(Section_Master!$G$2:$G$477,MATCH($E2058,Section_Master!$A$2:$A$477,0))&amp;"","")</f>
        <v>No</v>
      </c>
      <c r="J2058" s="10" t="s">
        <v>61</v>
      </c>
      <c r="K2058" s="8" t="s">
        <v>4841</v>
      </c>
    </row>
    <row r="2059" customFormat="false" ht="34.5" hidden="false" customHeight="true" outlineLevel="0" collapsed="false">
      <c r="A2059" s="10" t="s">
        <v>4850</v>
      </c>
      <c r="B2059" s="10" t="s">
        <v>45</v>
      </c>
      <c r="C2059" s="8" t="s">
        <v>4839</v>
      </c>
      <c r="D2059" s="8" t="s">
        <v>4851</v>
      </c>
      <c r="E2059" s="11" t="n">
        <v>343</v>
      </c>
      <c r="F2059" s="8" t="str">
        <f aca="false">IFERROR(INDEX(Section_Master!$D$2:$D$477,MATCH($E2059,Section_Master!$A$2:$A$477,0))&amp;"","")</f>
        <v>Imprisonment for life, or up to 7 years, and fine</v>
      </c>
      <c r="G2059" s="10" t="str">
        <f aca="false">IFERROR(INDEX(Section_Master!$E$2:$E$477,MATCH($E2059,Section_Master!$A$2:$A$477,0))&amp;"","")</f>
        <v>Varies by sub-section</v>
      </c>
      <c r="H2059" s="10" t="str">
        <f aca="false">IFERROR(INDEX(Section_Master!$F$2:$F$477,MATCH($E2059,Section_Master!$A$2:$A$477,0))&amp;"","")</f>
        <v>No</v>
      </c>
      <c r="I2059" s="10" t="str">
        <f aca="false">IFERROR(INDEX(Section_Master!$G$2:$G$477,MATCH($E2059,Section_Master!$A$2:$A$477,0))&amp;"","")</f>
        <v>No</v>
      </c>
      <c r="J2059" s="10" t="s">
        <v>64</v>
      </c>
      <c r="K2059" s="8" t="s">
        <v>4841</v>
      </c>
    </row>
    <row r="2060" customFormat="false" ht="34.5" hidden="false" customHeight="true" outlineLevel="0" collapsed="false">
      <c r="A2060" s="10" t="s">
        <v>4852</v>
      </c>
      <c r="B2060" s="10" t="s">
        <v>45</v>
      </c>
      <c r="C2060" s="8" t="s">
        <v>4853</v>
      </c>
      <c r="D2060" s="8" t="s">
        <v>4854</v>
      </c>
      <c r="E2060" s="11" t="n">
        <v>344</v>
      </c>
      <c r="F2060" s="8" t="str">
        <f aca="false">IFERROR(INDEX(Section_Master!$D$2:$D$477,MATCH($E2060,Section_Master!$A$2:$A$477,0))&amp;"","")</f>
        <v>Imprisonment up to 7 years, or fine, or both</v>
      </c>
      <c r="G2060" s="10" t="str">
        <f aca="false">IFERROR(INDEX(Section_Master!$E$2:$E$477,MATCH($E2060,Section_Master!$A$2:$A$477,0))&amp;"","")</f>
        <v>No</v>
      </c>
      <c r="H2060" s="10" t="str">
        <f aca="false">IFERROR(INDEX(Section_Master!$F$2:$F$477,MATCH($E2060,Section_Master!$A$2:$A$477,0))&amp;"","")</f>
        <v>Yes</v>
      </c>
      <c r="I2060" s="10" t="str">
        <f aca="false">IFERROR(INDEX(Section_Master!$G$2:$G$477,MATCH($E2060,Section_Master!$A$2:$A$477,0))&amp;"","")</f>
        <v>No</v>
      </c>
      <c r="J2060" s="10" t="s">
        <v>48</v>
      </c>
      <c r="K2060" s="8" t="s">
        <v>4855</v>
      </c>
    </row>
    <row r="2061" customFormat="false" ht="34.5" hidden="false" customHeight="true" outlineLevel="0" collapsed="false">
      <c r="A2061" s="10" t="s">
        <v>4856</v>
      </c>
      <c r="B2061" s="10" t="s">
        <v>45</v>
      </c>
      <c r="C2061" s="8" t="s">
        <v>4853</v>
      </c>
      <c r="D2061" s="8" t="s">
        <v>4857</v>
      </c>
      <c r="E2061" s="11" t="n">
        <v>344</v>
      </c>
      <c r="F2061" s="8" t="str">
        <f aca="false">IFERROR(INDEX(Section_Master!$D$2:$D$477,MATCH($E2061,Section_Master!$A$2:$A$477,0))&amp;"","")</f>
        <v>Imprisonment up to 7 years, or fine, or both</v>
      </c>
      <c r="G2061" s="10" t="str">
        <f aca="false">IFERROR(INDEX(Section_Master!$E$2:$E$477,MATCH($E2061,Section_Master!$A$2:$A$477,0))&amp;"","")</f>
        <v>No</v>
      </c>
      <c r="H2061" s="10" t="str">
        <f aca="false">IFERROR(INDEX(Section_Master!$F$2:$F$477,MATCH($E2061,Section_Master!$A$2:$A$477,0))&amp;"","")</f>
        <v>Yes</v>
      </c>
      <c r="I2061" s="10" t="str">
        <f aca="false">IFERROR(INDEX(Section_Master!$G$2:$G$477,MATCH($E2061,Section_Master!$A$2:$A$477,0))&amp;"","")</f>
        <v>No</v>
      </c>
      <c r="J2061" s="10" t="s">
        <v>52</v>
      </c>
      <c r="K2061" s="8" t="s">
        <v>4855</v>
      </c>
    </row>
    <row r="2062" customFormat="false" ht="34.5" hidden="false" customHeight="true" outlineLevel="0" collapsed="false">
      <c r="A2062" s="10" t="s">
        <v>4858</v>
      </c>
      <c r="B2062" s="10" t="s">
        <v>45</v>
      </c>
      <c r="C2062" s="8" t="s">
        <v>4853</v>
      </c>
      <c r="D2062" s="8" t="s">
        <v>4859</v>
      </c>
      <c r="E2062" s="11" t="n">
        <v>344</v>
      </c>
      <c r="F2062" s="8" t="str">
        <f aca="false">IFERROR(INDEX(Section_Master!$D$2:$D$477,MATCH($E2062,Section_Master!$A$2:$A$477,0))&amp;"","")</f>
        <v>Imprisonment up to 7 years, or fine, or both</v>
      </c>
      <c r="G2062" s="10" t="str">
        <f aca="false">IFERROR(INDEX(Section_Master!$E$2:$E$477,MATCH($E2062,Section_Master!$A$2:$A$477,0))&amp;"","")</f>
        <v>No</v>
      </c>
      <c r="H2062" s="10" t="str">
        <f aca="false">IFERROR(INDEX(Section_Master!$F$2:$F$477,MATCH($E2062,Section_Master!$A$2:$A$477,0))&amp;"","")</f>
        <v>Yes</v>
      </c>
      <c r="I2062" s="10" t="str">
        <f aca="false">IFERROR(INDEX(Section_Master!$G$2:$G$477,MATCH($E2062,Section_Master!$A$2:$A$477,0))&amp;"","")</f>
        <v>No</v>
      </c>
      <c r="J2062" s="10" t="s">
        <v>55</v>
      </c>
      <c r="K2062" s="8" t="s">
        <v>4855</v>
      </c>
    </row>
    <row r="2063" customFormat="false" ht="34.5" hidden="false" customHeight="true" outlineLevel="0" collapsed="false">
      <c r="A2063" s="10" t="s">
        <v>4860</v>
      </c>
      <c r="B2063" s="10" t="s">
        <v>45</v>
      </c>
      <c r="C2063" s="8" t="s">
        <v>4853</v>
      </c>
      <c r="D2063" s="8" t="s">
        <v>4861</v>
      </c>
      <c r="E2063" s="11" t="n">
        <v>344</v>
      </c>
      <c r="F2063" s="8" t="str">
        <f aca="false">IFERROR(INDEX(Section_Master!$D$2:$D$477,MATCH($E2063,Section_Master!$A$2:$A$477,0))&amp;"","")</f>
        <v>Imprisonment up to 7 years, or fine, or both</v>
      </c>
      <c r="G2063" s="10" t="str">
        <f aca="false">IFERROR(INDEX(Section_Master!$E$2:$E$477,MATCH($E2063,Section_Master!$A$2:$A$477,0))&amp;"","")</f>
        <v>No</v>
      </c>
      <c r="H2063" s="10" t="str">
        <f aca="false">IFERROR(INDEX(Section_Master!$F$2:$F$477,MATCH($E2063,Section_Master!$A$2:$A$477,0))&amp;"","")</f>
        <v>Yes</v>
      </c>
      <c r="I2063" s="10" t="str">
        <f aca="false">IFERROR(INDEX(Section_Master!$G$2:$G$477,MATCH($E2063,Section_Master!$A$2:$A$477,0))&amp;"","")</f>
        <v>No</v>
      </c>
      <c r="J2063" s="10" t="s">
        <v>58</v>
      </c>
      <c r="K2063" s="8" t="s">
        <v>4855</v>
      </c>
    </row>
    <row r="2064" customFormat="false" ht="23.25" hidden="false" customHeight="true" outlineLevel="0" collapsed="false">
      <c r="A2064" s="10" t="s">
        <v>4862</v>
      </c>
      <c r="B2064" s="10" t="s">
        <v>45</v>
      </c>
      <c r="C2064" s="8" t="s">
        <v>4853</v>
      </c>
      <c r="D2064" s="8" t="s">
        <v>4863</v>
      </c>
      <c r="E2064" s="11" t="n">
        <v>344</v>
      </c>
      <c r="F2064" s="8" t="str">
        <f aca="false">IFERROR(INDEX(Section_Master!$D$2:$D$477,MATCH($E2064,Section_Master!$A$2:$A$477,0))&amp;"","")</f>
        <v>Imprisonment up to 7 years, or fine, or both</v>
      </c>
      <c r="G2064" s="10" t="str">
        <f aca="false">IFERROR(INDEX(Section_Master!$E$2:$E$477,MATCH($E2064,Section_Master!$A$2:$A$477,0))&amp;"","")</f>
        <v>No</v>
      </c>
      <c r="H2064" s="10" t="str">
        <f aca="false">IFERROR(INDEX(Section_Master!$F$2:$F$477,MATCH($E2064,Section_Master!$A$2:$A$477,0))&amp;"","")</f>
        <v>Yes</v>
      </c>
      <c r="I2064" s="10" t="str">
        <f aca="false">IFERROR(INDEX(Section_Master!$G$2:$G$477,MATCH($E2064,Section_Master!$A$2:$A$477,0))&amp;"","")</f>
        <v>No</v>
      </c>
      <c r="J2064" s="10" t="s">
        <v>61</v>
      </c>
      <c r="K2064" s="8" t="s">
        <v>4855</v>
      </c>
    </row>
    <row r="2065" customFormat="false" ht="45.75" hidden="false" customHeight="true" outlineLevel="0" collapsed="false">
      <c r="A2065" s="10" t="s">
        <v>4864</v>
      </c>
      <c r="B2065" s="10" t="s">
        <v>45</v>
      </c>
      <c r="C2065" s="8" t="s">
        <v>4853</v>
      </c>
      <c r="D2065" s="8" t="s">
        <v>4865</v>
      </c>
      <c r="E2065" s="11" t="n">
        <v>344</v>
      </c>
      <c r="F2065" s="8" t="str">
        <f aca="false">IFERROR(INDEX(Section_Master!$D$2:$D$477,MATCH($E2065,Section_Master!$A$2:$A$477,0))&amp;"","")</f>
        <v>Imprisonment up to 7 years, or fine, or both</v>
      </c>
      <c r="G2065" s="10" t="str">
        <f aca="false">IFERROR(INDEX(Section_Master!$E$2:$E$477,MATCH($E2065,Section_Master!$A$2:$A$477,0))&amp;"","")</f>
        <v>No</v>
      </c>
      <c r="H2065" s="10" t="str">
        <f aca="false">IFERROR(INDEX(Section_Master!$F$2:$F$477,MATCH($E2065,Section_Master!$A$2:$A$477,0))&amp;"","")</f>
        <v>Yes</v>
      </c>
      <c r="I2065" s="10" t="str">
        <f aca="false">IFERROR(INDEX(Section_Master!$G$2:$G$477,MATCH($E2065,Section_Master!$A$2:$A$477,0))&amp;"","")</f>
        <v>No</v>
      </c>
      <c r="J2065" s="10" t="s">
        <v>64</v>
      </c>
      <c r="K2065" s="8" t="s">
        <v>4855</v>
      </c>
    </row>
    <row r="2066" customFormat="false" ht="45.75" hidden="false" customHeight="true" outlineLevel="0" collapsed="false">
      <c r="A2066" s="10" t="s">
        <v>4866</v>
      </c>
      <c r="B2066" s="10" t="s">
        <v>45</v>
      </c>
      <c r="C2066" s="8" t="s">
        <v>4867</v>
      </c>
      <c r="D2066" s="8" t="s">
        <v>4868</v>
      </c>
      <c r="E2066" s="11" t="n">
        <v>345</v>
      </c>
      <c r="F2066" s="8" t="str">
        <f aca="false">IFERROR(INDEX(Section_Master!$D$2:$D$477,MATCH($E2066,Section_Master!$A$2:$A$477,0))&amp;"","")</f>
        <v>Not applicable - no offence or penalty defined here (definition, exception or general provision)</v>
      </c>
      <c r="G2066" s="10" t="str">
        <f aca="false">IFERROR(INDEX(Section_Master!$E$2:$E$477,MATCH($E2066,Section_Master!$A$2:$A$477,0))&amp;"","")</f>
        <v>N/A</v>
      </c>
      <c r="H2066" s="10" t="str">
        <f aca="false">IFERROR(INDEX(Section_Master!$F$2:$F$477,MATCH($E2066,Section_Master!$A$2:$A$477,0))&amp;"","")</f>
        <v>N/A</v>
      </c>
      <c r="I2066" s="10" t="str">
        <f aca="false">IFERROR(INDEX(Section_Master!$G$2:$G$477,MATCH($E2066,Section_Master!$A$2:$A$477,0))&amp;"","")</f>
        <v>N/A</v>
      </c>
      <c r="J2066" s="10" t="s">
        <v>48</v>
      </c>
      <c r="K2066" s="8" t="s">
        <v>4869</v>
      </c>
    </row>
    <row r="2067" customFormat="false" ht="45.75" hidden="false" customHeight="true" outlineLevel="0" collapsed="false">
      <c r="A2067" s="10" t="s">
        <v>4870</v>
      </c>
      <c r="B2067" s="10" t="s">
        <v>45</v>
      </c>
      <c r="C2067" s="8" t="s">
        <v>4867</v>
      </c>
      <c r="D2067" s="8" t="s">
        <v>4871</v>
      </c>
      <c r="E2067" s="11" t="n">
        <v>345</v>
      </c>
      <c r="F2067" s="8" t="str">
        <f aca="false">IFERROR(INDEX(Section_Master!$D$2:$D$477,MATCH($E2067,Section_Master!$A$2:$A$477,0))&amp;"","")</f>
        <v>Not applicable - no offence or penalty defined here (definition, exception or general provision)</v>
      </c>
      <c r="G2067" s="10" t="str">
        <f aca="false">IFERROR(INDEX(Section_Master!$E$2:$E$477,MATCH($E2067,Section_Master!$A$2:$A$477,0))&amp;"","")</f>
        <v>N/A</v>
      </c>
      <c r="H2067" s="10" t="str">
        <f aca="false">IFERROR(INDEX(Section_Master!$F$2:$F$477,MATCH($E2067,Section_Master!$A$2:$A$477,0))&amp;"","")</f>
        <v>N/A</v>
      </c>
      <c r="I2067" s="10" t="str">
        <f aca="false">IFERROR(INDEX(Section_Master!$G$2:$G$477,MATCH($E2067,Section_Master!$A$2:$A$477,0))&amp;"","")</f>
        <v>N/A</v>
      </c>
      <c r="J2067" s="10" t="s">
        <v>52</v>
      </c>
      <c r="K2067" s="8" t="s">
        <v>4869</v>
      </c>
    </row>
    <row r="2068" customFormat="false" ht="45.75" hidden="false" customHeight="true" outlineLevel="0" collapsed="false">
      <c r="A2068" s="10" t="s">
        <v>4872</v>
      </c>
      <c r="B2068" s="10" t="s">
        <v>45</v>
      </c>
      <c r="C2068" s="8" t="s">
        <v>4867</v>
      </c>
      <c r="D2068" s="8" t="s">
        <v>4873</v>
      </c>
      <c r="E2068" s="11" t="n">
        <v>345</v>
      </c>
      <c r="F2068" s="8" t="str">
        <f aca="false">IFERROR(INDEX(Section_Master!$D$2:$D$477,MATCH($E2068,Section_Master!$A$2:$A$477,0))&amp;"","")</f>
        <v>Not applicable - no offence or penalty defined here (definition, exception or general provision)</v>
      </c>
      <c r="G2068" s="10" t="str">
        <f aca="false">IFERROR(INDEX(Section_Master!$E$2:$E$477,MATCH($E2068,Section_Master!$A$2:$A$477,0))&amp;"","")</f>
        <v>N/A</v>
      </c>
      <c r="H2068" s="10" t="str">
        <f aca="false">IFERROR(INDEX(Section_Master!$F$2:$F$477,MATCH($E2068,Section_Master!$A$2:$A$477,0))&amp;"","")</f>
        <v>N/A</v>
      </c>
      <c r="I2068" s="10" t="str">
        <f aca="false">IFERROR(INDEX(Section_Master!$G$2:$G$477,MATCH($E2068,Section_Master!$A$2:$A$477,0))&amp;"","")</f>
        <v>N/A</v>
      </c>
      <c r="J2068" s="10" t="s">
        <v>55</v>
      </c>
      <c r="K2068" s="8" t="s">
        <v>4869</v>
      </c>
    </row>
    <row r="2069" customFormat="false" ht="34.5" hidden="false" customHeight="true" outlineLevel="0" collapsed="false">
      <c r="A2069" s="10" t="s">
        <v>4874</v>
      </c>
      <c r="B2069" s="10" t="s">
        <v>45</v>
      </c>
      <c r="C2069" s="8" t="s">
        <v>4867</v>
      </c>
      <c r="D2069" s="8" t="s">
        <v>4875</v>
      </c>
      <c r="E2069" s="11" t="n">
        <v>345</v>
      </c>
      <c r="F2069" s="8" t="str">
        <f aca="false">IFERROR(INDEX(Section_Master!$D$2:$D$477,MATCH($E2069,Section_Master!$A$2:$A$477,0))&amp;"","")</f>
        <v>Not applicable - no offence or penalty defined here (definition, exception or general provision)</v>
      </c>
      <c r="G2069" s="10" t="str">
        <f aca="false">IFERROR(INDEX(Section_Master!$E$2:$E$477,MATCH($E2069,Section_Master!$A$2:$A$477,0))&amp;"","")</f>
        <v>N/A</v>
      </c>
      <c r="H2069" s="10" t="str">
        <f aca="false">IFERROR(INDEX(Section_Master!$F$2:$F$477,MATCH($E2069,Section_Master!$A$2:$A$477,0))&amp;"","")</f>
        <v>N/A</v>
      </c>
      <c r="I2069" s="10" t="str">
        <f aca="false">IFERROR(INDEX(Section_Master!$G$2:$G$477,MATCH($E2069,Section_Master!$A$2:$A$477,0))&amp;"","")</f>
        <v>N/A</v>
      </c>
      <c r="J2069" s="10" t="s">
        <v>58</v>
      </c>
      <c r="K2069" s="8" t="s">
        <v>4869</v>
      </c>
    </row>
    <row r="2070" customFormat="false" ht="34.5" hidden="false" customHeight="true" outlineLevel="0" collapsed="false">
      <c r="A2070" s="10" t="s">
        <v>4876</v>
      </c>
      <c r="B2070" s="10" t="s">
        <v>45</v>
      </c>
      <c r="C2070" s="8" t="s">
        <v>4867</v>
      </c>
      <c r="D2070" s="8" t="s">
        <v>4877</v>
      </c>
      <c r="E2070" s="11" t="n">
        <v>345</v>
      </c>
      <c r="F2070" s="8" t="str">
        <f aca="false">IFERROR(INDEX(Section_Master!$D$2:$D$477,MATCH($E2070,Section_Master!$A$2:$A$477,0))&amp;"","")</f>
        <v>Not applicable - no offence or penalty defined here (definition, exception or general provision)</v>
      </c>
      <c r="G2070" s="10" t="str">
        <f aca="false">IFERROR(INDEX(Section_Master!$E$2:$E$477,MATCH($E2070,Section_Master!$A$2:$A$477,0))&amp;"","")</f>
        <v>N/A</v>
      </c>
      <c r="H2070" s="10" t="str">
        <f aca="false">IFERROR(INDEX(Section_Master!$F$2:$F$477,MATCH($E2070,Section_Master!$A$2:$A$477,0))&amp;"","")</f>
        <v>N/A</v>
      </c>
      <c r="I2070" s="10" t="str">
        <f aca="false">IFERROR(INDEX(Section_Master!$G$2:$G$477,MATCH($E2070,Section_Master!$A$2:$A$477,0))&amp;"","")</f>
        <v>N/A</v>
      </c>
      <c r="J2070" s="10" t="s">
        <v>61</v>
      </c>
      <c r="K2070" s="8" t="s">
        <v>4869</v>
      </c>
    </row>
    <row r="2071" customFormat="false" ht="34.5" hidden="false" customHeight="true" outlineLevel="0" collapsed="false">
      <c r="A2071" s="10" t="s">
        <v>4878</v>
      </c>
      <c r="B2071" s="10" t="s">
        <v>45</v>
      </c>
      <c r="C2071" s="8" t="s">
        <v>4867</v>
      </c>
      <c r="D2071" s="8" t="s">
        <v>4879</v>
      </c>
      <c r="E2071" s="11" t="n">
        <v>345</v>
      </c>
      <c r="F2071" s="8" t="str">
        <f aca="false">IFERROR(INDEX(Section_Master!$D$2:$D$477,MATCH($E2071,Section_Master!$A$2:$A$477,0))&amp;"","")</f>
        <v>Not applicable - no offence or penalty defined here (definition, exception or general provision)</v>
      </c>
      <c r="G2071" s="10" t="str">
        <f aca="false">IFERROR(INDEX(Section_Master!$E$2:$E$477,MATCH($E2071,Section_Master!$A$2:$A$477,0))&amp;"","")</f>
        <v>N/A</v>
      </c>
      <c r="H2071" s="10" t="str">
        <f aca="false">IFERROR(INDEX(Section_Master!$F$2:$F$477,MATCH($E2071,Section_Master!$A$2:$A$477,0))&amp;"","")</f>
        <v>N/A</v>
      </c>
      <c r="I2071" s="10" t="str">
        <f aca="false">IFERROR(INDEX(Section_Master!$G$2:$G$477,MATCH($E2071,Section_Master!$A$2:$A$477,0))&amp;"","")</f>
        <v>N/A</v>
      </c>
      <c r="J2071" s="10" t="s">
        <v>64</v>
      </c>
      <c r="K2071" s="8" t="s">
        <v>4869</v>
      </c>
    </row>
    <row r="2072" customFormat="false" ht="34.5" hidden="false" customHeight="true" outlineLevel="0" collapsed="false">
      <c r="A2072" s="10" t="s">
        <v>4880</v>
      </c>
      <c r="B2072" s="10" t="s">
        <v>45</v>
      </c>
      <c r="C2072" s="8" t="s">
        <v>4881</v>
      </c>
      <c r="D2072" s="8" t="s">
        <v>4882</v>
      </c>
      <c r="E2072" s="11" t="n">
        <v>346</v>
      </c>
      <c r="F2072" s="8" t="str">
        <f aca="false">IFERROR(INDEX(Section_Master!$D$2:$D$477,MATCH($E2072,Section_Master!$A$2:$A$477,0))&amp;"","")</f>
        <v>Imprisonment up to 1 year, or fine, or both</v>
      </c>
      <c r="G2072" s="10" t="str">
        <f aca="false">IFERROR(INDEX(Section_Master!$E$2:$E$477,MATCH($E2072,Section_Master!$A$2:$A$477,0))&amp;"","")</f>
        <v>No</v>
      </c>
      <c r="H2072" s="10" t="str">
        <f aca="false">IFERROR(INDEX(Section_Master!$F$2:$F$477,MATCH($E2072,Section_Master!$A$2:$A$477,0))&amp;"","")</f>
        <v>Yes</v>
      </c>
      <c r="I2072" s="10" t="str">
        <f aca="false">IFERROR(INDEX(Section_Master!$G$2:$G$477,MATCH($E2072,Section_Master!$A$2:$A$477,0))&amp;"","")</f>
        <v>No</v>
      </c>
      <c r="J2072" s="10" t="s">
        <v>48</v>
      </c>
      <c r="K2072" s="8" t="s">
        <v>4883</v>
      </c>
    </row>
    <row r="2073" customFormat="false" ht="34.5" hidden="false" customHeight="true" outlineLevel="0" collapsed="false">
      <c r="A2073" s="10" t="s">
        <v>4884</v>
      </c>
      <c r="B2073" s="10" t="s">
        <v>45</v>
      </c>
      <c r="C2073" s="8" t="s">
        <v>4881</v>
      </c>
      <c r="D2073" s="8" t="s">
        <v>4885</v>
      </c>
      <c r="E2073" s="11" t="n">
        <v>346</v>
      </c>
      <c r="F2073" s="8" t="str">
        <f aca="false">IFERROR(INDEX(Section_Master!$D$2:$D$477,MATCH($E2073,Section_Master!$A$2:$A$477,0))&amp;"","")</f>
        <v>Imprisonment up to 1 year, or fine, or both</v>
      </c>
      <c r="G2073" s="10" t="str">
        <f aca="false">IFERROR(INDEX(Section_Master!$E$2:$E$477,MATCH($E2073,Section_Master!$A$2:$A$477,0))&amp;"","")</f>
        <v>No</v>
      </c>
      <c r="H2073" s="10" t="str">
        <f aca="false">IFERROR(INDEX(Section_Master!$F$2:$F$477,MATCH($E2073,Section_Master!$A$2:$A$477,0))&amp;"","")</f>
        <v>Yes</v>
      </c>
      <c r="I2073" s="10" t="str">
        <f aca="false">IFERROR(INDEX(Section_Master!$G$2:$G$477,MATCH($E2073,Section_Master!$A$2:$A$477,0))&amp;"","")</f>
        <v>No</v>
      </c>
      <c r="J2073" s="10" t="s">
        <v>52</v>
      </c>
      <c r="K2073" s="8" t="s">
        <v>4883</v>
      </c>
    </row>
    <row r="2074" customFormat="false" ht="34.5" hidden="false" customHeight="true" outlineLevel="0" collapsed="false">
      <c r="A2074" s="10" t="s">
        <v>4886</v>
      </c>
      <c r="B2074" s="10" t="s">
        <v>45</v>
      </c>
      <c r="C2074" s="8" t="s">
        <v>4881</v>
      </c>
      <c r="D2074" s="8" t="s">
        <v>4887</v>
      </c>
      <c r="E2074" s="11" t="n">
        <v>346</v>
      </c>
      <c r="F2074" s="8" t="str">
        <f aca="false">IFERROR(INDEX(Section_Master!$D$2:$D$477,MATCH($E2074,Section_Master!$A$2:$A$477,0))&amp;"","")</f>
        <v>Imprisonment up to 1 year, or fine, or both</v>
      </c>
      <c r="G2074" s="10" t="str">
        <f aca="false">IFERROR(INDEX(Section_Master!$E$2:$E$477,MATCH($E2074,Section_Master!$A$2:$A$477,0))&amp;"","")</f>
        <v>No</v>
      </c>
      <c r="H2074" s="10" t="str">
        <f aca="false">IFERROR(INDEX(Section_Master!$F$2:$F$477,MATCH($E2074,Section_Master!$A$2:$A$477,0))&amp;"","")</f>
        <v>Yes</v>
      </c>
      <c r="I2074" s="10" t="str">
        <f aca="false">IFERROR(INDEX(Section_Master!$G$2:$G$477,MATCH($E2074,Section_Master!$A$2:$A$477,0))&amp;"","")</f>
        <v>No</v>
      </c>
      <c r="J2074" s="10" t="s">
        <v>55</v>
      </c>
      <c r="K2074" s="8" t="s">
        <v>4883</v>
      </c>
    </row>
    <row r="2075" customFormat="false" ht="34.5" hidden="false" customHeight="true" outlineLevel="0" collapsed="false">
      <c r="A2075" s="10" t="s">
        <v>4888</v>
      </c>
      <c r="B2075" s="10" t="s">
        <v>45</v>
      </c>
      <c r="C2075" s="8" t="s">
        <v>4881</v>
      </c>
      <c r="D2075" s="8" t="s">
        <v>4889</v>
      </c>
      <c r="E2075" s="11" t="n">
        <v>346</v>
      </c>
      <c r="F2075" s="8" t="str">
        <f aca="false">IFERROR(INDEX(Section_Master!$D$2:$D$477,MATCH($E2075,Section_Master!$A$2:$A$477,0))&amp;"","")</f>
        <v>Imprisonment up to 1 year, or fine, or both</v>
      </c>
      <c r="G2075" s="10" t="str">
        <f aca="false">IFERROR(INDEX(Section_Master!$E$2:$E$477,MATCH($E2075,Section_Master!$A$2:$A$477,0))&amp;"","")</f>
        <v>No</v>
      </c>
      <c r="H2075" s="10" t="str">
        <f aca="false">IFERROR(INDEX(Section_Master!$F$2:$F$477,MATCH($E2075,Section_Master!$A$2:$A$477,0))&amp;"","")</f>
        <v>Yes</v>
      </c>
      <c r="I2075" s="10" t="str">
        <f aca="false">IFERROR(INDEX(Section_Master!$G$2:$G$477,MATCH($E2075,Section_Master!$A$2:$A$477,0))&amp;"","")</f>
        <v>No</v>
      </c>
      <c r="J2075" s="10" t="s">
        <v>58</v>
      </c>
      <c r="K2075" s="8" t="s">
        <v>4883</v>
      </c>
    </row>
    <row r="2076" customFormat="false" ht="23.25" hidden="false" customHeight="true" outlineLevel="0" collapsed="false">
      <c r="A2076" s="10" t="s">
        <v>4890</v>
      </c>
      <c r="B2076" s="10" t="s">
        <v>45</v>
      </c>
      <c r="C2076" s="8" t="s">
        <v>4881</v>
      </c>
      <c r="D2076" s="8" t="s">
        <v>4891</v>
      </c>
      <c r="E2076" s="11" t="n">
        <v>346</v>
      </c>
      <c r="F2076" s="8" t="str">
        <f aca="false">IFERROR(INDEX(Section_Master!$D$2:$D$477,MATCH($E2076,Section_Master!$A$2:$A$477,0))&amp;"","")</f>
        <v>Imprisonment up to 1 year, or fine, or both</v>
      </c>
      <c r="G2076" s="10" t="str">
        <f aca="false">IFERROR(INDEX(Section_Master!$E$2:$E$477,MATCH($E2076,Section_Master!$A$2:$A$477,0))&amp;"","")</f>
        <v>No</v>
      </c>
      <c r="H2076" s="10" t="str">
        <f aca="false">IFERROR(INDEX(Section_Master!$F$2:$F$477,MATCH($E2076,Section_Master!$A$2:$A$477,0))&amp;"","")</f>
        <v>Yes</v>
      </c>
      <c r="I2076" s="10" t="str">
        <f aca="false">IFERROR(INDEX(Section_Master!$G$2:$G$477,MATCH($E2076,Section_Master!$A$2:$A$477,0))&amp;"","")</f>
        <v>No</v>
      </c>
      <c r="J2076" s="10" t="s">
        <v>61</v>
      </c>
      <c r="K2076" s="8" t="s">
        <v>4883</v>
      </c>
    </row>
    <row r="2077" customFormat="false" ht="34.5" hidden="false" customHeight="true" outlineLevel="0" collapsed="false">
      <c r="A2077" s="10" t="s">
        <v>4892</v>
      </c>
      <c r="B2077" s="10" t="s">
        <v>45</v>
      </c>
      <c r="C2077" s="8" t="s">
        <v>4881</v>
      </c>
      <c r="D2077" s="8" t="s">
        <v>4893</v>
      </c>
      <c r="E2077" s="11" t="n">
        <v>346</v>
      </c>
      <c r="F2077" s="8" t="str">
        <f aca="false">IFERROR(INDEX(Section_Master!$D$2:$D$477,MATCH($E2077,Section_Master!$A$2:$A$477,0))&amp;"","")</f>
        <v>Imprisonment up to 1 year, or fine, or both</v>
      </c>
      <c r="G2077" s="10" t="str">
        <f aca="false">IFERROR(INDEX(Section_Master!$E$2:$E$477,MATCH($E2077,Section_Master!$A$2:$A$477,0))&amp;"","")</f>
        <v>No</v>
      </c>
      <c r="H2077" s="10" t="str">
        <f aca="false">IFERROR(INDEX(Section_Master!$F$2:$F$477,MATCH($E2077,Section_Master!$A$2:$A$477,0))&amp;"","")</f>
        <v>Yes</v>
      </c>
      <c r="I2077" s="10" t="str">
        <f aca="false">IFERROR(INDEX(Section_Master!$G$2:$G$477,MATCH($E2077,Section_Master!$A$2:$A$477,0))&amp;"","")</f>
        <v>No</v>
      </c>
      <c r="J2077" s="10" t="s">
        <v>64</v>
      </c>
      <c r="K2077" s="8" t="s">
        <v>4883</v>
      </c>
    </row>
    <row r="2078" customFormat="false" ht="34.5" hidden="false" customHeight="true" outlineLevel="0" collapsed="false">
      <c r="A2078" s="10" t="s">
        <v>4894</v>
      </c>
      <c r="B2078" s="10" t="s">
        <v>45</v>
      </c>
      <c r="C2078" s="8" t="s">
        <v>4895</v>
      </c>
      <c r="D2078" s="8" t="s">
        <v>4896</v>
      </c>
      <c r="E2078" s="11" t="n">
        <v>347</v>
      </c>
      <c r="F2078" s="8" t="str">
        <f aca="false">IFERROR(INDEX(Section_Master!$D$2:$D$477,MATCH($E2078,Section_Master!$A$2:$A$477,0))&amp;"","")</f>
        <v>Imprisonment up to 2 years, or fine, or both</v>
      </c>
      <c r="G2078" s="10" t="str">
        <f aca="false">IFERROR(INDEX(Section_Master!$E$2:$E$477,MATCH($E2078,Section_Master!$A$2:$A$477,0))&amp;"","")</f>
        <v>No</v>
      </c>
      <c r="H2078" s="10" t="str">
        <f aca="false">IFERROR(INDEX(Section_Master!$F$2:$F$477,MATCH($E2078,Section_Master!$A$2:$A$477,0))&amp;"","")</f>
        <v>Yes</v>
      </c>
      <c r="I2078" s="10" t="str">
        <f aca="false">IFERROR(INDEX(Section_Master!$G$2:$G$477,MATCH($E2078,Section_Master!$A$2:$A$477,0))&amp;"","")</f>
        <v>No</v>
      </c>
      <c r="J2078" s="10" t="s">
        <v>48</v>
      </c>
      <c r="K2078" s="8" t="s">
        <v>4897</v>
      </c>
    </row>
    <row r="2079" customFormat="false" ht="45.75" hidden="false" customHeight="true" outlineLevel="0" collapsed="false">
      <c r="A2079" s="10" t="s">
        <v>4898</v>
      </c>
      <c r="B2079" s="10" t="s">
        <v>45</v>
      </c>
      <c r="C2079" s="8" t="s">
        <v>4895</v>
      </c>
      <c r="D2079" s="8" t="s">
        <v>4899</v>
      </c>
      <c r="E2079" s="11" t="n">
        <v>347</v>
      </c>
      <c r="F2079" s="8" t="str">
        <f aca="false">IFERROR(INDEX(Section_Master!$D$2:$D$477,MATCH($E2079,Section_Master!$A$2:$A$477,0))&amp;"","")</f>
        <v>Imprisonment up to 2 years, or fine, or both</v>
      </c>
      <c r="G2079" s="10" t="str">
        <f aca="false">IFERROR(INDEX(Section_Master!$E$2:$E$477,MATCH($E2079,Section_Master!$A$2:$A$477,0))&amp;"","")</f>
        <v>No</v>
      </c>
      <c r="H2079" s="10" t="str">
        <f aca="false">IFERROR(INDEX(Section_Master!$F$2:$F$477,MATCH($E2079,Section_Master!$A$2:$A$477,0))&amp;"","")</f>
        <v>Yes</v>
      </c>
      <c r="I2079" s="10" t="str">
        <f aca="false">IFERROR(INDEX(Section_Master!$G$2:$G$477,MATCH($E2079,Section_Master!$A$2:$A$477,0))&amp;"","")</f>
        <v>No</v>
      </c>
      <c r="J2079" s="10" t="s">
        <v>52</v>
      </c>
      <c r="K2079" s="8" t="s">
        <v>4897</v>
      </c>
    </row>
    <row r="2080" customFormat="false" ht="34.5" hidden="false" customHeight="true" outlineLevel="0" collapsed="false">
      <c r="A2080" s="10" t="s">
        <v>4900</v>
      </c>
      <c r="B2080" s="10" t="s">
        <v>45</v>
      </c>
      <c r="C2080" s="8" t="s">
        <v>4895</v>
      </c>
      <c r="D2080" s="8" t="s">
        <v>4901</v>
      </c>
      <c r="E2080" s="11" t="n">
        <v>347</v>
      </c>
      <c r="F2080" s="8" t="str">
        <f aca="false">IFERROR(INDEX(Section_Master!$D$2:$D$477,MATCH($E2080,Section_Master!$A$2:$A$477,0))&amp;"","")</f>
        <v>Imprisonment up to 2 years, or fine, or both</v>
      </c>
      <c r="G2080" s="10" t="str">
        <f aca="false">IFERROR(INDEX(Section_Master!$E$2:$E$477,MATCH($E2080,Section_Master!$A$2:$A$477,0))&amp;"","")</f>
        <v>No</v>
      </c>
      <c r="H2080" s="10" t="str">
        <f aca="false">IFERROR(INDEX(Section_Master!$F$2:$F$477,MATCH($E2080,Section_Master!$A$2:$A$477,0))&amp;"","")</f>
        <v>Yes</v>
      </c>
      <c r="I2080" s="10" t="str">
        <f aca="false">IFERROR(INDEX(Section_Master!$G$2:$G$477,MATCH($E2080,Section_Master!$A$2:$A$477,0))&amp;"","")</f>
        <v>No</v>
      </c>
      <c r="J2080" s="10" t="s">
        <v>55</v>
      </c>
      <c r="K2080" s="8" t="s">
        <v>4897</v>
      </c>
    </row>
    <row r="2081" customFormat="false" ht="34.5" hidden="false" customHeight="true" outlineLevel="0" collapsed="false">
      <c r="A2081" s="10" t="s">
        <v>4902</v>
      </c>
      <c r="B2081" s="10" t="s">
        <v>45</v>
      </c>
      <c r="C2081" s="8" t="s">
        <v>4895</v>
      </c>
      <c r="D2081" s="8" t="s">
        <v>4903</v>
      </c>
      <c r="E2081" s="11" t="n">
        <v>347</v>
      </c>
      <c r="F2081" s="8" t="str">
        <f aca="false">IFERROR(INDEX(Section_Master!$D$2:$D$477,MATCH($E2081,Section_Master!$A$2:$A$477,0))&amp;"","")</f>
        <v>Imprisonment up to 2 years, or fine, or both</v>
      </c>
      <c r="G2081" s="10" t="str">
        <f aca="false">IFERROR(INDEX(Section_Master!$E$2:$E$477,MATCH($E2081,Section_Master!$A$2:$A$477,0))&amp;"","")</f>
        <v>No</v>
      </c>
      <c r="H2081" s="10" t="str">
        <f aca="false">IFERROR(INDEX(Section_Master!$F$2:$F$477,MATCH($E2081,Section_Master!$A$2:$A$477,0))&amp;"","")</f>
        <v>Yes</v>
      </c>
      <c r="I2081" s="10" t="str">
        <f aca="false">IFERROR(INDEX(Section_Master!$G$2:$G$477,MATCH($E2081,Section_Master!$A$2:$A$477,0))&amp;"","")</f>
        <v>No</v>
      </c>
      <c r="J2081" s="10" t="s">
        <v>58</v>
      </c>
      <c r="K2081" s="8" t="s">
        <v>4897</v>
      </c>
    </row>
    <row r="2082" customFormat="false" ht="34.5" hidden="false" customHeight="true" outlineLevel="0" collapsed="false">
      <c r="A2082" s="10" t="s">
        <v>4904</v>
      </c>
      <c r="B2082" s="10" t="s">
        <v>45</v>
      </c>
      <c r="C2082" s="8" t="s">
        <v>4895</v>
      </c>
      <c r="D2082" s="8" t="s">
        <v>4905</v>
      </c>
      <c r="E2082" s="11" t="n">
        <v>347</v>
      </c>
      <c r="F2082" s="8" t="str">
        <f aca="false">IFERROR(INDEX(Section_Master!$D$2:$D$477,MATCH($E2082,Section_Master!$A$2:$A$477,0))&amp;"","")</f>
        <v>Imprisonment up to 2 years, or fine, or both</v>
      </c>
      <c r="G2082" s="10" t="str">
        <f aca="false">IFERROR(INDEX(Section_Master!$E$2:$E$477,MATCH($E2082,Section_Master!$A$2:$A$477,0))&amp;"","")</f>
        <v>No</v>
      </c>
      <c r="H2082" s="10" t="str">
        <f aca="false">IFERROR(INDEX(Section_Master!$F$2:$F$477,MATCH($E2082,Section_Master!$A$2:$A$477,0))&amp;"","")</f>
        <v>Yes</v>
      </c>
      <c r="I2082" s="10" t="str">
        <f aca="false">IFERROR(INDEX(Section_Master!$G$2:$G$477,MATCH($E2082,Section_Master!$A$2:$A$477,0))&amp;"","")</f>
        <v>No</v>
      </c>
      <c r="J2082" s="10" t="s">
        <v>61</v>
      </c>
      <c r="K2082" s="8" t="s">
        <v>4897</v>
      </c>
    </row>
    <row r="2083" customFormat="false" ht="45.75" hidden="false" customHeight="true" outlineLevel="0" collapsed="false">
      <c r="A2083" s="10" t="s">
        <v>4906</v>
      </c>
      <c r="B2083" s="10" t="s">
        <v>45</v>
      </c>
      <c r="C2083" s="8" t="s">
        <v>4895</v>
      </c>
      <c r="D2083" s="8" t="s">
        <v>4907</v>
      </c>
      <c r="E2083" s="11" t="n">
        <v>347</v>
      </c>
      <c r="F2083" s="8" t="str">
        <f aca="false">IFERROR(INDEX(Section_Master!$D$2:$D$477,MATCH($E2083,Section_Master!$A$2:$A$477,0))&amp;"","")</f>
        <v>Imprisonment up to 2 years, or fine, or both</v>
      </c>
      <c r="G2083" s="10" t="str">
        <f aca="false">IFERROR(INDEX(Section_Master!$E$2:$E$477,MATCH($E2083,Section_Master!$A$2:$A$477,0))&amp;"","")</f>
        <v>No</v>
      </c>
      <c r="H2083" s="10" t="str">
        <f aca="false">IFERROR(INDEX(Section_Master!$F$2:$F$477,MATCH($E2083,Section_Master!$A$2:$A$477,0))&amp;"","")</f>
        <v>Yes</v>
      </c>
      <c r="I2083" s="10" t="str">
        <f aca="false">IFERROR(INDEX(Section_Master!$G$2:$G$477,MATCH($E2083,Section_Master!$A$2:$A$477,0))&amp;"","")</f>
        <v>No</v>
      </c>
      <c r="J2083" s="10" t="s">
        <v>64</v>
      </c>
      <c r="K2083" s="8" t="s">
        <v>4897</v>
      </c>
    </row>
    <row r="2084" customFormat="false" ht="34.5" hidden="false" customHeight="true" outlineLevel="0" collapsed="false">
      <c r="A2084" s="10" t="s">
        <v>4908</v>
      </c>
      <c r="B2084" s="10" t="s">
        <v>45</v>
      </c>
      <c r="C2084" s="8" t="s">
        <v>4909</v>
      </c>
      <c r="D2084" s="8" t="s">
        <v>4910</v>
      </c>
      <c r="E2084" s="11" t="n">
        <v>348</v>
      </c>
      <c r="F2084" s="8" t="str">
        <f aca="false">IFERROR(INDEX(Section_Master!$D$2:$D$477,MATCH($E2084,Section_Master!$A$2:$A$477,0))&amp;"","")</f>
        <v>Imprisonment up to 3 years, or fine, or both</v>
      </c>
      <c r="G2084" s="10" t="str">
        <f aca="false">IFERROR(INDEX(Section_Master!$E$2:$E$477,MATCH($E2084,Section_Master!$A$2:$A$477,0))&amp;"","")</f>
        <v>No</v>
      </c>
      <c r="H2084" s="10" t="str">
        <f aca="false">IFERROR(INDEX(Section_Master!$F$2:$F$477,MATCH($E2084,Section_Master!$A$2:$A$477,0))&amp;"","")</f>
        <v>Yes</v>
      </c>
      <c r="I2084" s="10" t="str">
        <f aca="false">IFERROR(INDEX(Section_Master!$G$2:$G$477,MATCH($E2084,Section_Master!$A$2:$A$477,0))&amp;"","")</f>
        <v>No</v>
      </c>
      <c r="J2084" s="10" t="s">
        <v>48</v>
      </c>
      <c r="K2084" s="8" t="s">
        <v>4911</v>
      </c>
    </row>
    <row r="2085" customFormat="false" ht="34.5" hidden="false" customHeight="true" outlineLevel="0" collapsed="false">
      <c r="A2085" s="10" t="s">
        <v>4912</v>
      </c>
      <c r="B2085" s="10" t="s">
        <v>45</v>
      </c>
      <c r="C2085" s="8" t="s">
        <v>4909</v>
      </c>
      <c r="D2085" s="8" t="s">
        <v>4913</v>
      </c>
      <c r="E2085" s="11" t="n">
        <v>348</v>
      </c>
      <c r="F2085" s="8" t="str">
        <f aca="false">IFERROR(INDEX(Section_Master!$D$2:$D$477,MATCH($E2085,Section_Master!$A$2:$A$477,0))&amp;"","")</f>
        <v>Imprisonment up to 3 years, or fine, or both</v>
      </c>
      <c r="G2085" s="10" t="str">
        <f aca="false">IFERROR(INDEX(Section_Master!$E$2:$E$477,MATCH($E2085,Section_Master!$A$2:$A$477,0))&amp;"","")</f>
        <v>No</v>
      </c>
      <c r="H2085" s="10" t="str">
        <f aca="false">IFERROR(INDEX(Section_Master!$F$2:$F$477,MATCH($E2085,Section_Master!$A$2:$A$477,0))&amp;"","")</f>
        <v>Yes</v>
      </c>
      <c r="I2085" s="10" t="str">
        <f aca="false">IFERROR(INDEX(Section_Master!$G$2:$G$477,MATCH($E2085,Section_Master!$A$2:$A$477,0))&amp;"","")</f>
        <v>No</v>
      </c>
      <c r="J2085" s="10" t="s">
        <v>52</v>
      </c>
      <c r="K2085" s="8" t="s">
        <v>4911</v>
      </c>
    </row>
    <row r="2086" customFormat="false" ht="34.5" hidden="false" customHeight="true" outlineLevel="0" collapsed="false">
      <c r="A2086" s="10" t="s">
        <v>4914</v>
      </c>
      <c r="B2086" s="10" t="s">
        <v>45</v>
      </c>
      <c r="C2086" s="8" t="s">
        <v>4909</v>
      </c>
      <c r="D2086" s="8" t="s">
        <v>4915</v>
      </c>
      <c r="E2086" s="11" t="n">
        <v>348</v>
      </c>
      <c r="F2086" s="8" t="str">
        <f aca="false">IFERROR(INDEX(Section_Master!$D$2:$D$477,MATCH($E2086,Section_Master!$A$2:$A$477,0))&amp;"","")</f>
        <v>Imprisonment up to 3 years, or fine, or both</v>
      </c>
      <c r="G2086" s="10" t="str">
        <f aca="false">IFERROR(INDEX(Section_Master!$E$2:$E$477,MATCH($E2086,Section_Master!$A$2:$A$477,0))&amp;"","")</f>
        <v>No</v>
      </c>
      <c r="H2086" s="10" t="str">
        <f aca="false">IFERROR(INDEX(Section_Master!$F$2:$F$477,MATCH($E2086,Section_Master!$A$2:$A$477,0))&amp;"","")</f>
        <v>Yes</v>
      </c>
      <c r="I2086" s="10" t="str">
        <f aca="false">IFERROR(INDEX(Section_Master!$G$2:$G$477,MATCH($E2086,Section_Master!$A$2:$A$477,0))&amp;"","")</f>
        <v>No</v>
      </c>
      <c r="J2086" s="10" t="s">
        <v>55</v>
      </c>
      <c r="K2086" s="8" t="s">
        <v>4911</v>
      </c>
    </row>
    <row r="2087" customFormat="false" ht="34.5" hidden="false" customHeight="true" outlineLevel="0" collapsed="false">
      <c r="A2087" s="10" t="s">
        <v>4916</v>
      </c>
      <c r="B2087" s="10" t="s">
        <v>45</v>
      </c>
      <c r="C2087" s="8" t="s">
        <v>4909</v>
      </c>
      <c r="D2087" s="8" t="s">
        <v>4917</v>
      </c>
      <c r="E2087" s="11" t="n">
        <v>348</v>
      </c>
      <c r="F2087" s="8" t="str">
        <f aca="false">IFERROR(INDEX(Section_Master!$D$2:$D$477,MATCH($E2087,Section_Master!$A$2:$A$477,0))&amp;"","")</f>
        <v>Imprisonment up to 3 years, or fine, or both</v>
      </c>
      <c r="G2087" s="10" t="str">
        <f aca="false">IFERROR(INDEX(Section_Master!$E$2:$E$477,MATCH($E2087,Section_Master!$A$2:$A$477,0))&amp;"","")</f>
        <v>No</v>
      </c>
      <c r="H2087" s="10" t="str">
        <f aca="false">IFERROR(INDEX(Section_Master!$F$2:$F$477,MATCH($E2087,Section_Master!$A$2:$A$477,0))&amp;"","")</f>
        <v>Yes</v>
      </c>
      <c r="I2087" s="10" t="str">
        <f aca="false">IFERROR(INDEX(Section_Master!$G$2:$G$477,MATCH($E2087,Section_Master!$A$2:$A$477,0))&amp;"","")</f>
        <v>No</v>
      </c>
      <c r="J2087" s="10" t="s">
        <v>58</v>
      </c>
      <c r="K2087" s="8" t="s">
        <v>4911</v>
      </c>
    </row>
    <row r="2088" customFormat="false" ht="34.5" hidden="false" customHeight="true" outlineLevel="0" collapsed="false">
      <c r="A2088" s="10" t="s">
        <v>4918</v>
      </c>
      <c r="B2088" s="10" t="s">
        <v>45</v>
      </c>
      <c r="C2088" s="8" t="s">
        <v>4909</v>
      </c>
      <c r="D2088" s="8" t="s">
        <v>4919</v>
      </c>
      <c r="E2088" s="11" t="n">
        <v>348</v>
      </c>
      <c r="F2088" s="8" t="str">
        <f aca="false">IFERROR(INDEX(Section_Master!$D$2:$D$477,MATCH($E2088,Section_Master!$A$2:$A$477,0))&amp;"","")</f>
        <v>Imprisonment up to 3 years, or fine, or both</v>
      </c>
      <c r="G2088" s="10" t="str">
        <f aca="false">IFERROR(INDEX(Section_Master!$E$2:$E$477,MATCH($E2088,Section_Master!$A$2:$A$477,0))&amp;"","")</f>
        <v>No</v>
      </c>
      <c r="H2088" s="10" t="str">
        <f aca="false">IFERROR(INDEX(Section_Master!$F$2:$F$477,MATCH($E2088,Section_Master!$A$2:$A$477,0))&amp;"","")</f>
        <v>Yes</v>
      </c>
      <c r="I2088" s="10" t="str">
        <f aca="false">IFERROR(INDEX(Section_Master!$G$2:$G$477,MATCH($E2088,Section_Master!$A$2:$A$477,0))&amp;"","")</f>
        <v>No</v>
      </c>
      <c r="J2088" s="10" t="s">
        <v>61</v>
      </c>
      <c r="K2088" s="8" t="s">
        <v>4911</v>
      </c>
    </row>
    <row r="2089" customFormat="false" ht="34.5" hidden="false" customHeight="true" outlineLevel="0" collapsed="false">
      <c r="A2089" s="10" t="s">
        <v>4920</v>
      </c>
      <c r="B2089" s="10" t="s">
        <v>45</v>
      </c>
      <c r="C2089" s="8" t="s">
        <v>4909</v>
      </c>
      <c r="D2089" s="8" t="s">
        <v>4921</v>
      </c>
      <c r="E2089" s="11" t="n">
        <v>348</v>
      </c>
      <c r="F2089" s="8" t="str">
        <f aca="false">IFERROR(INDEX(Section_Master!$D$2:$D$477,MATCH($E2089,Section_Master!$A$2:$A$477,0))&amp;"","")</f>
        <v>Imprisonment up to 3 years, or fine, or both</v>
      </c>
      <c r="G2089" s="10" t="str">
        <f aca="false">IFERROR(INDEX(Section_Master!$E$2:$E$477,MATCH($E2089,Section_Master!$A$2:$A$477,0))&amp;"","")</f>
        <v>No</v>
      </c>
      <c r="H2089" s="10" t="str">
        <f aca="false">IFERROR(INDEX(Section_Master!$F$2:$F$477,MATCH($E2089,Section_Master!$A$2:$A$477,0))&amp;"","")</f>
        <v>Yes</v>
      </c>
      <c r="I2089" s="10" t="str">
        <f aca="false">IFERROR(INDEX(Section_Master!$G$2:$G$477,MATCH($E2089,Section_Master!$A$2:$A$477,0))&amp;"","")</f>
        <v>No</v>
      </c>
      <c r="J2089" s="10" t="s">
        <v>64</v>
      </c>
      <c r="K2089" s="8" t="s">
        <v>4911</v>
      </c>
    </row>
    <row r="2090" customFormat="false" ht="34.5" hidden="false" customHeight="true" outlineLevel="0" collapsed="false">
      <c r="A2090" s="10" t="s">
        <v>4922</v>
      </c>
      <c r="B2090" s="10" t="s">
        <v>45</v>
      </c>
      <c r="C2090" s="8" t="s">
        <v>4923</v>
      </c>
      <c r="D2090" s="8" t="s">
        <v>4924</v>
      </c>
      <c r="E2090" s="11" t="n">
        <v>349</v>
      </c>
      <c r="F2090" s="8" t="str">
        <f aca="false">IFERROR(INDEX(Section_Master!$D$2:$D$477,MATCH($E2090,Section_Master!$A$2:$A$477,0))&amp;"","")</f>
        <v>Imprisonment up to 1 year, or fine, or both</v>
      </c>
      <c r="G2090" s="10" t="str">
        <f aca="false">IFERROR(INDEX(Section_Master!$E$2:$E$477,MATCH($E2090,Section_Master!$A$2:$A$477,0))&amp;"","")</f>
        <v>No</v>
      </c>
      <c r="H2090" s="10" t="str">
        <f aca="false">IFERROR(INDEX(Section_Master!$F$2:$F$477,MATCH($E2090,Section_Master!$A$2:$A$477,0))&amp;"","")</f>
        <v>Yes</v>
      </c>
      <c r="I2090" s="10" t="str">
        <f aca="false">IFERROR(INDEX(Section_Master!$G$2:$G$477,MATCH($E2090,Section_Master!$A$2:$A$477,0))&amp;"","")</f>
        <v>No</v>
      </c>
      <c r="J2090" s="10" t="s">
        <v>48</v>
      </c>
      <c r="K2090" s="8" t="s">
        <v>4925</v>
      </c>
    </row>
    <row r="2091" customFormat="false" ht="45.75" hidden="false" customHeight="true" outlineLevel="0" collapsed="false">
      <c r="A2091" s="10" t="s">
        <v>4926</v>
      </c>
      <c r="B2091" s="10" t="s">
        <v>45</v>
      </c>
      <c r="C2091" s="8" t="s">
        <v>4923</v>
      </c>
      <c r="D2091" s="8" t="s">
        <v>4927</v>
      </c>
      <c r="E2091" s="11" t="n">
        <v>349</v>
      </c>
      <c r="F2091" s="8" t="str">
        <f aca="false">IFERROR(INDEX(Section_Master!$D$2:$D$477,MATCH($E2091,Section_Master!$A$2:$A$477,0))&amp;"","")</f>
        <v>Imprisonment up to 1 year, or fine, or both</v>
      </c>
      <c r="G2091" s="10" t="str">
        <f aca="false">IFERROR(INDEX(Section_Master!$E$2:$E$477,MATCH($E2091,Section_Master!$A$2:$A$477,0))&amp;"","")</f>
        <v>No</v>
      </c>
      <c r="H2091" s="10" t="str">
        <f aca="false">IFERROR(INDEX(Section_Master!$F$2:$F$477,MATCH($E2091,Section_Master!$A$2:$A$477,0))&amp;"","")</f>
        <v>Yes</v>
      </c>
      <c r="I2091" s="10" t="str">
        <f aca="false">IFERROR(INDEX(Section_Master!$G$2:$G$477,MATCH($E2091,Section_Master!$A$2:$A$477,0))&amp;"","")</f>
        <v>No</v>
      </c>
      <c r="J2091" s="10" t="s">
        <v>52</v>
      </c>
      <c r="K2091" s="8" t="s">
        <v>4925</v>
      </c>
    </row>
    <row r="2092" customFormat="false" ht="34.5" hidden="false" customHeight="true" outlineLevel="0" collapsed="false">
      <c r="A2092" s="10" t="s">
        <v>4928</v>
      </c>
      <c r="B2092" s="10" t="s">
        <v>45</v>
      </c>
      <c r="C2092" s="8" t="s">
        <v>4923</v>
      </c>
      <c r="D2092" s="8" t="s">
        <v>4929</v>
      </c>
      <c r="E2092" s="11" t="n">
        <v>349</v>
      </c>
      <c r="F2092" s="8" t="str">
        <f aca="false">IFERROR(INDEX(Section_Master!$D$2:$D$477,MATCH($E2092,Section_Master!$A$2:$A$477,0))&amp;"","")</f>
        <v>Imprisonment up to 1 year, or fine, or both</v>
      </c>
      <c r="G2092" s="10" t="str">
        <f aca="false">IFERROR(INDEX(Section_Master!$E$2:$E$477,MATCH($E2092,Section_Master!$A$2:$A$477,0))&amp;"","")</f>
        <v>No</v>
      </c>
      <c r="H2092" s="10" t="str">
        <f aca="false">IFERROR(INDEX(Section_Master!$F$2:$F$477,MATCH($E2092,Section_Master!$A$2:$A$477,0))&amp;"","")</f>
        <v>Yes</v>
      </c>
      <c r="I2092" s="10" t="str">
        <f aca="false">IFERROR(INDEX(Section_Master!$G$2:$G$477,MATCH($E2092,Section_Master!$A$2:$A$477,0))&amp;"","")</f>
        <v>No</v>
      </c>
      <c r="J2092" s="10" t="s">
        <v>55</v>
      </c>
      <c r="K2092" s="8" t="s">
        <v>4925</v>
      </c>
    </row>
    <row r="2093" customFormat="false" ht="34.5" hidden="false" customHeight="true" outlineLevel="0" collapsed="false">
      <c r="A2093" s="10" t="s">
        <v>4930</v>
      </c>
      <c r="B2093" s="10" t="s">
        <v>45</v>
      </c>
      <c r="C2093" s="8" t="s">
        <v>4923</v>
      </c>
      <c r="D2093" s="8" t="s">
        <v>4931</v>
      </c>
      <c r="E2093" s="11" t="n">
        <v>349</v>
      </c>
      <c r="F2093" s="8" t="str">
        <f aca="false">IFERROR(INDEX(Section_Master!$D$2:$D$477,MATCH($E2093,Section_Master!$A$2:$A$477,0))&amp;"","")</f>
        <v>Imprisonment up to 1 year, or fine, or both</v>
      </c>
      <c r="G2093" s="10" t="str">
        <f aca="false">IFERROR(INDEX(Section_Master!$E$2:$E$477,MATCH($E2093,Section_Master!$A$2:$A$477,0))&amp;"","")</f>
        <v>No</v>
      </c>
      <c r="H2093" s="10" t="str">
        <f aca="false">IFERROR(INDEX(Section_Master!$F$2:$F$477,MATCH($E2093,Section_Master!$A$2:$A$477,0))&amp;"","")</f>
        <v>Yes</v>
      </c>
      <c r="I2093" s="10" t="str">
        <f aca="false">IFERROR(INDEX(Section_Master!$G$2:$G$477,MATCH($E2093,Section_Master!$A$2:$A$477,0))&amp;"","")</f>
        <v>No</v>
      </c>
      <c r="J2093" s="10" t="s">
        <v>58</v>
      </c>
      <c r="K2093" s="8" t="s">
        <v>4925</v>
      </c>
    </row>
    <row r="2094" customFormat="false" ht="34.5" hidden="false" customHeight="true" outlineLevel="0" collapsed="false">
      <c r="A2094" s="10" t="s">
        <v>4932</v>
      </c>
      <c r="B2094" s="10" t="s">
        <v>45</v>
      </c>
      <c r="C2094" s="8" t="s">
        <v>4923</v>
      </c>
      <c r="D2094" s="8" t="s">
        <v>4933</v>
      </c>
      <c r="E2094" s="11" t="n">
        <v>349</v>
      </c>
      <c r="F2094" s="8" t="str">
        <f aca="false">IFERROR(INDEX(Section_Master!$D$2:$D$477,MATCH($E2094,Section_Master!$A$2:$A$477,0))&amp;"","")</f>
        <v>Imprisonment up to 1 year, or fine, or both</v>
      </c>
      <c r="G2094" s="10" t="str">
        <f aca="false">IFERROR(INDEX(Section_Master!$E$2:$E$477,MATCH($E2094,Section_Master!$A$2:$A$477,0))&amp;"","")</f>
        <v>No</v>
      </c>
      <c r="H2094" s="10" t="str">
        <f aca="false">IFERROR(INDEX(Section_Master!$F$2:$F$477,MATCH($E2094,Section_Master!$A$2:$A$477,0))&amp;"","")</f>
        <v>Yes</v>
      </c>
      <c r="I2094" s="10" t="str">
        <f aca="false">IFERROR(INDEX(Section_Master!$G$2:$G$477,MATCH($E2094,Section_Master!$A$2:$A$477,0))&amp;"","")</f>
        <v>No</v>
      </c>
      <c r="J2094" s="10" t="s">
        <v>61</v>
      </c>
      <c r="K2094" s="8" t="s">
        <v>4925</v>
      </c>
    </row>
    <row r="2095" customFormat="false" ht="45.75" hidden="false" customHeight="true" outlineLevel="0" collapsed="false">
      <c r="A2095" s="10" t="s">
        <v>4934</v>
      </c>
      <c r="B2095" s="10" t="s">
        <v>45</v>
      </c>
      <c r="C2095" s="8" t="s">
        <v>4923</v>
      </c>
      <c r="D2095" s="8" t="s">
        <v>4935</v>
      </c>
      <c r="E2095" s="11" t="n">
        <v>349</v>
      </c>
      <c r="F2095" s="8" t="str">
        <f aca="false">IFERROR(INDEX(Section_Master!$D$2:$D$477,MATCH($E2095,Section_Master!$A$2:$A$477,0))&amp;"","")</f>
        <v>Imprisonment up to 1 year, or fine, or both</v>
      </c>
      <c r="G2095" s="10" t="str">
        <f aca="false">IFERROR(INDEX(Section_Master!$E$2:$E$477,MATCH($E2095,Section_Master!$A$2:$A$477,0))&amp;"","")</f>
        <v>No</v>
      </c>
      <c r="H2095" s="10" t="str">
        <f aca="false">IFERROR(INDEX(Section_Master!$F$2:$F$477,MATCH($E2095,Section_Master!$A$2:$A$477,0))&amp;"","")</f>
        <v>Yes</v>
      </c>
      <c r="I2095" s="10" t="str">
        <f aca="false">IFERROR(INDEX(Section_Master!$G$2:$G$477,MATCH($E2095,Section_Master!$A$2:$A$477,0))&amp;"","")</f>
        <v>No</v>
      </c>
      <c r="J2095" s="10" t="s">
        <v>64</v>
      </c>
      <c r="K2095" s="8" t="s">
        <v>4925</v>
      </c>
    </row>
    <row r="2096" customFormat="false" ht="34.5" hidden="false" customHeight="true" outlineLevel="0" collapsed="false">
      <c r="A2096" s="10" t="s">
        <v>4936</v>
      </c>
      <c r="B2096" s="10" t="s">
        <v>45</v>
      </c>
      <c r="C2096" s="8" t="s">
        <v>4937</v>
      </c>
      <c r="D2096" s="8" t="s">
        <v>4938</v>
      </c>
      <c r="E2096" s="11" t="n">
        <v>350</v>
      </c>
      <c r="F2096" s="8" t="str">
        <f aca="false">IFERROR(INDEX(Section_Master!$D$2:$D$477,MATCH($E2096,Section_Master!$A$2:$A$477,0))&amp;"","")</f>
        <v>Imprisonment up to 3 years, or fine, or both</v>
      </c>
      <c r="G2096" s="10" t="str">
        <f aca="false">IFERROR(INDEX(Section_Master!$E$2:$E$477,MATCH($E2096,Section_Master!$A$2:$A$477,0))&amp;"","")</f>
        <v>No</v>
      </c>
      <c r="H2096" s="10" t="str">
        <f aca="false">IFERROR(INDEX(Section_Master!$F$2:$F$477,MATCH($E2096,Section_Master!$A$2:$A$477,0))&amp;"","")</f>
        <v>Yes</v>
      </c>
      <c r="I2096" s="10" t="str">
        <f aca="false">IFERROR(INDEX(Section_Master!$G$2:$G$477,MATCH($E2096,Section_Master!$A$2:$A$477,0))&amp;"","")</f>
        <v>No</v>
      </c>
      <c r="J2096" s="10" t="s">
        <v>48</v>
      </c>
      <c r="K2096" s="8" t="s">
        <v>4939</v>
      </c>
    </row>
    <row r="2097" customFormat="false" ht="34.5" hidden="false" customHeight="true" outlineLevel="0" collapsed="false">
      <c r="A2097" s="10" t="s">
        <v>4940</v>
      </c>
      <c r="B2097" s="10" t="s">
        <v>45</v>
      </c>
      <c r="C2097" s="8" t="s">
        <v>4937</v>
      </c>
      <c r="D2097" s="8" t="s">
        <v>4941</v>
      </c>
      <c r="E2097" s="11" t="n">
        <v>350</v>
      </c>
      <c r="F2097" s="8" t="str">
        <f aca="false">IFERROR(INDEX(Section_Master!$D$2:$D$477,MATCH($E2097,Section_Master!$A$2:$A$477,0))&amp;"","")</f>
        <v>Imprisonment up to 3 years, or fine, or both</v>
      </c>
      <c r="G2097" s="10" t="str">
        <f aca="false">IFERROR(INDEX(Section_Master!$E$2:$E$477,MATCH($E2097,Section_Master!$A$2:$A$477,0))&amp;"","")</f>
        <v>No</v>
      </c>
      <c r="H2097" s="10" t="str">
        <f aca="false">IFERROR(INDEX(Section_Master!$F$2:$F$477,MATCH($E2097,Section_Master!$A$2:$A$477,0))&amp;"","")</f>
        <v>Yes</v>
      </c>
      <c r="I2097" s="10" t="str">
        <f aca="false">IFERROR(INDEX(Section_Master!$G$2:$G$477,MATCH($E2097,Section_Master!$A$2:$A$477,0))&amp;"","")</f>
        <v>No</v>
      </c>
      <c r="J2097" s="10" t="s">
        <v>52</v>
      </c>
      <c r="K2097" s="8" t="s">
        <v>4939</v>
      </c>
    </row>
    <row r="2098" customFormat="false" ht="34.5" hidden="false" customHeight="true" outlineLevel="0" collapsed="false">
      <c r="A2098" s="10" t="s">
        <v>4942</v>
      </c>
      <c r="B2098" s="10" t="s">
        <v>45</v>
      </c>
      <c r="C2098" s="8" t="s">
        <v>4937</v>
      </c>
      <c r="D2098" s="8" t="s">
        <v>4943</v>
      </c>
      <c r="E2098" s="11" t="n">
        <v>350</v>
      </c>
      <c r="F2098" s="8" t="str">
        <f aca="false">IFERROR(INDEX(Section_Master!$D$2:$D$477,MATCH($E2098,Section_Master!$A$2:$A$477,0))&amp;"","")</f>
        <v>Imprisonment up to 3 years, or fine, or both</v>
      </c>
      <c r="G2098" s="10" t="str">
        <f aca="false">IFERROR(INDEX(Section_Master!$E$2:$E$477,MATCH($E2098,Section_Master!$A$2:$A$477,0))&amp;"","")</f>
        <v>No</v>
      </c>
      <c r="H2098" s="10" t="str">
        <f aca="false">IFERROR(INDEX(Section_Master!$F$2:$F$477,MATCH($E2098,Section_Master!$A$2:$A$477,0))&amp;"","")</f>
        <v>Yes</v>
      </c>
      <c r="I2098" s="10" t="str">
        <f aca="false">IFERROR(INDEX(Section_Master!$G$2:$G$477,MATCH($E2098,Section_Master!$A$2:$A$477,0))&amp;"","")</f>
        <v>No</v>
      </c>
      <c r="J2098" s="10" t="s">
        <v>55</v>
      </c>
      <c r="K2098" s="8" t="s">
        <v>4939</v>
      </c>
    </row>
    <row r="2099" customFormat="false" ht="34.5" hidden="false" customHeight="true" outlineLevel="0" collapsed="false">
      <c r="A2099" s="10" t="s">
        <v>4944</v>
      </c>
      <c r="B2099" s="10" t="s">
        <v>45</v>
      </c>
      <c r="C2099" s="8" t="s">
        <v>4937</v>
      </c>
      <c r="D2099" s="8" t="s">
        <v>4945</v>
      </c>
      <c r="E2099" s="11" t="n">
        <v>350</v>
      </c>
      <c r="F2099" s="8" t="str">
        <f aca="false">IFERROR(INDEX(Section_Master!$D$2:$D$477,MATCH($E2099,Section_Master!$A$2:$A$477,0))&amp;"","")</f>
        <v>Imprisonment up to 3 years, or fine, or both</v>
      </c>
      <c r="G2099" s="10" t="str">
        <f aca="false">IFERROR(INDEX(Section_Master!$E$2:$E$477,MATCH($E2099,Section_Master!$A$2:$A$477,0))&amp;"","")</f>
        <v>No</v>
      </c>
      <c r="H2099" s="10" t="str">
        <f aca="false">IFERROR(INDEX(Section_Master!$F$2:$F$477,MATCH($E2099,Section_Master!$A$2:$A$477,0))&amp;"","")</f>
        <v>Yes</v>
      </c>
      <c r="I2099" s="10" t="str">
        <f aca="false">IFERROR(INDEX(Section_Master!$G$2:$G$477,MATCH($E2099,Section_Master!$A$2:$A$477,0))&amp;"","")</f>
        <v>No</v>
      </c>
      <c r="J2099" s="10" t="s">
        <v>58</v>
      </c>
      <c r="K2099" s="8" t="s">
        <v>4939</v>
      </c>
    </row>
    <row r="2100" customFormat="false" ht="23.25" hidden="false" customHeight="true" outlineLevel="0" collapsed="false">
      <c r="A2100" s="10" t="s">
        <v>4946</v>
      </c>
      <c r="B2100" s="10" t="s">
        <v>45</v>
      </c>
      <c r="C2100" s="8" t="s">
        <v>4937</v>
      </c>
      <c r="D2100" s="8" t="s">
        <v>4947</v>
      </c>
      <c r="E2100" s="11" t="n">
        <v>350</v>
      </c>
      <c r="F2100" s="8" t="str">
        <f aca="false">IFERROR(INDEX(Section_Master!$D$2:$D$477,MATCH($E2100,Section_Master!$A$2:$A$477,0))&amp;"","")</f>
        <v>Imprisonment up to 3 years, or fine, or both</v>
      </c>
      <c r="G2100" s="10" t="str">
        <f aca="false">IFERROR(INDEX(Section_Master!$E$2:$E$477,MATCH($E2100,Section_Master!$A$2:$A$477,0))&amp;"","")</f>
        <v>No</v>
      </c>
      <c r="H2100" s="10" t="str">
        <f aca="false">IFERROR(INDEX(Section_Master!$F$2:$F$477,MATCH($E2100,Section_Master!$A$2:$A$477,0))&amp;"","")</f>
        <v>Yes</v>
      </c>
      <c r="I2100" s="10" t="str">
        <f aca="false">IFERROR(INDEX(Section_Master!$G$2:$G$477,MATCH($E2100,Section_Master!$A$2:$A$477,0))&amp;"","")</f>
        <v>No</v>
      </c>
      <c r="J2100" s="10" t="s">
        <v>61</v>
      </c>
      <c r="K2100" s="8" t="s">
        <v>4939</v>
      </c>
    </row>
    <row r="2101" customFormat="false" ht="34.5" hidden="false" customHeight="true" outlineLevel="0" collapsed="false">
      <c r="A2101" s="10" t="s">
        <v>4948</v>
      </c>
      <c r="B2101" s="10" t="s">
        <v>45</v>
      </c>
      <c r="C2101" s="8" t="s">
        <v>4937</v>
      </c>
      <c r="D2101" s="8" t="s">
        <v>4949</v>
      </c>
      <c r="E2101" s="11" t="n">
        <v>350</v>
      </c>
      <c r="F2101" s="8" t="str">
        <f aca="false">IFERROR(INDEX(Section_Master!$D$2:$D$477,MATCH($E2101,Section_Master!$A$2:$A$477,0))&amp;"","")</f>
        <v>Imprisonment up to 3 years, or fine, or both</v>
      </c>
      <c r="G2101" s="10" t="str">
        <f aca="false">IFERROR(INDEX(Section_Master!$E$2:$E$477,MATCH($E2101,Section_Master!$A$2:$A$477,0))&amp;"","")</f>
        <v>No</v>
      </c>
      <c r="H2101" s="10" t="str">
        <f aca="false">IFERROR(INDEX(Section_Master!$F$2:$F$477,MATCH($E2101,Section_Master!$A$2:$A$477,0))&amp;"","")</f>
        <v>Yes</v>
      </c>
      <c r="I2101" s="10" t="str">
        <f aca="false">IFERROR(INDEX(Section_Master!$G$2:$G$477,MATCH($E2101,Section_Master!$A$2:$A$477,0))&amp;"","")</f>
        <v>No</v>
      </c>
      <c r="J2101" s="10" t="s">
        <v>64</v>
      </c>
      <c r="K2101" s="8" t="s">
        <v>4939</v>
      </c>
    </row>
    <row r="2102" customFormat="false" ht="45.75" hidden="false" customHeight="true" outlineLevel="0" collapsed="false">
      <c r="A2102" s="10" t="s">
        <v>4950</v>
      </c>
      <c r="B2102" s="10" t="s">
        <v>45</v>
      </c>
      <c r="C2102" s="8" t="s">
        <v>4951</v>
      </c>
      <c r="D2102" s="8" t="s">
        <v>4952</v>
      </c>
      <c r="E2102" s="11" t="n">
        <v>351</v>
      </c>
      <c r="F2102" s="8" t="str">
        <f aca="false">IFERROR(INDEX(Section_Master!$D$2:$D$477,MATCH($E2102,Section_Master!$A$2:$A$477,0))&amp;"","")</f>
        <v>Imprisonment up to 2 years, or fine, or both [s.351(2)]</v>
      </c>
      <c r="G2102" s="10" t="str">
        <f aca="false">IFERROR(INDEX(Section_Master!$E$2:$E$477,MATCH($E2102,Section_Master!$A$2:$A$477,0))&amp;"","")</f>
        <v>No</v>
      </c>
      <c r="H2102" s="10" t="str">
        <f aca="false">IFERROR(INDEX(Section_Master!$F$2:$F$477,MATCH($E2102,Section_Master!$A$2:$A$477,0))&amp;"","")</f>
        <v>Yes</v>
      </c>
      <c r="I2102" s="10" t="str">
        <f aca="false">IFERROR(INDEX(Section_Master!$G$2:$G$477,MATCH($E2102,Section_Master!$A$2:$A$477,0))&amp;"","")</f>
        <v>Yes</v>
      </c>
      <c r="J2102" s="10" t="s">
        <v>48</v>
      </c>
      <c r="K2102" s="8" t="s">
        <v>4953</v>
      </c>
    </row>
    <row r="2103" customFormat="false" ht="45.75" hidden="false" customHeight="true" outlineLevel="0" collapsed="false">
      <c r="A2103" s="10" t="s">
        <v>4954</v>
      </c>
      <c r="B2103" s="10" t="s">
        <v>45</v>
      </c>
      <c r="C2103" s="8" t="s">
        <v>4951</v>
      </c>
      <c r="D2103" s="8" t="s">
        <v>4955</v>
      </c>
      <c r="E2103" s="11" t="n">
        <v>351</v>
      </c>
      <c r="F2103" s="8" t="str">
        <f aca="false">IFERROR(INDEX(Section_Master!$D$2:$D$477,MATCH($E2103,Section_Master!$A$2:$A$477,0))&amp;"","")</f>
        <v>Imprisonment up to 2 years, or fine, or both [s.351(2)]</v>
      </c>
      <c r="G2103" s="10" t="str">
        <f aca="false">IFERROR(INDEX(Section_Master!$E$2:$E$477,MATCH($E2103,Section_Master!$A$2:$A$477,0))&amp;"","")</f>
        <v>No</v>
      </c>
      <c r="H2103" s="10" t="str">
        <f aca="false">IFERROR(INDEX(Section_Master!$F$2:$F$477,MATCH($E2103,Section_Master!$A$2:$A$477,0))&amp;"","")</f>
        <v>Yes</v>
      </c>
      <c r="I2103" s="10" t="str">
        <f aca="false">IFERROR(INDEX(Section_Master!$G$2:$G$477,MATCH($E2103,Section_Master!$A$2:$A$477,0))&amp;"","")</f>
        <v>Yes</v>
      </c>
      <c r="J2103" s="10" t="s">
        <v>52</v>
      </c>
      <c r="K2103" s="8" t="s">
        <v>4953</v>
      </c>
    </row>
    <row r="2104" customFormat="false" ht="45.75" hidden="false" customHeight="true" outlineLevel="0" collapsed="false">
      <c r="A2104" s="10" t="s">
        <v>4956</v>
      </c>
      <c r="B2104" s="10" t="s">
        <v>45</v>
      </c>
      <c r="C2104" s="8" t="s">
        <v>4951</v>
      </c>
      <c r="D2104" s="8" t="s">
        <v>4957</v>
      </c>
      <c r="E2104" s="11" t="n">
        <v>351</v>
      </c>
      <c r="F2104" s="8" t="str">
        <f aca="false">IFERROR(INDEX(Section_Master!$D$2:$D$477,MATCH($E2104,Section_Master!$A$2:$A$477,0))&amp;"","")</f>
        <v>Imprisonment up to 2 years, or fine, or both [s.351(2)]</v>
      </c>
      <c r="G2104" s="10" t="str">
        <f aca="false">IFERROR(INDEX(Section_Master!$E$2:$E$477,MATCH($E2104,Section_Master!$A$2:$A$477,0))&amp;"","")</f>
        <v>No</v>
      </c>
      <c r="H2104" s="10" t="str">
        <f aca="false">IFERROR(INDEX(Section_Master!$F$2:$F$477,MATCH($E2104,Section_Master!$A$2:$A$477,0))&amp;"","")</f>
        <v>Yes</v>
      </c>
      <c r="I2104" s="10" t="str">
        <f aca="false">IFERROR(INDEX(Section_Master!$G$2:$G$477,MATCH($E2104,Section_Master!$A$2:$A$477,0))&amp;"","")</f>
        <v>Yes</v>
      </c>
      <c r="J2104" s="10" t="s">
        <v>55</v>
      </c>
      <c r="K2104" s="8" t="s">
        <v>4953</v>
      </c>
    </row>
    <row r="2105" customFormat="false" ht="23.25" hidden="false" customHeight="true" outlineLevel="0" collapsed="false">
      <c r="A2105" s="10" t="s">
        <v>4958</v>
      </c>
      <c r="B2105" s="10" t="s">
        <v>45</v>
      </c>
      <c r="C2105" s="8" t="s">
        <v>4951</v>
      </c>
      <c r="D2105" s="8" t="s">
        <v>4959</v>
      </c>
      <c r="E2105" s="11" t="n">
        <v>351</v>
      </c>
      <c r="F2105" s="8" t="str">
        <f aca="false">IFERROR(INDEX(Section_Master!$D$2:$D$477,MATCH($E2105,Section_Master!$A$2:$A$477,0))&amp;"","")</f>
        <v>Imprisonment up to 2 years, or fine, or both [s.351(2)]</v>
      </c>
      <c r="G2105" s="10" t="str">
        <f aca="false">IFERROR(INDEX(Section_Master!$E$2:$E$477,MATCH($E2105,Section_Master!$A$2:$A$477,0))&amp;"","")</f>
        <v>No</v>
      </c>
      <c r="H2105" s="10" t="str">
        <f aca="false">IFERROR(INDEX(Section_Master!$F$2:$F$477,MATCH($E2105,Section_Master!$A$2:$A$477,0))&amp;"","")</f>
        <v>Yes</v>
      </c>
      <c r="I2105" s="10" t="str">
        <f aca="false">IFERROR(INDEX(Section_Master!$G$2:$G$477,MATCH($E2105,Section_Master!$A$2:$A$477,0))&amp;"","")</f>
        <v>Yes</v>
      </c>
      <c r="J2105" s="10" t="s">
        <v>58</v>
      </c>
      <c r="K2105" s="8" t="s">
        <v>4953</v>
      </c>
    </row>
    <row r="2106" customFormat="false" ht="34.5" hidden="false" customHeight="true" outlineLevel="0" collapsed="false">
      <c r="A2106" s="10" t="s">
        <v>4960</v>
      </c>
      <c r="B2106" s="10" t="s">
        <v>45</v>
      </c>
      <c r="C2106" s="8" t="s">
        <v>4951</v>
      </c>
      <c r="D2106" s="8" t="s">
        <v>4961</v>
      </c>
      <c r="E2106" s="11" t="n">
        <v>351</v>
      </c>
      <c r="F2106" s="8" t="str">
        <f aca="false">IFERROR(INDEX(Section_Master!$D$2:$D$477,MATCH($E2106,Section_Master!$A$2:$A$477,0))&amp;"","")</f>
        <v>Imprisonment up to 2 years, or fine, or both [s.351(2)]</v>
      </c>
      <c r="G2106" s="10" t="str">
        <f aca="false">IFERROR(INDEX(Section_Master!$E$2:$E$477,MATCH($E2106,Section_Master!$A$2:$A$477,0))&amp;"","")</f>
        <v>No</v>
      </c>
      <c r="H2106" s="10" t="str">
        <f aca="false">IFERROR(INDEX(Section_Master!$F$2:$F$477,MATCH($E2106,Section_Master!$A$2:$A$477,0))&amp;"","")</f>
        <v>Yes</v>
      </c>
      <c r="I2106" s="10" t="str">
        <f aca="false">IFERROR(INDEX(Section_Master!$G$2:$G$477,MATCH($E2106,Section_Master!$A$2:$A$477,0))&amp;"","")</f>
        <v>Yes</v>
      </c>
      <c r="J2106" s="10" t="s">
        <v>61</v>
      </c>
      <c r="K2106" s="8" t="s">
        <v>4953</v>
      </c>
    </row>
    <row r="2107" customFormat="false" ht="34.5" hidden="false" customHeight="true" outlineLevel="0" collapsed="false">
      <c r="A2107" s="10" t="s">
        <v>4962</v>
      </c>
      <c r="B2107" s="10" t="s">
        <v>45</v>
      </c>
      <c r="C2107" s="8" t="s">
        <v>4951</v>
      </c>
      <c r="D2107" s="8" t="s">
        <v>4963</v>
      </c>
      <c r="E2107" s="11" t="n">
        <v>351</v>
      </c>
      <c r="F2107" s="8" t="str">
        <f aca="false">IFERROR(INDEX(Section_Master!$D$2:$D$477,MATCH($E2107,Section_Master!$A$2:$A$477,0))&amp;"","")</f>
        <v>Imprisonment up to 2 years, or fine, or both [s.351(2)]</v>
      </c>
      <c r="G2107" s="10" t="str">
        <f aca="false">IFERROR(INDEX(Section_Master!$E$2:$E$477,MATCH($E2107,Section_Master!$A$2:$A$477,0))&amp;"","")</f>
        <v>No</v>
      </c>
      <c r="H2107" s="10" t="str">
        <f aca="false">IFERROR(INDEX(Section_Master!$F$2:$F$477,MATCH($E2107,Section_Master!$A$2:$A$477,0))&amp;"","")</f>
        <v>Yes</v>
      </c>
      <c r="I2107" s="10" t="str">
        <f aca="false">IFERROR(INDEX(Section_Master!$G$2:$G$477,MATCH($E2107,Section_Master!$A$2:$A$477,0))&amp;"","")</f>
        <v>Yes</v>
      </c>
      <c r="J2107" s="10" t="s">
        <v>64</v>
      </c>
      <c r="K2107" s="8" t="s">
        <v>4953</v>
      </c>
    </row>
    <row r="2108" customFormat="false" ht="34.5" hidden="false" customHeight="true" outlineLevel="0" collapsed="false">
      <c r="A2108" s="10" t="s">
        <v>4964</v>
      </c>
      <c r="B2108" s="10" t="s">
        <v>45</v>
      </c>
      <c r="C2108" s="8" t="s">
        <v>4965</v>
      </c>
      <c r="D2108" s="8" t="s">
        <v>4966</v>
      </c>
      <c r="E2108" s="11" t="n">
        <v>352</v>
      </c>
      <c r="F2108" s="8" t="str">
        <f aca="false">IFERROR(INDEX(Section_Master!$D$2:$D$477,MATCH($E2108,Section_Master!$A$2:$A$477,0))&amp;"","")</f>
        <v>Imprisonment up to 2 years, or fine, or both</v>
      </c>
      <c r="G2108" s="10" t="str">
        <f aca="false">IFERROR(INDEX(Section_Master!$E$2:$E$477,MATCH($E2108,Section_Master!$A$2:$A$477,0))&amp;"","")</f>
        <v>No</v>
      </c>
      <c r="H2108" s="10" t="str">
        <f aca="false">IFERROR(INDEX(Section_Master!$F$2:$F$477,MATCH($E2108,Section_Master!$A$2:$A$477,0))&amp;"","")</f>
        <v>Yes</v>
      </c>
      <c r="I2108" s="10" t="str">
        <f aca="false">IFERROR(INDEX(Section_Master!$G$2:$G$477,MATCH($E2108,Section_Master!$A$2:$A$477,0))&amp;"","")</f>
        <v>Yes</v>
      </c>
      <c r="J2108" s="10" t="s">
        <v>48</v>
      </c>
      <c r="K2108" s="8" t="s">
        <v>4967</v>
      </c>
    </row>
    <row r="2109" customFormat="false" ht="34.5" hidden="false" customHeight="true" outlineLevel="0" collapsed="false">
      <c r="A2109" s="10" t="s">
        <v>4968</v>
      </c>
      <c r="B2109" s="10" t="s">
        <v>45</v>
      </c>
      <c r="C2109" s="8" t="s">
        <v>4965</v>
      </c>
      <c r="D2109" s="8" t="s">
        <v>4969</v>
      </c>
      <c r="E2109" s="11" t="n">
        <v>352</v>
      </c>
      <c r="F2109" s="8" t="str">
        <f aca="false">IFERROR(INDEX(Section_Master!$D$2:$D$477,MATCH($E2109,Section_Master!$A$2:$A$477,0))&amp;"","")</f>
        <v>Imprisonment up to 2 years, or fine, or both</v>
      </c>
      <c r="G2109" s="10" t="str">
        <f aca="false">IFERROR(INDEX(Section_Master!$E$2:$E$477,MATCH($E2109,Section_Master!$A$2:$A$477,0))&amp;"","")</f>
        <v>No</v>
      </c>
      <c r="H2109" s="10" t="str">
        <f aca="false">IFERROR(INDEX(Section_Master!$F$2:$F$477,MATCH($E2109,Section_Master!$A$2:$A$477,0))&amp;"","")</f>
        <v>Yes</v>
      </c>
      <c r="I2109" s="10" t="str">
        <f aca="false">IFERROR(INDEX(Section_Master!$G$2:$G$477,MATCH($E2109,Section_Master!$A$2:$A$477,0))&amp;"","")</f>
        <v>Yes</v>
      </c>
      <c r="J2109" s="10" t="s">
        <v>52</v>
      </c>
      <c r="K2109" s="8" t="s">
        <v>4967</v>
      </c>
    </row>
    <row r="2110" customFormat="false" ht="34.5" hidden="false" customHeight="true" outlineLevel="0" collapsed="false">
      <c r="A2110" s="10" t="s">
        <v>4970</v>
      </c>
      <c r="B2110" s="10" t="s">
        <v>45</v>
      </c>
      <c r="C2110" s="8" t="s">
        <v>4965</v>
      </c>
      <c r="D2110" s="8" t="s">
        <v>4971</v>
      </c>
      <c r="E2110" s="11" t="n">
        <v>352</v>
      </c>
      <c r="F2110" s="8" t="str">
        <f aca="false">IFERROR(INDEX(Section_Master!$D$2:$D$477,MATCH($E2110,Section_Master!$A$2:$A$477,0))&amp;"","")</f>
        <v>Imprisonment up to 2 years, or fine, or both</v>
      </c>
      <c r="G2110" s="10" t="str">
        <f aca="false">IFERROR(INDEX(Section_Master!$E$2:$E$477,MATCH($E2110,Section_Master!$A$2:$A$477,0))&amp;"","")</f>
        <v>No</v>
      </c>
      <c r="H2110" s="10" t="str">
        <f aca="false">IFERROR(INDEX(Section_Master!$F$2:$F$477,MATCH($E2110,Section_Master!$A$2:$A$477,0))&amp;"","")</f>
        <v>Yes</v>
      </c>
      <c r="I2110" s="10" t="str">
        <f aca="false">IFERROR(INDEX(Section_Master!$G$2:$G$477,MATCH($E2110,Section_Master!$A$2:$A$477,0))&amp;"","")</f>
        <v>Yes</v>
      </c>
      <c r="J2110" s="10" t="s">
        <v>55</v>
      </c>
      <c r="K2110" s="8" t="s">
        <v>4967</v>
      </c>
    </row>
    <row r="2111" customFormat="false" ht="34.5" hidden="false" customHeight="true" outlineLevel="0" collapsed="false">
      <c r="A2111" s="10" t="s">
        <v>4972</v>
      </c>
      <c r="B2111" s="10" t="s">
        <v>45</v>
      </c>
      <c r="C2111" s="8" t="s">
        <v>4965</v>
      </c>
      <c r="D2111" s="8" t="s">
        <v>4973</v>
      </c>
      <c r="E2111" s="11" t="n">
        <v>352</v>
      </c>
      <c r="F2111" s="8" t="str">
        <f aca="false">IFERROR(INDEX(Section_Master!$D$2:$D$477,MATCH($E2111,Section_Master!$A$2:$A$477,0))&amp;"","")</f>
        <v>Imprisonment up to 2 years, or fine, or both</v>
      </c>
      <c r="G2111" s="10" t="str">
        <f aca="false">IFERROR(INDEX(Section_Master!$E$2:$E$477,MATCH($E2111,Section_Master!$A$2:$A$477,0))&amp;"","")</f>
        <v>No</v>
      </c>
      <c r="H2111" s="10" t="str">
        <f aca="false">IFERROR(INDEX(Section_Master!$F$2:$F$477,MATCH($E2111,Section_Master!$A$2:$A$477,0))&amp;"","")</f>
        <v>Yes</v>
      </c>
      <c r="I2111" s="10" t="str">
        <f aca="false">IFERROR(INDEX(Section_Master!$G$2:$G$477,MATCH($E2111,Section_Master!$A$2:$A$477,0))&amp;"","")</f>
        <v>Yes</v>
      </c>
      <c r="J2111" s="10" t="s">
        <v>58</v>
      </c>
      <c r="K2111" s="8" t="s">
        <v>4967</v>
      </c>
    </row>
    <row r="2112" customFormat="false" ht="34.5" hidden="false" customHeight="true" outlineLevel="0" collapsed="false">
      <c r="A2112" s="10" t="s">
        <v>4974</v>
      </c>
      <c r="B2112" s="10" t="s">
        <v>45</v>
      </c>
      <c r="C2112" s="8" t="s">
        <v>4965</v>
      </c>
      <c r="D2112" s="8" t="s">
        <v>4975</v>
      </c>
      <c r="E2112" s="11" t="n">
        <v>352</v>
      </c>
      <c r="F2112" s="8" t="str">
        <f aca="false">IFERROR(INDEX(Section_Master!$D$2:$D$477,MATCH($E2112,Section_Master!$A$2:$A$477,0))&amp;"","")</f>
        <v>Imprisonment up to 2 years, or fine, or both</v>
      </c>
      <c r="G2112" s="10" t="str">
        <f aca="false">IFERROR(INDEX(Section_Master!$E$2:$E$477,MATCH($E2112,Section_Master!$A$2:$A$477,0))&amp;"","")</f>
        <v>No</v>
      </c>
      <c r="H2112" s="10" t="str">
        <f aca="false">IFERROR(INDEX(Section_Master!$F$2:$F$477,MATCH($E2112,Section_Master!$A$2:$A$477,0))&amp;"","")</f>
        <v>Yes</v>
      </c>
      <c r="I2112" s="10" t="str">
        <f aca="false">IFERROR(INDEX(Section_Master!$G$2:$G$477,MATCH($E2112,Section_Master!$A$2:$A$477,0))&amp;"","")</f>
        <v>Yes</v>
      </c>
      <c r="J2112" s="10" t="s">
        <v>61</v>
      </c>
      <c r="K2112" s="8" t="s">
        <v>4967</v>
      </c>
    </row>
    <row r="2113" customFormat="false" ht="34.5" hidden="false" customHeight="true" outlineLevel="0" collapsed="false">
      <c r="A2113" s="10" t="s">
        <v>4976</v>
      </c>
      <c r="B2113" s="10" t="s">
        <v>45</v>
      </c>
      <c r="C2113" s="8" t="s">
        <v>4965</v>
      </c>
      <c r="D2113" s="8" t="s">
        <v>4977</v>
      </c>
      <c r="E2113" s="11" t="n">
        <v>352</v>
      </c>
      <c r="F2113" s="8" t="str">
        <f aca="false">IFERROR(INDEX(Section_Master!$D$2:$D$477,MATCH($E2113,Section_Master!$A$2:$A$477,0))&amp;"","")</f>
        <v>Imprisonment up to 2 years, or fine, or both</v>
      </c>
      <c r="G2113" s="10" t="str">
        <f aca="false">IFERROR(INDEX(Section_Master!$E$2:$E$477,MATCH($E2113,Section_Master!$A$2:$A$477,0))&amp;"","")</f>
        <v>No</v>
      </c>
      <c r="H2113" s="10" t="str">
        <f aca="false">IFERROR(INDEX(Section_Master!$F$2:$F$477,MATCH($E2113,Section_Master!$A$2:$A$477,0))&amp;"","")</f>
        <v>Yes</v>
      </c>
      <c r="I2113" s="10" t="str">
        <f aca="false">IFERROR(INDEX(Section_Master!$G$2:$G$477,MATCH($E2113,Section_Master!$A$2:$A$477,0))&amp;"","")</f>
        <v>Yes</v>
      </c>
      <c r="J2113" s="10" t="s">
        <v>64</v>
      </c>
      <c r="K2113" s="8" t="s">
        <v>4967</v>
      </c>
    </row>
    <row r="2114" customFormat="false" ht="45.75" hidden="false" customHeight="true" outlineLevel="0" collapsed="false">
      <c r="A2114" s="10" t="s">
        <v>4978</v>
      </c>
      <c r="B2114" s="10" t="s">
        <v>45</v>
      </c>
      <c r="C2114" s="8" t="s">
        <v>4979</v>
      </c>
      <c r="D2114" s="8" t="s">
        <v>4980</v>
      </c>
      <c r="E2114" s="11" t="n">
        <v>353</v>
      </c>
      <c r="F2114" s="8" t="str">
        <f aca="false">IFERROR(INDEX(Section_Master!$D$2:$D$477,MATCH($E2114,Section_Master!$A$2:$A$477,0))&amp;"","")</f>
        <v>Imprisonment up to 3 years, or fine, or both; up to 5 years and fine in a place of worship [s.353]</v>
      </c>
      <c r="G2114" s="10" t="str">
        <f aca="false">IFERROR(INDEX(Section_Master!$E$2:$E$477,MATCH($E2114,Section_Master!$A$2:$A$477,0))&amp;"","")</f>
        <v>Yes</v>
      </c>
      <c r="H2114" s="10" t="str">
        <f aca="false">IFERROR(INDEX(Section_Master!$F$2:$F$477,MATCH($E2114,Section_Master!$A$2:$A$477,0))&amp;"","")</f>
        <v>No</v>
      </c>
      <c r="I2114" s="10" t="str">
        <f aca="false">IFERROR(INDEX(Section_Master!$G$2:$G$477,MATCH($E2114,Section_Master!$A$2:$A$477,0))&amp;"","")</f>
        <v>No</v>
      </c>
      <c r="J2114" s="10" t="s">
        <v>48</v>
      </c>
      <c r="K2114" s="8" t="s">
        <v>4981</v>
      </c>
    </row>
    <row r="2115" customFormat="false" ht="45.75" hidden="false" customHeight="true" outlineLevel="0" collapsed="false">
      <c r="A2115" s="10" t="s">
        <v>4982</v>
      </c>
      <c r="B2115" s="10" t="s">
        <v>45</v>
      </c>
      <c r="C2115" s="8" t="s">
        <v>4979</v>
      </c>
      <c r="D2115" s="8" t="s">
        <v>4983</v>
      </c>
      <c r="E2115" s="11" t="n">
        <v>353</v>
      </c>
      <c r="F2115" s="8" t="str">
        <f aca="false">IFERROR(INDEX(Section_Master!$D$2:$D$477,MATCH($E2115,Section_Master!$A$2:$A$477,0))&amp;"","")</f>
        <v>Imprisonment up to 3 years, or fine, or both; up to 5 years and fine in a place of worship [s.353]</v>
      </c>
      <c r="G2115" s="10" t="str">
        <f aca="false">IFERROR(INDEX(Section_Master!$E$2:$E$477,MATCH($E2115,Section_Master!$A$2:$A$477,0))&amp;"","")</f>
        <v>Yes</v>
      </c>
      <c r="H2115" s="10" t="str">
        <f aca="false">IFERROR(INDEX(Section_Master!$F$2:$F$477,MATCH($E2115,Section_Master!$A$2:$A$477,0))&amp;"","")</f>
        <v>No</v>
      </c>
      <c r="I2115" s="10" t="str">
        <f aca="false">IFERROR(INDEX(Section_Master!$G$2:$G$477,MATCH($E2115,Section_Master!$A$2:$A$477,0))&amp;"","")</f>
        <v>No</v>
      </c>
      <c r="J2115" s="10" t="s">
        <v>52</v>
      </c>
      <c r="K2115" s="8" t="s">
        <v>4981</v>
      </c>
    </row>
    <row r="2116" customFormat="false" ht="34.5" hidden="false" customHeight="true" outlineLevel="0" collapsed="false">
      <c r="A2116" s="10" t="s">
        <v>4984</v>
      </c>
      <c r="B2116" s="10" t="s">
        <v>45</v>
      </c>
      <c r="C2116" s="8" t="s">
        <v>4979</v>
      </c>
      <c r="D2116" s="8" t="s">
        <v>4985</v>
      </c>
      <c r="E2116" s="11" t="n">
        <v>353</v>
      </c>
      <c r="F2116" s="8" t="str">
        <f aca="false">IFERROR(INDEX(Section_Master!$D$2:$D$477,MATCH($E2116,Section_Master!$A$2:$A$477,0))&amp;"","")</f>
        <v>Imprisonment up to 3 years, or fine, or both; up to 5 years and fine in a place of worship [s.353]</v>
      </c>
      <c r="G2116" s="10" t="str">
        <f aca="false">IFERROR(INDEX(Section_Master!$E$2:$E$477,MATCH($E2116,Section_Master!$A$2:$A$477,0))&amp;"","")</f>
        <v>Yes</v>
      </c>
      <c r="H2116" s="10" t="str">
        <f aca="false">IFERROR(INDEX(Section_Master!$F$2:$F$477,MATCH($E2116,Section_Master!$A$2:$A$477,0))&amp;"","")</f>
        <v>No</v>
      </c>
      <c r="I2116" s="10" t="str">
        <f aca="false">IFERROR(INDEX(Section_Master!$G$2:$G$477,MATCH($E2116,Section_Master!$A$2:$A$477,0))&amp;"","")</f>
        <v>No</v>
      </c>
      <c r="J2116" s="10" t="s">
        <v>55</v>
      </c>
      <c r="K2116" s="8" t="s">
        <v>4981</v>
      </c>
    </row>
    <row r="2117" customFormat="false" ht="34.5" hidden="false" customHeight="true" outlineLevel="0" collapsed="false">
      <c r="A2117" s="10" t="s">
        <v>4986</v>
      </c>
      <c r="B2117" s="10" t="s">
        <v>45</v>
      </c>
      <c r="C2117" s="8" t="s">
        <v>4979</v>
      </c>
      <c r="D2117" s="8" t="s">
        <v>4987</v>
      </c>
      <c r="E2117" s="11" t="n">
        <v>353</v>
      </c>
      <c r="F2117" s="8" t="str">
        <f aca="false">IFERROR(INDEX(Section_Master!$D$2:$D$477,MATCH($E2117,Section_Master!$A$2:$A$477,0))&amp;"","")</f>
        <v>Imprisonment up to 3 years, or fine, or both; up to 5 years and fine in a place of worship [s.353]</v>
      </c>
      <c r="G2117" s="10" t="str">
        <f aca="false">IFERROR(INDEX(Section_Master!$E$2:$E$477,MATCH($E2117,Section_Master!$A$2:$A$477,0))&amp;"","")</f>
        <v>Yes</v>
      </c>
      <c r="H2117" s="10" t="str">
        <f aca="false">IFERROR(INDEX(Section_Master!$F$2:$F$477,MATCH($E2117,Section_Master!$A$2:$A$477,0))&amp;"","")</f>
        <v>No</v>
      </c>
      <c r="I2117" s="10" t="str">
        <f aca="false">IFERROR(INDEX(Section_Master!$G$2:$G$477,MATCH($E2117,Section_Master!$A$2:$A$477,0))&amp;"","")</f>
        <v>No</v>
      </c>
      <c r="J2117" s="10" t="s">
        <v>58</v>
      </c>
      <c r="K2117" s="8" t="s">
        <v>4981</v>
      </c>
    </row>
    <row r="2118" customFormat="false" ht="34.5" hidden="false" customHeight="true" outlineLevel="0" collapsed="false">
      <c r="A2118" s="10" t="s">
        <v>4988</v>
      </c>
      <c r="B2118" s="10" t="s">
        <v>45</v>
      </c>
      <c r="C2118" s="8" t="s">
        <v>4979</v>
      </c>
      <c r="D2118" s="8" t="s">
        <v>4989</v>
      </c>
      <c r="E2118" s="11" t="n">
        <v>353</v>
      </c>
      <c r="F2118" s="8" t="str">
        <f aca="false">IFERROR(INDEX(Section_Master!$D$2:$D$477,MATCH($E2118,Section_Master!$A$2:$A$477,0))&amp;"","")</f>
        <v>Imprisonment up to 3 years, or fine, or both; up to 5 years and fine in a place of worship [s.353]</v>
      </c>
      <c r="G2118" s="10" t="str">
        <f aca="false">IFERROR(INDEX(Section_Master!$E$2:$E$477,MATCH($E2118,Section_Master!$A$2:$A$477,0))&amp;"","")</f>
        <v>Yes</v>
      </c>
      <c r="H2118" s="10" t="str">
        <f aca="false">IFERROR(INDEX(Section_Master!$F$2:$F$477,MATCH($E2118,Section_Master!$A$2:$A$477,0))&amp;"","")</f>
        <v>No</v>
      </c>
      <c r="I2118" s="10" t="str">
        <f aca="false">IFERROR(INDEX(Section_Master!$G$2:$G$477,MATCH($E2118,Section_Master!$A$2:$A$477,0))&amp;"","")</f>
        <v>No</v>
      </c>
      <c r="J2118" s="10" t="s">
        <v>61</v>
      </c>
      <c r="K2118" s="8" t="s">
        <v>4981</v>
      </c>
    </row>
    <row r="2119" customFormat="false" ht="34.5" hidden="false" customHeight="true" outlineLevel="0" collapsed="false">
      <c r="A2119" s="10" t="s">
        <v>4990</v>
      </c>
      <c r="B2119" s="10" t="s">
        <v>45</v>
      </c>
      <c r="C2119" s="8" t="s">
        <v>4979</v>
      </c>
      <c r="D2119" s="8" t="s">
        <v>4991</v>
      </c>
      <c r="E2119" s="11" t="n">
        <v>353</v>
      </c>
      <c r="F2119" s="8" t="str">
        <f aca="false">IFERROR(INDEX(Section_Master!$D$2:$D$477,MATCH($E2119,Section_Master!$A$2:$A$477,0))&amp;"","")</f>
        <v>Imprisonment up to 3 years, or fine, or both; up to 5 years and fine in a place of worship [s.353]</v>
      </c>
      <c r="G2119" s="10" t="str">
        <f aca="false">IFERROR(INDEX(Section_Master!$E$2:$E$477,MATCH($E2119,Section_Master!$A$2:$A$477,0))&amp;"","")</f>
        <v>Yes</v>
      </c>
      <c r="H2119" s="10" t="str">
        <f aca="false">IFERROR(INDEX(Section_Master!$F$2:$F$477,MATCH($E2119,Section_Master!$A$2:$A$477,0))&amp;"","")</f>
        <v>No</v>
      </c>
      <c r="I2119" s="10" t="str">
        <f aca="false">IFERROR(INDEX(Section_Master!$G$2:$G$477,MATCH($E2119,Section_Master!$A$2:$A$477,0))&amp;"","")</f>
        <v>No</v>
      </c>
      <c r="J2119" s="10" t="s">
        <v>64</v>
      </c>
      <c r="K2119" s="8" t="s">
        <v>4981</v>
      </c>
    </row>
    <row r="2120" customFormat="false" ht="45.75" hidden="false" customHeight="true" outlineLevel="0" collapsed="false">
      <c r="A2120" s="10" t="s">
        <v>4992</v>
      </c>
      <c r="B2120" s="10" t="s">
        <v>45</v>
      </c>
      <c r="C2120" s="8" t="s">
        <v>4993</v>
      </c>
      <c r="D2120" s="8" t="s">
        <v>4994</v>
      </c>
      <c r="E2120" s="11" t="n">
        <v>354</v>
      </c>
      <c r="F2120" s="8" t="str">
        <f aca="false">IFERROR(INDEX(Section_Master!$D$2:$D$477,MATCH($E2120,Section_Master!$A$2:$A$477,0))&amp;"","")</f>
        <v>Imprisonment up to 1 year, or fine, or both</v>
      </c>
      <c r="G2120" s="10" t="str">
        <f aca="false">IFERROR(INDEX(Section_Master!$E$2:$E$477,MATCH($E2120,Section_Master!$A$2:$A$477,0))&amp;"","")</f>
        <v>No</v>
      </c>
      <c r="H2120" s="10" t="str">
        <f aca="false">IFERROR(INDEX(Section_Master!$F$2:$F$477,MATCH($E2120,Section_Master!$A$2:$A$477,0))&amp;"","")</f>
        <v>Yes</v>
      </c>
      <c r="I2120" s="10" t="str">
        <f aca="false">IFERROR(INDEX(Section_Master!$G$2:$G$477,MATCH($E2120,Section_Master!$A$2:$A$477,0))&amp;"","")</f>
        <v>Yes</v>
      </c>
      <c r="J2120" s="10" t="s">
        <v>48</v>
      </c>
      <c r="K2120" s="8" t="s">
        <v>4995</v>
      </c>
    </row>
    <row r="2121" customFormat="false" ht="45.75" hidden="false" customHeight="true" outlineLevel="0" collapsed="false">
      <c r="A2121" s="10" t="s">
        <v>4996</v>
      </c>
      <c r="B2121" s="10" t="s">
        <v>45</v>
      </c>
      <c r="C2121" s="8" t="s">
        <v>4993</v>
      </c>
      <c r="D2121" s="8" t="s">
        <v>4997</v>
      </c>
      <c r="E2121" s="11" t="n">
        <v>354</v>
      </c>
      <c r="F2121" s="8" t="str">
        <f aca="false">IFERROR(INDEX(Section_Master!$D$2:$D$477,MATCH($E2121,Section_Master!$A$2:$A$477,0))&amp;"","")</f>
        <v>Imprisonment up to 1 year, or fine, or both</v>
      </c>
      <c r="G2121" s="10" t="str">
        <f aca="false">IFERROR(INDEX(Section_Master!$E$2:$E$477,MATCH($E2121,Section_Master!$A$2:$A$477,0))&amp;"","")</f>
        <v>No</v>
      </c>
      <c r="H2121" s="10" t="str">
        <f aca="false">IFERROR(INDEX(Section_Master!$F$2:$F$477,MATCH($E2121,Section_Master!$A$2:$A$477,0))&amp;"","")</f>
        <v>Yes</v>
      </c>
      <c r="I2121" s="10" t="str">
        <f aca="false">IFERROR(INDEX(Section_Master!$G$2:$G$477,MATCH($E2121,Section_Master!$A$2:$A$477,0))&amp;"","")</f>
        <v>Yes</v>
      </c>
      <c r="J2121" s="10" t="s">
        <v>52</v>
      </c>
      <c r="K2121" s="8" t="s">
        <v>4995</v>
      </c>
    </row>
    <row r="2122" customFormat="false" ht="34.5" hidden="false" customHeight="true" outlineLevel="0" collapsed="false">
      <c r="A2122" s="10" t="s">
        <v>4998</v>
      </c>
      <c r="B2122" s="10" t="s">
        <v>45</v>
      </c>
      <c r="C2122" s="8" t="s">
        <v>4993</v>
      </c>
      <c r="D2122" s="8" t="s">
        <v>4999</v>
      </c>
      <c r="E2122" s="11" t="n">
        <v>354</v>
      </c>
      <c r="F2122" s="8" t="str">
        <f aca="false">IFERROR(INDEX(Section_Master!$D$2:$D$477,MATCH($E2122,Section_Master!$A$2:$A$477,0))&amp;"","")</f>
        <v>Imprisonment up to 1 year, or fine, or both</v>
      </c>
      <c r="G2122" s="10" t="str">
        <f aca="false">IFERROR(INDEX(Section_Master!$E$2:$E$477,MATCH($E2122,Section_Master!$A$2:$A$477,0))&amp;"","")</f>
        <v>No</v>
      </c>
      <c r="H2122" s="10" t="str">
        <f aca="false">IFERROR(INDEX(Section_Master!$F$2:$F$477,MATCH($E2122,Section_Master!$A$2:$A$477,0))&amp;"","")</f>
        <v>Yes</v>
      </c>
      <c r="I2122" s="10" t="str">
        <f aca="false">IFERROR(INDEX(Section_Master!$G$2:$G$477,MATCH($E2122,Section_Master!$A$2:$A$477,0))&amp;"","")</f>
        <v>Yes</v>
      </c>
      <c r="J2122" s="10" t="s">
        <v>55</v>
      </c>
      <c r="K2122" s="8" t="s">
        <v>4995</v>
      </c>
    </row>
    <row r="2123" customFormat="false" ht="34.5" hidden="false" customHeight="true" outlineLevel="0" collapsed="false">
      <c r="A2123" s="10" t="s">
        <v>5000</v>
      </c>
      <c r="B2123" s="10" t="s">
        <v>45</v>
      </c>
      <c r="C2123" s="8" t="s">
        <v>4993</v>
      </c>
      <c r="D2123" s="8" t="s">
        <v>5001</v>
      </c>
      <c r="E2123" s="11" t="n">
        <v>354</v>
      </c>
      <c r="F2123" s="8" t="str">
        <f aca="false">IFERROR(INDEX(Section_Master!$D$2:$D$477,MATCH($E2123,Section_Master!$A$2:$A$477,0))&amp;"","")</f>
        <v>Imprisonment up to 1 year, or fine, or both</v>
      </c>
      <c r="G2123" s="10" t="str">
        <f aca="false">IFERROR(INDEX(Section_Master!$E$2:$E$477,MATCH($E2123,Section_Master!$A$2:$A$477,0))&amp;"","")</f>
        <v>No</v>
      </c>
      <c r="H2123" s="10" t="str">
        <f aca="false">IFERROR(INDEX(Section_Master!$F$2:$F$477,MATCH($E2123,Section_Master!$A$2:$A$477,0))&amp;"","")</f>
        <v>Yes</v>
      </c>
      <c r="I2123" s="10" t="str">
        <f aca="false">IFERROR(INDEX(Section_Master!$G$2:$G$477,MATCH($E2123,Section_Master!$A$2:$A$477,0))&amp;"","")</f>
        <v>Yes</v>
      </c>
      <c r="J2123" s="10" t="s">
        <v>58</v>
      </c>
      <c r="K2123" s="8" t="s">
        <v>4995</v>
      </c>
    </row>
    <row r="2124" customFormat="false" ht="34.5" hidden="false" customHeight="true" outlineLevel="0" collapsed="false">
      <c r="A2124" s="10" t="s">
        <v>5002</v>
      </c>
      <c r="B2124" s="10" t="s">
        <v>45</v>
      </c>
      <c r="C2124" s="8" t="s">
        <v>4993</v>
      </c>
      <c r="D2124" s="8" t="s">
        <v>5003</v>
      </c>
      <c r="E2124" s="11" t="n">
        <v>354</v>
      </c>
      <c r="F2124" s="8" t="str">
        <f aca="false">IFERROR(INDEX(Section_Master!$D$2:$D$477,MATCH($E2124,Section_Master!$A$2:$A$477,0))&amp;"","")</f>
        <v>Imprisonment up to 1 year, or fine, or both</v>
      </c>
      <c r="G2124" s="10" t="str">
        <f aca="false">IFERROR(INDEX(Section_Master!$E$2:$E$477,MATCH($E2124,Section_Master!$A$2:$A$477,0))&amp;"","")</f>
        <v>No</v>
      </c>
      <c r="H2124" s="10" t="str">
        <f aca="false">IFERROR(INDEX(Section_Master!$F$2:$F$477,MATCH($E2124,Section_Master!$A$2:$A$477,0))&amp;"","")</f>
        <v>Yes</v>
      </c>
      <c r="I2124" s="10" t="str">
        <f aca="false">IFERROR(INDEX(Section_Master!$G$2:$G$477,MATCH($E2124,Section_Master!$A$2:$A$477,0))&amp;"","")</f>
        <v>Yes</v>
      </c>
      <c r="J2124" s="10" t="s">
        <v>61</v>
      </c>
      <c r="K2124" s="8" t="s">
        <v>4995</v>
      </c>
    </row>
    <row r="2125" customFormat="false" ht="34.5" hidden="false" customHeight="true" outlineLevel="0" collapsed="false">
      <c r="A2125" s="10" t="s">
        <v>5004</v>
      </c>
      <c r="B2125" s="10" t="s">
        <v>45</v>
      </c>
      <c r="C2125" s="8" t="s">
        <v>4993</v>
      </c>
      <c r="D2125" s="8" t="s">
        <v>5005</v>
      </c>
      <c r="E2125" s="11" t="n">
        <v>354</v>
      </c>
      <c r="F2125" s="8" t="str">
        <f aca="false">IFERROR(INDEX(Section_Master!$D$2:$D$477,MATCH($E2125,Section_Master!$A$2:$A$477,0))&amp;"","")</f>
        <v>Imprisonment up to 1 year, or fine, or both</v>
      </c>
      <c r="G2125" s="10" t="str">
        <f aca="false">IFERROR(INDEX(Section_Master!$E$2:$E$477,MATCH($E2125,Section_Master!$A$2:$A$477,0))&amp;"","")</f>
        <v>No</v>
      </c>
      <c r="H2125" s="10" t="str">
        <f aca="false">IFERROR(INDEX(Section_Master!$F$2:$F$477,MATCH($E2125,Section_Master!$A$2:$A$477,0))&amp;"","")</f>
        <v>Yes</v>
      </c>
      <c r="I2125" s="10" t="str">
        <f aca="false">IFERROR(INDEX(Section_Master!$G$2:$G$477,MATCH($E2125,Section_Master!$A$2:$A$477,0))&amp;"","")</f>
        <v>Yes</v>
      </c>
      <c r="J2125" s="10" t="s">
        <v>64</v>
      </c>
      <c r="K2125" s="8" t="s">
        <v>4995</v>
      </c>
    </row>
    <row r="2126" customFormat="false" ht="34.5" hidden="false" customHeight="true" outlineLevel="0" collapsed="false">
      <c r="A2126" s="10" t="s">
        <v>5006</v>
      </c>
      <c r="B2126" s="10" t="s">
        <v>45</v>
      </c>
      <c r="C2126" s="8" t="s">
        <v>5007</v>
      </c>
      <c r="D2126" s="8" t="s">
        <v>5008</v>
      </c>
      <c r="E2126" s="11" t="n">
        <v>355</v>
      </c>
      <c r="F2126" s="8" t="str">
        <f aca="false">IFERROR(INDEX(Section_Master!$D$2:$D$477,MATCH($E2126,Section_Master!$A$2:$A$477,0))&amp;"","")</f>
        <v>Community service up to 24 hours, or fine, or both</v>
      </c>
      <c r="G2126" s="10" t="str">
        <f aca="false">IFERROR(INDEX(Section_Master!$E$2:$E$477,MATCH($E2126,Section_Master!$A$2:$A$477,0))&amp;"","")</f>
        <v>No</v>
      </c>
      <c r="H2126" s="10" t="str">
        <f aca="false">IFERROR(INDEX(Section_Master!$F$2:$F$477,MATCH($E2126,Section_Master!$A$2:$A$477,0))&amp;"","")</f>
        <v>Yes</v>
      </c>
      <c r="I2126" s="10" t="str">
        <f aca="false">IFERROR(INDEX(Section_Master!$G$2:$G$477,MATCH($E2126,Section_Master!$A$2:$A$477,0))&amp;"","")</f>
        <v>No</v>
      </c>
      <c r="J2126" s="10" t="s">
        <v>48</v>
      </c>
      <c r="K2126" s="8" t="s">
        <v>5009</v>
      </c>
    </row>
    <row r="2127" customFormat="false" ht="45.75" hidden="false" customHeight="true" outlineLevel="0" collapsed="false">
      <c r="A2127" s="10" t="s">
        <v>5010</v>
      </c>
      <c r="B2127" s="10" t="s">
        <v>45</v>
      </c>
      <c r="C2127" s="8" t="s">
        <v>5007</v>
      </c>
      <c r="D2127" s="8" t="s">
        <v>5011</v>
      </c>
      <c r="E2127" s="11" t="n">
        <v>355</v>
      </c>
      <c r="F2127" s="8" t="str">
        <f aca="false">IFERROR(INDEX(Section_Master!$D$2:$D$477,MATCH($E2127,Section_Master!$A$2:$A$477,0))&amp;"","")</f>
        <v>Community service up to 24 hours, or fine, or both</v>
      </c>
      <c r="G2127" s="10" t="str">
        <f aca="false">IFERROR(INDEX(Section_Master!$E$2:$E$477,MATCH($E2127,Section_Master!$A$2:$A$477,0))&amp;"","")</f>
        <v>No</v>
      </c>
      <c r="H2127" s="10" t="str">
        <f aca="false">IFERROR(INDEX(Section_Master!$F$2:$F$477,MATCH($E2127,Section_Master!$A$2:$A$477,0))&amp;"","")</f>
        <v>Yes</v>
      </c>
      <c r="I2127" s="10" t="str">
        <f aca="false">IFERROR(INDEX(Section_Master!$G$2:$G$477,MATCH($E2127,Section_Master!$A$2:$A$477,0))&amp;"","")</f>
        <v>No</v>
      </c>
      <c r="J2127" s="10" t="s">
        <v>52</v>
      </c>
      <c r="K2127" s="8" t="s">
        <v>5009</v>
      </c>
    </row>
    <row r="2128" customFormat="false" ht="34.5" hidden="false" customHeight="true" outlineLevel="0" collapsed="false">
      <c r="A2128" s="10" t="s">
        <v>5012</v>
      </c>
      <c r="B2128" s="10" t="s">
        <v>45</v>
      </c>
      <c r="C2128" s="8" t="s">
        <v>5007</v>
      </c>
      <c r="D2128" s="8" t="s">
        <v>5013</v>
      </c>
      <c r="E2128" s="11" t="n">
        <v>355</v>
      </c>
      <c r="F2128" s="8" t="str">
        <f aca="false">IFERROR(INDEX(Section_Master!$D$2:$D$477,MATCH($E2128,Section_Master!$A$2:$A$477,0))&amp;"","")</f>
        <v>Community service up to 24 hours, or fine, or both</v>
      </c>
      <c r="G2128" s="10" t="str">
        <f aca="false">IFERROR(INDEX(Section_Master!$E$2:$E$477,MATCH($E2128,Section_Master!$A$2:$A$477,0))&amp;"","")</f>
        <v>No</v>
      </c>
      <c r="H2128" s="10" t="str">
        <f aca="false">IFERROR(INDEX(Section_Master!$F$2:$F$477,MATCH($E2128,Section_Master!$A$2:$A$477,0))&amp;"","")</f>
        <v>Yes</v>
      </c>
      <c r="I2128" s="10" t="str">
        <f aca="false">IFERROR(INDEX(Section_Master!$G$2:$G$477,MATCH($E2128,Section_Master!$A$2:$A$477,0))&amp;"","")</f>
        <v>No</v>
      </c>
      <c r="J2128" s="10" t="s">
        <v>55</v>
      </c>
      <c r="K2128" s="8" t="s">
        <v>5009</v>
      </c>
    </row>
    <row r="2129" customFormat="false" ht="34.5" hidden="false" customHeight="true" outlineLevel="0" collapsed="false">
      <c r="A2129" s="10" t="s">
        <v>5014</v>
      </c>
      <c r="B2129" s="10" t="s">
        <v>45</v>
      </c>
      <c r="C2129" s="8" t="s">
        <v>5007</v>
      </c>
      <c r="D2129" s="8" t="s">
        <v>5015</v>
      </c>
      <c r="E2129" s="11" t="n">
        <v>355</v>
      </c>
      <c r="F2129" s="8" t="str">
        <f aca="false">IFERROR(INDEX(Section_Master!$D$2:$D$477,MATCH($E2129,Section_Master!$A$2:$A$477,0))&amp;"","")</f>
        <v>Community service up to 24 hours, or fine, or both</v>
      </c>
      <c r="G2129" s="10" t="str">
        <f aca="false">IFERROR(INDEX(Section_Master!$E$2:$E$477,MATCH($E2129,Section_Master!$A$2:$A$477,0))&amp;"","")</f>
        <v>No</v>
      </c>
      <c r="H2129" s="10" t="str">
        <f aca="false">IFERROR(INDEX(Section_Master!$F$2:$F$477,MATCH($E2129,Section_Master!$A$2:$A$477,0))&amp;"","")</f>
        <v>Yes</v>
      </c>
      <c r="I2129" s="10" t="str">
        <f aca="false">IFERROR(INDEX(Section_Master!$G$2:$G$477,MATCH($E2129,Section_Master!$A$2:$A$477,0))&amp;"","")</f>
        <v>No</v>
      </c>
      <c r="J2129" s="10" t="s">
        <v>58</v>
      </c>
      <c r="K2129" s="8" t="s">
        <v>5009</v>
      </c>
    </row>
    <row r="2130" customFormat="false" ht="23.25" hidden="false" customHeight="true" outlineLevel="0" collapsed="false">
      <c r="A2130" s="10" t="s">
        <v>5016</v>
      </c>
      <c r="B2130" s="10" t="s">
        <v>45</v>
      </c>
      <c r="C2130" s="8" t="s">
        <v>5007</v>
      </c>
      <c r="D2130" s="8" t="s">
        <v>5017</v>
      </c>
      <c r="E2130" s="11" t="n">
        <v>355</v>
      </c>
      <c r="F2130" s="8" t="str">
        <f aca="false">IFERROR(INDEX(Section_Master!$D$2:$D$477,MATCH($E2130,Section_Master!$A$2:$A$477,0))&amp;"","")</f>
        <v>Community service up to 24 hours, or fine, or both</v>
      </c>
      <c r="G2130" s="10" t="str">
        <f aca="false">IFERROR(INDEX(Section_Master!$E$2:$E$477,MATCH($E2130,Section_Master!$A$2:$A$477,0))&amp;"","")</f>
        <v>No</v>
      </c>
      <c r="H2130" s="10" t="str">
        <f aca="false">IFERROR(INDEX(Section_Master!$F$2:$F$477,MATCH($E2130,Section_Master!$A$2:$A$477,0))&amp;"","")</f>
        <v>Yes</v>
      </c>
      <c r="I2130" s="10" t="str">
        <f aca="false">IFERROR(INDEX(Section_Master!$G$2:$G$477,MATCH($E2130,Section_Master!$A$2:$A$477,0))&amp;"","")</f>
        <v>No</v>
      </c>
      <c r="J2130" s="10" t="s">
        <v>61</v>
      </c>
      <c r="K2130" s="8" t="s">
        <v>5009</v>
      </c>
    </row>
    <row r="2131" customFormat="false" ht="34.5" hidden="false" customHeight="true" outlineLevel="0" collapsed="false">
      <c r="A2131" s="10" t="s">
        <v>5018</v>
      </c>
      <c r="B2131" s="10" t="s">
        <v>45</v>
      </c>
      <c r="C2131" s="8" t="s">
        <v>5007</v>
      </c>
      <c r="D2131" s="8" t="s">
        <v>5019</v>
      </c>
      <c r="E2131" s="11" t="n">
        <v>355</v>
      </c>
      <c r="F2131" s="8" t="str">
        <f aca="false">IFERROR(INDEX(Section_Master!$D$2:$D$477,MATCH($E2131,Section_Master!$A$2:$A$477,0))&amp;"","")</f>
        <v>Community service up to 24 hours, or fine, or both</v>
      </c>
      <c r="G2131" s="10" t="str">
        <f aca="false">IFERROR(INDEX(Section_Master!$E$2:$E$477,MATCH($E2131,Section_Master!$A$2:$A$477,0))&amp;"","")</f>
        <v>No</v>
      </c>
      <c r="H2131" s="10" t="str">
        <f aca="false">IFERROR(INDEX(Section_Master!$F$2:$F$477,MATCH($E2131,Section_Master!$A$2:$A$477,0))&amp;"","")</f>
        <v>Yes</v>
      </c>
      <c r="I2131" s="10" t="str">
        <f aca="false">IFERROR(INDEX(Section_Master!$G$2:$G$477,MATCH($E2131,Section_Master!$A$2:$A$477,0))&amp;"","")</f>
        <v>No</v>
      </c>
      <c r="J2131" s="10" t="s">
        <v>64</v>
      </c>
      <c r="K2131" s="8" t="s">
        <v>5009</v>
      </c>
    </row>
    <row r="2132" customFormat="false" ht="34.5" hidden="false" customHeight="true" outlineLevel="0" collapsed="false">
      <c r="A2132" s="10" t="s">
        <v>5020</v>
      </c>
      <c r="B2132" s="10" t="s">
        <v>45</v>
      </c>
      <c r="C2132" s="8" t="s">
        <v>5021</v>
      </c>
      <c r="D2132" s="8" t="s">
        <v>5022</v>
      </c>
      <c r="E2132" s="11" t="n">
        <v>356</v>
      </c>
      <c r="F2132" s="8" t="str">
        <f aca="false">IFERROR(INDEX(Section_Master!$D$2:$D$477,MATCH($E2132,Section_Master!$A$2:$A$477,0))&amp;"","")</f>
        <v>Simple imprisonment up to 2 years, or fine, or both, or community service [s.356(2)]</v>
      </c>
      <c r="G2132" s="10" t="str">
        <f aca="false">IFERROR(INDEX(Section_Master!$E$2:$E$477,MATCH($E2132,Section_Master!$A$2:$A$477,0))&amp;"","")</f>
        <v>No</v>
      </c>
      <c r="H2132" s="10" t="str">
        <f aca="false">IFERROR(INDEX(Section_Master!$F$2:$F$477,MATCH($E2132,Section_Master!$A$2:$A$477,0))&amp;"","")</f>
        <v>Yes</v>
      </c>
      <c r="I2132" s="10" t="str">
        <f aca="false">IFERROR(INDEX(Section_Master!$G$2:$G$477,MATCH($E2132,Section_Master!$A$2:$A$477,0))&amp;"","")</f>
        <v>Yes</v>
      </c>
      <c r="J2132" s="10" t="s">
        <v>48</v>
      </c>
      <c r="K2132" s="8" t="s">
        <v>5023</v>
      </c>
    </row>
    <row r="2133" customFormat="false" ht="57" hidden="false" customHeight="true" outlineLevel="0" collapsed="false">
      <c r="A2133" s="10" t="s">
        <v>5024</v>
      </c>
      <c r="B2133" s="10" t="s">
        <v>45</v>
      </c>
      <c r="C2133" s="8" t="s">
        <v>5021</v>
      </c>
      <c r="D2133" s="8" t="s">
        <v>5025</v>
      </c>
      <c r="E2133" s="11" t="n">
        <v>356</v>
      </c>
      <c r="F2133" s="8" t="str">
        <f aca="false">IFERROR(INDEX(Section_Master!$D$2:$D$477,MATCH($E2133,Section_Master!$A$2:$A$477,0))&amp;"","")</f>
        <v>Simple imprisonment up to 2 years, or fine, or both, or community service [s.356(2)]</v>
      </c>
      <c r="G2133" s="10" t="str">
        <f aca="false">IFERROR(INDEX(Section_Master!$E$2:$E$477,MATCH($E2133,Section_Master!$A$2:$A$477,0))&amp;"","")</f>
        <v>No</v>
      </c>
      <c r="H2133" s="10" t="str">
        <f aca="false">IFERROR(INDEX(Section_Master!$F$2:$F$477,MATCH($E2133,Section_Master!$A$2:$A$477,0))&amp;"","")</f>
        <v>Yes</v>
      </c>
      <c r="I2133" s="10" t="str">
        <f aca="false">IFERROR(INDEX(Section_Master!$G$2:$G$477,MATCH($E2133,Section_Master!$A$2:$A$477,0))&amp;"","")</f>
        <v>Yes</v>
      </c>
      <c r="J2133" s="10" t="s">
        <v>52</v>
      </c>
      <c r="K2133" s="8" t="s">
        <v>5023</v>
      </c>
    </row>
    <row r="2134" customFormat="false" ht="34.5" hidden="false" customHeight="true" outlineLevel="0" collapsed="false">
      <c r="A2134" s="10" t="s">
        <v>5026</v>
      </c>
      <c r="B2134" s="10" t="s">
        <v>45</v>
      </c>
      <c r="C2134" s="8" t="s">
        <v>5021</v>
      </c>
      <c r="D2134" s="8" t="s">
        <v>5027</v>
      </c>
      <c r="E2134" s="11" t="n">
        <v>356</v>
      </c>
      <c r="F2134" s="8" t="str">
        <f aca="false">IFERROR(INDEX(Section_Master!$D$2:$D$477,MATCH($E2134,Section_Master!$A$2:$A$477,0))&amp;"","")</f>
        <v>Simple imprisonment up to 2 years, or fine, or both, or community service [s.356(2)]</v>
      </c>
      <c r="G2134" s="10" t="str">
        <f aca="false">IFERROR(INDEX(Section_Master!$E$2:$E$477,MATCH($E2134,Section_Master!$A$2:$A$477,0))&amp;"","")</f>
        <v>No</v>
      </c>
      <c r="H2134" s="10" t="str">
        <f aca="false">IFERROR(INDEX(Section_Master!$F$2:$F$477,MATCH($E2134,Section_Master!$A$2:$A$477,0))&amp;"","")</f>
        <v>Yes</v>
      </c>
      <c r="I2134" s="10" t="str">
        <f aca="false">IFERROR(INDEX(Section_Master!$G$2:$G$477,MATCH($E2134,Section_Master!$A$2:$A$477,0))&amp;"","")</f>
        <v>Yes</v>
      </c>
      <c r="J2134" s="10" t="s">
        <v>55</v>
      </c>
      <c r="K2134" s="8" t="s">
        <v>5023</v>
      </c>
    </row>
    <row r="2135" customFormat="false" ht="34.5" hidden="false" customHeight="true" outlineLevel="0" collapsed="false">
      <c r="A2135" s="10" t="s">
        <v>5028</v>
      </c>
      <c r="B2135" s="10" t="s">
        <v>45</v>
      </c>
      <c r="C2135" s="8" t="s">
        <v>5021</v>
      </c>
      <c r="D2135" s="8" t="s">
        <v>5029</v>
      </c>
      <c r="E2135" s="11" t="n">
        <v>356</v>
      </c>
      <c r="F2135" s="8" t="str">
        <f aca="false">IFERROR(INDEX(Section_Master!$D$2:$D$477,MATCH($E2135,Section_Master!$A$2:$A$477,0))&amp;"","")</f>
        <v>Simple imprisonment up to 2 years, or fine, or both, or community service [s.356(2)]</v>
      </c>
      <c r="G2135" s="10" t="str">
        <f aca="false">IFERROR(INDEX(Section_Master!$E$2:$E$477,MATCH($E2135,Section_Master!$A$2:$A$477,0))&amp;"","")</f>
        <v>No</v>
      </c>
      <c r="H2135" s="10" t="str">
        <f aca="false">IFERROR(INDEX(Section_Master!$F$2:$F$477,MATCH($E2135,Section_Master!$A$2:$A$477,0))&amp;"","")</f>
        <v>Yes</v>
      </c>
      <c r="I2135" s="10" t="str">
        <f aca="false">IFERROR(INDEX(Section_Master!$G$2:$G$477,MATCH($E2135,Section_Master!$A$2:$A$477,0))&amp;"","")</f>
        <v>Yes</v>
      </c>
      <c r="J2135" s="10" t="s">
        <v>58</v>
      </c>
      <c r="K2135" s="8" t="s">
        <v>5023</v>
      </c>
    </row>
    <row r="2136" customFormat="false" ht="34.5" hidden="false" customHeight="true" outlineLevel="0" collapsed="false">
      <c r="A2136" s="10" t="s">
        <v>5030</v>
      </c>
      <c r="B2136" s="10" t="s">
        <v>45</v>
      </c>
      <c r="C2136" s="8" t="s">
        <v>5021</v>
      </c>
      <c r="D2136" s="8" t="s">
        <v>5031</v>
      </c>
      <c r="E2136" s="11" t="n">
        <v>356</v>
      </c>
      <c r="F2136" s="8" t="str">
        <f aca="false">IFERROR(INDEX(Section_Master!$D$2:$D$477,MATCH($E2136,Section_Master!$A$2:$A$477,0))&amp;"","")</f>
        <v>Simple imprisonment up to 2 years, or fine, or both, or community service [s.356(2)]</v>
      </c>
      <c r="G2136" s="10" t="str">
        <f aca="false">IFERROR(INDEX(Section_Master!$E$2:$E$477,MATCH($E2136,Section_Master!$A$2:$A$477,0))&amp;"","")</f>
        <v>No</v>
      </c>
      <c r="H2136" s="10" t="str">
        <f aca="false">IFERROR(INDEX(Section_Master!$F$2:$F$477,MATCH($E2136,Section_Master!$A$2:$A$477,0))&amp;"","")</f>
        <v>Yes</v>
      </c>
      <c r="I2136" s="10" t="str">
        <f aca="false">IFERROR(INDEX(Section_Master!$G$2:$G$477,MATCH($E2136,Section_Master!$A$2:$A$477,0))&amp;"","")</f>
        <v>Yes</v>
      </c>
      <c r="J2136" s="10" t="s">
        <v>61</v>
      </c>
      <c r="K2136" s="8" t="s">
        <v>5023</v>
      </c>
    </row>
    <row r="2137" customFormat="false" ht="34.5" hidden="false" customHeight="true" outlineLevel="0" collapsed="false">
      <c r="A2137" s="10" t="s">
        <v>5032</v>
      </c>
      <c r="B2137" s="10" t="s">
        <v>45</v>
      </c>
      <c r="C2137" s="8" t="s">
        <v>5021</v>
      </c>
      <c r="D2137" s="8" t="s">
        <v>5033</v>
      </c>
      <c r="E2137" s="11" t="n">
        <v>356</v>
      </c>
      <c r="F2137" s="8" t="str">
        <f aca="false">IFERROR(INDEX(Section_Master!$D$2:$D$477,MATCH($E2137,Section_Master!$A$2:$A$477,0))&amp;"","")</f>
        <v>Simple imprisonment up to 2 years, or fine, or both, or community service [s.356(2)]</v>
      </c>
      <c r="G2137" s="10" t="str">
        <f aca="false">IFERROR(INDEX(Section_Master!$E$2:$E$477,MATCH($E2137,Section_Master!$A$2:$A$477,0))&amp;"","")</f>
        <v>No</v>
      </c>
      <c r="H2137" s="10" t="str">
        <f aca="false">IFERROR(INDEX(Section_Master!$F$2:$F$477,MATCH($E2137,Section_Master!$A$2:$A$477,0))&amp;"","")</f>
        <v>Yes</v>
      </c>
      <c r="I2137" s="10" t="str">
        <f aca="false">IFERROR(INDEX(Section_Master!$G$2:$G$477,MATCH($E2137,Section_Master!$A$2:$A$477,0))&amp;"","")</f>
        <v>Yes</v>
      </c>
      <c r="J2137" s="10" t="s">
        <v>64</v>
      </c>
      <c r="K2137" s="8" t="s">
        <v>5023</v>
      </c>
    </row>
    <row r="2138" customFormat="false" ht="34.5" hidden="false" customHeight="true" outlineLevel="0" collapsed="false">
      <c r="A2138" s="10" t="s">
        <v>5034</v>
      </c>
      <c r="B2138" s="10" t="s">
        <v>45</v>
      </c>
      <c r="C2138" s="8" t="s">
        <v>5035</v>
      </c>
      <c r="D2138" s="8" t="s">
        <v>5036</v>
      </c>
      <c r="E2138" s="11" t="n">
        <v>357</v>
      </c>
      <c r="F2138" s="8" t="str">
        <f aca="false">IFERROR(INDEX(Section_Master!$D$2:$D$477,MATCH($E2138,Section_Master!$A$2:$A$477,0))&amp;"","")</f>
        <v>Imprisonment up to 3 months, or fine, or both</v>
      </c>
      <c r="G2138" s="10" t="str">
        <f aca="false">IFERROR(INDEX(Section_Master!$E$2:$E$477,MATCH($E2138,Section_Master!$A$2:$A$477,0))&amp;"","")</f>
        <v>No</v>
      </c>
      <c r="H2138" s="10" t="str">
        <f aca="false">IFERROR(INDEX(Section_Master!$F$2:$F$477,MATCH($E2138,Section_Master!$A$2:$A$477,0))&amp;"","")</f>
        <v>Yes</v>
      </c>
      <c r="I2138" s="10" t="str">
        <f aca="false">IFERROR(INDEX(Section_Master!$G$2:$G$477,MATCH($E2138,Section_Master!$A$2:$A$477,0))&amp;"","")</f>
        <v>Yes</v>
      </c>
      <c r="J2138" s="10" t="s">
        <v>48</v>
      </c>
      <c r="K2138" s="8" t="s">
        <v>5037</v>
      </c>
    </row>
    <row r="2139" customFormat="false" ht="34.5" hidden="false" customHeight="true" outlineLevel="0" collapsed="false">
      <c r="A2139" s="10" t="s">
        <v>5038</v>
      </c>
      <c r="B2139" s="10" t="s">
        <v>45</v>
      </c>
      <c r="C2139" s="8" t="s">
        <v>5035</v>
      </c>
      <c r="D2139" s="8" t="s">
        <v>5039</v>
      </c>
      <c r="E2139" s="11" t="n">
        <v>357</v>
      </c>
      <c r="F2139" s="8" t="str">
        <f aca="false">IFERROR(INDEX(Section_Master!$D$2:$D$477,MATCH($E2139,Section_Master!$A$2:$A$477,0))&amp;"","")</f>
        <v>Imprisonment up to 3 months, or fine, or both</v>
      </c>
      <c r="G2139" s="10" t="str">
        <f aca="false">IFERROR(INDEX(Section_Master!$E$2:$E$477,MATCH($E2139,Section_Master!$A$2:$A$477,0))&amp;"","")</f>
        <v>No</v>
      </c>
      <c r="H2139" s="10" t="str">
        <f aca="false">IFERROR(INDEX(Section_Master!$F$2:$F$477,MATCH($E2139,Section_Master!$A$2:$A$477,0))&amp;"","")</f>
        <v>Yes</v>
      </c>
      <c r="I2139" s="10" t="str">
        <f aca="false">IFERROR(INDEX(Section_Master!$G$2:$G$477,MATCH($E2139,Section_Master!$A$2:$A$477,0))&amp;"","")</f>
        <v>Yes</v>
      </c>
      <c r="J2139" s="10" t="s">
        <v>52</v>
      </c>
      <c r="K2139" s="8" t="s">
        <v>5037</v>
      </c>
    </row>
    <row r="2140" customFormat="false" ht="34.5" hidden="false" customHeight="true" outlineLevel="0" collapsed="false">
      <c r="A2140" s="10" t="s">
        <v>5040</v>
      </c>
      <c r="B2140" s="10" t="s">
        <v>45</v>
      </c>
      <c r="C2140" s="8" t="s">
        <v>5035</v>
      </c>
      <c r="D2140" s="8" t="s">
        <v>5041</v>
      </c>
      <c r="E2140" s="11" t="n">
        <v>357</v>
      </c>
      <c r="F2140" s="8" t="str">
        <f aca="false">IFERROR(INDEX(Section_Master!$D$2:$D$477,MATCH($E2140,Section_Master!$A$2:$A$477,0))&amp;"","")</f>
        <v>Imprisonment up to 3 months, or fine, or both</v>
      </c>
      <c r="G2140" s="10" t="str">
        <f aca="false">IFERROR(INDEX(Section_Master!$E$2:$E$477,MATCH($E2140,Section_Master!$A$2:$A$477,0))&amp;"","")</f>
        <v>No</v>
      </c>
      <c r="H2140" s="10" t="str">
        <f aca="false">IFERROR(INDEX(Section_Master!$F$2:$F$477,MATCH($E2140,Section_Master!$A$2:$A$477,0))&amp;"","")</f>
        <v>Yes</v>
      </c>
      <c r="I2140" s="10" t="str">
        <f aca="false">IFERROR(INDEX(Section_Master!$G$2:$G$477,MATCH($E2140,Section_Master!$A$2:$A$477,0))&amp;"","")</f>
        <v>Yes</v>
      </c>
      <c r="J2140" s="10" t="s">
        <v>55</v>
      </c>
      <c r="K2140" s="8" t="s">
        <v>5037</v>
      </c>
    </row>
    <row r="2141" customFormat="false" ht="34.5" hidden="false" customHeight="true" outlineLevel="0" collapsed="false">
      <c r="A2141" s="10" t="s">
        <v>5042</v>
      </c>
      <c r="B2141" s="10" t="s">
        <v>45</v>
      </c>
      <c r="C2141" s="8" t="s">
        <v>5035</v>
      </c>
      <c r="D2141" s="8" t="s">
        <v>5043</v>
      </c>
      <c r="E2141" s="11" t="n">
        <v>357</v>
      </c>
      <c r="F2141" s="8" t="str">
        <f aca="false">IFERROR(INDEX(Section_Master!$D$2:$D$477,MATCH($E2141,Section_Master!$A$2:$A$477,0))&amp;"","")</f>
        <v>Imprisonment up to 3 months, or fine, or both</v>
      </c>
      <c r="G2141" s="10" t="str">
        <f aca="false">IFERROR(INDEX(Section_Master!$E$2:$E$477,MATCH($E2141,Section_Master!$A$2:$A$477,0))&amp;"","")</f>
        <v>No</v>
      </c>
      <c r="H2141" s="10" t="str">
        <f aca="false">IFERROR(INDEX(Section_Master!$F$2:$F$477,MATCH($E2141,Section_Master!$A$2:$A$477,0))&amp;"","")</f>
        <v>Yes</v>
      </c>
      <c r="I2141" s="10" t="str">
        <f aca="false">IFERROR(INDEX(Section_Master!$G$2:$G$477,MATCH($E2141,Section_Master!$A$2:$A$477,0))&amp;"","")</f>
        <v>Yes</v>
      </c>
      <c r="J2141" s="10" t="s">
        <v>58</v>
      </c>
      <c r="K2141" s="8" t="s">
        <v>5037</v>
      </c>
    </row>
    <row r="2142" customFormat="false" ht="23.25" hidden="false" customHeight="true" outlineLevel="0" collapsed="false">
      <c r="A2142" s="10" t="s">
        <v>5044</v>
      </c>
      <c r="B2142" s="10" t="s">
        <v>45</v>
      </c>
      <c r="C2142" s="8" t="s">
        <v>5035</v>
      </c>
      <c r="D2142" s="8" t="s">
        <v>5045</v>
      </c>
      <c r="E2142" s="11" t="n">
        <v>357</v>
      </c>
      <c r="F2142" s="8" t="str">
        <f aca="false">IFERROR(INDEX(Section_Master!$D$2:$D$477,MATCH($E2142,Section_Master!$A$2:$A$477,0))&amp;"","")</f>
        <v>Imprisonment up to 3 months, or fine, or both</v>
      </c>
      <c r="G2142" s="10" t="str">
        <f aca="false">IFERROR(INDEX(Section_Master!$E$2:$E$477,MATCH($E2142,Section_Master!$A$2:$A$477,0))&amp;"","")</f>
        <v>No</v>
      </c>
      <c r="H2142" s="10" t="str">
        <f aca="false">IFERROR(INDEX(Section_Master!$F$2:$F$477,MATCH($E2142,Section_Master!$A$2:$A$477,0))&amp;"","")</f>
        <v>Yes</v>
      </c>
      <c r="I2142" s="10" t="str">
        <f aca="false">IFERROR(INDEX(Section_Master!$G$2:$G$477,MATCH($E2142,Section_Master!$A$2:$A$477,0))&amp;"","")</f>
        <v>Yes</v>
      </c>
      <c r="J2142" s="10" t="s">
        <v>61</v>
      </c>
      <c r="K2142" s="8" t="s">
        <v>5037</v>
      </c>
    </row>
    <row r="2143" customFormat="false" ht="45.75" hidden="false" customHeight="true" outlineLevel="0" collapsed="false">
      <c r="A2143" s="10" t="s">
        <v>5046</v>
      </c>
      <c r="B2143" s="10" t="s">
        <v>45</v>
      </c>
      <c r="C2143" s="8" t="s">
        <v>5035</v>
      </c>
      <c r="D2143" s="8" t="s">
        <v>5047</v>
      </c>
      <c r="E2143" s="11" t="n">
        <v>357</v>
      </c>
      <c r="F2143" s="8" t="str">
        <f aca="false">IFERROR(INDEX(Section_Master!$D$2:$D$477,MATCH($E2143,Section_Master!$A$2:$A$477,0))&amp;"","")</f>
        <v>Imprisonment up to 3 months, or fine, or both</v>
      </c>
      <c r="G2143" s="10" t="str">
        <f aca="false">IFERROR(INDEX(Section_Master!$E$2:$E$477,MATCH($E2143,Section_Master!$A$2:$A$477,0))&amp;"","")</f>
        <v>No</v>
      </c>
      <c r="H2143" s="10" t="str">
        <f aca="false">IFERROR(INDEX(Section_Master!$F$2:$F$477,MATCH($E2143,Section_Master!$A$2:$A$477,0))&amp;"","")</f>
        <v>Yes</v>
      </c>
      <c r="I2143" s="10" t="str">
        <f aca="false">IFERROR(INDEX(Section_Master!$G$2:$G$477,MATCH($E2143,Section_Master!$A$2:$A$477,0))&amp;"","")</f>
        <v>Yes</v>
      </c>
      <c r="J2143" s="10" t="s">
        <v>64</v>
      </c>
      <c r="K2143" s="8" t="s">
        <v>5037</v>
      </c>
    </row>
    <row r="2144" customFormat="false" ht="45.75" hidden="false" customHeight="true" outlineLevel="0" collapsed="false">
      <c r="A2144" s="10" t="s">
        <v>5048</v>
      </c>
      <c r="B2144" s="10" t="s">
        <v>45</v>
      </c>
      <c r="C2144" s="8" t="s">
        <v>5049</v>
      </c>
      <c r="D2144" s="8" t="s">
        <v>5050</v>
      </c>
      <c r="E2144" s="11" t="n">
        <v>358</v>
      </c>
      <c r="F2144" s="8" t="str">
        <f aca="false">IFERROR(INDEX(Section_Master!$D$2:$D$477,MATCH($E2144,Section_Master!$A$2:$A$477,0))&amp;"","")</f>
        <v>Not applicable - no offence or penalty defined here (definition, exception or general provision)</v>
      </c>
      <c r="G2144" s="10" t="str">
        <f aca="false">IFERROR(INDEX(Section_Master!$E$2:$E$477,MATCH($E2144,Section_Master!$A$2:$A$477,0))&amp;"","")</f>
        <v>N/A</v>
      </c>
      <c r="H2144" s="10" t="str">
        <f aca="false">IFERROR(INDEX(Section_Master!$F$2:$F$477,MATCH($E2144,Section_Master!$A$2:$A$477,0))&amp;"","")</f>
        <v>N/A</v>
      </c>
      <c r="I2144" s="10" t="str">
        <f aca="false">IFERROR(INDEX(Section_Master!$G$2:$G$477,MATCH($E2144,Section_Master!$A$2:$A$477,0))&amp;"","")</f>
        <v>N/A</v>
      </c>
      <c r="J2144" s="10" t="s">
        <v>48</v>
      </c>
      <c r="K2144" s="8" t="s">
        <v>5051</v>
      </c>
    </row>
    <row r="2145" customFormat="false" ht="45.75" hidden="false" customHeight="true" outlineLevel="0" collapsed="false">
      <c r="A2145" s="10" t="s">
        <v>5052</v>
      </c>
      <c r="B2145" s="10" t="s">
        <v>45</v>
      </c>
      <c r="C2145" s="8" t="s">
        <v>5049</v>
      </c>
      <c r="D2145" s="8" t="s">
        <v>5053</v>
      </c>
      <c r="E2145" s="11" t="n">
        <v>358</v>
      </c>
      <c r="F2145" s="8" t="str">
        <f aca="false">IFERROR(INDEX(Section_Master!$D$2:$D$477,MATCH($E2145,Section_Master!$A$2:$A$477,0))&amp;"","")</f>
        <v>Not applicable - no offence or penalty defined here (definition, exception or general provision)</v>
      </c>
      <c r="G2145" s="10" t="str">
        <f aca="false">IFERROR(INDEX(Section_Master!$E$2:$E$477,MATCH($E2145,Section_Master!$A$2:$A$477,0))&amp;"","")</f>
        <v>N/A</v>
      </c>
      <c r="H2145" s="10" t="str">
        <f aca="false">IFERROR(INDEX(Section_Master!$F$2:$F$477,MATCH($E2145,Section_Master!$A$2:$A$477,0))&amp;"","")</f>
        <v>N/A</v>
      </c>
      <c r="I2145" s="10" t="str">
        <f aca="false">IFERROR(INDEX(Section_Master!$G$2:$G$477,MATCH($E2145,Section_Master!$A$2:$A$477,0))&amp;"","")</f>
        <v>N/A</v>
      </c>
      <c r="J2145" s="10" t="s">
        <v>52</v>
      </c>
      <c r="K2145" s="8" t="s">
        <v>5051</v>
      </c>
    </row>
    <row r="2146" customFormat="false" ht="34.5" hidden="false" customHeight="true" outlineLevel="0" collapsed="false">
      <c r="A2146" s="10" t="s">
        <v>5054</v>
      </c>
      <c r="B2146" s="10" t="s">
        <v>45</v>
      </c>
      <c r="C2146" s="8" t="s">
        <v>5049</v>
      </c>
      <c r="D2146" s="8" t="s">
        <v>5055</v>
      </c>
      <c r="E2146" s="11" t="n">
        <v>358</v>
      </c>
      <c r="F2146" s="8" t="str">
        <f aca="false">IFERROR(INDEX(Section_Master!$D$2:$D$477,MATCH($E2146,Section_Master!$A$2:$A$477,0))&amp;"","")</f>
        <v>Not applicable - no offence or penalty defined here (definition, exception or general provision)</v>
      </c>
      <c r="G2146" s="10" t="str">
        <f aca="false">IFERROR(INDEX(Section_Master!$E$2:$E$477,MATCH($E2146,Section_Master!$A$2:$A$477,0))&amp;"","")</f>
        <v>N/A</v>
      </c>
      <c r="H2146" s="10" t="str">
        <f aca="false">IFERROR(INDEX(Section_Master!$F$2:$F$477,MATCH($E2146,Section_Master!$A$2:$A$477,0))&amp;"","")</f>
        <v>N/A</v>
      </c>
      <c r="I2146" s="10" t="str">
        <f aca="false">IFERROR(INDEX(Section_Master!$G$2:$G$477,MATCH($E2146,Section_Master!$A$2:$A$477,0))&amp;"","")</f>
        <v>N/A</v>
      </c>
      <c r="J2146" s="10" t="s">
        <v>55</v>
      </c>
      <c r="K2146" s="8" t="s">
        <v>5051</v>
      </c>
    </row>
    <row r="2147" customFormat="false" ht="34.5" hidden="false" customHeight="true" outlineLevel="0" collapsed="false">
      <c r="A2147" s="10" t="s">
        <v>5056</v>
      </c>
      <c r="B2147" s="10" t="s">
        <v>45</v>
      </c>
      <c r="C2147" s="8" t="s">
        <v>5049</v>
      </c>
      <c r="D2147" s="8" t="s">
        <v>5057</v>
      </c>
      <c r="E2147" s="11" t="n">
        <v>358</v>
      </c>
      <c r="F2147" s="8" t="str">
        <f aca="false">IFERROR(INDEX(Section_Master!$D$2:$D$477,MATCH($E2147,Section_Master!$A$2:$A$477,0))&amp;"","")</f>
        <v>Not applicable - no offence or penalty defined here (definition, exception or general provision)</v>
      </c>
      <c r="G2147" s="10" t="str">
        <f aca="false">IFERROR(INDEX(Section_Master!$E$2:$E$477,MATCH($E2147,Section_Master!$A$2:$A$477,0))&amp;"","")</f>
        <v>N/A</v>
      </c>
      <c r="H2147" s="10" t="str">
        <f aca="false">IFERROR(INDEX(Section_Master!$F$2:$F$477,MATCH($E2147,Section_Master!$A$2:$A$477,0))&amp;"","")</f>
        <v>N/A</v>
      </c>
      <c r="I2147" s="10" t="str">
        <f aca="false">IFERROR(INDEX(Section_Master!$G$2:$G$477,MATCH($E2147,Section_Master!$A$2:$A$477,0))&amp;"","")</f>
        <v>N/A</v>
      </c>
      <c r="J2147" s="10" t="s">
        <v>58</v>
      </c>
      <c r="K2147" s="8" t="s">
        <v>5051</v>
      </c>
    </row>
    <row r="2148" customFormat="false" ht="34.5" hidden="false" customHeight="true" outlineLevel="0" collapsed="false">
      <c r="A2148" s="10" t="s">
        <v>5058</v>
      </c>
      <c r="B2148" s="10" t="s">
        <v>45</v>
      </c>
      <c r="C2148" s="8" t="s">
        <v>5049</v>
      </c>
      <c r="D2148" s="8" t="s">
        <v>5059</v>
      </c>
      <c r="E2148" s="11" t="n">
        <v>358</v>
      </c>
      <c r="F2148" s="8" t="str">
        <f aca="false">IFERROR(INDEX(Section_Master!$D$2:$D$477,MATCH($E2148,Section_Master!$A$2:$A$477,0))&amp;"","")</f>
        <v>Not applicable - no offence or penalty defined here (definition, exception or general provision)</v>
      </c>
      <c r="G2148" s="10" t="str">
        <f aca="false">IFERROR(INDEX(Section_Master!$E$2:$E$477,MATCH($E2148,Section_Master!$A$2:$A$477,0))&amp;"","")</f>
        <v>N/A</v>
      </c>
      <c r="H2148" s="10" t="str">
        <f aca="false">IFERROR(INDEX(Section_Master!$F$2:$F$477,MATCH($E2148,Section_Master!$A$2:$A$477,0))&amp;"","")</f>
        <v>N/A</v>
      </c>
      <c r="I2148" s="10" t="str">
        <f aca="false">IFERROR(INDEX(Section_Master!$G$2:$G$477,MATCH($E2148,Section_Master!$A$2:$A$477,0))&amp;"","")</f>
        <v>N/A</v>
      </c>
      <c r="J2148" s="10" t="s">
        <v>61</v>
      </c>
      <c r="K2148" s="8" t="s">
        <v>5051</v>
      </c>
    </row>
    <row r="2149" customFormat="false" ht="34.5" hidden="false" customHeight="true" outlineLevel="0" collapsed="false">
      <c r="A2149" s="10" t="s">
        <v>5060</v>
      </c>
      <c r="B2149" s="10" t="s">
        <v>45</v>
      </c>
      <c r="C2149" s="8" t="s">
        <v>5049</v>
      </c>
      <c r="D2149" s="8" t="s">
        <v>5061</v>
      </c>
      <c r="E2149" s="11" t="n">
        <v>358</v>
      </c>
      <c r="F2149" s="8" t="str">
        <f aca="false">IFERROR(INDEX(Section_Master!$D$2:$D$477,MATCH($E2149,Section_Master!$A$2:$A$477,0))&amp;"","")</f>
        <v>Not applicable - no offence or penalty defined here (definition, exception or general provision)</v>
      </c>
      <c r="G2149" s="10" t="str">
        <f aca="false">IFERROR(INDEX(Section_Master!$E$2:$E$477,MATCH($E2149,Section_Master!$A$2:$A$477,0))&amp;"","")</f>
        <v>N/A</v>
      </c>
      <c r="H2149" s="10" t="str">
        <f aca="false">IFERROR(INDEX(Section_Master!$F$2:$F$477,MATCH($E2149,Section_Master!$A$2:$A$477,0))&amp;"","")</f>
        <v>N/A</v>
      </c>
      <c r="I2149" s="10" t="str">
        <f aca="false">IFERROR(INDEX(Section_Master!$G$2:$G$477,MATCH($E2149,Section_Master!$A$2:$A$477,0))&amp;"","")</f>
        <v>N/A</v>
      </c>
      <c r="J2149" s="10" t="s">
        <v>64</v>
      </c>
      <c r="K2149" s="8" t="s">
        <v>5051</v>
      </c>
    </row>
    <row r="2150" customFormat="false" ht="23.25" hidden="false" customHeight="true" outlineLevel="0" collapsed="false">
      <c r="A2150" s="10" t="s">
        <v>5062</v>
      </c>
      <c r="B2150" s="10" t="s">
        <v>45</v>
      </c>
      <c r="C2150" s="8" t="s">
        <v>5063</v>
      </c>
      <c r="D2150" s="8" t="s">
        <v>5064</v>
      </c>
      <c r="E2150" s="11" t="n">
        <v>1</v>
      </c>
      <c r="F2150" s="8" t="str">
        <f aca="false">IFERROR(INDEX(Section_Master!$D$2:$D$477,MATCH($E2150,Section_Master!$A$2:$A$477,0))&amp;"","")</f>
        <v>Not applicable - no offence or penalty defined here (definition, exception or general provision)</v>
      </c>
      <c r="G2150" s="10" t="str">
        <f aca="false">IFERROR(INDEX(Section_Master!$E$2:$E$477,MATCH($E2150,Section_Master!$A$2:$A$477,0))&amp;"","")</f>
        <v>N/A</v>
      </c>
      <c r="H2150" s="10" t="str">
        <f aca="false">IFERROR(INDEX(Section_Master!$F$2:$F$477,MATCH($E2150,Section_Master!$A$2:$A$477,0))&amp;"","")</f>
        <v>N/A</v>
      </c>
      <c r="I2150" s="10" t="str">
        <f aca="false">IFERROR(INDEX(Section_Master!$G$2:$G$477,MATCH($E2150,Section_Master!$A$2:$A$477,0))&amp;"","")</f>
        <v>N/A</v>
      </c>
      <c r="J2150" s="10" t="s">
        <v>48</v>
      </c>
      <c r="K2150" s="8" t="s">
        <v>5065</v>
      </c>
    </row>
    <row r="2151" customFormat="false" ht="23.25" hidden="false" customHeight="true" outlineLevel="0" collapsed="false">
      <c r="A2151" s="10" t="s">
        <v>5066</v>
      </c>
      <c r="B2151" s="10" t="s">
        <v>45</v>
      </c>
      <c r="C2151" s="8" t="s">
        <v>5063</v>
      </c>
      <c r="D2151" s="8" t="s">
        <v>5067</v>
      </c>
      <c r="E2151" s="11" t="n">
        <v>1</v>
      </c>
      <c r="F2151" s="8" t="str">
        <f aca="false">IFERROR(INDEX(Section_Master!$D$2:$D$477,MATCH($E2151,Section_Master!$A$2:$A$477,0))&amp;"","")</f>
        <v>Not applicable - no offence or penalty defined here (definition, exception or general provision)</v>
      </c>
      <c r="G2151" s="10" t="str">
        <f aca="false">IFERROR(INDEX(Section_Master!$E$2:$E$477,MATCH($E2151,Section_Master!$A$2:$A$477,0))&amp;"","")</f>
        <v>N/A</v>
      </c>
      <c r="H2151" s="10" t="str">
        <f aca="false">IFERROR(INDEX(Section_Master!$F$2:$F$477,MATCH($E2151,Section_Master!$A$2:$A$477,0))&amp;"","")</f>
        <v>N/A</v>
      </c>
      <c r="I2151" s="10" t="str">
        <f aca="false">IFERROR(INDEX(Section_Master!$G$2:$G$477,MATCH($E2151,Section_Master!$A$2:$A$477,0))&amp;"","")</f>
        <v>N/A</v>
      </c>
      <c r="J2151" s="10" t="s">
        <v>52</v>
      </c>
      <c r="K2151" s="8" t="s">
        <v>5065</v>
      </c>
    </row>
    <row r="2152" customFormat="false" ht="34.5" hidden="false" customHeight="true" outlineLevel="0" collapsed="false">
      <c r="A2152" s="10" t="s">
        <v>5068</v>
      </c>
      <c r="B2152" s="10" t="s">
        <v>45</v>
      </c>
      <c r="C2152" s="8" t="s">
        <v>5063</v>
      </c>
      <c r="D2152" s="8" t="s">
        <v>5069</v>
      </c>
      <c r="E2152" s="11" t="n">
        <v>1</v>
      </c>
      <c r="F2152" s="8" t="str">
        <f aca="false">IFERROR(INDEX(Section_Master!$D$2:$D$477,MATCH($E2152,Section_Master!$A$2:$A$477,0))&amp;"","")</f>
        <v>Not applicable - no offence or penalty defined here (definition, exception or general provision)</v>
      </c>
      <c r="G2152" s="10" t="str">
        <f aca="false">IFERROR(INDEX(Section_Master!$E$2:$E$477,MATCH($E2152,Section_Master!$A$2:$A$477,0))&amp;"","")</f>
        <v>N/A</v>
      </c>
      <c r="H2152" s="10" t="str">
        <f aca="false">IFERROR(INDEX(Section_Master!$F$2:$F$477,MATCH($E2152,Section_Master!$A$2:$A$477,0))&amp;"","")</f>
        <v>N/A</v>
      </c>
      <c r="I2152" s="10" t="str">
        <f aca="false">IFERROR(INDEX(Section_Master!$G$2:$G$477,MATCH($E2152,Section_Master!$A$2:$A$477,0))&amp;"","")</f>
        <v>N/A</v>
      </c>
      <c r="J2152" s="10" t="s">
        <v>55</v>
      </c>
      <c r="K2152" s="8" t="s">
        <v>5065</v>
      </c>
    </row>
    <row r="2153" customFormat="false" ht="23.25" hidden="false" customHeight="true" outlineLevel="0" collapsed="false">
      <c r="A2153" s="10" t="s">
        <v>5070</v>
      </c>
      <c r="B2153" s="10" t="s">
        <v>45</v>
      </c>
      <c r="C2153" s="8" t="s">
        <v>5063</v>
      </c>
      <c r="D2153" s="8" t="s">
        <v>5071</v>
      </c>
      <c r="E2153" s="11" t="n">
        <v>1</v>
      </c>
      <c r="F2153" s="8" t="str">
        <f aca="false">IFERROR(INDEX(Section_Master!$D$2:$D$477,MATCH($E2153,Section_Master!$A$2:$A$477,0))&amp;"","")</f>
        <v>Not applicable - no offence or penalty defined here (definition, exception or general provision)</v>
      </c>
      <c r="G2153" s="10" t="str">
        <f aca="false">IFERROR(INDEX(Section_Master!$E$2:$E$477,MATCH($E2153,Section_Master!$A$2:$A$477,0))&amp;"","")</f>
        <v>N/A</v>
      </c>
      <c r="H2153" s="10" t="str">
        <f aca="false">IFERROR(INDEX(Section_Master!$F$2:$F$477,MATCH($E2153,Section_Master!$A$2:$A$477,0))&amp;"","")</f>
        <v>N/A</v>
      </c>
      <c r="I2153" s="10" t="str">
        <f aca="false">IFERROR(INDEX(Section_Master!$G$2:$G$477,MATCH($E2153,Section_Master!$A$2:$A$477,0))&amp;"","")</f>
        <v>N/A</v>
      </c>
      <c r="J2153" s="10" t="s">
        <v>58</v>
      </c>
      <c r="K2153" s="8" t="s">
        <v>5065</v>
      </c>
    </row>
    <row r="2154" customFormat="false" ht="23.25" hidden="false" customHeight="true" outlineLevel="0" collapsed="false">
      <c r="A2154" s="10" t="s">
        <v>5072</v>
      </c>
      <c r="B2154" s="10" t="s">
        <v>45</v>
      </c>
      <c r="C2154" s="8" t="s">
        <v>5063</v>
      </c>
      <c r="D2154" s="8" t="s">
        <v>5073</v>
      </c>
      <c r="E2154" s="11" t="n">
        <v>1</v>
      </c>
      <c r="F2154" s="8" t="str">
        <f aca="false">IFERROR(INDEX(Section_Master!$D$2:$D$477,MATCH($E2154,Section_Master!$A$2:$A$477,0))&amp;"","")</f>
        <v>Not applicable - no offence or penalty defined here (definition, exception or general provision)</v>
      </c>
      <c r="G2154" s="10" t="str">
        <f aca="false">IFERROR(INDEX(Section_Master!$E$2:$E$477,MATCH($E2154,Section_Master!$A$2:$A$477,0))&amp;"","")</f>
        <v>N/A</v>
      </c>
      <c r="H2154" s="10" t="str">
        <f aca="false">IFERROR(INDEX(Section_Master!$F$2:$F$477,MATCH($E2154,Section_Master!$A$2:$A$477,0))&amp;"","")</f>
        <v>N/A</v>
      </c>
      <c r="I2154" s="10" t="str">
        <f aca="false">IFERROR(INDEX(Section_Master!$G$2:$G$477,MATCH($E2154,Section_Master!$A$2:$A$477,0))&amp;"","")</f>
        <v>N/A</v>
      </c>
      <c r="J2154" s="10" t="s">
        <v>61</v>
      </c>
      <c r="K2154" s="8" t="s">
        <v>5065</v>
      </c>
    </row>
    <row r="2155" customFormat="false" ht="23.25" hidden="false" customHeight="true" outlineLevel="0" collapsed="false">
      <c r="A2155" s="10" t="s">
        <v>5074</v>
      </c>
      <c r="B2155" s="10" t="s">
        <v>45</v>
      </c>
      <c r="C2155" s="8" t="s">
        <v>5063</v>
      </c>
      <c r="D2155" s="8" t="s">
        <v>5075</v>
      </c>
      <c r="E2155" s="11" t="n">
        <v>1</v>
      </c>
      <c r="F2155" s="8" t="str">
        <f aca="false">IFERROR(INDEX(Section_Master!$D$2:$D$477,MATCH($E2155,Section_Master!$A$2:$A$477,0))&amp;"","")</f>
        <v>Not applicable - no offence or penalty defined here (definition, exception or general provision)</v>
      </c>
      <c r="G2155" s="10" t="str">
        <f aca="false">IFERROR(INDEX(Section_Master!$E$2:$E$477,MATCH($E2155,Section_Master!$A$2:$A$477,0))&amp;"","")</f>
        <v>N/A</v>
      </c>
      <c r="H2155" s="10" t="str">
        <f aca="false">IFERROR(INDEX(Section_Master!$F$2:$F$477,MATCH($E2155,Section_Master!$A$2:$A$477,0))&amp;"","")</f>
        <v>N/A</v>
      </c>
      <c r="I2155" s="10" t="str">
        <f aca="false">IFERROR(INDEX(Section_Master!$G$2:$G$477,MATCH($E2155,Section_Master!$A$2:$A$477,0))&amp;"","")</f>
        <v>N/A</v>
      </c>
      <c r="J2155" s="10" t="s">
        <v>64</v>
      </c>
      <c r="K2155" s="8" t="s">
        <v>5065</v>
      </c>
    </row>
    <row r="2156" customFormat="false" ht="34.5" hidden="false" customHeight="true" outlineLevel="0" collapsed="false">
      <c r="A2156" s="10" t="s">
        <v>5076</v>
      </c>
      <c r="B2156" s="10" t="s">
        <v>45</v>
      </c>
      <c r="C2156" s="8" t="s">
        <v>66</v>
      </c>
      <c r="D2156" s="8" t="s">
        <v>5077</v>
      </c>
      <c r="E2156" s="11" t="n">
        <v>2</v>
      </c>
      <c r="F2156" s="8" t="str">
        <f aca="false">IFERROR(INDEX(Section_Master!$D$2:$D$477,MATCH($E2156,Section_Master!$A$2:$A$477,0))&amp;"","")</f>
        <v>Not applicable - no offence or penalty defined here (definition, exception or general provision)</v>
      </c>
      <c r="G2156" s="10" t="str">
        <f aca="false">IFERROR(INDEX(Section_Master!$E$2:$E$477,MATCH($E2156,Section_Master!$A$2:$A$477,0))&amp;"","")</f>
        <v>N/A</v>
      </c>
      <c r="H2156" s="10" t="str">
        <f aca="false">IFERROR(INDEX(Section_Master!$F$2:$F$477,MATCH($E2156,Section_Master!$A$2:$A$477,0))&amp;"","")</f>
        <v>N/A</v>
      </c>
      <c r="I2156" s="10" t="str">
        <f aca="false">IFERROR(INDEX(Section_Master!$G$2:$G$477,MATCH($E2156,Section_Master!$A$2:$A$477,0))&amp;"","")</f>
        <v>N/A</v>
      </c>
      <c r="J2156" s="10" t="s">
        <v>48</v>
      </c>
      <c r="K2156" s="8" t="s">
        <v>5078</v>
      </c>
    </row>
    <row r="2157" customFormat="false" ht="23.25" hidden="false" customHeight="true" outlineLevel="0" collapsed="false">
      <c r="A2157" s="10" t="s">
        <v>5079</v>
      </c>
      <c r="B2157" s="10" t="s">
        <v>45</v>
      </c>
      <c r="C2157" s="8" t="s">
        <v>66</v>
      </c>
      <c r="D2157" s="8" t="s">
        <v>5080</v>
      </c>
      <c r="E2157" s="11" t="n">
        <v>2</v>
      </c>
      <c r="F2157" s="8" t="str">
        <f aca="false">IFERROR(INDEX(Section_Master!$D$2:$D$477,MATCH($E2157,Section_Master!$A$2:$A$477,0))&amp;"","")</f>
        <v>Not applicable - no offence or penalty defined here (definition, exception or general provision)</v>
      </c>
      <c r="G2157" s="10" t="str">
        <f aca="false">IFERROR(INDEX(Section_Master!$E$2:$E$477,MATCH($E2157,Section_Master!$A$2:$A$477,0))&amp;"","")</f>
        <v>N/A</v>
      </c>
      <c r="H2157" s="10" t="str">
        <f aca="false">IFERROR(INDEX(Section_Master!$F$2:$F$477,MATCH($E2157,Section_Master!$A$2:$A$477,0))&amp;"","")</f>
        <v>N/A</v>
      </c>
      <c r="I2157" s="10" t="str">
        <f aca="false">IFERROR(INDEX(Section_Master!$G$2:$G$477,MATCH($E2157,Section_Master!$A$2:$A$477,0))&amp;"","")</f>
        <v>N/A</v>
      </c>
      <c r="J2157" s="10" t="s">
        <v>52</v>
      </c>
      <c r="K2157" s="8" t="s">
        <v>5078</v>
      </c>
    </row>
    <row r="2158" customFormat="false" ht="34.5" hidden="false" customHeight="true" outlineLevel="0" collapsed="false">
      <c r="A2158" s="10" t="s">
        <v>5081</v>
      </c>
      <c r="B2158" s="10" t="s">
        <v>45</v>
      </c>
      <c r="C2158" s="8" t="s">
        <v>66</v>
      </c>
      <c r="D2158" s="8" t="s">
        <v>5082</v>
      </c>
      <c r="E2158" s="11" t="n">
        <v>2</v>
      </c>
      <c r="F2158" s="8" t="str">
        <f aca="false">IFERROR(INDEX(Section_Master!$D$2:$D$477,MATCH($E2158,Section_Master!$A$2:$A$477,0))&amp;"","")</f>
        <v>Not applicable - no offence or penalty defined here (definition, exception or general provision)</v>
      </c>
      <c r="G2158" s="10" t="str">
        <f aca="false">IFERROR(INDEX(Section_Master!$E$2:$E$477,MATCH($E2158,Section_Master!$A$2:$A$477,0))&amp;"","")</f>
        <v>N/A</v>
      </c>
      <c r="H2158" s="10" t="str">
        <f aca="false">IFERROR(INDEX(Section_Master!$F$2:$F$477,MATCH($E2158,Section_Master!$A$2:$A$477,0))&amp;"","")</f>
        <v>N/A</v>
      </c>
      <c r="I2158" s="10" t="str">
        <f aca="false">IFERROR(INDEX(Section_Master!$G$2:$G$477,MATCH($E2158,Section_Master!$A$2:$A$477,0))&amp;"","")</f>
        <v>N/A</v>
      </c>
      <c r="J2158" s="10" t="s">
        <v>55</v>
      </c>
      <c r="K2158" s="8" t="s">
        <v>5078</v>
      </c>
    </row>
    <row r="2159" customFormat="false" ht="34.5" hidden="false" customHeight="true" outlineLevel="0" collapsed="false">
      <c r="A2159" s="10" t="s">
        <v>5083</v>
      </c>
      <c r="B2159" s="10" t="s">
        <v>45</v>
      </c>
      <c r="C2159" s="8" t="s">
        <v>66</v>
      </c>
      <c r="D2159" s="8" t="s">
        <v>5084</v>
      </c>
      <c r="E2159" s="11" t="n">
        <v>2</v>
      </c>
      <c r="F2159" s="8" t="str">
        <f aca="false">IFERROR(INDEX(Section_Master!$D$2:$D$477,MATCH($E2159,Section_Master!$A$2:$A$477,0))&amp;"","")</f>
        <v>Not applicable - no offence or penalty defined here (definition, exception or general provision)</v>
      </c>
      <c r="G2159" s="10" t="str">
        <f aca="false">IFERROR(INDEX(Section_Master!$E$2:$E$477,MATCH($E2159,Section_Master!$A$2:$A$477,0))&amp;"","")</f>
        <v>N/A</v>
      </c>
      <c r="H2159" s="10" t="str">
        <f aca="false">IFERROR(INDEX(Section_Master!$F$2:$F$477,MATCH($E2159,Section_Master!$A$2:$A$477,0))&amp;"","")</f>
        <v>N/A</v>
      </c>
      <c r="I2159" s="10" t="str">
        <f aca="false">IFERROR(INDEX(Section_Master!$G$2:$G$477,MATCH($E2159,Section_Master!$A$2:$A$477,0))&amp;"","")</f>
        <v>N/A</v>
      </c>
      <c r="J2159" s="10" t="s">
        <v>58</v>
      </c>
      <c r="K2159" s="8" t="s">
        <v>5078</v>
      </c>
    </row>
    <row r="2160" customFormat="false" ht="23.25" hidden="false" customHeight="true" outlineLevel="0" collapsed="false">
      <c r="A2160" s="10" t="s">
        <v>5085</v>
      </c>
      <c r="B2160" s="10" t="s">
        <v>45</v>
      </c>
      <c r="C2160" s="8" t="s">
        <v>66</v>
      </c>
      <c r="D2160" s="8" t="s">
        <v>5086</v>
      </c>
      <c r="E2160" s="11" t="n">
        <v>2</v>
      </c>
      <c r="F2160" s="8" t="str">
        <f aca="false">IFERROR(INDEX(Section_Master!$D$2:$D$477,MATCH($E2160,Section_Master!$A$2:$A$477,0))&amp;"","")</f>
        <v>Not applicable - no offence or penalty defined here (definition, exception or general provision)</v>
      </c>
      <c r="G2160" s="10" t="str">
        <f aca="false">IFERROR(INDEX(Section_Master!$E$2:$E$477,MATCH($E2160,Section_Master!$A$2:$A$477,0))&amp;"","")</f>
        <v>N/A</v>
      </c>
      <c r="H2160" s="10" t="str">
        <f aca="false">IFERROR(INDEX(Section_Master!$F$2:$F$477,MATCH($E2160,Section_Master!$A$2:$A$477,0))&amp;"","")</f>
        <v>N/A</v>
      </c>
      <c r="I2160" s="10" t="str">
        <f aca="false">IFERROR(INDEX(Section_Master!$G$2:$G$477,MATCH($E2160,Section_Master!$A$2:$A$477,0))&amp;"","")</f>
        <v>N/A</v>
      </c>
      <c r="J2160" s="10" t="s">
        <v>61</v>
      </c>
      <c r="K2160" s="8" t="s">
        <v>5078</v>
      </c>
    </row>
    <row r="2161" customFormat="false" ht="34.5" hidden="false" customHeight="true" outlineLevel="0" collapsed="false">
      <c r="A2161" s="10" t="s">
        <v>5087</v>
      </c>
      <c r="B2161" s="10" t="s">
        <v>45</v>
      </c>
      <c r="C2161" s="8" t="s">
        <v>66</v>
      </c>
      <c r="D2161" s="8" t="s">
        <v>5088</v>
      </c>
      <c r="E2161" s="11" t="n">
        <v>2</v>
      </c>
      <c r="F2161" s="8" t="str">
        <f aca="false">IFERROR(INDEX(Section_Master!$D$2:$D$477,MATCH($E2161,Section_Master!$A$2:$A$477,0))&amp;"","")</f>
        <v>Not applicable - no offence or penalty defined here (definition, exception or general provision)</v>
      </c>
      <c r="G2161" s="10" t="str">
        <f aca="false">IFERROR(INDEX(Section_Master!$E$2:$E$477,MATCH($E2161,Section_Master!$A$2:$A$477,0))&amp;"","")</f>
        <v>N/A</v>
      </c>
      <c r="H2161" s="10" t="str">
        <f aca="false">IFERROR(INDEX(Section_Master!$F$2:$F$477,MATCH($E2161,Section_Master!$A$2:$A$477,0))&amp;"","")</f>
        <v>N/A</v>
      </c>
      <c r="I2161" s="10" t="str">
        <f aca="false">IFERROR(INDEX(Section_Master!$G$2:$G$477,MATCH($E2161,Section_Master!$A$2:$A$477,0))&amp;"","")</f>
        <v>N/A</v>
      </c>
      <c r="J2161" s="10" t="s">
        <v>64</v>
      </c>
      <c r="K2161" s="8" t="s">
        <v>5078</v>
      </c>
    </row>
    <row r="2162" customFormat="false" ht="34.5" hidden="false" customHeight="true" outlineLevel="0" collapsed="false">
      <c r="A2162" s="10" t="s">
        <v>5089</v>
      </c>
      <c r="B2162" s="10" t="s">
        <v>45</v>
      </c>
      <c r="C2162" s="8" t="s">
        <v>5090</v>
      </c>
      <c r="D2162" s="8" t="s">
        <v>5091</v>
      </c>
      <c r="E2162" s="11" t="n">
        <v>3</v>
      </c>
      <c r="F2162" s="8" t="str">
        <f aca="false">IFERROR(INDEX(Section_Master!$D$2:$D$477,MATCH($E2162,Section_Master!$A$2:$A$477,0))&amp;"","")</f>
        <v>Not applicable - no offence or penalty defined here (definition, exception or general provision)</v>
      </c>
      <c r="G2162" s="10" t="str">
        <f aca="false">IFERROR(INDEX(Section_Master!$E$2:$E$477,MATCH($E2162,Section_Master!$A$2:$A$477,0))&amp;"","")</f>
        <v>N/A</v>
      </c>
      <c r="H2162" s="10" t="str">
        <f aca="false">IFERROR(INDEX(Section_Master!$F$2:$F$477,MATCH($E2162,Section_Master!$A$2:$A$477,0))&amp;"","")</f>
        <v>N/A</v>
      </c>
      <c r="I2162" s="10" t="str">
        <f aca="false">IFERROR(INDEX(Section_Master!$G$2:$G$477,MATCH($E2162,Section_Master!$A$2:$A$477,0))&amp;"","")</f>
        <v>N/A</v>
      </c>
      <c r="J2162" s="10" t="s">
        <v>48</v>
      </c>
      <c r="K2162" s="8" t="s">
        <v>5092</v>
      </c>
    </row>
    <row r="2163" customFormat="false" ht="34.5" hidden="false" customHeight="true" outlineLevel="0" collapsed="false">
      <c r="A2163" s="10" t="s">
        <v>5093</v>
      </c>
      <c r="B2163" s="10" t="s">
        <v>45</v>
      </c>
      <c r="C2163" s="8" t="s">
        <v>5090</v>
      </c>
      <c r="D2163" s="8" t="s">
        <v>5094</v>
      </c>
      <c r="E2163" s="11" t="n">
        <v>3</v>
      </c>
      <c r="F2163" s="8" t="str">
        <f aca="false">IFERROR(INDEX(Section_Master!$D$2:$D$477,MATCH($E2163,Section_Master!$A$2:$A$477,0))&amp;"","")</f>
        <v>Not applicable - no offence or penalty defined here (definition, exception or general provision)</v>
      </c>
      <c r="G2163" s="10" t="str">
        <f aca="false">IFERROR(INDEX(Section_Master!$E$2:$E$477,MATCH($E2163,Section_Master!$A$2:$A$477,0))&amp;"","")</f>
        <v>N/A</v>
      </c>
      <c r="H2163" s="10" t="str">
        <f aca="false">IFERROR(INDEX(Section_Master!$F$2:$F$477,MATCH($E2163,Section_Master!$A$2:$A$477,0))&amp;"","")</f>
        <v>N/A</v>
      </c>
      <c r="I2163" s="10" t="str">
        <f aca="false">IFERROR(INDEX(Section_Master!$G$2:$G$477,MATCH($E2163,Section_Master!$A$2:$A$477,0))&amp;"","")</f>
        <v>N/A</v>
      </c>
      <c r="J2163" s="10" t="s">
        <v>52</v>
      </c>
      <c r="K2163" s="8" t="s">
        <v>5092</v>
      </c>
    </row>
    <row r="2164" customFormat="false" ht="34.5" hidden="false" customHeight="true" outlineLevel="0" collapsed="false">
      <c r="A2164" s="10" t="s">
        <v>5095</v>
      </c>
      <c r="B2164" s="10" t="s">
        <v>45</v>
      </c>
      <c r="C2164" s="8" t="s">
        <v>5090</v>
      </c>
      <c r="D2164" s="8" t="s">
        <v>5096</v>
      </c>
      <c r="E2164" s="11" t="n">
        <v>3</v>
      </c>
      <c r="F2164" s="8" t="str">
        <f aca="false">IFERROR(INDEX(Section_Master!$D$2:$D$477,MATCH($E2164,Section_Master!$A$2:$A$477,0))&amp;"","")</f>
        <v>Not applicable - no offence or penalty defined here (definition, exception or general provision)</v>
      </c>
      <c r="G2164" s="10" t="str">
        <f aca="false">IFERROR(INDEX(Section_Master!$E$2:$E$477,MATCH($E2164,Section_Master!$A$2:$A$477,0))&amp;"","")</f>
        <v>N/A</v>
      </c>
      <c r="H2164" s="10" t="str">
        <f aca="false">IFERROR(INDEX(Section_Master!$F$2:$F$477,MATCH($E2164,Section_Master!$A$2:$A$477,0))&amp;"","")</f>
        <v>N/A</v>
      </c>
      <c r="I2164" s="10" t="str">
        <f aca="false">IFERROR(INDEX(Section_Master!$G$2:$G$477,MATCH($E2164,Section_Master!$A$2:$A$477,0))&amp;"","")</f>
        <v>N/A</v>
      </c>
      <c r="J2164" s="10" t="s">
        <v>55</v>
      </c>
      <c r="K2164" s="8" t="s">
        <v>5092</v>
      </c>
    </row>
    <row r="2165" customFormat="false" ht="34.5" hidden="false" customHeight="true" outlineLevel="0" collapsed="false">
      <c r="A2165" s="10" t="s">
        <v>5097</v>
      </c>
      <c r="B2165" s="10" t="s">
        <v>45</v>
      </c>
      <c r="C2165" s="8" t="s">
        <v>5090</v>
      </c>
      <c r="D2165" s="8" t="s">
        <v>5098</v>
      </c>
      <c r="E2165" s="11" t="n">
        <v>3</v>
      </c>
      <c r="F2165" s="8" t="str">
        <f aca="false">IFERROR(INDEX(Section_Master!$D$2:$D$477,MATCH($E2165,Section_Master!$A$2:$A$477,0))&amp;"","")</f>
        <v>Not applicable - no offence or penalty defined here (definition, exception or general provision)</v>
      </c>
      <c r="G2165" s="10" t="str">
        <f aca="false">IFERROR(INDEX(Section_Master!$E$2:$E$477,MATCH($E2165,Section_Master!$A$2:$A$477,0))&amp;"","")</f>
        <v>N/A</v>
      </c>
      <c r="H2165" s="10" t="str">
        <f aca="false">IFERROR(INDEX(Section_Master!$F$2:$F$477,MATCH($E2165,Section_Master!$A$2:$A$477,0))&amp;"","")</f>
        <v>N/A</v>
      </c>
      <c r="I2165" s="10" t="str">
        <f aca="false">IFERROR(INDEX(Section_Master!$G$2:$G$477,MATCH($E2165,Section_Master!$A$2:$A$477,0))&amp;"","")</f>
        <v>N/A</v>
      </c>
      <c r="J2165" s="10" t="s">
        <v>58</v>
      </c>
      <c r="K2165" s="8" t="s">
        <v>5092</v>
      </c>
    </row>
    <row r="2166" customFormat="false" ht="23.25" hidden="false" customHeight="true" outlineLevel="0" collapsed="false">
      <c r="A2166" s="10" t="s">
        <v>5099</v>
      </c>
      <c r="B2166" s="10" t="s">
        <v>45</v>
      </c>
      <c r="C2166" s="8" t="s">
        <v>5090</v>
      </c>
      <c r="D2166" s="8" t="s">
        <v>5100</v>
      </c>
      <c r="E2166" s="11" t="n">
        <v>3</v>
      </c>
      <c r="F2166" s="8" t="str">
        <f aca="false">IFERROR(INDEX(Section_Master!$D$2:$D$477,MATCH($E2166,Section_Master!$A$2:$A$477,0))&amp;"","")</f>
        <v>Not applicable - no offence or penalty defined here (definition, exception or general provision)</v>
      </c>
      <c r="G2166" s="10" t="str">
        <f aca="false">IFERROR(INDEX(Section_Master!$E$2:$E$477,MATCH($E2166,Section_Master!$A$2:$A$477,0))&amp;"","")</f>
        <v>N/A</v>
      </c>
      <c r="H2166" s="10" t="str">
        <f aca="false">IFERROR(INDEX(Section_Master!$F$2:$F$477,MATCH($E2166,Section_Master!$A$2:$A$477,0))&amp;"","")</f>
        <v>N/A</v>
      </c>
      <c r="I2166" s="10" t="str">
        <f aca="false">IFERROR(INDEX(Section_Master!$G$2:$G$477,MATCH($E2166,Section_Master!$A$2:$A$477,0))&amp;"","")</f>
        <v>N/A</v>
      </c>
      <c r="J2166" s="10" t="s">
        <v>61</v>
      </c>
      <c r="K2166" s="8" t="s">
        <v>5092</v>
      </c>
    </row>
    <row r="2167" customFormat="false" ht="23.25" hidden="false" customHeight="true" outlineLevel="0" collapsed="false">
      <c r="A2167" s="10" t="s">
        <v>5101</v>
      </c>
      <c r="B2167" s="10" t="s">
        <v>45</v>
      </c>
      <c r="C2167" s="8" t="s">
        <v>5090</v>
      </c>
      <c r="D2167" s="8" t="s">
        <v>5102</v>
      </c>
      <c r="E2167" s="11" t="n">
        <v>3</v>
      </c>
      <c r="F2167" s="8" t="str">
        <f aca="false">IFERROR(INDEX(Section_Master!$D$2:$D$477,MATCH($E2167,Section_Master!$A$2:$A$477,0))&amp;"","")</f>
        <v>Not applicable - no offence or penalty defined here (definition, exception or general provision)</v>
      </c>
      <c r="G2167" s="10" t="str">
        <f aca="false">IFERROR(INDEX(Section_Master!$E$2:$E$477,MATCH($E2167,Section_Master!$A$2:$A$477,0))&amp;"","")</f>
        <v>N/A</v>
      </c>
      <c r="H2167" s="10" t="str">
        <f aca="false">IFERROR(INDEX(Section_Master!$F$2:$F$477,MATCH($E2167,Section_Master!$A$2:$A$477,0))&amp;"","")</f>
        <v>N/A</v>
      </c>
      <c r="I2167" s="10" t="str">
        <f aca="false">IFERROR(INDEX(Section_Master!$G$2:$G$477,MATCH($E2167,Section_Master!$A$2:$A$477,0))&amp;"","")</f>
        <v>N/A</v>
      </c>
      <c r="J2167" s="10" t="s">
        <v>64</v>
      </c>
      <c r="K2167" s="8" t="s">
        <v>5092</v>
      </c>
    </row>
    <row r="2168" customFormat="false" ht="34.5" hidden="false" customHeight="true" outlineLevel="0" collapsed="false">
      <c r="A2168" s="10" t="s">
        <v>5103</v>
      </c>
      <c r="B2168" s="10" t="s">
        <v>45</v>
      </c>
      <c r="C2168" s="8" t="s">
        <v>5104</v>
      </c>
      <c r="D2168" s="8" t="s">
        <v>5105</v>
      </c>
      <c r="E2168" s="11" t="n">
        <v>4</v>
      </c>
      <c r="F2168" s="8" t="str">
        <f aca="false">IFERROR(INDEX(Section_Master!$D$2:$D$477,MATCH($E2168,Section_Master!$A$2:$A$477,0))&amp;"","")</f>
        <v>Not applicable - no offence or penalty defined here (definition, exception or general provision)</v>
      </c>
      <c r="G2168" s="10" t="str">
        <f aca="false">IFERROR(INDEX(Section_Master!$E$2:$E$477,MATCH($E2168,Section_Master!$A$2:$A$477,0))&amp;"","")</f>
        <v>N/A</v>
      </c>
      <c r="H2168" s="10" t="str">
        <f aca="false">IFERROR(INDEX(Section_Master!$F$2:$F$477,MATCH($E2168,Section_Master!$A$2:$A$477,0))&amp;"","")</f>
        <v>N/A</v>
      </c>
      <c r="I2168" s="10" t="str">
        <f aca="false">IFERROR(INDEX(Section_Master!$G$2:$G$477,MATCH($E2168,Section_Master!$A$2:$A$477,0))&amp;"","")</f>
        <v>N/A</v>
      </c>
      <c r="J2168" s="10" t="s">
        <v>48</v>
      </c>
      <c r="K2168" s="8" t="s">
        <v>5106</v>
      </c>
    </row>
    <row r="2169" customFormat="false" ht="34.5" hidden="false" customHeight="true" outlineLevel="0" collapsed="false">
      <c r="A2169" s="10" t="s">
        <v>5107</v>
      </c>
      <c r="B2169" s="10" t="s">
        <v>45</v>
      </c>
      <c r="C2169" s="8" t="s">
        <v>5104</v>
      </c>
      <c r="D2169" s="8" t="s">
        <v>5108</v>
      </c>
      <c r="E2169" s="11" t="n">
        <v>4</v>
      </c>
      <c r="F2169" s="8" t="str">
        <f aca="false">IFERROR(INDEX(Section_Master!$D$2:$D$477,MATCH($E2169,Section_Master!$A$2:$A$477,0))&amp;"","")</f>
        <v>Not applicable - no offence or penalty defined here (definition, exception or general provision)</v>
      </c>
      <c r="G2169" s="10" t="str">
        <f aca="false">IFERROR(INDEX(Section_Master!$E$2:$E$477,MATCH($E2169,Section_Master!$A$2:$A$477,0))&amp;"","")</f>
        <v>N/A</v>
      </c>
      <c r="H2169" s="10" t="str">
        <f aca="false">IFERROR(INDEX(Section_Master!$F$2:$F$477,MATCH($E2169,Section_Master!$A$2:$A$477,0))&amp;"","")</f>
        <v>N/A</v>
      </c>
      <c r="I2169" s="10" t="str">
        <f aca="false">IFERROR(INDEX(Section_Master!$G$2:$G$477,MATCH($E2169,Section_Master!$A$2:$A$477,0))&amp;"","")</f>
        <v>N/A</v>
      </c>
      <c r="J2169" s="10" t="s">
        <v>52</v>
      </c>
      <c r="K2169" s="8" t="s">
        <v>5106</v>
      </c>
    </row>
    <row r="2170" customFormat="false" ht="34.5" hidden="false" customHeight="true" outlineLevel="0" collapsed="false">
      <c r="A2170" s="10" t="s">
        <v>5109</v>
      </c>
      <c r="B2170" s="10" t="s">
        <v>45</v>
      </c>
      <c r="C2170" s="8" t="s">
        <v>5104</v>
      </c>
      <c r="D2170" s="8" t="s">
        <v>5110</v>
      </c>
      <c r="E2170" s="11" t="n">
        <v>4</v>
      </c>
      <c r="F2170" s="8" t="str">
        <f aca="false">IFERROR(INDEX(Section_Master!$D$2:$D$477,MATCH($E2170,Section_Master!$A$2:$A$477,0))&amp;"","")</f>
        <v>Not applicable - no offence or penalty defined here (definition, exception or general provision)</v>
      </c>
      <c r="G2170" s="10" t="str">
        <f aca="false">IFERROR(INDEX(Section_Master!$E$2:$E$477,MATCH($E2170,Section_Master!$A$2:$A$477,0))&amp;"","")</f>
        <v>N/A</v>
      </c>
      <c r="H2170" s="10" t="str">
        <f aca="false">IFERROR(INDEX(Section_Master!$F$2:$F$477,MATCH($E2170,Section_Master!$A$2:$A$477,0))&amp;"","")</f>
        <v>N/A</v>
      </c>
      <c r="I2170" s="10" t="str">
        <f aca="false">IFERROR(INDEX(Section_Master!$G$2:$G$477,MATCH($E2170,Section_Master!$A$2:$A$477,0))&amp;"","")</f>
        <v>N/A</v>
      </c>
      <c r="J2170" s="10" t="s">
        <v>55</v>
      </c>
      <c r="K2170" s="8" t="s">
        <v>5106</v>
      </c>
    </row>
    <row r="2171" customFormat="false" ht="23.25" hidden="false" customHeight="true" outlineLevel="0" collapsed="false">
      <c r="A2171" s="10" t="s">
        <v>5111</v>
      </c>
      <c r="B2171" s="10" t="s">
        <v>45</v>
      </c>
      <c r="C2171" s="8" t="s">
        <v>5104</v>
      </c>
      <c r="D2171" s="8" t="s">
        <v>5112</v>
      </c>
      <c r="E2171" s="11" t="n">
        <v>4</v>
      </c>
      <c r="F2171" s="8" t="str">
        <f aca="false">IFERROR(INDEX(Section_Master!$D$2:$D$477,MATCH($E2171,Section_Master!$A$2:$A$477,0))&amp;"","")</f>
        <v>Not applicable - no offence or penalty defined here (definition, exception or general provision)</v>
      </c>
      <c r="G2171" s="10" t="str">
        <f aca="false">IFERROR(INDEX(Section_Master!$E$2:$E$477,MATCH($E2171,Section_Master!$A$2:$A$477,0))&amp;"","")</f>
        <v>N/A</v>
      </c>
      <c r="H2171" s="10" t="str">
        <f aca="false">IFERROR(INDEX(Section_Master!$F$2:$F$477,MATCH($E2171,Section_Master!$A$2:$A$477,0))&amp;"","")</f>
        <v>N/A</v>
      </c>
      <c r="I2171" s="10" t="str">
        <f aca="false">IFERROR(INDEX(Section_Master!$G$2:$G$477,MATCH($E2171,Section_Master!$A$2:$A$477,0))&amp;"","")</f>
        <v>N/A</v>
      </c>
      <c r="J2171" s="10" t="s">
        <v>58</v>
      </c>
      <c r="K2171" s="8" t="s">
        <v>5106</v>
      </c>
    </row>
    <row r="2172" customFormat="false" ht="34.5" hidden="false" customHeight="true" outlineLevel="0" collapsed="false">
      <c r="A2172" s="10" t="s">
        <v>5113</v>
      </c>
      <c r="B2172" s="10" t="s">
        <v>45</v>
      </c>
      <c r="C2172" s="8" t="s">
        <v>5104</v>
      </c>
      <c r="D2172" s="8" t="s">
        <v>5114</v>
      </c>
      <c r="E2172" s="11" t="n">
        <v>4</v>
      </c>
      <c r="F2172" s="8" t="str">
        <f aca="false">IFERROR(INDEX(Section_Master!$D$2:$D$477,MATCH($E2172,Section_Master!$A$2:$A$477,0))&amp;"","")</f>
        <v>Not applicable - no offence or penalty defined here (definition, exception or general provision)</v>
      </c>
      <c r="G2172" s="10" t="str">
        <f aca="false">IFERROR(INDEX(Section_Master!$E$2:$E$477,MATCH($E2172,Section_Master!$A$2:$A$477,0))&amp;"","")</f>
        <v>N/A</v>
      </c>
      <c r="H2172" s="10" t="str">
        <f aca="false">IFERROR(INDEX(Section_Master!$F$2:$F$477,MATCH($E2172,Section_Master!$A$2:$A$477,0))&amp;"","")</f>
        <v>N/A</v>
      </c>
      <c r="I2172" s="10" t="str">
        <f aca="false">IFERROR(INDEX(Section_Master!$G$2:$G$477,MATCH($E2172,Section_Master!$A$2:$A$477,0))&amp;"","")</f>
        <v>N/A</v>
      </c>
      <c r="J2172" s="10" t="s">
        <v>61</v>
      </c>
      <c r="K2172" s="8" t="s">
        <v>5106</v>
      </c>
    </row>
    <row r="2173" customFormat="false" ht="23.25" hidden="false" customHeight="true" outlineLevel="0" collapsed="false">
      <c r="A2173" s="10" t="s">
        <v>5115</v>
      </c>
      <c r="B2173" s="10" t="s">
        <v>45</v>
      </c>
      <c r="C2173" s="8" t="s">
        <v>5104</v>
      </c>
      <c r="D2173" s="8" t="s">
        <v>5116</v>
      </c>
      <c r="E2173" s="11" t="n">
        <v>4</v>
      </c>
      <c r="F2173" s="8" t="str">
        <f aca="false">IFERROR(INDEX(Section_Master!$D$2:$D$477,MATCH($E2173,Section_Master!$A$2:$A$477,0))&amp;"","")</f>
        <v>Not applicable - no offence or penalty defined here (definition, exception or general provision)</v>
      </c>
      <c r="G2173" s="10" t="str">
        <f aca="false">IFERROR(INDEX(Section_Master!$E$2:$E$477,MATCH($E2173,Section_Master!$A$2:$A$477,0))&amp;"","")</f>
        <v>N/A</v>
      </c>
      <c r="H2173" s="10" t="str">
        <f aca="false">IFERROR(INDEX(Section_Master!$F$2:$F$477,MATCH($E2173,Section_Master!$A$2:$A$477,0))&amp;"","")</f>
        <v>N/A</v>
      </c>
      <c r="I2173" s="10" t="str">
        <f aca="false">IFERROR(INDEX(Section_Master!$G$2:$G$477,MATCH($E2173,Section_Master!$A$2:$A$477,0))&amp;"","")</f>
        <v>N/A</v>
      </c>
      <c r="J2173" s="10" t="s">
        <v>64</v>
      </c>
      <c r="K2173" s="8" t="s">
        <v>5106</v>
      </c>
    </row>
    <row r="2174" customFormat="false" ht="23.25" hidden="false" customHeight="true" outlineLevel="0" collapsed="false">
      <c r="A2174" s="10" t="s">
        <v>5117</v>
      </c>
      <c r="B2174" s="10" t="s">
        <v>45</v>
      </c>
      <c r="C2174" s="8" t="s">
        <v>5118</v>
      </c>
      <c r="D2174" s="8" t="s">
        <v>5119</v>
      </c>
      <c r="E2174" s="11" t="n">
        <v>5</v>
      </c>
      <c r="F2174" s="8" t="str">
        <f aca="false">IFERROR(INDEX(Section_Master!$D$2:$D$477,MATCH($E2174,Section_Master!$A$2:$A$477,0))&amp;"","")</f>
        <v>Not applicable - no offence or penalty defined here (definition, exception or general provision)</v>
      </c>
      <c r="G2174" s="10" t="str">
        <f aca="false">IFERROR(INDEX(Section_Master!$E$2:$E$477,MATCH($E2174,Section_Master!$A$2:$A$477,0))&amp;"","")</f>
        <v>N/A</v>
      </c>
      <c r="H2174" s="10" t="str">
        <f aca="false">IFERROR(INDEX(Section_Master!$F$2:$F$477,MATCH($E2174,Section_Master!$A$2:$A$477,0))&amp;"","")</f>
        <v>N/A</v>
      </c>
      <c r="I2174" s="10" t="str">
        <f aca="false">IFERROR(INDEX(Section_Master!$G$2:$G$477,MATCH($E2174,Section_Master!$A$2:$A$477,0))&amp;"","")</f>
        <v>N/A</v>
      </c>
      <c r="J2174" s="10" t="s">
        <v>48</v>
      </c>
      <c r="K2174" s="8" t="s">
        <v>5120</v>
      </c>
    </row>
    <row r="2175" customFormat="false" ht="34.5" hidden="false" customHeight="true" outlineLevel="0" collapsed="false">
      <c r="A2175" s="10" t="s">
        <v>5121</v>
      </c>
      <c r="B2175" s="10" t="s">
        <v>45</v>
      </c>
      <c r="C2175" s="8" t="s">
        <v>5118</v>
      </c>
      <c r="D2175" s="8" t="s">
        <v>5122</v>
      </c>
      <c r="E2175" s="11" t="n">
        <v>5</v>
      </c>
      <c r="F2175" s="8" t="str">
        <f aca="false">IFERROR(INDEX(Section_Master!$D$2:$D$477,MATCH($E2175,Section_Master!$A$2:$A$477,0))&amp;"","")</f>
        <v>Not applicable - no offence or penalty defined here (definition, exception or general provision)</v>
      </c>
      <c r="G2175" s="10" t="str">
        <f aca="false">IFERROR(INDEX(Section_Master!$E$2:$E$477,MATCH($E2175,Section_Master!$A$2:$A$477,0))&amp;"","")</f>
        <v>N/A</v>
      </c>
      <c r="H2175" s="10" t="str">
        <f aca="false">IFERROR(INDEX(Section_Master!$F$2:$F$477,MATCH($E2175,Section_Master!$A$2:$A$477,0))&amp;"","")</f>
        <v>N/A</v>
      </c>
      <c r="I2175" s="10" t="str">
        <f aca="false">IFERROR(INDEX(Section_Master!$G$2:$G$477,MATCH($E2175,Section_Master!$A$2:$A$477,0))&amp;"","")</f>
        <v>N/A</v>
      </c>
      <c r="J2175" s="10" t="s">
        <v>52</v>
      </c>
      <c r="K2175" s="8" t="s">
        <v>5120</v>
      </c>
    </row>
    <row r="2176" customFormat="false" ht="34.5" hidden="false" customHeight="true" outlineLevel="0" collapsed="false">
      <c r="A2176" s="10" t="s">
        <v>5123</v>
      </c>
      <c r="B2176" s="10" t="s">
        <v>45</v>
      </c>
      <c r="C2176" s="8" t="s">
        <v>5118</v>
      </c>
      <c r="D2176" s="8" t="s">
        <v>5124</v>
      </c>
      <c r="E2176" s="11" t="n">
        <v>5</v>
      </c>
      <c r="F2176" s="8" t="str">
        <f aca="false">IFERROR(INDEX(Section_Master!$D$2:$D$477,MATCH($E2176,Section_Master!$A$2:$A$477,0))&amp;"","")</f>
        <v>Not applicable - no offence or penalty defined here (definition, exception or general provision)</v>
      </c>
      <c r="G2176" s="10" t="str">
        <f aca="false">IFERROR(INDEX(Section_Master!$E$2:$E$477,MATCH($E2176,Section_Master!$A$2:$A$477,0))&amp;"","")</f>
        <v>N/A</v>
      </c>
      <c r="H2176" s="10" t="str">
        <f aca="false">IFERROR(INDEX(Section_Master!$F$2:$F$477,MATCH($E2176,Section_Master!$A$2:$A$477,0))&amp;"","")</f>
        <v>N/A</v>
      </c>
      <c r="I2176" s="10" t="str">
        <f aca="false">IFERROR(INDEX(Section_Master!$G$2:$G$477,MATCH($E2176,Section_Master!$A$2:$A$477,0))&amp;"","")</f>
        <v>N/A</v>
      </c>
      <c r="J2176" s="10" t="s">
        <v>55</v>
      </c>
      <c r="K2176" s="8" t="s">
        <v>5120</v>
      </c>
    </row>
    <row r="2177" customFormat="false" ht="23.25" hidden="false" customHeight="true" outlineLevel="0" collapsed="false">
      <c r="A2177" s="10" t="s">
        <v>5125</v>
      </c>
      <c r="B2177" s="10" t="s">
        <v>45</v>
      </c>
      <c r="C2177" s="8" t="s">
        <v>5118</v>
      </c>
      <c r="D2177" s="8" t="s">
        <v>5126</v>
      </c>
      <c r="E2177" s="11" t="n">
        <v>5</v>
      </c>
      <c r="F2177" s="8" t="str">
        <f aca="false">IFERROR(INDEX(Section_Master!$D$2:$D$477,MATCH($E2177,Section_Master!$A$2:$A$477,0))&amp;"","")</f>
        <v>Not applicable - no offence or penalty defined here (definition, exception or general provision)</v>
      </c>
      <c r="G2177" s="10" t="str">
        <f aca="false">IFERROR(INDEX(Section_Master!$E$2:$E$477,MATCH($E2177,Section_Master!$A$2:$A$477,0))&amp;"","")</f>
        <v>N/A</v>
      </c>
      <c r="H2177" s="10" t="str">
        <f aca="false">IFERROR(INDEX(Section_Master!$F$2:$F$477,MATCH($E2177,Section_Master!$A$2:$A$477,0))&amp;"","")</f>
        <v>N/A</v>
      </c>
      <c r="I2177" s="10" t="str">
        <f aca="false">IFERROR(INDEX(Section_Master!$G$2:$G$477,MATCH($E2177,Section_Master!$A$2:$A$477,0))&amp;"","")</f>
        <v>N/A</v>
      </c>
      <c r="J2177" s="10" t="s">
        <v>58</v>
      </c>
      <c r="K2177" s="8" t="s">
        <v>5120</v>
      </c>
    </row>
    <row r="2178" customFormat="false" ht="23.25" hidden="false" customHeight="true" outlineLevel="0" collapsed="false">
      <c r="A2178" s="10" t="s">
        <v>5127</v>
      </c>
      <c r="B2178" s="10" t="s">
        <v>45</v>
      </c>
      <c r="C2178" s="8" t="s">
        <v>5118</v>
      </c>
      <c r="D2178" s="8" t="s">
        <v>5128</v>
      </c>
      <c r="E2178" s="11" t="n">
        <v>5</v>
      </c>
      <c r="F2178" s="8" t="str">
        <f aca="false">IFERROR(INDEX(Section_Master!$D$2:$D$477,MATCH($E2178,Section_Master!$A$2:$A$477,0))&amp;"","")</f>
        <v>Not applicable - no offence or penalty defined here (definition, exception or general provision)</v>
      </c>
      <c r="G2178" s="10" t="str">
        <f aca="false">IFERROR(INDEX(Section_Master!$E$2:$E$477,MATCH($E2178,Section_Master!$A$2:$A$477,0))&amp;"","")</f>
        <v>N/A</v>
      </c>
      <c r="H2178" s="10" t="str">
        <f aca="false">IFERROR(INDEX(Section_Master!$F$2:$F$477,MATCH($E2178,Section_Master!$A$2:$A$477,0))&amp;"","")</f>
        <v>N/A</v>
      </c>
      <c r="I2178" s="10" t="str">
        <f aca="false">IFERROR(INDEX(Section_Master!$G$2:$G$477,MATCH($E2178,Section_Master!$A$2:$A$477,0))&amp;"","")</f>
        <v>N/A</v>
      </c>
      <c r="J2178" s="10" t="s">
        <v>61</v>
      </c>
      <c r="K2178" s="8" t="s">
        <v>5120</v>
      </c>
    </row>
    <row r="2179" customFormat="false" ht="34.5" hidden="false" customHeight="true" outlineLevel="0" collapsed="false">
      <c r="A2179" s="10" t="s">
        <v>5129</v>
      </c>
      <c r="B2179" s="10" t="s">
        <v>45</v>
      </c>
      <c r="C2179" s="8" t="s">
        <v>5118</v>
      </c>
      <c r="D2179" s="8" t="s">
        <v>5130</v>
      </c>
      <c r="E2179" s="11" t="n">
        <v>5</v>
      </c>
      <c r="F2179" s="8" t="str">
        <f aca="false">IFERROR(INDEX(Section_Master!$D$2:$D$477,MATCH($E2179,Section_Master!$A$2:$A$477,0))&amp;"","")</f>
        <v>Not applicable - no offence or penalty defined here (definition, exception or general provision)</v>
      </c>
      <c r="G2179" s="10" t="str">
        <f aca="false">IFERROR(INDEX(Section_Master!$E$2:$E$477,MATCH($E2179,Section_Master!$A$2:$A$477,0))&amp;"","")</f>
        <v>N/A</v>
      </c>
      <c r="H2179" s="10" t="str">
        <f aca="false">IFERROR(INDEX(Section_Master!$F$2:$F$477,MATCH($E2179,Section_Master!$A$2:$A$477,0))&amp;"","")</f>
        <v>N/A</v>
      </c>
      <c r="I2179" s="10" t="str">
        <f aca="false">IFERROR(INDEX(Section_Master!$G$2:$G$477,MATCH($E2179,Section_Master!$A$2:$A$477,0))&amp;"","")</f>
        <v>N/A</v>
      </c>
      <c r="J2179" s="10" t="s">
        <v>64</v>
      </c>
      <c r="K2179" s="8" t="s">
        <v>5120</v>
      </c>
    </row>
    <row r="2180" customFormat="false" ht="34.5" hidden="false" customHeight="true" outlineLevel="0" collapsed="false">
      <c r="A2180" s="10" t="s">
        <v>5131</v>
      </c>
      <c r="B2180" s="10" t="s">
        <v>45</v>
      </c>
      <c r="C2180" s="8" t="s">
        <v>5132</v>
      </c>
      <c r="D2180" s="8" t="s">
        <v>5133</v>
      </c>
      <c r="E2180" s="11" t="n">
        <v>6</v>
      </c>
      <c r="F2180" s="8" t="str">
        <f aca="false">IFERROR(INDEX(Section_Master!$D$2:$D$477,MATCH($E2180,Section_Master!$A$2:$A$477,0))&amp;"","")</f>
        <v>Not applicable - no offence or penalty defined here (definition, exception or general provision)</v>
      </c>
      <c r="G2180" s="10" t="str">
        <f aca="false">IFERROR(INDEX(Section_Master!$E$2:$E$477,MATCH($E2180,Section_Master!$A$2:$A$477,0))&amp;"","")</f>
        <v>N/A</v>
      </c>
      <c r="H2180" s="10" t="str">
        <f aca="false">IFERROR(INDEX(Section_Master!$F$2:$F$477,MATCH($E2180,Section_Master!$A$2:$A$477,0))&amp;"","")</f>
        <v>N/A</v>
      </c>
      <c r="I2180" s="10" t="str">
        <f aca="false">IFERROR(INDEX(Section_Master!$G$2:$G$477,MATCH($E2180,Section_Master!$A$2:$A$477,0))&amp;"","")</f>
        <v>N/A</v>
      </c>
      <c r="J2180" s="10" t="s">
        <v>48</v>
      </c>
      <c r="K2180" s="8" t="s">
        <v>5134</v>
      </c>
    </row>
    <row r="2181" customFormat="false" ht="23.25" hidden="false" customHeight="true" outlineLevel="0" collapsed="false">
      <c r="A2181" s="10" t="s">
        <v>5135</v>
      </c>
      <c r="B2181" s="10" t="s">
        <v>45</v>
      </c>
      <c r="C2181" s="8" t="s">
        <v>5132</v>
      </c>
      <c r="D2181" s="8" t="s">
        <v>5136</v>
      </c>
      <c r="E2181" s="11" t="n">
        <v>6</v>
      </c>
      <c r="F2181" s="8" t="str">
        <f aca="false">IFERROR(INDEX(Section_Master!$D$2:$D$477,MATCH($E2181,Section_Master!$A$2:$A$477,0))&amp;"","")</f>
        <v>Not applicable - no offence or penalty defined here (definition, exception or general provision)</v>
      </c>
      <c r="G2181" s="10" t="str">
        <f aca="false">IFERROR(INDEX(Section_Master!$E$2:$E$477,MATCH($E2181,Section_Master!$A$2:$A$477,0))&amp;"","")</f>
        <v>N/A</v>
      </c>
      <c r="H2181" s="10" t="str">
        <f aca="false">IFERROR(INDEX(Section_Master!$F$2:$F$477,MATCH($E2181,Section_Master!$A$2:$A$477,0))&amp;"","")</f>
        <v>N/A</v>
      </c>
      <c r="I2181" s="10" t="str">
        <f aca="false">IFERROR(INDEX(Section_Master!$G$2:$G$477,MATCH($E2181,Section_Master!$A$2:$A$477,0))&amp;"","")</f>
        <v>N/A</v>
      </c>
      <c r="J2181" s="10" t="s">
        <v>52</v>
      </c>
      <c r="K2181" s="8" t="s">
        <v>5134</v>
      </c>
    </row>
    <row r="2182" customFormat="false" ht="23.25" hidden="false" customHeight="true" outlineLevel="0" collapsed="false">
      <c r="A2182" s="10" t="s">
        <v>5137</v>
      </c>
      <c r="B2182" s="10" t="s">
        <v>45</v>
      </c>
      <c r="C2182" s="8" t="s">
        <v>5132</v>
      </c>
      <c r="D2182" s="8" t="s">
        <v>5138</v>
      </c>
      <c r="E2182" s="11" t="n">
        <v>6</v>
      </c>
      <c r="F2182" s="8" t="str">
        <f aca="false">IFERROR(INDEX(Section_Master!$D$2:$D$477,MATCH($E2182,Section_Master!$A$2:$A$477,0))&amp;"","")</f>
        <v>Not applicable - no offence or penalty defined here (definition, exception or general provision)</v>
      </c>
      <c r="G2182" s="10" t="str">
        <f aca="false">IFERROR(INDEX(Section_Master!$E$2:$E$477,MATCH($E2182,Section_Master!$A$2:$A$477,0))&amp;"","")</f>
        <v>N/A</v>
      </c>
      <c r="H2182" s="10" t="str">
        <f aca="false">IFERROR(INDEX(Section_Master!$F$2:$F$477,MATCH($E2182,Section_Master!$A$2:$A$477,0))&amp;"","")</f>
        <v>N/A</v>
      </c>
      <c r="I2182" s="10" t="str">
        <f aca="false">IFERROR(INDEX(Section_Master!$G$2:$G$477,MATCH($E2182,Section_Master!$A$2:$A$477,0))&amp;"","")</f>
        <v>N/A</v>
      </c>
      <c r="J2182" s="10" t="s">
        <v>55</v>
      </c>
      <c r="K2182" s="8" t="s">
        <v>5134</v>
      </c>
    </row>
    <row r="2183" customFormat="false" ht="34.5" hidden="false" customHeight="true" outlineLevel="0" collapsed="false">
      <c r="A2183" s="10" t="s">
        <v>5139</v>
      </c>
      <c r="B2183" s="10" t="s">
        <v>45</v>
      </c>
      <c r="C2183" s="8" t="s">
        <v>5132</v>
      </c>
      <c r="D2183" s="8" t="s">
        <v>5140</v>
      </c>
      <c r="E2183" s="11" t="n">
        <v>6</v>
      </c>
      <c r="F2183" s="8" t="str">
        <f aca="false">IFERROR(INDEX(Section_Master!$D$2:$D$477,MATCH($E2183,Section_Master!$A$2:$A$477,0))&amp;"","")</f>
        <v>Not applicable - no offence or penalty defined here (definition, exception or general provision)</v>
      </c>
      <c r="G2183" s="10" t="str">
        <f aca="false">IFERROR(INDEX(Section_Master!$E$2:$E$477,MATCH($E2183,Section_Master!$A$2:$A$477,0))&amp;"","")</f>
        <v>N/A</v>
      </c>
      <c r="H2183" s="10" t="str">
        <f aca="false">IFERROR(INDEX(Section_Master!$F$2:$F$477,MATCH($E2183,Section_Master!$A$2:$A$477,0))&amp;"","")</f>
        <v>N/A</v>
      </c>
      <c r="I2183" s="10" t="str">
        <f aca="false">IFERROR(INDEX(Section_Master!$G$2:$G$477,MATCH($E2183,Section_Master!$A$2:$A$477,0))&amp;"","")</f>
        <v>N/A</v>
      </c>
      <c r="J2183" s="10" t="s">
        <v>58</v>
      </c>
      <c r="K2183" s="8" t="s">
        <v>5134</v>
      </c>
    </row>
    <row r="2184" customFormat="false" ht="23.25" hidden="false" customHeight="true" outlineLevel="0" collapsed="false">
      <c r="A2184" s="10" t="s">
        <v>5141</v>
      </c>
      <c r="B2184" s="10" t="s">
        <v>45</v>
      </c>
      <c r="C2184" s="8" t="s">
        <v>5132</v>
      </c>
      <c r="D2184" s="8" t="s">
        <v>5142</v>
      </c>
      <c r="E2184" s="11" t="n">
        <v>6</v>
      </c>
      <c r="F2184" s="8" t="str">
        <f aca="false">IFERROR(INDEX(Section_Master!$D$2:$D$477,MATCH($E2184,Section_Master!$A$2:$A$477,0))&amp;"","")</f>
        <v>Not applicable - no offence or penalty defined here (definition, exception or general provision)</v>
      </c>
      <c r="G2184" s="10" t="str">
        <f aca="false">IFERROR(INDEX(Section_Master!$E$2:$E$477,MATCH($E2184,Section_Master!$A$2:$A$477,0))&amp;"","")</f>
        <v>N/A</v>
      </c>
      <c r="H2184" s="10" t="str">
        <f aca="false">IFERROR(INDEX(Section_Master!$F$2:$F$477,MATCH($E2184,Section_Master!$A$2:$A$477,0))&amp;"","")</f>
        <v>N/A</v>
      </c>
      <c r="I2184" s="10" t="str">
        <f aca="false">IFERROR(INDEX(Section_Master!$G$2:$G$477,MATCH($E2184,Section_Master!$A$2:$A$477,0))&amp;"","")</f>
        <v>N/A</v>
      </c>
      <c r="J2184" s="10" t="s">
        <v>61</v>
      </c>
      <c r="K2184" s="8" t="s">
        <v>5134</v>
      </c>
    </row>
    <row r="2185" customFormat="false" ht="34.5" hidden="false" customHeight="true" outlineLevel="0" collapsed="false">
      <c r="A2185" s="10" t="s">
        <v>5143</v>
      </c>
      <c r="B2185" s="10" t="s">
        <v>45</v>
      </c>
      <c r="C2185" s="8" t="s">
        <v>5132</v>
      </c>
      <c r="D2185" s="8" t="s">
        <v>5144</v>
      </c>
      <c r="E2185" s="11" t="n">
        <v>6</v>
      </c>
      <c r="F2185" s="8" t="str">
        <f aca="false">IFERROR(INDEX(Section_Master!$D$2:$D$477,MATCH($E2185,Section_Master!$A$2:$A$477,0))&amp;"","")</f>
        <v>Not applicable - no offence or penalty defined here (definition, exception or general provision)</v>
      </c>
      <c r="G2185" s="10" t="str">
        <f aca="false">IFERROR(INDEX(Section_Master!$E$2:$E$477,MATCH($E2185,Section_Master!$A$2:$A$477,0))&amp;"","")</f>
        <v>N/A</v>
      </c>
      <c r="H2185" s="10" t="str">
        <f aca="false">IFERROR(INDEX(Section_Master!$F$2:$F$477,MATCH($E2185,Section_Master!$A$2:$A$477,0))&amp;"","")</f>
        <v>N/A</v>
      </c>
      <c r="I2185" s="10" t="str">
        <f aca="false">IFERROR(INDEX(Section_Master!$G$2:$G$477,MATCH($E2185,Section_Master!$A$2:$A$477,0))&amp;"","")</f>
        <v>N/A</v>
      </c>
      <c r="J2185" s="10" t="s">
        <v>64</v>
      </c>
      <c r="K2185" s="8" t="s">
        <v>5134</v>
      </c>
    </row>
    <row r="2186" customFormat="false" ht="23.25" hidden="false" customHeight="true" outlineLevel="0" collapsed="false">
      <c r="A2186" s="10" t="s">
        <v>5145</v>
      </c>
      <c r="B2186" s="10" t="s">
        <v>45</v>
      </c>
      <c r="C2186" s="8" t="s">
        <v>5146</v>
      </c>
      <c r="D2186" s="8" t="s">
        <v>5147</v>
      </c>
      <c r="E2186" s="11" t="n">
        <v>7</v>
      </c>
      <c r="F2186" s="8" t="str">
        <f aca="false">IFERROR(INDEX(Section_Master!$D$2:$D$477,MATCH($E2186,Section_Master!$A$2:$A$477,0))&amp;"","")</f>
        <v>Not applicable - no offence or penalty defined here (definition, exception or general provision)</v>
      </c>
      <c r="G2186" s="10" t="str">
        <f aca="false">IFERROR(INDEX(Section_Master!$E$2:$E$477,MATCH($E2186,Section_Master!$A$2:$A$477,0))&amp;"","")</f>
        <v>N/A</v>
      </c>
      <c r="H2186" s="10" t="str">
        <f aca="false">IFERROR(INDEX(Section_Master!$F$2:$F$477,MATCH($E2186,Section_Master!$A$2:$A$477,0))&amp;"","")</f>
        <v>N/A</v>
      </c>
      <c r="I2186" s="10" t="str">
        <f aca="false">IFERROR(INDEX(Section_Master!$G$2:$G$477,MATCH($E2186,Section_Master!$A$2:$A$477,0))&amp;"","")</f>
        <v>N/A</v>
      </c>
      <c r="J2186" s="10" t="s">
        <v>48</v>
      </c>
      <c r="K2186" s="8" t="s">
        <v>5148</v>
      </c>
    </row>
    <row r="2187" customFormat="false" ht="23.25" hidden="false" customHeight="true" outlineLevel="0" collapsed="false">
      <c r="A2187" s="10" t="s">
        <v>5149</v>
      </c>
      <c r="B2187" s="10" t="s">
        <v>45</v>
      </c>
      <c r="C2187" s="8" t="s">
        <v>5146</v>
      </c>
      <c r="D2187" s="8" t="s">
        <v>5150</v>
      </c>
      <c r="E2187" s="11" t="n">
        <v>7</v>
      </c>
      <c r="F2187" s="8" t="str">
        <f aca="false">IFERROR(INDEX(Section_Master!$D$2:$D$477,MATCH($E2187,Section_Master!$A$2:$A$477,0))&amp;"","")</f>
        <v>Not applicable - no offence or penalty defined here (definition, exception or general provision)</v>
      </c>
      <c r="G2187" s="10" t="str">
        <f aca="false">IFERROR(INDEX(Section_Master!$E$2:$E$477,MATCH($E2187,Section_Master!$A$2:$A$477,0))&amp;"","")</f>
        <v>N/A</v>
      </c>
      <c r="H2187" s="10" t="str">
        <f aca="false">IFERROR(INDEX(Section_Master!$F$2:$F$477,MATCH($E2187,Section_Master!$A$2:$A$477,0))&amp;"","")</f>
        <v>N/A</v>
      </c>
      <c r="I2187" s="10" t="str">
        <f aca="false">IFERROR(INDEX(Section_Master!$G$2:$G$477,MATCH($E2187,Section_Master!$A$2:$A$477,0))&amp;"","")</f>
        <v>N/A</v>
      </c>
      <c r="J2187" s="10" t="s">
        <v>52</v>
      </c>
      <c r="K2187" s="8" t="s">
        <v>5148</v>
      </c>
    </row>
    <row r="2188" customFormat="false" ht="23.25" hidden="false" customHeight="true" outlineLevel="0" collapsed="false">
      <c r="A2188" s="10" t="s">
        <v>5151</v>
      </c>
      <c r="B2188" s="10" t="s">
        <v>45</v>
      </c>
      <c r="C2188" s="8" t="s">
        <v>5146</v>
      </c>
      <c r="D2188" s="8" t="s">
        <v>5152</v>
      </c>
      <c r="E2188" s="11" t="n">
        <v>7</v>
      </c>
      <c r="F2188" s="8" t="str">
        <f aca="false">IFERROR(INDEX(Section_Master!$D$2:$D$477,MATCH($E2188,Section_Master!$A$2:$A$477,0))&amp;"","")</f>
        <v>Not applicable - no offence or penalty defined here (definition, exception or general provision)</v>
      </c>
      <c r="G2188" s="10" t="str">
        <f aca="false">IFERROR(INDEX(Section_Master!$E$2:$E$477,MATCH($E2188,Section_Master!$A$2:$A$477,0))&amp;"","")</f>
        <v>N/A</v>
      </c>
      <c r="H2188" s="10" t="str">
        <f aca="false">IFERROR(INDEX(Section_Master!$F$2:$F$477,MATCH($E2188,Section_Master!$A$2:$A$477,0))&amp;"","")</f>
        <v>N/A</v>
      </c>
      <c r="I2188" s="10" t="str">
        <f aca="false">IFERROR(INDEX(Section_Master!$G$2:$G$477,MATCH($E2188,Section_Master!$A$2:$A$477,0))&amp;"","")</f>
        <v>N/A</v>
      </c>
      <c r="J2188" s="10" t="s">
        <v>55</v>
      </c>
      <c r="K2188" s="8" t="s">
        <v>5148</v>
      </c>
    </row>
    <row r="2189" customFormat="false" ht="23.25" hidden="false" customHeight="true" outlineLevel="0" collapsed="false">
      <c r="A2189" s="10" t="s">
        <v>5153</v>
      </c>
      <c r="B2189" s="10" t="s">
        <v>45</v>
      </c>
      <c r="C2189" s="8" t="s">
        <v>5146</v>
      </c>
      <c r="D2189" s="8" t="s">
        <v>5154</v>
      </c>
      <c r="E2189" s="11" t="n">
        <v>7</v>
      </c>
      <c r="F2189" s="8" t="str">
        <f aca="false">IFERROR(INDEX(Section_Master!$D$2:$D$477,MATCH($E2189,Section_Master!$A$2:$A$477,0))&amp;"","")</f>
        <v>Not applicable - no offence or penalty defined here (definition, exception or general provision)</v>
      </c>
      <c r="G2189" s="10" t="str">
        <f aca="false">IFERROR(INDEX(Section_Master!$E$2:$E$477,MATCH($E2189,Section_Master!$A$2:$A$477,0))&amp;"","")</f>
        <v>N/A</v>
      </c>
      <c r="H2189" s="10" t="str">
        <f aca="false">IFERROR(INDEX(Section_Master!$F$2:$F$477,MATCH($E2189,Section_Master!$A$2:$A$477,0))&amp;"","")</f>
        <v>N/A</v>
      </c>
      <c r="I2189" s="10" t="str">
        <f aca="false">IFERROR(INDEX(Section_Master!$G$2:$G$477,MATCH($E2189,Section_Master!$A$2:$A$477,0))&amp;"","")</f>
        <v>N/A</v>
      </c>
      <c r="J2189" s="10" t="s">
        <v>58</v>
      </c>
      <c r="K2189" s="8" t="s">
        <v>5148</v>
      </c>
    </row>
    <row r="2190" customFormat="false" ht="34.5" hidden="false" customHeight="true" outlineLevel="0" collapsed="false">
      <c r="A2190" s="10" t="s">
        <v>5155</v>
      </c>
      <c r="B2190" s="10" t="s">
        <v>45</v>
      </c>
      <c r="C2190" s="8" t="s">
        <v>5146</v>
      </c>
      <c r="D2190" s="8" t="s">
        <v>5156</v>
      </c>
      <c r="E2190" s="11" t="n">
        <v>7</v>
      </c>
      <c r="F2190" s="8" t="str">
        <f aca="false">IFERROR(INDEX(Section_Master!$D$2:$D$477,MATCH($E2190,Section_Master!$A$2:$A$477,0))&amp;"","")</f>
        <v>Not applicable - no offence or penalty defined here (definition, exception or general provision)</v>
      </c>
      <c r="G2190" s="10" t="str">
        <f aca="false">IFERROR(INDEX(Section_Master!$E$2:$E$477,MATCH($E2190,Section_Master!$A$2:$A$477,0))&amp;"","")</f>
        <v>N/A</v>
      </c>
      <c r="H2190" s="10" t="str">
        <f aca="false">IFERROR(INDEX(Section_Master!$F$2:$F$477,MATCH($E2190,Section_Master!$A$2:$A$477,0))&amp;"","")</f>
        <v>N/A</v>
      </c>
      <c r="I2190" s="10" t="str">
        <f aca="false">IFERROR(INDEX(Section_Master!$G$2:$G$477,MATCH($E2190,Section_Master!$A$2:$A$477,0))&amp;"","")</f>
        <v>N/A</v>
      </c>
      <c r="J2190" s="10" t="s">
        <v>61</v>
      </c>
      <c r="K2190" s="8" t="s">
        <v>5148</v>
      </c>
    </row>
    <row r="2191" customFormat="false" ht="34.5" hidden="false" customHeight="true" outlineLevel="0" collapsed="false">
      <c r="A2191" s="10" t="s">
        <v>5157</v>
      </c>
      <c r="B2191" s="10" t="s">
        <v>45</v>
      </c>
      <c r="C2191" s="8" t="s">
        <v>5146</v>
      </c>
      <c r="D2191" s="8" t="s">
        <v>5158</v>
      </c>
      <c r="E2191" s="11" t="n">
        <v>7</v>
      </c>
      <c r="F2191" s="8" t="str">
        <f aca="false">IFERROR(INDEX(Section_Master!$D$2:$D$477,MATCH($E2191,Section_Master!$A$2:$A$477,0))&amp;"","")</f>
        <v>Not applicable - no offence or penalty defined here (definition, exception or general provision)</v>
      </c>
      <c r="G2191" s="10" t="str">
        <f aca="false">IFERROR(INDEX(Section_Master!$E$2:$E$477,MATCH($E2191,Section_Master!$A$2:$A$477,0))&amp;"","")</f>
        <v>N/A</v>
      </c>
      <c r="H2191" s="10" t="str">
        <f aca="false">IFERROR(INDEX(Section_Master!$F$2:$F$477,MATCH($E2191,Section_Master!$A$2:$A$477,0))&amp;"","")</f>
        <v>N/A</v>
      </c>
      <c r="I2191" s="10" t="str">
        <f aca="false">IFERROR(INDEX(Section_Master!$G$2:$G$477,MATCH($E2191,Section_Master!$A$2:$A$477,0))&amp;"","")</f>
        <v>N/A</v>
      </c>
      <c r="J2191" s="10" t="s">
        <v>64</v>
      </c>
      <c r="K2191" s="8" t="s">
        <v>5148</v>
      </c>
    </row>
    <row r="2192" customFormat="false" ht="23.25" hidden="false" customHeight="true" outlineLevel="0" collapsed="false">
      <c r="A2192" s="10" t="s">
        <v>5159</v>
      </c>
      <c r="B2192" s="10" t="s">
        <v>45</v>
      </c>
      <c r="C2192" s="8" t="s">
        <v>5160</v>
      </c>
      <c r="D2192" s="8" t="s">
        <v>5161</v>
      </c>
      <c r="E2192" s="11" t="n">
        <v>8</v>
      </c>
      <c r="F2192" s="8" t="str">
        <f aca="false">IFERROR(INDEX(Section_Master!$D$2:$D$477,MATCH($E2192,Section_Master!$A$2:$A$477,0))&amp;"","")</f>
        <v>Not applicable - no offence or penalty defined here (definition, exception or general provision)</v>
      </c>
      <c r="G2192" s="10" t="str">
        <f aca="false">IFERROR(INDEX(Section_Master!$E$2:$E$477,MATCH($E2192,Section_Master!$A$2:$A$477,0))&amp;"","")</f>
        <v>N/A</v>
      </c>
      <c r="H2192" s="10" t="str">
        <f aca="false">IFERROR(INDEX(Section_Master!$F$2:$F$477,MATCH($E2192,Section_Master!$A$2:$A$477,0))&amp;"","")</f>
        <v>N/A</v>
      </c>
      <c r="I2192" s="10" t="str">
        <f aca="false">IFERROR(INDEX(Section_Master!$G$2:$G$477,MATCH($E2192,Section_Master!$A$2:$A$477,0))&amp;"","")</f>
        <v>N/A</v>
      </c>
      <c r="J2192" s="10" t="s">
        <v>48</v>
      </c>
      <c r="K2192" s="8" t="s">
        <v>5162</v>
      </c>
    </row>
    <row r="2193" customFormat="false" ht="34.5" hidden="false" customHeight="true" outlineLevel="0" collapsed="false">
      <c r="A2193" s="10" t="s">
        <v>5163</v>
      </c>
      <c r="B2193" s="10" t="s">
        <v>45</v>
      </c>
      <c r="C2193" s="8" t="s">
        <v>5160</v>
      </c>
      <c r="D2193" s="8" t="s">
        <v>5164</v>
      </c>
      <c r="E2193" s="11" t="n">
        <v>8</v>
      </c>
      <c r="F2193" s="8" t="str">
        <f aca="false">IFERROR(INDEX(Section_Master!$D$2:$D$477,MATCH($E2193,Section_Master!$A$2:$A$477,0))&amp;"","")</f>
        <v>Not applicable - no offence or penalty defined here (definition, exception or general provision)</v>
      </c>
      <c r="G2193" s="10" t="str">
        <f aca="false">IFERROR(INDEX(Section_Master!$E$2:$E$477,MATCH($E2193,Section_Master!$A$2:$A$477,0))&amp;"","")</f>
        <v>N/A</v>
      </c>
      <c r="H2193" s="10" t="str">
        <f aca="false">IFERROR(INDEX(Section_Master!$F$2:$F$477,MATCH($E2193,Section_Master!$A$2:$A$477,0))&amp;"","")</f>
        <v>N/A</v>
      </c>
      <c r="I2193" s="10" t="str">
        <f aca="false">IFERROR(INDEX(Section_Master!$G$2:$G$477,MATCH($E2193,Section_Master!$A$2:$A$477,0))&amp;"","")</f>
        <v>N/A</v>
      </c>
      <c r="J2193" s="10" t="s">
        <v>52</v>
      </c>
      <c r="K2193" s="8" t="s">
        <v>5162</v>
      </c>
    </row>
    <row r="2194" customFormat="false" ht="23.25" hidden="false" customHeight="true" outlineLevel="0" collapsed="false">
      <c r="A2194" s="10" t="s">
        <v>5165</v>
      </c>
      <c r="B2194" s="10" t="s">
        <v>45</v>
      </c>
      <c r="C2194" s="8" t="s">
        <v>5160</v>
      </c>
      <c r="D2194" s="8" t="s">
        <v>5166</v>
      </c>
      <c r="E2194" s="11" t="n">
        <v>8</v>
      </c>
      <c r="F2194" s="8" t="str">
        <f aca="false">IFERROR(INDEX(Section_Master!$D$2:$D$477,MATCH($E2194,Section_Master!$A$2:$A$477,0))&amp;"","")</f>
        <v>Not applicable - no offence or penalty defined here (definition, exception or general provision)</v>
      </c>
      <c r="G2194" s="10" t="str">
        <f aca="false">IFERROR(INDEX(Section_Master!$E$2:$E$477,MATCH($E2194,Section_Master!$A$2:$A$477,0))&amp;"","")</f>
        <v>N/A</v>
      </c>
      <c r="H2194" s="10" t="str">
        <f aca="false">IFERROR(INDEX(Section_Master!$F$2:$F$477,MATCH($E2194,Section_Master!$A$2:$A$477,0))&amp;"","")</f>
        <v>N/A</v>
      </c>
      <c r="I2194" s="10" t="str">
        <f aca="false">IFERROR(INDEX(Section_Master!$G$2:$G$477,MATCH($E2194,Section_Master!$A$2:$A$477,0))&amp;"","")</f>
        <v>N/A</v>
      </c>
      <c r="J2194" s="10" t="s">
        <v>55</v>
      </c>
      <c r="K2194" s="8" t="s">
        <v>5162</v>
      </c>
    </row>
    <row r="2195" customFormat="false" ht="34.5" hidden="false" customHeight="true" outlineLevel="0" collapsed="false">
      <c r="A2195" s="10" t="s">
        <v>5167</v>
      </c>
      <c r="B2195" s="10" t="s">
        <v>45</v>
      </c>
      <c r="C2195" s="8" t="s">
        <v>5160</v>
      </c>
      <c r="D2195" s="8" t="s">
        <v>5168</v>
      </c>
      <c r="E2195" s="11" t="n">
        <v>8</v>
      </c>
      <c r="F2195" s="8" t="str">
        <f aca="false">IFERROR(INDEX(Section_Master!$D$2:$D$477,MATCH($E2195,Section_Master!$A$2:$A$477,0))&amp;"","")</f>
        <v>Not applicable - no offence or penalty defined here (definition, exception or general provision)</v>
      </c>
      <c r="G2195" s="10" t="str">
        <f aca="false">IFERROR(INDEX(Section_Master!$E$2:$E$477,MATCH($E2195,Section_Master!$A$2:$A$477,0))&amp;"","")</f>
        <v>N/A</v>
      </c>
      <c r="H2195" s="10" t="str">
        <f aca="false">IFERROR(INDEX(Section_Master!$F$2:$F$477,MATCH($E2195,Section_Master!$A$2:$A$477,0))&amp;"","")</f>
        <v>N/A</v>
      </c>
      <c r="I2195" s="10" t="str">
        <f aca="false">IFERROR(INDEX(Section_Master!$G$2:$G$477,MATCH($E2195,Section_Master!$A$2:$A$477,0))&amp;"","")</f>
        <v>N/A</v>
      </c>
      <c r="J2195" s="10" t="s">
        <v>58</v>
      </c>
      <c r="K2195" s="8" t="s">
        <v>5162</v>
      </c>
    </row>
    <row r="2196" customFormat="false" ht="34.5" hidden="false" customHeight="true" outlineLevel="0" collapsed="false">
      <c r="A2196" s="10" t="s">
        <v>5169</v>
      </c>
      <c r="B2196" s="10" t="s">
        <v>45</v>
      </c>
      <c r="C2196" s="8" t="s">
        <v>5160</v>
      </c>
      <c r="D2196" s="8" t="s">
        <v>5170</v>
      </c>
      <c r="E2196" s="11" t="n">
        <v>8</v>
      </c>
      <c r="F2196" s="8" t="str">
        <f aca="false">IFERROR(INDEX(Section_Master!$D$2:$D$477,MATCH($E2196,Section_Master!$A$2:$A$477,0))&amp;"","")</f>
        <v>Not applicable - no offence or penalty defined here (definition, exception or general provision)</v>
      </c>
      <c r="G2196" s="10" t="str">
        <f aca="false">IFERROR(INDEX(Section_Master!$E$2:$E$477,MATCH($E2196,Section_Master!$A$2:$A$477,0))&amp;"","")</f>
        <v>N/A</v>
      </c>
      <c r="H2196" s="10" t="str">
        <f aca="false">IFERROR(INDEX(Section_Master!$F$2:$F$477,MATCH($E2196,Section_Master!$A$2:$A$477,0))&amp;"","")</f>
        <v>N/A</v>
      </c>
      <c r="I2196" s="10" t="str">
        <f aca="false">IFERROR(INDEX(Section_Master!$G$2:$G$477,MATCH($E2196,Section_Master!$A$2:$A$477,0))&amp;"","")</f>
        <v>N/A</v>
      </c>
      <c r="J2196" s="10" t="s">
        <v>61</v>
      </c>
      <c r="K2196" s="8" t="s">
        <v>5162</v>
      </c>
    </row>
    <row r="2197" customFormat="false" ht="23.25" hidden="false" customHeight="true" outlineLevel="0" collapsed="false">
      <c r="A2197" s="10" t="s">
        <v>5171</v>
      </c>
      <c r="B2197" s="10" t="s">
        <v>45</v>
      </c>
      <c r="C2197" s="8" t="s">
        <v>5160</v>
      </c>
      <c r="D2197" s="8" t="s">
        <v>5172</v>
      </c>
      <c r="E2197" s="11" t="n">
        <v>8</v>
      </c>
      <c r="F2197" s="8" t="str">
        <f aca="false">IFERROR(INDEX(Section_Master!$D$2:$D$477,MATCH($E2197,Section_Master!$A$2:$A$477,0))&amp;"","")</f>
        <v>Not applicable - no offence or penalty defined here (definition, exception or general provision)</v>
      </c>
      <c r="G2197" s="10" t="str">
        <f aca="false">IFERROR(INDEX(Section_Master!$E$2:$E$477,MATCH($E2197,Section_Master!$A$2:$A$477,0))&amp;"","")</f>
        <v>N/A</v>
      </c>
      <c r="H2197" s="10" t="str">
        <f aca="false">IFERROR(INDEX(Section_Master!$F$2:$F$477,MATCH($E2197,Section_Master!$A$2:$A$477,0))&amp;"","")</f>
        <v>N/A</v>
      </c>
      <c r="I2197" s="10" t="str">
        <f aca="false">IFERROR(INDEX(Section_Master!$G$2:$G$477,MATCH($E2197,Section_Master!$A$2:$A$477,0))&amp;"","")</f>
        <v>N/A</v>
      </c>
      <c r="J2197" s="10" t="s">
        <v>64</v>
      </c>
      <c r="K2197" s="8" t="s">
        <v>5162</v>
      </c>
    </row>
    <row r="2198" customFormat="false" ht="34.5" hidden="false" customHeight="true" outlineLevel="0" collapsed="false">
      <c r="A2198" s="10" t="s">
        <v>5173</v>
      </c>
      <c r="B2198" s="10" t="s">
        <v>45</v>
      </c>
      <c r="C2198" s="8" t="s">
        <v>5174</v>
      </c>
      <c r="D2198" s="8" t="s">
        <v>5175</v>
      </c>
      <c r="E2198" s="11" t="n">
        <v>9</v>
      </c>
      <c r="F2198" s="8" t="str">
        <f aca="false">IFERROR(INDEX(Section_Master!$D$2:$D$477,MATCH($E2198,Section_Master!$A$2:$A$477,0))&amp;"","")</f>
        <v>Not applicable - no offence or penalty defined here (definition, exception or general provision)</v>
      </c>
      <c r="G2198" s="10" t="str">
        <f aca="false">IFERROR(INDEX(Section_Master!$E$2:$E$477,MATCH($E2198,Section_Master!$A$2:$A$477,0))&amp;"","")</f>
        <v>N/A</v>
      </c>
      <c r="H2198" s="10" t="str">
        <f aca="false">IFERROR(INDEX(Section_Master!$F$2:$F$477,MATCH($E2198,Section_Master!$A$2:$A$477,0))&amp;"","")</f>
        <v>N/A</v>
      </c>
      <c r="I2198" s="10" t="str">
        <f aca="false">IFERROR(INDEX(Section_Master!$G$2:$G$477,MATCH($E2198,Section_Master!$A$2:$A$477,0))&amp;"","")</f>
        <v>N/A</v>
      </c>
      <c r="J2198" s="10" t="s">
        <v>48</v>
      </c>
      <c r="K2198" s="8" t="s">
        <v>5176</v>
      </c>
    </row>
    <row r="2199" customFormat="false" ht="34.5" hidden="false" customHeight="true" outlineLevel="0" collapsed="false">
      <c r="A2199" s="10" t="s">
        <v>5177</v>
      </c>
      <c r="B2199" s="10" t="s">
        <v>45</v>
      </c>
      <c r="C2199" s="8" t="s">
        <v>5174</v>
      </c>
      <c r="D2199" s="8" t="s">
        <v>5178</v>
      </c>
      <c r="E2199" s="11" t="n">
        <v>9</v>
      </c>
      <c r="F2199" s="8" t="str">
        <f aca="false">IFERROR(INDEX(Section_Master!$D$2:$D$477,MATCH($E2199,Section_Master!$A$2:$A$477,0))&amp;"","")</f>
        <v>Not applicable - no offence or penalty defined here (definition, exception or general provision)</v>
      </c>
      <c r="G2199" s="10" t="str">
        <f aca="false">IFERROR(INDEX(Section_Master!$E$2:$E$477,MATCH($E2199,Section_Master!$A$2:$A$477,0))&amp;"","")</f>
        <v>N/A</v>
      </c>
      <c r="H2199" s="10" t="str">
        <f aca="false">IFERROR(INDEX(Section_Master!$F$2:$F$477,MATCH($E2199,Section_Master!$A$2:$A$477,0))&amp;"","")</f>
        <v>N/A</v>
      </c>
      <c r="I2199" s="10" t="str">
        <f aca="false">IFERROR(INDEX(Section_Master!$G$2:$G$477,MATCH($E2199,Section_Master!$A$2:$A$477,0))&amp;"","")</f>
        <v>N/A</v>
      </c>
      <c r="J2199" s="10" t="s">
        <v>52</v>
      </c>
      <c r="K2199" s="8" t="s">
        <v>5176</v>
      </c>
    </row>
    <row r="2200" customFormat="false" ht="34.5" hidden="false" customHeight="true" outlineLevel="0" collapsed="false">
      <c r="A2200" s="10" t="s">
        <v>5179</v>
      </c>
      <c r="B2200" s="10" t="s">
        <v>45</v>
      </c>
      <c r="C2200" s="8" t="s">
        <v>5174</v>
      </c>
      <c r="D2200" s="8" t="s">
        <v>5180</v>
      </c>
      <c r="E2200" s="11" t="n">
        <v>9</v>
      </c>
      <c r="F2200" s="8" t="str">
        <f aca="false">IFERROR(INDEX(Section_Master!$D$2:$D$477,MATCH($E2200,Section_Master!$A$2:$A$477,0))&amp;"","")</f>
        <v>Not applicable - no offence or penalty defined here (definition, exception or general provision)</v>
      </c>
      <c r="G2200" s="10" t="str">
        <f aca="false">IFERROR(INDEX(Section_Master!$E$2:$E$477,MATCH($E2200,Section_Master!$A$2:$A$477,0))&amp;"","")</f>
        <v>N/A</v>
      </c>
      <c r="H2200" s="10" t="str">
        <f aca="false">IFERROR(INDEX(Section_Master!$F$2:$F$477,MATCH($E2200,Section_Master!$A$2:$A$477,0))&amp;"","")</f>
        <v>N/A</v>
      </c>
      <c r="I2200" s="10" t="str">
        <f aca="false">IFERROR(INDEX(Section_Master!$G$2:$G$477,MATCH($E2200,Section_Master!$A$2:$A$477,0))&amp;"","")</f>
        <v>N/A</v>
      </c>
      <c r="J2200" s="10" t="s">
        <v>55</v>
      </c>
      <c r="K2200" s="8" t="s">
        <v>5176</v>
      </c>
    </row>
    <row r="2201" customFormat="false" ht="23.25" hidden="false" customHeight="true" outlineLevel="0" collapsed="false">
      <c r="A2201" s="10" t="s">
        <v>5181</v>
      </c>
      <c r="B2201" s="10" t="s">
        <v>45</v>
      </c>
      <c r="C2201" s="8" t="s">
        <v>5174</v>
      </c>
      <c r="D2201" s="8" t="s">
        <v>5182</v>
      </c>
      <c r="E2201" s="11" t="n">
        <v>9</v>
      </c>
      <c r="F2201" s="8" t="str">
        <f aca="false">IFERROR(INDEX(Section_Master!$D$2:$D$477,MATCH($E2201,Section_Master!$A$2:$A$477,0))&amp;"","")</f>
        <v>Not applicable - no offence or penalty defined here (definition, exception or general provision)</v>
      </c>
      <c r="G2201" s="10" t="str">
        <f aca="false">IFERROR(INDEX(Section_Master!$E$2:$E$477,MATCH($E2201,Section_Master!$A$2:$A$477,0))&amp;"","")</f>
        <v>N/A</v>
      </c>
      <c r="H2201" s="10" t="str">
        <f aca="false">IFERROR(INDEX(Section_Master!$F$2:$F$477,MATCH($E2201,Section_Master!$A$2:$A$477,0))&amp;"","")</f>
        <v>N/A</v>
      </c>
      <c r="I2201" s="10" t="str">
        <f aca="false">IFERROR(INDEX(Section_Master!$G$2:$G$477,MATCH($E2201,Section_Master!$A$2:$A$477,0))&amp;"","")</f>
        <v>N/A</v>
      </c>
      <c r="J2201" s="10" t="s">
        <v>58</v>
      </c>
      <c r="K2201" s="8" t="s">
        <v>5176</v>
      </c>
    </row>
    <row r="2202" customFormat="false" ht="34.5" hidden="false" customHeight="true" outlineLevel="0" collapsed="false">
      <c r="A2202" s="10" t="s">
        <v>5183</v>
      </c>
      <c r="B2202" s="10" t="s">
        <v>45</v>
      </c>
      <c r="C2202" s="8" t="s">
        <v>5174</v>
      </c>
      <c r="D2202" s="8" t="s">
        <v>5184</v>
      </c>
      <c r="E2202" s="11" t="n">
        <v>9</v>
      </c>
      <c r="F2202" s="8" t="str">
        <f aca="false">IFERROR(INDEX(Section_Master!$D$2:$D$477,MATCH($E2202,Section_Master!$A$2:$A$477,0))&amp;"","")</f>
        <v>Not applicable - no offence or penalty defined here (definition, exception or general provision)</v>
      </c>
      <c r="G2202" s="10" t="str">
        <f aca="false">IFERROR(INDEX(Section_Master!$E$2:$E$477,MATCH($E2202,Section_Master!$A$2:$A$477,0))&amp;"","")</f>
        <v>N/A</v>
      </c>
      <c r="H2202" s="10" t="str">
        <f aca="false">IFERROR(INDEX(Section_Master!$F$2:$F$477,MATCH($E2202,Section_Master!$A$2:$A$477,0))&amp;"","")</f>
        <v>N/A</v>
      </c>
      <c r="I2202" s="10" t="str">
        <f aca="false">IFERROR(INDEX(Section_Master!$G$2:$G$477,MATCH($E2202,Section_Master!$A$2:$A$477,0))&amp;"","")</f>
        <v>N/A</v>
      </c>
      <c r="J2202" s="10" t="s">
        <v>61</v>
      </c>
      <c r="K2202" s="8" t="s">
        <v>5176</v>
      </c>
    </row>
    <row r="2203" customFormat="false" ht="34.5" hidden="false" customHeight="true" outlineLevel="0" collapsed="false">
      <c r="A2203" s="10" t="s">
        <v>5185</v>
      </c>
      <c r="B2203" s="10" t="s">
        <v>45</v>
      </c>
      <c r="C2203" s="8" t="s">
        <v>5174</v>
      </c>
      <c r="D2203" s="8" t="s">
        <v>5186</v>
      </c>
      <c r="E2203" s="11" t="n">
        <v>9</v>
      </c>
      <c r="F2203" s="8" t="str">
        <f aca="false">IFERROR(INDEX(Section_Master!$D$2:$D$477,MATCH($E2203,Section_Master!$A$2:$A$477,0))&amp;"","")</f>
        <v>Not applicable - no offence or penalty defined here (definition, exception or general provision)</v>
      </c>
      <c r="G2203" s="10" t="str">
        <f aca="false">IFERROR(INDEX(Section_Master!$E$2:$E$477,MATCH($E2203,Section_Master!$A$2:$A$477,0))&amp;"","")</f>
        <v>N/A</v>
      </c>
      <c r="H2203" s="10" t="str">
        <f aca="false">IFERROR(INDEX(Section_Master!$F$2:$F$477,MATCH($E2203,Section_Master!$A$2:$A$477,0))&amp;"","")</f>
        <v>N/A</v>
      </c>
      <c r="I2203" s="10" t="str">
        <f aca="false">IFERROR(INDEX(Section_Master!$G$2:$G$477,MATCH($E2203,Section_Master!$A$2:$A$477,0))&amp;"","")</f>
        <v>N/A</v>
      </c>
      <c r="J2203" s="10" t="s">
        <v>64</v>
      </c>
      <c r="K2203" s="8" t="s">
        <v>5176</v>
      </c>
    </row>
    <row r="2204" customFormat="false" ht="23.25" hidden="false" customHeight="true" outlineLevel="0" collapsed="false">
      <c r="A2204" s="10" t="s">
        <v>5187</v>
      </c>
      <c r="B2204" s="10" t="s">
        <v>45</v>
      </c>
      <c r="C2204" s="8" t="s">
        <v>5188</v>
      </c>
      <c r="D2204" s="8" t="s">
        <v>5189</v>
      </c>
      <c r="E2204" s="11" t="n">
        <v>10</v>
      </c>
      <c r="F2204" s="8" t="str">
        <f aca="false">IFERROR(INDEX(Section_Master!$D$2:$D$477,MATCH($E2204,Section_Master!$A$2:$A$477,0))&amp;"","")</f>
        <v>Not applicable - no offence or penalty defined here (definition, exception or general provision)</v>
      </c>
      <c r="G2204" s="10" t="str">
        <f aca="false">IFERROR(INDEX(Section_Master!$E$2:$E$477,MATCH($E2204,Section_Master!$A$2:$A$477,0))&amp;"","")</f>
        <v>N/A</v>
      </c>
      <c r="H2204" s="10" t="str">
        <f aca="false">IFERROR(INDEX(Section_Master!$F$2:$F$477,MATCH($E2204,Section_Master!$A$2:$A$477,0))&amp;"","")</f>
        <v>N/A</v>
      </c>
      <c r="I2204" s="10" t="str">
        <f aca="false">IFERROR(INDEX(Section_Master!$G$2:$G$477,MATCH($E2204,Section_Master!$A$2:$A$477,0))&amp;"","")</f>
        <v>N/A</v>
      </c>
      <c r="J2204" s="10" t="s">
        <v>48</v>
      </c>
      <c r="K2204" s="8" t="s">
        <v>5190</v>
      </c>
    </row>
    <row r="2205" customFormat="false" ht="34.5" hidden="false" customHeight="true" outlineLevel="0" collapsed="false">
      <c r="A2205" s="10" t="s">
        <v>5191</v>
      </c>
      <c r="B2205" s="10" t="s">
        <v>45</v>
      </c>
      <c r="C2205" s="8" t="s">
        <v>5188</v>
      </c>
      <c r="D2205" s="8" t="s">
        <v>5192</v>
      </c>
      <c r="E2205" s="11" t="n">
        <v>10</v>
      </c>
      <c r="F2205" s="8" t="str">
        <f aca="false">IFERROR(INDEX(Section_Master!$D$2:$D$477,MATCH($E2205,Section_Master!$A$2:$A$477,0))&amp;"","")</f>
        <v>Not applicable - no offence or penalty defined here (definition, exception or general provision)</v>
      </c>
      <c r="G2205" s="10" t="str">
        <f aca="false">IFERROR(INDEX(Section_Master!$E$2:$E$477,MATCH($E2205,Section_Master!$A$2:$A$477,0))&amp;"","")</f>
        <v>N/A</v>
      </c>
      <c r="H2205" s="10" t="str">
        <f aca="false">IFERROR(INDEX(Section_Master!$F$2:$F$477,MATCH($E2205,Section_Master!$A$2:$A$477,0))&amp;"","")</f>
        <v>N/A</v>
      </c>
      <c r="I2205" s="10" t="str">
        <f aca="false">IFERROR(INDEX(Section_Master!$G$2:$G$477,MATCH($E2205,Section_Master!$A$2:$A$477,0))&amp;"","")</f>
        <v>N/A</v>
      </c>
      <c r="J2205" s="10" t="s">
        <v>52</v>
      </c>
      <c r="K2205" s="8" t="s">
        <v>5190</v>
      </c>
    </row>
    <row r="2206" customFormat="false" ht="23.25" hidden="false" customHeight="true" outlineLevel="0" collapsed="false">
      <c r="A2206" s="10" t="s">
        <v>5193</v>
      </c>
      <c r="B2206" s="10" t="s">
        <v>45</v>
      </c>
      <c r="C2206" s="8" t="s">
        <v>5188</v>
      </c>
      <c r="D2206" s="8" t="s">
        <v>5194</v>
      </c>
      <c r="E2206" s="11" t="n">
        <v>10</v>
      </c>
      <c r="F2206" s="8" t="str">
        <f aca="false">IFERROR(INDEX(Section_Master!$D$2:$D$477,MATCH($E2206,Section_Master!$A$2:$A$477,0))&amp;"","")</f>
        <v>Not applicable - no offence or penalty defined here (definition, exception or general provision)</v>
      </c>
      <c r="G2206" s="10" t="str">
        <f aca="false">IFERROR(INDEX(Section_Master!$E$2:$E$477,MATCH($E2206,Section_Master!$A$2:$A$477,0))&amp;"","")</f>
        <v>N/A</v>
      </c>
      <c r="H2206" s="10" t="str">
        <f aca="false">IFERROR(INDEX(Section_Master!$F$2:$F$477,MATCH($E2206,Section_Master!$A$2:$A$477,0))&amp;"","")</f>
        <v>N/A</v>
      </c>
      <c r="I2206" s="10" t="str">
        <f aca="false">IFERROR(INDEX(Section_Master!$G$2:$G$477,MATCH($E2206,Section_Master!$A$2:$A$477,0))&amp;"","")</f>
        <v>N/A</v>
      </c>
      <c r="J2206" s="10" t="s">
        <v>55</v>
      </c>
      <c r="K2206" s="8" t="s">
        <v>5190</v>
      </c>
    </row>
    <row r="2207" customFormat="false" ht="34.5" hidden="false" customHeight="true" outlineLevel="0" collapsed="false">
      <c r="A2207" s="10" t="s">
        <v>5195</v>
      </c>
      <c r="B2207" s="10" t="s">
        <v>45</v>
      </c>
      <c r="C2207" s="8" t="s">
        <v>5188</v>
      </c>
      <c r="D2207" s="8" t="s">
        <v>5196</v>
      </c>
      <c r="E2207" s="11" t="n">
        <v>10</v>
      </c>
      <c r="F2207" s="8" t="str">
        <f aca="false">IFERROR(INDEX(Section_Master!$D$2:$D$477,MATCH($E2207,Section_Master!$A$2:$A$477,0))&amp;"","")</f>
        <v>Not applicable - no offence or penalty defined here (definition, exception or general provision)</v>
      </c>
      <c r="G2207" s="10" t="str">
        <f aca="false">IFERROR(INDEX(Section_Master!$E$2:$E$477,MATCH($E2207,Section_Master!$A$2:$A$477,0))&amp;"","")</f>
        <v>N/A</v>
      </c>
      <c r="H2207" s="10" t="str">
        <f aca="false">IFERROR(INDEX(Section_Master!$F$2:$F$477,MATCH($E2207,Section_Master!$A$2:$A$477,0))&amp;"","")</f>
        <v>N/A</v>
      </c>
      <c r="I2207" s="10" t="str">
        <f aca="false">IFERROR(INDEX(Section_Master!$G$2:$G$477,MATCH($E2207,Section_Master!$A$2:$A$477,0))&amp;"","")</f>
        <v>N/A</v>
      </c>
      <c r="J2207" s="10" t="s">
        <v>58</v>
      </c>
      <c r="K2207" s="8" t="s">
        <v>5190</v>
      </c>
    </row>
    <row r="2208" customFormat="false" ht="34.5" hidden="false" customHeight="true" outlineLevel="0" collapsed="false">
      <c r="A2208" s="10" t="s">
        <v>5197</v>
      </c>
      <c r="B2208" s="10" t="s">
        <v>45</v>
      </c>
      <c r="C2208" s="8" t="s">
        <v>5188</v>
      </c>
      <c r="D2208" s="8" t="s">
        <v>5198</v>
      </c>
      <c r="E2208" s="11" t="n">
        <v>10</v>
      </c>
      <c r="F2208" s="8" t="str">
        <f aca="false">IFERROR(INDEX(Section_Master!$D$2:$D$477,MATCH($E2208,Section_Master!$A$2:$A$477,0))&amp;"","")</f>
        <v>Not applicable - no offence or penalty defined here (definition, exception or general provision)</v>
      </c>
      <c r="G2208" s="10" t="str">
        <f aca="false">IFERROR(INDEX(Section_Master!$E$2:$E$477,MATCH($E2208,Section_Master!$A$2:$A$477,0))&amp;"","")</f>
        <v>N/A</v>
      </c>
      <c r="H2208" s="10" t="str">
        <f aca="false">IFERROR(INDEX(Section_Master!$F$2:$F$477,MATCH($E2208,Section_Master!$A$2:$A$477,0))&amp;"","")</f>
        <v>N/A</v>
      </c>
      <c r="I2208" s="10" t="str">
        <f aca="false">IFERROR(INDEX(Section_Master!$G$2:$G$477,MATCH($E2208,Section_Master!$A$2:$A$477,0))&amp;"","")</f>
        <v>N/A</v>
      </c>
      <c r="J2208" s="10" t="s">
        <v>61</v>
      </c>
      <c r="K2208" s="8" t="s">
        <v>5190</v>
      </c>
    </row>
    <row r="2209" customFormat="false" ht="34.5" hidden="false" customHeight="true" outlineLevel="0" collapsed="false">
      <c r="A2209" s="10" t="s">
        <v>5199</v>
      </c>
      <c r="B2209" s="10" t="s">
        <v>45</v>
      </c>
      <c r="C2209" s="8" t="s">
        <v>5188</v>
      </c>
      <c r="D2209" s="8" t="s">
        <v>5200</v>
      </c>
      <c r="E2209" s="11" t="n">
        <v>10</v>
      </c>
      <c r="F2209" s="8" t="str">
        <f aca="false">IFERROR(INDEX(Section_Master!$D$2:$D$477,MATCH($E2209,Section_Master!$A$2:$A$477,0))&amp;"","")</f>
        <v>Not applicable - no offence or penalty defined here (definition, exception or general provision)</v>
      </c>
      <c r="G2209" s="10" t="str">
        <f aca="false">IFERROR(INDEX(Section_Master!$E$2:$E$477,MATCH($E2209,Section_Master!$A$2:$A$477,0))&amp;"","")</f>
        <v>N/A</v>
      </c>
      <c r="H2209" s="10" t="str">
        <f aca="false">IFERROR(INDEX(Section_Master!$F$2:$F$477,MATCH($E2209,Section_Master!$A$2:$A$477,0))&amp;"","")</f>
        <v>N/A</v>
      </c>
      <c r="I2209" s="10" t="str">
        <f aca="false">IFERROR(INDEX(Section_Master!$G$2:$G$477,MATCH($E2209,Section_Master!$A$2:$A$477,0))&amp;"","")</f>
        <v>N/A</v>
      </c>
      <c r="J2209" s="10" t="s">
        <v>64</v>
      </c>
      <c r="K2209" s="8" t="s">
        <v>5190</v>
      </c>
    </row>
    <row r="2210" customFormat="false" ht="34.5" hidden="false" customHeight="true" outlineLevel="0" collapsed="false">
      <c r="A2210" s="10" t="s">
        <v>5201</v>
      </c>
      <c r="B2210" s="10" t="s">
        <v>45</v>
      </c>
      <c r="C2210" s="8" t="s">
        <v>5202</v>
      </c>
      <c r="D2210" s="8" t="s">
        <v>5203</v>
      </c>
      <c r="E2210" s="11" t="n">
        <v>11</v>
      </c>
      <c r="F2210" s="8" t="str">
        <f aca="false">IFERROR(INDEX(Section_Master!$D$2:$D$477,MATCH($E2210,Section_Master!$A$2:$A$477,0))&amp;"","")</f>
        <v>Not applicable - no offence or penalty defined here (definition, exception or general provision)</v>
      </c>
      <c r="G2210" s="10" t="str">
        <f aca="false">IFERROR(INDEX(Section_Master!$E$2:$E$477,MATCH($E2210,Section_Master!$A$2:$A$477,0))&amp;"","")</f>
        <v>N/A</v>
      </c>
      <c r="H2210" s="10" t="str">
        <f aca="false">IFERROR(INDEX(Section_Master!$F$2:$F$477,MATCH($E2210,Section_Master!$A$2:$A$477,0))&amp;"","")</f>
        <v>N/A</v>
      </c>
      <c r="I2210" s="10" t="str">
        <f aca="false">IFERROR(INDEX(Section_Master!$G$2:$G$477,MATCH($E2210,Section_Master!$A$2:$A$477,0))&amp;"","")</f>
        <v>N/A</v>
      </c>
      <c r="J2210" s="10" t="s">
        <v>48</v>
      </c>
      <c r="K2210" s="8" t="s">
        <v>5204</v>
      </c>
    </row>
    <row r="2211" customFormat="false" ht="23.25" hidden="false" customHeight="true" outlineLevel="0" collapsed="false">
      <c r="A2211" s="10" t="s">
        <v>5205</v>
      </c>
      <c r="B2211" s="10" t="s">
        <v>45</v>
      </c>
      <c r="C2211" s="8" t="s">
        <v>5202</v>
      </c>
      <c r="D2211" s="8" t="s">
        <v>5206</v>
      </c>
      <c r="E2211" s="11" t="n">
        <v>11</v>
      </c>
      <c r="F2211" s="8" t="str">
        <f aca="false">IFERROR(INDEX(Section_Master!$D$2:$D$477,MATCH($E2211,Section_Master!$A$2:$A$477,0))&amp;"","")</f>
        <v>Not applicable - no offence or penalty defined here (definition, exception or general provision)</v>
      </c>
      <c r="G2211" s="10" t="str">
        <f aca="false">IFERROR(INDEX(Section_Master!$E$2:$E$477,MATCH($E2211,Section_Master!$A$2:$A$477,0))&amp;"","")</f>
        <v>N/A</v>
      </c>
      <c r="H2211" s="10" t="str">
        <f aca="false">IFERROR(INDEX(Section_Master!$F$2:$F$477,MATCH($E2211,Section_Master!$A$2:$A$477,0))&amp;"","")</f>
        <v>N/A</v>
      </c>
      <c r="I2211" s="10" t="str">
        <f aca="false">IFERROR(INDEX(Section_Master!$G$2:$G$477,MATCH($E2211,Section_Master!$A$2:$A$477,0))&amp;"","")</f>
        <v>N/A</v>
      </c>
      <c r="J2211" s="10" t="s">
        <v>52</v>
      </c>
      <c r="K2211" s="8" t="s">
        <v>5204</v>
      </c>
    </row>
    <row r="2212" customFormat="false" ht="34.5" hidden="false" customHeight="true" outlineLevel="0" collapsed="false">
      <c r="A2212" s="10" t="s">
        <v>5207</v>
      </c>
      <c r="B2212" s="10" t="s">
        <v>45</v>
      </c>
      <c r="C2212" s="8" t="s">
        <v>5202</v>
      </c>
      <c r="D2212" s="8" t="s">
        <v>5208</v>
      </c>
      <c r="E2212" s="11" t="n">
        <v>11</v>
      </c>
      <c r="F2212" s="8" t="str">
        <f aca="false">IFERROR(INDEX(Section_Master!$D$2:$D$477,MATCH($E2212,Section_Master!$A$2:$A$477,0))&amp;"","")</f>
        <v>Not applicable - no offence or penalty defined here (definition, exception or general provision)</v>
      </c>
      <c r="G2212" s="10" t="str">
        <f aca="false">IFERROR(INDEX(Section_Master!$E$2:$E$477,MATCH($E2212,Section_Master!$A$2:$A$477,0))&amp;"","")</f>
        <v>N/A</v>
      </c>
      <c r="H2212" s="10" t="str">
        <f aca="false">IFERROR(INDEX(Section_Master!$F$2:$F$477,MATCH($E2212,Section_Master!$A$2:$A$477,0))&amp;"","")</f>
        <v>N/A</v>
      </c>
      <c r="I2212" s="10" t="str">
        <f aca="false">IFERROR(INDEX(Section_Master!$G$2:$G$477,MATCH($E2212,Section_Master!$A$2:$A$477,0))&amp;"","")</f>
        <v>N/A</v>
      </c>
      <c r="J2212" s="10" t="s">
        <v>55</v>
      </c>
      <c r="K2212" s="8" t="s">
        <v>5204</v>
      </c>
    </row>
    <row r="2213" customFormat="false" ht="23.25" hidden="false" customHeight="true" outlineLevel="0" collapsed="false">
      <c r="A2213" s="10" t="s">
        <v>5209</v>
      </c>
      <c r="B2213" s="10" t="s">
        <v>45</v>
      </c>
      <c r="C2213" s="8" t="s">
        <v>5202</v>
      </c>
      <c r="D2213" s="8" t="s">
        <v>5210</v>
      </c>
      <c r="E2213" s="11" t="n">
        <v>11</v>
      </c>
      <c r="F2213" s="8" t="str">
        <f aca="false">IFERROR(INDEX(Section_Master!$D$2:$D$477,MATCH($E2213,Section_Master!$A$2:$A$477,0))&amp;"","")</f>
        <v>Not applicable - no offence or penalty defined here (definition, exception or general provision)</v>
      </c>
      <c r="G2213" s="10" t="str">
        <f aca="false">IFERROR(INDEX(Section_Master!$E$2:$E$477,MATCH($E2213,Section_Master!$A$2:$A$477,0))&amp;"","")</f>
        <v>N/A</v>
      </c>
      <c r="H2213" s="10" t="str">
        <f aca="false">IFERROR(INDEX(Section_Master!$F$2:$F$477,MATCH($E2213,Section_Master!$A$2:$A$477,0))&amp;"","")</f>
        <v>N/A</v>
      </c>
      <c r="I2213" s="10" t="str">
        <f aca="false">IFERROR(INDEX(Section_Master!$G$2:$G$477,MATCH($E2213,Section_Master!$A$2:$A$477,0))&amp;"","")</f>
        <v>N/A</v>
      </c>
      <c r="J2213" s="10" t="s">
        <v>58</v>
      </c>
      <c r="K2213" s="8" t="s">
        <v>5204</v>
      </c>
    </row>
    <row r="2214" customFormat="false" ht="23.25" hidden="false" customHeight="true" outlineLevel="0" collapsed="false">
      <c r="A2214" s="10" t="s">
        <v>5211</v>
      </c>
      <c r="B2214" s="10" t="s">
        <v>45</v>
      </c>
      <c r="C2214" s="8" t="s">
        <v>5202</v>
      </c>
      <c r="D2214" s="8" t="s">
        <v>5212</v>
      </c>
      <c r="E2214" s="11" t="n">
        <v>11</v>
      </c>
      <c r="F2214" s="8" t="str">
        <f aca="false">IFERROR(INDEX(Section_Master!$D$2:$D$477,MATCH($E2214,Section_Master!$A$2:$A$477,0))&amp;"","")</f>
        <v>Not applicable - no offence or penalty defined here (definition, exception or general provision)</v>
      </c>
      <c r="G2214" s="10" t="str">
        <f aca="false">IFERROR(INDEX(Section_Master!$E$2:$E$477,MATCH($E2214,Section_Master!$A$2:$A$477,0))&amp;"","")</f>
        <v>N/A</v>
      </c>
      <c r="H2214" s="10" t="str">
        <f aca="false">IFERROR(INDEX(Section_Master!$F$2:$F$477,MATCH($E2214,Section_Master!$A$2:$A$477,0))&amp;"","")</f>
        <v>N/A</v>
      </c>
      <c r="I2214" s="10" t="str">
        <f aca="false">IFERROR(INDEX(Section_Master!$G$2:$G$477,MATCH($E2214,Section_Master!$A$2:$A$477,0))&amp;"","")</f>
        <v>N/A</v>
      </c>
      <c r="J2214" s="10" t="s">
        <v>61</v>
      </c>
      <c r="K2214" s="8" t="s">
        <v>5204</v>
      </c>
    </row>
    <row r="2215" customFormat="false" ht="34.5" hidden="false" customHeight="true" outlineLevel="0" collapsed="false">
      <c r="A2215" s="10" t="s">
        <v>5213</v>
      </c>
      <c r="B2215" s="10" t="s">
        <v>45</v>
      </c>
      <c r="C2215" s="8" t="s">
        <v>5202</v>
      </c>
      <c r="D2215" s="8" t="s">
        <v>5214</v>
      </c>
      <c r="E2215" s="11" t="n">
        <v>11</v>
      </c>
      <c r="F2215" s="8" t="str">
        <f aca="false">IFERROR(INDEX(Section_Master!$D$2:$D$477,MATCH($E2215,Section_Master!$A$2:$A$477,0))&amp;"","")</f>
        <v>Not applicable - no offence or penalty defined here (definition, exception or general provision)</v>
      </c>
      <c r="G2215" s="10" t="str">
        <f aca="false">IFERROR(INDEX(Section_Master!$E$2:$E$477,MATCH($E2215,Section_Master!$A$2:$A$477,0))&amp;"","")</f>
        <v>N/A</v>
      </c>
      <c r="H2215" s="10" t="str">
        <f aca="false">IFERROR(INDEX(Section_Master!$F$2:$F$477,MATCH($E2215,Section_Master!$A$2:$A$477,0))&amp;"","")</f>
        <v>N/A</v>
      </c>
      <c r="I2215" s="10" t="str">
        <f aca="false">IFERROR(INDEX(Section_Master!$G$2:$G$477,MATCH($E2215,Section_Master!$A$2:$A$477,0))&amp;"","")</f>
        <v>N/A</v>
      </c>
      <c r="J2215" s="10" t="s">
        <v>64</v>
      </c>
      <c r="K2215" s="8" t="s">
        <v>5204</v>
      </c>
    </row>
    <row r="2216" customFormat="false" ht="34.5" hidden="false" customHeight="true" outlineLevel="0" collapsed="false">
      <c r="A2216" s="10" t="s">
        <v>5215</v>
      </c>
      <c r="B2216" s="10" t="s">
        <v>45</v>
      </c>
      <c r="C2216" s="8" t="s">
        <v>5216</v>
      </c>
      <c r="D2216" s="8" t="s">
        <v>5217</v>
      </c>
      <c r="E2216" s="11" t="n">
        <v>12</v>
      </c>
      <c r="F2216" s="8" t="str">
        <f aca="false">IFERROR(INDEX(Section_Master!$D$2:$D$477,MATCH($E2216,Section_Master!$A$2:$A$477,0))&amp;"","")</f>
        <v>Not applicable - no offence or penalty defined here (definition, exception or general provision)</v>
      </c>
      <c r="G2216" s="10" t="str">
        <f aca="false">IFERROR(INDEX(Section_Master!$E$2:$E$477,MATCH($E2216,Section_Master!$A$2:$A$477,0))&amp;"","")</f>
        <v>N/A</v>
      </c>
      <c r="H2216" s="10" t="str">
        <f aca="false">IFERROR(INDEX(Section_Master!$F$2:$F$477,MATCH($E2216,Section_Master!$A$2:$A$477,0))&amp;"","")</f>
        <v>N/A</v>
      </c>
      <c r="I2216" s="10" t="str">
        <f aca="false">IFERROR(INDEX(Section_Master!$G$2:$G$477,MATCH($E2216,Section_Master!$A$2:$A$477,0))&amp;"","")</f>
        <v>N/A</v>
      </c>
      <c r="J2216" s="10" t="s">
        <v>48</v>
      </c>
      <c r="K2216" s="8" t="s">
        <v>5218</v>
      </c>
    </row>
    <row r="2217" customFormat="false" ht="34.5" hidden="false" customHeight="true" outlineLevel="0" collapsed="false">
      <c r="A2217" s="10" t="s">
        <v>5219</v>
      </c>
      <c r="B2217" s="10" t="s">
        <v>45</v>
      </c>
      <c r="C2217" s="8" t="s">
        <v>5216</v>
      </c>
      <c r="D2217" s="8" t="s">
        <v>5220</v>
      </c>
      <c r="E2217" s="11" t="n">
        <v>12</v>
      </c>
      <c r="F2217" s="8" t="str">
        <f aca="false">IFERROR(INDEX(Section_Master!$D$2:$D$477,MATCH($E2217,Section_Master!$A$2:$A$477,0))&amp;"","")</f>
        <v>Not applicable - no offence or penalty defined here (definition, exception or general provision)</v>
      </c>
      <c r="G2217" s="10" t="str">
        <f aca="false">IFERROR(INDEX(Section_Master!$E$2:$E$477,MATCH($E2217,Section_Master!$A$2:$A$477,0))&amp;"","")</f>
        <v>N/A</v>
      </c>
      <c r="H2217" s="10" t="str">
        <f aca="false">IFERROR(INDEX(Section_Master!$F$2:$F$477,MATCH($E2217,Section_Master!$A$2:$A$477,0))&amp;"","")</f>
        <v>N/A</v>
      </c>
      <c r="I2217" s="10" t="str">
        <f aca="false">IFERROR(INDEX(Section_Master!$G$2:$G$477,MATCH($E2217,Section_Master!$A$2:$A$477,0))&amp;"","")</f>
        <v>N/A</v>
      </c>
      <c r="J2217" s="10" t="s">
        <v>52</v>
      </c>
      <c r="K2217" s="8" t="s">
        <v>5218</v>
      </c>
    </row>
    <row r="2218" customFormat="false" ht="23.25" hidden="false" customHeight="true" outlineLevel="0" collapsed="false">
      <c r="A2218" s="10" t="s">
        <v>5221</v>
      </c>
      <c r="B2218" s="10" t="s">
        <v>45</v>
      </c>
      <c r="C2218" s="8" t="s">
        <v>5216</v>
      </c>
      <c r="D2218" s="8" t="s">
        <v>5222</v>
      </c>
      <c r="E2218" s="11" t="n">
        <v>12</v>
      </c>
      <c r="F2218" s="8" t="str">
        <f aca="false">IFERROR(INDEX(Section_Master!$D$2:$D$477,MATCH($E2218,Section_Master!$A$2:$A$477,0))&amp;"","")</f>
        <v>Not applicable - no offence or penalty defined here (definition, exception or general provision)</v>
      </c>
      <c r="G2218" s="10" t="str">
        <f aca="false">IFERROR(INDEX(Section_Master!$E$2:$E$477,MATCH($E2218,Section_Master!$A$2:$A$477,0))&amp;"","")</f>
        <v>N/A</v>
      </c>
      <c r="H2218" s="10" t="str">
        <f aca="false">IFERROR(INDEX(Section_Master!$F$2:$F$477,MATCH($E2218,Section_Master!$A$2:$A$477,0))&amp;"","")</f>
        <v>N/A</v>
      </c>
      <c r="I2218" s="10" t="str">
        <f aca="false">IFERROR(INDEX(Section_Master!$G$2:$G$477,MATCH($E2218,Section_Master!$A$2:$A$477,0))&amp;"","")</f>
        <v>N/A</v>
      </c>
      <c r="J2218" s="10" t="s">
        <v>55</v>
      </c>
      <c r="K2218" s="8" t="s">
        <v>5218</v>
      </c>
    </row>
    <row r="2219" customFormat="false" ht="34.5" hidden="false" customHeight="true" outlineLevel="0" collapsed="false">
      <c r="A2219" s="10" t="s">
        <v>5223</v>
      </c>
      <c r="B2219" s="10" t="s">
        <v>45</v>
      </c>
      <c r="C2219" s="8" t="s">
        <v>5216</v>
      </c>
      <c r="D2219" s="8" t="s">
        <v>5224</v>
      </c>
      <c r="E2219" s="11" t="n">
        <v>12</v>
      </c>
      <c r="F2219" s="8" t="str">
        <f aca="false">IFERROR(INDEX(Section_Master!$D$2:$D$477,MATCH($E2219,Section_Master!$A$2:$A$477,0))&amp;"","")</f>
        <v>Not applicable - no offence or penalty defined here (definition, exception or general provision)</v>
      </c>
      <c r="G2219" s="10" t="str">
        <f aca="false">IFERROR(INDEX(Section_Master!$E$2:$E$477,MATCH($E2219,Section_Master!$A$2:$A$477,0))&amp;"","")</f>
        <v>N/A</v>
      </c>
      <c r="H2219" s="10" t="str">
        <f aca="false">IFERROR(INDEX(Section_Master!$F$2:$F$477,MATCH($E2219,Section_Master!$A$2:$A$477,0))&amp;"","")</f>
        <v>N/A</v>
      </c>
      <c r="I2219" s="10" t="str">
        <f aca="false">IFERROR(INDEX(Section_Master!$G$2:$G$477,MATCH($E2219,Section_Master!$A$2:$A$477,0))&amp;"","")</f>
        <v>N/A</v>
      </c>
      <c r="J2219" s="10" t="s">
        <v>58</v>
      </c>
      <c r="K2219" s="8" t="s">
        <v>5218</v>
      </c>
    </row>
    <row r="2220" customFormat="false" ht="23.25" hidden="false" customHeight="true" outlineLevel="0" collapsed="false">
      <c r="A2220" s="10" t="s">
        <v>5225</v>
      </c>
      <c r="B2220" s="10" t="s">
        <v>45</v>
      </c>
      <c r="C2220" s="8" t="s">
        <v>5216</v>
      </c>
      <c r="D2220" s="8" t="s">
        <v>5226</v>
      </c>
      <c r="E2220" s="11" t="n">
        <v>12</v>
      </c>
      <c r="F2220" s="8" t="str">
        <f aca="false">IFERROR(INDEX(Section_Master!$D$2:$D$477,MATCH($E2220,Section_Master!$A$2:$A$477,0))&amp;"","")</f>
        <v>Not applicable - no offence or penalty defined here (definition, exception or general provision)</v>
      </c>
      <c r="G2220" s="10" t="str">
        <f aca="false">IFERROR(INDEX(Section_Master!$E$2:$E$477,MATCH($E2220,Section_Master!$A$2:$A$477,0))&amp;"","")</f>
        <v>N/A</v>
      </c>
      <c r="H2220" s="10" t="str">
        <f aca="false">IFERROR(INDEX(Section_Master!$F$2:$F$477,MATCH($E2220,Section_Master!$A$2:$A$477,0))&amp;"","")</f>
        <v>N/A</v>
      </c>
      <c r="I2220" s="10" t="str">
        <f aca="false">IFERROR(INDEX(Section_Master!$G$2:$G$477,MATCH($E2220,Section_Master!$A$2:$A$477,0))&amp;"","")</f>
        <v>N/A</v>
      </c>
      <c r="J2220" s="10" t="s">
        <v>61</v>
      </c>
      <c r="K2220" s="8" t="s">
        <v>5218</v>
      </c>
    </row>
    <row r="2221" customFormat="false" ht="34.5" hidden="false" customHeight="true" outlineLevel="0" collapsed="false">
      <c r="A2221" s="10" t="s">
        <v>5227</v>
      </c>
      <c r="B2221" s="10" t="s">
        <v>45</v>
      </c>
      <c r="C2221" s="8" t="s">
        <v>5216</v>
      </c>
      <c r="D2221" s="8" t="s">
        <v>5228</v>
      </c>
      <c r="E2221" s="11" t="n">
        <v>12</v>
      </c>
      <c r="F2221" s="8" t="str">
        <f aca="false">IFERROR(INDEX(Section_Master!$D$2:$D$477,MATCH($E2221,Section_Master!$A$2:$A$477,0))&amp;"","")</f>
        <v>Not applicable - no offence or penalty defined here (definition, exception or general provision)</v>
      </c>
      <c r="G2221" s="10" t="str">
        <f aca="false">IFERROR(INDEX(Section_Master!$E$2:$E$477,MATCH($E2221,Section_Master!$A$2:$A$477,0))&amp;"","")</f>
        <v>N/A</v>
      </c>
      <c r="H2221" s="10" t="str">
        <f aca="false">IFERROR(INDEX(Section_Master!$F$2:$F$477,MATCH($E2221,Section_Master!$A$2:$A$477,0))&amp;"","")</f>
        <v>N/A</v>
      </c>
      <c r="I2221" s="10" t="str">
        <f aca="false">IFERROR(INDEX(Section_Master!$G$2:$G$477,MATCH($E2221,Section_Master!$A$2:$A$477,0))&amp;"","")</f>
        <v>N/A</v>
      </c>
      <c r="J2221" s="10" t="s">
        <v>64</v>
      </c>
      <c r="K2221" s="8" t="s">
        <v>5218</v>
      </c>
    </row>
    <row r="2222" customFormat="false" ht="23.25" hidden="false" customHeight="true" outlineLevel="0" collapsed="false">
      <c r="A2222" s="10" t="s">
        <v>5229</v>
      </c>
      <c r="B2222" s="10" t="s">
        <v>45</v>
      </c>
      <c r="C2222" s="8" t="s">
        <v>5230</v>
      </c>
      <c r="D2222" s="8" t="s">
        <v>5231</v>
      </c>
      <c r="E2222" s="11" t="n">
        <v>13</v>
      </c>
      <c r="F2222" s="8" t="str">
        <f aca="false">IFERROR(INDEX(Section_Master!$D$2:$D$477,MATCH($E2222,Section_Master!$A$2:$A$477,0))&amp;"","")</f>
        <v>Not applicable - no offence or penalty defined here (definition, exception or general provision)</v>
      </c>
      <c r="G2222" s="10" t="str">
        <f aca="false">IFERROR(INDEX(Section_Master!$E$2:$E$477,MATCH($E2222,Section_Master!$A$2:$A$477,0))&amp;"","")</f>
        <v>N/A</v>
      </c>
      <c r="H2222" s="10" t="str">
        <f aca="false">IFERROR(INDEX(Section_Master!$F$2:$F$477,MATCH($E2222,Section_Master!$A$2:$A$477,0))&amp;"","")</f>
        <v>N/A</v>
      </c>
      <c r="I2222" s="10" t="str">
        <f aca="false">IFERROR(INDEX(Section_Master!$G$2:$G$477,MATCH($E2222,Section_Master!$A$2:$A$477,0))&amp;"","")</f>
        <v>N/A</v>
      </c>
      <c r="J2222" s="10" t="s">
        <v>48</v>
      </c>
      <c r="K2222" s="8" t="s">
        <v>5232</v>
      </c>
    </row>
    <row r="2223" customFormat="false" ht="34.5" hidden="false" customHeight="true" outlineLevel="0" collapsed="false">
      <c r="A2223" s="10" t="s">
        <v>5233</v>
      </c>
      <c r="B2223" s="10" t="s">
        <v>45</v>
      </c>
      <c r="C2223" s="8" t="s">
        <v>5230</v>
      </c>
      <c r="D2223" s="8" t="s">
        <v>5234</v>
      </c>
      <c r="E2223" s="11" t="n">
        <v>13</v>
      </c>
      <c r="F2223" s="8" t="str">
        <f aca="false">IFERROR(INDEX(Section_Master!$D$2:$D$477,MATCH($E2223,Section_Master!$A$2:$A$477,0))&amp;"","")</f>
        <v>Not applicable - no offence or penalty defined here (definition, exception or general provision)</v>
      </c>
      <c r="G2223" s="10" t="str">
        <f aca="false">IFERROR(INDEX(Section_Master!$E$2:$E$477,MATCH($E2223,Section_Master!$A$2:$A$477,0))&amp;"","")</f>
        <v>N/A</v>
      </c>
      <c r="H2223" s="10" t="str">
        <f aca="false">IFERROR(INDEX(Section_Master!$F$2:$F$477,MATCH($E2223,Section_Master!$A$2:$A$477,0))&amp;"","")</f>
        <v>N/A</v>
      </c>
      <c r="I2223" s="10" t="str">
        <f aca="false">IFERROR(INDEX(Section_Master!$G$2:$G$477,MATCH($E2223,Section_Master!$A$2:$A$477,0))&amp;"","")</f>
        <v>N/A</v>
      </c>
      <c r="J2223" s="10" t="s">
        <v>52</v>
      </c>
      <c r="K2223" s="8" t="s">
        <v>5232</v>
      </c>
    </row>
    <row r="2224" customFormat="false" ht="34.5" hidden="false" customHeight="true" outlineLevel="0" collapsed="false">
      <c r="A2224" s="10" t="s">
        <v>5235</v>
      </c>
      <c r="B2224" s="10" t="s">
        <v>45</v>
      </c>
      <c r="C2224" s="8" t="s">
        <v>5230</v>
      </c>
      <c r="D2224" s="8" t="s">
        <v>5236</v>
      </c>
      <c r="E2224" s="11" t="n">
        <v>13</v>
      </c>
      <c r="F2224" s="8" t="str">
        <f aca="false">IFERROR(INDEX(Section_Master!$D$2:$D$477,MATCH($E2224,Section_Master!$A$2:$A$477,0))&amp;"","")</f>
        <v>Not applicable - no offence or penalty defined here (definition, exception or general provision)</v>
      </c>
      <c r="G2224" s="10" t="str">
        <f aca="false">IFERROR(INDEX(Section_Master!$E$2:$E$477,MATCH($E2224,Section_Master!$A$2:$A$477,0))&amp;"","")</f>
        <v>N/A</v>
      </c>
      <c r="H2224" s="10" t="str">
        <f aca="false">IFERROR(INDEX(Section_Master!$F$2:$F$477,MATCH($E2224,Section_Master!$A$2:$A$477,0))&amp;"","")</f>
        <v>N/A</v>
      </c>
      <c r="I2224" s="10" t="str">
        <f aca="false">IFERROR(INDEX(Section_Master!$G$2:$G$477,MATCH($E2224,Section_Master!$A$2:$A$477,0))&amp;"","")</f>
        <v>N/A</v>
      </c>
      <c r="J2224" s="10" t="s">
        <v>55</v>
      </c>
      <c r="K2224" s="8" t="s">
        <v>5232</v>
      </c>
    </row>
    <row r="2225" customFormat="false" ht="23.25" hidden="false" customHeight="true" outlineLevel="0" collapsed="false">
      <c r="A2225" s="10" t="s">
        <v>5237</v>
      </c>
      <c r="B2225" s="10" t="s">
        <v>45</v>
      </c>
      <c r="C2225" s="8" t="s">
        <v>5230</v>
      </c>
      <c r="D2225" s="8" t="s">
        <v>5238</v>
      </c>
      <c r="E2225" s="11" t="n">
        <v>13</v>
      </c>
      <c r="F2225" s="8" t="str">
        <f aca="false">IFERROR(INDEX(Section_Master!$D$2:$D$477,MATCH($E2225,Section_Master!$A$2:$A$477,0))&amp;"","")</f>
        <v>Not applicable - no offence or penalty defined here (definition, exception or general provision)</v>
      </c>
      <c r="G2225" s="10" t="str">
        <f aca="false">IFERROR(INDEX(Section_Master!$E$2:$E$477,MATCH($E2225,Section_Master!$A$2:$A$477,0))&amp;"","")</f>
        <v>N/A</v>
      </c>
      <c r="H2225" s="10" t="str">
        <f aca="false">IFERROR(INDEX(Section_Master!$F$2:$F$477,MATCH($E2225,Section_Master!$A$2:$A$477,0))&amp;"","")</f>
        <v>N/A</v>
      </c>
      <c r="I2225" s="10" t="str">
        <f aca="false">IFERROR(INDEX(Section_Master!$G$2:$G$477,MATCH($E2225,Section_Master!$A$2:$A$477,0))&amp;"","")</f>
        <v>N/A</v>
      </c>
      <c r="J2225" s="10" t="s">
        <v>58</v>
      </c>
      <c r="K2225" s="8" t="s">
        <v>5232</v>
      </c>
    </row>
    <row r="2226" customFormat="false" ht="23.25" hidden="false" customHeight="true" outlineLevel="0" collapsed="false">
      <c r="A2226" s="10" t="s">
        <v>5239</v>
      </c>
      <c r="B2226" s="10" t="s">
        <v>45</v>
      </c>
      <c r="C2226" s="8" t="s">
        <v>5230</v>
      </c>
      <c r="D2226" s="8" t="s">
        <v>5240</v>
      </c>
      <c r="E2226" s="11" t="n">
        <v>13</v>
      </c>
      <c r="F2226" s="8" t="str">
        <f aca="false">IFERROR(INDEX(Section_Master!$D$2:$D$477,MATCH($E2226,Section_Master!$A$2:$A$477,0))&amp;"","")</f>
        <v>Not applicable - no offence or penalty defined here (definition, exception or general provision)</v>
      </c>
      <c r="G2226" s="10" t="str">
        <f aca="false">IFERROR(INDEX(Section_Master!$E$2:$E$477,MATCH($E2226,Section_Master!$A$2:$A$477,0))&amp;"","")</f>
        <v>N/A</v>
      </c>
      <c r="H2226" s="10" t="str">
        <f aca="false">IFERROR(INDEX(Section_Master!$F$2:$F$477,MATCH($E2226,Section_Master!$A$2:$A$477,0))&amp;"","")</f>
        <v>N/A</v>
      </c>
      <c r="I2226" s="10" t="str">
        <f aca="false">IFERROR(INDEX(Section_Master!$G$2:$G$477,MATCH($E2226,Section_Master!$A$2:$A$477,0))&amp;"","")</f>
        <v>N/A</v>
      </c>
      <c r="J2226" s="10" t="s">
        <v>61</v>
      </c>
      <c r="K2226" s="8" t="s">
        <v>5232</v>
      </c>
    </row>
    <row r="2227" customFormat="false" ht="34.5" hidden="false" customHeight="true" outlineLevel="0" collapsed="false">
      <c r="A2227" s="10" t="s">
        <v>5241</v>
      </c>
      <c r="B2227" s="10" t="s">
        <v>45</v>
      </c>
      <c r="C2227" s="8" t="s">
        <v>5230</v>
      </c>
      <c r="D2227" s="8" t="s">
        <v>5242</v>
      </c>
      <c r="E2227" s="11" t="n">
        <v>13</v>
      </c>
      <c r="F2227" s="8" t="str">
        <f aca="false">IFERROR(INDEX(Section_Master!$D$2:$D$477,MATCH($E2227,Section_Master!$A$2:$A$477,0))&amp;"","")</f>
        <v>Not applicable - no offence or penalty defined here (definition, exception or general provision)</v>
      </c>
      <c r="G2227" s="10" t="str">
        <f aca="false">IFERROR(INDEX(Section_Master!$E$2:$E$477,MATCH($E2227,Section_Master!$A$2:$A$477,0))&amp;"","")</f>
        <v>N/A</v>
      </c>
      <c r="H2227" s="10" t="str">
        <f aca="false">IFERROR(INDEX(Section_Master!$F$2:$F$477,MATCH($E2227,Section_Master!$A$2:$A$477,0))&amp;"","")</f>
        <v>N/A</v>
      </c>
      <c r="I2227" s="10" t="str">
        <f aca="false">IFERROR(INDEX(Section_Master!$G$2:$G$477,MATCH($E2227,Section_Master!$A$2:$A$477,0))&amp;"","")</f>
        <v>N/A</v>
      </c>
      <c r="J2227" s="10" t="s">
        <v>64</v>
      </c>
      <c r="K2227" s="8" t="s">
        <v>5232</v>
      </c>
    </row>
    <row r="2228" customFormat="false" ht="23.25" hidden="false" customHeight="true" outlineLevel="0" collapsed="false">
      <c r="A2228" s="10" t="s">
        <v>5243</v>
      </c>
      <c r="B2228" s="10" t="s">
        <v>45</v>
      </c>
      <c r="C2228" s="8" t="s">
        <v>5244</v>
      </c>
      <c r="D2228" s="8" t="s">
        <v>5245</v>
      </c>
      <c r="E2228" s="11" t="n">
        <v>14</v>
      </c>
      <c r="F2228" s="8" t="str">
        <f aca="false">IFERROR(INDEX(Section_Master!$D$2:$D$477,MATCH($E2228,Section_Master!$A$2:$A$477,0))&amp;"","")</f>
        <v>Not applicable - no offence or penalty defined here (definition, exception or general provision)</v>
      </c>
      <c r="G2228" s="10" t="str">
        <f aca="false">IFERROR(INDEX(Section_Master!$E$2:$E$477,MATCH($E2228,Section_Master!$A$2:$A$477,0))&amp;"","")</f>
        <v>N/A</v>
      </c>
      <c r="H2228" s="10" t="str">
        <f aca="false">IFERROR(INDEX(Section_Master!$F$2:$F$477,MATCH($E2228,Section_Master!$A$2:$A$477,0))&amp;"","")</f>
        <v>N/A</v>
      </c>
      <c r="I2228" s="10" t="str">
        <f aca="false">IFERROR(INDEX(Section_Master!$G$2:$G$477,MATCH($E2228,Section_Master!$A$2:$A$477,0))&amp;"","")</f>
        <v>N/A</v>
      </c>
      <c r="J2228" s="10" t="s">
        <v>48</v>
      </c>
      <c r="K2228" s="8" t="s">
        <v>5246</v>
      </c>
    </row>
    <row r="2229" customFormat="false" ht="34.5" hidden="false" customHeight="true" outlineLevel="0" collapsed="false">
      <c r="A2229" s="10" t="s">
        <v>5247</v>
      </c>
      <c r="B2229" s="10" t="s">
        <v>45</v>
      </c>
      <c r="C2229" s="8" t="s">
        <v>5244</v>
      </c>
      <c r="D2229" s="8" t="s">
        <v>5248</v>
      </c>
      <c r="E2229" s="11" t="n">
        <v>14</v>
      </c>
      <c r="F2229" s="8" t="str">
        <f aca="false">IFERROR(INDEX(Section_Master!$D$2:$D$477,MATCH($E2229,Section_Master!$A$2:$A$477,0))&amp;"","")</f>
        <v>Not applicable - no offence or penalty defined here (definition, exception or general provision)</v>
      </c>
      <c r="G2229" s="10" t="str">
        <f aca="false">IFERROR(INDEX(Section_Master!$E$2:$E$477,MATCH($E2229,Section_Master!$A$2:$A$477,0))&amp;"","")</f>
        <v>N/A</v>
      </c>
      <c r="H2229" s="10" t="str">
        <f aca="false">IFERROR(INDEX(Section_Master!$F$2:$F$477,MATCH($E2229,Section_Master!$A$2:$A$477,0))&amp;"","")</f>
        <v>N/A</v>
      </c>
      <c r="I2229" s="10" t="str">
        <f aca="false">IFERROR(INDEX(Section_Master!$G$2:$G$477,MATCH($E2229,Section_Master!$A$2:$A$477,0))&amp;"","")</f>
        <v>N/A</v>
      </c>
      <c r="J2229" s="10" t="s">
        <v>52</v>
      </c>
      <c r="K2229" s="8" t="s">
        <v>5246</v>
      </c>
    </row>
    <row r="2230" customFormat="false" ht="34.5" hidden="false" customHeight="true" outlineLevel="0" collapsed="false">
      <c r="A2230" s="10" t="s">
        <v>5249</v>
      </c>
      <c r="B2230" s="10" t="s">
        <v>45</v>
      </c>
      <c r="C2230" s="8" t="s">
        <v>5244</v>
      </c>
      <c r="D2230" s="8" t="s">
        <v>5250</v>
      </c>
      <c r="E2230" s="11" t="n">
        <v>14</v>
      </c>
      <c r="F2230" s="8" t="str">
        <f aca="false">IFERROR(INDEX(Section_Master!$D$2:$D$477,MATCH($E2230,Section_Master!$A$2:$A$477,0))&amp;"","")</f>
        <v>Not applicable - no offence or penalty defined here (definition, exception or general provision)</v>
      </c>
      <c r="G2230" s="10" t="str">
        <f aca="false">IFERROR(INDEX(Section_Master!$E$2:$E$477,MATCH($E2230,Section_Master!$A$2:$A$477,0))&amp;"","")</f>
        <v>N/A</v>
      </c>
      <c r="H2230" s="10" t="str">
        <f aca="false">IFERROR(INDEX(Section_Master!$F$2:$F$477,MATCH($E2230,Section_Master!$A$2:$A$477,0))&amp;"","")</f>
        <v>N/A</v>
      </c>
      <c r="I2230" s="10" t="str">
        <f aca="false">IFERROR(INDEX(Section_Master!$G$2:$G$477,MATCH($E2230,Section_Master!$A$2:$A$477,0))&amp;"","")</f>
        <v>N/A</v>
      </c>
      <c r="J2230" s="10" t="s">
        <v>55</v>
      </c>
      <c r="K2230" s="8" t="s">
        <v>5246</v>
      </c>
    </row>
    <row r="2231" customFormat="false" ht="23.25" hidden="false" customHeight="true" outlineLevel="0" collapsed="false">
      <c r="A2231" s="10" t="s">
        <v>5251</v>
      </c>
      <c r="B2231" s="10" t="s">
        <v>45</v>
      </c>
      <c r="C2231" s="8" t="s">
        <v>5244</v>
      </c>
      <c r="D2231" s="8" t="s">
        <v>5252</v>
      </c>
      <c r="E2231" s="11" t="n">
        <v>14</v>
      </c>
      <c r="F2231" s="8" t="str">
        <f aca="false">IFERROR(INDEX(Section_Master!$D$2:$D$477,MATCH($E2231,Section_Master!$A$2:$A$477,0))&amp;"","")</f>
        <v>Not applicable - no offence or penalty defined here (definition, exception or general provision)</v>
      </c>
      <c r="G2231" s="10" t="str">
        <f aca="false">IFERROR(INDEX(Section_Master!$E$2:$E$477,MATCH($E2231,Section_Master!$A$2:$A$477,0))&amp;"","")</f>
        <v>N/A</v>
      </c>
      <c r="H2231" s="10" t="str">
        <f aca="false">IFERROR(INDEX(Section_Master!$F$2:$F$477,MATCH($E2231,Section_Master!$A$2:$A$477,0))&amp;"","")</f>
        <v>N/A</v>
      </c>
      <c r="I2231" s="10" t="str">
        <f aca="false">IFERROR(INDEX(Section_Master!$G$2:$G$477,MATCH($E2231,Section_Master!$A$2:$A$477,0))&amp;"","")</f>
        <v>N/A</v>
      </c>
      <c r="J2231" s="10" t="s">
        <v>58</v>
      </c>
      <c r="K2231" s="8" t="s">
        <v>5246</v>
      </c>
    </row>
    <row r="2232" customFormat="false" ht="23.25" hidden="false" customHeight="true" outlineLevel="0" collapsed="false">
      <c r="A2232" s="10" t="s">
        <v>5253</v>
      </c>
      <c r="B2232" s="10" t="s">
        <v>45</v>
      </c>
      <c r="C2232" s="8" t="s">
        <v>5244</v>
      </c>
      <c r="D2232" s="8" t="s">
        <v>5254</v>
      </c>
      <c r="E2232" s="11" t="n">
        <v>14</v>
      </c>
      <c r="F2232" s="8" t="str">
        <f aca="false">IFERROR(INDEX(Section_Master!$D$2:$D$477,MATCH($E2232,Section_Master!$A$2:$A$477,0))&amp;"","")</f>
        <v>Not applicable - no offence or penalty defined here (definition, exception or general provision)</v>
      </c>
      <c r="G2232" s="10" t="str">
        <f aca="false">IFERROR(INDEX(Section_Master!$E$2:$E$477,MATCH($E2232,Section_Master!$A$2:$A$477,0))&amp;"","")</f>
        <v>N/A</v>
      </c>
      <c r="H2232" s="10" t="str">
        <f aca="false">IFERROR(INDEX(Section_Master!$F$2:$F$477,MATCH($E2232,Section_Master!$A$2:$A$477,0))&amp;"","")</f>
        <v>N/A</v>
      </c>
      <c r="I2232" s="10" t="str">
        <f aca="false">IFERROR(INDEX(Section_Master!$G$2:$G$477,MATCH($E2232,Section_Master!$A$2:$A$477,0))&amp;"","")</f>
        <v>N/A</v>
      </c>
      <c r="J2232" s="10" t="s">
        <v>61</v>
      </c>
      <c r="K2232" s="8" t="s">
        <v>5246</v>
      </c>
    </row>
    <row r="2233" customFormat="false" ht="34.5" hidden="false" customHeight="true" outlineLevel="0" collapsed="false">
      <c r="A2233" s="10" t="s">
        <v>5255</v>
      </c>
      <c r="B2233" s="10" t="s">
        <v>45</v>
      </c>
      <c r="C2233" s="8" t="s">
        <v>5244</v>
      </c>
      <c r="D2233" s="8" t="s">
        <v>5256</v>
      </c>
      <c r="E2233" s="11" t="n">
        <v>14</v>
      </c>
      <c r="F2233" s="8" t="str">
        <f aca="false">IFERROR(INDEX(Section_Master!$D$2:$D$477,MATCH($E2233,Section_Master!$A$2:$A$477,0))&amp;"","")</f>
        <v>Not applicable - no offence or penalty defined here (definition, exception or general provision)</v>
      </c>
      <c r="G2233" s="10" t="str">
        <f aca="false">IFERROR(INDEX(Section_Master!$E$2:$E$477,MATCH($E2233,Section_Master!$A$2:$A$477,0))&amp;"","")</f>
        <v>N/A</v>
      </c>
      <c r="H2233" s="10" t="str">
        <f aca="false">IFERROR(INDEX(Section_Master!$F$2:$F$477,MATCH($E2233,Section_Master!$A$2:$A$477,0))&amp;"","")</f>
        <v>N/A</v>
      </c>
      <c r="I2233" s="10" t="str">
        <f aca="false">IFERROR(INDEX(Section_Master!$G$2:$G$477,MATCH($E2233,Section_Master!$A$2:$A$477,0))&amp;"","")</f>
        <v>N/A</v>
      </c>
      <c r="J2233" s="10" t="s">
        <v>64</v>
      </c>
      <c r="K2233" s="8" t="s">
        <v>5246</v>
      </c>
    </row>
    <row r="2234" customFormat="false" ht="34.5" hidden="false" customHeight="true" outlineLevel="0" collapsed="false">
      <c r="A2234" s="10" t="s">
        <v>5257</v>
      </c>
      <c r="B2234" s="10" t="s">
        <v>45</v>
      </c>
      <c r="C2234" s="8" t="s">
        <v>5258</v>
      </c>
      <c r="D2234" s="8" t="s">
        <v>5259</v>
      </c>
      <c r="E2234" s="11" t="n">
        <v>15</v>
      </c>
      <c r="F2234" s="8" t="str">
        <f aca="false">IFERROR(INDEX(Section_Master!$D$2:$D$477,MATCH($E2234,Section_Master!$A$2:$A$477,0))&amp;"","")</f>
        <v>Not applicable - no offence or penalty defined here (definition, exception or general provision)</v>
      </c>
      <c r="G2234" s="10" t="str">
        <f aca="false">IFERROR(INDEX(Section_Master!$E$2:$E$477,MATCH($E2234,Section_Master!$A$2:$A$477,0))&amp;"","")</f>
        <v>N/A</v>
      </c>
      <c r="H2234" s="10" t="str">
        <f aca="false">IFERROR(INDEX(Section_Master!$F$2:$F$477,MATCH($E2234,Section_Master!$A$2:$A$477,0))&amp;"","")</f>
        <v>N/A</v>
      </c>
      <c r="I2234" s="10" t="str">
        <f aca="false">IFERROR(INDEX(Section_Master!$G$2:$G$477,MATCH($E2234,Section_Master!$A$2:$A$477,0))&amp;"","")</f>
        <v>N/A</v>
      </c>
      <c r="J2234" s="10" t="s">
        <v>48</v>
      </c>
      <c r="K2234" s="8" t="s">
        <v>5260</v>
      </c>
    </row>
    <row r="2235" customFormat="false" ht="34.5" hidden="false" customHeight="true" outlineLevel="0" collapsed="false">
      <c r="A2235" s="10" t="s">
        <v>5261</v>
      </c>
      <c r="B2235" s="10" t="s">
        <v>45</v>
      </c>
      <c r="C2235" s="8" t="s">
        <v>5258</v>
      </c>
      <c r="D2235" s="8" t="s">
        <v>5262</v>
      </c>
      <c r="E2235" s="11" t="n">
        <v>15</v>
      </c>
      <c r="F2235" s="8" t="str">
        <f aca="false">IFERROR(INDEX(Section_Master!$D$2:$D$477,MATCH($E2235,Section_Master!$A$2:$A$477,0))&amp;"","")</f>
        <v>Not applicable - no offence or penalty defined here (definition, exception or general provision)</v>
      </c>
      <c r="G2235" s="10" t="str">
        <f aca="false">IFERROR(INDEX(Section_Master!$E$2:$E$477,MATCH($E2235,Section_Master!$A$2:$A$477,0))&amp;"","")</f>
        <v>N/A</v>
      </c>
      <c r="H2235" s="10" t="str">
        <f aca="false">IFERROR(INDEX(Section_Master!$F$2:$F$477,MATCH($E2235,Section_Master!$A$2:$A$477,0))&amp;"","")</f>
        <v>N/A</v>
      </c>
      <c r="I2235" s="10" t="str">
        <f aca="false">IFERROR(INDEX(Section_Master!$G$2:$G$477,MATCH($E2235,Section_Master!$A$2:$A$477,0))&amp;"","")</f>
        <v>N/A</v>
      </c>
      <c r="J2235" s="10" t="s">
        <v>52</v>
      </c>
      <c r="K2235" s="8" t="s">
        <v>5260</v>
      </c>
    </row>
    <row r="2236" customFormat="false" ht="23.25" hidden="false" customHeight="true" outlineLevel="0" collapsed="false">
      <c r="A2236" s="10" t="s">
        <v>5263</v>
      </c>
      <c r="B2236" s="10" t="s">
        <v>45</v>
      </c>
      <c r="C2236" s="8" t="s">
        <v>5258</v>
      </c>
      <c r="D2236" s="8" t="s">
        <v>5264</v>
      </c>
      <c r="E2236" s="11" t="n">
        <v>15</v>
      </c>
      <c r="F2236" s="8" t="str">
        <f aca="false">IFERROR(INDEX(Section_Master!$D$2:$D$477,MATCH($E2236,Section_Master!$A$2:$A$477,0))&amp;"","")</f>
        <v>Not applicable - no offence or penalty defined here (definition, exception or general provision)</v>
      </c>
      <c r="G2236" s="10" t="str">
        <f aca="false">IFERROR(INDEX(Section_Master!$E$2:$E$477,MATCH($E2236,Section_Master!$A$2:$A$477,0))&amp;"","")</f>
        <v>N/A</v>
      </c>
      <c r="H2236" s="10" t="str">
        <f aca="false">IFERROR(INDEX(Section_Master!$F$2:$F$477,MATCH($E2236,Section_Master!$A$2:$A$477,0))&amp;"","")</f>
        <v>N/A</v>
      </c>
      <c r="I2236" s="10" t="str">
        <f aca="false">IFERROR(INDEX(Section_Master!$G$2:$G$477,MATCH($E2236,Section_Master!$A$2:$A$477,0))&amp;"","")</f>
        <v>N/A</v>
      </c>
      <c r="J2236" s="10" t="s">
        <v>55</v>
      </c>
      <c r="K2236" s="8" t="s">
        <v>5260</v>
      </c>
    </row>
    <row r="2237" customFormat="false" ht="23.25" hidden="false" customHeight="true" outlineLevel="0" collapsed="false">
      <c r="A2237" s="10" t="s">
        <v>5265</v>
      </c>
      <c r="B2237" s="10" t="s">
        <v>45</v>
      </c>
      <c r="C2237" s="8" t="s">
        <v>5258</v>
      </c>
      <c r="D2237" s="8" t="s">
        <v>5266</v>
      </c>
      <c r="E2237" s="11" t="n">
        <v>15</v>
      </c>
      <c r="F2237" s="8" t="str">
        <f aca="false">IFERROR(INDEX(Section_Master!$D$2:$D$477,MATCH($E2237,Section_Master!$A$2:$A$477,0))&amp;"","")</f>
        <v>Not applicable - no offence or penalty defined here (definition, exception or general provision)</v>
      </c>
      <c r="G2237" s="10" t="str">
        <f aca="false">IFERROR(INDEX(Section_Master!$E$2:$E$477,MATCH($E2237,Section_Master!$A$2:$A$477,0))&amp;"","")</f>
        <v>N/A</v>
      </c>
      <c r="H2237" s="10" t="str">
        <f aca="false">IFERROR(INDEX(Section_Master!$F$2:$F$477,MATCH($E2237,Section_Master!$A$2:$A$477,0))&amp;"","")</f>
        <v>N/A</v>
      </c>
      <c r="I2237" s="10" t="str">
        <f aca="false">IFERROR(INDEX(Section_Master!$G$2:$G$477,MATCH($E2237,Section_Master!$A$2:$A$477,0))&amp;"","")</f>
        <v>N/A</v>
      </c>
      <c r="J2237" s="10" t="s">
        <v>58</v>
      </c>
      <c r="K2237" s="8" t="s">
        <v>5260</v>
      </c>
    </row>
    <row r="2238" customFormat="false" ht="23.25" hidden="false" customHeight="true" outlineLevel="0" collapsed="false">
      <c r="A2238" s="10" t="s">
        <v>5267</v>
      </c>
      <c r="B2238" s="10" t="s">
        <v>45</v>
      </c>
      <c r="C2238" s="8" t="s">
        <v>5258</v>
      </c>
      <c r="D2238" s="8" t="s">
        <v>5268</v>
      </c>
      <c r="E2238" s="11" t="n">
        <v>15</v>
      </c>
      <c r="F2238" s="8" t="str">
        <f aca="false">IFERROR(INDEX(Section_Master!$D$2:$D$477,MATCH($E2238,Section_Master!$A$2:$A$477,0))&amp;"","")</f>
        <v>Not applicable - no offence or penalty defined here (definition, exception or general provision)</v>
      </c>
      <c r="G2238" s="10" t="str">
        <f aca="false">IFERROR(INDEX(Section_Master!$E$2:$E$477,MATCH($E2238,Section_Master!$A$2:$A$477,0))&amp;"","")</f>
        <v>N/A</v>
      </c>
      <c r="H2238" s="10" t="str">
        <f aca="false">IFERROR(INDEX(Section_Master!$F$2:$F$477,MATCH($E2238,Section_Master!$A$2:$A$477,0))&amp;"","")</f>
        <v>N/A</v>
      </c>
      <c r="I2238" s="10" t="str">
        <f aca="false">IFERROR(INDEX(Section_Master!$G$2:$G$477,MATCH($E2238,Section_Master!$A$2:$A$477,0))&amp;"","")</f>
        <v>N/A</v>
      </c>
      <c r="J2238" s="10" t="s">
        <v>61</v>
      </c>
      <c r="K2238" s="8" t="s">
        <v>5260</v>
      </c>
    </row>
    <row r="2239" customFormat="false" ht="34.5" hidden="false" customHeight="true" outlineLevel="0" collapsed="false">
      <c r="A2239" s="10" t="s">
        <v>5269</v>
      </c>
      <c r="B2239" s="10" t="s">
        <v>45</v>
      </c>
      <c r="C2239" s="8" t="s">
        <v>5258</v>
      </c>
      <c r="D2239" s="8" t="s">
        <v>5270</v>
      </c>
      <c r="E2239" s="11" t="n">
        <v>15</v>
      </c>
      <c r="F2239" s="8" t="str">
        <f aca="false">IFERROR(INDEX(Section_Master!$D$2:$D$477,MATCH($E2239,Section_Master!$A$2:$A$477,0))&amp;"","")</f>
        <v>Not applicable - no offence or penalty defined here (definition, exception or general provision)</v>
      </c>
      <c r="G2239" s="10" t="str">
        <f aca="false">IFERROR(INDEX(Section_Master!$E$2:$E$477,MATCH($E2239,Section_Master!$A$2:$A$477,0))&amp;"","")</f>
        <v>N/A</v>
      </c>
      <c r="H2239" s="10" t="str">
        <f aca="false">IFERROR(INDEX(Section_Master!$F$2:$F$477,MATCH($E2239,Section_Master!$A$2:$A$477,0))&amp;"","")</f>
        <v>N/A</v>
      </c>
      <c r="I2239" s="10" t="str">
        <f aca="false">IFERROR(INDEX(Section_Master!$G$2:$G$477,MATCH($E2239,Section_Master!$A$2:$A$477,0))&amp;"","")</f>
        <v>N/A</v>
      </c>
      <c r="J2239" s="10" t="s">
        <v>64</v>
      </c>
      <c r="K2239" s="8" t="s">
        <v>5260</v>
      </c>
    </row>
    <row r="2240" customFormat="false" ht="34.5" hidden="false" customHeight="true" outlineLevel="0" collapsed="false">
      <c r="A2240" s="10" t="s">
        <v>5271</v>
      </c>
      <c r="B2240" s="10" t="s">
        <v>45</v>
      </c>
      <c r="C2240" s="8" t="s">
        <v>5272</v>
      </c>
      <c r="D2240" s="8" t="s">
        <v>5273</v>
      </c>
      <c r="E2240" s="11" t="n">
        <v>16</v>
      </c>
      <c r="F2240" s="8" t="str">
        <f aca="false">IFERROR(INDEX(Section_Master!$D$2:$D$477,MATCH($E2240,Section_Master!$A$2:$A$477,0))&amp;"","")</f>
        <v>Not applicable - no offence or penalty defined here (definition, exception or general provision)</v>
      </c>
      <c r="G2240" s="10" t="str">
        <f aca="false">IFERROR(INDEX(Section_Master!$E$2:$E$477,MATCH($E2240,Section_Master!$A$2:$A$477,0))&amp;"","")</f>
        <v>N/A</v>
      </c>
      <c r="H2240" s="10" t="str">
        <f aca="false">IFERROR(INDEX(Section_Master!$F$2:$F$477,MATCH($E2240,Section_Master!$A$2:$A$477,0))&amp;"","")</f>
        <v>N/A</v>
      </c>
      <c r="I2240" s="10" t="str">
        <f aca="false">IFERROR(INDEX(Section_Master!$G$2:$G$477,MATCH($E2240,Section_Master!$A$2:$A$477,0))&amp;"","")</f>
        <v>N/A</v>
      </c>
      <c r="J2240" s="10" t="s">
        <v>48</v>
      </c>
      <c r="K2240" s="8" t="s">
        <v>5274</v>
      </c>
    </row>
    <row r="2241" customFormat="false" ht="23.25" hidden="false" customHeight="true" outlineLevel="0" collapsed="false">
      <c r="A2241" s="10" t="s">
        <v>5275</v>
      </c>
      <c r="B2241" s="10" t="s">
        <v>45</v>
      </c>
      <c r="C2241" s="8" t="s">
        <v>5272</v>
      </c>
      <c r="D2241" s="8" t="s">
        <v>5276</v>
      </c>
      <c r="E2241" s="11" t="n">
        <v>16</v>
      </c>
      <c r="F2241" s="8" t="str">
        <f aca="false">IFERROR(INDEX(Section_Master!$D$2:$D$477,MATCH($E2241,Section_Master!$A$2:$A$477,0))&amp;"","")</f>
        <v>Not applicable - no offence or penalty defined here (definition, exception or general provision)</v>
      </c>
      <c r="G2241" s="10" t="str">
        <f aca="false">IFERROR(INDEX(Section_Master!$E$2:$E$477,MATCH($E2241,Section_Master!$A$2:$A$477,0))&amp;"","")</f>
        <v>N/A</v>
      </c>
      <c r="H2241" s="10" t="str">
        <f aca="false">IFERROR(INDEX(Section_Master!$F$2:$F$477,MATCH($E2241,Section_Master!$A$2:$A$477,0))&amp;"","")</f>
        <v>N/A</v>
      </c>
      <c r="I2241" s="10" t="str">
        <f aca="false">IFERROR(INDEX(Section_Master!$G$2:$G$477,MATCH($E2241,Section_Master!$A$2:$A$477,0))&amp;"","")</f>
        <v>N/A</v>
      </c>
      <c r="J2241" s="10" t="s">
        <v>52</v>
      </c>
      <c r="K2241" s="8" t="s">
        <v>5274</v>
      </c>
    </row>
    <row r="2242" customFormat="false" ht="23.25" hidden="false" customHeight="true" outlineLevel="0" collapsed="false">
      <c r="A2242" s="10" t="s">
        <v>5277</v>
      </c>
      <c r="B2242" s="10" t="s">
        <v>45</v>
      </c>
      <c r="C2242" s="8" t="s">
        <v>5272</v>
      </c>
      <c r="D2242" s="8" t="s">
        <v>5278</v>
      </c>
      <c r="E2242" s="11" t="n">
        <v>16</v>
      </c>
      <c r="F2242" s="8" t="str">
        <f aca="false">IFERROR(INDEX(Section_Master!$D$2:$D$477,MATCH($E2242,Section_Master!$A$2:$A$477,0))&amp;"","")</f>
        <v>Not applicable - no offence or penalty defined here (definition, exception or general provision)</v>
      </c>
      <c r="G2242" s="10" t="str">
        <f aca="false">IFERROR(INDEX(Section_Master!$E$2:$E$477,MATCH($E2242,Section_Master!$A$2:$A$477,0))&amp;"","")</f>
        <v>N/A</v>
      </c>
      <c r="H2242" s="10" t="str">
        <f aca="false">IFERROR(INDEX(Section_Master!$F$2:$F$477,MATCH($E2242,Section_Master!$A$2:$A$477,0))&amp;"","")</f>
        <v>N/A</v>
      </c>
      <c r="I2242" s="10" t="str">
        <f aca="false">IFERROR(INDEX(Section_Master!$G$2:$G$477,MATCH($E2242,Section_Master!$A$2:$A$477,0))&amp;"","")</f>
        <v>N/A</v>
      </c>
      <c r="J2242" s="10" t="s">
        <v>55</v>
      </c>
      <c r="K2242" s="8" t="s">
        <v>5274</v>
      </c>
    </row>
    <row r="2243" customFormat="false" ht="23.25" hidden="false" customHeight="true" outlineLevel="0" collapsed="false">
      <c r="A2243" s="10" t="s">
        <v>5279</v>
      </c>
      <c r="B2243" s="10" t="s">
        <v>45</v>
      </c>
      <c r="C2243" s="8" t="s">
        <v>5272</v>
      </c>
      <c r="D2243" s="8" t="s">
        <v>5280</v>
      </c>
      <c r="E2243" s="11" t="n">
        <v>16</v>
      </c>
      <c r="F2243" s="8" t="str">
        <f aca="false">IFERROR(INDEX(Section_Master!$D$2:$D$477,MATCH($E2243,Section_Master!$A$2:$A$477,0))&amp;"","")</f>
        <v>Not applicable - no offence or penalty defined here (definition, exception or general provision)</v>
      </c>
      <c r="G2243" s="10" t="str">
        <f aca="false">IFERROR(INDEX(Section_Master!$E$2:$E$477,MATCH($E2243,Section_Master!$A$2:$A$477,0))&amp;"","")</f>
        <v>N/A</v>
      </c>
      <c r="H2243" s="10" t="str">
        <f aca="false">IFERROR(INDEX(Section_Master!$F$2:$F$477,MATCH($E2243,Section_Master!$A$2:$A$477,0))&amp;"","")</f>
        <v>N/A</v>
      </c>
      <c r="I2243" s="10" t="str">
        <f aca="false">IFERROR(INDEX(Section_Master!$G$2:$G$477,MATCH($E2243,Section_Master!$A$2:$A$477,0))&amp;"","")</f>
        <v>N/A</v>
      </c>
      <c r="J2243" s="10" t="s">
        <v>58</v>
      </c>
      <c r="K2243" s="8" t="s">
        <v>5274</v>
      </c>
    </row>
    <row r="2244" customFormat="false" ht="23.25" hidden="false" customHeight="true" outlineLevel="0" collapsed="false">
      <c r="A2244" s="10" t="s">
        <v>5281</v>
      </c>
      <c r="B2244" s="10" t="s">
        <v>45</v>
      </c>
      <c r="C2244" s="8" t="s">
        <v>5272</v>
      </c>
      <c r="D2244" s="8" t="s">
        <v>5282</v>
      </c>
      <c r="E2244" s="11" t="n">
        <v>16</v>
      </c>
      <c r="F2244" s="8" t="str">
        <f aca="false">IFERROR(INDEX(Section_Master!$D$2:$D$477,MATCH($E2244,Section_Master!$A$2:$A$477,0))&amp;"","")</f>
        <v>Not applicable - no offence or penalty defined here (definition, exception or general provision)</v>
      </c>
      <c r="G2244" s="10" t="str">
        <f aca="false">IFERROR(INDEX(Section_Master!$E$2:$E$477,MATCH($E2244,Section_Master!$A$2:$A$477,0))&amp;"","")</f>
        <v>N/A</v>
      </c>
      <c r="H2244" s="10" t="str">
        <f aca="false">IFERROR(INDEX(Section_Master!$F$2:$F$477,MATCH($E2244,Section_Master!$A$2:$A$477,0))&amp;"","")</f>
        <v>N/A</v>
      </c>
      <c r="I2244" s="10" t="str">
        <f aca="false">IFERROR(INDEX(Section_Master!$G$2:$G$477,MATCH($E2244,Section_Master!$A$2:$A$477,0))&amp;"","")</f>
        <v>N/A</v>
      </c>
      <c r="J2244" s="10" t="s">
        <v>61</v>
      </c>
      <c r="K2244" s="8" t="s">
        <v>5274</v>
      </c>
    </row>
    <row r="2245" customFormat="false" ht="34.5" hidden="false" customHeight="true" outlineLevel="0" collapsed="false">
      <c r="A2245" s="10" t="s">
        <v>5283</v>
      </c>
      <c r="B2245" s="10" t="s">
        <v>45</v>
      </c>
      <c r="C2245" s="8" t="s">
        <v>5272</v>
      </c>
      <c r="D2245" s="8" t="s">
        <v>5284</v>
      </c>
      <c r="E2245" s="11" t="n">
        <v>16</v>
      </c>
      <c r="F2245" s="8" t="str">
        <f aca="false">IFERROR(INDEX(Section_Master!$D$2:$D$477,MATCH($E2245,Section_Master!$A$2:$A$477,0))&amp;"","")</f>
        <v>Not applicable - no offence or penalty defined here (definition, exception or general provision)</v>
      </c>
      <c r="G2245" s="10" t="str">
        <f aca="false">IFERROR(INDEX(Section_Master!$E$2:$E$477,MATCH($E2245,Section_Master!$A$2:$A$477,0))&amp;"","")</f>
        <v>N/A</v>
      </c>
      <c r="H2245" s="10" t="str">
        <f aca="false">IFERROR(INDEX(Section_Master!$F$2:$F$477,MATCH($E2245,Section_Master!$A$2:$A$477,0))&amp;"","")</f>
        <v>N/A</v>
      </c>
      <c r="I2245" s="10" t="str">
        <f aca="false">IFERROR(INDEX(Section_Master!$G$2:$G$477,MATCH($E2245,Section_Master!$A$2:$A$477,0))&amp;"","")</f>
        <v>N/A</v>
      </c>
      <c r="J2245" s="10" t="s">
        <v>64</v>
      </c>
      <c r="K2245" s="8" t="s">
        <v>5274</v>
      </c>
    </row>
    <row r="2246" customFormat="false" ht="23.25" hidden="false" customHeight="true" outlineLevel="0" collapsed="false">
      <c r="A2246" s="10" t="s">
        <v>5285</v>
      </c>
      <c r="B2246" s="10" t="s">
        <v>45</v>
      </c>
      <c r="C2246" s="8" t="s">
        <v>5286</v>
      </c>
      <c r="D2246" s="8" t="s">
        <v>5287</v>
      </c>
      <c r="E2246" s="11" t="n">
        <v>17</v>
      </c>
      <c r="F2246" s="8" t="str">
        <f aca="false">IFERROR(INDEX(Section_Master!$D$2:$D$477,MATCH($E2246,Section_Master!$A$2:$A$477,0))&amp;"","")</f>
        <v>Not applicable - no offence or penalty defined here (definition, exception or general provision)</v>
      </c>
      <c r="G2246" s="10" t="str">
        <f aca="false">IFERROR(INDEX(Section_Master!$E$2:$E$477,MATCH($E2246,Section_Master!$A$2:$A$477,0))&amp;"","")</f>
        <v>N/A</v>
      </c>
      <c r="H2246" s="10" t="str">
        <f aca="false">IFERROR(INDEX(Section_Master!$F$2:$F$477,MATCH($E2246,Section_Master!$A$2:$A$477,0))&amp;"","")</f>
        <v>N/A</v>
      </c>
      <c r="I2246" s="10" t="str">
        <f aca="false">IFERROR(INDEX(Section_Master!$G$2:$G$477,MATCH($E2246,Section_Master!$A$2:$A$477,0))&amp;"","")</f>
        <v>N/A</v>
      </c>
      <c r="J2246" s="10" t="s">
        <v>48</v>
      </c>
      <c r="K2246" s="8" t="s">
        <v>5288</v>
      </c>
    </row>
    <row r="2247" customFormat="false" ht="34.5" hidden="false" customHeight="true" outlineLevel="0" collapsed="false">
      <c r="A2247" s="10" t="s">
        <v>5289</v>
      </c>
      <c r="B2247" s="10" t="s">
        <v>45</v>
      </c>
      <c r="C2247" s="8" t="s">
        <v>5286</v>
      </c>
      <c r="D2247" s="8" t="s">
        <v>5290</v>
      </c>
      <c r="E2247" s="11" t="n">
        <v>17</v>
      </c>
      <c r="F2247" s="8" t="str">
        <f aca="false">IFERROR(INDEX(Section_Master!$D$2:$D$477,MATCH($E2247,Section_Master!$A$2:$A$477,0))&amp;"","")</f>
        <v>Not applicable - no offence or penalty defined here (definition, exception or general provision)</v>
      </c>
      <c r="G2247" s="10" t="str">
        <f aca="false">IFERROR(INDEX(Section_Master!$E$2:$E$477,MATCH($E2247,Section_Master!$A$2:$A$477,0))&amp;"","")</f>
        <v>N/A</v>
      </c>
      <c r="H2247" s="10" t="str">
        <f aca="false">IFERROR(INDEX(Section_Master!$F$2:$F$477,MATCH($E2247,Section_Master!$A$2:$A$477,0))&amp;"","")</f>
        <v>N/A</v>
      </c>
      <c r="I2247" s="10" t="str">
        <f aca="false">IFERROR(INDEX(Section_Master!$G$2:$G$477,MATCH($E2247,Section_Master!$A$2:$A$477,0))&amp;"","")</f>
        <v>N/A</v>
      </c>
      <c r="J2247" s="10" t="s">
        <v>52</v>
      </c>
      <c r="K2247" s="8" t="s">
        <v>5288</v>
      </c>
    </row>
    <row r="2248" customFormat="false" ht="34.5" hidden="false" customHeight="true" outlineLevel="0" collapsed="false">
      <c r="A2248" s="10" t="s">
        <v>5291</v>
      </c>
      <c r="B2248" s="10" t="s">
        <v>45</v>
      </c>
      <c r="C2248" s="8" t="s">
        <v>5286</v>
      </c>
      <c r="D2248" s="8" t="s">
        <v>5292</v>
      </c>
      <c r="E2248" s="11" t="n">
        <v>17</v>
      </c>
      <c r="F2248" s="8" t="str">
        <f aca="false">IFERROR(INDEX(Section_Master!$D$2:$D$477,MATCH($E2248,Section_Master!$A$2:$A$477,0))&amp;"","")</f>
        <v>Not applicable - no offence or penalty defined here (definition, exception or general provision)</v>
      </c>
      <c r="G2248" s="10" t="str">
        <f aca="false">IFERROR(INDEX(Section_Master!$E$2:$E$477,MATCH($E2248,Section_Master!$A$2:$A$477,0))&amp;"","")</f>
        <v>N/A</v>
      </c>
      <c r="H2248" s="10" t="str">
        <f aca="false">IFERROR(INDEX(Section_Master!$F$2:$F$477,MATCH($E2248,Section_Master!$A$2:$A$477,0))&amp;"","")</f>
        <v>N/A</v>
      </c>
      <c r="I2248" s="10" t="str">
        <f aca="false">IFERROR(INDEX(Section_Master!$G$2:$G$477,MATCH($E2248,Section_Master!$A$2:$A$477,0))&amp;"","")</f>
        <v>N/A</v>
      </c>
      <c r="J2248" s="10" t="s">
        <v>55</v>
      </c>
      <c r="K2248" s="8" t="s">
        <v>5288</v>
      </c>
    </row>
    <row r="2249" customFormat="false" ht="34.5" hidden="false" customHeight="true" outlineLevel="0" collapsed="false">
      <c r="A2249" s="10" t="s">
        <v>5293</v>
      </c>
      <c r="B2249" s="10" t="s">
        <v>45</v>
      </c>
      <c r="C2249" s="8" t="s">
        <v>5286</v>
      </c>
      <c r="D2249" s="8" t="s">
        <v>5294</v>
      </c>
      <c r="E2249" s="11" t="n">
        <v>17</v>
      </c>
      <c r="F2249" s="8" t="str">
        <f aca="false">IFERROR(INDEX(Section_Master!$D$2:$D$477,MATCH($E2249,Section_Master!$A$2:$A$477,0))&amp;"","")</f>
        <v>Not applicable - no offence or penalty defined here (definition, exception or general provision)</v>
      </c>
      <c r="G2249" s="10" t="str">
        <f aca="false">IFERROR(INDEX(Section_Master!$E$2:$E$477,MATCH($E2249,Section_Master!$A$2:$A$477,0))&amp;"","")</f>
        <v>N/A</v>
      </c>
      <c r="H2249" s="10" t="str">
        <f aca="false">IFERROR(INDEX(Section_Master!$F$2:$F$477,MATCH($E2249,Section_Master!$A$2:$A$477,0))&amp;"","")</f>
        <v>N/A</v>
      </c>
      <c r="I2249" s="10" t="str">
        <f aca="false">IFERROR(INDEX(Section_Master!$G$2:$G$477,MATCH($E2249,Section_Master!$A$2:$A$477,0))&amp;"","")</f>
        <v>N/A</v>
      </c>
      <c r="J2249" s="10" t="s">
        <v>58</v>
      </c>
      <c r="K2249" s="8" t="s">
        <v>5288</v>
      </c>
    </row>
    <row r="2250" customFormat="false" ht="34.5" hidden="false" customHeight="true" outlineLevel="0" collapsed="false">
      <c r="A2250" s="10" t="s">
        <v>5295</v>
      </c>
      <c r="B2250" s="10" t="s">
        <v>45</v>
      </c>
      <c r="C2250" s="8" t="s">
        <v>5286</v>
      </c>
      <c r="D2250" s="8" t="s">
        <v>5296</v>
      </c>
      <c r="E2250" s="11" t="n">
        <v>17</v>
      </c>
      <c r="F2250" s="8" t="str">
        <f aca="false">IFERROR(INDEX(Section_Master!$D$2:$D$477,MATCH($E2250,Section_Master!$A$2:$A$477,0))&amp;"","")</f>
        <v>Not applicable - no offence or penalty defined here (definition, exception or general provision)</v>
      </c>
      <c r="G2250" s="10" t="str">
        <f aca="false">IFERROR(INDEX(Section_Master!$E$2:$E$477,MATCH($E2250,Section_Master!$A$2:$A$477,0))&amp;"","")</f>
        <v>N/A</v>
      </c>
      <c r="H2250" s="10" t="str">
        <f aca="false">IFERROR(INDEX(Section_Master!$F$2:$F$477,MATCH($E2250,Section_Master!$A$2:$A$477,0))&amp;"","")</f>
        <v>N/A</v>
      </c>
      <c r="I2250" s="10" t="str">
        <f aca="false">IFERROR(INDEX(Section_Master!$G$2:$G$477,MATCH($E2250,Section_Master!$A$2:$A$477,0))&amp;"","")</f>
        <v>N/A</v>
      </c>
      <c r="J2250" s="10" t="s">
        <v>61</v>
      </c>
      <c r="K2250" s="8" t="s">
        <v>5288</v>
      </c>
    </row>
    <row r="2251" customFormat="false" ht="34.5" hidden="false" customHeight="true" outlineLevel="0" collapsed="false">
      <c r="A2251" s="10" t="s">
        <v>5297</v>
      </c>
      <c r="B2251" s="10" t="s">
        <v>45</v>
      </c>
      <c r="C2251" s="8" t="s">
        <v>5286</v>
      </c>
      <c r="D2251" s="8" t="s">
        <v>5298</v>
      </c>
      <c r="E2251" s="11" t="n">
        <v>17</v>
      </c>
      <c r="F2251" s="8" t="str">
        <f aca="false">IFERROR(INDEX(Section_Master!$D$2:$D$477,MATCH($E2251,Section_Master!$A$2:$A$477,0))&amp;"","")</f>
        <v>Not applicable - no offence or penalty defined here (definition, exception or general provision)</v>
      </c>
      <c r="G2251" s="10" t="str">
        <f aca="false">IFERROR(INDEX(Section_Master!$E$2:$E$477,MATCH($E2251,Section_Master!$A$2:$A$477,0))&amp;"","")</f>
        <v>N/A</v>
      </c>
      <c r="H2251" s="10" t="str">
        <f aca="false">IFERROR(INDEX(Section_Master!$F$2:$F$477,MATCH($E2251,Section_Master!$A$2:$A$477,0))&amp;"","")</f>
        <v>N/A</v>
      </c>
      <c r="I2251" s="10" t="str">
        <f aca="false">IFERROR(INDEX(Section_Master!$G$2:$G$477,MATCH($E2251,Section_Master!$A$2:$A$477,0))&amp;"","")</f>
        <v>N/A</v>
      </c>
      <c r="J2251" s="10" t="s">
        <v>64</v>
      </c>
      <c r="K2251" s="8" t="s">
        <v>5288</v>
      </c>
    </row>
    <row r="2252" customFormat="false" ht="23.25" hidden="false" customHeight="true" outlineLevel="0" collapsed="false">
      <c r="A2252" s="10" t="s">
        <v>5299</v>
      </c>
      <c r="B2252" s="10" t="s">
        <v>45</v>
      </c>
      <c r="C2252" s="8" t="s">
        <v>5300</v>
      </c>
      <c r="D2252" s="8" t="s">
        <v>5301</v>
      </c>
      <c r="E2252" s="11" t="n">
        <v>18</v>
      </c>
      <c r="F2252" s="8" t="str">
        <f aca="false">IFERROR(INDEX(Section_Master!$D$2:$D$477,MATCH($E2252,Section_Master!$A$2:$A$477,0))&amp;"","")</f>
        <v>Not applicable - no offence or penalty defined here (definition, exception or general provision)</v>
      </c>
      <c r="G2252" s="10" t="str">
        <f aca="false">IFERROR(INDEX(Section_Master!$E$2:$E$477,MATCH($E2252,Section_Master!$A$2:$A$477,0))&amp;"","")</f>
        <v>N/A</v>
      </c>
      <c r="H2252" s="10" t="str">
        <f aca="false">IFERROR(INDEX(Section_Master!$F$2:$F$477,MATCH($E2252,Section_Master!$A$2:$A$477,0))&amp;"","")</f>
        <v>N/A</v>
      </c>
      <c r="I2252" s="10" t="str">
        <f aca="false">IFERROR(INDEX(Section_Master!$G$2:$G$477,MATCH($E2252,Section_Master!$A$2:$A$477,0))&amp;"","")</f>
        <v>N/A</v>
      </c>
      <c r="J2252" s="10" t="s">
        <v>48</v>
      </c>
      <c r="K2252" s="8" t="s">
        <v>5302</v>
      </c>
    </row>
    <row r="2253" customFormat="false" ht="34.5" hidden="false" customHeight="true" outlineLevel="0" collapsed="false">
      <c r="A2253" s="10" t="s">
        <v>5303</v>
      </c>
      <c r="B2253" s="10" t="s">
        <v>45</v>
      </c>
      <c r="C2253" s="8" t="s">
        <v>5300</v>
      </c>
      <c r="D2253" s="8" t="s">
        <v>5304</v>
      </c>
      <c r="E2253" s="11" t="n">
        <v>18</v>
      </c>
      <c r="F2253" s="8" t="str">
        <f aca="false">IFERROR(INDEX(Section_Master!$D$2:$D$477,MATCH($E2253,Section_Master!$A$2:$A$477,0))&amp;"","")</f>
        <v>Not applicable - no offence or penalty defined here (definition, exception or general provision)</v>
      </c>
      <c r="G2253" s="10" t="str">
        <f aca="false">IFERROR(INDEX(Section_Master!$E$2:$E$477,MATCH($E2253,Section_Master!$A$2:$A$477,0))&amp;"","")</f>
        <v>N/A</v>
      </c>
      <c r="H2253" s="10" t="str">
        <f aca="false">IFERROR(INDEX(Section_Master!$F$2:$F$477,MATCH($E2253,Section_Master!$A$2:$A$477,0))&amp;"","")</f>
        <v>N/A</v>
      </c>
      <c r="I2253" s="10" t="str">
        <f aca="false">IFERROR(INDEX(Section_Master!$G$2:$G$477,MATCH($E2253,Section_Master!$A$2:$A$477,0))&amp;"","")</f>
        <v>N/A</v>
      </c>
      <c r="J2253" s="10" t="s">
        <v>52</v>
      </c>
      <c r="K2253" s="8" t="s">
        <v>5302</v>
      </c>
    </row>
    <row r="2254" customFormat="false" ht="34.5" hidden="false" customHeight="true" outlineLevel="0" collapsed="false">
      <c r="A2254" s="10" t="s">
        <v>5305</v>
      </c>
      <c r="B2254" s="10" t="s">
        <v>45</v>
      </c>
      <c r="C2254" s="8" t="s">
        <v>5300</v>
      </c>
      <c r="D2254" s="8" t="s">
        <v>5306</v>
      </c>
      <c r="E2254" s="11" t="n">
        <v>18</v>
      </c>
      <c r="F2254" s="8" t="str">
        <f aca="false">IFERROR(INDEX(Section_Master!$D$2:$D$477,MATCH($E2254,Section_Master!$A$2:$A$477,0))&amp;"","")</f>
        <v>Not applicable - no offence or penalty defined here (definition, exception or general provision)</v>
      </c>
      <c r="G2254" s="10" t="str">
        <f aca="false">IFERROR(INDEX(Section_Master!$E$2:$E$477,MATCH($E2254,Section_Master!$A$2:$A$477,0))&amp;"","")</f>
        <v>N/A</v>
      </c>
      <c r="H2254" s="10" t="str">
        <f aca="false">IFERROR(INDEX(Section_Master!$F$2:$F$477,MATCH($E2254,Section_Master!$A$2:$A$477,0))&amp;"","")</f>
        <v>N/A</v>
      </c>
      <c r="I2254" s="10" t="str">
        <f aca="false">IFERROR(INDEX(Section_Master!$G$2:$G$477,MATCH($E2254,Section_Master!$A$2:$A$477,0))&amp;"","")</f>
        <v>N/A</v>
      </c>
      <c r="J2254" s="10" t="s">
        <v>55</v>
      </c>
      <c r="K2254" s="8" t="s">
        <v>5302</v>
      </c>
    </row>
    <row r="2255" customFormat="false" ht="23.25" hidden="false" customHeight="true" outlineLevel="0" collapsed="false">
      <c r="A2255" s="10" t="s">
        <v>5307</v>
      </c>
      <c r="B2255" s="10" t="s">
        <v>45</v>
      </c>
      <c r="C2255" s="8" t="s">
        <v>5300</v>
      </c>
      <c r="D2255" s="8" t="s">
        <v>5308</v>
      </c>
      <c r="E2255" s="11" t="n">
        <v>18</v>
      </c>
      <c r="F2255" s="8" t="str">
        <f aca="false">IFERROR(INDEX(Section_Master!$D$2:$D$477,MATCH($E2255,Section_Master!$A$2:$A$477,0))&amp;"","")</f>
        <v>Not applicable - no offence or penalty defined here (definition, exception or general provision)</v>
      </c>
      <c r="G2255" s="10" t="str">
        <f aca="false">IFERROR(INDEX(Section_Master!$E$2:$E$477,MATCH($E2255,Section_Master!$A$2:$A$477,0))&amp;"","")</f>
        <v>N/A</v>
      </c>
      <c r="H2255" s="10" t="str">
        <f aca="false">IFERROR(INDEX(Section_Master!$F$2:$F$477,MATCH($E2255,Section_Master!$A$2:$A$477,0))&amp;"","")</f>
        <v>N/A</v>
      </c>
      <c r="I2255" s="10" t="str">
        <f aca="false">IFERROR(INDEX(Section_Master!$G$2:$G$477,MATCH($E2255,Section_Master!$A$2:$A$477,0))&amp;"","")</f>
        <v>N/A</v>
      </c>
      <c r="J2255" s="10" t="s">
        <v>58</v>
      </c>
      <c r="K2255" s="8" t="s">
        <v>5302</v>
      </c>
    </row>
    <row r="2256" customFormat="false" ht="34.5" hidden="false" customHeight="true" outlineLevel="0" collapsed="false">
      <c r="A2256" s="10" t="s">
        <v>5309</v>
      </c>
      <c r="B2256" s="10" t="s">
        <v>45</v>
      </c>
      <c r="C2256" s="8" t="s">
        <v>5300</v>
      </c>
      <c r="D2256" s="8" t="s">
        <v>5310</v>
      </c>
      <c r="E2256" s="11" t="n">
        <v>18</v>
      </c>
      <c r="F2256" s="8" t="str">
        <f aca="false">IFERROR(INDEX(Section_Master!$D$2:$D$477,MATCH($E2256,Section_Master!$A$2:$A$477,0))&amp;"","")</f>
        <v>Not applicable - no offence or penalty defined here (definition, exception or general provision)</v>
      </c>
      <c r="G2256" s="10" t="str">
        <f aca="false">IFERROR(INDEX(Section_Master!$E$2:$E$477,MATCH($E2256,Section_Master!$A$2:$A$477,0))&amp;"","")</f>
        <v>N/A</v>
      </c>
      <c r="H2256" s="10" t="str">
        <f aca="false">IFERROR(INDEX(Section_Master!$F$2:$F$477,MATCH($E2256,Section_Master!$A$2:$A$477,0))&amp;"","")</f>
        <v>N/A</v>
      </c>
      <c r="I2256" s="10" t="str">
        <f aca="false">IFERROR(INDEX(Section_Master!$G$2:$G$477,MATCH($E2256,Section_Master!$A$2:$A$477,0))&amp;"","")</f>
        <v>N/A</v>
      </c>
      <c r="J2256" s="10" t="s">
        <v>61</v>
      </c>
      <c r="K2256" s="8" t="s">
        <v>5302</v>
      </c>
    </row>
    <row r="2257" customFormat="false" ht="34.5" hidden="false" customHeight="true" outlineLevel="0" collapsed="false">
      <c r="A2257" s="10" t="s">
        <v>5311</v>
      </c>
      <c r="B2257" s="10" t="s">
        <v>45</v>
      </c>
      <c r="C2257" s="8" t="s">
        <v>5300</v>
      </c>
      <c r="D2257" s="8" t="s">
        <v>5312</v>
      </c>
      <c r="E2257" s="11" t="n">
        <v>18</v>
      </c>
      <c r="F2257" s="8" t="str">
        <f aca="false">IFERROR(INDEX(Section_Master!$D$2:$D$477,MATCH($E2257,Section_Master!$A$2:$A$477,0))&amp;"","")</f>
        <v>Not applicable - no offence or penalty defined here (definition, exception or general provision)</v>
      </c>
      <c r="G2257" s="10" t="str">
        <f aca="false">IFERROR(INDEX(Section_Master!$E$2:$E$477,MATCH($E2257,Section_Master!$A$2:$A$477,0))&amp;"","")</f>
        <v>N/A</v>
      </c>
      <c r="H2257" s="10" t="str">
        <f aca="false">IFERROR(INDEX(Section_Master!$F$2:$F$477,MATCH($E2257,Section_Master!$A$2:$A$477,0))&amp;"","")</f>
        <v>N/A</v>
      </c>
      <c r="I2257" s="10" t="str">
        <f aca="false">IFERROR(INDEX(Section_Master!$G$2:$G$477,MATCH($E2257,Section_Master!$A$2:$A$477,0))&amp;"","")</f>
        <v>N/A</v>
      </c>
      <c r="J2257" s="10" t="s">
        <v>64</v>
      </c>
      <c r="K2257" s="8" t="s">
        <v>5302</v>
      </c>
    </row>
    <row r="2258" customFormat="false" ht="23.25" hidden="false" customHeight="true" outlineLevel="0" collapsed="false">
      <c r="A2258" s="10" t="s">
        <v>5313</v>
      </c>
      <c r="B2258" s="10" t="s">
        <v>45</v>
      </c>
      <c r="C2258" s="8" t="s">
        <v>5314</v>
      </c>
      <c r="D2258" s="8" t="s">
        <v>5315</v>
      </c>
      <c r="E2258" s="11" t="n">
        <v>19</v>
      </c>
      <c r="F2258" s="8" t="str">
        <f aca="false">IFERROR(INDEX(Section_Master!$D$2:$D$477,MATCH($E2258,Section_Master!$A$2:$A$477,0))&amp;"","")</f>
        <v>Not applicable - no offence or penalty defined here (definition, exception or general provision)</v>
      </c>
      <c r="G2258" s="10" t="str">
        <f aca="false">IFERROR(INDEX(Section_Master!$E$2:$E$477,MATCH($E2258,Section_Master!$A$2:$A$477,0))&amp;"","")</f>
        <v>N/A</v>
      </c>
      <c r="H2258" s="10" t="str">
        <f aca="false">IFERROR(INDEX(Section_Master!$F$2:$F$477,MATCH($E2258,Section_Master!$A$2:$A$477,0))&amp;"","")</f>
        <v>N/A</v>
      </c>
      <c r="I2258" s="10" t="str">
        <f aca="false">IFERROR(INDEX(Section_Master!$G$2:$G$477,MATCH($E2258,Section_Master!$A$2:$A$477,0))&amp;"","")</f>
        <v>N/A</v>
      </c>
      <c r="J2258" s="10" t="s">
        <v>48</v>
      </c>
      <c r="K2258" s="8" t="s">
        <v>5316</v>
      </c>
    </row>
    <row r="2259" customFormat="false" ht="34.5" hidden="false" customHeight="true" outlineLevel="0" collapsed="false">
      <c r="A2259" s="10" t="s">
        <v>5317</v>
      </c>
      <c r="B2259" s="10" t="s">
        <v>45</v>
      </c>
      <c r="C2259" s="8" t="s">
        <v>5314</v>
      </c>
      <c r="D2259" s="8" t="s">
        <v>5318</v>
      </c>
      <c r="E2259" s="11" t="n">
        <v>19</v>
      </c>
      <c r="F2259" s="8" t="str">
        <f aca="false">IFERROR(INDEX(Section_Master!$D$2:$D$477,MATCH($E2259,Section_Master!$A$2:$A$477,0))&amp;"","")</f>
        <v>Not applicable - no offence or penalty defined here (definition, exception or general provision)</v>
      </c>
      <c r="G2259" s="10" t="str">
        <f aca="false">IFERROR(INDEX(Section_Master!$E$2:$E$477,MATCH($E2259,Section_Master!$A$2:$A$477,0))&amp;"","")</f>
        <v>N/A</v>
      </c>
      <c r="H2259" s="10" t="str">
        <f aca="false">IFERROR(INDEX(Section_Master!$F$2:$F$477,MATCH($E2259,Section_Master!$A$2:$A$477,0))&amp;"","")</f>
        <v>N/A</v>
      </c>
      <c r="I2259" s="10" t="str">
        <f aca="false">IFERROR(INDEX(Section_Master!$G$2:$G$477,MATCH($E2259,Section_Master!$A$2:$A$477,0))&amp;"","")</f>
        <v>N/A</v>
      </c>
      <c r="J2259" s="10" t="s">
        <v>52</v>
      </c>
      <c r="K2259" s="8" t="s">
        <v>5316</v>
      </c>
    </row>
    <row r="2260" customFormat="false" ht="34.5" hidden="false" customHeight="true" outlineLevel="0" collapsed="false">
      <c r="A2260" s="10" t="s">
        <v>5319</v>
      </c>
      <c r="B2260" s="10" t="s">
        <v>45</v>
      </c>
      <c r="C2260" s="8" t="s">
        <v>5314</v>
      </c>
      <c r="D2260" s="8" t="s">
        <v>5320</v>
      </c>
      <c r="E2260" s="11" t="n">
        <v>19</v>
      </c>
      <c r="F2260" s="8" t="str">
        <f aca="false">IFERROR(INDEX(Section_Master!$D$2:$D$477,MATCH($E2260,Section_Master!$A$2:$A$477,0))&amp;"","")</f>
        <v>Not applicable - no offence or penalty defined here (definition, exception or general provision)</v>
      </c>
      <c r="G2260" s="10" t="str">
        <f aca="false">IFERROR(INDEX(Section_Master!$E$2:$E$477,MATCH($E2260,Section_Master!$A$2:$A$477,0))&amp;"","")</f>
        <v>N/A</v>
      </c>
      <c r="H2260" s="10" t="str">
        <f aca="false">IFERROR(INDEX(Section_Master!$F$2:$F$477,MATCH($E2260,Section_Master!$A$2:$A$477,0))&amp;"","")</f>
        <v>N/A</v>
      </c>
      <c r="I2260" s="10" t="str">
        <f aca="false">IFERROR(INDEX(Section_Master!$G$2:$G$477,MATCH($E2260,Section_Master!$A$2:$A$477,0))&amp;"","")</f>
        <v>N/A</v>
      </c>
      <c r="J2260" s="10" t="s">
        <v>55</v>
      </c>
      <c r="K2260" s="8" t="s">
        <v>5316</v>
      </c>
    </row>
    <row r="2261" customFormat="false" ht="34.5" hidden="false" customHeight="true" outlineLevel="0" collapsed="false">
      <c r="A2261" s="10" t="s">
        <v>5321</v>
      </c>
      <c r="B2261" s="10" t="s">
        <v>45</v>
      </c>
      <c r="C2261" s="8" t="s">
        <v>5314</v>
      </c>
      <c r="D2261" s="8" t="s">
        <v>5322</v>
      </c>
      <c r="E2261" s="11" t="n">
        <v>19</v>
      </c>
      <c r="F2261" s="8" t="str">
        <f aca="false">IFERROR(INDEX(Section_Master!$D$2:$D$477,MATCH($E2261,Section_Master!$A$2:$A$477,0))&amp;"","")</f>
        <v>Not applicable - no offence or penalty defined here (definition, exception or general provision)</v>
      </c>
      <c r="G2261" s="10" t="str">
        <f aca="false">IFERROR(INDEX(Section_Master!$E$2:$E$477,MATCH($E2261,Section_Master!$A$2:$A$477,0))&amp;"","")</f>
        <v>N/A</v>
      </c>
      <c r="H2261" s="10" t="str">
        <f aca="false">IFERROR(INDEX(Section_Master!$F$2:$F$477,MATCH($E2261,Section_Master!$A$2:$A$477,0))&amp;"","")</f>
        <v>N/A</v>
      </c>
      <c r="I2261" s="10" t="str">
        <f aca="false">IFERROR(INDEX(Section_Master!$G$2:$G$477,MATCH($E2261,Section_Master!$A$2:$A$477,0))&amp;"","")</f>
        <v>N/A</v>
      </c>
      <c r="J2261" s="10" t="s">
        <v>58</v>
      </c>
      <c r="K2261" s="8" t="s">
        <v>5316</v>
      </c>
    </row>
    <row r="2262" customFormat="false" ht="23.25" hidden="false" customHeight="true" outlineLevel="0" collapsed="false">
      <c r="A2262" s="10" t="s">
        <v>5323</v>
      </c>
      <c r="B2262" s="10" t="s">
        <v>45</v>
      </c>
      <c r="C2262" s="8" t="s">
        <v>5314</v>
      </c>
      <c r="D2262" s="8" t="s">
        <v>5324</v>
      </c>
      <c r="E2262" s="11" t="n">
        <v>19</v>
      </c>
      <c r="F2262" s="8" t="str">
        <f aca="false">IFERROR(INDEX(Section_Master!$D$2:$D$477,MATCH($E2262,Section_Master!$A$2:$A$477,0))&amp;"","")</f>
        <v>Not applicable - no offence or penalty defined here (definition, exception or general provision)</v>
      </c>
      <c r="G2262" s="10" t="str">
        <f aca="false">IFERROR(INDEX(Section_Master!$E$2:$E$477,MATCH($E2262,Section_Master!$A$2:$A$477,0))&amp;"","")</f>
        <v>N/A</v>
      </c>
      <c r="H2262" s="10" t="str">
        <f aca="false">IFERROR(INDEX(Section_Master!$F$2:$F$477,MATCH($E2262,Section_Master!$A$2:$A$477,0))&amp;"","")</f>
        <v>N/A</v>
      </c>
      <c r="I2262" s="10" t="str">
        <f aca="false">IFERROR(INDEX(Section_Master!$G$2:$G$477,MATCH($E2262,Section_Master!$A$2:$A$477,0))&amp;"","")</f>
        <v>N/A</v>
      </c>
      <c r="J2262" s="10" t="s">
        <v>61</v>
      </c>
      <c r="K2262" s="8" t="s">
        <v>5316</v>
      </c>
    </row>
    <row r="2263" customFormat="false" ht="34.5" hidden="false" customHeight="true" outlineLevel="0" collapsed="false">
      <c r="A2263" s="10" t="s">
        <v>5325</v>
      </c>
      <c r="B2263" s="10" t="s">
        <v>45</v>
      </c>
      <c r="C2263" s="8" t="s">
        <v>5314</v>
      </c>
      <c r="D2263" s="8" t="s">
        <v>5326</v>
      </c>
      <c r="E2263" s="11" t="n">
        <v>19</v>
      </c>
      <c r="F2263" s="8" t="str">
        <f aca="false">IFERROR(INDEX(Section_Master!$D$2:$D$477,MATCH($E2263,Section_Master!$A$2:$A$477,0))&amp;"","")</f>
        <v>Not applicable - no offence or penalty defined here (definition, exception or general provision)</v>
      </c>
      <c r="G2263" s="10" t="str">
        <f aca="false">IFERROR(INDEX(Section_Master!$E$2:$E$477,MATCH($E2263,Section_Master!$A$2:$A$477,0))&amp;"","")</f>
        <v>N/A</v>
      </c>
      <c r="H2263" s="10" t="str">
        <f aca="false">IFERROR(INDEX(Section_Master!$F$2:$F$477,MATCH($E2263,Section_Master!$A$2:$A$477,0))&amp;"","")</f>
        <v>N/A</v>
      </c>
      <c r="I2263" s="10" t="str">
        <f aca="false">IFERROR(INDEX(Section_Master!$G$2:$G$477,MATCH($E2263,Section_Master!$A$2:$A$477,0))&amp;"","")</f>
        <v>N/A</v>
      </c>
      <c r="J2263" s="10" t="s">
        <v>64</v>
      </c>
      <c r="K2263" s="8" t="s">
        <v>5316</v>
      </c>
    </row>
    <row r="2264" customFormat="false" ht="34.5" hidden="false" customHeight="true" outlineLevel="0" collapsed="false">
      <c r="A2264" s="10" t="s">
        <v>5327</v>
      </c>
      <c r="B2264" s="10" t="s">
        <v>45</v>
      </c>
      <c r="C2264" s="8" t="s">
        <v>5328</v>
      </c>
      <c r="D2264" s="8" t="s">
        <v>5329</v>
      </c>
      <c r="E2264" s="11" t="n">
        <v>20</v>
      </c>
      <c r="F2264" s="8" t="str">
        <f aca="false">IFERROR(INDEX(Section_Master!$D$2:$D$477,MATCH($E2264,Section_Master!$A$2:$A$477,0))&amp;"","")</f>
        <v>Not applicable - no offence or penalty defined here (definition, exception or general provision)</v>
      </c>
      <c r="G2264" s="10" t="str">
        <f aca="false">IFERROR(INDEX(Section_Master!$E$2:$E$477,MATCH($E2264,Section_Master!$A$2:$A$477,0))&amp;"","")</f>
        <v>N/A</v>
      </c>
      <c r="H2264" s="10" t="str">
        <f aca="false">IFERROR(INDEX(Section_Master!$F$2:$F$477,MATCH($E2264,Section_Master!$A$2:$A$477,0))&amp;"","")</f>
        <v>N/A</v>
      </c>
      <c r="I2264" s="10" t="str">
        <f aca="false">IFERROR(INDEX(Section_Master!$G$2:$G$477,MATCH($E2264,Section_Master!$A$2:$A$477,0))&amp;"","")</f>
        <v>N/A</v>
      </c>
      <c r="J2264" s="10" t="s">
        <v>48</v>
      </c>
      <c r="K2264" s="8" t="s">
        <v>5330</v>
      </c>
    </row>
    <row r="2265" customFormat="false" ht="34.5" hidden="false" customHeight="true" outlineLevel="0" collapsed="false">
      <c r="A2265" s="10" t="s">
        <v>5331</v>
      </c>
      <c r="B2265" s="10" t="s">
        <v>45</v>
      </c>
      <c r="C2265" s="8" t="s">
        <v>5328</v>
      </c>
      <c r="D2265" s="8" t="s">
        <v>5332</v>
      </c>
      <c r="E2265" s="11" t="n">
        <v>20</v>
      </c>
      <c r="F2265" s="8" t="str">
        <f aca="false">IFERROR(INDEX(Section_Master!$D$2:$D$477,MATCH($E2265,Section_Master!$A$2:$A$477,0))&amp;"","")</f>
        <v>Not applicable - no offence or penalty defined here (definition, exception or general provision)</v>
      </c>
      <c r="G2265" s="10" t="str">
        <f aca="false">IFERROR(INDEX(Section_Master!$E$2:$E$477,MATCH($E2265,Section_Master!$A$2:$A$477,0))&amp;"","")</f>
        <v>N/A</v>
      </c>
      <c r="H2265" s="10" t="str">
        <f aca="false">IFERROR(INDEX(Section_Master!$F$2:$F$477,MATCH($E2265,Section_Master!$A$2:$A$477,0))&amp;"","")</f>
        <v>N/A</v>
      </c>
      <c r="I2265" s="10" t="str">
        <f aca="false">IFERROR(INDEX(Section_Master!$G$2:$G$477,MATCH($E2265,Section_Master!$A$2:$A$477,0))&amp;"","")</f>
        <v>N/A</v>
      </c>
      <c r="J2265" s="10" t="s">
        <v>52</v>
      </c>
      <c r="K2265" s="8" t="s">
        <v>5330</v>
      </c>
    </row>
    <row r="2266" customFormat="false" ht="34.5" hidden="false" customHeight="true" outlineLevel="0" collapsed="false">
      <c r="A2266" s="10" t="s">
        <v>5333</v>
      </c>
      <c r="B2266" s="10" t="s">
        <v>45</v>
      </c>
      <c r="C2266" s="8" t="s">
        <v>5328</v>
      </c>
      <c r="D2266" s="8" t="s">
        <v>5334</v>
      </c>
      <c r="E2266" s="11" t="n">
        <v>20</v>
      </c>
      <c r="F2266" s="8" t="str">
        <f aca="false">IFERROR(INDEX(Section_Master!$D$2:$D$477,MATCH($E2266,Section_Master!$A$2:$A$477,0))&amp;"","")</f>
        <v>Not applicable - no offence or penalty defined here (definition, exception or general provision)</v>
      </c>
      <c r="G2266" s="10" t="str">
        <f aca="false">IFERROR(INDEX(Section_Master!$E$2:$E$477,MATCH($E2266,Section_Master!$A$2:$A$477,0))&amp;"","")</f>
        <v>N/A</v>
      </c>
      <c r="H2266" s="10" t="str">
        <f aca="false">IFERROR(INDEX(Section_Master!$F$2:$F$477,MATCH($E2266,Section_Master!$A$2:$A$477,0))&amp;"","")</f>
        <v>N/A</v>
      </c>
      <c r="I2266" s="10" t="str">
        <f aca="false">IFERROR(INDEX(Section_Master!$G$2:$G$477,MATCH($E2266,Section_Master!$A$2:$A$477,0))&amp;"","")</f>
        <v>N/A</v>
      </c>
      <c r="J2266" s="10" t="s">
        <v>55</v>
      </c>
      <c r="K2266" s="8" t="s">
        <v>5330</v>
      </c>
    </row>
    <row r="2267" customFormat="false" ht="23.25" hidden="false" customHeight="true" outlineLevel="0" collapsed="false">
      <c r="A2267" s="10" t="s">
        <v>5335</v>
      </c>
      <c r="B2267" s="10" t="s">
        <v>45</v>
      </c>
      <c r="C2267" s="8" t="s">
        <v>5328</v>
      </c>
      <c r="D2267" s="8" t="s">
        <v>5336</v>
      </c>
      <c r="E2267" s="11" t="n">
        <v>20</v>
      </c>
      <c r="F2267" s="8" t="str">
        <f aca="false">IFERROR(INDEX(Section_Master!$D$2:$D$477,MATCH($E2267,Section_Master!$A$2:$A$477,0))&amp;"","")</f>
        <v>Not applicable - no offence or penalty defined here (definition, exception or general provision)</v>
      </c>
      <c r="G2267" s="10" t="str">
        <f aca="false">IFERROR(INDEX(Section_Master!$E$2:$E$477,MATCH($E2267,Section_Master!$A$2:$A$477,0))&amp;"","")</f>
        <v>N/A</v>
      </c>
      <c r="H2267" s="10" t="str">
        <f aca="false">IFERROR(INDEX(Section_Master!$F$2:$F$477,MATCH($E2267,Section_Master!$A$2:$A$477,0))&amp;"","")</f>
        <v>N/A</v>
      </c>
      <c r="I2267" s="10" t="str">
        <f aca="false">IFERROR(INDEX(Section_Master!$G$2:$G$477,MATCH($E2267,Section_Master!$A$2:$A$477,0))&amp;"","")</f>
        <v>N/A</v>
      </c>
      <c r="J2267" s="10" t="s">
        <v>58</v>
      </c>
      <c r="K2267" s="8" t="s">
        <v>5330</v>
      </c>
    </row>
    <row r="2268" customFormat="false" ht="34.5" hidden="false" customHeight="true" outlineLevel="0" collapsed="false">
      <c r="A2268" s="10" t="s">
        <v>5337</v>
      </c>
      <c r="B2268" s="10" t="s">
        <v>45</v>
      </c>
      <c r="C2268" s="8" t="s">
        <v>5328</v>
      </c>
      <c r="D2268" s="8" t="s">
        <v>5338</v>
      </c>
      <c r="E2268" s="11" t="n">
        <v>20</v>
      </c>
      <c r="F2268" s="8" t="str">
        <f aca="false">IFERROR(INDEX(Section_Master!$D$2:$D$477,MATCH($E2268,Section_Master!$A$2:$A$477,0))&amp;"","")</f>
        <v>Not applicable - no offence or penalty defined here (definition, exception or general provision)</v>
      </c>
      <c r="G2268" s="10" t="str">
        <f aca="false">IFERROR(INDEX(Section_Master!$E$2:$E$477,MATCH($E2268,Section_Master!$A$2:$A$477,0))&amp;"","")</f>
        <v>N/A</v>
      </c>
      <c r="H2268" s="10" t="str">
        <f aca="false">IFERROR(INDEX(Section_Master!$F$2:$F$477,MATCH($E2268,Section_Master!$A$2:$A$477,0))&amp;"","")</f>
        <v>N/A</v>
      </c>
      <c r="I2268" s="10" t="str">
        <f aca="false">IFERROR(INDEX(Section_Master!$G$2:$G$477,MATCH($E2268,Section_Master!$A$2:$A$477,0))&amp;"","")</f>
        <v>N/A</v>
      </c>
      <c r="J2268" s="10" t="s">
        <v>61</v>
      </c>
      <c r="K2268" s="8" t="s">
        <v>5330</v>
      </c>
    </row>
    <row r="2269" customFormat="false" ht="34.5" hidden="false" customHeight="true" outlineLevel="0" collapsed="false">
      <c r="A2269" s="10" t="s">
        <v>5339</v>
      </c>
      <c r="B2269" s="10" t="s">
        <v>45</v>
      </c>
      <c r="C2269" s="8" t="s">
        <v>5328</v>
      </c>
      <c r="D2269" s="8" t="s">
        <v>5340</v>
      </c>
      <c r="E2269" s="11" t="n">
        <v>20</v>
      </c>
      <c r="F2269" s="8" t="str">
        <f aca="false">IFERROR(INDEX(Section_Master!$D$2:$D$477,MATCH($E2269,Section_Master!$A$2:$A$477,0))&amp;"","")</f>
        <v>Not applicable - no offence or penalty defined here (definition, exception or general provision)</v>
      </c>
      <c r="G2269" s="10" t="str">
        <f aca="false">IFERROR(INDEX(Section_Master!$E$2:$E$477,MATCH($E2269,Section_Master!$A$2:$A$477,0))&amp;"","")</f>
        <v>N/A</v>
      </c>
      <c r="H2269" s="10" t="str">
        <f aca="false">IFERROR(INDEX(Section_Master!$F$2:$F$477,MATCH($E2269,Section_Master!$A$2:$A$477,0))&amp;"","")</f>
        <v>N/A</v>
      </c>
      <c r="I2269" s="10" t="str">
        <f aca="false">IFERROR(INDEX(Section_Master!$G$2:$G$477,MATCH($E2269,Section_Master!$A$2:$A$477,0))&amp;"","")</f>
        <v>N/A</v>
      </c>
      <c r="J2269" s="10" t="s">
        <v>64</v>
      </c>
      <c r="K2269" s="8" t="s">
        <v>5330</v>
      </c>
    </row>
    <row r="2270" customFormat="false" ht="34.5" hidden="false" customHeight="true" outlineLevel="0" collapsed="false">
      <c r="A2270" s="10" t="s">
        <v>5341</v>
      </c>
      <c r="B2270" s="10" t="s">
        <v>45</v>
      </c>
      <c r="C2270" s="8" t="s">
        <v>5342</v>
      </c>
      <c r="D2270" s="8" t="s">
        <v>5343</v>
      </c>
      <c r="E2270" s="11" t="n">
        <v>21</v>
      </c>
      <c r="F2270" s="8" t="str">
        <f aca="false">IFERROR(INDEX(Section_Master!$D$2:$D$477,MATCH($E2270,Section_Master!$A$2:$A$477,0))&amp;"","")</f>
        <v>Not applicable - no offence or penalty defined here (definition, exception or general provision)</v>
      </c>
      <c r="G2270" s="10" t="str">
        <f aca="false">IFERROR(INDEX(Section_Master!$E$2:$E$477,MATCH($E2270,Section_Master!$A$2:$A$477,0))&amp;"","")</f>
        <v>N/A</v>
      </c>
      <c r="H2270" s="10" t="str">
        <f aca="false">IFERROR(INDEX(Section_Master!$F$2:$F$477,MATCH($E2270,Section_Master!$A$2:$A$477,0))&amp;"","")</f>
        <v>N/A</v>
      </c>
      <c r="I2270" s="10" t="str">
        <f aca="false">IFERROR(INDEX(Section_Master!$G$2:$G$477,MATCH($E2270,Section_Master!$A$2:$A$477,0))&amp;"","")</f>
        <v>N/A</v>
      </c>
      <c r="J2270" s="10" t="s">
        <v>48</v>
      </c>
      <c r="K2270" s="8" t="s">
        <v>5344</v>
      </c>
    </row>
    <row r="2271" customFormat="false" ht="23.25" hidden="false" customHeight="true" outlineLevel="0" collapsed="false">
      <c r="A2271" s="10" t="s">
        <v>5345</v>
      </c>
      <c r="B2271" s="10" t="s">
        <v>45</v>
      </c>
      <c r="C2271" s="8" t="s">
        <v>5342</v>
      </c>
      <c r="D2271" s="8" t="s">
        <v>5346</v>
      </c>
      <c r="E2271" s="11" t="n">
        <v>21</v>
      </c>
      <c r="F2271" s="8" t="str">
        <f aca="false">IFERROR(INDEX(Section_Master!$D$2:$D$477,MATCH($E2271,Section_Master!$A$2:$A$477,0))&amp;"","")</f>
        <v>Not applicable - no offence or penalty defined here (definition, exception or general provision)</v>
      </c>
      <c r="G2271" s="10" t="str">
        <f aca="false">IFERROR(INDEX(Section_Master!$E$2:$E$477,MATCH($E2271,Section_Master!$A$2:$A$477,0))&amp;"","")</f>
        <v>N/A</v>
      </c>
      <c r="H2271" s="10" t="str">
        <f aca="false">IFERROR(INDEX(Section_Master!$F$2:$F$477,MATCH($E2271,Section_Master!$A$2:$A$477,0))&amp;"","")</f>
        <v>N/A</v>
      </c>
      <c r="I2271" s="10" t="str">
        <f aca="false">IFERROR(INDEX(Section_Master!$G$2:$G$477,MATCH($E2271,Section_Master!$A$2:$A$477,0))&amp;"","")</f>
        <v>N/A</v>
      </c>
      <c r="J2271" s="10" t="s">
        <v>52</v>
      </c>
      <c r="K2271" s="8" t="s">
        <v>5344</v>
      </c>
    </row>
    <row r="2272" customFormat="false" ht="23.25" hidden="false" customHeight="true" outlineLevel="0" collapsed="false">
      <c r="A2272" s="10" t="s">
        <v>5347</v>
      </c>
      <c r="B2272" s="10" t="s">
        <v>45</v>
      </c>
      <c r="C2272" s="8" t="s">
        <v>5342</v>
      </c>
      <c r="D2272" s="8" t="s">
        <v>5348</v>
      </c>
      <c r="E2272" s="11" t="n">
        <v>21</v>
      </c>
      <c r="F2272" s="8" t="str">
        <f aca="false">IFERROR(INDEX(Section_Master!$D$2:$D$477,MATCH($E2272,Section_Master!$A$2:$A$477,0))&amp;"","")</f>
        <v>Not applicable - no offence or penalty defined here (definition, exception or general provision)</v>
      </c>
      <c r="G2272" s="10" t="str">
        <f aca="false">IFERROR(INDEX(Section_Master!$E$2:$E$477,MATCH($E2272,Section_Master!$A$2:$A$477,0))&amp;"","")</f>
        <v>N/A</v>
      </c>
      <c r="H2272" s="10" t="str">
        <f aca="false">IFERROR(INDEX(Section_Master!$F$2:$F$477,MATCH($E2272,Section_Master!$A$2:$A$477,0))&amp;"","")</f>
        <v>N/A</v>
      </c>
      <c r="I2272" s="10" t="str">
        <f aca="false">IFERROR(INDEX(Section_Master!$G$2:$G$477,MATCH($E2272,Section_Master!$A$2:$A$477,0))&amp;"","")</f>
        <v>N/A</v>
      </c>
      <c r="J2272" s="10" t="s">
        <v>55</v>
      </c>
      <c r="K2272" s="8" t="s">
        <v>5344</v>
      </c>
    </row>
    <row r="2273" customFormat="false" ht="34.5" hidden="false" customHeight="true" outlineLevel="0" collapsed="false">
      <c r="A2273" s="10" t="s">
        <v>5349</v>
      </c>
      <c r="B2273" s="10" t="s">
        <v>45</v>
      </c>
      <c r="C2273" s="8" t="s">
        <v>5342</v>
      </c>
      <c r="D2273" s="8" t="s">
        <v>5350</v>
      </c>
      <c r="E2273" s="11" t="n">
        <v>21</v>
      </c>
      <c r="F2273" s="8" t="str">
        <f aca="false">IFERROR(INDEX(Section_Master!$D$2:$D$477,MATCH($E2273,Section_Master!$A$2:$A$477,0))&amp;"","")</f>
        <v>Not applicable - no offence or penalty defined here (definition, exception or general provision)</v>
      </c>
      <c r="G2273" s="10" t="str">
        <f aca="false">IFERROR(INDEX(Section_Master!$E$2:$E$477,MATCH($E2273,Section_Master!$A$2:$A$477,0))&amp;"","")</f>
        <v>N/A</v>
      </c>
      <c r="H2273" s="10" t="str">
        <f aca="false">IFERROR(INDEX(Section_Master!$F$2:$F$477,MATCH($E2273,Section_Master!$A$2:$A$477,0))&amp;"","")</f>
        <v>N/A</v>
      </c>
      <c r="I2273" s="10" t="str">
        <f aca="false">IFERROR(INDEX(Section_Master!$G$2:$G$477,MATCH($E2273,Section_Master!$A$2:$A$477,0))&amp;"","")</f>
        <v>N/A</v>
      </c>
      <c r="J2273" s="10" t="s">
        <v>58</v>
      </c>
      <c r="K2273" s="8" t="s">
        <v>5344</v>
      </c>
    </row>
    <row r="2274" customFormat="false" ht="23.25" hidden="false" customHeight="true" outlineLevel="0" collapsed="false">
      <c r="A2274" s="10" t="s">
        <v>5351</v>
      </c>
      <c r="B2274" s="10" t="s">
        <v>45</v>
      </c>
      <c r="C2274" s="8" t="s">
        <v>5342</v>
      </c>
      <c r="D2274" s="8" t="s">
        <v>5352</v>
      </c>
      <c r="E2274" s="11" t="n">
        <v>21</v>
      </c>
      <c r="F2274" s="8" t="str">
        <f aca="false">IFERROR(INDEX(Section_Master!$D$2:$D$477,MATCH($E2274,Section_Master!$A$2:$A$477,0))&amp;"","")</f>
        <v>Not applicable - no offence or penalty defined here (definition, exception or general provision)</v>
      </c>
      <c r="G2274" s="10" t="str">
        <f aca="false">IFERROR(INDEX(Section_Master!$E$2:$E$477,MATCH($E2274,Section_Master!$A$2:$A$477,0))&amp;"","")</f>
        <v>N/A</v>
      </c>
      <c r="H2274" s="10" t="str">
        <f aca="false">IFERROR(INDEX(Section_Master!$F$2:$F$477,MATCH($E2274,Section_Master!$A$2:$A$477,0))&amp;"","")</f>
        <v>N/A</v>
      </c>
      <c r="I2274" s="10" t="str">
        <f aca="false">IFERROR(INDEX(Section_Master!$G$2:$G$477,MATCH($E2274,Section_Master!$A$2:$A$477,0))&amp;"","")</f>
        <v>N/A</v>
      </c>
      <c r="J2274" s="10" t="s">
        <v>61</v>
      </c>
      <c r="K2274" s="8" t="s">
        <v>5344</v>
      </c>
    </row>
    <row r="2275" customFormat="false" ht="23.25" hidden="false" customHeight="true" outlineLevel="0" collapsed="false">
      <c r="A2275" s="10" t="s">
        <v>5353</v>
      </c>
      <c r="B2275" s="10" t="s">
        <v>45</v>
      </c>
      <c r="C2275" s="8" t="s">
        <v>5342</v>
      </c>
      <c r="D2275" s="8" t="s">
        <v>5354</v>
      </c>
      <c r="E2275" s="11" t="n">
        <v>21</v>
      </c>
      <c r="F2275" s="8" t="str">
        <f aca="false">IFERROR(INDEX(Section_Master!$D$2:$D$477,MATCH($E2275,Section_Master!$A$2:$A$477,0))&amp;"","")</f>
        <v>Not applicable - no offence or penalty defined here (definition, exception or general provision)</v>
      </c>
      <c r="G2275" s="10" t="str">
        <f aca="false">IFERROR(INDEX(Section_Master!$E$2:$E$477,MATCH($E2275,Section_Master!$A$2:$A$477,0))&amp;"","")</f>
        <v>N/A</v>
      </c>
      <c r="H2275" s="10" t="str">
        <f aca="false">IFERROR(INDEX(Section_Master!$F$2:$F$477,MATCH($E2275,Section_Master!$A$2:$A$477,0))&amp;"","")</f>
        <v>N/A</v>
      </c>
      <c r="I2275" s="10" t="str">
        <f aca="false">IFERROR(INDEX(Section_Master!$G$2:$G$477,MATCH($E2275,Section_Master!$A$2:$A$477,0))&amp;"","")</f>
        <v>N/A</v>
      </c>
      <c r="J2275" s="10" t="s">
        <v>64</v>
      </c>
      <c r="K2275" s="8" t="s">
        <v>5344</v>
      </c>
    </row>
    <row r="2276" customFormat="false" ht="23.25" hidden="false" customHeight="true" outlineLevel="0" collapsed="false">
      <c r="A2276" s="10" t="s">
        <v>5355</v>
      </c>
      <c r="B2276" s="10" t="s">
        <v>45</v>
      </c>
      <c r="C2276" s="8" t="s">
        <v>5356</v>
      </c>
      <c r="D2276" s="8" t="s">
        <v>5357</v>
      </c>
      <c r="E2276" s="11" t="n">
        <v>22</v>
      </c>
      <c r="F2276" s="8" t="str">
        <f aca="false">IFERROR(INDEX(Section_Master!$D$2:$D$477,MATCH($E2276,Section_Master!$A$2:$A$477,0))&amp;"","")</f>
        <v>Not applicable - no offence or penalty defined here (definition, exception or general provision)</v>
      </c>
      <c r="G2276" s="10" t="str">
        <f aca="false">IFERROR(INDEX(Section_Master!$E$2:$E$477,MATCH($E2276,Section_Master!$A$2:$A$477,0))&amp;"","")</f>
        <v>N/A</v>
      </c>
      <c r="H2276" s="10" t="str">
        <f aca="false">IFERROR(INDEX(Section_Master!$F$2:$F$477,MATCH($E2276,Section_Master!$A$2:$A$477,0))&amp;"","")</f>
        <v>N/A</v>
      </c>
      <c r="I2276" s="10" t="str">
        <f aca="false">IFERROR(INDEX(Section_Master!$G$2:$G$477,MATCH($E2276,Section_Master!$A$2:$A$477,0))&amp;"","")</f>
        <v>N/A</v>
      </c>
      <c r="J2276" s="10" t="s">
        <v>48</v>
      </c>
      <c r="K2276" s="8" t="s">
        <v>5358</v>
      </c>
    </row>
    <row r="2277" customFormat="false" ht="34.5" hidden="false" customHeight="true" outlineLevel="0" collapsed="false">
      <c r="A2277" s="10" t="s">
        <v>5359</v>
      </c>
      <c r="B2277" s="10" t="s">
        <v>45</v>
      </c>
      <c r="C2277" s="8" t="s">
        <v>5356</v>
      </c>
      <c r="D2277" s="8" t="s">
        <v>5360</v>
      </c>
      <c r="E2277" s="11" t="n">
        <v>22</v>
      </c>
      <c r="F2277" s="8" t="str">
        <f aca="false">IFERROR(INDEX(Section_Master!$D$2:$D$477,MATCH($E2277,Section_Master!$A$2:$A$477,0))&amp;"","")</f>
        <v>Not applicable - no offence or penalty defined here (definition, exception or general provision)</v>
      </c>
      <c r="G2277" s="10" t="str">
        <f aca="false">IFERROR(INDEX(Section_Master!$E$2:$E$477,MATCH($E2277,Section_Master!$A$2:$A$477,0))&amp;"","")</f>
        <v>N/A</v>
      </c>
      <c r="H2277" s="10" t="str">
        <f aca="false">IFERROR(INDEX(Section_Master!$F$2:$F$477,MATCH($E2277,Section_Master!$A$2:$A$477,0))&amp;"","")</f>
        <v>N/A</v>
      </c>
      <c r="I2277" s="10" t="str">
        <f aca="false">IFERROR(INDEX(Section_Master!$G$2:$G$477,MATCH($E2277,Section_Master!$A$2:$A$477,0))&amp;"","")</f>
        <v>N/A</v>
      </c>
      <c r="J2277" s="10" t="s">
        <v>52</v>
      </c>
      <c r="K2277" s="8" t="s">
        <v>5358</v>
      </c>
    </row>
    <row r="2278" customFormat="false" ht="34.5" hidden="false" customHeight="true" outlineLevel="0" collapsed="false">
      <c r="A2278" s="10" t="s">
        <v>5361</v>
      </c>
      <c r="B2278" s="10" t="s">
        <v>45</v>
      </c>
      <c r="C2278" s="8" t="s">
        <v>5356</v>
      </c>
      <c r="D2278" s="8" t="s">
        <v>5362</v>
      </c>
      <c r="E2278" s="11" t="n">
        <v>22</v>
      </c>
      <c r="F2278" s="8" t="str">
        <f aca="false">IFERROR(INDEX(Section_Master!$D$2:$D$477,MATCH($E2278,Section_Master!$A$2:$A$477,0))&amp;"","")</f>
        <v>Not applicable - no offence or penalty defined here (definition, exception or general provision)</v>
      </c>
      <c r="G2278" s="10" t="str">
        <f aca="false">IFERROR(INDEX(Section_Master!$E$2:$E$477,MATCH($E2278,Section_Master!$A$2:$A$477,0))&amp;"","")</f>
        <v>N/A</v>
      </c>
      <c r="H2278" s="10" t="str">
        <f aca="false">IFERROR(INDEX(Section_Master!$F$2:$F$477,MATCH($E2278,Section_Master!$A$2:$A$477,0))&amp;"","")</f>
        <v>N/A</v>
      </c>
      <c r="I2278" s="10" t="str">
        <f aca="false">IFERROR(INDEX(Section_Master!$G$2:$G$477,MATCH($E2278,Section_Master!$A$2:$A$477,0))&amp;"","")</f>
        <v>N/A</v>
      </c>
      <c r="J2278" s="10" t="s">
        <v>55</v>
      </c>
      <c r="K2278" s="8" t="s">
        <v>5358</v>
      </c>
    </row>
    <row r="2279" customFormat="false" ht="23.25" hidden="false" customHeight="true" outlineLevel="0" collapsed="false">
      <c r="A2279" s="10" t="s">
        <v>5363</v>
      </c>
      <c r="B2279" s="10" t="s">
        <v>45</v>
      </c>
      <c r="C2279" s="8" t="s">
        <v>5356</v>
      </c>
      <c r="D2279" s="8" t="s">
        <v>5364</v>
      </c>
      <c r="E2279" s="11" t="n">
        <v>22</v>
      </c>
      <c r="F2279" s="8" t="str">
        <f aca="false">IFERROR(INDEX(Section_Master!$D$2:$D$477,MATCH($E2279,Section_Master!$A$2:$A$477,0))&amp;"","")</f>
        <v>Not applicable - no offence or penalty defined here (definition, exception or general provision)</v>
      </c>
      <c r="G2279" s="10" t="str">
        <f aca="false">IFERROR(INDEX(Section_Master!$E$2:$E$477,MATCH($E2279,Section_Master!$A$2:$A$477,0))&amp;"","")</f>
        <v>N/A</v>
      </c>
      <c r="H2279" s="10" t="str">
        <f aca="false">IFERROR(INDEX(Section_Master!$F$2:$F$477,MATCH($E2279,Section_Master!$A$2:$A$477,0))&amp;"","")</f>
        <v>N/A</v>
      </c>
      <c r="I2279" s="10" t="str">
        <f aca="false">IFERROR(INDEX(Section_Master!$G$2:$G$477,MATCH($E2279,Section_Master!$A$2:$A$477,0))&amp;"","")</f>
        <v>N/A</v>
      </c>
      <c r="J2279" s="10" t="s">
        <v>58</v>
      </c>
      <c r="K2279" s="8" t="s">
        <v>5358</v>
      </c>
    </row>
    <row r="2280" customFormat="false" ht="23.25" hidden="false" customHeight="true" outlineLevel="0" collapsed="false">
      <c r="A2280" s="10" t="s">
        <v>5365</v>
      </c>
      <c r="B2280" s="10" t="s">
        <v>45</v>
      </c>
      <c r="C2280" s="8" t="s">
        <v>5356</v>
      </c>
      <c r="D2280" s="8" t="s">
        <v>5366</v>
      </c>
      <c r="E2280" s="11" t="n">
        <v>22</v>
      </c>
      <c r="F2280" s="8" t="str">
        <f aca="false">IFERROR(INDEX(Section_Master!$D$2:$D$477,MATCH($E2280,Section_Master!$A$2:$A$477,0))&amp;"","")</f>
        <v>Not applicable - no offence or penalty defined here (definition, exception or general provision)</v>
      </c>
      <c r="G2280" s="10" t="str">
        <f aca="false">IFERROR(INDEX(Section_Master!$E$2:$E$477,MATCH($E2280,Section_Master!$A$2:$A$477,0))&amp;"","")</f>
        <v>N/A</v>
      </c>
      <c r="H2280" s="10" t="str">
        <f aca="false">IFERROR(INDEX(Section_Master!$F$2:$F$477,MATCH($E2280,Section_Master!$A$2:$A$477,0))&amp;"","")</f>
        <v>N/A</v>
      </c>
      <c r="I2280" s="10" t="str">
        <f aca="false">IFERROR(INDEX(Section_Master!$G$2:$G$477,MATCH($E2280,Section_Master!$A$2:$A$477,0))&amp;"","")</f>
        <v>N/A</v>
      </c>
      <c r="J2280" s="10" t="s">
        <v>61</v>
      </c>
      <c r="K2280" s="8" t="s">
        <v>5358</v>
      </c>
    </row>
    <row r="2281" customFormat="false" ht="34.5" hidden="false" customHeight="true" outlineLevel="0" collapsed="false">
      <c r="A2281" s="10" t="s">
        <v>5367</v>
      </c>
      <c r="B2281" s="10" t="s">
        <v>45</v>
      </c>
      <c r="C2281" s="8" t="s">
        <v>5356</v>
      </c>
      <c r="D2281" s="8" t="s">
        <v>5368</v>
      </c>
      <c r="E2281" s="11" t="n">
        <v>22</v>
      </c>
      <c r="F2281" s="8" t="str">
        <f aca="false">IFERROR(INDEX(Section_Master!$D$2:$D$477,MATCH($E2281,Section_Master!$A$2:$A$477,0))&amp;"","")</f>
        <v>Not applicable - no offence or penalty defined here (definition, exception or general provision)</v>
      </c>
      <c r="G2281" s="10" t="str">
        <f aca="false">IFERROR(INDEX(Section_Master!$E$2:$E$477,MATCH($E2281,Section_Master!$A$2:$A$477,0))&amp;"","")</f>
        <v>N/A</v>
      </c>
      <c r="H2281" s="10" t="str">
        <f aca="false">IFERROR(INDEX(Section_Master!$F$2:$F$477,MATCH($E2281,Section_Master!$A$2:$A$477,0))&amp;"","")</f>
        <v>N/A</v>
      </c>
      <c r="I2281" s="10" t="str">
        <f aca="false">IFERROR(INDEX(Section_Master!$G$2:$G$477,MATCH($E2281,Section_Master!$A$2:$A$477,0))&amp;"","")</f>
        <v>N/A</v>
      </c>
      <c r="J2281" s="10" t="s">
        <v>64</v>
      </c>
      <c r="K2281" s="8" t="s">
        <v>5358</v>
      </c>
    </row>
    <row r="2282" customFormat="false" ht="34.5" hidden="false" customHeight="true" outlineLevel="0" collapsed="false">
      <c r="A2282" s="10" t="s">
        <v>5369</v>
      </c>
      <c r="B2282" s="10" t="s">
        <v>45</v>
      </c>
      <c r="C2282" s="8" t="s">
        <v>5370</v>
      </c>
      <c r="D2282" s="8" t="s">
        <v>5371</v>
      </c>
      <c r="E2282" s="11" t="n">
        <v>23</v>
      </c>
      <c r="F2282" s="8" t="str">
        <f aca="false">IFERROR(INDEX(Section_Master!$D$2:$D$477,MATCH($E2282,Section_Master!$A$2:$A$477,0))&amp;"","")</f>
        <v>Not applicable - no offence or penalty defined here (definition, exception or general provision)</v>
      </c>
      <c r="G2282" s="10" t="str">
        <f aca="false">IFERROR(INDEX(Section_Master!$E$2:$E$477,MATCH($E2282,Section_Master!$A$2:$A$477,0))&amp;"","")</f>
        <v>N/A</v>
      </c>
      <c r="H2282" s="10" t="str">
        <f aca="false">IFERROR(INDEX(Section_Master!$F$2:$F$477,MATCH($E2282,Section_Master!$A$2:$A$477,0))&amp;"","")</f>
        <v>N/A</v>
      </c>
      <c r="I2282" s="10" t="str">
        <f aca="false">IFERROR(INDEX(Section_Master!$G$2:$G$477,MATCH($E2282,Section_Master!$A$2:$A$477,0))&amp;"","")</f>
        <v>N/A</v>
      </c>
      <c r="J2282" s="10" t="s">
        <v>48</v>
      </c>
      <c r="K2282" s="8" t="s">
        <v>5372</v>
      </c>
    </row>
    <row r="2283" customFormat="false" ht="34.5" hidden="false" customHeight="true" outlineLevel="0" collapsed="false">
      <c r="A2283" s="10" t="s">
        <v>5373</v>
      </c>
      <c r="B2283" s="10" t="s">
        <v>45</v>
      </c>
      <c r="C2283" s="8" t="s">
        <v>5370</v>
      </c>
      <c r="D2283" s="8" t="s">
        <v>5374</v>
      </c>
      <c r="E2283" s="11" t="n">
        <v>23</v>
      </c>
      <c r="F2283" s="8" t="str">
        <f aca="false">IFERROR(INDEX(Section_Master!$D$2:$D$477,MATCH($E2283,Section_Master!$A$2:$A$477,0))&amp;"","")</f>
        <v>Not applicable - no offence or penalty defined here (definition, exception or general provision)</v>
      </c>
      <c r="G2283" s="10" t="str">
        <f aca="false">IFERROR(INDEX(Section_Master!$E$2:$E$477,MATCH($E2283,Section_Master!$A$2:$A$477,0))&amp;"","")</f>
        <v>N/A</v>
      </c>
      <c r="H2283" s="10" t="str">
        <f aca="false">IFERROR(INDEX(Section_Master!$F$2:$F$477,MATCH($E2283,Section_Master!$A$2:$A$477,0))&amp;"","")</f>
        <v>N/A</v>
      </c>
      <c r="I2283" s="10" t="str">
        <f aca="false">IFERROR(INDEX(Section_Master!$G$2:$G$477,MATCH($E2283,Section_Master!$A$2:$A$477,0))&amp;"","")</f>
        <v>N/A</v>
      </c>
      <c r="J2283" s="10" t="s">
        <v>52</v>
      </c>
      <c r="K2283" s="8" t="s">
        <v>5372</v>
      </c>
    </row>
    <row r="2284" customFormat="false" ht="23.25" hidden="false" customHeight="true" outlineLevel="0" collapsed="false">
      <c r="A2284" s="10" t="s">
        <v>5375</v>
      </c>
      <c r="B2284" s="10" t="s">
        <v>45</v>
      </c>
      <c r="C2284" s="8" t="s">
        <v>5370</v>
      </c>
      <c r="D2284" s="8" t="s">
        <v>5376</v>
      </c>
      <c r="E2284" s="11" t="n">
        <v>23</v>
      </c>
      <c r="F2284" s="8" t="str">
        <f aca="false">IFERROR(INDEX(Section_Master!$D$2:$D$477,MATCH($E2284,Section_Master!$A$2:$A$477,0))&amp;"","")</f>
        <v>Not applicable - no offence or penalty defined here (definition, exception or general provision)</v>
      </c>
      <c r="G2284" s="10" t="str">
        <f aca="false">IFERROR(INDEX(Section_Master!$E$2:$E$477,MATCH($E2284,Section_Master!$A$2:$A$477,0))&amp;"","")</f>
        <v>N/A</v>
      </c>
      <c r="H2284" s="10" t="str">
        <f aca="false">IFERROR(INDEX(Section_Master!$F$2:$F$477,MATCH($E2284,Section_Master!$A$2:$A$477,0))&amp;"","")</f>
        <v>N/A</v>
      </c>
      <c r="I2284" s="10" t="str">
        <f aca="false">IFERROR(INDEX(Section_Master!$G$2:$G$477,MATCH($E2284,Section_Master!$A$2:$A$477,0))&amp;"","")</f>
        <v>N/A</v>
      </c>
      <c r="J2284" s="10" t="s">
        <v>55</v>
      </c>
      <c r="K2284" s="8" t="s">
        <v>5372</v>
      </c>
    </row>
    <row r="2285" customFormat="false" ht="34.5" hidden="false" customHeight="true" outlineLevel="0" collapsed="false">
      <c r="A2285" s="10" t="s">
        <v>5377</v>
      </c>
      <c r="B2285" s="10" t="s">
        <v>45</v>
      </c>
      <c r="C2285" s="8" t="s">
        <v>5370</v>
      </c>
      <c r="D2285" s="8" t="s">
        <v>5378</v>
      </c>
      <c r="E2285" s="11" t="n">
        <v>23</v>
      </c>
      <c r="F2285" s="8" t="str">
        <f aca="false">IFERROR(INDEX(Section_Master!$D$2:$D$477,MATCH($E2285,Section_Master!$A$2:$A$477,0))&amp;"","")</f>
        <v>Not applicable - no offence or penalty defined here (definition, exception or general provision)</v>
      </c>
      <c r="G2285" s="10" t="str">
        <f aca="false">IFERROR(INDEX(Section_Master!$E$2:$E$477,MATCH($E2285,Section_Master!$A$2:$A$477,0))&amp;"","")</f>
        <v>N/A</v>
      </c>
      <c r="H2285" s="10" t="str">
        <f aca="false">IFERROR(INDEX(Section_Master!$F$2:$F$477,MATCH($E2285,Section_Master!$A$2:$A$477,0))&amp;"","")</f>
        <v>N/A</v>
      </c>
      <c r="I2285" s="10" t="str">
        <f aca="false">IFERROR(INDEX(Section_Master!$G$2:$G$477,MATCH($E2285,Section_Master!$A$2:$A$477,0))&amp;"","")</f>
        <v>N/A</v>
      </c>
      <c r="J2285" s="10" t="s">
        <v>58</v>
      </c>
      <c r="K2285" s="8" t="s">
        <v>5372</v>
      </c>
    </row>
    <row r="2286" customFormat="false" ht="23.25" hidden="false" customHeight="true" outlineLevel="0" collapsed="false">
      <c r="A2286" s="10" t="s">
        <v>5379</v>
      </c>
      <c r="B2286" s="10" t="s">
        <v>45</v>
      </c>
      <c r="C2286" s="8" t="s">
        <v>5370</v>
      </c>
      <c r="D2286" s="8" t="s">
        <v>5380</v>
      </c>
      <c r="E2286" s="11" t="n">
        <v>23</v>
      </c>
      <c r="F2286" s="8" t="str">
        <f aca="false">IFERROR(INDEX(Section_Master!$D$2:$D$477,MATCH($E2286,Section_Master!$A$2:$A$477,0))&amp;"","")</f>
        <v>Not applicable - no offence or penalty defined here (definition, exception or general provision)</v>
      </c>
      <c r="G2286" s="10" t="str">
        <f aca="false">IFERROR(INDEX(Section_Master!$E$2:$E$477,MATCH($E2286,Section_Master!$A$2:$A$477,0))&amp;"","")</f>
        <v>N/A</v>
      </c>
      <c r="H2286" s="10" t="str">
        <f aca="false">IFERROR(INDEX(Section_Master!$F$2:$F$477,MATCH($E2286,Section_Master!$A$2:$A$477,0))&amp;"","")</f>
        <v>N/A</v>
      </c>
      <c r="I2286" s="10" t="str">
        <f aca="false">IFERROR(INDEX(Section_Master!$G$2:$G$477,MATCH($E2286,Section_Master!$A$2:$A$477,0))&amp;"","")</f>
        <v>N/A</v>
      </c>
      <c r="J2286" s="10" t="s">
        <v>61</v>
      </c>
      <c r="K2286" s="8" t="s">
        <v>5372</v>
      </c>
    </row>
    <row r="2287" customFormat="false" ht="34.5" hidden="false" customHeight="true" outlineLevel="0" collapsed="false">
      <c r="A2287" s="10" t="s">
        <v>5381</v>
      </c>
      <c r="B2287" s="10" t="s">
        <v>45</v>
      </c>
      <c r="C2287" s="8" t="s">
        <v>5370</v>
      </c>
      <c r="D2287" s="8" t="s">
        <v>5382</v>
      </c>
      <c r="E2287" s="11" t="n">
        <v>23</v>
      </c>
      <c r="F2287" s="8" t="str">
        <f aca="false">IFERROR(INDEX(Section_Master!$D$2:$D$477,MATCH($E2287,Section_Master!$A$2:$A$477,0))&amp;"","")</f>
        <v>Not applicable - no offence or penalty defined here (definition, exception or general provision)</v>
      </c>
      <c r="G2287" s="10" t="str">
        <f aca="false">IFERROR(INDEX(Section_Master!$E$2:$E$477,MATCH($E2287,Section_Master!$A$2:$A$477,0))&amp;"","")</f>
        <v>N/A</v>
      </c>
      <c r="H2287" s="10" t="str">
        <f aca="false">IFERROR(INDEX(Section_Master!$F$2:$F$477,MATCH($E2287,Section_Master!$A$2:$A$477,0))&amp;"","")</f>
        <v>N/A</v>
      </c>
      <c r="I2287" s="10" t="str">
        <f aca="false">IFERROR(INDEX(Section_Master!$G$2:$G$477,MATCH($E2287,Section_Master!$A$2:$A$477,0))&amp;"","")</f>
        <v>N/A</v>
      </c>
      <c r="J2287" s="10" t="s">
        <v>64</v>
      </c>
      <c r="K2287" s="8" t="s">
        <v>5372</v>
      </c>
    </row>
    <row r="2288" customFormat="false" ht="23.25" hidden="false" customHeight="true" outlineLevel="0" collapsed="false">
      <c r="A2288" s="10" t="s">
        <v>5383</v>
      </c>
      <c r="B2288" s="10" t="s">
        <v>45</v>
      </c>
      <c r="C2288" s="8" t="s">
        <v>5384</v>
      </c>
      <c r="D2288" s="8" t="s">
        <v>5385</v>
      </c>
      <c r="E2288" s="11" t="n">
        <v>24</v>
      </c>
      <c r="F2288" s="8" t="str">
        <f aca="false">IFERROR(INDEX(Section_Master!$D$2:$D$477,MATCH($E2288,Section_Master!$A$2:$A$477,0))&amp;"","")</f>
        <v>Not applicable - no offence or penalty defined here (definition, exception or general provision)</v>
      </c>
      <c r="G2288" s="10" t="str">
        <f aca="false">IFERROR(INDEX(Section_Master!$E$2:$E$477,MATCH($E2288,Section_Master!$A$2:$A$477,0))&amp;"","")</f>
        <v>N/A</v>
      </c>
      <c r="H2288" s="10" t="str">
        <f aca="false">IFERROR(INDEX(Section_Master!$F$2:$F$477,MATCH($E2288,Section_Master!$A$2:$A$477,0))&amp;"","")</f>
        <v>N/A</v>
      </c>
      <c r="I2288" s="10" t="str">
        <f aca="false">IFERROR(INDEX(Section_Master!$G$2:$G$477,MATCH($E2288,Section_Master!$A$2:$A$477,0))&amp;"","")</f>
        <v>N/A</v>
      </c>
      <c r="J2288" s="10" t="s">
        <v>48</v>
      </c>
      <c r="K2288" s="8" t="s">
        <v>5386</v>
      </c>
    </row>
    <row r="2289" customFormat="false" ht="23.25" hidden="false" customHeight="true" outlineLevel="0" collapsed="false">
      <c r="A2289" s="10" t="s">
        <v>5387</v>
      </c>
      <c r="B2289" s="10" t="s">
        <v>45</v>
      </c>
      <c r="C2289" s="8" t="s">
        <v>5384</v>
      </c>
      <c r="D2289" s="8" t="s">
        <v>5388</v>
      </c>
      <c r="E2289" s="11" t="n">
        <v>24</v>
      </c>
      <c r="F2289" s="8" t="str">
        <f aca="false">IFERROR(INDEX(Section_Master!$D$2:$D$477,MATCH($E2289,Section_Master!$A$2:$A$477,0))&amp;"","")</f>
        <v>Not applicable - no offence or penalty defined here (definition, exception or general provision)</v>
      </c>
      <c r="G2289" s="10" t="str">
        <f aca="false">IFERROR(INDEX(Section_Master!$E$2:$E$477,MATCH($E2289,Section_Master!$A$2:$A$477,0))&amp;"","")</f>
        <v>N/A</v>
      </c>
      <c r="H2289" s="10" t="str">
        <f aca="false">IFERROR(INDEX(Section_Master!$F$2:$F$477,MATCH($E2289,Section_Master!$A$2:$A$477,0))&amp;"","")</f>
        <v>N/A</v>
      </c>
      <c r="I2289" s="10" t="str">
        <f aca="false">IFERROR(INDEX(Section_Master!$G$2:$G$477,MATCH($E2289,Section_Master!$A$2:$A$477,0))&amp;"","")</f>
        <v>N/A</v>
      </c>
      <c r="J2289" s="10" t="s">
        <v>52</v>
      </c>
      <c r="K2289" s="8" t="s">
        <v>5386</v>
      </c>
    </row>
    <row r="2290" customFormat="false" ht="34.5" hidden="false" customHeight="true" outlineLevel="0" collapsed="false">
      <c r="A2290" s="10" t="s">
        <v>5389</v>
      </c>
      <c r="B2290" s="10" t="s">
        <v>45</v>
      </c>
      <c r="C2290" s="8" t="s">
        <v>5384</v>
      </c>
      <c r="D2290" s="8" t="s">
        <v>5390</v>
      </c>
      <c r="E2290" s="11" t="n">
        <v>24</v>
      </c>
      <c r="F2290" s="8" t="str">
        <f aca="false">IFERROR(INDEX(Section_Master!$D$2:$D$477,MATCH($E2290,Section_Master!$A$2:$A$477,0))&amp;"","")</f>
        <v>Not applicable - no offence or penalty defined here (definition, exception or general provision)</v>
      </c>
      <c r="G2290" s="10" t="str">
        <f aca="false">IFERROR(INDEX(Section_Master!$E$2:$E$477,MATCH($E2290,Section_Master!$A$2:$A$477,0))&amp;"","")</f>
        <v>N/A</v>
      </c>
      <c r="H2290" s="10" t="str">
        <f aca="false">IFERROR(INDEX(Section_Master!$F$2:$F$477,MATCH($E2290,Section_Master!$A$2:$A$477,0))&amp;"","")</f>
        <v>N/A</v>
      </c>
      <c r="I2290" s="10" t="str">
        <f aca="false">IFERROR(INDEX(Section_Master!$G$2:$G$477,MATCH($E2290,Section_Master!$A$2:$A$477,0))&amp;"","")</f>
        <v>N/A</v>
      </c>
      <c r="J2290" s="10" t="s">
        <v>55</v>
      </c>
      <c r="K2290" s="8" t="s">
        <v>5386</v>
      </c>
    </row>
    <row r="2291" customFormat="false" ht="34.5" hidden="false" customHeight="true" outlineLevel="0" collapsed="false">
      <c r="A2291" s="10" t="s">
        <v>5391</v>
      </c>
      <c r="B2291" s="10" t="s">
        <v>45</v>
      </c>
      <c r="C2291" s="8" t="s">
        <v>5384</v>
      </c>
      <c r="D2291" s="8" t="s">
        <v>5392</v>
      </c>
      <c r="E2291" s="11" t="n">
        <v>24</v>
      </c>
      <c r="F2291" s="8" t="str">
        <f aca="false">IFERROR(INDEX(Section_Master!$D$2:$D$477,MATCH($E2291,Section_Master!$A$2:$A$477,0))&amp;"","")</f>
        <v>Not applicable - no offence or penalty defined here (definition, exception or general provision)</v>
      </c>
      <c r="G2291" s="10" t="str">
        <f aca="false">IFERROR(INDEX(Section_Master!$E$2:$E$477,MATCH($E2291,Section_Master!$A$2:$A$477,0))&amp;"","")</f>
        <v>N/A</v>
      </c>
      <c r="H2291" s="10" t="str">
        <f aca="false">IFERROR(INDEX(Section_Master!$F$2:$F$477,MATCH($E2291,Section_Master!$A$2:$A$477,0))&amp;"","")</f>
        <v>N/A</v>
      </c>
      <c r="I2291" s="10" t="str">
        <f aca="false">IFERROR(INDEX(Section_Master!$G$2:$G$477,MATCH($E2291,Section_Master!$A$2:$A$477,0))&amp;"","")</f>
        <v>N/A</v>
      </c>
      <c r="J2291" s="10" t="s">
        <v>58</v>
      </c>
      <c r="K2291" s="8" t="s">
        <v>5386</v>
      </c>
    </row>
    <row r="2292" customFormat="false" ht="34.5" hidden="false" customHeight="true" outlineLevel="0" collapsed="false">
      <c r="A2292" s="10" t="s">
        <v>5393</v>
      </c>
      <c r="B2292" s="10" t="s">
        <v>45</v>
      </c>
      <c r="C2292" s="8" t="s">
        <v>5384</v>
      </c>
      <c r="D2292" s="8" t="s">
        <v>5394</v>
      </c>
      <c r="E2292" s="11" t="n">
        <v>24</v>
      </c>
      <c r="F2292" s="8" t="str">
        <f aca="false">IFERROR(INDEX(Section_Master!$D$2:$D$477,MATCH($E2292,Section_Master!$A$2:$A$477,0))&amp;"","")</f>
        <v>Not applicable - no offence or penalty defined here (definition, exception or general provision)</v>
      </c>
      <c r="G2292" s="10" t="str">
        <f aca="false">IFERROR(INDEX(Section_Master!$E$2:$E$477,MATCH($E2292,Section_Master!$A$2:$A$477,0))&amp;"","")</f>
        <v>N/A</v>
      </c>
      <c r="H2292" s="10" t="str">
        <f aca="false">IFERROR(INDEX(Section_Master!$F$2:$F$477,MATCH($E2292,Section_Master!$A$2:$A$477,0))&amp;"","")</f>
        <v>N/A</v>
      </c>
      <c r="I2292" s="10" t="str">
        <f aca="false">IFERROR(INDEX(Section_Master!$G$2:$G$477,MATCH($E2292,Section_Master!$A$2:$A$477,0))&amp;"","")</f>
        <v>N/A</v>
      </c>
      <c r="J2292" s="10" t="s">
        <v>61</v>
      </c>
      <c r="K2292" s="8" t="s">
        <v>5386</v>
      </c>
    </row>
    <row r="2293" customFormat="false" ht="34.5" hidden="false" customHeight="true" outlineLevel="0" collapsed="false">
      <c r="A2293" s="10" t="s">
        <v>5395</v>
      </c>
      <c r="B2293" s="10" t="s">
        <v>45</v>
      </c>
      <c r="C2293" s="8" t="s">
        <v>5384</v>
      </c>
      <c r="D2293" s="8" t="s">
        <v>5396</v>
      </c>
      <c r="E2293" s="11" t="n">
        <v>24</v>
      </c>
      <c r="F2293" s="8" t="str">
        <f aca="false">IFERROR(INDEX(Section_Master!$D$2:$D$477,MATCH($E2293,Section_Master!$A$2:$A$477,0))&amp;"","")</f>
        <v>Not applicable - no offence or penalty defined here (definition, exception or general provision)</v>
      </c>
      <c r="G2293" s="10" t="str">
        <f aca="false">IFERROR(INDEX(Section_Master!$E$2:$E$477,MATCH($E2293,Section_Master!$A$2:$A$477,0))&amp;"","")</f>
        <v>N/A</v>
      </c>
      <c r="H2293" s="10" t="str">
        <f aca="false">IFERROR(INDEX(Section_Master!$F$2:$F$477,MATCH($E2293,Section_Master!$A$2:$A$477,0))&amp;"","")</f>
        <v>N/A</v>
      </c>
      <c r="I2293" s="10" t="str">
        <f aca="false">IFERROR(INDEX(Section_Master!$G$2:$G$477,MATCH($E2293,Section_Master!$A$2:$A$477,0))&amp;"","")</f>
        <v>N/A</v>
      </c>
      <c r="J2293" s="10" t="s">
        <v>64</v>
      </c>
      <c r="K2293" s="8" t="s">
        <v>5386</v>
      </c>
    </row>
    <row r="2294" customFormat="false" ht="34.5" hidden="false" customHeight="true" outlineLevel="0" collapsed="false">
      <c r="A2294" s="10" t="s">
        <v>5397</v>
      </c>
      <c r="B2294" s="10" t="s">
        <v>45</v>
      </c>
      <c r="C2294" s="8" t="s">
        <v>5398</v>
      </c>
      <c r="D2294" s="8" t="s">
        <v>5399</v>
      </c>
      <c r="E2294" s="11" t="n">
        <v>25</v>
      </c>
      <c r="F2294" s="8" t="str">
        <f aca="false">IFERROR(INDEX(Section_Master!$D$2:$D$477,MATCH($E2294,Section_Master!$A$2:$A$477,0))&amp;"","")</f>
        <v>Not applicable - no offence or penalty defined here (definition, exception or general provision)</v>
      </c>
      <c r="G2294" s="10" t="str">
        <f aca="false">IFERROR(INDEX(Section_Master!$E$2:$E$477,MATCH($E2294,Section_Master!$A$2:$A$477,0))&amp;"","")</f>
        <v>N/A</v>
      </c>
      <c r="H2294" s="10" t="str">
        <f aca="false">IFERROR(INDEX(Section_Master!$F$2:$F$477,MATCH($E2294,Section_Master!$A$2:$A$477,0))&amp;"","")</f>
        <v>N/A</v>
      </c>
      <c r="I2294" s="10" t="str">
        <f aca="false">IFERROR(INDEX(Section_Master!$G$2:$G$477,MATCH($E2294,Section_Master!$A$2:$A$477,0))&amp;"","")</f>
        <v>N/A</v>
      </c>
      <c r="J2294" s="10" t="s">
        <v>48</v>
      </c>
      <c r="K2294" s="8" t="s">
        <v>5400</v>
      </c>
    </row>
    <row r="2295" customFormat="false" ht="34.5" hidden="false" customHeight="true" outlineLevel="0" collapsed="false">
      <c r="A2295" s="10" t="s">
        <v>5401</v>
      </c>
      <c r="B2295" s="10" t="s">
        <v>45</v>
      </c>
      <c r="C2295" s="8" t="s">
        <v>5398</v>
      </c>
      <c r="D2295" s="8" t="s">
        <v>5402</v>
      </c>
      <c r="E2295" s="11" t="n">
        <v>25</v>
      </c>
      <c r="F2295" s="8" t="str">
        <f aca="false">IFERROR(INDEX(Section_Master!$D$2:$D$477,MATCH($E2295,Section_Master!$A$2:$A$477,0))&amp;"","")</f>
        <v>Not applicable - no offence or penalty defined here (definition, exception or general provision)</v>
      </c>
      <c r="G2295" s="10" t="str">
        <f aca="false">IFERROR(INDEX(Section_Master!$E$2:$E$477,MATCH($E2295,Section_Master!$A$2:$A$477,0))&amp;"","")</f>
        <v>N/A</v>
      </c>
      <c r="H2295" s="10" t="str">
        <f aca="false">IFERROR(INDEX(Section_Master!$F$2:$F$477,MATCH($E2295,Section_Master!$A$2:$A$477,0))&amp;"","")</f>
        <v>N/A</v>
      </c>
      <c r="I2295" s="10" t="str">
        <f aca="false">IFERROR(INDEX(Section_Master!$G$2:$G$477,MATCH($E2295,Section_Master!$A$2:$A$477,0))&amp;"","")</f>
        <v>N/A</v>
      </c>
      <c r="J2295" s="10" t="s">
        <v>52</v>
      </c>
      <c r="K2295" s="8" t="s">
        <v>5400</v>
      </c>
    </row>
    <row r="2296" customFormat="false" ht="45.75" hidden="false" customHeight="true" outlineLevel="0" collapsed="false">
      <c r="A2296" s="10" t="s">
        <v>5403</v>
      </c>
      <c r="B2296" s="10" t="s">
        <v>45</v>
      </c>
      <c r="C2296" s="8" t="s">
        <v>5398</v>
      </c>
      <c r="D2296" s="8" t="s">
        <v>5404</v>
      </c>
      <c r="E2296" s="11" t="n">
        <v>25</v>
      </c>
      <c r="F2296" s="8" t="str">
        <f aca="false">IFERROR(INDEX(Section_Master!$D$2:$D$477,MATCH($E2296,Section_Master!$A$2:$A$477,0))&amp;"","")</f>
        <v>Not applicable - no offence or penalty defined here (definition, exception or general provision)</v>
      </c>
      <c r="G2296" s="10" t="str">
        <f aca="false">IFERROR(INDEX(Section_Master!$E$2:$E$477,MATCH($E2296,Section_Master!$A$2:$A$477,0))&amp;"","")</f>
        <v>N/A</v>
      </c>
      <c r="H2296" s="10" t="str">
        <f aca="false">IFERROR(INDEX(Section_Master!$F$2:$F$477,MATCH($E2296,Section_Master!$A$2:$A$477,0))&amp;"","")</f>
        <v>N/A</v>
      </c>
      <c r="I2296" s="10" t="str">
        <f aca="false">IFERROR(INDEX(Section_Master!$G$2:$G$477,MATCH($E2296,Section_Master!$A$2:$A$477,0))&amp;"","")</f>
        <v>N/A</v>
      </c>
      <c r="J2296" s="10" t="s">
        <v>55</v>
      </c>
      <c r="K2296" s="8" t="s">
        <v>5400</v>
      </c>
    </row>
    <row r="2297" customFormat="false" ht="34.5" hidden="false" customHeight="true" outlineLevel="0" collapsed="false">
      <c r="A2297" s="10" t="s">
        <v>5405</v>
      </c>
      <c r="B2297" s="10" t="s">
        <v>45</v>
      </c>
      <c r="C2297" s="8" t="s">
        <v>5398</v>
      </c>
      <c r="D2297" s="8" t="s">
        <v>5406</v>
      </c>
      <c r="E2297" s="11" t="n">
        <v>25</v>
      </c>
      <c r="F2297" s="8" t="str">
        <f aca="false">IFERROR(INDEX(Section_Master!$D$2:$D$477,MATCH($E2297,Section_Master!$A$2:$A$477,0))&amp;"","")</f>
        <v>Not applicable - no offence or penalty defined here (definition, exception or general provision)</v>
      </c>
      <c r="G2297" s="10" t="str">
        <f aca="false">IFERROR(INDEX(Section_Master!$E$2:$E$477,MATCH($E2297,Section_Master!$A$2:$A$477,0))&amp;"","")</f>
        <v>N/A</v>
      </c>
      <c r="H2297" s="10" t="str">
        <f aca="false">IFERROR(INDEX(Section_Master!$F$2:$F$477,MATCH($E2297,Section_Master!$A$2:$A$477,0))&amp;"","")</f>
        <v>N/A</v>
      </c>
      <c r="I2297" s="10" t="str">
        <f aca="false">IFERROR(INDEX(Section_Master!$G$2:$G$477,MATCH($E2297,Section_Master!$A$2:$A$477,0))&amp;"","")</f>
        <v>N/A</v>
      </c>
      <c r="J2297" s="10" t="s">
        <v>58</v>
      </c>
      <c r="K2297" s="8" t="s">
        <v>5400</v>
      </c>
    </row>
    <row r="2298" customFormat="false" ht="34.5" hidden="false" customHeight="true" outlineLevel="0" collapsed="false">
      <c r="A2298" s="10" t="s">
        <v>5407</v>
      </c>
      <c r="B2298" s="10" t="s">
        <v>45</v>
      </c>
      <c r="C2298" s="8" t="s">
        <v>5398</v>
      </c>
      <c r="D2298" s="8" t="s">
        <v>5408</v>
      </c>
      <c r="E2298" s="11" t="n">
        <v>25</v>
      </c>
      <c r="F2298" s="8" t="str">
        <f aca="false">IFERROR(INDEX(Section_Master!$D$2:$D$477,MATCH($E2298,Section_Master!$A$2:$A$477,0))&amp;"","")</f>
        <v>Not applicable - no offence or penalty defined here (definition, exception or general provision)</v>
      </c>
      <c r="G2298" s="10" t="str">
        <f aca="false">IFERROR(INDEX(Section_Master!$E$2:$E$477,MATCH($E2298,Section_Master!$A$2:$A$477,0))&amp;"","")</f>
        <v>N/A</v>
      </c>
      <c r="H2298" s="10" t="str">
        <f aca="false">IFERROR(INDEX(Section_Master!$F$2:$F$477,MATCH($E2298,Section_Master!$A$2:$A$477,0))&amp;"","")</f>
        <v>N/A</v>
      </c>
      <c r="I2298" s="10" t="str">
        <f aca="false">IFERROR(INDEX(Section_Master!$G$2:$G$477,MATCH($E2298,Section_Master!$A$2:$A$477,0))&amp;"","")</f>
        <v>N/A</v>
      </c>
      <c r="J2298" s="10" t="s">
        <v>61</v>
      </c>
      <c r="K2298" s="8" t="s">
        <v>5400</v>
      </c>
    </row>
    <row r="2299" customFormat="false" ht="34.5" hidden="false" customHeight="true" outlineLevel="0" collapsed="false">
      <c r="A2299" s="10" t="s">
        <v>5409</v>
      </c>
      <c r="B2299" s="10" t="s">
        <v>45</v>
      </c>
      <c r="C2299" s="8" t="s">
        <v>5398</v>
      </c>
      <c r="D2299" s="8" t="s">
        <v>5410</v>
      </c>
      <c r="E2299" s="11" t="n">
        <v>25</v>
      </c>
      <c r="F2299" s="8" t="str">
        <f aca="false">IFERROR(INDEX(Section_Master!$D$2:$D$477,MATCH($E2299,Section_Master!$A$2:$A$477,0))&amp;"","")</f>
        <v>Not applicable - no offence or penalty defined here (definition, exception or general provision)</v>
      </c>
      <c r="G2299" s="10" t="str">
        <f aca="false">IFERROR(INDEX(Section_Master!$E$2:$E$477,MATCH($E2299,Section_Master!$A$2:$A$477,0))&amp;"","")</f>
        <v>N/A</v>
      </c>
      <c r="H2299" s="10" t="str">
        <f aca="false">IFERROR(INDEX(Section_Master!$F$2:$F$477,MATCH($E2299,Section_Master!$A$2:$A$477,0))&amp;"","")</f>
        <v>N/A</v>
      </c>
      <c r="I2299" s="10" t="str">
        <f aca="false">IFERROR(INDEX(Section_Master!$G$2:$G$477,MATCH($E2299,Section_Master!$A$2:$A$477,0))&amp;"","")</f>
        <v>N/A</v>
      </c>
      <c r="J2299" s="10" t="s">
        <v>64</v>
      </c>
      <c r="K2299" s="8" t="s">
        <v>5400</v>
      </c>
    </row>
    <row r="2300" customFormat="false" ht="34.5" hidden="false" customHeight="true" outlineLevel="0" collapsed="false">
      <c r="A2300" s="10" t="s">
        <v>5411</v>
      </c>
      <c r="B2300" s="10" t="s">
        <v>45</v>
      </c>
      <c r="C2300" s="8" t="s">
        <v>5412</v>
      </c>
      <c r="D2300" s="8" t="s">
        <v>5413</v>
      </c>
      <c r="E2300" s="11" t="n">
        <v>26</v>
      </c>
      <c r="F2300" s="8" t="str">
        <f aca="false">IFERROR(INDEX(Section_Master!$D$2:$D$477,MATCH($E2300,Section_Master!$A$2:$A$477,0))&amp;"","")</f>
        <v>Not applicable - no offence or penalty defined here (definition, exception or general provision)</v>
      </c>
      <c r="G2300" s="10" t="str">
        <f aca="false">IFERROR(INDEX(Section_Master!$E$2:$E$477,MATCH($E2300,Section_Master!$A$2:$A$477,0))&amp;"","")</f>
        <v>N/A</v>
      </c>
      <c r="H2300" s="10" t="str">
        <f aca="false">IFERROR(INDEX(Section_Master!$F$2:$F$477,MATCH($E2300,Section_Master!$A$2:$A$477,0))&amp;"","")</f>
        <v>N/A</v>
      </c>
      <c r="I2300" s="10" t="str">
        <f aca="false">IFERROR(INDEX(Section_Master!$G$2:$G$477,MATCH($E2300,Section_Master!$A$2:$A$477,0))&amp;"","")</f>
        <v>N/A</v>
      </c>
      <c r="J2300" s="10" t="s">
        <v>48</v>
      </c>
      <c r="K2300" s="8" t="s">
        <v>5414</v>
      </c>
    </row>
    <row r="2301" customFormat="false" ht="34.5" hidden="false" customHeight="true" outlineLevel="0" collapsed="false">
      <c r="A2301" s="10" t="s">
        <v>5415</v>
      </c>
      <c r="B2301" s="10" t="s">
        <v>45</v>
      </c>
      <c r="C2301" s="8" t="s">
        <v>5412</v>
      </c>
      <c r="D2301" s="8" t="s">
        <v>5416</v>
      </c>
      <c r="E2301" s="11" t="n">
        <v>26</v>
      </c>
      <c r="F2301" s="8" t="str">
        <f aca="false">IFERROR(INDEX(Section_Master!$D$2:$D$477,MATCH($E2301,Section_Master!$A$2:$A$477,0))&amp;"","")</f>
        <v>Not applicable - no offence or penalty defined here (definition, exception or general provision)</v>
      </c>
      <c r="G2301" s="10" t="str">
        <f aca="false">IFERROR(INDEX(Section_Master!$E$2:$E$477,MATCH($E2301,Section_Master!$A$2:$A$477,0))&amp;"","")</f>
        <v>N/A</v>
      </c>
      <c r="H2301" s="10" t="str">
        <f aca="false">IFERROR(INDEX(Section_Master!$F$2:$F$477,MATCH($E2301,Section_Master!$A$2:$A$477,0))&amp;"","")</f>
        <v>N/A</v>
      </c>
      <c r="I2301" s="10" t="str">
        <f aca="false">IFERROR(INDEX(Section_Master!$G$2:$G$477,MATCH($E2301,Section_Master!$A$2:$A$477,0))&amp;"","")</f>
        <v>N/A</v>
      </c>
      <c r="J2301" s="10" t="s">
        <v>52</v>
      </c>
      <c r="K2301" s="8" t="s">
        <v>5414</v>
      </c>
    </row>
    <row r="2302" customFormat="false" ht="34.5" hidden="false" customHeight="true" outlineLevel="0" collapsed="false">
      <c r="A2302" s="10" t="s">
        <v>5417</v>
      </c>
      <c r="B2302" s="10" t="s">
        <v>45</v>
      </c>
      <c r="C2302" s="8" t="s">
        <v>5412</v>
      </c>
      <c r="D2302" s="8" t="s">
        <v>5418</v>
      </c>
      <c r="E2302" s="11" t="n">
        <v>26</v>
      </c>
      <c r="F2302" s="8" t="str">
        <f aca="false">IFERROR(INDEX(Section_Master!$D$2:$D$477,MATCH($E2302,Section_Master!$A$2:$A$477,0))&amp;"","")</f>
        <v>Not applicable - no offence or penalty defined here (definition, exception or general provision)</v>
      </c>
      <c r="G2302" s="10" t="str">
        <f aca="false">IFERROR(INDEX(Section_Master!$E$2:$E$477,MATCH($E2302,Section_Master!$A$2:$A$477,0))&amp;"","")</f>
        <v>N/A</v>
      </c>
      <c r="H2302" s="10" t="str">
        <f aca="false">IFERROR(INDEX(Section_Master!$F$2:$F$477,MATCH($E2302,Section_Master!$A$2:$A$477,0))&amp;"","")</f>
        <v>N/A</v>
      </c>
      <c r="I2302" s="10" t="str">
        <f aca="false">IFERROR(INDEX(Section_Master!$G$2:$G$477,MATCH($E2302,Section_Master!$A$2:$A$477,0))&amp;"","")</f>
        <v>N/A</v>
      </c>
      <c r="J2302" s="10" t="s">
        <v>55</v>
      </c>
      <c r="K2302" s="8" t="s">
        <v>5414</v>
      </c>
    </row>
    <row r="2303" customFormat="false" ht="23.25" hidden="false" customHeight="true" outlineLevel="0" collapsed="false">
      <c r="A2303" s="10" t="s">
        <v>5419</v>
      </c>
      <c r="B2303" s="10" t="s">
        <v>45</v>
      </c>
      <c r="C2303" s="8" t="s">
        <v>5412</v>
      </c>
      <c r="D2303" s="8" t="s">
        <v>5420</v>
      </c>
      <c r="E2303" s="11" t="n">
        <v>26</v>
      </c>
      <c r="F2303" s="8" t="str">
        <f aca="false">IFERROR(INDEX(Section_Master!$D$2:$D$477,MATCH($E2303,Section_Master!$A$2:$A$477,0))&amp;"","")</f>
        <v>Not applicable - no offence or penalty defined here (definition, exception or general provision)</v>
      </c>
      <c r="G2303" s="10" t="str">
        <f aca="false">IFERROR(INDEX(Section_Master!$E$2:$E$477,MATCH($E2303,Section_Master!$A$2:$A$477,0))&amp;"","")</f>
        <v>N/A</v>
      </c>
      <c r="H2303" s="10" t="str">
        <f aca="false">IFERROR(INDEX(Section_Master!$F$2:$F$477,MATCH($E2303,Section_Master!$A$2:$A$477,0))&amp;"","")</f>
        <v>N/A</v>
      </c>
      <c r="I2303" s="10" t="str">
        <f aca="false">IFERROR(INDEX(Section_Master!$G$2:$G$477,MATCH($E2303,Section_Master!$A$2:$A$477,0))&amp;"","")</f>
        <v>N/A</v>
      </c>
      <c r="J2303" s="10" t="s">
        <v>58</v>
      </c>
      <c r="K2303" s="8" t="s">
        <v>5414</v>
      </c>
    </row>
    <row r="2304" customFormat="false" ht="23.25" hidden="false" customHeight="true" outlineLevel="0" collapsed="false">
      <c r="A2304" s="10" t="s">
        <v>5421</v>
      </c>
      <c r="B2304" s="10" t="s">
        <v>45</v>
      </c>
      <c r="C2304" s="8" t="s">
        <v>5412</v>
      </c>
      <c r="D2304" s="8" t="s">
        <v>5422</v>
      </c>
      <c r="E2304" s="11" t="n">
        <v>26</v>
      </c>
      <c r="F2304" s="8" t="str">
        <f aca="false">IFERROR(INDEX(Section_Master!$D$2:$D$477,MATCH($E2304,Section_Master!$A$2:$A$477,0))&amp;"","")</f>
        <v>Not applicable - no offence or penalty defined here (definition, exception or general provision)</v>
      </c>
      <c r="G2304" s="10" t="str">
        <f aca="false">IFERROR(INDEX(Section_Master!$E$2:$E$477,MATCH($E2304,Section_Master!$A$2:$A$477,0))&amp;"","")</f>
        <v>N/A</v>
      </c>
      <c r="H2304" s="10" t="str">
        <f aca="false">IFERROR(INDEX(Section_Master!$F$2:$F$477,MATCH($E2304,Section_Master!$A$2:$A$477,0))&amp;"","")</f>
        <v>N/A</v>
      </c>
      <c r="I2304" s="10" t="str">
        <f aca="false">IFERROR(INDEX(Section_Master!$G$2:$G$477,MATCH($E2304,Section_Master!$A$2:$A$477,0))&amp;"","")</f>
        <v>N/A</v>
      </c>
      <c r="J2304" s="10" t="s">
        <v>61</v>
      </c>
      <c r="K2304" s="8" t="s">
        <v>5414</v>
      </c>
    </row>
    <row r="2305" customFormat="false" ht="23.25" hidden="false" customHeight="true" outlineLevel="0" collapsed="false">
      <c r="A2305" s="10" t="s">
        <v>5423</v>
      </c>
      <c r="B2305" s="10" t="s">
        <v>45</v>
      </c>
      <c r="C2305" s="8" t="s">
        <v>5412</v>
      </c>
      <c r="D2305" s="8" t="s">
        <v>5424</v>
      </c>
      <c r="E2305" s="11" t="n">
        <v>26</v>
      </c>
      <c r="F2305" s="8" t="str">
        <f aca="false">IFERROR(INDEX(Section_Master!$D$2:$D$477,MATCH($E2305,Section_Master!$A$2:$A$477,0))&amp;"","")</f>
        <v>Not applicable - no offence or penalty defined here (definition, exception or general provision)</v>
      </c>
      <c r="G2305" s="10" t="str">
        <f aca="false">IFERROR(INDEX(Section_Master!$E$2:$E$477,MATCH($E2305,Section_Master!$A$2:$A$477,0))&amp;"","")</f>
        <v>N/A</v>
      </c>
      <c r="H2305" s="10" t="str">
        <f aca="false">IFERROR(INDEX(Section_Master!$F$2:$F$477,MATCH($E2305,Section_Master!$A$2:$A$477,0))&amp;"","")</f>
        <v>N/A</v>
      </c>
      <c r="I2305" s="10" t="str">
        <f aca="false">IFERROR(INDEX(Section_Master!$G$2:$G$477,MATCH($E2305,Section_Master!$A$2:$A$477,0))&amp;"","")</f>
        <v>N/A</v>
      </c>
      <c r="J2305" s="10" t="s">
        <v>64</v>
      </c>
      <c r="K2305" s="8" t="s">
        <v>5414</v>
      </c>
    </row>
    <row r="2306" customFormat="false" ht="45.75" hidden="false" customHeight="true" outlineLevel="0" collapsed="false">
      <c r="A2306" s="10" t="s">
        <v>5425</v>
      </c>
      <c r="B2306" s="10" t="s">
        <v>45</v>
      </c>
      <c r="C2306" s="8" t="s">
        <v>5426</v>
      </c>
      <c r="D2306" s="8" t="s">
        <v>5427</v>
      </c>
      <c r="E2306" s="11" t="n">
        <v>27</v>
      </c>
      <c r="F2306" s="8" t="str">
        <f aca="false">IFERROR(INDEX(Section_Master!$D$2:$D$477,MATCH($E2306,Section_Master!$A$2:$A$477,0))&amp;"","")</f>
        <v>Not applicable - no offence or penalty defined here (definition, exception or general provision)</v>
      </c>
      <c r="G2306" s="10" t="str">
        <f aca="false">IFERROR(INDEX(Section_Master!$E$2:$E$477,MATCH($E2306,Section_Master!$A$2:$A$477,0))&amp;"","")</f>
        <v>N/A</v>
      </c>
      <c r="H2306" s="10" t="str">
        <f aca="false">IFERROR(INDEX(Section_Master!$F$2:$F$477,MATCH($E2306,Section_Master!$A$2:$A$477,0))&amp;"","")</f>
        <v>N/A</v>
      </c>
      <c r="I2306" s="10" t="str">
        <f aca="false">IFERROR(INDEX(Section_Master!$G$2:$G$477,MATCH($E2306,Section_Master!$A$2:$A$477,0))&amp;"","")</f>
        <v>N/A</v>
      </c>
      <c r="J2306" s="10" t="s">
        <v>48</v>
      </c>
      <c r="K2306" s="8" t="s">
        <v>5428</v>
      </c>
    </row>
    <row r="2307" customFormat="false" ht="34.5" hidden="false" customHeight="true" outlineLevel="0" collapsed="false">
      <c r="A2307" s="10" t="s">
        <v>5429</v>
      </c>
      <c r="B2307" s="10" t="s">
        <v>45</v>
      </c>
      <c r="C2307" s="8" t="s">
        <v>5426</v>
      </c>
      <c r="D2307" s="8" t="s">
        <v>5430</v>
      </c>
      <c r="E2307" s="11" t="n">
        <v>27</v>
      </c>
      <c r="F2307" s="8" t="str">
        <f aca="false">IFERROR(INDEX(Section_Master!$D$2:$D$477,MATCH($E2307,Section_Master!$A$2:$A$477,0))&amp;"","")</f>
        <v>Not applicable - no offence or penalty defined here (definition, exception or general provision)</v>
      </c>
      <c r="G2307" s="10" t="str">
        <f aca="false">IFERROR(INDEX(Section_Master!$E$2:$E$477,MATCH($E2307,Section_Master!$A$2:$A$477,0))&amp;"","")</f>
        <v>N/A</v>
      </c>
      <c r="H2307" s="10" t="str">
        <f aca="false">IFERROR(INDEX(Section_Master!$F$2:$F$477,MATCH($E2307,Section_Master!$A$2:$A$477,0))&amp;"","")</f>
        <v>N/A</v>
      </c>
      <c r="I2307" s="10" t="str">
        <f aca="false">IFERROR(INDEX(Section_Master!$G$2:$G$477,MATCH($E2307,Section_Master!$A$2:$A$477,0))&amp;"","")</f>
        <v>N/A</v>
      </c>
      <c r="J2307" s="10" t="s">
        <v>52</v>
      </c>
      <c r="K2307" s="8" t="s">
        <v>5428</v>
      </c>
    </row>
    <row r="2308" customFormat="false" ht="34.5" hidden="false" customHeight="true" outlineLevel="0" collapsed="false">
      <c r="A2308" s="10" t="s">
        <v>5431</v>
      </c>
      <c r="B2308" s="10" t="s">
        <v>45</v>
      </c>
      <c r="C2308" s="8" t="s">
        <v>5426</v>
      </c>
      <c r="D2308" s="8" t="s">
        <v>5432</v>
      </c>
      <c r="E2308" s="11" t="n">
        <v>27</v>
      </c>
      <c r="F2308" s="8" t="str">
        <f aca="false">IFERROR(INDEX(Section_Master!$D$2:$D$477,MATCH($E2308,Section_Master!$A$2:$A$477,0))&amp;"","")</f>
        <v>Not applicable - no offence or penalty defined here (definition, exception or general provision)</v>
      </c>
      <c r="G2308" s="10" t="str">
        <f aca="false">IFERROR(INDEX(Section_Master!$E$2:$E$477,MATCH($E2308,Section_Master!$A$2:$A$477,0))&amp;"","")</f>
        <v>N/A</v>
      </c>
      <c r="H2308" s="10" t="str">
        <f aca="false">IFERROR(INDEX(Section_Master!$F$2:$F$477,MATCH($E2308,Section_Master!$A$2:$A$477,0))&amp;"","")</f>
        <v>N/A</v>
      </c>
      <c r="I2308" s="10" t="str">
        <f aca="false">IFERROR(INDEX(Section_Master!$G$2:$G$477,MATCH($E2308,Section_Master!$A$2:$A$477,0))&amp;"","")</f>
        <v>N/A</v>
      </c>
      <c r="J2308" s="10" t="s">
        <v>55</v>
      </c>
      <c r="K2308" s="8" t="s">
        <v>5428</v>
      </c>
    </row>
    <row r="2309" customFormat="false" ht="23.25" hidden="false" customHeight="true" outlineLevel="0" collapsed="false">
      <c r="A2309" s="10" t="s">
        <v>5433</v>
      </c>
      <c r="B2309" s="10" t="s">
        <v>45</v>
      </c>
      <c r="C2309" s="8" t="s">
        <v>5426</v>
      </c>
      <c r="D2309" s="8" t="s">
        <v>5434</v>
      </c>
      <c r="E2309" s="11" t="n">
        <v>27</v>
      </c>
      <c r="F2309" s="8" t="str">
        <f aca="false">IFERROR(INDEX(Section_Master!$D$2:$D$477,MATCH($E2309,Section_Master!$A$2:$A$477,0))&amp;"","")</f>
        <v>Not applicable - no offence or penalty defined here (definition, exception or general provision)</v>
      </c>
      <c r="G2309" s="10" t="str">
        <f aca="false">IFERROR(INDEX(Section_Master!$E$2:$E$477,MATCH($E2309,Section_Master!$A$2:$A$477,0))&amp;"","")</f>
        <v>N/A</v>
      </c>
      <c r="H2309" s="10" t="str">
        <f aca="false">IFERROR(INDEX(Section_Master!$F$2:$F$477,MATCH($E2309,Section_Master!$A$2:$A$477,0))&amp;"","")</f>
        <v>N/A</v>
      </c>
      <c r="I2309" s="10" t="str">
        <f aca="false">IFERROR(INDEX(Section_Master!$G$2:$G$477,MATCH($E2309,Section_Master!$A$2:$A$477,0))&amp;"","")</f>
        <v>N/A</v>
      </c>
      <c r="J2309" s="10" t="s">
        <v>58</v>
      </c>
      <c r="K2309" s="8" t="s">
        <v>5428</v>
      </c>
    </row>
    <row r="2310" customFormat="false" ht="23.25" hidden="false" customHeight="true" outlineLevel="0" collapsed="false">
      <c r="A2310" s="10" t="s">
        <v>5435</v>
      </c>
      <c r="B2310" s="10" t="s">
        <v>45</v>
      </c>
      <c r="C2310" s="8" t="s">
        <v>5426</v>
      </c>
      <c r="D2310" s="8" t="s">
        <v>5436</v>
      </c>
      <c r="E2310" s="11" t="n">
        <v>27</v>
      </c>
      <c r="F2310" s="8" t="str">
        <f aca="false">IFERROR(INDEX(Section_Master!$D$2:$D$477,MATCH($E2310,Section_Master!$A$2:$A$477,0))&amp;"","")</f>
        <v>Not applicable - no offence or penalty defined here (definition, exception or general provision)</v>
      </c>
      <c r="G2310" s="10" t="str">
        <f aca="false">IFERROR(INDEX(Section_Master!$E$2:$E$477,MATCH($E2310,Section_Master!$A$2:$A$477,0))&amp;"","")</f>
        <v>N/A</v>
      </c>
      <c r="H2310" s="10" t="str">
        <f aca="false">IFERROR(INDEX(Section_Master!$F$2:$F$477,MATCH($E2310,Section_Master!$A$2:$A$477,0))&amp;"","")</f>
        <v>N/A</v>
      </c>
      <c r="I2310" s="10" t="str">
        <f aca="false">IFERROR(INDEX(Section_Master!$G$2:$G$477,MATCH($E2310,Section_Master!$A$2:$A$477,0))&amp;"","")</f>
        <v>N/A</v>
      </c>
      <c r="J2310" s="10" t="s">
        <v>61</v>
      </c>
      <c r="K2310" s="8" t="s">
        <v>5428</v>
      </c>
    </row>
    <row r="2311" customFormat="false" ht="23.25" hidden="false" customHeight="true" outlineLevel="0" collapsed="false">
      <c r="A2311" s="10" t="s">
        <v>5437</v>
      </c>
      <c r="B2311" s="10" t="s">
        <v>45</v>
      </c>
      <c r="C2311" s="8" t="s">
        <v>5426</v>
      </c>
      <c r="D2311" s="8" t="s">
        <v>5438</v>
      </c>
      <c r="E2311" s="11" t="n">
        <v>27</v>
      </c>
      <c r="F2311" s="8" t="str">
        <f aca="false">IFERROR(INDEX(Section_Master!$D$2:$D$477,MATCH($E2311,Section_Master!$A$2:$A$477,0))&amp;"","")</f>
        <v>Not applicable - no offence or penalty defined here (definition, exception or general provision)</v>
      </c>
      <c r="G2311" s="10" t="str">
        <f aca="false">IFERROR(INDEX(Section_Master!$E$2:$E$477,MATCH($E2311,Section_Master!$A$2:$A$477,0))&amp;"","")</f>
        <v>N/A</v>
      </c>
      <c r="H2311" s="10" t="str">
        <f aca="false">IFERROR(INDEX(Section_Master!$F$2:$F$477,MATCH($E2311,Section_Master!$A$2:$A$477,0))&amp;"","")</f>
        <v>N/A</v>
      </c>
      <c r="I2311" s="10" t="str">
        <f aca="false">IFERROR(INDEX(Section_Master!$G$2:$G$477,MATCH($E2311,Section_Master!$A$2:$A$477,0))&amp;"","")</f>
        <v>N/A</v>
      </c>
      <c r="J2311" s="10" t="s">
        <v>64</v>
      </c>
      <c r="K2311" s="8" t="s">
        <v>5428</v>
      </c>
    </row>
    <row r="2312" customFormat="false" ht="34.5" hidden="false" customHeight="true" outlineLevel="0" collapsed="false">
      <c r="A2312" s="10" t="s">
        <v>5439</v>
      </c>
      <c r="B2312" s="10" t="s">
        <v>45</v>
      </c>
      <c r="C2312" s="8" t="s">
        <v>5440</v>
      </c>
      <c r="D2312" s="8" t="s">
        <v>5441</v>
      </c>
      <c r="E2312" s="11" t="n">
        <v>28</v>
      </c>
      <c r="F2312" s="8" t="str">
        <f aca="false">IFERROR(INDEX(Section_Master!$D$2:$D$477,MATCH($E2312,Section_Master!$A$2:$A$477,0))&amp;"","")</f>
        <v>Not applicable - no offence or penalty defined here (definition, exception or general provision)</v>
      </c>
      <c r="G2312" s="10" t="str">
        <f aca="false">IFERROR(INDEX(Section_Master!$E$2:$E$477,MATCH($E2312,Section_Master!$A$2:$A$477,0))&amp;"","")</f>
        <v>N/A</v>
      </c>
      <c r="H2312" s="10" t="str">
        <f aca="false">IFERROR(INDEX(Section_Master!$F$2:$F$477,MATCH($E2312,Section_Master!$A$2:$A$477,0))&amp;"","")</f>
        <v>N/A</v>
      </c>
      <c r="I2312" s="10" t="str">
        <f aca="false">IFERROR(INDEX(Section_Master!$G$2:$G$477,MATCH($E2312,Section_Master!$A$2:$A$477,0))&amp;"","")</f>
        <v>N/A</v>
      </c>
      <c r="J2312" s="10" t="s">
        <v>48</v>
      </c>
      <c r="K2312" s="8" t="s">
        <v>5442</v>
      </c>
    </row>
    <row r="2313" customFormat="false" ht="34.5" hidden="false" customHeight="true" outlineLevel="0" collapsed="false">
      <c r="A2313" s="10" t="s">
        <v>5443</v>
      </c>
      <c r="B2313" s="10" t="s">
        <v>45</v>
      </c>
      <c r="C2313" s="8" t="s">
        <v>5440</v>
      </c>
      <c r="D2313" s="8" t="s">
        <v>5444</v>
      </c>
      <c r="E2313" s="11" t="n">
        <v>28</v>
      </c>
      <c r="F2313" s="8" t="str">
        <f aca="false">IFERROR(INDEX(Section_Master!$D$2:$D$477,MATCH($E2313,Section_Master!$A$2:$A$477,0))&amp;"","")</f>
        <v>Not applicable - no offence or penalty defined here (definition, exception or general provision)</v>
      </c>
      <c r="G2313" s="10" t="str">
        <f aca="false">IFERROR(INDEX(Section_Master!$E$2:$E$477,MATCH($E2313,Section_Master!$A$2:$A$477,0))&amp;"","")</f>
        <v>N/A</v>
      </c>
      <c r="H2313" s="10" t="str">
        <f aca="false">IFERROR(INDEX(Section_Master!$F$2:$F$477,MATCH($E2313,Section_Master!$A$2:$A$477,0))&amp;"","")</f>
        <v>N/A</v>
      </c>
      <c r="I2313" s="10" t="str">
        <f aca="false">IFERROR(INDEX(Section_Master!$G$2:$G$477,MATCH($E2313,Section_Master!$A$2:$A$477,0))&amp;"","")</f>
        <v>N/A</v>
      </c>
      <c r="J2313" s="10" t="s">
        <v>52</v>
      </c>
      <c r="K2313" s="8" t="s">
        <v>5442</v>
      </c>
    </row>
    <row r="2314" customFormat="false" ht="34.5" hidden="false" customHeight="true" outlineLevel="0" collapsed="false">
      <c r="A2314" s="10" t="s">
        <v>5445</v>
      </c>
      <c r="B2314" s="10" t="s">
        <v>45</v>
      </c>
      <c r="C2314" s="8" t="s">
        <v>5440</v>
      </c>
      <c r="D2314" s="8" t="s">
        <v>5446</v>
      </c>
      <c r="E2314" s="11" t="n">
        <v>28</v>
      </c>
      <c r="F2314" s="8" t="str">
        <f aca="false">IFERROR(INDEX(Section_Master!$D$2:$D$477,MATCH($E2314,Section_Master!$A$2:$A$477,0))&amp;"","")</f>
        <v>Not applicable - no offence or penalty defined here (definition, exception or general provision)</v>
      </c>
      <c r="G2314" s="10" t="str">
        <f aca="false">IFERROR(INDEX(Section_Master!$E$2:$E$477,MATCH($E2314,Section_Master!$A$2:$A$477,0))&amp;"","")</f>
        <v>N/A</v>
      </c>
      <c r="H2314" s="10" t="str">
        <f aca="false">IFERROR(INDEX(Section_Master!$F$2:$F$477,MATCH($E2314,Section_Master!$A$2:$A$477,0))&amp;"","")</f>
        <v>N/A</v>
      </c>
      <c r="I2314" s="10" t="str">
        <f aca="false">IFERROR(INDEX(Section_Master!$G$2:$G$477,MATCH($E2314,Section_Master!$A$2:$A$477,0))&amp;"","")</f>
        <v>N/A</v>
      </c>
      <c r="J2314" s="10" t="s">
        <v>55</v>
      </c>
      <c r="K2314" s="8" t="s">
        <v>5442</v>
      </c>
    </row>
    <row r="2315" customFormat="false" ht="23.25" hidden="false" customHeight="true" outlineLevel="0" collapsed="false">
      <c r="A2315" s="10" t="s">
        <v>5447</v>
      </c>
      <c r="B2315" s="10" t="s">
        <v>45</v>
      </c>
      <c r="C2315" s="8" t="s">
        <v>5440</v>
      </c>
      <c r="D2315" s="8" t="s">
        <v>5448</v>
      </c>
      <c r="E2315" s="11" t="n">
        <v>28</v>
      </c>
      <c r="F2315" s="8" t="str">
        <f aca="false">IFERROR(INDEX(Section_Master!$D$2:$D$477,MATCH($E2315,Section_Master!$A$2:$A$477,0))&amp;"","")</f>
        <v>Not applicable - no offence or penalty defined here (definition, exception or general provision)</v>
      </c>
      <c r="G2315" s="10" t="str">
        <f aca="false">IFERROR(INDEX(Section_Master!$E$2:$E$477,MATCH($E2315,Section_Master!$A$2:$A$477,0))&amp;"","")</f>
        <v>N/A</v>
      </c>
      <c r="H2315" s="10" t="str">
        <f aca="false">IFERROR(INDEX(Section_Master!$F$2:$F$477,MATCH($E2315,Section_Master!$A$2:$A$477,0))&amp;"","")</f>
        <v>N/A</v>
      </c>
      <c r="I2315" s="10" t="str">
        <f aca="false">IFERROR(INDEX(Section_Master!$G$2:$G$477,MATCH($E2315,Section_Master!$A$2:$A$477,0))&amp;"","")</f>
        <v>N/A</v>
      </c>
      <c r="J2315" s="10" t="s">
        <v>58</v>
      </c>
      <c r="K2315" s="8" t="s">
        <v>5442</v>
      </c>
    </row>
    <row r="2316" customFormat="false" ht="23.25" hidden="false" customHeight="true" outlineLevel="0" collapsed="false">
      <c r="A2316" s="10" t="s">
        <v>5449</v>
      </c>
      <c r="B2316" s="10" t="s">
        <v>45</v>
      </c>
      <c r="C2316" s="8" t="s">
        <v>5440</v>
      </c>
      <c r="D2316" s="8" t="s">
        <v>5450</v>
      </c>
      <c r="E2316" s="11" t="n">
        <v>28</v>
      </c>
      <c r="F2316" s="8" t="str">
        <f aca="false">IFERROR(INDEX(Section_Master!$D$2:$D$477,MATCH($E2316,Section_Master!$A$2:$A$477,0))&amp;"","")</f>
        <v>Not applicable - no offence or penalty defined here (definition, exception or general provision)</v>
      </c>
      <c r="G2316" s="10" t="str">
        <f aca="false">IFERROR(INDEX(Section_Master!$E$2:$E$477,MATCH($E2316,Section_Master!$A$2:$A$477,0))&amp;"","")</f>
        <v>N/A</v>
      </c>
      <c r="H2316" s="10" t="str">
        <f aca="false">IFERROR(INDEX(Section_Master!$F$2:$F$477,MATCH($E2316,Section_Master!$A$2:$A$477,0))&amp;"","")</f>
        <v>N/A</v>
      </c>
      <c r="I2316" s="10" t="str">
        <f aca="false">IFERROR(INDEX(Section_Master!$G$2:$G$477,MATCH($E2316,Section_Master!$A$2:$A$477,0))&amp;"","")</f>
        <v>N/A</v>
      </c>
      <c r="J2316" s="10" t="s">
        <v>61</v>
      </c>
      <c r="K2316" s="8" t="s">
        <v>5442</v>
      </c>
    </row>
    <row r="2317" customFormat="false" ht="23.25" hidden="false" customHeight="true" outlineLevel="0" collapsed="false">
      <c r="A2317" s="10" t="s">
        <v>5451</v>
      </c>
      <c r="B2317" s="10" t="s">
        <v>45</v>
      </c>
      <c r="C2317" s="8" t="s">
        <v>5440</v>
      </c>
      <c r="D2317" s="8" t="s">
        <v>5452</v>
      </c>
      <c r="E2317" s="11" t="n">
        <v>28</v>
      </c>
      <c r="F2317" s="8" t="str">
        <f aca="false">IFERROR(INDEX(Section_Master!$D$2:$D$477,MATCH($E2317,Section_Master!$A$2:$A$477,0))&amp;"","")</f>
        <v>Not applicable - no offence or penalty defined here (definition, exception or general provision)</v>
      </c>
      <c r="G2317" s="10" t="str">
        <f aca="false">IFERROR(INDEX(Section_Master!$E$2:$E$477,MATCH($E2317,Section_Master!$A$2:$A$477,0))&amp;"","")</f>
        <v>N/A</v>
      </c>
      <c r="H2317" s="10" t="str">
        <f aca="false">IFERROR(INDEX(Section_Master!$F$2:$F$477,MATCH($E2317,Section_Master!$A$2:$A$477,0))&amp;"","")</f>
        <v>N/A</v>
      </c>
      <c r="I2317" s="10" t="str">
        <f aca="false">IFERROR(INDEX(Section_Master!$G$2:$G$477,MATCH($E2317,Section_Master!$A$2:$A$477,0))&amp;"","")</f>
        <v>N/A</v>
      </c>
      <c r="J2317" s="10" t="s">
        <v>64</v>
      </c>
      <c r="K2317" s="8" t="s">
        <v>5442</v>
      </c>
    </row>
    <row r="2318" customFormat="false" ht="34.5" hidden="false" customHeight="true" outlineLevel="0" collapsed="false">
      <c r="A2318" s="10" t="s">
        <v>5453</v>
      </c>
      <c r="B2318" s="10" t="s">
        <v>45</v>
      </c>
      <c r="C2318" s="8" t="s">
        <v>5454</v>
      </c>
      <c r="D2318" s="8" t="s">
        <v>5455</v>
      </c>
      <c r="E2318" s="11" t="n">
        <v>29</v>
      </c>
      <c r="F2318" s="8" t="str">
        <f aca="false">IFERROR(INDEX(Section_Master!$D$2:$D$477,MATCH($E2318,Section_Master!$A$2:$A$477,0))&amp;"","")</f>
        <v>Not applicable - no offence or penalty defined here (definition, exception or general provision)</v>
      </c>
      <c r="G2318" s="10" t="str">
        <f aca="false">IFERROR(INDEX(Section_Master!$E$2:$E$477,MATCH($E2318,Section_Master!$A$2:$A$477,0))&amp;"","")</f>
        <v>N/A</v>
      </c>
      <c r="H2318" s="10" t="str">
        <f aca="false">IFERROR(INDEX(Section_Master!$F$2:$F$477,MATCH($E2318,Section_Master!$A$2:$A$477,0))&amp;"","")</f>
        <v>N/A</v>
      </c>
      <c r="I2318" s="10" t="str">
        <f aca="false">IFERROR(INDEX(Section_Master!$G$2:$G$477,MATCH($E2318,Section_Master!$A$2:$A$477,0))&amp;"","")</f>
        <v>N/A</v>
      </c>
      <c r="J2318" s="10" t="s">
        <v>48</v>
      </c>
      <c r="K2318" s="8" t="s">
        <v>5456</v>
      </c>
    </row>
    <row r="2319" customFormat="false" ht="34.5" hidden="false" customHeight="true" outlineLevel="0" collapsed="false">
      <c r="A2319" s="10" t="s">
        <v>5457</v>
      </c>
      <c r="B2319" s="10" t="s">
        <v>45</v>
      </c>
      <c r="C2319" s="8" t="s">
        <v>5454</v>
      </c>
      <c r="D2319" s="8" t="s">
        <v>5458</v>
      </c>
      <c r="E2319" s="11" t="n">
        <v>29</v>
      </c>
      <c r="F2319" s="8" t="str">
        <f aca="false">IFERROR(INDEX(Section_Master!$D$2:$D$477,MATCH($E2319,Section_Master!$A$2:$A$477,0))&amp;"","")</f>
        <v>Not applicable - no offence or penalty defined here (definition, exception or general provision)</v>
      </c>
      <c r="G2319" s="10" t="str">
        <f aca="false">IFERROR(INDEX(Section_Master!$E$2:$E$477,MATCH($E2319,Section_Master!$A$2:$A$477,0))&amp;"","")</f>
        <v>N/A</v>
      </c>
      <c r="H2319" s="10" t="str">
        <f aca="false">IFERROR(INDEX(Section_Master!$F$2:$F$477,MATCH($E2319,Section_Master!$A$2:$A$477,0))&amp;"","")</f>
        <v>N/A</v>
      </c>
      <c r="I2319" s="10" t="str">
        <f aca="false">IFERROR(INDEX(Section_Master!$G$2:$G$477,MATCH($E2319,Section_Master!$A$2:$A$477,0))&amp;"","")</f>
        <v>N/A</v>
      </c>
      <c r="J2319" s="10" t="s">
        <v>52</v>
      </c>
      <c r="K2319" s="8" t="s">
        <v>5456</v>
      </c>
    </row>
    <row r="2320" customFormat="false" ht="34.5" hidden="false" customHeight="true" outlineLevel="0" collapsed="false">
      <c r="A2320" s="10" t="s">
        <v>5459</v>
      </c>
      <c r="B2320" s="10" t="s">
        <v>45</v>
      </c>
      <c r="C2320" s="8" t="s">
        <v>5454</v>
      </c>
      <c r="D2320" s="8" t="s">
        <v>5460</v>
      </c>
      <c r="E2320" s="11" t="n">
        <v>29</v>
      </c>
      <c r="F2320" s="8" t="str">
        <f aca="false">IFERROR(INDEX(Section_Master!$D$2:$D$477,MATCH($E2320,Section_Master!$A$2:$A$477,0))&amp;"","")</f>
        <v>Not applicable - no offence or penalty defined here (definition, exception or general provision)</v>
      </c>
      <c r="G2320" s="10" t="str">
        <f aca="false">IFERROR(INDEX(Section_Master!$E$2:$E$477,MATCH($E2320,Section_Master!$A$2:$A$477,0))&amp;"","")</f>
        <v>N/A</v>
      </c>
      <c r="H2320" s="10" t="str">
        <f aca="false">IFERROR(INDEX(Section_Master!$F$2:$F$477,MATCH($E2320,Section_Master!$A$2:$A$477,0))&amp;"","")</f>
        <v>N/A</v>
      </c>
      <c r="I2320" s="10" t="str">
        <f aca="false">IFERROR(INDEX(Section_Master!$G$2:$G$477,MATCH($E2320,Section_Master!$A$2:$A$477,0))&amp;"","")</f>
        <v>N/A</v>
      </c>
      <c r="J2320" s="10" t="s">
        <v>55</v>
      </c>
      <c r="K2320" s="8" t="s">
        <v>5456</v>
      </c>
    </row>
    <row r="2321" customFormat="false" ht="34.5" hidden="false" customHeight="true" outlineLevel="0" collapsed="false">
      <c r="A2321" s="10" t="s">
        <v>5461</v>
      </c>
      <c r="B2321" s="10" t="s">
        <v>45</v>
      </c>
      <c r="C2321" s="8" t="s">
        <v>5454</v>
      </c>
      <c r="D2321" s="8" t="s">
        <v>5462</v>
      </c>
      <c r="E2321" s="11" t="n">
        <v>29</v>
      </c>
      <c r="F2321" s="8" t="str">
        <f aca="false">IFERROR(INDEX(Section_Master!$D$2:$D$477,MATCH($E2321,Section_Master!$A$2:$A$477,0))&amp;"","")</f>
        <v>Not applicable - no offence or penalty defined here (definition, exception or general provision)</v>
      </c>
      <c r="G2321" s="10" t="str">
        <f aca="false">IFERROR(INDEX(Section_Master!$E$2:$E$477,MATCH($E2321,Section_Master!$A$2:$A$477,0))&amp;"","")</f>
        <v>N/A</v>
      </c>
      <c r="H2321" s="10" t="str">
        <f aca="false">IFERROR(INDEX(Section_Master!$F$2:$F$477,MATCH($E2321,Section_Master!$A$2:$A$477,0))&amp;"","")</f>
        <v>N/A</v>
      </c>
      <c r="I2321" s="10" t="str">
        <f aca="false">IFERROR(INDEX(Section_Master!$G$2:$G$477,MATCH($E2321,Section_Master!$A$2:$A$477,0))&amp;"","")</f>
        <v>N/A</v>
      </c>
      <c r="J2321" s="10" t="s">
        <v>58</v>
      </c>
      <c r="K2321" s="8" t="s">
        <v>5456</v>
      </c>
    </row>
    <row r="2322" customFormat="false" ht="34.5" hidden="false" customHeight="true" outlineLevel="0" collapsed="false">
      <c r="A2322" s="10" t="s">
        <v>5463</v>
      </c>
      <c r="B2322" s="10" t="s">
        <v>45</v>
      </c>
      <c r="C2322" s="8" t="s">
        <v>5454</v>
      </c>
      <c r="D2322" s="8" t="s">
        <v>5464</v>
      </c>
      <c r="E2322" s="11" t="n">
        <v>29</v>
      </c>
      <c r="F2322" s="8" t="str">
        <f aca="false">IFERROR(INDEX(Section_Master!$D$2:$D$477,MATCH($E2322,Section_Master!$A$2:$A$477,0))&amp;"","")</f>
        <v>Not applicable - no offence or penalty defined here (definition, exception or general provision)</v>
      </c>
      <c r="G2322" s="10" t="str">
        <f aca="false">IFERROR(INDEX(Section_Master!$E$2:$E$477,MATCH($E2322,Section_Master!$A$2:$A$477,0))&amp;"","")</f>
        <v>N/A</v>
      </c>
      <c r="H2322" s="10" t="str">
        <f aca="false">IFERROR(INDEX(Section_Master!$F$2:$F$477,MATCH($E2322,Section_Master!$A$2:$A$477,0))&amp;"","")</f>
        <v>N/A</v>
      </c>
      <c r="I2322" s="10" t="str">
        <f aca="false">IFERROR(INDEX(Section_Master!$G$2:$G$477,MATCH($E2322,Section_Master!$A$2:$A$477,0))&amp;"","")</f>
        <v>N/A</v>
      </c>
      <c r="J2322" s="10" t="s">
        <v>61</v>
      </c>
      <c r="K2322" s="8" t="s">
        <v>5456</v>
      </c>
    </row>
    <row r="2323" customFormat="false" ht="34.5" hidden="false" customHeight="true" outlineLevel="0" collapsed="false">
      <c r="A2323" s="10" t="s">
        <v>5465</v>
      </c>
      <c r="B2323" s="10" t="s">
        <v>45</v>
      </c>
      <c r="C2323" s="8" t="s">
        <v>5454</v>
      </c>
      <c r="D2323" s="8" t="s">
        <v>5466</v>
      </c>
      <c r="E2323" s="11" t="n">
        <v>29</v>
      </c>
      <c r="F2323" s="8" t="str">
        <f aca="false">IFERROR(INDEX(Section_Master!$D$2:$D$477,MATCH($E2323,Section_Master!$A$2:$A$477,0))&amp;"","")</f>
        <v>Not applicable - no offence or penalty defined here (definition, exception or general provision)</v>
      </c>
      <c r="G2323" s="10" t="str">
        <f aca="false">IFERROR(INDEX(Section_Master!$E$2:$E$477,MATCH($E2323,Section_Master!$A$2:$A$477,0))&amp;"","")</f>
        <v>N/A</v>
      </c>
      <c r="H2323" s="10" t="str">
        <f aca="false">IFERROR(INDEX(Section_Master!$F$2:$F$477,MATCH($E2323,Section_Master!$A$2:$A$477,0))&amp;"","")</f>
        <v>N/A</v>
      </c>
      <c r="I2323" s="10" t="str">
        <f aca="false">IFERROR(INDEX(Section_Master!$G$2:$G$477,MATCH($E2323,Section_Master!$A$2:$A$477,0))&amp;"","")</f>
        <v>N/A</v>
      </c>
      <c r="J2323" s="10" t="s">
        <v>64</v>
      </c>
      <c r="K2323" s="8" t="s">
        <v>5456</v>
      </c>
    </row>
    <row r="2324" customFormat="false" ht="34.5" hidden="false" customHeight="true" outlineLevel="0" collapsed="false">
      <c r="A2324" s="10" t="s">
        <v>5467</v>
      </c>
      <c r="B2324" s="10" t="s">
        <v>45</v>
      </c>
      <c r="C2324" s="8" t="s">
        <v>5468</v>
      </c>
      <c r="D2324" s="8" t="s">
        <v>5469</v>
      </c>
      <c r="E2324" s="11" t="n">
        <v>30</v>
      </c>
      <c r="F2324" s="8" t="str">
        <f aca="false">IFERROR(INDEX(Section_Master!$D$2:$D$477,MATCH($E2324,Section_Master!$A$2:$A$477,0))&amp;"","")</f>
        <v>Not applicable - no offence or penalty defined here (definition, exception or general provision)</v>
      </c>
      <c r="G2324" s="10" t="str">
        <f aca="false">IFERROR(INDEX(Section_Master!$E$2:$E$477,MATCH($E2324,Section_Master!$A$2:$A$477,0))&amp;"","")</f>
        <v>N/A</v>
      </c>
      <c r="H2324" s="10" t="str">
        <f aca="false">IFERROR(INDEX(Section_Master!$F$2:$F$477,MATCH($E2324,Section_Master!$A$2:$A$477,0))&amp;"","")</f>
        <v>N/A</v>
      </c>
      <c r="I2324" s="10" t="str">
        <f aca="false">IFERROR(INDEX(Section_Master!$G$2:$G$477,MATCH($E2324,Section_Master!$A$2:$A$477,0))&amp;"","")</f>
        <v>N/A</v>
      </c>
      <c r="J2324" s="10" t="s">
        <v>48</v>
      </c>
      <c r="K2324" s="8" t="s">
        <v>5470</v>
      </c>
    </row>
    <row r="2325" customFormat="false" ht="34.5" hidden="false" customHeight="true" outlineLevel="0" collapsed="false">
      <c r="A2325" s="10" t="s">
        <v>5471</v>
      </c>
      <c r="B2325" s="10" t="s">
        <v>45</v>
      </c>
      <c r="C2325" s="8" t="s">
        <v>5468</v>
      </c>
      <c r="D2325" s="8" t="s">
        <v>5472</v>
      </c>
      <c r="E2325" s="11" t="n">
        <v>30</v>
      </c>
      <c r="F2325" s="8" t="str">
        <f aca="false">IFERROR(INDEX(Section_Master!$D$2:$D$477,MATCH($E2325,Section_Master!$A$2:$A$477,0))&amp;"","")</f>
        <v>Not applicable - no offence or penalty defined here (definition, exception or general provision)</v>
      </c>
      <c r="G2325" s="10" t="str">
        <f aca="false">IFERROR(INDEX(Section_Master!$E$2:$E$477,MATCH($E2325,Section_Master!$A$2:$A$477,0))&amp;"","")</f>
        <v>N/A</v>
      </c>
      <c r="H2325" s="10" t="str">
        <f aca="false">IFERROR(INDEX(Section_Master!$F$2:$F$477,MATCH($E2325,Section_Master!$A$2:$A$477,0))&amp;"","")</f>
        <v>N/A</v>
      </c>
      <c r="I2325" s="10" t="str">
        <f aca="false">IFERROR(INDEX(Section_Master!$G$2:$G$477,MATCH($E2325,Section_Master!$A$2:$A$477,0))&amp;"","")</f>
        <v>N/A</v>
      </c>
      <c r="J2325" s="10" t="s">
        <v>52</v>
      </c>
      <c r="K2325" s="8" t="s">
        <v>5470</v>
      </c>
    </row>
    <row r="2326" customFormat="false" ht="34.5" hidden="false" customHeight="true" outlineLevel="0" collapsed="false">
      <c r="A2326" s="10" t="s">
        <v>5473</v>
      </c>
      <c r="B2326" s="10" t="s">
        <v>45</v>
      </c>
      <c r="C2326" s="8" t="s">
        <v>5468</v>
      </c>
      <c r="D2326" s="8" t="s">
        <v>5474</v>
      </c>
      <c r="E2326" s="11" t="n">
        <v>30</v>
      </c>
      <c r="F2326" s="8" t="str">
        <f aca="false">IFERROR(INDEX(Section_Master!$D$2:$D$477,MATCH($E2326,Section_Master!$A$2:$A$477,0))&amp;"","")</f>
        <v>Not applicable - no offence or penalty defined here (definition, exception or general provision)</v>
      </c>
      <c r="G2326" s="10" t="str">
        <f aca="false">IFERROR(INDEX(Section_Master!$E$2:$E$477,MATCH($E2326,Section_Master!$A$2:$A$477,0))&amp;"","")</f>
        <v>N/A</v>
      </c>
      <c r="H2326" s="10" t="str">
        <f aca="false">IFERROR(INDEX(Section_Master!$F$2:$F$477,MATCH($E2326,Section_Master!$A$2:$A$477,0))&amp;"","")</f>
        <v>N/A</v>
      </c>
      <c r="I2326" s="10" t="str">
        <f aca="false">IFERROR(INDEX(Section_Master!$G$2:$G$477,MATCH($E2326,Section_Master!$A$2:$A$477,0))&amp;"","")</f>
        <v>N/A</v>
      </c>
      <c r="J2326" s="10" t="s">
        <v>55</v>
      </c>
      <c r="K2326" s="8" t="s">
        <v>5470</v>
      </c>
    </row>
    <row r="2327" customFormat="false" ht="23.25" hidden="false" customHeight="true" outlineLevel="0" collapsed="false">
      <c r="A2327" s="10" t="s">
        <v>5475</v>
      </c>
      <c r="B2327" s="10" t="s">
        <v>45</v>
      </c>
      <c r="C2327" s="8" t="s">
        <v>5468</v>
      </c>
      <c r="D2327" s="8" t="s">
        <v>5476</v>
      </c>
      <c r="E2327" s="11" t="n">
        <v>30</v>
      </c>
      <c r="F2327" s="8" t="str">
        <f aca="false">IFERROR(INDEX(Section_Master!$D$2:$D$477,MATCH($E2327,Section_Master!$A$2:$A$477,0))&amp;"","")</f>
        <v>Not applicable - no offence or penalty defined here (definition, exception or general provision)</v>
      </c>
      <c r="G2327" s="10" t="str">
        <f aca="false">IFERROR(INDEX(Section_Master!$E$2:$E$477,MATCH($E2327,Section_Master!$A$2:$A$477,0))&amp;"","")</f>
        <v>N/A</v>
      </c>
      <c r="H2327" s="10" t="str">
        <f aca="false">IFERROR(INDEX(Section_Master!$F$2:$F$477,MATCH($E2327,Section_Master!$A$2:$A$477,0))&amp;"","")</f>
        <v>N/A</v>
      </c>
      <c r="I2327" s="10" t="str">
        <f aca="false">IFERROR(INDEX(Section_Master!$G$2:$G$477,MATCH($E2327,Section_Master!$A$2:$A$477,0))&amp;"","")</f>
        <v>N/A</v>
      </c>
      <c r="J2327" s="10" t="s">
        <v>58</v>
      </c>
      <c r="K2327" s="8" t="s">
        <v>5470</v>
      </c>
    </row>
    <row r="2328" customFormat="false" ht="23.25" hidden="false" customHeight="true" outlineLevel="0" collapsed="false">
      <c r="A2328" s="10" t="s">
        <v>5477</v>
      </c>
      <c r="B2328" s="10" t="s">
        <v>45</v>
      </c>
      <c r="C2328" s="8" t="s">
        <v>5468</v>
      </c>
      <c r="D2328" s="8" t="s">
        <v>5478</v>
      </c>
      <c r="E2328" s="11" t="n">
        <v>30</v>
      </c>
      <c r="F2328" s="8" t="str">
        <f aca="false">IFERROR(INDEX(Section_Master!$D$2:$D$477,MATCH($E2328,Section_Master!$A$2:$A$477,0))&amp;"","")</f>
        <v>Not applicable - no offence or penalty defined here (definition, exception or general provision)</v>
      </c>
      <c r="G2328" s="10" t="str">
        <f aca="false">IFERROR(INDEX(Section_Master!$E$2:$E$477,MATCH($E2328,Section_Master!$A$2:$A$477,0))&amp;"","")</f>
        <v>N/A</v>
      </c>
      <c r="H2328" s="10" t="str">
        <f aca="false">IFERROR(INDEX(Section_Master!$F$2:$F$477,MATCH($E2328,Section_Master!$A$2:$A$477,0))&amp;"","")</f>
        <v>N/A</v>
      </c>
      <c r="I2328" s="10" t="str">
        <f aca="false">IFERROR(INDEX(Section_Master!$G$2:$G$477,MATCH($E2328,Section_Master!$A$2:$A$477,0))&amp;"","")</f>
        <v>N/A</v>
      </c>
      <c r="J2328" s="10" t="s">
        <v>61</v>
      </c>
      <c r="K2328" s="8" t="s">
        <v>5470</v>
      </c>
    </row>
    <row r="2329" customFormat="false" ht="34.5" hidden="false" customHeight="true" outlineLevel="0" collapsed="false">
      <c r="A2329" s="10" t="s">
        <v>5479</v>
      </c>
      <c r="B2329" s="10" t="s">
        <v>45</v>
      </c>
      <c r="C2329" s="8" t="s">
        <v>5468</v>
      </c>
      <c r="D2329" s="8" t="s">
        <v>5480</v>
      </c>
      <c r="E2329" s="11" t="n">
        <v>30</v>
      </c>
      <c r="F2329" s="8" t="str">
        <f aca="false">IFERROR(INDEX(Section_Master!$D$2:$D$477,MATCH($E2329,Section_Master!$A$2:$A$477,0))&amp;"","")</f>
        <v>Not applicable - no offence or penalty defined here (definition, exception or general provision)</v>
      </c>
      <c r="G2329" s="10" t="str">
        <f aca="false">IFERROR(INDEX(Section_Master!$E$2:$E$477,MATCH($E2329,Section_Master!$A$2:$A$477,0))&amp;"","")</f>
        <v>N/A</v>
      </c>
      <c r="H2329" s="10" t="str">
        <f aca="false">IFERROR(INDEX(Section_Master!$F$2:$F$477,MATCH($E2329,Section_Master!$A$2:$A$477,0))&amp;"","")</f>
        <v>N/A</v>
      </c>
      <c r="I2329" s="10" t="str">
        <f aca="false">IFERROR(INDEX(Section_Master!$G$2:$G$477,MATCH($E2329,Section_Master!$A$2:$A$477,0))&amp;"","")</f>
        <v>N/A</v>
      </c>
      <c r="J2329" s="10" t="s">
        <v>64</v>
      </c>
      <c r="K2329" s="8" t="s">
        <v>5470</v>
      </c>
    </row>
    <row r="2330" customFormat="false" ht="34.5" hidden="false" customHeight="true" outlineLevel="0" collapsed="false">
      <c r="A2330" s="10" t="s">
        <v>5481</v>
      </c>
      <c r="B2330" s="10" t="s">
        <v>45</v>
      </c>
      <c r="C2330" s="8" t="s">
        <v>5482</v>
      </c>
      <c r="D2330" s="8" t="s">
        <v>5483</v>
      </c>
      <c r="E2330" s="11" t="n">
        <v>31</v>
      </c>
      <c r="F2330" s="8" t="str">
        <f aca="false">IFERROR(INDEX(Section_Master!$D$2:$D$477,MATCH($E2330,Section_Master!$A$2:$A$477,0))&amp;"","")</f>
        <v>Not applicable - no offence or penalty defined here (definition, exception or general provision)</v>
      </c>
      <c r="G2330" s="10" t="str">
        <f aca="false">IFERROR(INDEX(Section_Master!$E$2:$E$477,MATCH($E2330,Section_Master!$A$2:$A$477,0))&amp;"","")</f>
        <v>N/A</v>
      </c>
      <c r="H2330" s="10" t="str">
        <f aca="false">IFERROR(INDEX(Section_Master!$F$2:$F$477,MATCH($E2330,Section_Master!$A$2:$A$477,0))&amp;"","")</f>
        <v>N/A</v>
      </c>
      <c r="I2330" s="10" t="str">
        <f aca="false">IFERROR(INDEX(Section_Master!$G$2:$G$477,MATCH($E2330,Section_Master!$A$2:$A$477,0))&amp;"","")</f>
        <v>N/A</v>
      </c>
      <c r="J2330" s="10" t="s">
        <v>48</v>
      </c>
      <c r="K2330" s="8" t="s">
        <v>5484</v>
      </c>
    </row>
    <row r="2331" customFormat="false" ht="34.5" hidden="false" customHeight="true" outlineLevel="0" collapsed="false">
      <c r="A2331" s="10" t="s">
        <v>5485</v>
      </c>
      <c r="B2331" s="10" t="s">
        <v>45</v>
      </c>
      <c r="C2331" s="8" t="s">
        <v>5482</v>
      </c>
      <c r="D2331" s="8" t="s">
        <v>5486</v>
      </c>
      <c r="E2331" s="11" t="n">
        <v>31</v>
      </c>
      <c r="F2331" s="8" t="str">
        <f aca="false">IFERROR(INDEX(Section_Master!$D$2:$D$477,MATCH($E2331,Section_Master!$A$2:$A$477,0))&amp;"","")</f>
        <v>Not applicable - no offence or penalty defined here (definition, exception or general provision)</v>
      </c>
      <c r="G2331" s="10" t="str">
        <f aca="false">IFERROR(INDEX(Section_Master!$E$2:$E$477,MATCH($E2331,Section_Master!$A$2:$A$477,0))&amp;"","")</f>
        <v>N/A</v>
      </c>
      <c r="H2331" s="10" t="str">
        <f aca="false">IFERROR(INDEX(Section_Master!$F$2:$F$477,MATCH($E2331,Section_Master!$A$2:$A$477,0))&amp;"","")</f>
        <v>N/A</v>
      </c>
      <c r="I2331" s="10" t="str">
        <f aca="false">IFERROR(INDEX(Section_Master!$G$2:$G$477,MATCH($E2331,Section_Master!$A$2:$A$477,0))&amp;"","")</f>
        <v>N/A</v>
      </c>
      <c r="J2331" s="10" t="s">
        <v>52</v>
      </c>
      <c r="K2331" s="8" t="s">
        <v>5484</v>
      </c>
    </row>
    <row r="2332" customFormat="false" ht="34.5" hidden="false" customHeight="true" outlineLevel="0" collapsed="false">
      <c r="A2332" s="10" t="s">
        <v>5487</v>
      </c>
      <c r="B2332" s="10" t="s">
        <v>45</v>
      </c>
      <c r="C2332" s="8" t="s">
        <v>5482</v>
      </c>
      <c r="D2332" s="8" t="s">
        <v>5488</v>
      </c>
      <c r="E2332" s="11" t="n">
        <v>31</v>
      </c>
      <c r="F2332" s="8" t="str">
        <f aca="false">IFERROR(INDEX(Section_Master!$D$2:$D$477,MATCH($E2332,Section_Master!$A$2:$A$477,0))&amp;"","")</f>
        <v>Not applicable - no offence or penalty defined here (definition, exception or general provision)</v>
      </c>
      <c r="G2332" s="10" t="str">
        <f aca="false">IFERROR(INDEX(Section_Master!$E$2:$E$477,MATCH($E2332,Section_Master!$A$2:$A$477,0))&amp;"","")</f>
        <v>N/A</v>
      </c>
      <c r="H2332" s="10" t="str">
        <f aca="false">IFERROR(INDEX(Section_Master!$F$2:$F$477,MATCH($E2332,Section_Master!$A$2:$A$477,0))&amp;"","")</f>
        <v>N/A</v>
      </c>
      <c r="I2332" s="10" t="str">
        <f aca="false">IFERROR(INDEX(Section_Master!$G$2:$G$477,MATCH($E2332,Section_Master!$A$2:$A$477,0))&amp;"","")</f>
        <v>N/A</v>
      </c>
      <c r="J2332" s="10" t="s">
        <v>55</v>
      </c>
      <c r="K2332" s="8" t="s">
        <v>5484</v>
      </c>
    </row>
    <row r="2333" customFormat="false" ht="23.25" hidden="false" customHeight="true" outlineLevel="0" collapsed="false">
      <c r="A2333" s="10" t="s">
        <v>5489</v>
      </c>
      <c r="B2333" s="10" t="s">
        <v>45</v>
      </c>
      <c r="C2333" s="8" t="s">
        <v>5482</v>
      </c>
      <c r="D2333" s="8" t="s">
        <v>5490</v>
      </c>
      <c r="E2333" s="11" t="n">
        <v>31</v>
      </c>
      <c r="F2333" s="8" t="str">
        <f aca="false">IFERROR(INDEX(Section_Master!$D$2:$D$477,MATCH($E2333,Section_Master!$A$2:$A$477,0))&amp;"","")</f>
        <v>Not applicable - no offence or penalty defined here (definition, exception or general provision)</v>
      </c>
      <c r="G2333" s="10" t="str">
        <f aca="false">IFERROR(INDEX(Section_Master!$E$2:$E$477,MATCH($E2333,Section_Master!$A$2:$A$477,0))&amp;"","")</f>
        <v>N/A</v>
      </c>
      <c r="H2333" s="10" t="str">
        <f aca="false">IFERROR(INDEX(Section_Master!$F$2:$F$477,MATCH($E2333,Section_Master!$A$2:$A$477,0))&amp;"","")</f>
        <v>N/A</v>
      </c>
      <c r="I2333" s="10" t="str">
        <f aca="false">IFERROR(INDEX(Section_Master!$G$2:$G$477,MATCH($E2333,Section_Master!$A$2:$A$477,0))&amp;"","")</f>
        <v>N/A</v>
      </c>
      <c r="J2333" s="10" t="s">
        <v>58</v>
      </c>
      <c r="K2333" s="8" t="s">
        <v>5484</v>
      </c>
    </row>
    <row r="2334" customFormat="false" ht="23.25" hidden="false" customHeight="true" outlineLevel="0" collapsed="false">
      <c r="A2334" s="10" t="s">
        <v>5491</v>
      </c>
      <c r="B2334" s="10" t="s">
        <v>45</v>
      </c>
      <c r="C2334" s="8" t="s">
        <v>5482</v>
      </c>
      <c r="D2334" s="8" t="s">
        <v>5492</v>
      </c>
      <c r="E2334" s="11" t="n">
        <v>31</v>
      </c>
      <c r="F2334" s="8" t="str">
        <f aca="false">IFERROR(INDEX(Section_Master!$D$2:$D$477,MATCH($E2334,Section_Master!$A$2:$A$477,0))&amp;"","")</f>
        <v>Not applicable - no offence or penalty defined here (definition, exception or general provision)</v>
      </c>
      <c r="G2334" s="10" t="str">
        <f aca="false">IFERROR(INDEX(Section_Master!$E$2:$E$477,MATCH($E2334,Section_Master!$A$2:$A$477,0))&amp;"","")</f>
        <v>N/A</v>
      </c>
      <c r="H2334" s="10" t="str">
        <f aca="false">IFERROR(INDEX(Section_Master!$F$2:$F$477,MATCH($E2334,Section_Master!$A$2:$A$477,0))&amp;"","")</f>
        <v>N/A</v>
      </c>
      <c r="I2334" s="10" t="str">
        <f aca="false">IFERROR(INDEX(Section_Master!$G$2:$G$477,MATCH($E2334,Section_Master!$A$2:$A$477,0))&amp;"","")</f>
        <v>N/A</v>
      </c>
      <c r="J2334" s="10" t="s">
        <v>61</v>
      </c>
      <c r="K2334" s="8" t="s">
        <v>5484</v>
      </c>
    </row>
    <row r="2335" customFormat="false" ht="34.5" hidden="false" customHeight="true" outlineLevel="0" collapsed="false">
      <c r="A2335" s="10" t="s">
        <v>5493</v>
      </c>
      <c r="B2335" s="10" t="s">
        <v>45</v>
      </c>
      <c r="C2335" s="8" t="s">
        <v>5482</v>
      </c>
      <c r="D2335" s="8" t="s">
        <v>5494</v>
      </c>
      <c r="E2335" s="11" t="n">
        <v>31</v>
      </c>
      <c r="F2335" s="8" t="str">
        <f aca="false">IFERROR(INDEX(Section_Master!$D$2:$D$477,MATCH($E2335,Section_Master!$A$2:$A$477,0))&amp;"","")</f>
        <v>Not applicable - no offence or penalty defined here (definition, exception or general provision)</v>
      </c>
      <c r="G2335" s="10" t="str">
        <f aca="false">IFERROR(INDEX(Section_Master!$E$2:$E$477,MATCH($E2335,Section_Master!$A$2:$A$477,0))&amp;"","")</f>
        <v>N/A</v>
      </c>
      <c r="H2335" s="10" t="str">
        <f aca="false">IFERROR(INDEX(Section_Master!$F$2:$F$477,MATCH($E2335,Section_Master!$A$2:$A$477,0))&amp;"","")</f>
        <v>N/A</v>
      </c>
      <c r="I2335" s="10" t="str">
        <f aca="false">IFERROR(INDEX(Section_Master!$G$2:$G$477,MATCH($E2335,Section_Master!$A$2:$A$477,0))&amp;"","")</f>
        <v>N/A</v>
      </c>
      <c r="J2335" s="10" t="s">
        <v>64</v>
      </c>
      <c r="K2335" s="8" t="s">
        <v>5484</v>
      </c>
    </row>
    <row r="2336" customFormat="false" ht="34.5" hidden="false" customHeight="true" outlineLevel="0" collapsed="false">
      <c r="A2336" s="10" t="s">
        <v>5495</v>
      </c>
      <c r="B2336" s="10" t="s">
        <v>45</v>
      </c>
      <c r="C2336" s="8" t="s">
        <v>5496</v>
      </c>
      <c r="D2336" s="8" t="s">
        <v>5497</v>
      </c>
      <c r="E2336" s="11" t="n">
        <v>32</v>
      </c>
      <c r="F2336" s="8" t="str">
        <f aca="false">IFERROR(INDEX(Section_Master!$D$2:$D$477,MATCH($E2336,Section_Master!$A$2:$A$477,0))&amp;"","")</f>
        <v>Not applicable - no offence or penalty defined here (definition, exception or general provision)</v>
      </c>
      <c r="G2336" s="10" t="str">
        <f aca="false">IFERROR(INDEX(Section_Master!$E$2:$E$477,MATCH($E2336,Section_Master!$A$2:$A$477,0))&amp;"","")</f>
        <v>N/A</v>
      </c>
      <c r="H2336" s="10" t="str">
        <f aca="false">IFERROR(INDEX(Section_Master!$F$2:$F$477,MATCH($E2336,Section_Master!$A$2:$A$477,0))&amp;"","")</f>
        <v>N/A</v>
      </c>
      <c r="I2336" s="10" t="str">
        <f aca="false">IFERROR(INDEX(Section_Master!$G$2:$G$477,MATCH($E2336,Section_Master!$A$2:$A$477,0))&amp;"","")</f>
        <v>N/A</v>
      </c>
      <c r="J2336" s="10" t="s">
        <v>48</v>
      </c>
      <c r="K2336" s="8" t="s">
        <v>5498</v>
      </c>
    </row>
    <row r="2337" customFormat="false" ht="34.5" hidden="false" customHeight="true" outlineLevel="0" collapsed="false">
      <c r="A2337" s="10" t="s">
        <v>5499</v>
      </c>
      <c r="B2337" s="10" t="s">
        <v>45</v>
      </c>
      <c r="C2337" s="8" t="s">
        <v>5496</v>
      </c>
      <c r="D2337" s="8" t="s">
        <v>5500</v>
      </c>
      <c r="E2337" s="11" t="n">
        <v>32</v>
      </c>
      <c r="F2337" s="8" t="str">
        <f aca="false">IFERROR(INDEX(Section_Master!$D$2:$D$477,MATCH($E2337,Section_Master!$A$2:$A$477,0))&amp;"","")</f>
        <v>Not applicable - no offence or penalty defined here (definition, exception or general provision)</v>
      </c>
      <c r="G2337" s="10" t="str">
        <f aca="false">IFERROR(INDEX(Section_Master!$E$2:$E$477,MATCH($E2337,Section_Master!$A$2:$A$477,0))&amp;"","")</f>
        <v>N/A</v>
      </c>
      <c r="H2337" s="10" t="str">
        <f aca="false">IFERROR(INDEX(Section_Master!$F$2:$F$477,MATCH($E2337,Section_Master!$A$2:$A$477,0))&amp;"","")</f>
        <v>N/A</v>
      </c>
      <c r="I2337" s="10" t="str">
        <f aca="false">IFERROR(INDEX(Section_Master!$G$2:$G$477,MATCH($E2337,Section_Master!$A$2:$A$477,0))&amp;"","")</f>
        <v>N/A</v>
      </c>
      <c r="J2337" s="10" t="s">
        <v>52</v>
      </c>
      <c r="K2337" s="8" t="s">
        <v>5498</v>
      </c>
    </row>
    <row r="2338" customFormat="false" ht="23.25" hidden="false" customHeight="true" outlineLevel="0" collapsed="false">
      <c r="A2338" s="10" t="s">
        <v>5501</v>
      </c>
      <c r="B2338" s="10" t="s">
        <v>45</v>
      </c>
      <c r="C2338" s="8" t="s">
        <v>5496</v>
      </c>
      <c r="D2338" s="8" t="s">
        <v>5502</v>
      </c>
      <c r="E2338" s="11" t="n">
        <v>32</v>
      </c>
      <c r="F2338" s="8" t="str">
        <f aca="false">IFERROR(INDEX(Section_Master!$D$2:$D$477,MATCH($E2338,Section_Master!$A$2:$A$477,0))&amp;"","")</f>
        <v>Not applicable - no offence or penalty defined here (definition, exception or general provision)</v>
      </c>
      <c r="G2338" s="10" t="str">
        <f aca="false">IFERROR(INDEX(Section_Master!$E$2:$E$477,MATCH($E2338,Section_Master!$A$2:$A$477,0))&amp;"","")</f>
        <v>N/A</v>
      </c>
      <c r="H2338" s="10" t="str">
        <f aca="false">IFERROR(INDEX(Section_Master!$F$2:$F$477,MATCH($E2338,Section_Master!$A$2:$A$477,0))&amp;"","")</f>
        <v>N/A</v>
      </c>
      <c r="I2338" s="10" t="str">
        <f aca="false">IFERROR(INDEX(Section_Master!$G$2:$G$477,MATCH($E2338,Section_Master!$A$2:$A$477,0))&amp;"","")</f>
        <v>N/A</v>
      </c>
      <c r="J2338" s="10" t="s">
        <v>55</v>
      </c>
      <c r="K2338" s="8" t="s">
        <v>5498</v>
      </c>
    </row>
    <row r="2339" customFormat="false" ht="23.25" hidden="false" customHeight="true" outlineLevel="0" collapsed="false">
      <c r="A2339" s="10" t="s">
        <v>5503</v>
      </c>
      <c r="B2339" s="10" t="s">
        <v>45</v>
      </c>
      <c r="C2339" s="8" t="s">
        <v>5496</v>
      </c>
      <c r="D2339" s="8" t="s">
        <v>5504</v>
      </c>
      <c r="E2339" s="11" t="n">
        <v>32</v>
      </c>
      <c r="F2339" s="8" t="str">
        <f aca="false">IFERROR(INDEX(Section_Master!$D$2:$D$477,MATCH($E2339,Section_Master!$A$2:$A$477,0))&amp;"","")</f>
        <v>Not applicable - no offence or penalty defined here (definition, exception or general provision)</v>
      </c>
      <c r="G2339" s="10" t="str">
        <f aca="false">IFERROR(INDEX(Section_Master!$E$2:$E$477,MATCH($E2339,Section_Master!$A$2:$A$477,0))&amp;"","")</f>
        <v>N/A</v>
      </c>
      <c r="H2339" s="10" t="str">
        <f aca="false">IFERROR(INDEX(Section_Master!$F$2:$F$477,MATCH($E2339,Section_Master!$A$2:$A$477,0))&amp;"","")</f>
        <v>N/A</v>
      </c>
      <c r="I2339" s="10" t="str">
        <f aca="false">IFERROR(INDEX(Section_Master!$G$2:$G$477,MATCH($E2339,Section_Master!$A$2:$A$477,0))&amp;"","")</f>
        <v>N/A</v>
      </c>
      <c r="J2339" s="10" t="s">
        <v>58</v>
      </c>
      <c r="K2339" s="8" t="s">
        <v>5498</v>
      </c>
    </row>
    <row r="2340" customFormat="false" ht="23.25" hidden="false" customHeight="true" outlineLevel="0" collapsed="false">
      <c r="A2340" s="10" t="s">
        <v>5505</v>
      </c>
      <c r="B2340" s="10" t="s">
        <v>45</v>
      </c>
      <c r="C2340" s="8" t="s">
        <v>5496</v>
      </c>
      <c r="D2340" s="8" t="s">
        <v>5506</v>
      </c>
      <c r="E2340" s="11" t="n">
        <v>32</v>
      </c>
      <c r="F2340" s="8" t="str">
        <f aca="false">IFERROR(INDEX(Section_Master!$D$2:$D$477,MATCH($E2340,Section_Master!$A$2:$A$477,0))&amp;"","")</f>
        <v>Not applicable - no offence or penalty defined here (definition, exception or general provision)</v>
      </c>
      <c r="G2340" s="10" t="str">
        <f aca="false">IFERROR(INDEX(Section_Master!$E$2:$E$477,MATCH($E2340,Section_Master!$A$2:$A$477,0))&amp;"","")</f>
        <v>N/A</v>
      </c>
      <c r="H2340" s="10" t="str">
        <f aca="false">IFERROR(INDEX(Section_Master!$F$2:$F$477,MATCH($E2340,Section_Master!$A$2:$A$477,0))&amp;"","")</f>
        <v>N/A</v>
      </c>
      <c r="I2340" s="10" t="str">
        <f aca="false">IFERROR(INDEX(Section_Master!$G$2:$G$477,MATCH($E2340,Section_Master!$A$2:$A$477,0))&amp;"","")</f>
        <v>N/A</v>
      </c>
      <c r="J2340" s="10" t="s">
        <v>61</v>
      </c>
      <c r="K2340" s="8" t="s">
        <v>5498</v>
      </c>
    </row>
    <row r="2341" customFormat="false" ht="34.5" hidden="false" customHeight="true" outlineLevel="0" collapsed="false">
      <c r="A2341" s="10" t="s">
        <v>5507</v>
      </c>
      <c r="B2341" s="10" t="s">
        <v>45</v>
      </c>
      <c r="C2341" s="8" t="s">
        <v>5496</v>
      </c>
      <c r="D2341" s="8" t="s">
        <v>5508</v>
      </c>
      <c r="E2341" s="11" t="n">
        <v>32</v>
      </c>
      <c r="F2341" s="8" t="str">
        <f aca="false">IFERROR(INDEX(Section_Master!$D$2:$D$477,MATCH($E2341,Section_Master!$A$2:$A$477,0))&amp;"","")</f>
        <v>Not applicable - no offence or penalty defined here (definition, exception or general provision)</v>
      </c>
      <c r="G2341" s="10" t="str">
        <f aca="false">IFERROR(INDEX(Section_Master!$E$2:$E$477,MATCH($E2341,Section_Master!$A$2:$A$477,0))&amp;"","")</f>
        <v>N/A</v>
      </c>
      <c r="H2341" s="10" t="str">
        <f aca="false">IFERROR(INDEX(Section_Master!$F$2:$F$477,MATCH($E2341,Section_Master!$A$2:$A$477,0))&amp;"","")</f>
        <v>N/A</v>
      </c>
      <c r="I2341" s="10" t="str">
        <f aca="false">IFERROR(INDEX(Section_Master!$G$2:$G$477,MATCH($E2341,Section_Master!$A$2:$A$477,0))&amp;"","")</f>
        <v>N/A</v>
      </c>
      <c r="J2341" s="10" t="s">
        <v>64</v>
      </c>
      <c r="K2341" s="8" t="s">
        <v>5498</v>
      </c>
    </row>
    <row r="2342" customFormat="false" ht="34.5" hidden="false" customHeight="true" outlineLevel="0" collapsed="false">
      <c r="A2342" s="10" t="s">
        <v>5509</v>
      </c>
      <c r="B2342" s="10" t="s">
        <v>45</v>
      </c>
      <c r="C2342" s="8" t="s">
        <v>5510</v>
      </c>
      <c r="D2342" s="8" t="s">
        <v>5511</v>
      </c>
      <c r="E2342" s="11" t="n">
        <v>33</v>
      </c>
      <c r="F2342" s="8" t="str">
        <f aca="false">IFERROR(INDEX(Section_Master!$D$2:$D$477,MATCH($E2342,Section_Master!$A$2:$A$477,0))&amp;"","")</f>
        <v>Not applicable - no offence or penalty defined here (definition, exception or general provision)</v>
      </c>
      <c r="G2342" s="10" t="str">
        <f aca="false">IFERROR(INDEX(Section_Master!$E$2:$E$477,MATCH($E2342,Section_Master!$A$2:$A$477,0))&amp;"","")</f>
        <v>N/A</v>
      </c>
      <c r="H2342" s="10" t="str">
        <f aca="false">IFERROR(INDEX(Section_Master!$F$2:$F$477,MATCH($E2342,Section_Master!$A$2:$A$477,0))&amp;"","")</f>
        <v>N/A</v>
      </c>
      <c r="I2342" s="10" t="str">
        <f aca="false">IFERROR(INDEX(Section_Master!$G$2:$G$477,MATCH($E2342,Section_Master!$A$2:$A$477,0))&amp;"","")</f>
        <v>N/A</v>
      </c>
      <c r="J2342" s="10" t="s">
        <v>48</v>
      </c>
      <c r="K2342" s="8" t="s">
        <v>5512</v>
      </c>
    </row>
    <row r="2343" customFormat="false" ht="34.5" hidden="false" customHeight="true" outlineLevel="0" collapsed="false">
      <c r="A2343" s="10" t="s">
        <v>5513</v>
      </c>
      <c r="B2343" s="10" t="s">
        <v>45</v>
      </c>
      <c r="C2343" s="8" t="s">
        <v>5510</v>
      </c>
      <c r="D2343" s="8" t="s">
        <v>5514</v>
      </c>
      <c r="E2343" s="11" t="n">
        <v>33</v>
      </c>
      <c r="F2343" s="8" t="str">
        <f aca="false">IFERROR(INDEX(Section_Master!$D$2:$D$477,MATCH($E2343,Section_Master!$A$2:$A$477,0))&amp;"","")</f>
        <v>Not applicable - no offence or penalty defined here (definition, exception or general provision)</v>
      </c>
      <c r="G2343" s="10" t="str">
        <f aca="false">IFERROR(INDEX(Section_Master!$E$2:$E$477,MATCH($E2343,Section_Master!$A$2:$A$477,0))&amp;"","")</f>
        <v>N/A</v>
      </c>
      <c r="H2343" s="10" t="str">
        <f aca="false">IFERROR(INDEX(Section_Master!$F$2:$F$477,MATCH($E2343,Section_Master!$A$2:$A$477,0))&amp;"","")</f>
        <v>N/A</v>
      </c>
      <c r="I2343" s="10" t="str">
        <f aca="false">IFERROR(INDEX(Section_Master!$G$2:$G$477,MATCH($E2343,Section_Master!$A$2:$A$477,0))&amp;"","")</f>
        <v>N/A</v>
      </c>
      <c r="J2343" s="10" t="s">
        <v>52</v>
      </c>
      <c r="K2343" s="8" t="s">
        <v>5512</v>
      </c>
    </row>
    <row r="2344" customFormat="false" ht="23.25" hidden="false" customHeight="true" outlineLevel="0" collapsed="false">
      <c r="A2344" s="10" t="s">
        <v>5515</v>
      </c>
      <c r="B2344" s="10" t="s">
        <v>45</v>
      </c>
      <c r="C2344" s="8" t="s">
        <v>5510</v>
      </c>
      <c r="D2344" s="8" t="s">
        <v>5516</v>
      </c>
      <c r="E2344" s="11" t="n">
        <v>33</v>
      </c>
      <c r="F2344" s="8" t="str">
        <f aca="false">IFERROR(INDEX(Section_Master!$D$2:$D$477,MATCH($E2344,Section_Master!$A$2:$A$477,0))&amp;"","")</f>
        <v>Not applicable - no offence or penalty defined here (definition, exception or general provision)</v>
      </c>
      <c r="G2344" s="10" t="str">
        <f aca="false">IFERROR(INDEX(Section_Master!$E$2:$E$477,MATCH($E2344,Section_Master!$A$2:$A$477,0))&amp;"","")</f>
        <v>N/A</v>
      </c>
      <c r="H2344" s="10" t="str">
        <f aca="false">IFERROR(INDEX(Section_Master!$F$2:$F$477,MATCH($E2344,Section_Master!$A$2:$A$477,0))&amp;"","")</f>
        <v>N/A</v>
      </c>
      <c r="I2344" s="10" t="str">
        <f aca="false">IFERROR(INDEX(Section_Master!$G$2:$G$477,MATCH($E2344,Section_Master!$A$2:$A$477,0))&amp;"","")</f>
        <v>N/A</v>
      </c>
      <c r="J2344" s="10" t="s">
        <v>55</v>
      </c>
      <c r="K2344" s="8" t="s">
        <v>5512</v>
      </c>
    </row>
    <row r="2345" customFormat="false" ht="34.5" hidden="false" customHeight="true" outlineLevel="0" collapsed="false">
      <c r="A2345" s="10" t="s">
        <v>5517</v>
      </c>
      <c r="B2345" s="10" t="s">
        <v>45</v>
      </c>
      <c r="C2345" s="8" t="s">
        <v>5510</v>
      </c>
      <c r="D2345" s="8" t="s">
        <v>5518</v>
      </c>
      <c r="E2345" s="11" t="n">
        <v>33</v>
      </c>
      <c r="F2345" s="8" t="str">
        <f aca="false">IFERROR(INDEX(Section_Master!$D$2:$D$477,MATCH($E2345,Section_Master!$A$2:$A$477,0))&amp;"","")</f>
        <v>Not applicable - no offence or penalty defined here (definition, exception or general provision)</v>
      </c>
      <c r="G2345" s="10" t="str">
        <f aca="false">IFERROR(INDEX(Section_Master!$E$2:$E$477,MATCH($E2345,Section_Master!$A$2:$A$477,0))&amp;"","")</f>
        <v>N/A</v>
      </c>
      <c r="H2345" s="10" t="str">
        <f aca="false">IFERROR(INDEX(Section_Master!$F$2:$F$477,MATCH($E2345,Section_Master!$A$2:$A$477,0))&amp;"","")</f>
        <v>N/A</v>
      </c>
      <c r="I2345" s="10" t="str">
        <f aca="false">IFERROR(INDEX(Section_Master!$G$2:$G$477,MATCH($E2345,Section_Master!$A$2:$A$477,0))&amp;"","")</f>
        <v>N/A</v>
      </c>
      <c r="J2345" s="10" t="s">
        <v>58</v>
      </c>
      <c r="K2345" s="8" t="s">
        <v>5512</v>
      </c>
    </row>
    <row r="2346" customFormat="false" ht="23.25" hidden="false" customHeight="true" outlineLevel="0" collapsed="false">
      <c r="A2346" s="10" t="s">
        <v>5519</v>
      </c>
      <c r="B2346" s="10" t="s">
        <v>45</v>
      </c>
      <c r="C2346" s="8" t="s">
        <v>5510</v>
      </c>
      <c r="D2346" s="8" t="s">
        <v>5520</v>
      </c>
      <c r="E2346" s="11" t="n">
        <v>33</v>
      </c>
      <c r="F2346" s="8" t="str">
        <f aca="false">IFERROR(INDEX(Section_Master!$D$2:$D$477,MATCH($E2346,Section_Master!$A$2:$A$477,0))&amp;"","")</f>
        <v>Not applicable - no offence or penalty defined here (definition, exception or general provision)</v>
      </c>
      <c r="G2346" s="10" t="str">
        <f aca="false">IFERROR(INDEX(Section_Master!$E$2:$E$477,MATCH($E2346,Section_Master!$A$2:$A$477,0))&amp;"","")</f>
        <v>N/A</v>
      </c>
      <c r="H2346" s="10" t="str">
        <f aca="false">IFERROR(INDEX(Section_Master!$F$2:$F$477,MATCH($E2346,Section_Master!$A$2:$A$477,0))&amp;"","")</f>
        <v>N/A</v>
      </c>
      <c r="I2346" s="10" t="str">
        <f aca="false">IFERROR(INDEX(Section_Master!$G$2:$G$477,MATCH($E2346,Section_Master!$A$2:$A$477,0))&amp;"","")</f>
        <v>N/A</v>
      </c>
      <c r="J2346" s="10" t="s">
        <v>61</v>
      </c>
      <c r="K2346" s="8" t="s">
        <v>5512</v>
      </c>
    </row>
    <row r="2347" customFormat="false" ht="23.25" hidden="false" customHeight="true" outlineLevel="0" collapsed="false">
      <c r="A2347" s="10" t="s">
        <v>5521</v>
      </c>
      <c r="B2347" s="10" t="s">
        <v>45</v>
      </c>
      <c r="C2347" s="8" t="s">
        <v>5510</v>
      </c>
      <c r="D2347" s="8" t="s">
        <v>5522</v>
      </c>
      <c r="E2347" s="11" t="n">
        <v>33</v>
      </c>
      <c r="F2347" s="8" t="str">
        <f aca="false">IFERROR(INDEX(Section_Master!$D$2:$D$477,MATCH($E2347,Section_Master!$A$2:$A$477,0))&amp;"","")</f>
        <v>Not applicable - no offence or penalty defined here (definition, exception or general provision)</v>
      </c>
      <c r="G2347" s="10" t="str">
        <f aca="false">IFERROR(INDEX(Section_Master!$E$2:$E$477,MATCH($E2347,Section_Master!$A$2:$A$477,0))&amp;"","")</f>
        <v>N/A</v>
      </c>
      <c r="H2347" s="10" t="str">
        <f aca="false">IFERROR(INDEX(Section_Master!$F$2:$F$477,MATCH($E2347,Section_Master!$A$2:$A$477,0))&amp;"","")</f>
        <v>N/A</v>
      </c>
      <c r="I2347" s="10" t="str">
        <f aca="false">IFERROR(INDEX(Section_Master!$G$2:$G$477,MATCH($E2347,Section_Master!$A$2:$A$477,0))&amp;"","")</f>
        <v>N/A</v>
      </c>
      <c r="J2347" s="10" t="s">
        <v>64</v>
      </c>
      <c r="K2347" s="8" t="s">
        <v>5512</v>
      </c>
    </row>
    <row r="2348" customFormat="false" ht="34.5" hidden="false" customHeight="true" outlineLevel="0" collapsed="false">
      <c r="A2348" s="10" t="s">
        <v>5523</v>
      </c>
      <c r="B2348" s="10" t="s">
        <v>45</v>
      </c>
      <c r="C2348" s="8" t="s">
        <v>5524</v>
      </c>
      <c r="D2348" s="8" t="s">
        <v>5525</v>
      </c>
      <c r="E2348" s="11" t="n">
        <v>34</v>
      </c>
      <c r="F2348" s="8" t="str">
        <f aca="false">IFERROR(INDEX(Section_Master!$D$2:$D$477,MATCH($E2348,Section_Master!$A$2:$A$477,0))&amp;"","")</f>
        <v>Not applicable - no offence or penalty defined here (definition, exception or general provision)</v>
      </c>
      <c r="G2348" s="10" t="str">
        <f aca="false">IFERROR(INDEX(Section_Master!$E$2:$E$477,MATCH($E2348,Section_Master!$A$2:$A$477,0))&amp;"","")</f>
        <v>N/A</v>
      </c>
      <c r="H2348" s="10" t="str">
        <f aca="false">IFERROR(INDEX(Section_Master!$F$2:$F$477,MATCH($E2348,Section_Master!$A$2:$A$477,0))&amp;"","")</f>
        <v>N/A</v>
      </c>
      <c r="I2348" s="10" t="str">
        <f aca="false">IFERROR(INDEX(Section_Master!$G$2:$G$477,MATCH($E2348,Section_Master!$A$2:$A$477,0))&amp;"","")</f>
        <v>N/A</v>
      </c>
      <c r="J2348" s="10" t="s">
        <v>48</v>
      </c>
      <c r="K2348" s="8" t="s">
        <v>5526</v>
      </c>
    </row>
    <row r="2349" customFormat="false" ht="34.5" hidden="false" customHeight="true" outlineLevel="0" collapsed="false">
      <c r="A2349" s="10" t="s">
        <v>5527</v>
      </c>
      <c r="B2349" s="10" t="s">
        <v>45</v>
      </c>
      <c r="C2349" s="8" t="s">
        <v>5524</v>
      </c>
      <c r="D2349" s="8" t="s">
        <v>5528</v>
      </c>
      <c r="E2349" s="11" t="n">
        <v>34</v>
      </c>
      <c r="F2349" s="8" t="str">
        <f aca="false">IFERROR(INDEX(Section_Master!$D$2:$D$477,MATCH($E2349,Section_Master!$A$2:$A$477,0))&amp;"","")</f>
        <v>Not applicable - no offence or penalty defined here (definition, exception or general provision)</v>
      </c>
      <c r="G2349" s="10" t="str">
        <f aca="false">IFERROR(INDEX(Section_Master!$E$2:$E$477,MATCH($E2349,Section_Master!$A$2:$A$477,0))&amp;"","")</f>
        <v>N/A</v>
      </c>
      <c r="H2349" s="10" t="str">
        <f aca="false">IFERROR(INDEX(Section_Master!$F$2:$F$477,MATCH($E2349,Section_Master!$A$2:$A$477,0))&amp;"","")</f>
        <v>N/A</v>
      </c>
      <c r="I2349" s="10" t="str">
        <f aca="false">IFERROR(INDEX(Section_Master!$G$2:$G$477,MATCH($E2349,Section_Master!$A$2:$A$477,0))&amp;"","")</f>
        <v>N/A</v>
      </c>
      <c r="J2349" s="10" t="s">
        <v>52</v>
      </c>
      <c r="K2349" s="8" t="s">
        <v>5526</v>
      </c>
    </row>
    <row r="2350" customFormat="false" ht="34.5" hidden="false" customHeight="true" outlineLevel="0" collapsed="false">
      <c r="A2350" s="10" t="s">
        <v>5529</v>
      </c>
      <c r="B2350" s="10" t="s">
        <v>45</v>
      </c>
      <c r="C2350" s="8" t="s">
        <v>5524</v>
      </c>
      <c r="D2350" s="8" t="s">
        <v>5530</v>
      </c>
      <c r="E2350" s="11" t="n">
        <v>34</v>
      </c>
      <c r="F2350" s="8" t="str">
        <f aca="false">IFERROR(INDEX(Section_Master!$D$2:$D$477,MATCH($E2350,Section_Master!$A$2:$A$477,0))&amp;"","")</f>
        <v>Not applicable - no offence or penalty defined here (definition, exception or general provision)</v>
      </c>
      <c r="G2350" s="10" t="str">
        <f aca="false">IFERROR(INDEX(Section_Master!$E$2:$E$477,MATCH($E2350,Section_Master!$A$2:$A$477,0))&amp;"","")</f>
        <v>N/A</v>
      </c>
      <c r="H2350" s="10" t="str">
        <f aca="false">IFERROR(INDEX(Section_Master!$F$2:$F$477,MATCH($E2350,Section_Master!$A$2:$A$477,0))&amp;"","")</f>
        <v>N/A</v>
      </c>
      <c r="I2350" s="10" t="str">
        <f aca="false">IFERROR(INDEX(Section_Master!$G$2:$G$477,MATCH($E2350,Section_Master!$A$2:$A$477,0))&amp;"","")</f>
        <v>N/A</v>
      </c>
      <c r="J2350" s="10" t="s">
        <v>55</v>
      </c>
      <c r="K2350" s="8" t="s">
        <v>5526</v>
      </c>
    </row>
    <row r="2351" customFormat="false" ht="34.5" hidden="false" customHeight="true" outlineLevel="0" collapsed="false">
      <c r="A2351" s="10" t="s">
        <v>5531</v>
      </c>
      <c r="B2351" s="10" t="s">
        <v>45</v>
      </c>
      <c r="C2351" s="8" t="s">
        <v>5524</v>
      </c>
      <c r="D2351" s="8" t="s">
        <v>5532</v>
      </c>
      <c r="E2351" s="11" t="n">
        <v>34</v>
      </c>
      <c r="F2351" s="8" t="str">
        <f aca="false">IFERROR(INDEX(Section_Master!$D$2:$D$477,MATCH($E2351,Section_Master!$A$2:$A$477,0))&amp;"","")</f>
        <v>Not applicable - no offence or penalty defined here (definition, exception or general provision)</v>
      </c>
      <c r="G2351" s="10" t="str">
        <f aca="false">IFERROR(INDEX(Section_Master!$E$2:$E$477,MATCH($E2351,Section_Master!$A$2:$A$477,0))&amp;"","")</f>
        <v>N/A</v>
      </c>
      <c r="H2351" s="10" t="str">
        <f aca="false">IFERROR(INDEX(Section_Master!$F$2:$F$477,MATCH($E2351,Section_Master!$A$2:$A$477,0))&amp;"","")</f>
        <v>N/A</v>
      </c>
      <c r="I2351" s="10" t="str">
        <f aca="false">IFERROR(INDEX(Section_Master!$G$2:$G$477,MATCH($E2351,Section_Master!$A$2:$A$477,0))&amp;"","")</f>
        <v>N/A</v>
      </c>
      <c r="J2351" s="10" t="s">
        <v>58</v>
      </c>
      <c r="K2351" s="8" t="s">
        <v>5526</v>
      </c>
    </row>
    <row r="2352" customFormat="false" ht="34.5" hidden="false" customHeight="true" outlineLevel="0" collapsed="false">
      <c r="A2352" s="10" t="s">
        <v>5533</v>
      </c>
      <c r="B2352" s="10" t="s">
        <v>45</v>
      </c>
      <c r="C2352" s="8" t="s">
        <v>5524</v>
      </c>
      <c r="D2352" s="8" t="s">
        <v>5534</v>
      </c>
      <c r="E2352" s="11" t="n">
        <v>34</v>
      </c>
      <c r="F2352" s="8" t="str">
        <f aca="false">IFERROR(INDEX(Section_Master!$D$2:$D$477,MATCH($E2352,Section_Master!$A$2:$A$477,0))&amp;"","")</f>
        <v>Not applicable - no offence or penalty defined here (definition, exception or general provision)</v>
      </c>
      <c r="G2352" s="10" t="str">
        <f aca="false">IFERROR(INDEX(Section_Master!$E$2:$E$477,MATCH($E2352,Section_Master!$A$2:$A$477,0))&amp;"","")</f>
        <v>N/A</v>
      </c>
      <c r="H2352" s="10" t="str">
        <f aca="false">IFERROR(INDEX(Section_Master!$F$2:$F$477,MATCH($E2352,Section_Master!$A$2:$A$477,0))&amp;"","")</f>
        <v>N/A</v>
      </c>
      <c r="I2352" s="10" t="str">
        <f aca="false">IFERROR(INDEX(Section_Master!$G$2:$G$477,MATCH($E2352,Section_Master!$A$2:$A$477,0))&amp;"","")</f>
        <v>N/A</v>
      </c>
      <c r="J2352" s="10" t="s">
        <v>61</v>
      </c>
      <c r="K2352" s="8" t="s">
        <v>5526</v>
      </c>
    </row>
    <row r="2353" customFormat="false" ht="34.5" hidden="false" customHeight="true" outlineLevel="0" collapsed="false">
      <c r="A2353" s="10" t="s">
        <v>5535</v>
      </c>
      <c r="B2353" s="10" t="s">
        <v>45</v>
      </c>
      <c r="C2353" s="8" t="s">
        <v>5524</v>
      </c>
      <c r="D2353" s="8" t="s">
        <v>5536</v>
      </c>
      <c r="E2353" s="11" t="n">
        <v>34</v>
      </c>
      <c r="F2353" s="8" t="str">
        <f aca="false">IFERROR(INDEX(Section_Master!$D$2:$D$477,MATCH($E2353,Section_Master!$A$2:$A$477,0))&amp;"","")</f>
        <v>Not applicable - no offence or penalty defined here (definition, exception or general provision)</v>
      </c>
      <c r="G2353" s="10" t="str">
        <f aca="false">IFERROR(INDEX(Section_Master!$E$2:$E$477,MATCH($E2353,Section_Master!$A$2:$A$477,0))&amp;"","")</f>
        <v>N/A</v>
      </c>
      <c r="H2353" s="10" t="str">
        <f aca="false">IFERROR(INDEX(Section_Master!$F$2:$F$477,MATCH($E2353,Section_Master!$A$2:$A$477,0))&amp;"","")</f>
        <v>N/A</v>
      </c>
      <c r="I2353" s="10" t="str">
        <f aca="false">IFERROR(INDEX(Section_Master!$G$2:$G$477,MATCH($E2353,Section_Master!$A$2:$A$477,0))&amp;"","")</f>
        <v>N/A</v>
      </c>
      <c r="J2353" s="10" t="s">
        <v>64</v>
      </c>
      <c r="K2353" s="8" t="s">
        <v>5526</v>
      </c>
    </row>
    <row r="2354" customFormat="false" ht="34.5" hidden="false" customHeight="true" outlineLevel="0" collapsed="false">
      <c r="A2354" s="10" t="s">
        <v>5537</v>
      </c>
      <c r="B2354" s="10" t="s">
        <v>45</v>
      </c>
      <c r="C2354" s="8" t="s">
        <v>5538</v>
      </c>
      <c r="D2354" s="8" t="s">
        <v>5539</v>
      </c>
      <c r="E2354" s="11" t="n">
        <v>35</v>
      </c>
      <c r="F2354" s="8" t="str">
        <f aca="false">IFERROR(INDEX(Section_Master!$D$2:$D$477,MATCH($E2354,Section_Master!$A$2:$A$477,0))&amp;"","")</f>
        <v>Not applicable - no offence or penalty defined here (definition, exception or general provision)</v>
      </c>
      <c r="G2354" s="10" t="str">
        <f aca="false">IFERROR(INDEX(Section_Master!$E$2:$E$477,MATCH($E2354,Section_Master!$A$2:$A$477,0))&amp;"","")</f>
        <v>N/A</v>
      </c>
      <c r="H2354" s="10" t="str">
        <f aca="false">IFERROR(INDEX(Section_Master!$F$2:$F$477,MATCH($E2354,Section_Master!$A$2:$A$477,0))&amp;"","")</f>
        <v>N/A</v>
      </c>
      <c r="I2354" s="10" t="str">
        <f aca="false">IFERROR(INDEX(Section_Master!$G$2:$G$477,MATCH($E2354,Section_Master!$A$2:$A$477,0))&amp;"","")</f>
        <v>N/A</v>
      </c>
      <c r="J2354" s="10" t="s">
        <v>48</v>
      </c>
      <c r="K2354" s="8" t="s">
        <v>5540</v>
      </c>
    </row>
    <row r="2355" customFormat="false" ht="34.5" hidden="false" customHeight="true" outlineLevel="0" collapsed="false">
      <c r="A2355" s="10" t="s">
        <v>5541</v>
      </c>
      <c r="B2355" s="10" t="s">
        <v>45</v>
      </c>
      <c r="C2355" s="8" t="s">
        <v>5538</v>
      </c>
      <c r="D2355" s="8" t="s">
        <v>5542</v>
      </c>
      <c r="E2355" s="11" t="n">
        <v>35</v>
      </c>
      <c r="F2355" s="8" t="str">
        <f aca="false">IFERROR(INDEX(Section_Master!$D$2:$D$477,MATCH($E2355,Section_Master!$A$2:$A$477,0))&amp;"","")</f>
        <v>Not applicable - no offence or penalty defined here (definition, exception or general provision)</v>
      </c>
      <c r="G2355" s="10" t="str">
        <f aca="false">IFERROR(INDEX(Section_Master!$E$2:$E$477,MATCH($E2355,Section_Master!$A$2:$A$477,0))&amp;"","")</f>
        <v>N/A</v>
      </c>
      <c r="H2355" s="10" t="str">
        <f aca="false">IFERROR(INDEX(Section_Master!$F$2:$F$477,MATCH($E2355,Section_Master!$A$2:$A$477,0))&amp;"","")</f>
        <v>N/A</v>
      </c>
      <c r="I2355" s="10" t="str">
        <f aca="false">IFERROR(INDEX(Section_Master!$G$2:$G$477,MATCH($E2355,Section_Master!$A$2:$A$477,0))&amp;"","")</f>
        <v>N/A</v>
      </c>
      <c r="J2355" s="10" t="s">
        <v>52</v>
      </c>
      <c r="K2355" s="8" t="s">
        <v>5540</v>
      </c>
    </row>
    <row r="2356" customFormat="false" ht="45.75" hidden="false" customHeight="true" outlineLevel="0" collapsed="false">
      <c r="A2356" s="10" t="s">
        <v>5543</v>
      </c>
      <c r="B2356" s="10" t="s">
        <v>45</v>
      </c>
      <c r="C2356" s="8" t="s">
        <v>5538</v>
      </c>
      <c r="D2356" s="8" t="s">
        <v>5544</v>
      </c>
      <c r="E2356" s="11" t="n">
        <v>35</v>
      </c>
      <c r="F2356" s="8" t="str">
        <f aca="false">IFERROR(INDEX(Section_Master!$D$2:$D$477,MATCH($E2356,Section_Master!$A$2:$A$477,0))&amp;"","")</f>
        <v>Not applicable - no offence or penalty defined here (definition, exception or general provision)</v>
      </c>
      <c r="G2356" s="10" t="str">
        <f aca="false">IFERROR(INDEX(Section_Master!$E$2:$E$477,MATCH($E2356,Section_Master!$A$2:$A$477,0))&amp;"","")</f>
        <v>N/A</v>
      </c>
      <c r="H2356" s="10" t="str">
        <f aca="false">IFERROR(INDEX(Section_Master!$F$2:$F$477,MATCH($E2356,Section_Master!$A$2:$A$477,0))&amp;"","")</f>
        <v>N/A</v>
      </c>
      <c r="I2356" s="10" t="str">
        <f aca="false">IFERROR(INDEX(Section_Master!$G$2:$G$477,MATCH($E2356,Section_Master!$A$2:$A$477,0))&amp;"","")</f>
        <v>N/A</v>
      </c>
      <c r="J2356" s="10" t="s">
        <v>55</v>
      </c>
      <c r="K2356" s="8" t="s">
        <v>5540</v>
      </c>
    </row>
    <row r="2357" customFormat="false" ht="45.75" hidden="false" customHeight="true" outlineLevel="0" collapsed="false">
      <c r="A2357" s="10" t="s">
        <v>5545</v>
      </c>
      <c r="B2357" s="10" t="s">
        <v>45</v>
      </c>
      <c r="C2357" s="8" t="s">
        <v>5538</v>
      </c>
      <c r="D2357" s="8" t="s">
        <v>5546</v>
      </c>
      <c r="E2357" s="11" t="n">
        <v>35</v>
      </c>
      <c r="F2357" s="8" t="str">
        <f aca="false">IFERROR(INDEX(Section_Master!$D$2:$D$477,MATCH($E2357,Section_Master!$A$2:$A$477,0))&amp;"","")</f>
        <v>Not applicable - no offence or penalty defined here (definition, exception or general provision)</v>
      </c>
      <c r="G2357" s="10" t="str">
        <f aca="false">IFERROR(INDEX(Section_Master!$E$2:$E$477,MATCH($E2357,Section_Master!$A$2:$A$477,0))&amp;"","")</f>
        <v>N/A</v>
      </c>
      <c r="H2357" s="10" t="str">
        <f aca="false">IFERROR(INDEX(Section_Master!$F$2:$F$477,MATCH($E2357,Section_Master!$A$2:$A$477,0))&amp;"","")</f>
        <v>N/A</v>
      </c>
      <c r="I2357" s="10" t="str">
        <f aca="false">IFERROR(INDEX(Section_Master!$G$2:$G$477,MATCH($E2357,Section_Master!$A$2:$A$477,0))&amp;"","")</f>
        <v>N/A</v>
      </c>
      <c r="J2357" s="10" t="s">
        <v>58</v>
      </c>
      <c r="K2357" s="8" t="s">
        <v>5540</v>
      </c>
    </row>
    <row r="2358" customFormat="false" ht="34.5" hidden="false" customHeight="true" outlineLevel="0" collapsed="false">
      <c r="A2358" s="10" t="s">
        <v>5547</v>
      </c>
      <c r="B2358" s="10" t="s">
        <v>45</v>
      </c>
      <c r="C2358" s="8" t="s">
        <v>5538</v>
      </c>
      <c r="D2358" s="8" t="s">
        <v>5548</v>
      </c>
      <c r="E2358" s="11" t="n">
        <v>35</v>
      </c>
      <c r="F2358" s="8" t="str">
        <f aca="false">IFERROR(INDEX(Section_Master!$D$2:$D$477,MATCH($E2358,Section_Master!$A$2:$A$477,0))&amp;"","")</f>
        <v>Not applicable - no offence or penalty defined here (definition, exception or general provision)</v>
      </c>
      <c r="G2358" s="10" t="str">
        <f aca="false">IFERROR(INDEX(Section_Master!$E$2:$E$477,MATCH($E2358,Section_Master!$A$2:$A$477,0))&amp;"","")</f>
        <v>N/A</v>
      </c>
      <c r="H2358" s="10" t="str">
        <f aca="false">IFERROR(INDEX(Section_Master!$F$2:$F$477,MATCH($E2358,Section_Master!$A$2:$A$477,0))&amp;"","")</f>
        <v>N/A</v>
      </c>
      <c r="I2358" s="10" t="str">
        <f aca="false">IFERROR(INDEX(Section_Master!$G$2:$G$477,MATCH($E2358,Section_Master!$A$2:$A$477,0))&amp;"","")</f>
        <v>N/A</v>
      </c>
      <c r="J2358" s="10" t="s">
        <v>61</v>
      </c>
      <c r="K2358" s="8" t="s">
        <v>5540</v>
      </c>
    </row>
    <row r="2359" customFormat="false" ht="23.25" hidden="false" customHeight="true" outlineLevel="0" collapsed="false">
      <c r="A2359" s="10" t="s">
        <v>5549</v>
      </c>
      <c r="B2359" s="10" t="s">
        <v>45</v>
      </c>
      <c r="C2359" s="8" t="s">
        <v>5538</v>
      </c>
      <c r="D2359" s="8" t="s">
        <v>5550</v>
      </c>
      <c r="E2359" s="11" t="n">
        <v>35</v>
      </c>
      <c r="F2359" s="8" t="str">
        <f aca="false">IFERROR(INDEX(Section_Master!$D$2:$D$477,MATCH($E2359,Section_Master!$A$2:$A$477,0))&amp;"","")</f>
        <v>Not applicable - no offence or penalty defined here (definition, exception or general provision)</v>
      </c>
      <c r="G2359" s="10" t="str">
        <f aca="false">IFERROR(INDEX(Section_Master!$E$2:$E$477,MATCH($E2359,Section_Master!$A$2:$A$477,0))&amp;"","")</f>
        <v>N/A</v>
      </c>
      <c r="H2359" s="10" t="str">
        <f aca="false">IFERROR(INDEX(Section_Master!$F$2:$F$477,MATCH($E2359,Section_Master!$A$2:$A$477,0))&amp;"","")</f>
        <v>N/A</v>
      </c>
      <c r="I2359" s="10" t="str">
        <f aca="false">IFERROR(INDEX(Section_Master!$G$2:$G$477,MATCH($E2359,Section_Master!$A$2:$A$477,0))&amp;"","")</f>
        <v>N/A</v>
      </c>
      <c r="J2359" s="10" t="s">
        <v>64</v>
      </c>
      <c r="K2359" s="8" t="s">
        <v>5540</v>
      </c>
    </row>
    <row r="2360" customFormat="false" ht="34.5" hidden="false" customHeight="true" outlineLevel="0" collapsed="false">
      <c r="A2360" s="10" t="s">
        <v>5551</v>
      </c>
      <c r="B2360" s="10" t="s">
        <v>45</v>
      </c>
      <c r="C2360" s="8" t="s">
        <v>5552</v>
      </c>
      <c r="D2360" s="8" t="s">
        <v>5553</v>
      </c>
      <c r="E2360" s="11" t="n">
        <v>36</v>
      </c>
      <c r="F2360" s="8" t="str">
        <f aca="false">IFERROR(INDEX(Section_Master!$D$2:$D$477,MATCH($E2360,Section_Master!$A$2:$A$477,0))&amp;"","")</f>
        <v>Not applicable - no offence or penalty defined here (definition, exception or general provision)</v>
      </c>
      <c r="G2360" s="10" t="str">
        <f aca="false">IFERROR(INDEX(Section_Master!$E$2:$E$477,MATCH($E2360,Section_Master!$A$2:$A$477,0))&amp;"","")</f>
        <v>N/A</v>
      </c>
      <c r="H2360" s="10" t="str">
        <f aca="false">IFERROR(INDEX(Section_Master!$F$2:$F$477,MATCH($E2360,Section_Master!$A$2:$A$477,0))&amp;"","")</f>
        <v>N/A</v>
      </c>
      <c r="I2360" s="10" t="str">
        <f aca="false">IFERROR(INDEX(Section_Master!$G$2:$G$477,MATCH($E2360,Section_Master!$A$2:$A$477,0))&amp;"","")</f>
        <v>N/A</v>
      </c>
      <c r="J2360" s="10" t="s">
        <v>48</v>
      </c>
      <c r="K2360" s="8" t="s">
        <v>5554</v>
      </c>
    </row>
    <row r="2361" customFormat="false" ht="34.5" hidden="false" customHeight="true" outlineLevel="0" collapsed="false">
      <c r="A2361" s="10" t="s">
        <v>5555</v>
      </c>
      <c r="B2361" s="10" t="s">
        <v>45</v>
      </c>
      <c r="C2361" s="8" t="s">
        <v>5552</v>
      </c>
      <c r="D2361" s="8" t="s">
        <v>5556</v>
      </c>
      <c r="E2361" s="11" t="n">
        <v>36</v>
      </c>
      <c r="F2361" s="8" t="str">
        <f aca="false">IFERROR(INDEX(Section_Master!$D$2:$D$477,MATCH($E2361,Section_Master!$A$2:$A$477,0))&amp;"","")</f>
        <v>Not applicable - no offence or penalty defined here (definition, exception or general provision)</v>
      </c>
      <c r="G2361" s="10" t="str">
        <f aca="false">IFERROR(INDEX(Section_Master!$E$2:$E$477,MATCH($E2361,Section_Master!$A$2:$A$477,0))&amp;"","")</f>
        <v>N/A</v>
      </c>
      <c r="H2361" s="10" t="str">
        <f aca="false">IFERROR(INDEX(Section_Master!$F$2:$F$477,MATCH($E2361,Section_Master!$A$2:$A$477,0))&amp;"","")</f>
        <v>N/A</v>
      </c>
      <c r="I2361" s="10" t="str">
        <f aca="false">IFERROR(INDEX(Section_Master!$G$2:$G$477,MATCH($E2361,Section_Master!$A$2:$A$477,0))&amp;"","")</f>
        <v>N/A</v>
      </c>
      <c r="J2361" s="10" t="s">
        <v>52</v>
      </c>
      <c r="K2361" s="8" t="s">
        <v>5554</v>
      </c>
    </row>
    <row r="2362" customFormat="false" ht="34.5" hidden="false" customHeight="true" outlineLevel="0" collapsed="false">
      <c r="A2362" s="10" t="s">
        <v>5557</v>
      </c>
      <c r="B2362" s="10" t="s">
        <v>45</v>
      </c>
      <c r="C2362" s="8" t="s">
        <v>5552</v>
      </c>
      <c r="D2362" s="8" t="s">
        <v>5558</v>
      </c>
      <c r="E2362" s="11" t="n">
        <v>36</v>
      </c>
      <c r="F2362" s="8" t="str">
        <f aca="false">IFERROR(INDEX(Section_Master!$D$2:$D$477,MATCH($E2362,Section_Master!$A$2:$A$477,0))&amp;"","")</f>
        <v>Not applicable - no offence or penalty defined here (definition, exception or general provision)</v>
      </c>
      <c r="G2362" s="10" t="str">
        <f aca="false">IFERROR(INDEX(Section_Master!$E$2:$E$477,MATCH($E2362,Section_Master!$A$2:$A$477,0))&amp;"","")</f>
        <v>N/A</v>
      </c>
      <c r="H2362" s="10" t="str">
        <f aca="false">IFERROR(INDEX(Section_Master!$F$2:$F$477,MATCH($E2362,Section_Master!$A$2:$A$477,0))&amp;"","")</f>
        <v>N/A</v>
      </c>
      <c r="I2362" s="10" t="str">
        <f aca="false">IFERROR(INDEX(Section_Master!$G$2:$G$477,MATCH($E2362,Section_Master!$A$2:$A$477,0))&amp;"","")</f>
        <v>N/A</v>
      </c>
      <c r="J2362" s="10" t="s">
        <v>55</v>
      </c>
      <c r="K2362" s="8" t="s">
        <v>5554</v>
      </c>
    </row>
    <row r="2363" customFormat="false" ht="23.25" hidden="false" customHeight="true" outlineLevel="0" collapsed="false">
      <c r="A2363" s="10" t="s">
        <v>5559</v>
      </c>
      <c r="B2363" s="10" t="s">
        <v>45</v>
      </c>
      <c r="C2363" s="8" t="s">
        <v>5552</v>
      </c>
      <c r="D2363" s="8" t="s">
        <v>5560</v>
      </c>
      <c r="E2363" s="11" t="n">
        <v>36</v>
      </c>
      <c r="F2363" s="8" t="str">
        <f aca="false">IFERROR(INDEX(Section_Master!$D$2:$D$477,MATCH($E2363,Section_Master!$A$2:$A$477,0))&amp;"","")</f>
        <v>Not applicable - no offence or penalty defined here (definition, exception or general provision)</v>
      </c>
      <c r="G2363" s="10" t="str">
        <f aca="false">IFERROR(INDEX(Section_Master!$E$2:$E$477,MATCH($E2363,Section_Master!$A$2:$A$477,0))&amp;"","")</f>
        <v>N/A</v>
      </c>
      <c r="H2363" s="10" t="str">
        <f aca="false">IFERROR(INDEX(Section_Master!$F$2:$F$477,MATCH($E2363,Section_Master!$A$2:$A$477,0))&amp;"","")</f>
        <v>N/A</v>
      </c>
      <c r="I2363" s="10" t="str">
        <f aca="false">IFERROR(INDEX(Section_Master!$G$2:$G$477,MATCH($E2363,Section_Master!$A$2:$A$477,0))&amp;"","")</f>
        <v>N/A</v>
      </c>
      <c r="J2363" s="10" t="s">
        <v>58</v>
      </c>
      <c r="K2363" s="8" t="s">
        <v>5554</v>
      </c>
    </row>
    <row r="2364" customFormat="false" ht="23.25" hidden="false" customHeight="true" outlineLevel="0" collapsed="false">
      <c r="A2364" s="10" t="s">
        <v>5561</v>
      </c>
      <c r="B2364" s="10" t="s">
        <v>45</v>
      </c>
      <c r="C2364" s="8" t="s">
        <v>5552</v>
      </c>
      <c r="D2364" s="8" t="s">
        <v>5562</v>
      </c>
      <c r="E2364" s="11" t="n">
        <v>36</v>
      </c>
      <c r="F2364" s="8" t="str">
        <f aca="false">IFERROR(INDEX(Section_Master!$D$2:$D$477,MATCH($E2364,Section_Master!$A$2:$A$477,0))&amp;"","")</f>
        <v>Not applicable - no offence or penalty defined here (definition, exception or general provision)</v>
      </c>
      <c r="G2364" s="10" t="str">
        <f aca="false">IFERROR(INDEX(Section_Master!$E$2:$E$477,MATCH($E2364,Section_Master!$A$2:$A$477,0))&amp;"","")</f>
        <v>N/A</v>
      </c>
      <c r="H2364" s="10" t="str">
        <f aca="false">IFERROR(INDEX(Section_Master!$F$2:$F$477,MATCH($E2364,Section_Master!$A$2:$A$477,0))&amp;"","")</f>
        <v>N/A</v>
      </c>
      <c r="I2364" s="10" t="str">
        <f aca="false">IFERROR(INDEX(Section_Master!$G$2:$G$477,MATCH($E2364,Section_Master!$A$2:$A$477,0))&amp;"","")</f>
        <v>N/A</v>
      </c>
      <c r="J2364" s="10" t="s">
        <v>61</v>
      </c>
      <c r="K2364" s="8" t="s">
        <v>5554</v>
      </c>
    </row>
    <row r="2365" customFormat="false" ht="23.25" hidden="false" customHeight="true" outlineLevel="0" collapsed="false">
      <c r="A2365" s="10" t="s">
        <v>5563</v>
      </c>
      <c r="B2365" s="10" t="s">
        <v>45</v>
      </c>
      <c r="C2365" s="8" t="s">
        <v>5552</v>
      </c>
      <c r="D2365" s="8" t="s">
        <v>5564</v>
      </c>
      <c r="E2365" s="11" t="n">
        <v>36</v>
      </c>
      <c r="F2365" s="8" t="str">
        <f aca="false">IFERROR(INDEX(Section_Master!$D$2:$D$477,MATCH($E2365,Section_Master!$A$2:$A$477,0))&amp;"","")</f>
        <v>Not applicable - no offence or penalty defined here (definition, exception or general provision)</v>
      </c>
      <c r="G2365" s="10" t="str">
        <f aca="false">IFERROR(INDEX(Section_Master!$E$2:$E$477,MATCH($E2365,Section_Master!$A$2:$A$477,0))&amp;"","")</f>
        <v>N/A</v>
      </c>
      <c r="H2365" s="10" t="str">
        <f aca="false">IFERROR(INDEX(Section_Master!$F$2:$F$477,MATCH($E2365,Section_Master!$A$2:$A$477,0))&amp;"","")</f>
        <v>N/A</v>
      </c>
      <c r="I2365" s="10" t="str">
        <f aca="false">IFERROR(INDEX(Section_Master!$G$2:$G$477,MATCH($E2365,Section_Master!$A$2:$A$477,0))&amp;"","")</f>
        <v>N/A</v>
      </c>
      <c r="J2365" s="10" t="s">
        <v>64</v>
      </c>
      <c r="K2365" s="8" t="s">
        <v>5554</v>
      </c>
    </row>
    <row r="2366" customFormat="false" ht="34.5" hidden="false" customHeight="true" outlineLevel="0" collapsed="false">
      <c r="A2366" s="10" t="s">
        <v>5565</v>
      </c>
      <c r="B2366" s="10" t="s">
        <v>45</v>
      </c>
      <c r="C2366" s="8" t="s">
        <v>5566</v>
      </c>
      <c r="D2366" s="8" t="s">
        <v>5567</v>
      </c>
      <c r="E2366" s="11" t="n">
        <v>37</v>
      </c>
      <c r="F2366" s="8" t="str">
        <f aca="false">IFERROR(INDEX(Section_Master!$D$2:$D$477,MATCH($E2366,Section_Master!$A$2:$A$477,0))&amp;"","")</f>
        <v>Not applicable - no offence or penalty defined here (definition, exception or general provision)</v>
      </c>
      <c r="G2366" s="10" t="str">
        <f aca="false">IFERROR(INDEX(Section_Master!$E$2:$E$477,MATCH($E2366,Section_Master!$A$2:$A$477,0))&amp;"","")</f>
        <v>N/A</v>
      </c>
      <c r="H2366" s="10" t="str">
        <f aca="false">IFERROR(INDEX(Section_Master!$F$2:$F$477,MATCH($E2366,Section_Master!$A$2:$A$477,0))&amp;"","")</f>
        <v>N/A</v>
      </c>
      <c r="I2366" s="10" t="str">
        <f aca="false">IFERROR(INDEX(Section_Master!$G$2:$G$477,MATCH($E2366,Section_Master!$A$2:$A$477,0))&amp;"","")</f>
        <v>N/A</v>
      </c>
      <c r="J2366" s="10" t="s">
        <v>48</v>
      </c>
      <c r="K2366" s="8" t="s">
        <v>5568</v>
      </c>
    </row>
    <row r="2367" customFormat="false" ht="34.5" hidden="false" customHeight="true" outlineLevel="0" collapsed="false">
      <c r="A2367" s="10" t="s">
        <v>5569</v>
      </c>
      <c r="B2367" s="10" t="s">
        <v>45</v>
      </c>
      <c r="C2367" s="8" t="s">
        <v>5566</v>
      </c>
      <c r="D2367" s="8" t="s">
        <v>5570</v>
      </c>
      <c r="E2367" s="11" t="n">
        <v>37</v>
      </c>
      <c r="F2367" s="8" t="str">
        <f aca="false">IFERROR(INDEX(Section_Master!$D$2:$D$477,MATCH($E2367,Section_Master!$A$2:$A$477,0))&amp;"","")</f>
        <v>Not applicable - no offence or penalty defined here (definition, exception or general provision)</v>
      </c>
      <c r="G2367" s="10" t="str">
        <f aca="false">IFERROR(INDEX(Section_Master!$E$2:$E$477,MATCH($E2367,Section_Master!$A$2:$A$477,0))&amp;"","")</f>
        <v>N/A</v>
      </c>
      <c r="H2367" s="10" t="str">
        <f aca="false">IFERROR(INDEX(Section_Master!$F$2:$F$477,MATCH($E2367,Section_Master!$A$2:$A$477,0))&amp;"","")</f>
        <v>N/A</v>
      </c>
      <c r="I2367" s="10" t="str">
        <f aca="false">IFERROR(INDEX(Section_Master!$G$2:$G$477,MATCH($E2367,Section_Master!$A$2:$A$477,0))&amp;"","")</f>
        <v>N/A</v>
      </c>
      <c r="J2367" s="10" t="s">
        <v>52</v>
      </c>
      <c r="K2367" s="8" t="s">
        <v>5568</v>
      </c>
    </row>
    <row r="2368" customFormat="false" ht="23.25" hidden="false" customHeight="true" outlineLevel="0" collapsed="false">
      <c r="A2368" s="10" t="s">
        <v>5571</v>
      </c>
      <c r="B2368" s="10" t="s">
        <v>45</v>
      </c>
      <c r="C2368" s="8" t="s">
        <v>5566</v>
      </c>
      <c r="D2368" s="8" t="s">
        <v>5572</v>
      </c>
      <c r="E2368" s="11" t="n">
        <v>37</v>
      </c>
      <c r="F2368" s="8" t="str">
        <f aca="false">IFERROR(INDEX(Section_Master!$D$2:$D$477,MATCH($E2368,Section_Master!$A$2:$A$477,0))&amp;"","")</f>
        <v>Not applicable - no offence or penalty defined here (definition, exception or general provision)</v>
      </c>
      <c r="G2368" s="10" t="str">
        <f aca="false">IFERROR(INDEX(Section_Master!$E$2:$E$477,MATCH($E2368,Section_Master!$A$2:$A$477,0))&amp;"","")</f>
        <v>N/A</v>
      </c>
      <c r="H2368" s="10" t="str">
        <f aca="false">IFERROR(INDEX(Section_Master!$F$2:$F$477,MATCH($E2368,Section_Master!$A$2:$A$477,0))&amp;"","")</f>
        <v>N/A</v>
      </c>
      <c r="I2368" s="10" t="str">
        <f aca="false">IFERROR(INDEX(Section_Master!$G$2:$G$477,MATCH($E2368,Section_Master!$A$2:$A$477,0))&amp;"","")</f>
        <v>N/A</v>
      </c>
      <c r="J2368" s="10" t="s">
        <v>55</v>
      </c>
      <c r="K2368" s="8" t="s">
        <v>5568</v>
      </c>
    </row>
    <row r="2369" customFormat="false" ht="34.5" hidden="false" customHeight="true" outlineLevel="0" collapsed="false">
      <c r="A2369" s="10" t="s">
        <v>5573</v>
      </c>
      <c r="B2369" s="10" t="s">
        <v>45</v>
      </c>
      <c r="C2369" s="8" t="s">
        <v>5566</v>
      </c>
      <c r="D2369" s="8" t="s">
        <v>5574</v>
      </c>
      <c r="E2369" s="11" t="n">
        <v>37</v>
      </c>
      <c r="F2369" s="8" t="str">
        <f aca="false">IFERROR(INDEX(Section_Master!$D$2:$D$477,MATCH($E2369,Section_Master!$A$2:$A$477,0))&amp;"","")</f>
        <v>Not applicable - no offence or penalty defined here (definition, exception or general provision)</v>
      </c>
      <c r="G2369" s="10" t="str">
        <f aca="false">IFERROR(INDEX(Section_Master!$E$2:$E$477,MATCH($E2369,Section_Master!$A$2:$A$477,0))&amp;"","")</f>
        <v>N/A</v>
      </c>
      <c r="H2369" s="10" t="str">
        <f aca="false">IFERROR(INDEX(Section_Master!$F$2:$F$477,MATCH($E2369,Section_Master!$A$2:$A$477,0))&amp;"","")</f>
        <v>N/A</v>
      </c>
      <c r="I2369" s="10" t="str">
        <f aca="false">IFERROR(INDEX(Section_Master!$G$2:$G$477,MATCH($E2369,Section_Master!$A$2:$A$477,0))&amp;"","")</f>
        <v>N/A</v>
      </c>
      <c r="J2369" s="10" t="s">
        <v>58</v>
      </c>
      <c r="K2369" s="8" t="s">
        <v>5568</v>
      </c>
    </row>
    <row r="2370" customFormat="false" ht="34.5" hidden="false" customHeight="true" outlineLevel="0" collapsed="false">
      <c r="A2370" s="10" t="s">
        <v>5575</v>
      </c>
      <c r="B2370" s="10" t="s">
        <v>45</v>
      </c>
      <c r="C2370" s="8" t="s">
        <v>5566</v>
      </c>
      <c r="D2370" s="8" t="s">
        <v>5576</v>
      </c>
      <c r="E2370" s="11" t="n">
        <v>37</v>
      </c>
      <c r="F2370" s="8" t="str">
        <f aca="false">IFERROR(INDEX(Section_Master!$D$2:$D$477,MATCH($E2370,Section_Master!$A$2:$A$477,0))&amp;"","")</f>
        <v>Not applicable - no offence or penalty defined here (definition, exception or general provision)</v>
      </c>
      <c r="G2370" s="10" t="str">
        <f aca="false">IFERROR(INDEX(Section_Master!$E$2:$E$477,MATCH($E2370,Section_Master!$A$2:$A$477,0))&amp;"","")</f>
        <v>N/A</v>
      </c>
      <c r="H2370" s="10" t="str">
        <f aca="false">IFERROR(INDEX(Section_Master!$F$2:$F$477,MATCH($E2370,Section_Master!$A$2:$A$477,0))&amp;"","")</f>
        <v>N/A</v>
      </c>
      <c r="I2370" s="10" t="str">
        <f aca="false">IFERROR(INDEX(Section_Master!$G$2:$G$477,MATCH($E2370,Section_Master!$A$2:$A$477,0))&amp;"","")</f>
        <v>N/A</v>
      </c>
      <c r="J2370" s="10" t="s">
        <v>61</v>
      </c>
      <c r="K2370" s="8" t="s">
        <v>5568</v>
      </c>
    </row>
    <row r="2371" customFormat="false" ht="23.25" hidden="false" customHeight="true" outlineLevel="0" collapsed="false">
      <c r="A2371" s="10" t="s">
        <v>5577</v>
      </c>
      <c r="B2371" s="10" t="s">
        <v>45</v>
      </c>
      <c r="C2371" s="8" t="s">
        <v>5566</v>
      </c>
      <c r="D2371" s="8" t="s">
        <v>5578</v>
      </c>
      <c r="E2371" s="11" t="n">
        <v>37</v>
      </c>
      <c r="F2371" s="8" t="str">
        <f aca="false">IFERROR(INDEX(Section_Master!$D$2:$D$477,MATCH($E2371,Section_Master!$A$2:$A$477,0))&amp;"","")</f>
        <v>Not applicable - no offence or penalty defined here (definition, exception or general provision)</v>
      </c>
      <c r="G2371" s="10" t="str">
        <f aca="false">IFERROR(INDEX(Section_Master!$E$2:$E$477,MATCH($E2371,Section_Master!$A$2:$A$477,0))&amp;"","")</f>
        <v>N/A</v>
      </c>
      <c r="H2371" s="10" t="str">
        <f aca="false">IFERROR(INDEX(Section_Master!$F$2:$F$477,MATCH($E2371,Section_Master!$A$2:$A$477,0))&amp;"","")</f>
        <v>N/A</v>
      </c>
      <c r="I2371" s="10" t="str">
        <f aca="false">IFERROR(INDEX(Section_Master!$G$2:$G$477,MATCH($E2371,Section_Master!$A$2:$A$477,0))&amp;"","")</f>
        <v>N/A</v>
      </c>
      <c r="J2371" s="10" t="s">
        <v>64</v>
      </c>
      <c r="K2371" s="8" t="s">
        <v>5568</v>
      </c>
    </row>
    <row r="2372" customFormat="false" ht="34.5" hidden="false" customHeight="true" outlineLevel="0" collapsed="false">
      <c r="A2372" s="10" t="s">
        <v>5579</v>
      </c>
      <c r="B2372" s="10" t="s">
        <v>45</v>
      </c>
      <c r="C2372" s="8" t="s">
        <v>5580</v>
      </c>
      <c r="D2372" s="8" t="s">
        <v>5581</v>
      </c>
      <c r="E2372" s="11" t="n">
        <v>38</v>
      </c>
      <c r="F2372" s="8" t="str">
        <f aca="false">IFERROR(INDEX(Section_Master!$D$2:$D$477,MATCH($E2372,Section_Master!$A$2:$A$477,0))&amp;"","")</f>
        <v>Not applicable - no offence or penalty defined here (definition, exception or general provision)</v>
      </c>
      <c r="G2372" s="10" t="str">
        <f aca="false">IFERROR(INDEX(Section_Master!$E$2:$E$477,MATCH($E2372,Section_Master!$A$2:$A$477,0))&amp;"","")</f>
        <v>N/A</v>
      </c>
      <c r="H2372" s="10" t="str">
        <f aca="false">IFERROR(INDEX(Section_Master!$F$2:$F$477,MATCH($E2372,Section_Master!$A$2:$A$477,0))&amp;"","")</f>
        <v>N/A</v>
      </c>
      <c r="I2372" s="10" t="str">
        <f aca="false">IFERROR(INDEX(Section_Master!$G$2:$G$477,MATCH($E2372,Section_Master!$A$2:$A$477,0))&amp;"","")</f>
        <v>N/A</v>
      </c>
      <c r="J2372" s="10" t="s">
        <v>48</v>
      </c>
      <c r="K2372" s="8" t="s">
        <v>5582</v>
      </c>
    </row>
    <row r="2373" customFormat="false" ht="34.5" hidden="false" customHeight="true" outlineLevel="0" collapsed="false">
      <c r="A2373" s="10" t="s">
        <v>5583</v>
      </c>
      <c r="B2373" s="10" t="s">
        <v>45</v>
      </c>
      <c r="C2373" s="8" t="s">
        <v>5580</v>
      </c>
      <c r="D2373" s="8" t="s">
        <v>5584</v>
      </c>
      <c r="E2373" s="11" t="n">
        <v>38</v>
      </c>
      <c r="F2373" s="8" t="str">
        <f aca="false">IFERROR(INDEX(Section_Master!$D$2:$D$477,MATCH($E2373,Section_Master!$A$2:$A$477,0))&amp;"","")</f>
        <v>Not applicable - no offence or penalty defined here (definition, exception or general provision)</v>
      </c>
      <c r="G2373" s="10" t="str">
        <f aca="false">IFERROR(INDEX(Section_Master!$E$2:$E$477,MATCH($E2373,Section_Master!$A$2:$A$477,0))&amp;"","")</f>
        <v>N/A</v>
      </c>
      <c r="H2373" s="10" t="str">
        <f aca="false">IFERROR(INDEX(Section_Master!$F$2:$F$477,MATCH($E2373,Section_Master!$A$2:$A$477,0))&amp;"","")</f>
        <v>N/A</v>
      </c>
      <c r="I2373" s="10" t="str">
        <f aca="false">IFERROR(INDEX(Section_Master!$G$2:$G$477,MATCH($E2373,Section_Master!$A$2:$A$477,0))&amp;"","")</f>
        <v>N/A</v>
      </c>
      <c r="J2373" s="10" t="s">
        <v>52</v>
      </c>
      <c r="K2373" s="8" t="s">
        <v>5582</v>
      </c>
    </row>
    <row r="2374" customFormat="false" ht="34.5" hidden="false" customHeight="true" outlineLevel="0" collapsed="false">
      <c r="A2374" s="10" t="s">
        <v>5585</v>
      </c>
      <c r="B2374" s="10" t="s">
        <v>45</v>
      </c>
      <c r="C2374" s="8" t="s">
        <v>5580</v>
      </c>
      <c r="D2374" s="8" t="s">
        <v>5586</v>
      </c>
      <c r="E2374" s="11" t="n">
        <v>38</v>
      </c>
      <c r="F2374" s="8" t="str">
        <f aca="false">IFERROR(INDEX(Section_Master!$D$2:$D$477,MATCH($E2374,Section_Master!$A$2:$A$477,0))&amp;"","")</f>
        <v>Not applicable - no offence or penalty defined here (definition, exception or general provision)</v>
      </c>
      <c r="G2374" s="10" t="str">
        <f aca="false">IFERROR(INDEX(Section_Master!$E$2:$E$477,MATCH($E2374,Section_Master!$A$2:$A$477,0))&amp;"","")</f>
        <v>N/A</v>
      </c>
      <c r="H2374" s="10" t="str">
        <f aca="false">IFERROR(INDEX(Section_Master!$F$2:$F$477,MATCH($E2374,Section_Master!$A$2:$A$477,0))&amp;"","")</f>
        <v>N/A</v>
      </c>
      <c r="I2374" s="10" t="str">
        <f aca="false">IFERROR(INDEX(Section_Master!$G$2:$G$477,MATCH($E2374,Section_Master!$A$2:$A$477,0))&amp;"","")</f>
        <v>N/A</v>
      </c>
      <c r="J2374" s="10" t="s">
        <v>55</v>
      </c>
      <c r="K2374" s="8" t="s">
        <v>5582</v>
      </c>
    </row>
    <row r="2375" customFormat="false" ht="34.5" hidden="false" customHeight="true" outlineLevel="0" collapsed="false">
      <c r="A2375" s="10" t="s">
        <v>5587</v>
      </c>
      <c r="B2375" s="10" t="s">
        <v>45</v>
      </c>
      <c r="C2375" s="8" t="s">
        <v>5580</v>
      </c>
      <c r="D2375" s="8" t="s">
        <v>5588</v>
      </c>
      <c r="E2375" s="11" t="n">
        <v>38</v>
      </c>
      <c r="F2375" s="8" t="str">
        <f aca="false">IFERROR(INDEX(Section_Master!$D$2:$D$477,MATCH($E2375,Section_Master!$A$2:$A$477,0))&amp;"","")</f>
        <v>Not applicable - no offence or penalty defined here (definition, exception or general provision)</v>
      </c>
      <c r="G2375" s="10" t="str">
        <f aca="false">IFERROR(INDEX(Section_Master!$E$2:$E$477,MATCH($E2375,Section_Master!$A$2:$A$477,0))&amp;"","")</f>
        <v>N/A</v>
      </c>
      <c r="H2375" s="10" t="str">
        <f aca="false">IFERROR(INDEX(Section_Master!$F$2:$F$477,MATCH($E2375,Section_Master!$A$2:$A$477,0))&amp;"","")</f>
        <v>N/A</v>
      </c>
      <c r="I2375" s="10" t="str">
        <f aca="false">IFERROR(INDEX(Section_Master!$G$2:$G$477,MATCH($E2375,Section_Master!$A$2:$A$477,0))&amp;"","")</f>
        <v>N/A</v>
      </c>
      <c r="J2375" s="10" t="s">
        <v>58</v>
      </c>
      <c r="K2375" s="8" t="s">
        <v>5582</v>
      </c>
    </row>
    <row r="2376" customFormat="false" ht="34.5" hidden="false" customHeight="true" outlineLevel="0" collapsed="false">
      <c r="A2376" s="10" t="s">
        <v>5589</v>
      </c>
      <c r="B2376" s="10" t="s">
        <v>45</v>
      </c>
      <c r="C2376" s="8" t="s">
        <v>5580</v>
      </c>
      <c r="D2376" s="8" t="s">
        <v>5590</v>
      </c>
      <c r="E2376" s="11" t="n">
        <v>38</v>
      </c>
      <c r="F2376" s="8" t="str">
        <f aca="false">IFERROR(INDEX(Section_Master!$D$2:$D$477,MATCH($E2376,Section_Master!$A$2:$A$477,0))&amp;"","")</f>
        <v>Not applicable - no offence or penalty defined here (definition, exception or general provision)</v>
      </c>
      <c r="G2376" s="10" t="str">
        <f aca="false">IFERROR(INDEX(Section_Master!$E$2:$E$477,MATCH($E2376,Section_Master!$A$2:$A$477,0))&amp;"","")</f>
        <v>N/A</v>
      </c>
      <c r="H2376" s="10" t="str">
        <f aca="false">IFERROR(INDEX(Section_Master!$F$2:$F$477,MATCH($E2376,Section_Master!$A$2:$A$477,0))&amp;"","")</f>
        <v>N/A</v>
      </c>
      <c r="I2376" s="10" t="str">
        <f aca="false">IFERROR(INDEX(Section_Master!$G$2:$G$477,MATCH($E2376,Section_Master!$A$2:$A$477,0))&amp;"","")</f>
        <v>N/A</v>
      </c>
      <c r="J2376" s="10" t="s">
        <v>61</v>
      </c>
      <c r="K2376" s="8" t="s">
        <v>5582</v>
      </c>
    </row>
    <row r="2377" customFormat="false" ht="34.5" hidden="false" customHeight="true" outlineLevel="0" collapsed="false">
      <c r="A2377" s="10" t="s">
        <v>5591</v>
      </c>
      <c r="B2377" s="10" t="s">
        <v>45</v>
      </c>
      <c r="C2377" s="8" t="s">
        <v>5580</v>
      </c>
      <c r="D2377" s="8" t="s">
        <v>5592</v>
      </c>
      <c r="E2377" s="11" t="n">
        <v>38</v>
      </c>
      <c r="F2377" s="8" t="str">
        <f aca="false">IFERROR(INDEX(Section_Master!$D$2:$D$477,MATCH($E2377,Section_Master!$A$2:$A$477,0))&amp;"","")</f>
        <v>Not applicable - no offence or penalty defined here (definition, exception or general provision)</v>
      </c>
      <c r="G2377" s="10" t="str">
        <f aca="false">IFERROR(INDEX(Section_Master!$E$2:$E$477,MATCH($E2377,Section_Master!$A$2:$A$477,0))&amp;"","")</f>
        <v>N/A</v>
      </c>
      <c r="H2377" s="10" t="str">
        <f aca="false">IFERROR(INDEX(Section_Master!$F$2:$F$477,MATCH($E2377,Section_Master!$A$2:$A$477,0))&amp;"","")</f>
        <v>N/A</v>
      </c>
      <c r="I2377" s="10" t="str">
        <f aca="false">IFERROR(INDEX(Section_Master!$G$2:$G$477,MATCH($E2377,Section_Master!$A$2:$A$477,0))&amp;"","")</f>
        <v>N/A</v>
      </c>
      <c r="J2377" s="10" t="s">
        <v>64</v>
      </c>
      <c r="K2377" s="8" t="s">
        <v>5582</v>
      </c>
    </row>
    <row r="2378" customFormat="false" ht="34.5" hidden="false" customHeight="true" outlineLevel="0" collapsed="false">
      <c r="A2378" s="10" t="s">
        <v>5593</v>
      </c>
      <c r="B2378" s="10" t="s">
        <v>45</v>
      </c>
      <c r="C2378" s="8" t="s">
        <v>5594</v>
      </c>
      <c r="D2378" s="8" t="s">
        <v>5595</v>
      </c>
      <c r="E2378" s="11" t="n">
        <v>39</v>
      </c>
      <c r="F2378" s="8" t="str">
        <f aca="false">IFERROR(INDEX(Section_Master!$D$2:$D$477,MATCH($E2378,Section_Master!$A$2:$A$477,0))&amp;"","")</f>
        <v>Not applicable - no offence or penalty defined here (definition, exception or general provision)</v>
      </c>
      <c r="G2378" s="10" t="str">
        <f aca="false">IFERROR(INDEX(Section_Master!$E$2:$E$477,MATCH($E2378,Section_Master!$A$2:$A$477,0))&amp;"","")</f>
        <v>N/A</v>
      </c>
      <c r="H2378" s="10" t="str">
        <f aca="false">IFERROR(INDEX(Section_Master!$F$2:$F$477,MATCH($E2378,Section_Master!$A$2:$A$477,0))&amp;"","")</f>
        <v>N/A</v>
      </c>
      <c r="I2378" s="10" t="str">
        <f aca="false">IFERROR(INDEX(Section_Master!$G$2:$G$477,MATCH($E2378,Section_Master!$A$2:$A$477,0))&amp;"","")</f>
        <v>N/A</v>
      </c>
      <c r="J2378" s="10" t="s">
        <v>48</v>
      </c>
      <c r="K2378" s="8" t="s">
        <v>5596</v>
      </c>
    </row>
    <row r="2379" customFormat="false" ht="34.5" hidden="false" customHeight="true" outlineLevel="0" collapsed="false">
      <c r="A2379" s="10" t="s">
        <v>5597</v>
      </c>
      <c r="B2379" s="10" t="s">
        <v>45</v>
      </c>
      <c r="C2379" s="8" t="s">
        <v>5594</v>
      </c>
      <c r="D2379" s="8" t="s">
        <v>5598</v>
      </c>
      <c r="E2379" s="11" t="n">
        <v>39</v>
      </c>
      <c r="F2379" s="8" t="str">
        <f aca="false">IFERROR(INDEX(Section_Master!$D$2:$D$477,MATCH($E2379,Section_Master!$A$2:$A$477,0))&amp;"","")</f>
        <v>Not applicable - no offence or penalty defined here (definition, exception or general provision)</v>
      </c>
      <c r="G2379" s="10" t="str">
        <f aca="false">IFERROR(INDEX(Section_Master!$E$2:$E$477,MATCH($E2379,Section_Master!$A$2:$A$477,0))&amp;"","")</f>
        <v>N/A</v>
      </c>
      <c r="H2379" s="10" t="str">
        <f aca="false">IFERROR(INDEX(Section_Master!$F$2:$F$477,MATCH($E2379,Section_Master!$A$2:$A$477,0))&amp;"","")</f>
        <v>N/A</v>
      </c>
      <c r="I2379" s="10" t="str">
        <f aca="false">IFERROR(INDEX(Section_Master!$G$2:$G$477,MATCH($E2379,Section_Master!$A$2:$A$477,0))&amp;"","")</f>
        <v>N/A</v>
      </c>
      <c r="J2379" s="10" t="s">
        <v>52</v>
      </c>
      <c r="K2379" s="8" t="s">
        <v>5596</v>
      </c>
    </row>
    <row r="2380" customFormat="false" ht="23.25" hidden="false" customHeight="true" outlineLevel="0" collapsed="false">
      <c r="A2380" s="10" t="s">
        <v>5599</v>
      </c>
      <c r="B2380" s="10" t="s">
        <v>45</v>
      </c>
      <c r="C2380" s="8" t="s">
        <v>5594</v>
      </c>
      <c r="D2380" s="8" t="s">
        <v>5600</v>
      </c>
      <c r="E2380" s="11" t="n">
        <v>39</v>
      </c>
      <c r="F2380" s="8" t="str">
        <f aca="false">IFERROR(INDEX(Section_Master!$D$2:$D$477,MATCH($E2380,Section_Master!$A$2:$A$477,0))&amp;"","")</f>
        <v>Not applicable - no offence or penalty defined here (definition, exception or general provision)</v>
      </c>
      <c r="G2380" s="10" t="str">
        <f aca="false">IFERROR(INDEX(Section_Master!$E$2:$E$477,MATCH($E2380,Section_Master!$A$2:$A$477,0))&amp;"","")</f>
        <v>N/A</v>
      </c>
      <c r="H2380" s="10" t="str">
        <f aca="false">IFERROR(INDEX(Section_Master!$F$2:$F$477,MATCH($E2380,Section_Master!$A$2:$A$477,0))&amp;"","")</f>
        <v>N/A</v>
      </c>
      <c r="I2380" s="10" t="str">
        <f aca="false">IFERROR(INDEX(Section_Master!$G$2:$G$477,MATCH($E2380,Section_Master!$A$2:$A$477,0))&amp;"","")</f>
        <v>N/A</v>
      </c>
      <c r="J2380" s="10" t="s">
        <v>55</v>
      </c>
      <c r="K2380" s="8" t="s">
        <v>5596</v>
      </c>
    </row>
    <row r="2381" customFormat="false" ht="34.5" hidden="false" customHeight="true" outlineLevel="0" collapsed="false">
      <c r="A2381" s="10" t="s">
        <v>5601</v>
      </c>
      <c r="B2381" s="10" t="s">
        <v>45</v>
      </c>
      <c r="C2381" s="8" t="s">
        <v>5594</v>
      </c>
      <c r="D2381" s="8" t="s">
        <v>5602</v>
      </c>
      <c r="E2381" s="11" t="n">
        <v>39</v>
      </c>
      <c r="F2381" s="8" t="str">
        <f aca="false">IFERROR(INDEX(Section_Master!$D$2:$D$477,MATCH($E2381,Section_Master!$A$2:$A$477,0))&amp;"","")</f>
        <v>Not applicable - no offence or penalty defined here (definition, exception or general provision)</v>
      </c>
      <c r="G2381" s="10" t="str">
        <f aca="false">IFERROR(INDEX(Section_Master!$E$2:$E$477,MATCH($E2381,Section_Master!$A$2:$A$477,0))&amp;"","")</f>
        <v>N/A</v>
      </c>
      <c r="H2381" s="10" t="str">
        <f aca="false">IFERROR(INDEX(Section_Master!$F$2:$F$477,MATCH($E2381,Section_Master!$A$2:$A$477,0))&amp;"","")</f>
        <v>N/A</v>
      </c>
      <c r="I2381" s="10" t="str">
        <f aca="false">IFERROR(INDEX(Section_Master!$G$2:$G$477,MATCH($E2381,Section_Master!$A$2:$A$477,0))&amp;"","")</f>
        <v>N/A</v>
      </c>
      <c r="J2381" s="10" t="s">
        <v>58</v>
      </c>
      <c r="K2381" s="8" t="s">
        <v>5596</v>
      </c>
    </row>
    <row r="2382" customFormat="false" ht="34.5" hidden="false" customHeight="true" outlineLevel="0" collapsed="false">
      <c r="A2382" s="10" t="s">
        <v>5603</v>
      </c>
      <c r="B2382" s="10" t="s">
        <v>45</v>
      </c>
      <c r="C2382" s="8" t="s">
        <v>5594</v>
      </c>
      <c r="D2382" s="8" t="s">
        <v>5604</v>
      </c>
      <c r="E2382" s="11" t="n">
        <v>39</v>
      </c>
      <c r="F2382" s="8" t="str">
        <f aca="false">IFERROR(INDEX(Section_Master!$D$2:$D$477,MATCH($E2382,Section_Master!$A$2:$A$477,0))&amp;"","")</f>
        <v>Not applicable - no offence or penalty defined here (definition, exception or general provision)</v>
      </c>
      <c r="G2382" s="10" t="str">
        <f aca="false">IFERROR(INDEX(Section_Master!$E$2:$E$477,MATCH($E2382,Section_Master!$A$2:$A$477,0))&amp;"","")</f>
        <v>N/A</v>
      </c>
      <c r="H2382" s="10" t="str">
        <f aca="false">IFERROR(INDEX(Section_Master!$F$2:$F$477,MATCH($E2382,Section_Master!$A$2:$A$477,0))&amp;"","")</f>
        <v>N/A</v>
      </c>
      <c r="I2382" s="10" t="str">
        <f aca="false">IFERROR(INDEX(Section_Master!$G$2:$G$477,MATCH($E2382,Section_Master!$A$2:$A$477,0))&amp;"","")</f>
        <v>N/A</v>
      </c>
      <c r="J2382" s="10" t="s">
        <v>61</v>
      </c>
      <c r="K2382" s="8" t="s">
        <v>5596</v>
      </c>
    </row>
    <row r="2383" customFormat="false" ht="34.5" hidden="false" customHeight="true" outlineLevel="0" collapsed="false">
      <c r="A2383" s="10" t="s">
        <v>5605</v>
      </c>
      <c r="B2383" s="10" t="s">
        <v>45</v>
      </c>
      <c r="C2383" s="8" t="s">
        <v>5594</v>
      </c>
      <c r="D2383" s="8" t="s">
        <v>5606</v>
      </c>
      <c r="E2383" s="11" t="n">
        <v>39</v>
      </c>
      <c r="F2383" s="8" t="str">
        <f aca="false">IFERROR(INDEX(Section_Master!$D$2:$D$477,MATCH($E2383,Section_Master!$A$2:$A$477,0))&amp;"","")</f>
        <v>Not applicable - no offence or penalty defined here (definition, exception or general provision)</v>
      </c>
      <c r="G2383" s="10" t="str">
        <f aca="false">IFERROR(INDEX(Section_Master!$E$2:$E$477,MATCH($E2383,Section_Master!$A$2:$A$477,0))&amp;"","")</f>
        <v>N/A</v>
      </c>
      <c r="H2383" s="10" t="str">
        <f aca="false">IFERROR(INDEX(Section_Master!$F$2:$F$477,MATCH($E2383,Section_Master!$A$2:$A$477,0))&amp;"","")</f>
        <v>N/A</v>
      </c>
      <c r="I2383" s="10" t="str">
        <f aca="false">IFERROR(INDEX(Section_Master!$G$2:$G$477,MATCH($E2383,Section_Master!$A$2:$A$477,0))&amp;"","")</f>
        <v>N/A</v>
      </c>
      <c r="J2383" s="10" t="s">
        <v>64</v>
      </c>
      <c r="K2383" s="8" t="s">
        <v>5596</v>
      </c>
    </row>
    <row r="2384" customFormat="false" ht="34.5" hidden="false" customHeight="true" outlineLevel="0" collapsed="false">
      <c r="A2384" s="10" t="s">
        <v>5607</v>
      </c>
      <c r="B2384" s="10" t="s">
        <v>45</v>
      </c>
      <c r="C2384" s="8" t="s">
        <v>5608</v>
      </c>
      <c r="D2384" s="8" t="s">
        <v>5609</v>
      </c>
      <c r="E2384" s="11" t="n">
        <v>40</v>
      </c>
      <c r="F2384" s="8" t="str">
        <f aca="false">IFERROR(INDEX(Section_Master!$D$2:$D$477,MATCH($E2384,Section_Master!$A$2:$A$477,0))&amp;"","")</f>
        <v>Not applicable - no offence or penalty defined here (definition, exception or general provision)</v>
      </c>
      <c r="G2384" s="10" t="str">
        <f aca="false">IFERROR(INDEX(Section_Master!$E$2:$E$477,MATCH($E2384,Section_Master!$A$2:$A$477,0))&amp;"","")</f>
        <v>N/A</v>
      </c>
      <c r="H2384" s="10" t="str">
        <f aca="false">IFERROR(INDEX(Section_Master!$F$2:$F$477,MATCH($E2384,Section_Master!$A$2:$A$477,0))&amp;"","")</f>
        <v>N/A</v>
      </c>
      <c r="I2384" s="10" t="str">
        <f aca="false">IFERROR(INDEX(Section_Master!$G$2:$G$477,MATCH($E2384,Section_Master!$A$2:$A$477,0))&amp;"","")</f>
        <v>N/A</v>
      </c>
      <c r="J2384" s="10" t="s">
        <v>48</v>
      </c>
      <c r="K2384" s="8" t="s">
        <v>5610</v>
      </c>
    </row>
    <row r="2385" customFormat="false" ht="34.5" hidden="false" customHeight="true" outlineLevel="0" collapsed="false">
      <c r="A2385" s="10" t="s">
        <v>5611</v>
      </c>
      <c r="B2385" s="10" t="s">
        <v>45</v>
      </c>
      <c r="C2385" s="8" t="s">
        <v>5608</v>
      </c>
      <c r="D2385" s="8" t="s">
        <v>5612</v>
      </c>
      <c r="E2385" s="11" t="n">
        <v>40</v>
      </c>
      <c r="F2385" s="8" t="str">
        <f aca="false">IFERROR(INDEX(Section_Master!$D$2:$D$477,MATCH($E2385,Section_Master!$A$2:$A$477,0))&amp;"","")</f>
        <v>Not applicable - no offence or penalty defined here (definition, exception or general provision)</v>
      </c>
      <c r="G2385" s="10" t="str">
        <f aca="false">IFERROR(INDEX(Section_Master!$E$2:$E$477,MATCH($E2385,Section_Master!$A$2:$A$477,0))&amp;"","")</f>
        <v>N/A</v>
      </c>
      <c r="H2385" s="10" t="str">
        <f aca="false">IFERROR(INDEX(Section_Master!$F$2:$F$477,MATCH($E2385,Section_Master!$A$2:$A$477,0))&amp;"","")</f>
        <v>N/A</v>
      </c>
      <c r="I2385" s="10" t="str">
        <f aca="false">IFERROR(INDEX(Section_Master!$G$2:$G$477,MATCH($E2385,Section_Master!$A$2:$A$477,0))&amp;"","")</f>
        <v>N/A</v>
      </c>
      <c r="J2385" s="10" t="s">
        <v>52</v>
      </c>
      <c r="K2385" s="8" t="s">
        <v>5610</v>
      </c>
    </row>
    <row r="2386" customFormat="false" ht="34.5" hidden="false" customHeight="true" outlineLevel="0" collapsed="false">
      <c r="A2386" s="10" t="s">
        <v>5613</v>
      </c>
      <c r="B2386" s="10" t="s">
        <v>45</v>
      </c>
      <c r="C2386" s="8" t="s">
        <v>5608</v>
      </c>
      <c r="D2386" s="8" t="s">
        <v>5614</v>
      </c>
      <c r="E2386" s="11" t="n">
        <v>40</v>
      </c>
      <c r="F2386" s="8" t="str">
        <f aca="false">IFERROR(INDEX(Section_Master!$D$2:$D$477,MATCH($E2386,Section_Master!$A$2:$A$477,0))&amp;"","")</f>
        <v>Not applicable - no offence or penalty defined here (definition, exception or general provision)</v>
      </c>
      <c r="G2386" s="10" t="str">
        <f aca="false">IFERROR(INDEX(Section_Master!$E$2:$E$477,MATCH($E2386,Section_Master!$A$2:$A$477,0))&amp;"","")</f>
        <v>N/A</v>
      </c>
      <c r="H2386" s="10" t="str">
        <f aca="false">IFERROR(INDEX(Section_Master!$F$2:$F$477,MATCH($E2386,Section_Master!$A$2:$A$477,0))&amp;"","")</f>
        <v>N/A</v>
      </c>
      <c r="I2386" s="10" t="str">
        <f aca="false">IFERROR(INDEX(Section_Master!$G$2:$G$477,MATCH($E2386,Section_Master!$A$2:$A$477,0))&amp;"","")</f>
        <v>N/A</v>
      </c>
      <c r="J2386" s="10" t="s">
        <v>55</v>
      </c>
      <c r="K2386" s="8" t="s">
        <v>5610</v>
      </c>
    </row>
    <row r="2387" customFormat="false" ht="34.5" hidden="false" customHeight="true" outlineLevel="0" collapsed="false">
      <c r="A2387" s="10" t="s">
        <v>5615</v>
      </c>
      <c r="B2387" s="10" t="s">
        <v>45</v>
      </c>
      <c r="C2387" s="8" t="s">
        <v>5608</v>
      </c>
      <c r="D2387" s="8" t="s">
        <v>5616</v>
      </c>
      <c r="E2387" s="11" t="n">
        <v>40</v>
      </c>
      <c r="F2387" s="8" t="str">
        <f aca="false">IFERROR(INDEX(Section_Master!$D$2:$D$477,MATCH($E2387,Section_Master!$A$2:$A$477,0))&amp;"","")</f>
        <v>Not applicable - no offence or penalty defined here (definition, exception or general provision)</v>
      </c>
      <c r="G2387" s="10" t="str">
        <f aca="false">IFERROR(INDEX(Section_Master!$E$2:$E$477,MATCH($E2387,Section_Master!$A$2:$A$477,0))&amp;"","")</f>
        <v>N/A</v>
      </c>
      <c r="H2387" s="10" t="str">
        <f aca="false">IFERROR(INDEX(Section_Master!$F$2:$F$477,MATCH($E2387,Section_Master!$A$2:$A$477,0))&amp;"","")</f>
        <v>N/A</v>
      </c>
      <c r="I2387" s="10" t="str">
        <f aca="false">IFERROR(INDEX(Section_Master!$G$2:$G$477,MATCH($E2387,Section_Master!$A$2:$A$477,0))&amp;"","")</f>
        <v>N/A</v>
      </c>
      <c r="J2387" s="10" t="s">
        <v>58</v>
      </c>
      <c r="K2387" s="8" t="s">
        <v>5610</v>
      </c>
    </row>
    <row r="2388" customFormat="false" ht="34.5" hidden="false" customHeight="true" outlineLevel="0" collapsed="false">
      <c r="A2388" s="10" t="s">
        <v>5617</v>
      </c>
      <c r="B2388" s="10" t="s">
        <v>45</v>
      </c>
      <c r="C2388" s="8" t="s">
        <v>5608</v>
      </c>
      <c r="D2388" s="8" t="s">
        <v>5618</v>
      </c>
      <c r="E2388" s="11" t="n">
        <v>40</v>
      </c>
      <c r="F2388" s="8" t="str">
        <f aca="false">IFERROR(INDEX(Section_Master!$D$2:$D$477,MATCH($E2388,Section_Master!$A$2:$A$477,0))&amp;"","")</f>
        <v>Not applicable - no offence or penalty defined here (definition, exception or general provision)</v>
      </c>
      <c r="G2388" s="10" t="str">
        <f aca="false">IFERROR(INDEX(Section_Master!$E$2:$E$477,MATCH($E2388,Section_Master!$A$2:$A$477,0))&amp;"","")</f>
        <v>N/A</v>
      </c>
      <c r="H2388" s="10" t="str">
        <f aca="false">IFERROR(INDEX(Section_Master!$F$2:$F$477,MATCH($E2388,Section_Master!$A$2:$A$477,0))&amp;"","")</f>
        <v>N/A</v>
      </c>
      <c r="I2388" s="10" t="str">
        <f aca="false">IFERROR(INDEX(Section_Master!$G$2:$G$477,MATCH($E2388,Section_Master!$A$2:$A$477,0))&amp;"","")</f>
        <v>N/A</v>
      </c>
      <c r="J2388" s="10" t="s">
        <v>61</v>
      </c>
      <c r="K2388" s="8" t="s">
        <v>5610</v>
      </c>
    </row>
    <row r="2389" customFormat="false" ht="23.25" hidden="false" customHeight="true" outlineLevel="0" collapsed="false">
      <c r="A2389" s="10" t="s">
        <v>5619</v>
      </c>
      <c r="B2389" s="10" t="s">
        <v>45</v>
      </c>
      <c r="C2389" s="8" t="s">
        <v>5608</v>
      </c>
      <c r="D2389" s="8" t="s">
        <v>5620</v>
      </c>
      <c r="E2389" s="11" t="n">
        <v>40</v>
      </c>
      <c r="F2389" s="8" t="str">
        <f aca="false">IFERROR(INDEX(Section_Master!$D$2:$D$477,MATCH($E2389,Section_Master!$A$2:$A$477,0))&amp;"","")</f>
        <v>Not applicable - no offence or penalty defined here (definition, exception or general provision)</v>
      </c>
      <c r="G2389" s="10" t="str">
        <f aca="false">IFERROR(INDEX(Section_Master!$E$2:$E$477,MATCH($E2389,Section_Master!$A$2:$A$477,0))&amp;"","")</f>
        <v>N/A</v>
      </c>
      <c r="H2389" s="10" t="str">
        <f aca="false">IFERROR(INDEX(Section_Master!$F$2:$F$477,MATCH($E2389,Section_Master!$A$2:$A$477,0))&amp;"","")</f>
        <v>N/A</v>
      </c>
      <c r="I2389" s="10" t="str">
        <f aca="false">IFERROR(INDEX(Section_Master!$G$2:$G$477,MATCH($E2389,Section_Master!$A$2:$A$477,0))&amp;"","")</f>
        <v>N/A</v>
      </c>
      <c r="J2389" s="10" t="s">
        <v>64</v>
      </c>
      <c r="K2389" s="8" t="s">
        <v>5610</v>
      </c>
    </row>
    <row r="2390" customFormat="false" ht="23.25" hidden="false" customHeight="true" outlineLevel="0" collapsed="false">
      <c r="A2390" s="10" t="s">
        <v>5621</v>
      </c>
      <c r="B2390" s="10" t="s">
        <v>45</v>
      </c>
      <c r="C2390" s="8" t="s">
        <v>5622</v>
      </c>
      <c r="D2390" s="8" t="s">
        <v>5623</v>
      </c>
      <c r="E2390" s="11" t="n">
        <v>41</v>
      </c>
      <c r="F2390" s="8" t="str">
        <f aca="false">IFERROR(INDEX(Section_Master!$D$2:$D$477,MATCH($E2390,Section_Master!$A$2:$A$477,0))&amp;"","")</f>
        <v>Not applicable - no offence or penalty defined here (definition, exception or general provision)</v>
      </c>
      <c r="G2390" s="10" t="str">
        <f aca="false">IFERROR(INDEX(Section_Master!$E$2:$E$477,MATCH($E2390,Section_Master!$A$2:$A$477,0))&amp;"","")</f>
        <v>N/A</v>
      </c>
      <c r="H2390" s="10" t="str">
        <f aca="false">IFERROR(INDEX(Section_Master!$F$2:$F$477,MATCH($E2390,Section_Master!$A$2:$A$477,0))&amp;"","")</f>
        <v>N/A</v>
      </c>
      <c r="I2390" s="10" t="str">
        <f aca="false">IFERROR(INDEX(Section_Master!$G$2:$G$477,MATCH($E2390,Section_Master!$A$2:$A$477,0))&amp;"","")</f>
        <v>N/A</v>
      </c>
      <c r="J2390" s="10" t="s">
        <v>48</v>
      </c>
      <c r="K2390" s="8" t="s">
        <v>5624</v>
      </c>
    </row>
    <row r="2391" customFormat="false" ht="23.25" hidden="false" customHeight="true" outlineLevel="0" collapsed="false">
      <c r="A2391" s="10" t="s">
        <v>5625</v>
      </c>
      <c r="B2391" s="10" t="s">
        <v>45</v>
      </c>
      <c r="C2391" s="8" t="s">
        <v>5622</v>
      </c>
      <c r="D2391" s="8" t="s">
        <v>5626</v>
      </c>
      <c r="E2391" s="11" t="n">
        <v>41</v>
      </c>
      <c r="F2391" s="8" t="str">
        <f aca="false">IFERROR(INDEX(Section_Master!$D$2:$D$477,MATCH($E2391,Section_Master!$A$2:$A$477,0))&amp;"","")</f>
        <v>Not applicable - no offence or penalty defined here (definition, exception or general provision)</v>
      </c>
      <c r="G2391" s="10" t="str">
        <f aca="false">IFERROR(INDEX(Section_Master!$E$2:$E$477,MATCH($E2391,Section_Master!$A$2:$A$477,0))&amp;"","")</f>
        <v>N/A</v>
      </c>
      <c r="H2391" s="10" t="str">
        <f aca="false">IFERROR(INDEX(Section_Master!$F$2:$F$477,MATCH($E2391,Section_Master!$A$2:$A$477,0))&amp;"","")</f>
        <v>N/A</v>
      </c>
      <c r="I2391" s="10" t="str">
        <f aca="false">IFERROR(INDEX(Section_Master!$G$2:$G$477,MATCH($E2391,Section_Master!$A$2:$A$477,0))&amp;"","")</f>
        <v>N/A</v>
      </c>
      <c r="J2391" s="10" t="s">
        <v>52</v>
      </c>
      <c r="K2391" s="8" t="s">
        <v>5624</v>
      </c>
    </row>
    <row r="2392" customFormat="false" ht="23.25" hidden="false" customHeight="true" outlineLevel="0" collapsed="false">
      <c r="A2392" s="10" t="s">
        <v>5627</v>
      </c>
      <c r="B2392" s="10" t="s">
        <v>45</v>
      </c>
      <c r="C2392" s="8" t="s">
        <v>5622</v>
      </c>
      <c r="D2392" s="8" t="s">
        <v>5628</v>
      </c>
      <c r="E2392" s="11" t="n">
        <v>41</v>
      </c>
      <c r="F2392" s="8" t="str">
        <f aca="false">IFERROR(INDEX(Section_Master!$D$2:$D$477,MATCH($E2392,Section_Master!$A$2:$A$477,0))&amp;"","")</f>
        <v>Not applicable - no offence or penalty defined here (definition, exception or general provision)</v>
      </c>
      <c r="G2392" s="10" t="str">
        <f aca="false">IFERROR(INDEX(Section_Master!$E$2:$E$477,MATCH($E2392,Section_Master!$A$2:$A$477,0))&amp;"","")</f>
        <v>N/A</v>
      </c>
      <c r="H2392" s="10" t="str">
        <f aca="false">IFERROR(INDEX(Section_Master!$F$2:$F$477,MATCH($E2392,Section_Master!$A$2:$A$477,0))&amp;"","")</f>
        <v>N/A</v>
      </c>
      <c r="I2392" s="10" t="str">
        <f aca="false">IFERROR(INDEX(Section_Master!$G$2:$G$477,MATCH($E2392,Section_Master!$A$2:$A$477,0))&amp;"","")</f>
        <v>N/A</v>
      </c>
      <c r="J2392" s="10" t="s">
        <v>55</v>
      </c>
      <c r="K2392" s="8" t="s">
        <v>5624</v>
      </c>
    </row>
    <row r="2393" customFormat="false" ht="34.5" hidden="false" customHeight="true" outlineLevel="0" collapsed="false">
      <c r="A2393" s="10" t="s">
        <v>5629</v>
      </c>
      <c r="B2393" s="10" t="s">
        <v>45</v>
      </c>
      <c r="C2393" s="8" t="s">
        <v>5622</v>
      </c>
      <c r="D2393" s="8" t="s">
        <v>5630</v>
      </c>
      <c r="E2393" s="11" t="n">
        <v>41</v>
      </c>
      <c r="F2393" s="8" t="str">
        <f aca="false">IFERROR(INDEX(Section_Master!$D$2:$D$477,MATCH($E2393,Section_Master!$A$2:$A$477,0))&amp;"","")</f>
        <v>Not applicable - no offence or penalty defined here (definition, exception or general provision)</v>
      </c>
      <c r="G2393" s="10" t="str">
        <f aca="false">IFERROR(INDEX(Section_Master!$E$2:$E$477,MATCH($E2393,Section_Master!$A$2:$A$477,0))&amp;"","")</f>
        <v>N/A</v>
      </c>
      <c r="H2393" s="10" t="str">
        <f aca="false">IFERROR(INDEX(Section_Master!$F$2:$F$477,MATCH($E2393,Section_Master!$A$2:$A$477,0))&amp;"","")</f>
        <v>N/A</v>
      </c>
      <c r="I2393" s="10" t="str">
        <f aca="false">IFERROR(INDEX(Section_Master!$G$2:$G$477,MATCH($E2393,Section_Master!$A$2:$A$477,0))&amp;"","")</f>
        <v>N/A</v>
      </c>
      <c r="J2393" s="10" t="s">
        <v>58</v>
      </c>
      <c r="K2393" s="8" t="s">
        <v>5624</v>
      </c>
    </row>
    <row r="2394" customFormat="false" ht="23.25" hidden="false" customHeight="true" outlineLevel="0" collapsed="false">
      <c r="A2394" s="10" t="s">
        <v>5631</v>
      </c>
      <c r="B2394" s="10" t="s">
        <v>45</v>
      </c>
      <c r="C2394" s="8" t="s">
        <v>5622</v>
      </c>
      <c r="D2394" s="8" t="s">
        <v>5632</v>
      </c>
      <c r="E2394" s="11" t="n">
        <v>41</v>
      </c>
      <c r="F2394" s="8" t="str">
        <f aca="false">IFERROR(INDEX(Section_Master!$D$2:$D$477,MATCH($E2394,Section_Master!$A$2:$A$477,0))&amp;"","")</f>
        <v>Not applicable - no offence or penalty defined here (definition, exception or general provision)</v>
      </c>
      <c r="G2394" s="10" t="str">
        <f aca="false">IFERROR(INDEX(Section_Master!$E$2:$E$477,MATCH($E2394,Section_Master!$A$2:$A$477,0))&amp;"","")</f>
        <v>N/A</v>
      </c>
      <c r="H2394" s="10" t="str">
        <f aca="false">IFERROR(INDEX(Section_Master!$F$2:$F$477,MATCH($E2394,Section_Master!$A$2:$A$477,0))&amp;"","")</f>
        <v>N/A</v>
      </c>
      <c r="I2394" s="10" t="str">
        <f aca="false">IFERROR(INDEX(Section_Master!$G$2:$G$477,MATCH($E2394,Section_Master!$A$2:$A$477,0))&amp;"","")</f>
        <v>N/A</v>
      </c>
      <c r="J2394" s="10" t="s">
        <v>61</v>
      </c>
      <c r="K2394" s="8" t="s">
        <v>5624</v>
      </c>
    </row>
    <row r="2395" customFormat="false" ht="23.25" hidden="false" customHeight="true" outlineLevel="0" collapsed="false">
      <c r="A2395" s="10" t="s">
        <v>5633</v>
      </c>
      <c r="B2395" s="10" t="s">
        <v>45</v>
      </c>
      <c r="C2395" s="8" t="s">
        <v>5622</v>
      </c>
      <c r="D2395" s="8" t="s">
        <v>5634</v>
      </c>
      <c r="E2395" s="11" t="n">
        <v>41</v>
      </c>
      <c r="F2395" s="8" t="str">
        <f aca="false">IFERROR(INDEX(Section_Master!$D$2:$D$477,MATCH($E2395,Section_Master!$A$2:$A$477,0))&amp;"","")</f>
        <v>Not applicable - no offence or penalty defined here (definition, exception or general provision)</v>
      </c>
      <c r="G2395" s="10" t="str">
        <f aca="false">IFERROR(INDEX(Section_Master!$E$2:$E$477,MATCH($E2395,Section_Master!$A$2:$A$477,0))&amp;"","")</f>
        <v>N/A</v>
      </c>
      <c r="H2395" s="10" t="str">
        <f aca="false">IFERROR(INDEX(Section_Master!$F$2:$F$477,MATCH($E2395,Section_Master!$A$2:$A$477,0))&amp;"","")</f>
        <v>N/A</v>
      </c>
      <c r="I2395" s="10" t="str">
        <f aca="false">IFERROR(INDEX(Section_Master!$G$2:$G$477,MATCH($E2395,Section_Master!$A$2:$A$477,0))&amp;"","")</f>
        <v>N/A</v>
      </c>
      <c r="J2395" s="10" t="s">
        <v>64</v>
      </c>
      <c r="K2395" s="8" t="s">
        <v>5624</v>
      </c>
    </row>
    <row r="2396" customFormat="false" ht="34.5" hidden="false" customHeight="true" outlineLevel="0" collapsed="false">
      <c r="A2396" s="10" t="s">
        <v>5635</v>
      </c>
      <c r="B2396" s="10" t="s">
        <v>45</v>
      </c>
      <c r="C2396" s="8" t="s">
        <v>5636</v>
      </c>
      <c r="D2396" s="8" t="s">
        <v>5637</v>
      </c>
      <c r="E2396" s="11" t="n">
        <v>42</v>
      </c>
      <c r="F2396" s="8" t="str">
        <f aca="false">IFERROR(INDEX(Section_Master!$D$2:$D$477,MATCH($E2396,Section_Master!$A$2:$A$477,0))&amp;"","")</f>
        <v>Not applicable - no offence or penalty defined here (definition, exception or general provision)</v>
      </c>
      <c r="G2396" s="10" t="str">
        <f aca="false">IFERROR(INDEX(Section_Master!$E$2:$E$477,MATCH($E2396,Section_Master!$A$2:$A$477,0))&amp;"","")</f>
        <v>N/A</v>
      </c>
      <c r="H2396" s="10" t="str">
        <f aca="false">IFERROR(INDEX(Section_Master!$F$2:$F$477,MATCH($E2396,Section_Master!$A$2:$A$477,0))&amp;"","")</f>
        <v>N/A</v>
      </c>
      <c r="I2396" s="10" t="str">
        <f aca="false">IFERROR(INDEX(Section_Master!$G$2:$G$477,MATCH($E2396,Section_Master!$A$2:$A$477,0))&amp;"","")</f>
        <v>N/A</v>
      </c>
      <c r="J2396" s="10" t="s">
        <v>48</v>
      </c>
      <c r="K2396" s="8" t="s">
        <v>5638</v>
      </c>
    </row>
    <row r="2397" customFormat="false" ht="34.5" hidden="false" customHeight="true" outlineLevel="0" collapsed="false">
      <c r="A2397" s="10" t="s">
        <v>5639</v>
      </c>
      <c r="B2397" s="10" t="s">
        <v>45</v>
      </c>
      <c r="C2397" s="8" t="s">
        <v>5636</v>
      </c>
      <c r="D2397" s="8" t="s">
        <v>5640</v>
      </c>
      <c r="E2397" s="11" t="n">
        <v>42</v>
      </c>
      <c r="F2397" s="8" t="str">
        <f aca="false">IFERROR(INDEX(Section_Master!$D$2:$D$477,MATCH($E2397,Section_Master!$A$2:$A$477,0))&amp;"","")</f>
        <v>Not applicable - no offence or penalty defined here (definition, exception or general provision)</v>
      </c>
      <c r="G2397" s="10" t="str">
        <f aca="false">IFERROR(INDEX(Section_Master!$E$2:$E$477,MATCH($E2397,Section_Master!$A$2:$A$477,0))&amp;"","")</f>
        <v>N/A</v>
      </c>
      <c r="H2397" s="10" t="str">
        <f aca="false">IFERROR(INDEX(Section_Master!$F$2:$F$477,MATCH($E2397,Section_Master!$A$2:$A$477,0))&amp;"","")</f>
        <v>N/A</v>
      </c>
      <c r="I2397" s="10" t="str">
        <f aca="false">IFERROR(INDEX(Section_Master!$G$2:$G$477,MATCH($E2397,Section_Master!$A$2:$A$477,0))&amp;"","")</f>
        <v>N/A</v>
      </c>
      <c r="J2397" s="10" t="s">
        <v>52</v>
      </c>
      <c r="K2397" s="8" t="s">
        <v>5638</v>
      </c>
    </row>
    <row r="2398" customFormat="false" ht="34.5" hidden="false" customHeight="true" outlineLevel="0" collapsed="false">
      <c r="A2398" s="10" t="s">
        <v>5641</v>
      </c>
      <c r="B2398" s="10" t="s">
        <v>45</v>
      </c>
      <c r="C2398" s="8" t="s">
        <v>5636</v>
      </c>
      <c r="D2398" s="8" t="s">
        <v>5642</v>
      </c>
      <c r="E2398" s="11" t="n">
        <v>42</v>
      </c>
      <c r="F2398" s="8" t="str">
        <f aca="false">IFERROR(INDEX(Section_Master!$D$2:$D$477,MATCH($E2398,Section_Master!$A$2:$A$477,0))&amp;"","")</f>
        <v>Not applicable - no offence or penalty defined here (definition, exception or general provision)</v>
      </c>
      <c r="G2398" s="10" t="str">
        <f aca="false">IFERROR(INDEX(Section_Master!$E$2:$E$477,MATCH($E2398,Section_Master!$A$2:$A$477,0))&amp;"","")</f>
        <v>N/A</v>
      </c>
      <c r="H2398" s="10" t="str">
        <f aca="false">IFERROR(INDEX(Section_Master!$F$2:$F$477,MATCH($E2398,Section_Master!$A$2:$A$477,0))&amp;"","")</f>
        <v>N/A</v>
      </c>
      <c r="I2398" s="10" t="str">
        <f aca="false">IFERROR(INDEX(Section_Master!$G$2:$G$477,MATCH($E2398,Section_Master!$A$2:$A$477,0))&amp;"","")</f>
        <v>N/A</v>
      </c>
      <c r="J2398" s="10" t="s">
        <v>55</v>
      </c>
      <c r="K2398" s="8" t="s">
        <v>5638</v>
      </c>
    </row>
    <row r="2399" customFormat="false" ht="23.25" hidden="false" customHeight="true" outlineLevel="0" collapsed="false">
      <c r="A2399" s="10" t="s">
        <v>5643</v>
      </c>
      <c r="B2399" s="10" t="s">
        <v>45</v>
      </c>
      <c r="C2399" s="8" t="s">
        <v>5636</v>
      </c>
      <c r="D2399" s="8" t="s">
        <v>5644</v>
      </c>
      <c r="E2399" s="11" t="n">
        <v>42</v>
      </c>
      <c r="F2399" s="8" t="str">
        <f aca="false">IFERROR(INDEX(Section_Master!$D$2:$D$477,MATCH($E2399,Section_Master!$A$2:$A$477,0))&amp;"","")</f>
        <v>Not applicable - no offence or penalty defined here (definition, exception or general provision)</v>
      </c>
      <c r="G2399" s="10" t="str">
        <f aca="false">IFERROR(INDEX(Section_Master!$E$2:$E$477,MATCH($E2399,Section_Master!$A$2:$A$477,0))&amp;"","")</f>
        <v>N/A</v>
      </c>
      <c r="H2399" s="10" t="str">
        <f aca="false">IFERROR(INDEX(Section_Master!$F$2:$F$477,MATCH($E2399,Section_Master!$A$2:$A$477,0))&amp;"","")</f>
        <v>N/A</v>
      </c>
      <c r="I2399" s="10" t="str">
        <f aca="false">IFERROR(INDEX(Section_Master!$G$2:$G$477,MATCH($E2399,Section_Master!$A$2:$A$477,0))&amp;"","")</f>
        <v>N/A</v>
      </c>
      <c r="J2399" s="10" t="s">
        <v>58</v>
      </c>
      <c r="K2399" s="8" t="s">
        <v>5638</v>
      </c>
    </row>
    <row r="2400" customFormat="false" ht="23.25" hidden="false" customHeight="true" outlineLevel="0" collapsed="false">
      <c r="A2400" s="10" t="s">
        <v>5645</v>
      </c>
      <c r="B2400" s="10" t="s">
        <v>45</v>
      </c>
      <c r="C2400" s="8" t="s">
        <v>5636</v>
      </c>
      <c r="D2400" s="8" t="s">
        <v>5646</v>
      </c>
      <c r="E2400" s="11" t="n">
        <v>42</v>
      </c>
      <c r="F2400" s="8" t="str">
        <f aca="false">IFERROR(INDEX(Section_Master!$D$2:$D$477,MATCH($E2400,Section_Master!$A$2:$A$477,0))&amp;"","")</f>
        <v>Not applicable - no offence or penalty defined here (definition, exception or general provision)</v>
      </c>
      <c r="G2400" s="10" t="str">
        <f aca="false">IFERROR(INDEX(Section_Master!$E$2:$E$477,MATCH($E2400,Section_Master!$A$2:$A$477,0))&amp;"","")</f>
        <v>N/A</v>
      </c>
      <c r="H2400" s="10" t="str">
        <f aca="false">IFERROR(INDEX(Section_Master!$F$2:$F$477,MATCH($E2400,Section_Master!$A$2:$A$477,0))&amp;"","")</f>
        <v>N/A</v>
      </c>
      <c r="I2400" s="10" t="str">
        <f aca="false">IFERROR(INDEX(Section_Master!$G$2:$G$477,MATCH($E2400,Section_Master!$A$2:$A$477,0))&amp;"","")</f>
        <v>N/A</v>
      </c>
      <c r="J2400" s="10" t="s">
        <v>61</v>
      </c>
      <c r="K2400" s="8" t="s">
        <v>5638</v>
      </c>
    </row>
    <row r="2401" customFormat="false" ht="34.5" hidden="false" customHeight="true" outlineLevel="0" collapsed="false">
      <c r="A2401" s="10" t="s">
        <v>5647</v>
      </c>
      <c r="B2401" s="10" t="s">
        <v>45</v>
      </c>
      <c r="C2401" s="8" t="s">
        <v>5636</v>
      </c>
      <c r="D2401" s="8" t="s">
        <v>5648</v>
      </c>
      <c r="E2401" s="11" t="n">
        <v>42</v>
      </c>
      <c r="F2401" s="8" t="str">
        <f aca="false">IFERROR(INDEX(Section_Master!$D$2:$D$477,MATCH($E2401,Section_Master!$A$2:$A$477,0))&amp;"","")</f>
        <v>Not applicable - no offence or penalty defined here (definition, exception or general provision)</v>
      </c>
      <c r="G2401" s="10" t="str">
        <f aca="false">IFERROR(INDEX(Section_Master!$E$2:$E$477,MATCH($E2401,Section_Master!$A$2:$A$477,0))&amp;"","")</f>
        <v>N/A</v>
      </c>
      <c r="H2401" s="10" t="str">
        <f aca="false">IFERROR(INDEX(Section_Master!$F$2:$F$477,MATCH($E2401,Section_Master!$A$2:$A$477,0))&amp;"","")</f>
        <v>N/A</v>
      </c>
      <c r="I2401" s="10" t="str">
        <f aca="false">IFERROR(INDEX(Section_Master!$G$2:$G$477,MATCH($E2401,Section_Master!$A$2:$A$477,0))&amp;"","")</f>
        <v>N/A</v>
      </c>
      <c r="J2401" s="10" t="s">
        <v>64</v>
      </c>
      <c r="K2401" s="8" t="s">
        <v>5638</v>
      </c>
    </row>
    <row r="2402" customFormat="false" ht="34.5" hidden="false" customHeight="true" outlineLevel="0" collapsed="false">
      <c r="A2402" s="10" t="s">
        <v>5649</v>
      </c>
      <c r="B2402" s="10" t="s">
        <v>45</v>
      </c>
      <c r="C2402" s="8" t="s">
        <v>5650</v>
      </c>
      <c r="D2402" s="8" t="s">
        <v>5651</v>
      </c>
      <c r="E2402" s="11" t="n">
        <v>43</v>
      </c>
      <c r="F2402" s="8" t="str">
        <f aca="false">IFERROR(INDEX(Section_Master!$D$2:$D$477,MATCH($E2402,Section_Master!$A$2:$A$477,0))&amp;"","")</f>
        <v>Not applicable - no offence or penalty defined here (definition, exception or general provision)</v>
      </c>
      <c r="G2402" s="10" t="str">
        <f aca="false">IFERROR(INDEX(Section_Master!$E$2:$E$477,MATCH($E2402,Section_Master!$A$2:$A$477,0))&amp;"","")</f>
        <v>N/A</v>
      </c>
      <c r="H2402" s="10" t="str">
        <f aca="false">IFERROR(INDEX(Section_Master!$F$2:$F$477,MATCH($E2402,Section_Master!$A$2:$A$477,0))&amp;"","")</f>
        <v>N/A</v>
      </c>
      <c r="I2402" s="10" t="str">
        <f aca="false">IFERROR(INDEX(Section_Master!$G$2:$G$477,MATCH($E2402,Section_Master!$A$2:$A$477,0))&amp;"","")</f>
        <v>N/A</v>
      </c>
      <c r="J2402" s="10" t="s">
        <v>48</v>
      </c>
      <c r="K2402" s="8" t="s">
        <v>5652</v>
      </c>
    </row>
    <row r="2403" customFormat="false" ht="34.5" hidden="false" customHeight="true" outlineLevel="0" collapsed="false">
      <c r="A2403" s="10" t="s">
        <v>5653</v>
      </c>
      <c r="B2403" s="10" t="s">
        <v>45</v>
      </c>
      <c r="C2403" s="8" t="s">
        <v>5650</v>
      </c>
      <c r="D2403" s="8" t="s">
        <v>5654</v>
      </c>
      <c r="E2403" s="11" t="n">
        <v>43</v>
      </c>
      <c r="F2403" s="8" t="str">
        <f aca="false">IFERROR(INDEX(Section_Master!$D$2:$D$477,MATCH($E2403,Section_Master!$A$2:$A$477,0))&amp;"","")</f>
        <v>Not applicable - no offence or penalty defined here (definition, exception or general provision)</v>
      </c>
      <c r="G2403" s="10" t="str">
        <f aca="false">IFERROR(INDEX(Section_Master!$E$2:$E$477,MATCH($E2403,Section_Master!$A$2:$A$477,0))&amp;"","")</f>
        <v>N/A</v>
      </c>
      <c r="H2403" s="10" t="str">
        <f aca="false">IFERROR(INDEX(Section_Master!$F$2:$F$477,MATCH($E2403,Section_Master!$A$2:$A$477,0))&amp;"","")</f>
        <v>N/A</v>
      </c>
      <c r="I2403" s="10" t="str">
        <f aca="false">IFERROR(INDEX(Section_Master!$G$2:$G$477,MATCH($E2403,Section_Master!$A$2:$A$477,0))&amp;"","")</f>
        <v>N/A</v>
      </c>
      <c r="J2403" s="10" t="s">
        <v>52</v>
      </c>
      <c r="K2403" s="8" t="s">
        <v>5652</v>
      </c>
    </row>
    <row r="2404" customFormat="false" ht="23.25" hidden="false" customHeight="true" outlineLevel="0" collapsed="false">
      <c r="A2404" s="10" t="s">
        <v>5655</v>
      </c>
      <c r="B2404" s="10" t="s">
        <v>45</v>
      </c>
      <c r="C2404" s="8" t="s">
        <v>5650</v>
      </c>
      <c r="D2404" s="8" t="s">
        <v>5656</v>
      </c>
      <c r="E2404" s="11" t="n">
        <v>43</v>
      </c>
      <c r="F2404" s="8" t="str">
        <f aca="false">IFERROR(INDEX(Section_Master!$D$2:$D$477,MATCH($E2404,Section_Master!$A$2:$A$477,0))&amp;"","")</f>
        <v>Not applicable - no offence or penalty defined here (definition, exception or general provision)</v>
      </c>
      <c r="G2404" s="10" t="str">
        <f aca="false">IFERROR(INDEX(Section_Master!$E$2:$E$477,MATCH($E2404,Section_Master!$A$2:$A$477,0))&amp;"","")</f>
        <v>N/A</v>
      </c>
      <c r="H2404" s="10" t="str">
        <f aca="false">IFERROR(INDEX(Section_Master!$F$2:$F$477,MATCH($E2404,Section_Master!$A$2:$A$477,0))&amp;"","")</f>
        <v>N/A</v>
      </c>
      <c r="I2404" s="10" t="str">
        <f aca="false">IFERROR(INDEX(Section_Master!$G$2:$G$477,MATCH($E2404,Section_Master!$A$2:$A$477,0))&amp;"","")</f>
        <v>N/A</v>
      </c>
      <c r="J2404" s="10" t="s">
        <v>55</v>
      </c>
      <c r="K2404" s="8" t="s">
        <v>5652</v>
      </c>
    </row>
    <row r="2405" customFormat="false" ht="23.25" hidden="false" customHeight="true" outlineLevel="0" collapsed="false">
      <c r="A2405" s="10" t="s">
        <v>5657</v>
      </c>
      <c r="B2405" s="10" t="s">
        <v>45</v>
      </c>
      <c r="C2405" s="8" t="s">
        <v>5650</v>
      </c>
      <c r="D2405" s="8" t="s">
        <v>5658</v>
      </c>
      <c r="E2405" s="11" t="n">
        <v>43</v>
      </c>
      <c r="F2405" s="8" t="str">
        <f aca="false">IFERROR(INDEX(Section_Master!$D$2:$D$477,MATCH($E2405,Section_Master!$A$2:$A$477,0))&amp;"","")</f>
        <v>Not applicable - no offence or penalty defined here (definition, exception or general provision)</v>
      </c>
      <c r="G2405" s="10" t="str">
        <f aca="false">IFERROR(INDEX(Section_Master!$E$2:$E$477,MATCH($E2405,Section_Master!$A$2:$A$477,0))&amp;"","")</f>
        <v>N/A</v>
      </c>
      <c r="H2405" s="10" t="str">
        <f aca="false">IFERROR(INDEX(Section_Master!$F$2:$F$477,MATCH($E2405,Section_Master!$A$2:$A$477,0))&amp;"","")</f>
        <v>N/A</v>
      </c>
      <c r="I2405" s="10" t="str">
        <f aca="false">IFERROR(INDEX(Section_Master!$G$2:$G$477,MATCH($E2405,Section_Master!$A$2:$A$477,0))&amp;"","")</f>
        <v>N/A</v>
      </c>
      <c r="J2405" s="10" t="s">
        <v>58</v>
      </c>
      <c r="K2405" s="8" t="s">
        <v>5652</v>
      </c>
    </row>
    <row r="2406" customFormat="false" ht="34.5" hidden="false" customHeight="true" outlineLevel="0" collapsed="false">
      <c r="A2406" s="10" t="s">
        <v>5659</v>
      </c>
      <c r="B2406" s="10" t="s">
        <v>45</v>
      </c>
      <c r="C2406" s="8" t="s">
        <v>5650</v>
      </c>
      <c r="D2406" s="8" t="s">
        <v>5660</v>
      </c>
      <c r="E2406" s="11" t="n">
        <v>43</v>
      </c>
      <c r="F2406" s="8" t="str">
        <f aca="false">IFERROR(INDEX(Section_Master!$D$2:$D$477,MATCH($E2406,Section_Master!$A$2:$A$477,0))&amp;"","")</f>
        <v>Not applicable - no offence or penalty defined here (definition, exception or general provision)</v>
      </c>
      <c r="G2406" s="10" t="str">
        <f aca="false">IFERROR(INDEX(Section_Master!$E$2:$E$477,MATCH($E2406,Section_Master!$A$2:$A$477,0))&amp;"","")</f>
        <v>N/A</v>
      </c>
      <c r="H2406" s="10" t="str">
        <f aca="false">IFERROR(INDEX(Section_Master!$F$2:$F$477,MATCH($E2406,Section_Master!$A$2:$A$477,0))&amp;"","")</f>
        <v>N/A</v>
      </c>
      <c r="I2406" s="10" t="str">
        <f aca="false">IFERROR(INDEX(Section_Master!$G$2:$G$477,MATCH($E2406,Section_Master!$A$2:$A$477,0))&amp;"","")</f>
        <v>N/A</v>
      </c>
      <c r="J2406" s="10" t="s">
        <v>61</v>
      </c>
      <c r="K2406" s="8" t="s">
        <v>5652</v>
      </c>
    </row>
    <row r="2407" customFormat="false" ht="34.5" hidden="false" customHeight="true" outlineLevel="0" collapsed="false">
      <c r="A2407" s="10" t="s">
        <v>5661</v>
      </c>
      <c r="B2407" s="10" t="s">
        <v>45</v>
      </c>
      <c r="C2407" s="8" t="s">
        <v>5650</v>
      </c>
      <c r="D2407" s="8" t="s">
        <v>5662</v>
      </c>
      <c r="E2407" s="11" t="n">
        <v>43</v>
      </c>
      <c r="F2407" s="8" t="str">
        <f aca="false">IFERROR(INDEX(Section_Master!$D$2:$D$477,MATCH($E2407,Section_Master!$A$2:$A$477,0))&amp;"","")</f>
        <v>Not applicable - no offence or penalty defined here (definition, exception or general provision)</v>
      </c>
      <c r="G2407" s="10" t="str">
        <f aca="false">IFERROR(INDEX(Section_Master!$E$2:$E$477,MATCH($E2407,Section_Master!$A$2:$A$477,0))&amp;"","")</f>
        <v>N/A</v>
      </c>
      <c r="H2407" s="10" t="str">
        <f aca="false">IFERROR(INDEX(Section_Master!$F$2:$F$477,MATCH($E2407,Section_Master!$A$2:$A$477,0))&amp;"","")</f>
        <v>N/A</v>
      </c>
      <c r="I2407" s="10" t="str">
        <f aca="false">IFERROR(INDEX(Section_Master!$G$2:$G$477,MATCH($E2407,Section_Master!$A$2:$A$477,0))&amp;"","")</f>
        <v>N/A</v>
      </c>
      <c r="J2407" s="10" t="s">
        <v>64</v>
      </c>
      <c r="K2407" s="8" t="s">
        <v>5652</v>
      </c>
    </row>
    <row r="2408" customFormat="false" ht="34.5" hidden="false" customHeight="true" outlineLevel="0" collapsed="false">
      <c r="A2408" s="10" t="s">
        <v>5663</v>
      </c>
      <c r="B2408" s="10" t="s">
        <v>45</v>
      </c>
      <c r="C2408" s="8" t="s">
        <v>5664</v>
      </c>
      <c r="D2408" s="8" t="s">
        <v>5665</v>
      </c>
      <c r="E2408" s="11" t="n">
        <v>44</v>
      </c>
      <c r="F2408" s="8" t="str">
        <f aca="false">IFERROR(INDEX(Section_Master!$D$2:$D$477,MATCH($E2408,Section_Master!$A$2:$A$477,0))&amp;"","")</f>
        <v>Not applicable - no offence or penalty defined here (definition, exception or general provision)</v>
      </c>
      <c r="G2408" s="10" t="str">
        <f aca="false">IFERROR(INDEX(Section_Master!$E$2:$E$477,MATCH($E2408,Section_Master!$A$2:$A$477,0))&amp;"","")</f>
        <v>N/A</v>
      </c>
      <c r="H2408" s="10" t="str">
        <f aca="false">IFERROR(INDEX(Section_Master!$F$2:$F$477,MATCH($E2408,Section_Master!$A$2:$A$477,0))&amp;"","")</f>
        <v>N/A</v>
      </c>
      <c r="I2408" s="10" t="str">
        <f aca="false">IFERROR(INDEX(Section_Master!$G$2:$G$477,MATCH($E2408,Section_Master!$A$2:$A$477,0))&amp;"","")</f>
        <v>N/A</v>
      </c>
      <c r="J2408" s="10" t="s">
        <v>48</v>
      </c>
      <c r="K2408" s="8" t="s">
        <v>5666</v>
      </c>
    </row>
    <row r="2409" customFormat="false" ht="34.5" hidden="false" customHeight="true" outlineLevel="0" collapsed="false">
      <c r="A2409" s="10" t="s">
        <v>5667</v>
      </c>
      <c r="B2409" s="10" t="s">
        <v>45</v>
      </c>
      <c r="C2409" s="8" t="s">
        <v>5664</v>
      </c>
      <c r="D2409" s="8" t="s">
        <v>5668</v>
      </c>
      <c r="E2409" s="11" t="n">
        <v>44</v>
      </c>
      <c r="F2409" s="8" t="str">
        <f aca="false">IFERROR(INDEX(Section_Master!$D$2:$D$477,MATCH($E2409,Section_Master!$A$2:$A$477,0))&amp;"","")</f>
        <v>Not applicable - no offence or penalty defined here (definition, exception or general provision)</v>
      </c>
      <c r="G2409" s="10" t="str">
        <f aca="false">IFERROR(INDEX(Section_Master!$E$2:$E$477,MATCH($E2409,Section_Master!$A$2:$A$477,0))&amp;"","")</f>
        <v>N/A</v>
      </c>
      <c r="H2409" s="10" t="str">
        <f aca="false">IFERROR(INDEX(Section_Master!$F$2:$F$477,MATCH($E2409,Section_Master!$A$2:$A$477,0))&amp;"","")</f>
        <v>N/A</v>
      </c>
      <c r="I2409" s="10" t="str">
        <f aca="false">IFERROR(INDEX(Section_Master!$G$2:$G$477,MATCH($E2409,Section_Master!$A$2:$A$477,0))&amp;"","")</f>
        <v>N/A</v>
      </c>
      <c r="J2409" s="10" t="s">
        <v>52</v>
      </c>
      <c r="K2409" s="8" t="s">
        <v>5666</v>
      </c>
    </row>
    <row r="2410" customFormat="false" ht="34.5" hidden="false" customHeight="true" outlineLevel="0" collapsed="false">
      <c r="A2410" s="10" t="s">
        <v>5669</v>
      </c>
      <c r="B2410" s="10" t="s">
        <v>45</v>
      </c>
      <c r="C2410" s="8" t="s">
        <v>5664</v>
      </c>
      <c r="D2410" s="8" t="s">
        <v>5670</v>
      </c>
      <c r="E2410" s="11" t="n">
        <v>44</v>
      </c>
      <c r="F2410" s="8" t="str">
        <f aca="false">IFERROR(INDEX(Section_Master!$D$2:$D$477,MATCH($E2410,Section_Master!$A$2:$A$477,0))&amp;"","")</f>
        <v>Not applicable - no offence or penalty defined here (definition, exception or general provision)</v>
      </c>
      <c r="G2410" s="10" t="str">
        <f aca="false">IFERROR(INDEX(Section_Master!$E$2:$E$477,MATCH($E2410,Section_Master!$A$2:$A$477,0))&amp;"","")</f>
        <v>N/A</v>
      </c>
      <c r="H2410" s="10" t="str">
        <f aca="false">IFERROR(INDEX(Section_Master!$F$2:$F$477,MATCH($E2410,Section_Master!$A$2:$A$477,0))&amp;"","")</f>
        <v>N/A</v>
      </c>
      <c r="I2410" s="10" t="str">
        <f aca="false">IFERROR(INDEX(Section_Master!$G$2:$G$477,MATCH($E2410,Section_Master!$A$2:$A$477,0))&amp;"","")</f>
        <v>N/A</v>
      </c>
      <c r="J2410" s="10" t="s">
        <v>55</v>
      </c>
      <c r="K2410" s="8" t="s">
        <v>5666</v>
      </c>
    </row>
    <row r="2411" customFormat="false" ht="34.5" hidden="false" customHeight="true" outlineLevel="0" collapsed="false">
      <c r="A2411" s="10" t="s">
        <v>5671</v>
      </c>
      <c r="B2411" s="10" t="s">
        <v>45</v>
      </c>
      <c r="C2411" s="8" t="s">
        <v>5664</v>
      </c>
      <c r="D2411" s="8" t="s">
        <v>5672</v>
      </c>
      <c r="E2411" s="11" t="n">
        <v>44</v>
      </c>
      <c r="F2411" s="8" t="str">
        <f aca="false">IFERROR(INDEX(Section_Master!$D$2:$D$477,MATCH($E2411,Section_Master!$A$2:$A$477,0))&amp;"","")</f>
        <v>Not applicable - no offence or penalty defined here (definition, exception or general provision)</v>
      </c>
      <c r="G2411" s="10" t="str">
        <f aca="false">IFERROR(INDEX(Section_Master!$E$2:$E$477,MATCH($E2411,Section_Master!$A$2:$A$477,0))&amp;"","")</f>
        <v>N/A</v>
      </c>
      <c r="H2411" s="10" t="str">
        <f aca="false">IFERROR(INDEX(Section_Master!$F$2:$F$477,MATCH($E2411,Section_Master!$A$2:$A$477,0))&amp;"","")</f>
        <v>N/A</v>
      </c>
      <c r="I2411" s="10" t="str">
        <f aca="false">IFERROR(INDEX(Section_Master!$G$2:$G$477,MATCH($E2411,Section_Master!$A$2:$A$477,0))&amp;"","")</f>
        <v>N/A</v>
      </c>
      <c r="J2411" s="10" t="s">
        <v>58</v>
      </c>
      <c r="K2411" s="8" t="s">
        <v>5666</v>
      </c>
    </row>
    <row r="2412" customFormat="false" ht="34.5" hidden="false" customHeight="true" outlineLevel="0" collapsed="false">
      <c r="A2412" s="10" t="s">
        <v>5673</v>
      </c>
      <c r="B2412" s="10" t="s">
        <v>45</v>
      </c>
      <c r="C2412" s="8" t="s">
        <v>5664</v>
      </c>
      <c r="D2412" s="8" t="s">
        <v>5674</v>
      </c>
      <c r="E2412" s="11" t="n">
        <v>44</v>
      </c>
      <c r="F2412" s="8" t="str">
        <f aca="false">IFERROR(INDEX(Section_Master!$D$2:$D$477,MATCH($E2412,Section_Master!$A$2:$A$477,0))&amp;"","")</f>
        <v>Not applicable - no offence or penalty defined here (definition, exception or general provision)</v>
      </c>
      <c r="G2412" s="10" t="str">
        <f aca="false">IFERROR(INDEX(Section_Master!$E$2:$E$477,MATCH($E2412,Section_Master!$A$2:$A$477,0))&amp;"","")</f>
        <v>N/A</v>
      </c>
      <c r="H2412" s="10" t="str">
        <f aca="false">IFERROR(INDEX(Section_Master!$F$2:$F$477,MATCH($E2412,Section_Master!$A$2:$A$477,0))&amp;"","")</f>
        <v>N/A</v>
      </c>
      <c r="I2412" s="10" t="str">
        <f aca="false">IFERROR(INDEX(Section_Master!$G$2:$G$477,MATCH($E2412,Section_Master!$A$2:$A$477,0))&amp;"","")</f>
        <v>N/A</v>
      </c>
      <c r="J2412" s="10" t="s">
        <v>61</v>
      </c>
      <c r="K2412" s="8" t="s">
        <v>5666</v>
      </c>
    </row>
    <row r="2413" customFormat="false" ht="34.5" hidden="false" customHeight="true" outlineLevel="0" collapsed="false">
      <c r="A2413" s="10" t="s">
        <v>5675</v>
      </c>
      <c r="B2413" s="10" t="s">
        <v>45</v>
      </c>
      <c r="C2413" s="8" t="s">
        <v>5664</v>
      </c>
      <c r="D2413" s="8" t="s">
        <v>5676</v>
      </c>
      <c r="E2413" s="11" t="n">
        <v>44</v>
      </c>
      <c r="F2413" s="8" t="str">
        <f aca="false">IFERROR(INDEX(Section_Master!$D$2:$D$477,MATCH($E2413,Section_Master!$A$2:$A$477,0))&amp;"","")</f>
        <v>Not applicable - no offence or penalty defined here (definition, exception or general provision)</v>
      </c>
      <c r="G2413" s="10" t="str">
        <f aca="false">IFERROR(INDEX(Section_Master!$E$2:$E$477,MATCH($E2413,Section_Master!$A$2:$A$477,0))&amp;"","")</f>
        <v>N/A</v>
      </c>
      <c r="H2413" s="10" t="str">
        <f aca="false">IFERROR(INDEX(Section_Master!$F$2:$F$477,MATCH($E2413,Section_Master!$A$2:$A$477,0))&amp;"","")</f>
        <v>N/A</v>
      </c>
      <c r="I2413" s="10" t="str">
        <f aca="false">IFERROR(INDEX(Section_Master!$G$2:$G$477,MATCH($E2413,Section_Master!$A$2:$A$477,0))&amp;"","")</f>
        <v>N/A</v>
      </c>
      <c r="J2413" s="10" t="s">
        <v>64</v>
      </c>
      <c r="K2413" s="8" t="s">
        <v>5666</v>
      </c>
    </row>
    <row r="2414" customFormat="false" ht="23.25" hidden="false" customHeight="true" outlineLevel="0" collapsed="false">
      <c r="A2414" s="10" t="s">
        <v>5677</v>
      </c>
      <c r="B2414" s="10" t="s">
        <v>45</v>
      </c>
      <c r="C2414" s="8" t="s">
        <v>5678</v>
      </c>
      <c r="D2414" s="8" t="s">
        <v>5679</v>
      </c>
      <c r="E2414" s="11" t="n">
        <v>45</v>
      </c>
      <c r="F2414" s="8" t="str">
        <f aca="false">IFERROR(INDEX(Section_Master!$D$2:$D$477,MATCH($E2414,Section_Master!$A$2:$A$477,0))&amp;"","")</f>
        <v>Not applicable - no offence or penalty defined here (definition, exception or general provision)</v>
      </c>
      <c r="G2414" s="10" t="str">
        <f aca="false">IFERROR(INDEX(Section_Master!$E$2:$E$477,MATCH($E2414,Section_Master!$A$2:$A$477,0))&amp;"","")</f>
        <v>N/A</v>
      </c>
      <c r="H2414" s="10" t="str">
        <f aca="false">IFERROR(INDEX(Section_Master!$F$2:$F$477,MATCH($E2414,Section_Master!$A$2:$A$477,0))&amp;"","")</f>
        <v>N/A</v>
      </c>
      <c r="I2414" s="10" t="str">
        <f aca="false">IFERROR(INDEX(Section_Master!$G$2:$G$477,MATCH($E2414,Section_Master!$A$2:$A$477,0))&amp;"","")</f>
        <v>N/A</v>
      </c>
      <c r="J2414" s="10" t="s">
        <v>48</v>
      </c>
      <c r="K2414" s="8" t="s">
        <v>5680</v>
      </c>
    </row>
    <row r="2415" customFormat="false" ht="34.5" hidden="false" customHeight="true" outlineLevel="0" collapsed="false">
      <c r="A2415" s="10" t="s">
        <v>5681</v>
      </c>
      <c r="B2415" s="10" t="s">
        <v>45</v>
      </c>
      <c r="C2415" s="8" t="s">
        <v>5678</v>
      </c>
      <c r="D2415" s="8" t="s">
        <v>5682</v>
      </c>
      <c r="E2415" s="11" t="n">
        <v>45</v>
      </c>
      <c r="F2415" s="8" t="str">
        <f aca="false">IFERROR(INDEX(Section_Master!$D$2:$D$477,MATCH($E2415,Section_Master!$A$2:$A$477,0))&amp;"","")</f>
        <v>Not applicable - no offence or penalty defined here (definition, exception or general provision)</v>
      </c>
      <c r="G2415" s="10" t="str">
        <f aca="false">IFERROR(INDEX(Section_Master!$E$2:$E$477,MATCH($E2415,Section_Master!$A$2:$A$477,0))&amp;"","")</f>
        <v>N/A</v>
      </c>
      <c r="H2415" s="10" t="str">
        <f aca="false">IFERROR(INDEX(Section_Master!$F$2:$F$477,MATCH($E2415,Section_Master!$A$2:$A$477,0))&amp;"","")</f>
        <v>N/A</v>
      </c>
      <c r="I2415" s="10" t="str">
        <f aca="false">IFERROR(INDEX(Section_Master!$G$2:$G$477,MATCH($E2415,Section_Master!$A$2:$A$477,0))&amp;"","")</f>
        <v>N/A</v>
      </c>
      <c r="J2415" s="10" t="s">
        <v>52</v>
      </c>
      <c r="K2415" s="8" t="s">
        <v>5680</v>
      </c>
    </row>
    <row r="2416" customFormat="false" ht="23.25" hidden="false" customHeight="true" outlineLevel="0" collapsed="false">
      <c r="A2416" s="10" t="s">
        <v>5683</v>
      </c>
      <c r="B2416" s="10" t="s">
        <v>45</v>
      </c>
      <c r="C2416" s="8" t="s">
        <v>5678</v>
      </c>
      <c r="D2416" s="8" t="s">
        <v>5684</v>
      </c>
      <c r="E2416" s="11" t="n">
        <v>45</v>
      </c>
      <c r="F2416" s="8" t="str">
        <f aca="false">IFERROR(INDEX(Section_Master!$D$2:$D$477,MATCH($E2416,Section_Master!$A$2:$A$477,0))&amp;"","")</f>
        <v>Not applicable - no offence or penalty defined here (definition, exception or general provision)</v>
      </c>
      <c r="G2416" s="10" t="str">
        <f aca="false">IFERROR(INDEX(Section_Master!$E$2:$E$477,MATCH($E2416,Section_Master!$A$2:$A$477,0))&amp;"","")</f>
        <v>N/A</v>
      </c>
      <c r="H2416" s="10" t="str">
        <f aca="false">IFERROR(INDEX(Section_Master!$F$2:$F$477,MATCH($E2416,Section_Master!$A$2:$A$477,0))&amp;"","")</f>
        <v>N/A</v>
      </c>
      <c r="I2416" s="10" t="str">
        <f aca="false">IFERROR(INDEX(Section_Master!$G$2:$G$477,MATCH($E2416,Section_Master!$A$2:$A$477,0))&amp;"","")</f>
        <v>N/A</v>
      </c>
      <c r="J2416" s="10" t="s">
        <v>55</v>
      </c>
      <c r="K2416" s="8" t="s">
        <v>5680</v>
      </c>
    </row>
    <row r="2417" customFormat="false" ht="23.25" hidden="false" customHeight="true" outlineLevel="0" collapsed="false">
      <c r="A2417" s="10" t="s">
        <v>5685</v>
      </c>
      <c r="B2417" s="10" t="s">
        <v>45</v>
      </c>
      <c r="C2417" s="8" t="s">
        <v>5678</v>
      </c>
      <c r="D2417" s="8" t="s">
        <v>5686</v>
      </c>
      <c r="E2417" s="11" t="n">
        <v>45</v>
      </c>
      <c r="F2417" s="8" t="str">
        <f aca="false">IFERROR(INDEX(Section_Master!$D$2:$D$477,MATCH($E2417,Section_Master!$A$2:$A$477,0))&amp;"","")</f>
        <v>Not applicable - no offence or penalty defined here (definition, exception or general provision)</v>
      </c>
      <c r="G2417" s="10" t="str">
        <f aca="false">IFERROR(INDEX(Section_Master!$E$2:$E$477,MATCH($E2417,Section_Master!$A$2:$A$477,0))&amp;"","")</f>
        <v>N/A</v>
      </c>
      <c r="H2417" s="10" t="str">
        <f aca="false">IFERROR(INDEX(Section_Master!$F$2:$F$477,MATCH($E2417,Section_Master!$A$2:$A$477,0))&amp;"","")</f>
        <v>N/A</v>
      </c>
      <c r="I2417" s="10" t="str">
        <f aca="false">IFERROR(INDEX(Section_Master!$G$2:$G$477,MATCH($E2417,Section_Master!$A$2:$A$477,0))&amp;"","")</f>
        <v>N/A</v>
      </c>
      <c r="J2417" s="10" t="s">
        <v>58</v>
      </c>
      <c r="K2417" s="8" t="s">
        <v>5680</v>
      </c>
    </row>
    <row r="2418" customFormat="false" ht="23.25" hidden="false" customHeight="true" outlineLevel="0" collapsed="false">
      <c r="A2418" s="10" t="s">
        <v>5687</v>
      </c>
      <c r="B2418" s="10" t="s">
        <v>45</v>
      </c>
      <c r="C2418" s="8" t="s">
        <v>5678</v>
      </c>
      <c r="D2418" s="8" t="s">
        <v>5688</v>
      </c>
      <c r="E2418" s="11" t="n">
        <v>45</v>
      </c>
      <c r="F2418" s="8" t="str">
        <f aca="false">IFERROR(INDEX(Section_Master!$D$2:$D$477,MATCH($E2418,Section_Master!$A$2:$A$477,0))&amp;"","")</f>
        <v>Not applicable - no offence or penalty defined here (definition, exception or general provision)</v>
      </c>
      <c r="G2418" s="10" t="str">
        <f aca="false">IFERROR(INDEX(Section_Master!$E$2:$E$477,MATCH($E2418,Section_Master!$A$2:$A$477,0))&amp;"","")</f>
        <v>N/A</v>
      </c>
      <c r="H2418" s="10" t="str">
        <f aca="false">IFERROR(INDEX(Section_Master!$F$2:$F$477,MATCH($E2418,Section_Master!$A$2:$A$477,0))&amp;"","")</f>
        <v>N/A</v>
      </c>
      <c r="I2418" s="10" t="str">
        <f aca="false">IFERROR(INDEX(Section_Master!$G$2:$G$477,MATCH($E2418,Section_Master!$A$2:$A$477,0))&amp;"","")</f>
        <v>N/A</v>
      </c>
      <c r="J2418" s="10" t="s">
        <v>61</v>
      </c>
      <c r="K2418" s="8" t="s">
        <v>5680</v>
      </c>
    </row>
    <row r="2419" customFormat="false" ht="23.25" hidden="false" customHeight="true" outlineLevel="0" collapsed="false">
      <c r="A2419" s="10" t="s">
        <v>5689</v>
      </c>
      <c r="B2419" s="10" t="s">
        <v>45</v>
      </c>
      <c r="C2419" s="8" t="s">
        <v>5678</v>
      </c>
      <c r="D2419" s="8" t="s">
        <v>5690</v>
      </c>
      <c r="E2419" s="11" t="n">
        <v>45</v>
      </c>
      <c r="F2419" s="8" t="str">
        <f aca="false">IFERROR(INDEX(Section_Master!$D$2:$D$477,MATCH($E2419,Section_Master!$A$2:$A$477,0))&amp;"","")</f>
        <v>Not applicable - no offence or penalty defined here (definition, exception or general provision)</v>
      </c>
      <c r="G2419" s="10" t="str">
        <f aca="false">IFERROR(INDEX(Section_Master!$E$2:$E$477,MATCH($E2419,Section_Master!$A$2:$A$477,0))&amp;"","")</f>
        <v>N/A</v>
      </c>
      <c r="H2419" s="10" t="str">
        <f aca="false">IFERROR(INDEX(Section_Master!$F$2:$F$477,MATCH($E2419,Section_Master!$A$2:$A$477,0))&amp;"","")</f>
        <v>N/A</v>
      </c>
      <c r="I2419" s="10" t="str">
        <f aca="false">IFERROR(INDEX(Section_Master!$G$2:$G$477,MATCH($E2419,Section_Master!$A$2:$A$477,0))&amp;"","")</f>
        <v>N/A</v>
      </c>
      <c r="J2419" s="10" t="s">
        <v>64</v>
      </c>
      <c r="K2419" s="8" t="s">
        <v>5680</v>
      </c>
    </row>
    <row r="2420" customFormat="false" ht="34.5" hidden="false" customHeight="true" outlineLevel="0" collapsed="false">
      <c r="A2420" s="10" t="s">
        <v>5691</v>
      </c>
      <c r="B2420" s="10" t="s">
        <v>45</v>
      </c>
      <c r="C2420" s="8" t="s">
        <v>5692</v>
      </c>
      <c r="D2420" s="8" t="s">
        <v>5693</v>
      </c>
      <c r="E2420" s="11" t="n">
        <v>46</v>
      </c>
      <c r="F2420" s="8" t="str">
        <f aca="false">IFERROR(INDEX(Section_Master!$D$2:$D$477,MATCH($E2420,Section_Master!$A$2:$A$477,0))&amp;"","")</f>
        <v>Not applicable - no offence or penalty defined here (definition, exception or general provision)</v>
      </c>
      <c r="G2420" s="10" t="str">
        <f aca="false">IFERROR(INDEX(Section_Master!$E$2:$E$477,MATCH($E2420,Section_Master!$A$2:$A$477,0))&amp;"","")</f>
        <v>N/A</v>
      </c>
      <c r="H2420" s="10" t="str">
        <f aca="false">IFERROR(INDEX(Section_Master!$F$2:$F$477,MATCH($E2420,Section_Master!$A$2:$A$477,0))&amp;"","")</f>
        <v>N/A</v>
      </c>
      <c r="I2420" s="10" t="str">
        <f aca="false">IFERROR(INDEX(Section_Master!$G$2:$G$477,MATCH($E2420,Section_Master!$A$2:$A$477,0))&amp;"","")</f>
        <v>N/A</v>
      </c>
      <c r="J2420" s="10" t="s">
        <v>48</v>
      </c>
      <c r="K2420" s="8" t="s">
        <v>5694</v>
      </c>
    </row>
    <row r="2421" customFormat="false" ht="34.5" hidden="false" customHeight="true" outlineLevel="0" collapsed="false">
      <c r="A2421" s="10" t="s">
        <v>5695</v>
      </c>
      <c r="B2421" s="10" t="s">
        <v>45</v>
      </c>
      <c r="C2421" s="8" t="s">
        <v>5692</v>
      </c>
      <c r="D2421" s="8" t="s">
        <v>5696</v>
      </c>
      <c r="E2421" s="11" t="n">
        <v>46</v>
      </c>
      <c r="F2421" s="8" t="str">
        <f aca="false">IFERROR(INDEX(Section_Master!$D$2:$D$477,MATCH($E2421,Section_Master!$A$2:$A$477,0))&amp;"","")</f>
        <v>Not applicable - no offence or penalty defined here (definition, exception or general provision)</v>
      </c>
      <c r="G2421" s="10" t="str">
        <f aca="false">IFERROR(INDEX(Section_Master!$E$2:$E$477,MATCH($E2421,Section_Master!$A$2:$A$477,0))&amp;"","")</f>
        <v>N/A</v>
      </c>
      <c r="H2421" s="10" t="str">
        <f aca="false">IFERROR(INDEX(Section_Master!$F$2:$F$477,MATCH($E2421,Section_Master!$A$2:$A$477,0))&amp;"","")</f>
        <v>N/A</v>
      </c>
      <c r="I2421" s="10" t="str">
        <f aca="false">IFERROR(INDEX(Section_Master!$G$2:$G$477,MATCH($E2421,Section_Master!$A$2:$A$477,0))&amp;"","")</f>
        <v>N/A</v>
      </c>
      <c r="J2421" s="10" t="s">
        <v>52</v>
      </c>
      <c r="K2421" s="8" t="s">
        <v>5694</v>
      </c>
    </row>
    <row r="2422" customFormat="false" ht="34.5" hidden="false" customHeight="true" outlineLevel="0" collapsed="false">
      <c r="A2422" s="10" t="s">
        <v>5697</v>
      </c>
      <c r="B2422" s="10" t="s">
        <v>45</v>
      </c>
      <c r="C2422" s="8" t="s">
        <v>5692</v>
      </c>
      <c r="D2422" s="8" t="s">
        <v>5698</v>
      </c>
      <c r="E2422" s="11" t="n">
        <v>46</v>
      </c>
      <c r="F2422" s="8" t="str">
        <f aca="false">IFERROR(INDEX(Section_Master!$D$2:$D$477,MATCH($E2422,Section_Master!$A$2:$A$477,0))&amp;"","")</f>
        <v>Not applicable - no offence or penalty defined here (definition, exception or general provision)</v>
      </c>
      <c r="G2422" s="10" t="str">
        <f aca="false">IFERROR(INDEX(Section_Master!$E$2:$E$477,MATCH($E2422,Section_Master!$A$2:$A$477,0))&amp;"","")</f>
        <v>N/A</v>
      </c>
      <c r="H2422" s="10" t="str">
        <f aca="false">IFERROR(INDEX(Section_Master!$F$2:$F$477,MATCH($E2422,Section_Master!$A$2:$A$477,0))&amp;"","")</f>
        <v>N/A</v>
      </c>
      <c r="I2422" s="10" t="str">
        <f aca="false">IFERROR(INDEX(Section_Master!$G$2:$G$477,MATCH($E2422,Section_Master!$A$2:$A$477,0))&amp;"","")</f>
        <v>N/A</v>
      </c>
      <c r="J2422" s="10" t="s">
        <v>55</v>
      </c>
      <c r="K2422" s="8" t="s">
        <v>5694</v>
      </c>
    </row>
    <row r="2423" customFormat="false" ht="45.75" hidden="false" customHeight="true" outlineLevel="0" collapsed="false">
      <c r="A2423" s="10" t="s">
        <v>5699</v>
      </c>
      <c r="B2423" s="10" t="s">
        <v>45</v>
      </c>
      <c r="C2423" s="8" t="s">
        <v>5692</v>
      </c>
      <c r="D2423" s="8" t="s">
        <v>5700</v>
      </c>
      <c r="E2423" s="11" t="n">
        <v>46</v>
      </c>
      <c r="F2423" s="8" t="str">
        <f aca="false">IFERROR(INDEX(Section_Master!$D$2:$D$477,MATCH($E2423,Section_Master!$A$2:$A$477,0))&amp;"","")</f>
        <v>Not applicable - no offence or penalty defined here (definition, exception or general provision)</v>
      </c>
      <c r="G2423" s="10" t="str">
        <f aca="false">IFERROR(INDEX(Section_Master!$E$2:$E$477,MATCH($E2423,Section_Master!$A$2:$A$477,0))&amp;"","")</f>
        <v>N/A</v>
      </c>
      <c r="H2423" s="10" t="str">
        <f aca="false">IFERROR(INDEX(Section_Master!$F$2:$F$477,MATCH($E2423,Section_Master!$A$2:$A$477,0))&amp;"","")</f>
        <v>N/A</v>
      </c>
      <c r="I2423" s="10" t="str">
        <f aca="false">IFERROR(INDEX(Section_Master!$G$2:$G$477,MATCH($E2423,Section_Master!$A$2:$A$477,0))&amp;"","")</f>
        <v>N/A</v>
      </c>
      <c r="J2423" s="10" t="s">
        <v>58</v>
      </c>
      <c r="K2423" s="8" t="s">
        <v>5694</v>
      </c>
    </row>
    <row r="2424" customFormat="false" ht="23.25" hidden="false" customHeight="true" outlineLevel="0" collapsed="false">
      <c r="A2424" s="10" t="s">
        <v>5701</v>
      </c>
      <c r="B2424" s="10" t="s">
        <v>45</v>
      </c>
      <c r="C2424" s="8" t="s">
        <v>5692</v>
      </c>
      <c r="D2424" s="8" t="s">
        <v>5702</v>
      </c>
      <c r="E2424" s="11" t="n">
        <v>46</v>
      </c>
      <c r="F2424" s="8" t="str">
        <f aca="false">IFERROR(INDEX(Section_Master!$D$2:$D$477,MATCH($E2424,Section_Master!$A$2:$A$477,0))&amp;"","")</f>
        <v>Not applicable - no offence or penalty defined here (definition, exception or general provision)</v>
      </c>
      <c r="G2424" s="10" t="str">
        <f aca="false">IFERROR(INDEX(Section_Master!$E$2:$E$477,MATCH($E2424,Section_Master!$A$2:$A$477,0))&amp;"","")</f>
        <v>N/A</v>
      </c>
      <c r="H2424" s="10" t="str">
        <f aca="false">IFERROR(INDEX(Section_Master!$F$2:$F$477,MATCH($E2424,Section_Master!$A$2:$A$477,0))&amp;"","")</f>
        <v>N/A</v>
      </c>
      <c r="I2424" s="10" t="str">
        <f aca="false">IFERROR(INDEX(Section_Master!$G$2:$G$477,MATCH($E2424,Section_Master!$A$2:$A$477,0))&amp;"","")</f>
        <v>N/A</v>
      </c>
      <c r="J2424" s="10" t="s">
        <v>61</v>
      </c>
      <c r="K2424" s="8" t="s">
        <v>5694</v>
      </c>
    </row>
    <row r="2425" customFormat="false" ht="34.5" hidden="false" customHeight="true" outlineLevel="0" collapsed="false">
      <c r="A2425" s="10" t="s">
        <v>5703</v>
      </c>
      <c r="B2425" s="10" t="s">
        <v>45</v>
      </c>
      <c r="C2425" s="8" t="s">
        <v>5692</v>
      </c>
      <c r="D2425" s="8" t="s">
        <v>5704</v>
      </c>
      <c r="E2425" s="11" t="n">
        <v>46</v>
      </c>
      <c r="F2425" s="8" t="str">
        <f aca="false">IFERROR(INDEX(Section_Master!$D$2:$D$477,MATCH($E2425,Section_Master!$A$2:$A$477,0))&amp;"","")</f>
        <v>Not applicable - no offence or penalty defined here (definition, exception or general provision)</v>
      </c>
      <c r="G2425" s="10" t="str">
        <f aca="false">IFERROR(INDEX(Section_Master!$E$2:$E$477,MATCH($E2425,Section_Master!$A$2:$A$477,0))&amp;"","")</f>
        <v>N/A</v>
      </c>
      <c r="H2425" s="10" t="str">
        <f aca="false">IFERROR(INDEX(Section_Master!$F$2:$F$477,MATCH($E2425,Section_Master!$A$2:$A$477,0))&amp;"","")</f>
        <v>N/A</v>
      </c>
      <c r="I2425" s="10" t="str">
        <f aca="false">IFERROR(INDEX(Section_Master!$G$2:$G$477,MATCH($E2425,Section_Master!$A$2:$A$477,0))&amp;"","")</f>
        <v>N/A</v>
      </c>
      <c r="J2425" s="10" t="s">
        <v>64</v>
      </c>
      <c r="K2425" s="8" t="s">
        <v>5694</v>
      </c>
    </row>
    <row r="2426" customFormat="false" ht="34.5" hidden="false" customHeight="true" outlineLevel="0" collapsed="false">
      <c r="A2426" s="10" t="s">
        <v>5705</v>
      </c>
      <c r="B2426" s="10" t="s">
        <v>45</v>
      </c>
      <c r="C2426" s="8" t="s">
        <v>5706</v>
      </c>
      <c r="D2426" s="8" t="s">
        <v>5707</v>
      </c>
      <c r="E2426" s="11" t="n">
        <v>47</v>
      </c>
      <c r="F2426" s="8" t="str">
        <f aca="false">IFERROR(INDEX(Section_Master!$D$2:$D$477,MATCH($E2426,Section_Master!$A$2:$A$477,0))&amp;"","")</f>
        <v>Punished as for abetting that offence if it were committed in India</v>
      </c>
      <c r="G2426" s="10" t="str">
        <f aca="false">IFERROR(INDEX(Section_Master!$E$2:$E$477,MATCH($E2426,Section_Master!$A$2:$A$477,0))&amp;"","")</f>
        <v>Same as underlying offence</v>
      </c>
      <c r="H2426" s="10" t="str">
        <f aca="false">IFERROR(INDEX(Section_Master!$F$2:$F$477,MATCH($E2426,Section_Master!$A$2:$A$477,0))&amp;"","")</f>
        <v>Same as underlying offence</v>
      </c>
      <c r="I2426" s="10" t="str">
        <f aca="false">IFERROR(INDEX(Section_Master!$G$2:$G$477,MATCH($E2426,Section_Master!$A$2:$A$477,0))&amp;"","")</f>
        <v>Same as underlying offence</v>
      </c>
      <c r="J2426" s="10" t="s">
        <v>48</v>
      </c>
      <c r="K2426" s="8" t="s">
        <v>5708</v>
      </c>
    </row>
    <row r="2427" customFormat="false" ht="34.5" hidden="false" customHeight="true" outlineLevel="0" collapsed="false">
      <c r="A2427" s="10" t="s">
        <v>5709</v>
      </c>
      <c r="B2427" s="10" t="s">
        <v>45</v>
      </c>
      <c r="C2427" s="8" t="s">
        <v>5706</v>
      </c>
      <c r="D2427" s="8" t="s">
        <v>5710</v>
      </c>
      <c r="E2427" s="11" t="n">
        <v>47</v>
      </c>
      <c r="F2427" s="8" t="str">
        <f aca="false">IFERROR(INDEX(Section_Master!$D$2:$D$477,MATCH($E2427,Section_Master!$A$2:$A$477,0))&amp;"","")</f>
        <v>Punished as for abetting that offence if it were committed in India</v>
      </c>
      <c r="G2427" s="10" t="str">
        <f aca="false">IFERROR(INDEX(Section_Master!$E$2:$E$477,MATCH($E2427,Section_Master!$A$2:$A$477,0))&amp;"","")</f>
        <v>Same as underlying offence</v>
      </c>
      <c r="H2427" s="10" t="str">
        <f aca="false">IFERROR(INDEX(Section_Master!$F$2:$F$477,MATCH($E2427,Section_Master!$A$2:$A$477,0))&amp;"","")</f>
        <v>Same as underlying offence</v>
      </c>
      <c r="I2427" s="10" t="str">
        <f aca="false">IFERROR(INDEX(Section_Master!$G$2:$G$477,MATCH($E2427,Section_Master!$A$2:$A$477,0))&amp;"","")</f>
        <v>Same as underlying offence</v>
      </c>
      <c r="J2427" s="10" t="s">
        <v>52</v>
      </c>
      <c r="K2427" s="8" t="s">
        <v>5708</v>
      </c>
    </row>
    <row r="2428" customFormat="false" ht="34.5" hidden="false" customHeight="true" outlineLevel="0" collapsed="false">
      <c r="A2428" s="10" t="s">
        <v>5711</v>
      </c>
      <c r="B2428" s="10" t="s">
        <v>45</v>
      </c>
      <c r="C2428" s="8" t="s">
        <v>5706</v>
      </c>
      <c r="D2428" s="8" t="s">
        <v>5712</v>
      </c>
      <c r="E2428" s="11" t="n">
        <v>47</v>
      </c>
      <c r="F2428" s="8" t="str">
        <f aca="false">IFERROR(INDEX(Section_Master!$D$2:$D$477,MATCH($E2428,Section_Master!$A$2:$A$477,0))&amp;"","")</f>
        <v>Punished as for abetting that offence if it were committed in India</v>
      </c>
      <c r="G2428" s="10" t="str">
        <f aca="false">IFERROR(INDEX(Section_Master!$E$2:$E$477,MATCH($E2428,Section_Master!$A$2:$A$477,0))&amp;"","")</f>
        <v>Same as underlying offence</v>
      </c>
      <c r="H2428" s="10" t="str">
        <f aca="false">IFERROR(INDEX(Section_Master!$F$2:$F$477,MATCH($E2428,Section_Master!$A$2:$A$477,0))&amp;"","")</f>
        <v>Same as underlying offence</v>
      </c>
      <c r="I2428" s="10" t="str">
        <f aca="false">IFERROR(INDEX(Section_Master!$G$2:$G$477,MATCH($E2428,Section_Master!$A$2:$A$477,0))&amp;"","")</f>
        <v>Same as underlying offence</v>
      </c>
      <c r="J2428" s="10" t="s">
        <v>55</v>
      </c>
      <c r="K2428" s="8" t="s">
        <v>5708</v>
      </c>
    </row>
    <row r="2429" customFormat="false" ht="23.25" hidden="false" customHeight="true" outlineLevel="0" collapsed="false">
      <c r="A2429" s="10" t="s">
        <v>5713</v>
      </c>
      <c r="B2429" s="10" t="s">
        <v>45</v>
      </c>
      <c r="C2429" s="8" t="s">
        <v>5706</v>
      </c>
      <c r="D2429" s="8" t="s">
        <v>5714</v>
      </c>
      <c r="E2429" s="11" t="n">
        <v>47</v>
      </c>
      <c r="F2429" s="8" t="str">
        <f aca="false">IFERROR(INDEX(Section_Master!$D$2:$D$477,MATCH($E2429,Section_Master!$A$2:$A$477,0))&amp;"","")</f>
        <v>Punished as for abetting that offence if it were committed in India</v>
      </c>
      <c r="G2429" s="10" t="str">
        <f aca="false">IFERROR(INDEX(Section_Master!$E$2:$E$477,MATCH($E2429,Section_Master!$A$2:$A$477,0))&amp;"","")</f>
        <v>Same as underlying offence</v>
      </c>
      <c r="H2429" s="10" t="str">
        <f aca="false">IFERROR(INDEX(Section_Master!$F$2:$F$477,MATCH($E2429,Section_Master!$A$2:$A$477,0))&amp;"","")</f>
        <v>Same as underlying offence</v>
      </c>
      <c r="I2429" s="10" t="str">
        <f aca="false">IFERROR(INDEX(Section_Master!$G$2:$G$477,MATCH($E2429,Section_Master!$A$2:$A$477,0))&amp;"","")</f>
        <v>Same as underlying offence</v>
      </c>
      <c r="J2429" s="10" t="s">
        <v>58</v>
      </c>
      <c r="K2429" s="8" t="s">
        <v>5708</v>
      </c>
    </row>
    <row r="2430" customFormat="false" ht="23.25" hidden="false" customHeight="true" outlineLevel="0" collapsed="false">
      <c r="A2430" s="10" t="s">
        <v>5715</v>
      </c>
      <c r="B2430" s="10" t="s">
        <v>45</v>
      </c>
      <c r="C2430" s="8" t="s">
        <v>5706</v>
      </c>
      <c r="D2430" s="8" t="s">
        <v>5716</v>
      </c>
      <c r="E2430" s="11" t="n">
        <v>47</v>
      </c>
      <c r="F2430" s="8" t="str">
        <f aca="false">IFERROR(INDEX(Section_Master!$D$2:$D$477,MATCH($E2430,Section_Master!$A$2:$A$477,0))&amp;"","")</f>
        <v>Punished as for abetting that offence if it were committed in India</v>
      </c>
      <c r="G2430" s="10" t="str">
        <f aca="false">IFERROR(INDEX(Section_Master!$E$2:$E$477,MATCH($E2430,Section_Master!$A$2:$A$477,0))&amp;"","")</f>
        <v>Same as underlying offence</v>
      </c>
      <c r="H2430" s="10" t="str">
        <f aca="false">IFERROR(INDEX(Section_Master!$F$2:$F$477,MATCH($E2430,Section_Master!$A$2:$A$477,0))&amp;"","")</f>
        <v>Same as underlying offence</v>
      </c>
      <c r="I2430" s="10" t="str">
        <f aca="false">IFERROR(INDEX(Section_Master!$G$2:$G$477,MATCH($E2430,Section_Master!$A$2:$A$477,0))&amp;"","")</f>
        <v>Same as underlying offence</v>
      </c>
      <c r="J2430" s="10" t="s">
        <v>61</v>
      </c>
      <c r="K2430" s="8" t="s">
        <v>5708</v>
      </c>
    </row>
    <row r="2431" customFormat="false" ht="23.25" hidden="false" customHeight="true" outlineLevel="0" collapsed="false">
      <c r="A2431" s="10" t="s">
        <v>5717</v>
      </c>
      <c r="B2431" s="10" t="s">
        <v>45</v>
      </c>
      <c r="C2431" s="8" t="s">
        <v>5706</v>
      </c>
      <c r="D2431" s="8" t="s">
        <v>5718</v>
      </c>
      <c r="E2431" s="11" t="n">
        <v>47</v>
      </c>
      <c r="F2431" s="8" t="str">
        <f aca="false">IFERROR(INDEX(Section_Master!$D$2:$D$477,MATCH($E2431,Section_Master!$A$2:$A$477,0))&amp;"","")</f>
        <v>Punished as for abetting that offence if it were committed in India</v>
      </c>
      <c r="G2431" s="10" t="str">
        <f aca="false">IFERROR(INDEX(Section_Master!$E$2:$E$477,MATCH($E2431,Section_Master!$A$2:$A$477,0))&amp;"","")</f>
        <v>Same as underlying offence</v>
      </c>
      <c r="H2431" s="10" t="str">
        <f aca="false">IFERROR(INDEX(Section_Master!$F$2:$F$477,MATCH($E2431,Section_Master!$A$2:$A$477,0))&amp;"","")</f>
        <v>Same as underlying offence</v>
      </c>
      <c r="I2431" s="10" t="str">
        <f aca="false">IFERROR(INDEX(Section_Master!$G$2:$G$477,MATCH($E2431,Section_Master!$A$2:$A$477,0))&amp;"","")</f>
        <v>Same as underlying offence</v>
      </c>
      <c r="J2431" s="10" t="s">
        <v>64</v>
      </c>
      <c r="K2431" s="8" t="s">
        <v>5708</v>
      </c>
    </row>
    <row r="2432" customFormat="false" ht="34.5" hidden="false" customHeight="true" outlineLevel="0" collapsed="false">
      <c r="A2432" s="10" t="s">
        <v>5719</v>
      </c>
      <c r="B2432" s="10" t="s">
        <v>45</v>
      </c>
      <c r="C2432" s="8" t="s">
        <v>5720</v>
      </c>
      <c r="D2432" s="8" t="s">
        <v>5721</v>
      </c>
      <c r="E2432" s="11" t="n">
        <v>48</v>
      </c>
      <c r="F2432" s="8" t="str">
        <f aca="false">IFERROR(INDEX(Section_Master!$D$2:$D$477,MATCH($E2432,Section_Master!$A$2:$A$477,0))&amp;"","")</f>
        <v>Punished as for abetting the offence committed in India</v>
      </c>
      <c r="G2432" s="10" t="str">
        <f aca="false">IFERROR(INDEX(Section_Master!$E$2:$E$477,MATCH($E2432,Section_Master!$A$2:$A$477,0))&amp;"","")</f>
        <v>Same as underlying offence</v>
      </c>
      <c r="H2432" s="10" t="str">
        <f aca="false">IFERROR(INDEX(Section_Master!$F$2:$F$477,MATCH($E2432,Section_Master!$A$2:$A$477,0))&amp;"","")</f>
        <v>Same as underlying offence</v>
      </c>
      <c r="I2432" s="10" t="str">
        <f aca="false">IFERROR(INDEX(Section_Master!$G$2:$G$477,MATCH($E2432,Section_Master!$A$2:$A$477,0))&amp;"","")</f>
        <v>Same as underlying offence</v>
      </c>
      <c r="J2432" s="10" t="s">
        <v>48</v>
      </c>
      <c r="K2432" s="8" t="s">
        <v>5722</v>
      </c>
    </row>
    <row r="2433" customFormat="false" ht="34.5" hidden="false" customHeight="true" outlineLevel="0" collapsed="false">
      <c r="A2433" s="10" t="s">
        <v>5723</v>
      </c>
      <c r="B2433" s="10" t="s">
        <v>45</v>
      </c>
      <c r="C2433" s="8" t="s">
        <v>5720</v>
      </c>
      <c r="D2433" s="8" t="s">
        <v>5724</v>
      </c>
      <c r="E2433" s="11" t="n">
        <v>48</v>
      </c>
      <c r="F2433" s="8" t="str">
        <f aca="false">IFERROR(INDEX(Section_Master!$D$2:$D$477,MATCH($E2433,Section_Master!$A$2:$A$477,0))&amp;"","")</f>
        <v>Punished as for abetting the offence committed in India</v>
      </c>
      <c r="G2433" s="10" t="str">
        <f aca="false">IFERROR(INDEX(Section_Master!$E$2:$E$477,MATCH($E2433,Section_Master!$A$2:$A$477,0))&amp;"","")</f>
        <v>Same as underlying offence</v>
      </c>
      <c r="H2433" s="10" t="str">
        <f aca="false">IFERROR(INDEX(Section_Master!$F$2:$F$477,MATCH($E2433,Section_Master!$A$2:$A$477,0))&amp;"","")</f>
        <v>Same as underlying offence</v>
      </c>
      <c r="I2433" s="10" t="str">
        <f aca="false">IFERROR(INDEX(Section_Master!$G$2:$G$477,MATCH($E2433,Section_Master!$A$2:$A$477,0))&amp;"","")</f>
        <v>Same as underlying offence</v>
      </c>
      <c r="J2433" s="10" t="s">
        <v>52</v>
      </c>
      <c r="K2433" s="8" t="s">
        <v>5722</v>
      </c>
    </row>
    <row r="2434" customFormat="false" ht="34.5" hidden="false" customHeight="true" outlineLevel="0" collapsed="false">
      <c r="A2434" s="10" t="s">
        <v>5725</v>
      </c>
      <c r="B2434" s="10" t="s">
        <v>45</v>
      </c>
      <c r="C2434" s="8" t="s">
        <v>5720</v>
      </c>
      <c r="D2434" s="8" t="s">
        <v>5726</v>
      </c>
      <c r="E2434" s="11" t="n">
        <v>48</v>
      </c>
      <c r="F2434" s="8" t="str">
        <f aca="false">IFERROR(INDEX(Section_Master!$D$2:$D$477,MATCH($E2434,Section_Master!$A$2:$A$477,0))&amp;"","")</f>
        <v>Punished as for abetting the offence committed in India</v>
      </c>
      <c r="G2434" s="10" t="str">
        <f aca="false">IFERROR(INDEX(Section_Master!$E$2:$E$477,MATCH($E2434,Section_Master!$A$2:$A$477,0))&amp;"","")</f>
        <v>Same as underlying offence</v>
      </c>
      <c r="H2434" s="10" t="str">
        <f aca="false">IFERROR(INDEX(Section_Master!$F$2:$F$477,MATCH($E2434,Section_Master!$A$2:$A$477,0))&amp;"","")</f>
        <v>Same as underlying offence</v>
      </c>
      <c r="I2434" s="10" t="str">
        <f aca="false">IFERROR(INDEX(Section_Master!$G$2:$G$477,MATCH($E2434,Section_Master!$A$2:$A$477,0))&amp;"","")</f>
        <v>Same as underlying offence</v>
      </c>
      <c r="J2434" s="10" t="s">
        <v>55</v>
      </c>
      <c r="K2434" s="8" t="s">
        <v>5722</v>
      </c>
    </row>
    <row r="2435" customFormat="false" ht="34.5" hidden="false" customHeight="true" outlineLevel="0" collapsed="false">
      <c r="A2435" s="10" t="s">
        <v>5727</v>
      </c>
      <c r="B2435" s="10" t="s">
        <v>45</v>
      </c>
      <c r="C2435" s="8" t="s">
        <v>5720</v>
      </c>
      <c r="D2435" s="8" t="s">
        <v>5728</v>
      </c>
      <c r="E2435" s="11" t="n">
        <v>48</v>
      </c>
      <c r="F2435" s="8" t="str">
        <f aca="false">IFERROR(INDEX(Section_Master!$D$2:$D$477,MATCH($E2435,Section_Master!$A$2:$A$477,0))&amp;"","")</f>
        <v>Punished as for abetting the offence committed in India</v>
      </c>
      <c r="G2435" s="10" t="str">
        <f aca="false">IFERROR(INDEX(Section_Master!$E$2:$E$477,MATCH($E2435,Section_Master!$A$2:$A$477,0))&amp;"","")</f>
        <v>Same as underlying offence</v>
      </c>
      <c r="H2435" s="10" t="str">
        <f aca="false">IFERROR(INDEX(Section_Master!$F$2:$F$477,MATCH($E2435,Section_Master!$A$2:$A$477,0))&amp;"","")</f>
        <v>Same as underlying offence</v>
      </c>
      <c r="I2435" s="10" t="str">
        <f aca="false">IFERROR(INDEX(Section_Master!$G$2:$G$477,MATCH($E2435,Section_Master!$A$2:$A$477,0))&amp;"","")</f>
        <v>Same as underlying offence</v>
      </c>
      <c r="J2435" s="10" t="s">
        <v>58</v>
      </c>
      <c r="K2435" s="8" t="s">
        <v>5722</v>
      </c>
    </row>
    <row r="2436" customFormat="false" ht="34.5" hidden="false" customHeight="true" outlineLevel="0" collapsed="false">
      <c r="A2436" s="10" t="s">
        <v>5729</v>
      </c>
      <c r="B2436" s="10" t="s">
        <v>45</v>
      </c>
      <c r="C2436" s="8" t="s">
        <v>5720</v>
      </c>
      <c r="D2436" s="8" t="s">
        <v>5730</v>
      </c>
      <c r="E2436" s="11" t="n">
        <v>48</v>
      </c>
      <c r="F2436" s="8" t="str">
        <f aca="false">IFERROR(INDEX(Section_Master!$D$2:$D$477,MATCH($E2436,Section_Master!$A$2:$A$477,0))&amp;"","")</f>
        <v>Punished as for abetting the offence committed in India</v>
      </c>
      <c r="G2436" s="10" t="str">
        <f aca="false">IFERROR(INDEX(Section_Master!$E$2:$E$477,MATCH($E2436,Section_Master!$A$2:$A$477,0))&amp;"","")</f>
        <v>Same as underlying offence</v>
      </c>
      <c r="H2436" s="10" t="str">
        <f aca="false">IFERROR(INDEX(Section_Master!$F$2:$F$477,MATCH($E2436,Section_Master!$A$2:$A$477,0))&amp;"","")</f>
        <v>Same as underlying offence</v>
      </c>
      <c r="I2436" s="10" t="str">
        <f aca="false">IFERROR(INDEX(Section_Master!$G$2:$G$477,MATCH($E2436,Section_Master!$A$2:$A$477,0))&amp;"","")</f>
        <v>Same as underlying offence</v>
      </c>
      <c r="J2436" s="10" t="s">
        <v>61</v>
      </c>
      <c r="K2436" s="8" t="s">
        <v>5722</v>
      </c>
    </row>
    <row r="2437" customFormat="false" ht="34.5" hidden="false" customHeight="true" outlineLevel="0" collapsed="false">
      <c r="A2437" s="10" t="s">
        <v>5731</v>
      </c>
      <c r="B2437" s="10" t="s">
        <v>45</v>
      </c>
      <c r="C2437" s="8" t="s">
        <v>5720</v>
      </c>
      <c r="D2437" s="8" t="s">
        <v>5732</v>
      </c>
      <c r="E2437" s="11" t="n">
        <v>48</v>
      </c>
      <c r="F2437" s="8" t="str">
        <f aca="false">IFERROR(INDEX(Section_Master!$D$2:$D$477,MATCH($E2437,Section_Master!$A$2:$A$477,0))&amp;"","")</f>
        <v>Punished as for abetting the offence committed in India</v>
      </c>
      <c r="G2437" s="10" t="str">
        <f aca="false">IFERROR(INDEX(Section_Master!$E$2:$E$477,MATCH($E2437,Section_Master!$A$2:$A$477,0))&amp;"","")</f>
        <v>Same as underlying offence</v>
      </c>
      <c r="H2437" s="10" t="str">
        <f aca="false">IFERROR(INDEX(Section_Master!$F$2:$F$477,MATCH($E2437,Section_Master!$A$2:$A$477,0))&amp;"","")</f>
        <v>Same as underlying offence</v>
      </c>
      <c r="I2437" s="10" t="str">
        <f aca="false">IFERROR(INDEX(Section_Master!$G$2:$G$477,MATCH($E2437,Section_Master!$A$2:$A$477,0))&amp;"","")</f>
        <v>Same as underlying offence</v>
      </c>
      <c r="J2437" s="10" t="s">
        <v>64</v>
      </c>
      <c r="K2437" s="8" t="s">
        <v>5722</v>
      </c>
    </row>
    <row r="2438" customFormat="false" ht="34.5" hidden="false" customHeight="true" outlineLevel="0" collapsed="false">
      <c r="A2438" s="10" t="s">
        <v>5733</v>
      </c>
      <c r="B2438" s="10" t="s">
        <v>45</v>
      </c>
      <c r="C2438" s="8" t="s">
        <v>5734</v>
      </c>
      <c r="D2438" s="8" t="s">
        <v>5735</v>
      </c>
      <c r="E2438" s="11" t="n">
        <v>49</v>
      </c>
      <c r="F2438" s="8" t="str">
        <f aca="false">IFERROR(INDEX(Section_Master!$D$2:$D$477,MATCH($E2438,Section_Master!$A$2:$A$477,0))&amp;"","")</f>
        <v>Punishment provided for the offence abetted [s.49]</v>
      </c>
      <c r="G2438" s="10" t="str">
        <f aca="false">IFERROR(INDEX(Section_Master!$E$2:$E$477,MATCH($E2438,Section_Master!$A$2:$A$477,0))&amp;"","")</f>
        <v>Same as underlying offence</v>
      </c>
      <c r="H2438" s="10" t="str">
        <f aca="false">IFERROR(INDEX(Section_Master!$F$2:$F$477,MATCH($E2438,Section_Master!$A$2:$A$477,0))&amp;"","")</f>
        <v>Same as underlying offence</v>
      </c>
      <c r="I2438" s="10" t="str">
        <f aca="false">IFERROR(INDEX(Section_Master!$G$2:$G$477,MATCH($E2438,Section_Master!$A$2:$A$477,0))&amp;"","")</f>
        <v>Same as underlying offence</v>
      </c>
      <c r="J2438" s="10" t="s">
        <v>48</v>
      </c>
      <c r="K2438" s="8" t="s">
        <v>5736</v>
      </c>
    </row>
    <row r="2439" customFormat="false" ht="34.5" hidden="false" customHeight="true" outlineLevel="0" collapsed="false">
      <c r="A2439" s="10" t="s">
        <v>5737</v>
      </c>
      <c r="B2439" s="10" t="s">
        <v>45</v>
      </c>
      <c r="C2439" s="8" t="s">
        <v>5734</v>
      </c>
      <c r="D2439" s="8" t="s">
        <v>5738</v>
      </c>
      <c r="E2439" s="11" t="n">
        <v>49</v>
      </c>
      <c r="F2439" s="8" t="str">
        <f aca="false">IFERROR(INDEX(Section_Master!$D$2:$D$477,MATCH($E2439,Section_Master!$A$2:$A$477,0))&amp;"","")</f>
        <v>Punishment provided for the offence abetted [s.49]</v>
      </c>
      <c r="G2439" s="10" t="str">
        <f aca="false">IFERROR(INDEX(Section_Master!$E$2:$E$477,MATCH($E2439,Section_Master!$A$2:$A$477,0))&amp;"","")</f>
        <v>Same as underlying offence</v>
      </c>
      <c r="H2439" s="10" t="str">
        <f aca="false">IFERROR(INDEX(Section_Master!$F$2:$F$477,MATCH($E2439,Section_Master!$A$2:$A$477,0))&amp;"","")</f>
        <v>Same as underlying offence</v>
      </c>
      <c r="I2439" s="10" t="str">
        <f aca="false">IFERROR(INDEX(Section_Master!$G$2:$G$477,MATCH($E2439,Section_Master!$A$2:$A$477,0))&amp;"","")</f>
        <v>Same as underlying offence</v>
      </c>
      <c r="J2439" s="10" t="s">
        <v>52</v>
      </c>
      <c r="K2439" s="8" t="s">
        <v>5736</v>
      </c>
    </row>
    <row r="2440" customFormat="false" ht="23.25" hidden="false" customHeight="true" outlineLevel="0" collapsed="false">
      <c r="A2440" s="10" t="s">
        <v>5739</v>
      </c>
      <c r="B2440" s="10" t="s">
        <v>45</v>
      </c>
      <c r="C2440" s="8" t="s">
        <v>5734</v>
      </c>
      <c r="D2440" s="8" t="s">
        <v>5740</v>
      </c>
      <c r="E2440" s="11" t="n">
        <v>49</v>
      </c>
      <c r="F2440" s="8" t="str">
        <f aca="false">IFERROR(INDEX(Section_Master!$D$2:$D$477,MATCH($E2440,Section_Master!$A$2:$A$477,0))&amp;"","")</f>
        <v>Punishment provided for the offence abetted [s.49]</v>
      </c>
      <c r="G2440" s="10" t="str">
        <f aca="false">IFERROR(INDEX(Section_Master!$E$2:$E$477,MATCH($E2440,Section_Master!$A$2:$A$477,0))&amp;"","")</f>
        <v>Same as underlying offence</v>
      </c>
      <c r="H2440" s="10" t="str">
        <f aca="false">IFERROR(INDEX(Section_Master!$F$2:$F$477,MATCH($E2440,Section_Master!$A$2:$A$477,0))&amp;"","")</f>
        <v>Same as underlying offence</v>
      </c>
      <c r="I2440" s="10" t="str">
        <f aca="false">IFERROR(INDEX(Section_Master!$G$2:$G$477,MATCH($E2440,Section_Master!$A$2:$A$477,0))&amp;"","")</f>
        <v>Same as underlying offence</v>
      </c>
      <c r="J2440" s="10" t="s">
        <v>55</v>
      </c>
      <c r="K2440" s="8" t="s">
        <v>5736</v>
      </c>
    </row>
    <row r="2441" customFormat="false" ht="34.5" hidden="false" customHeight="true" outlineLevel="0" collapsed="false">
      <c r="A2441" s="10" t="s">
        <v>5741</v>
      </c>
      <c r="B2441" s="10" t="s">
        <v>45</v>
      </c>
      <c r="C2441" s="8" t="s">
        <v>5734</v>
      </c>
      <c r="D2441" s="8" t="s">
        <v>5742</v>
      </c>
      <c r="E2441" s="11" t="n">
        <v>49</v>
      </c>
      <c r="F2441" s="8" t="str">
        <f aca="false">IFERROR(INDEX(Section_Master!$D$2:$D$477,MATCH($E2441,Section_Master!$A$2:$A$477,0))&amp;"","")</f>
        <v>Punishment provided for the offence abetted [s.49]</v>
      </c>
      <c r="G2441" s="10" t="str">
        <f aca="false">IFERROR(INDEX(Section_Master!$E$2:$E$477,MATCH($E2441,Section_Master!$A$2:$A$477,0))&amp;"","")</f>
        <v>Same as underlying offence</v>
      </c>
      <c r="H2441" s="10" t="str">
        <f aca="false">IFERROR(INDEX(Section_Master!$F$2:$F$477,MATCH($E2441,Section_Master!$A$2:$A$477,0))&amp;"","")</f>
        <v>Same as underlying offence</v>
      </c>
      <c r="I2441" s="10" t="str">
        <f aca="false">IFERROR(INDEX(Section_Master!$G$2:$G$477,MATCH($E2441,Section_Master!$A$2:$A$477,0))&amp;"","")</f>
        <v>Same as underlying offence</v>
      </c>
      <c r="J2441" s="10" t="s">
        <v>58</v>
      </c>
      <c r="K2441" s="8" t="s">
        <v>5736</v>
      </c>
    </row>
    <row r="2442" customFormat="false" ht="23.25" hidden="false" customHeight="true" outlineLevel="0" collapsed="false">
      <c r="A2442" s="10" t="s">
        <v>5743</v>
      </c>
      <c r="B2442" s="10" t="s">
        <v>45</v>
      </c>
      <c r="C2442" s="8" t="s">
        <v>5734</v>
      </c>
      <c r="D2442" s="8" t="s">
        <v>5744</v>
      </c>
      <c r="E2442" s="11" t="n">
        <v>49</v>
      </c>
      <c r="F2442" s="8" t="str">
        <f aca="false">IFERROR(INDEX(Section_Master!$D$2:$D$477,MATCH($E2442,Section_Master!$A$2:$A$477,0))&amp;"","")</f>
        <v>Punishment provided for the offence abetted [s.49]</v>
      </c>
      <c r="G2442" s="10" t="str">
        <f aca="false">IFERROR(INDEX(Section_Master!$E$2:$E$477,MATCH($E2442,Section_Master!$A$2:$A$477,0))&amp;"","")</f>
        <v>Same as underlying offence</v>
      </c>
      <c r="H2442" s="10" t="str">
        <f aca="false">IFERROR(INDEX(Section_Master!$F$2:$F$477,MATCH($E2442,Section_Master!$A$2:$A$477,0))&amp;"","")</f>
        <v>Same as underlying offence</v>
      </c>
      <c r="I2442" s="10" t="str">
        <f aca="false">IFERROR(INDEX(Section_Master!$G$2:$G$477,MATCH($E2442,Section_Master!$A$2:$A$477,0))&amp;"","")</f>
        <v>Same as underlying offence</v>
      </c>
      <c r="J2442" s="10" t="s">
        <v>61</v>
      </c>
      <c r="K2442" s="8" t="s">
        <v>5736</v>
      </c>
    </row>
    <row r="2443" customFormat="false" ht="23.25" hidden="false" customHeight="true" outlineLevel="0" collapsed="false">
      <c r="A2443" s="10" t="s">
        <v>5745</v>
      </c>
      <c r="B2443" s="10" t="s">
        <v>45</v>
      </c>
      <c r="C2443" s="8" t="s">
        <v>5734</v>
      </c>
      <c r="D2443" s="8" t="s">
        <v>5746</v>
      </c>
      <c r="E2443" s="11" t="n">
        <v>49</v>
      </c>
      <c r="F2443" s="8" t="str">
        <f aca="false">IFERROR(INDEX(Section_Master!$D$2:$D$477,MATCH($E2443,Section_Master!$A$2:$A$477,0))&amp;"","")</f>
        <v>Punishment provided for the offence abetted [s.49]</v>
      </c>
      <c r="G2443" s="10" t="str">
        <f aca="false">IFERROR(INDEX(Section_Master!$E$2:$E$477,MATCH($E2443,Section_Master!$A$2:$A$477,0))&amp;"","")</f>
        <v>Same as underlying offence</v>
      </c>
      <c r="H2443" s="10" t="str">
        <f aca="false">IFERROR(INDEX(Section_Master!$F$2:$F$477,MATCH($E2443,Section_Master!$A$2:$A$477,0))&amp;"","")</f>
        <v>Same as underlying offence</v>
      </c>
      <c r="I2443" s="10" t="str">
        <f aca="false">IFERROR(INDEX(Section_Master!$G$2:$G$477,MATCH($E2443,Section_Master!$A$2:$A$477,0))&amp;"","")</f>
        <v>Same as underlying offence</v>
      </c>
      <c r="J2443" s="10" t="s">
        <v>64</v>
      </c>
      <c r="K2443" s="8" t="s">
        <v>5736</v>
      </c>
    </row>
    <row r="2444" customFormat="false" ht="23.25" hidden="false" customHeight="true" outlineLevel="0" collapsed="false">
      <c r="A2444" s="10" t="s">
        <v>5747</v>
      </c>
      <c r="B2444" s="10" t="s">
        <v>45</v>
      </c>
      <c r="C2444" s="8" t="s">
        <v>5748</v>
      </c>
      <c r="D2444" s="8" t="s">
        <v>5749</v>
      </c>
      <c r="E2444" s="11" t="n">
        <v>50</v>
      </c>
      <c r="F2444" s="8" t="str">
        <f aca="false">IFERROR(INDEX(Section_Master!$D$2:$D$477,MATCH($E2444,Section_Master!$A$2:$A$477,0))&amp;"","")</f>
        <v>Punishment provided for the offence abetted, where the abetted person acts with a different intention [s.50]</v>
      </c>
      <c r="G2444" s="10" t="str">
        <f aca="false">IFERROR(INDEX(Section_Master!$E$2:$E$477,MATCH($E2444,Section_Master!$A$2:$A$477,0))&amp;"","")</f>
        <v>Same as underlying offence</v>
      </c>
      <c r="H2444" s="10" t="str">
        <f aca="false">IFERROR(INDEX(Section_Master!$F$2:$F$477,MATCH($E2444,Section_Master!$A$2:$A$477,0))&amp;"","")</f>
        <v>Same as underlying offence</v>
      </c>
      <c r="I2444" s="10" t="str">
        <f aca="false">IFERROR(INDEX(Section_Master!$G$2:$G$477,MATCH($E2444,Section_Master!$A$2:$A$477,0))&amp;"","")</f>
        <v>Same as underlying offence</v>
      </c>
      <c r="J2444" s="10" t="s">
        <v>48</v>
      </c>
      <c r="K2444" s="8" t="s">
        <v>5750</v>
      </c>
    </row>
    <row r="2445" customFormat="false" ht="34.5" hidden="false" customHeight="true" outlineLevel="0" collapsed="false">
      <c r="A2445" s="10" t="s">
        <v>5751</v>
      </c>
      <c r="B2445" s="10" t="s">
        <v>45</v>
      </c>
      <c r="C2445" s="8" t="s">
        <v>5748</v>
      </c>
      <c r="D2445" s="8" t="s">
        <v>5752</v>
      </c>
      <c r="E2445" s="11" t="n">
        <v>50</v>
      </c>
      <c r="F2445" s="8" t="str">
        <f aca="false">IFERROR(INDEX(Section_Master!$D$2:$D$477,MATCH($E2445,Section_Master!$A$2:$A$477,0))&amp;"","")</f>
        <v>Punishment provided for the offence abetted, where the abetted person acts with a different intention [s.50]</v>
      </c>
      <c r="G2445" s="10" t="str">
        <f aca="false">IFERROR(INDEX(Section_Master!$E$2:$E$477,MATCH($E2445,Section_Master!$A$2:$A$477,0))&amp;"","")</f>
        <v>Same as underlying offence</v>
      </c>
      <c r="H2445" s="10" t="str">
        <f aca="false">IFERROR(INDEX(Section_Master!$F$2:$F$477,MATCH($E2445,Section_Master!$A$2:$A$477,0))&amp;"","")</f>
        <v>Same as underlying offence</v>
      </c>
      <c r="I2445" s="10" t="str">
        <f aca="false">IFERROR(INDEX(Section_Master!$G$2:$G$477,MATCH($E2445,Section_Master!$A$2:$A$477,0))&amp;"","")</f>
        <v>Same as underlying offence</v>
      </c>
      <c r="J2445" s="10" t="s">
        <v>52</v>
      </c>
      <c r="K2445" s="8" t="s">
        <v>5750</v>
      </c>
    </row>
    <row r="2446" customFormat="false" ht="34.5" hidden="false" customHeight="true" outlineLevel="0" collapsed="false">
      <c r="A2446" s="10" t="s">
        <v>5753</v>
      </c>
      <c r="B2446" s="10" t="s">
        <v>45</v>
      </c>
      <c r="C2446" s="8" t="s">
        <v>5748</v>
      </c>
      <c r="D2446" s="8" t="s">
        <v>5754</v>
      </c>
      <c r="E2446" s="11" t="n">
        <v>50</v>
      </c>
      <c r="F2446" s="8" t="str">
        <f aca="false">IFERROR(INDEX(Section_Master!$D$2:$D$477,MATCH($E2446,Section_Master!$A$2:$A$477,0))&amp;"","")</f>
        <v>Punishment provided for the offence abetted, where the abetted person acts with a different intention [s.50]</v>
      </c>
      <c r="G2446" s="10" t="str">
        <f aca="false">IFERROR(INDEX(Section_Master!$E$2:$E$477,MATCH($E2446,Section_Master!$A$2:$A$477,0))&amp;"","")</f>
        <v>Same as underlying offence</v>
      </c>
      <c r="H2446" s="10" t="str">
        <f aca="false">IFERROR(INDEX(Section_Master!$F$2:$F$477,MATCH($E2446,Section_Master!$A$2:$A$477,0))&amp;"","")</f>
        <v>Same as underlying offence</v>
      </c>
      <c r="I2446" s="10" t="str">
        <f aca="false">IFERROR(INDEX(Section_Master!$G$2:$G$477,MATCH($E2446,Section_Master!$A$2:$A$477,0))&amp;"","")</f>
        <v>Same as underlying offence</v>
      </c>
      <c r="J2446" s="10" t="s">
        <v>55</v>
      </c>
      <c r="K2446" s="8" t="s">
        <v>5750</v>
      </c>
    </row>
    <row r="2447" customFormat="false" ht="34.5" hidden="false" customHeight="true" outlineLevel="0" collapsed="false">
      <c r="A2447" s="10" t="s">
        <v>5755</v>
      </c>
      <c r="B2447" s="10" t="s">
        <v>45</v>
      </c>
      <c r="C2447" s="8" t="s">
        <v>5748</v>
      </c>
      <c r="D2447" s="8" t="s">
        <v>5756</v>
      </c>
      <c r="E2447" s="11" t="n">
        <v>50</v>
      </c>
      <c r="F2447" s="8" t="str">
        <f aca="false">IFERROR(INDEX(Section_Master!$D$2:$D$477,MATCH($E2447,Section_Master!$A$2:$A$477,0))&amp;"","")</f>
        <v>Punishment provided for the offence abetted, where the abetted person acts with a different intention [s.50]</v>
      </c>
      <c r="G2447" s="10" t="str">
        <f aca="false">IFERROR(INDEX(Section_Master!$E$2:$E$477,MATCH($E2447,Section_Master!$A$2:$A$477,0))&amp;"","")</f>
        <v>Same as underlying offence</v>
      </c>
      <c r="H2447" s="10" t="str">
        <f aca="false">IFERROR(INDEX(Section_Master!$F$2:$F$477,MATCH($E2447,Section_Master!$A$2:$A$477,0))&amp;"","")</f>
        <v>Same as underlying offence</v>
      </c>
      <c r="I2447" s="10" t="str">
        <f aca="false">IFERROR(INDEX(Section_Master!$G$2:$G$477,MATCH($E2447,Section_Master!$A$2:$A$477,0))&amp;"","")</f>
        <v>Same as underlying offence</v>
      </c>
      <c r="J2447" s="10" t="s">
        <v>58</v>
      </c>
      <c r="K2447" s="8" t="s">
        <v>5750</v>
      </c>
    </row>
    <row r="2448" customFormat="false" ht="23.25" hidden="false" customHeight="true" outlineLevel="0" collapsed="false">
      <c r="A2448" s="10" t="s">
        <v>5757</v>
      </c>
      <c r="B2448" s="10" t="s">
        <v>45</v>
      </c>
      <c r="C2448" s="8" t="s">
        <v>5748</v>
      </c>
      <c r="D2448" s="8" t="s">
        <v>5758</v>
      </c>
      <c r="E2448" s="11" t="n">
        <v>50</v>
      </c>
      <c r="F2448" s="8" t="str">
        <f aca="false">IFERROR(INDEX(Section_Master!$D$2:$D$477,MATCH($E2448,Section_Master!$A$2:$A$477,0))&amp;"","")</f>
        <v>Punishment provided for the offence abetted, where the abetted person acts with a different intention [s.50]</v>
      </c>
      <c r="G2448" s="10" t="str">
        <f aca="false">IFERROR(INDEX(Section_Master!$E$2:$E$477,MATCH($E2448,Section_Master!$A$2:$A$477,0))&amp;"","")</f>
        <v>Same as underlying offence</v>
      </c>
      <c r="H2448" s="10" t="str">
        <f aca="false">IFERROR(INDEX(Section_Master!$F$2:$F$477,MATCH($E2448,Section_Master!$A$2:$A$477,0))&amp;"","")</f>
        <v>Same as underlying offence</v>
      </c>
      <c r="I2448" s="10" t="str">
        <f aca="false">IFERROR(INDEX(Section_Master!$G$2:$G$477,MATCH($E2448,Section_Master!$A$2:$A$477,0))&amp;"","")</f>
        <v>Same as underlying offence</v>
      </c>
      <c r="J2448" s="10" t="s">
        <v>61</v>
      </c>
      <c r="K2448" s="8" t="s">
        <v>5750</v>
      </c>
    </row>
    <row r="2449" customFormat="false" ht="23.25" hidden="false" customHeight="true" outlineLevel="0" collapsed="false">
      <c r="A2449" s="10" t="s">
        <v>5759</v>
      </c>
      <c r="B2449" s="10" t="s">
        <v>45</v>
      </c>
      <c r="C2449" s="8" t="s">
        <v>5748</v>
      </c>
      <c r="D2449" s="8" t="s">
        <v>5760</v>
      </c>
      <c r="E2449" s="11" t="n">
        <v>50</v>
      </c>
      <c r="F2449" s="8" t="str">
        <f aca="false">IFERROR(INDEX(Section_Master!$D$2:$D$477,MATCH($E2449,Section_Master!$A$2:$A$477,0))&amp;"","")</f>
        <v>Punishment provided for the offence abetted, where the abetted person acts with a different intention [s.50]</v>
      </c>
      <c r="G2449" s="10" t="str">
        <f aca="false">IFERROR(INDEX(Section_Master!$E$2:$E$477,MATCH($E2449,Section_Master!$A$2:$A$477,0))&amp;"","")</f>
        <v>Same as underlying offence</v>
      </c>
      <c r="H2449" s="10" t="str">
        <f aca="false">IFERROR(INDEX(Section_Master!$F$2:$F$477,MATCH($E2449,Section_Master!$A$2:$A$477,0))&amp;"","")</f>
        <v>Same as underlying offence</v>
      </c>
      <c r="I2449" s="10" t="str">
        <f aca="false">IFERROR(INDEX(Section_Master!$G$2:$G$477,MATCH($E2449,Section_Master!$A$2:$A$477,0))&amp;"","")</f>
        <v>Same as underlying offence</v>
      </c>
      <c r="J2449" s="10" t="s">
        <v>64</v>
      </c>
      <c r="K2449" s="8" t="s">
        <v>5750</v>
      </c>
    </row>
    <row r="2450" customFormat="false" ht="45.75" hidden="false" customHeight="true" outlineLevel="0" collapsed="false">
      <c r="A2450" s="10" t="s">
        <v>5761</v>
      </c>
      <c r="B2450" s="10" t="s">
        <v>45</v>
      </c>
      <c r="C2450" s="8" t="s">
        <v>5762</v>
      </c>
      <c r="D2450" s="8" t="s">
        <v>5763</v>
      </c>
      <c r="E2450" s="11" t="n">
        <v>51</v>
      </c>
      <c r="F2450" s="8" t="str">
        <f aca="false">IFERROR(INDEX(Section_Master!$D$2:$D$477,MATCH($E2450,Section_Master!$A$2:$A$477,0))&amp;"","")</f>
        <v>Abettor liable as if he had abetted the act actually done (liability provision) [s.51]</v>
      </c>
      <c r="G2450" s="10" t="str">
        <f aca="false">IFERROR(INDEX(Section_Master!$E$2:$E$477,MATCH($E2450,Section_Master!$A$2:$A$477,0))&amp;"","")</f>
        <v>Same as underlying offence</v>
      </c>
      <c r="H2450" s="10" t="str">
        <f aca="false">IFERROR(INDEX(Section_Master!$F$2:$F$477,MATCH($E2450,Section_Master!$A$2:$A$477,0))&amp;"","")</f>
        <v>Same as underlying offence</v>
      </c>
      <c r="I2450" s="10" t="str">
        <f aca="false">IFERROR(INDEX(Section_Master!$G$2:$G$477,MATCH($E2450,Section_Master!$A$2:$A$477,0))&amp;"","")</f>
        <v>Same as underlying offence</v>
      </c>
      <c r="J2450" s="10" t="s">
        <v>48</v>
      </c>
      <c r="K2450" s="8" t="s">
        <v>5764</v>
      </c>
    </row>
    <row r="2451" customFormat="false" ht="34.5" hidden="false" customHeight="true" outlineLevel="0" collapsed="false">
      <c r="A2451" s="10" t="s">
        <v>5765</v>
      </c>
      <c r="B2451" s="10" t="s">
        <v>45</v>
      </c>
      <c r="C2451" s="8" t="s">
        <v>5762</v>
      </c>
      <c r="D2451" s="8" t="s">
        <v>5766</v>
      </c>
      <c r="E2451" s="11" t="n">
        <v>51</v>
      </c>
      <c r="F2451" s="8" t="str">
        <f aca="false">IFERROR(INDEX(Section_Master!$D$2:$D$477,MATCH($E2451,Section_Master!$A$2:$A$477,0))&amp;"","")</f>
        <v>Abettor liable as if he had abetted the act actually done (liability provision) [s.51]</v>
      </c>
      <c r="G2451" s="10" t="str">
        <f aca="false">IFERROR(INDEX(Section_Master!$E$2:$E$477,MATCH($E2451,Section_Master!$A$2:$A$477,0))&amp;"","")</f>
        <v>Same as underlying offence</v>
      </c>
      <c r="H2451" s="10" t="str">
        <f aca="false">IFERROR(INDEX(Section_Master!$F$2:$F$477,MATCH($E2451,Section_Master!$A$2:$A$477,0))&amp;"","")</f>
        <v>Same as underlying offence</v>
      </c>
      <c r="I2451" s="10" t="str">
        <f aca="false">IFERROR(INDEX(Section_Master!$G$2:$G$477,MATCH($E2451,Section_Master!$A$2:$A$477,0))&amp;"","")</f>
        <v>Same as underlying offence</v>
      </c>
      <c r="J2451" s="10" t="s">
        <v>52</v>
      </c>
      <c r="K2451" s="8" t="s">
        <v>5764</v>
      </c>
    </row>
    <row r="2452" customFormat="false" ht="34.5" hidden="false" customHeight="true" outlineLevel="0" collapsed="false">
      <c r="A2452" s="10" t="s">
        <v>5767</v>
      </c>
      <c r="B2452" s="10" t="s">
        <v>45</v>
      </c>
      <c r="C2452" s="8" t="s">
        <v>5762</v>
      </c>
      <c r="D2452" s="8" t="s">
        <v>5768</v>
      </c>
      <c r="E2452" s="11" t="n">
        <v>51</v>
      </c>
      <c r="F2452" s="8" t="str">
        <f aca="false">IFERROR(INDEX(Section_Master!$D$2:$D$477,MATCH($E2452,Section_Master!$A$2:$A$477,0))&amp;"","")</f>
        <v>Abettor liable as if he had abetted the act actually done (liability provision) [s.51]</v>
      </c>
      <c r="G2452" s="10" t="str">
        <f aca="false">IFERROR(INDEX(Section_Master!$E$2:$E$477,MATCH($E2452,Section_Master!$A$2:$A$477,0))&amp;"","")</f>
        <v>Same as underlying offence</v>
      </c>
      <c r="H2452" s="10" t="str">
        <f aca="false">IFERROR(INDEX(Section_Master!$F$2:$F$477,MATCH($E2452,Section_Master!$A$2:$A$477,0))&amp;"","")</f>
        <v>Same as underlying offence</v>
      </c>
      <c r="I2452" s="10" t="str">
        <f aca="false">IFERROR(INDEX(Section_Master!$G$2:$G$477,MATCH($E2452,Section_Master!$A$2:$A$477,0))&amp;"","")</f>
        <v>Same as underlying offence</v>
      </c>
      <c r="J2452" s="10" t="s">
        <v>55</v>
      </c>
      <c r="K2452" s="8" t="s">
        <v>5764</v>
      </c>
    </row>
    <row r="2453" customFormat="false" ht="45.75" hidden="false" customHeight="true" outlineLevel="0" collapsed="false">
      <c r="A2453" s="10" t="s">
        <v>5769</v>
      </c>
      <c r="B2453" s="10" t="s">
        <v>45</v>
      </c>
      <c r="C2453" s="8" t="s">
        <v>5762</v>
      </c>
      <c r="D2453" s="8" t="s">
        <v>5770</v>
      </c>
      <c r="E2453" s="11" t="n">
        <v>51</v>
      </c>
      <c r="F2453" s="8" t="str">
        <f aca="false">IFERROR(INDEX(Section_Master!$D$2:$D$477,MATCH($E2453,Section_Master!$A$2:$A$477,0))&amp;"","")</f>
        <v>Abettor liable as if he had abetted the act actually done (liability provision) [s.51]</v>
      </c>
      <c r="G2453" s="10" t="str">
        <f aca="false">IFERROR(INDEX(Section_Master!$E$2:$E$477,MATCH($E2453,Section_Master!$A$2:$A$477,0))&amp;"","")</f>
        <v>Same as underlying offence</v>
      </c>
      <c r="H2453" s="10" t="str">
        <f aca="false">IFERROR(INDEX(Section_Master!$F$2:$F$477,MATCH($E2453,Section_Master!$A$2:$A$477,0))&amp;"","")</f>
        <v>Same as underlying offence</v>
      </c>
      <c r="I2453" s="10" t="str">
        <f aca="false">IFERROR(INDEX(Section_Master!$G$2:$G$477,MATCH($E2453,Section_Master!$A$2:$A$477,0))&amp;"","")</f>
        <v>Same as underlying offence</v>
      </c>
      <c r="J2453" s="10" t="s">
        <v>58</v>
      </c>
      <c r="K2453" s="8" t="s">
        <v>5764</v>
      </c>
    </row>
    <row r="2454" customFormat="false" ht="34.5" hidden="false" customHeight="true" outlineLevel="0" collapsed="false">
      <c r="A2454" s="10" t="s">
        <v>5771</v>
      </c>
      <c r="B2454" s="10" t="s">
        <v>45</v>
      </c>
      <c r="C2454" s="8" t="s">
        <v>5762</v>
      </c>
      <c r="D2454" s="8" t="s">
        <v>5772</v>
      </c>
      <c r="E2454" s="11" t="n">
        <v>51</v>
      </c>
      <c r="F2454" s="8" t="str">
        <f aca="false">IFERROR(INDEX(Section_Master!$D$2:$D$477,MATCH($E2454,Section_Master!$A$2:$A$477,0))&amp;"","")</f>
        <v>Abettor liable as if he had abetted the act actually done (liability provision) [s.51]</v>
      </c>
      <c r="G2454" s="10" t="str">
        <f aca="false">IFERROR(INDEX(Section_Master!$E$2:$E$477,MATCH($E2454,Section_Master!$A$2:$A$477,0))&amp;"","")</f>
        <v>Same as underlying offence</v>
      </c>
      <c r="H2454" s="10" t="str">
        <f aca="false">IFERROR(INDEX(Section_Master!$F$2:$F$477,MATCH($E2454,Section_Master!$A$2:$A$477,0))&amp;"","")</f>
        <v>Same as underlying offence</v>
      </c>
      <c r="I2454" s="10" t="str">
        <f aca="false">IFERROR(INDEX(Section_Master!$G$2:$G$477,MATCH($E2454,Section_Master!$A$2:$A$477,0))&amp;"","")</f>
        <v>Same as underlying offence</v>
      </c>
      <c r="J2454" s="10" t="s">
        <v>61</v>
      </c>
      <c r="K2454" s="8" t="s">
        <v>5764</v>
      </c>
    </row>
    <row r="2455" customFormat="false" ht="34.5" hidden="false" customHeight="true" outlineLevel="0" collapsed="false">
      <c r="A2455" s="10" t="s">
        <v>5773</v>
      </c>
      <c r="B2455" s="10" t="s">
        <v>45</v>
      </c>
      <c r="C2455" s="8" t="s">
        <v>5762</v>
      </c>
      <c r="D2455" s="8" t="s">
        <v>5774</v>
      </c>
      <c r="E2455" s="11" t="n">
        <v>51</v>
      </c>
      <c r="F2455" s="8" t="str">
        <f aca="false">IFERROR(INDEX(Section_Master!$D$2:$D$477,MATCH($E2455,Section_Master!$A$2:$A$477,0))&amp;"","")</f>
        <v>Abettor liable as if he had abetted the act actually done (liability provision) [s.51]</v>
      </c>
      <c r="G2455" s="10" t="str">
        <f aca="false">IFERROR(INDEX(Section_Master!$E$2:$E$477,MATCH($E2455,Section_Master!$A$2:$A$477,0))&amp;"","")</f>
        <v>Same as underlying offence</v>
      </c>
      <c r="H2455" s="10" t="str">
        <f aca="false">IFERROR(INDEX(Section_Master!$F$2:$F$477,MATCH($E2455,Section_Master!$A$2:$A$477,0))&amp;"","")</f>
        <v>Same as underlying offence</v>
      </c>
      <c r="I2455" s="10" t="str">
        <f aca="false">IFERROR(INDEX(Section_Master!$G$2:$G$477,MATCH($E2455,Section_Master!$A$2:$A$477,0))&amp;"","")</f>
        <v>Same as underlying offence</v>
      </c>
      <c r="J2455" s="10" t="s">
        <v>64</v>
      </c>
      <c r="K2455" s="8" t="s">
        <v>5764</v>
      </c>
    </row>
    <row r="2456" customFormat="false" ht="34.5" hidden="false" customHeight="true" outlineLevel="0" collapsed="false">
      <c r="A2456" s="10" t="s">
        <v>5775</v>
      </c>
      <c r="B2456" s="10" t="s">
        <v>45</v>
      </c>
      <c r="C2456" s="8" t="s">
        <v>5776</v>
      </c>
      <c r="D2456" s="8" t="s">
        <v>5777</v>
      </c>
      <c r="E2456" s="11" t="n">
        <v>52</v>
      </c>
      <c r="F2456" s="8" t="str">
        <f aca="false">IFERROR(INDEX(Section_Master!$D$2:$D$477,MATCH($E2456,Section_Master!$A$2:$A$477,0))&amp;"","")</f>
        <v>Abettor liable to cumulative punishment for the act abetted and the act done [s.52]</v>
      </c>
      <c r="G2456" s="10" t="str">
        <f aca="false">IFERROR(INDEX(Section_Master!$E$2:$E$477,MATCH($E2456,Section_Master!$A$2:$A$477,0))&amp;"","")</f>
        <v>Same as underlying offence</v>
      </c>
      <c r="H2456" s="10" t="str">
        <f aca="false">IFERROR(INDEX(Section_Master!$F$2:$F$477,MATCH($E2456,Section_Master!$A$2:$A$477,0))&amp;"","")</f>
        <v>Same as underlying offence</v>
      </c>
      <c r="I2456" s="10" t="str">
        <f aca="false">IFERROR(INDEX(Section_Master!$G$2:$G$477,MATCH($E2456,Section_Master!$A$2:$A$477,0))&amp;"","")</f>
        <v>Same as underlying offence</v>
      </c>
      <c r="J2456" s="10" t="s">
        <v>48</v>
      </c>
      <c r="K2456" s="8" t="s">
        <v>5778</v>
      </c>
    </row>
    <row r="2457" customFormat="false" ht="34.5" hidden="false" customHeight="true" outlineLevel="0" collapsed="false">
      <c r="A2457" s="10" t="s">
        <v>5779</v>
      </c>
      <c r="B2457" s="10" t="s">
        <v>45</v>
      </c>
      <c r="C2457" s="8" t="s">
        <v>5776</v>
      </c>
      <c r="D2457" s="8" t="s">
        <v>5780</v>
      </c>
      <c r="E2457" s="11" t="n">
        <v>52</v>
      </c>
      <c r="F2457" s="8" t="str">
        <f aca="false">IFERROR(INDEX(Section_Master!$D$2:$D$477,MATCH($E2457,Section_Master!$A$2:$A$477,0))&amp;"","")</f>
        <v>Abettor liable to cumulative punishment for the act abetted and the act done [s.52]</v>
      </c>
      <c r="G2457" s="10" t="str">
        <f aca="false">IFERROR(INDEX(Section_Master!$E$2:$E$477,MATCH($E2457,Section_Master!$A$2:$A$477,0))&amp;"","")</f>
        <v>Same as underlying offence</v>
      </c>
      <c r="H2457" s="10" t="str">
        <f aca="false">IFERROR(INDEX(Section_Master!$F$2:$F$477,MATCH($E2457,Section_Master!$A$2:$A$477,0))&amp;"","")</f>
        <v>Same as underlying offence</v>
      </c>
      <c r="I2457" s="10" t="str">
        <f aca="false">IFERROR(INDEX(Section_Master!$G$2:$G$477,MATCH($E2457,Section_Master!$A$2:$A$477,0))&amp;"","")</f>
        <v>Same as underlying offence</v>
      </c>
      <c r="J2457" s="10" t="s">
        <v>52</v>
      </c>
      <c r="K2457" s="8" t="s">
        <v>5778</v>
      </c>
    </row>
    <row r="2458" customFormat="false" ht="23.25" hidden="false" customHeight="true" outlineLevel="0" collapsed="false">
      <c r="A2458" s="10" t="s">
        <v>5781</v>
      </c>
      <c r="B2458" s="10" t="s">
        <v>45</v>
      </c>
      <c r="C2458" s="8" t="s">
        <v>5776</v>
      </c>
      <c r="D2458" s="8" t="s">
        <v>5782</v>
      </c>
      <c r="E2458" s="11" t="n">
        <v>52</v>
      </c>
      <c r="F2458" s="8" t="str">
        <f aca="false">IFERROR(INDEX(Section_Master!$D$2:$D$477,MATCH($E2458,Section_Master!$A$2:$A$477,0))&amp;"","")</f>
        <v>Abettor liable to cumulative punishment for the act abetted and the act done [s.52]</v>
      </c>
      <c r="G2458" s="10" t="str">
        <f aca="false">IFERROR(INDEX(Section_Master!$E$2:$E$477,MATCH($E2458,Section_Master!$A$2:$A$477,0))&amp;"","")</f>
        <v>Same as underlying offence</v>
      </c>
      <c r="H2458" s="10" t="str">
        <f aca="false">IFERROR(INDEX(Section_Master!$F$2:$F$477,MATCH($E2458,Section_Master!$A$2:$A$477,0))&amp;"","")</f>
        <v>Same as underlying offence</v>
      </c>
      <c r="I2458" s="10" t="str">
        <f aca="false">IFERROR(INDEX(Section_Master!$G$2:$G$477,MATCH($E2458,Section_Master!$A$2:$A$477,0))&amp;"","")</f>
        <v>Same as underlying offence</v>
      </c>
      <c r="J2458" s="10" t="s">
        <v>55</v>
      </c>
      <c r="K2458" s="8" t="s">
        <v>5778</v>
      </c>
    </row>
    <row r="2459" customFormat="false" ht="34.5" hidden="false" customHeight="true" outlineLevel="0" collapsed="false">
      <c r="A2459" s="10" t="s">
        <v>5783</v>
      </c>
      <c r="B2459" s="10" t="s">
        <v>45</v>
      </c>
      <c r="C2459" s="8" t="s">
        <v>5776</v>
      </c>
      <c r="D2459" s="8" t="s">
        <v>5784</v>
      </c>
      <c r="E2459" s="11" t="n">
        <v>52</v>
      </c>
      <c r="F2459" s="8" t="str">
        <f aca="false">IFERROR(INDEX(Section_Master!$D$2:$D$477,MATCH($E2459,Section_Master!$A$2:$A$477,0))&amp;"","")</f>
        <v>Abettor liable to cumulative punishment for the act abetted and the act done [s.52]</v>
      </c>
      <c r="G2459" s="10" t="str">
        <f aca="false">IFERROR(INDEX(Section_Master!$E$2:$E$477,MATCH($E2459,Section_Master!$A$2:$A$477,0))&amp;"","")</f>
        <v>Same as underlying offence</v>
      </c>
      <c r="H2459" s="10" t="str">
        <f aca="false">IFERROR(INDEX(Section_Master!$F$2:$F$477,MATCH($E2459,Section_Master!$A$2:$A$477,0))&amp;"","")</f>
        <v>Same as underlying offence</v>
      </c>
      <c r="I2459" s="10" t="str">
        <f aca="false">IFERROR(INDEX(Section_Master!$G$2:$G$477,MATCH($E2459,Section_Master!$A$2:$A$477,0))&amp;"","")</f>
        <v>Same as underlying offence</v>
      </c>
      <c r="J2459" s="10" t="s">
        <v>58</v>
      </c>
      <c r="K2459" s="8" t="s">
        <v>5778</v>
      </c>
    </row>
    <row r="2460" customFormat="false" ht="23.25" hidden="false" customHeight="true" outlineLevel="0" collapsed="false">
      <c r="A2460" s="10" t="s">
        <v>5785</v>
      </c>
      <c r="B2460" s="10" t="s">
        <v>45</v>
      </c>
      <c r="C2460" s="8" t="s">
        <v>5776</v>
      </c>
      <c r="D2460" s="8" t="s">
        <v>5786</v>
      </c>
      <c r="E2460" s="11" t="n">
        <v>52</v>
      </c>
      <c r="F2460" s="8" t="str">
        <f aca="false">IFERROR(INDEX(Section_Master!$D$2:$D$477,MATCH($E2460,Section_Master!$A$2:$A$477,0))&amp;"","")</f>
        <v>Abettor liable to cumulative punishment for the act abetted and the act done [s.52]</v>
      </c>
      <c r="G2460" s="10" t="str">
        <f aca="false">IFERROR(INDEX(Section_Master!$E$2:$E$477,MATCH($E2460,Section_Master!$A$2:$A$477,0))&amp;"","")</f>
        <v>Same as underlying offence</v>
      </c>
      <c r="H2460" s="10" t="str">
        <f aca="false">IFERROR(INDEX(Section_Master!$F$2:$F$477,MATCH($E2460,Section_Master!$A$2:$A$477,0))&amp;"","")</f>
        <v>Same as underlying offence</v>
      </c>
      <c r="I2460" s="10" t="str">
        <f aca="false">IFERROR(INDEX(Section_Master!$G$2:$G$477,MATCH($E2460,Section_Master!$A$2:$A$477,0))&amp;"","")</f>
        <v>Same as underlying offence</v>
      </c>
      <c r="J2460" s="10" t="s">
        <v>61</v>
      </c>
      <c r="K2460" s="8" t="s">
        <v>5778</v>
      </c>
    </row>
    <row r="2461" customFormat="false" ht="34.5" hidden="false" customHeight="true" outlineLevel="0" collapsed="false">
      <c r="A2461" s="10" t="s">
        <v>5787</v>
      </c>
      <c r="B2461" s="10" t="s">
        <v>45</v>
      </c>
      <c r="C2461" s="8" t="s">
        <v>5776</v>
      </c>
      <c r="D2461" s="8" t="s">
        <v>5788</v>
      </c>
      <c r="E2461" s="11" t="n">
        <v>52</v>
      </c>
      <c r="F2461" s="8" t="str">
        <f aca="false">IFERROR(INDEX(Section_Master!$D$2:$D$477,MATCH($E2461,Section_Master!$A$2:$A$477,0))&amp;"","")</f>
        <v>Abettor liable to cumulative punishment for the act abetted and the act done [s.52]</v>
      </c>
      <c r="G2461" s="10" t="str">
        <f aca="false">IFERROR(INDEX(Section_Master!$E$2:$E$477,MATCH($E2461,Section_Master!$A$2:$A$477,0))&amp;"","")</f>
        <v>Same as underlying offence</v>
      </c>
      <c r="H2461" s="10" t="str">
        <f aca="false">IFERROR(INDEX(Section_Master!$F$2:$F$477,MATCH($E2461,Section_Master!$A$2:$A$477,0))&amp;"","")</f>
        <v>Same as underlying offence</v>
      </c>
      <c r="I2461" s="10" t="str">
        <f aca="false">IFERROR(INDEX(Section_Master!$G$2:$G$477,MATCH($E2461,Section_Master!$A$2:$A$477,0))&amp;"","")</f>
        <v>Same as underlying offence</v>
      </c>
      <c r="J2461" s="10" t="s">
        <v>64</v>
      </c>
      <c r="K2461" s="8" t="s">
        <v>5778</v>
      </c>
    </row>
    <row r="2462" customFormat="false" ht="34.5" hidden="false" customHeight="true" outlineLevel="0" collapsed="false">
      <c r="A2462" s="10" t="s">
        <v>5789</v>
      </c>
      <c r="B2462" s="10" t="s">
        <v>45</v>
      </c>
      <c r="C2462" s="8" t="s">
        <v>5790</v>
      </c>
      <c r="D2462" s="8" t="s">
        <v>5791</v>
      </c>
      <c r="E2462" s="11" t="n">
        <v>53</v>
      </c>
      <c r="F2462" s="8" t="str">
        <f aca="false">IFERROR(INDEX(Section_Master!$D$2:$D$477,MATCH($E2462,Section_Master!$A$2:$A$477,0))&amp;"","")</f>
        <v>Abettor liable for the effect caused, as if he had directly abetted it [s.53]</v>
      </c>
      <c r="G2462" s="10" t="str">
        <f aca="false">IFERROR(INDEX(Section_Master!$E$2:$E$477,MATCH($E2462,Section_Master!$A$2:$A$477,0))&amp;"","")</f>
        <v>Same as underlying offence</v>
      </c>
      <c r="H2462" s="10" t="str">
        <f aca="false">IFERROR(INDEX(Section_Master!$F$2:$F$477,MATCH($E2462,Section_Master!$A$2:$A$477,0))&amp;"","")</f>
        <v>Same as underlying offence</v>
      </c>
      <c r="I2462" s="10" t="str">
        <f aca="false">IFERROR(INDEX(Section_Master!$G$2:$G$477,MATCH($E2462,Section_Master!$A$2:$A$477,0))&amp;"","")</f>
        <v>Same as underlying offence</v>
      </c>
      <c r="J2462" s="10" t="s">
        <v>48</v>
      </c>
      <c r="K2462" s="8" t="s">
        <v>5792</v>
      </c>
    </row>
    <row r="2463" customFormat="false" ht="34.5" hidden="false" customHeight="true" outlineLevel="0" collapsed="false">
      <c r="A2463" s="10" t="s">
        <v>5793</v>
      </c>
      <c r="B2463" s="10" t="s">
        <v>45</v>
      </c>
      <c r="C2463" s="8" t="s">
        <v>5790</v>
      </c>
      <c r="D2463" s="8" t="s">
        <v>5794</v>
      </c>
      <c r="E2463" s="11" t="n">
        <v>53</v>
      </c>
      <c r="F2463" s="8" t="str">
        <f aca="false">IFERROR(INDEX(Section_Master!$D$2:$D$477,MATCH($E2463,Section_Master!$A$2:$A$477,0))&amp;"","")</f>
        <v>Abettor liable for the effect caused, as if he had directly abetted it [s.53]</v>
      </c>
      <c r="G2463" s="10" t="str">
        <f aca="false">IFERROR(INDEX(Section_Master!$E$2:$E$477,MATCH($E2463,Section_Master!$A$2:$A$477,0))&amp;"","")</f>
        <v>Same as underlying offence</v>
      </c>
      <c r="H2463" s="10" t="str">
        <f aca="false">IFERROR(INDEX(Section_Master!$F$2:$F$477,MATCH($E2463,Section_Master!$A$2:$A$477,0))&amp;"","")</f>
        <v>Same as underlying offence</v>
      </c>
      <c r="I2463" s="10" t="str">
        <f aca="false">IFERROR(INDEX(Section_Master!$G$2:$G$477,MATCH($E2463,Section_Master!$A$2:$A$477,0))&amp;"","")</f>
        <v>Same as underlying offence</v>
      </c>
      <c r="J2463" s="10" t="s">
        <v>52</v>
      </c>
      <c r="K2463" s="8" t="s">
        <v>5792</v>
      </c>
    </row>
    <row r="2464" customFormat="false" ht="45.75" hidden="false" customHeight="true" outlineLevel="0" collapsed="false">
      <c r="A2464" s="10" t="s">
        <v>5795</v>
      </c>
      <c r="B2464" s="10" t="s">
        <v>45</v>
      </c>
      <c r="C2464" s="8" t="s">
        <v>5790</v>
      </c>
      <c r="D2464" s="8" t="s">
        <v>5796</v>
      </c>
      <c r="E2464" s="11" t="n">
        <v>53</v>
      </c>
      <c r="F2464" s="8" t="str">
        <f aca="false">IFERROR(INDEX(Section_Master!$D$2:$D$477,MATCH($E2464,Section_Master!$A$2:$A$477,0))&amp;"","")</f>
        <v>Abettor liable for the effect caused, as if he had directly abetted it [s.53]</v>
      </c>
      <c r="G2464" s="10" t="str">
        <f aca="false">IFERROR(INDEX(Section_Master!$E$2:$E$477,MATCH($E2464,Section_Master!$A$2:$A$477,0))&amp;"","")</f>
        <v>Same as underlying offence</v>
      </c>
      <c r="H2464" s="10" t="str">
        <f aca="false">IFERROR(INDEX(Section_Master!$F$2:$F$477,MATCH($E2464,Section_Master!$A$2:$A$477,0))&amp;"","")</f>
        <v>Same as underlying offence</v>
      </c>
      <c r="I2464" s="10" t="str">
        <f aca="false">IFERROR(INDEX(Section_Master!$G$2:$G$477,MATCH($E2464,Section_Master!$A$2:$A$477,0))&amp;"","")</f>
        <v>Same as underlying offence</v>
      </c>
      <c r="J2464" s="10" t="s">
        <v>55</v>
      </c>
      <c r="K2464" s="8" t="s">
        <v>5792</v>
      </c>
    </row>
    <row r="2465" customFormat="false" ht="34.5" hidden="false" customHeight="true" outlineLevel="0" collapsed="false">
      <c r="A2465" s="10" t="s">
        <v>5797</v>
      </c>
      <c r="B2465" s="10" t="s">
        <v>45</v>
      </c>
      <c r="C2465" s="8" t="s">
        <v>5790</v>
      </c>
      <c r="D2465" s="8" t="s">
        <v>5798</v>
      </c>
      <c r="E2465" s="11" t="n">
        <v>53</v>
      </c>
      <c r="F2465" s="8" t="str">
        <f aca="false">IFERROR(INDEX(Section_Master!$D$2:$D$477,MATCH($E2465,Section_Master!$A$2:$A$477,0))&amp;"","")</f>
        <v>Abettor liable for the effect caused, as if he had directly abetted it [s.53]</v>
      </c>
      <c r="G2465" s="10" t="str">
        <f aca="false">IFERROR(INDEX(Section_Master!$E$2:$E$477,MATCH($E2465,Section_Master!$A$2:$A$477,0))&amp;"","")</f>
        <v>Same as underlying offence</v>
      </c>
      <c r="H2465" s="10" t="str">
        <f aca="false">IFERROR(INDEX(Section_Master!$F$2:$F$477,MATCH($E2465,Section_Master!$A$2:$A$477,0))&amp;"","")</f>
        <v>Same as underlying offence</v>
      </c>
      <c r="I2465" s="10" t="str">
        <f aca="false">IFERROR(INDEX(Section_Master!$G$2:$G$477,MATCH($E2465,Section_Master!$A$2:$A$477,0))&amp;"","")</f>
        <v>Same as underlying offence</v>
      </c>
      <c r="J2465" s="10" t="s">
        <v>58</v>
      </c>
      <c r="K2465" s="8" t="s">
        <v>5792</v>
      </c>
    </row>
    <row r="2466" customFormat="false" ht="23.25" hidden="false" customHeight="true" outlineLevel="0" collapsed="false">
      <c r="A2466" s="10" t="s">
        <v>5799</v>
      </c>
      <c r="B2466" s="10" t="s">
        <v>45</v>
      </c>
      <c r="C2466" s="8" t="s">
        <v>5790</v>
      </c>
      <c r="D2466" s="8" t="s">
        <v>5800</v>
      </c>
      <c r="E2466" s="11" t="n">
        <v>53</v>
      </c>
      <c r="F2466" s="8" t="str">
        <f aca="false">IFERROR(INDEX(Section_Master!$D$2:$D$477,MATCH($E2466,Section_Master!$A$2:$A$477,0))&amp;"","")</f>
        <v>Abettor liable for the effect caused, as if he had directly abetted it [s.53]</v>
      </c>
      <c r="G2466" s="10" t="str">
        <f aca="false">IFERROR(INDEX(Section_Master!$E$2:$E$477,MATCH($E2466,Section_Master!$A$2:$A$477,0))&amp;"","")</f>
        <v>Same as underlying offence</v>
      </c>
      <c r="H2466" s="10" t="str">
        <f aca="false">IFERROR(INDEX(Section_Master!$F$2:$F$477,MATCH($E2466,Section_Master!$A$2:$A$477,0))&amp;"","")</f>
        <v>Same as underlying offence</v>
      </c>
      <c r="I2466" s="10" t="str">
        <f aca="false">IFERROR(INDEX(Section_Master!$G$2:$G$477,MATCH($E2466,Section_Master!$A$2:$A$477,0))&amp;"","")</f>
        <v>Same as underlying offence</v>
      </c>
      <c r="J2466" s="10" t="s">
        <v>61</v>
      </c>
      <c r="K2466" s="8" t="s">
        <v>5792</v>
      </c>
    </row>
    <row r="2467" customFormat="false" ht="34.5" hidden="false" customHeight="true" outlineLevel="0" collapsed="false">
      <c r="A2467" s="10" t="s">
        <v>5801</v>
      </c>
      <c r="B2467" s="10" t="s">
        <v>45</v>
      </c>
      <c r="C2467" s="8" t="s">
        <v>5790</v>
      </c>
      <c r="D2467" s="8" t="s">
        <v>5802</v>
      </c>
      <c r="E2467" s="11" t="n">
        <v>53</v>
      </c>
      <c r="F2467" s="8" t="str">
        <f aca="false">IFERROR(INDEX(Section_Master!$D$2:$D$477,MATCH($E2467,Section_Master!$A$2:$A$477,0))&amp;"","")</f>
        <v>Abettor liable for the effect caused, as if he had directly abetted it [s.53]</v>
      </c>
      <c r="G2467" s="10" t="str">
        <f aca="false">IFERROR(INDEX(Section_Master!$E$2:$E$477,MATCH($E2467,Section_Master!$A$2:$A$477,0))&amp;"","")</f>
        <v>Same as underlying offence</v>
      </c>
      <c r="H2467" s="10" t="str">
        <f aca="false">IFERROR(INDEX(Section_Master!$F$2:$F$477,MATCH($E2467,Section_Master!$A$2:$A$477,0))&amp;"","")</f>
        <v>Same as underlying offence</v>
      </c>
      <c r="I2467" s="10" t="str">
        <f aca="false">IFERROR(INDEX(Section_Master!$G$2:$G$477,MATCH($E2467,Section_Master!$A$2:$A$477,0))&amp;"","")</f>
        <v>Same as underlying offence</v>
      </c>
      <c r="J2467" s="10" t="s">
        <v>64</v>
      </c>
      <c r="K2467" s="8" t="s">
        <v>5792</v>
      </c>
    </row>
    <row r="2468" customFormat="false" ht="45.75" hidden="false" customHeight="true" outlineLevel="0" collapsed="false">
      <c r="A2468" s="10" t="s">
        <v>5803</v>
      </c>
      <c r="B2468" s="10" t="s">
        <v>45</v>
      </c>
      <c r="C2468" s="8" t="s">
        <v>5804</v>
      </c>
      <c r="D2468" s="8" t="s">
        <v>5805</v>
      </c>
      <c r="E2468" s="11" t="n">
        <v>54</v>
      </c>
      <c r="F2468" s="8" t="str">
        <f aca="false">IFERROR(INDEX(Section_Master!$D$2:$D$477,MATCH($E2468,Section_Master!$A$2:$A$477,0))&amp;"","")</f>
        <v>Abettor present at the offence is deemed to have committed it, and is punished as for that offence [s.54]</v>
      </c>
      <c r="G2468" s="10" t="str">
        <f aca="false">IFERROR(INDEX(Section_Master!$E$2:$E$477,MATCH($E2468,Section_Master!$A$2:$A$477,0))&amp;"","")</f>
        <v>Same as underlying offence</v>
      </c>
      <c r="H2468" s="10" t="str">
        <f aca="false">IFERROR(INDEX(Section_Master!$F$2:$F$477,MATCH($E2468,Section_Master!$A$2:$A$477,0))&amp;"","")</f>
        <v>Same as underlying offence</v>
      </c>
      <c r="I2468" s="10" t="str">
        <f aca="false">IFERROR(INDEX(Section_Master!$G$2:$G$477,MATCH($E2468,Section_Master!$A$2:$A$477,0))&amp;"","")</f>
        <v>Same as underlying offence</v>
      </c>
      <c r="J2468" s="10" t="s">
        <v>48</v>
      </c>
      <c r="K2468" s="8" t="s">
        <v>5806</v>
      </c>
    </row>
    <row r="2469" customFormat="false" ht="34.5" hidden="false" customHeight="true" outlineLevel="0" collapsed="false">
      <c r="A2469" s="10" t="s">
        <v>5807</v>
      </c>
      <c r="B2469" s="10" t="s">
        <v>45</v>
      </c>
      <c r="C2469" s="8" t="s">
        <v>5804</v>
      </c>
      <c r="D2469" s="8" t="s">
        <v>5808</v>
      </c>
      <c r="E2469" s="11" t="n">
        <v>54</v>
      </c>
      <c r="F2469" s="8" t="str">
        <f aca="false">IFERROR(INDEX(Section_Master!$D$2:$D$477,MATCH($E2469,Section_Master!$A$2:$A$477,0))&amp;"","")</f>
        <v>Abettor present at the offence is deemed to have committed it, and is punished as for that offence [s.54]</v>
      </c>
      <c r="G2469" s="10" t="str">
        <f aca="false">IFERROR(INDEX(Section_Master!$E$2:$E$477,MATCH($E2469,Section_Master!$A$2:$A$477,0))&amp;"","")</f>
        <v>Same as underlying offence</v>
      </c>
      <c r="H2469" s="10" t="str">
        <f aca="false">IFERROR(INDEX(Section_Master!$F$2:$F$477,MATCH($E2469,Section_Master!$A$2:$A$477,0))&amp;"","")</f>
        <v>Same as underlying offence</v>
      </c>
      <c r="I2469" s="10" t="str">
        <f aca="false">IFERROR(INDEX(Section_Master!$G$2:$G$477,MATCH($E2469,Section_Master!$A$2:$A$477,0))&amp;"","")</f>
        <v>Same as underlying offence</v>
      </c>
      <c r="J2469" s="10" t="s">
        <v>52</v>
      </c>
      <c r="K2469" s="8" t="s">
        <v>5806</v>
      </c>
    </row>
    <row r="2470" customFormat="false" ht="45.75" hidden="false" customHeight="true" outlineLevel="0" collapsed="false">
      <c r="A2470" s="10" t="s">
        <v>5809</v>
      </c>
      <c r="B2470" s="10" t="s">
        <v>45</v>
      </c>
      <c r="C2470" s="8" t="s">
        <v>5804</v>
      </c>
      <c r="D2470" s="8" t="s">
        <v>5810</v>
      </c>
      <c r="E2470" s="11" t="n">
        <v>54</v>
      </c>
      <c r="F2470" s="8" t="str">
        <f aca="false">IFERROR(INDEX(Section_Master!$D$2:$D$477,MATCH($E2470,Section_Master!$A$2:$A$477,0))&amp;"","")</f>
        <v>Abettor present at the offence is deemed to have committed it, and is punished as for that offence [s.54]</v>
      </c>
      <c r="G2470" s="10" t="str">
        <f aca="false">IFERROR(INDEX(Section_Master!$E$2:$E$477,MATCH($E2470,Section_Master!$A$2:$A$477,0))&amp;"","")</f>
        <v>Same as underlying offence</v>
      </c>
      <c r="H2470" s="10" t="str">
        <f aca="false">IFERROR(INDEX(Section_Master!$F$2:$F$477,MATCH($E2470,Section_Master!$A$2:$A$477,0))&amp;"","")</f>
        <v>Same as underlying offence</v>
      </c>
      <c r="I2470" s="10" t="str">
        <f aca="false">IFERROR(INDEX(Section_Master!$G$2:$G$477,MATCH($E2470,Section_Master!$A$2:$A$477,0))&amp;"","")</f>
        <v>Same as underlying offence</v>
      </c>
      <c r="J2470" s="10" t="s">
        <v>55</v>
      </c>
      <c r="K2470" s="8" t="s">
        <v>5806</v>
      </c>
    </row>
    <row r="2471" customFormat="false" ht="23.25" hidden="false" customHeight="true" outlineLevel="0" collapsed="false">
      <c r="A2471" s="10" t="s">
        <v>5811</v>
      </c>
      <c r="B2471" s="10" t="s">
        <v>45</v>
      </c>
      <c r="C2471" s="8" t="s">
        <v>5804</v>
      </c>
      <c r="D2471" s="8" t="s">
        <v>5812</v>
      </c>
      <c r="E2471" s="11" t="n">
        <v>54</v>
      </c>
      <c r="F2471" s="8" t="str">
        <f aca="false">IFERROR(INDEX(Section_Master!$D$2:$D$477,MATCH($E2471,Section_Master!$A$2:$A$477,0))&amp;"","")</f>
        <v>Abettor present at the offence is deemed to have committed it, and is punished as for that offence [s.54]</v>
      </c>
      <c r="G2471" s="10" t="str">
        <f aca="false">IFERROR(INDEX(Section_Master!$E$2:$E$477,MATCH($E2471,Section_Master!$A$2:$A$477,0))&amp;"","")</f>
        <v>Same as underlying offence</v>
      </c>
      <c r="H2471" s="10" t="str">
        <f aca="false">IFERROR(INDEX(Section_Master!$F$2:$F$477,MATCH($E2471,Section_Master!$A$2:$A$477,0))&amp;"","")</f>
        <v>Same as underlying offence</v>
      </c>
      <c r="I2471" s="10" t="str">
        <f aca="false">IFERROR(INDEX(Section_Master!$G$2:$G$477,MATCH($E2471,Section_Master!$A$2:$A$477,0))&amp;"","")</f>
        <v>Same as underlying offence</v>
      </c>
      <c r="J2471" s="10" t="s">
        <v>58</v>
      </c>
      <c r="K2471" s="8" t="s">
        <v>5806</v>
      </c>
    </row>
    <row r="2472" customFormat="false" ht="34.5" hidden="false" customHeight="true" outlineLevel="0" collapsed="false">
      <c r="A2472" s="10" t="s">
        <v>5813</v>
      </c>
      <c r="B2472" s="10" t="s">
        <v>45</v>
      </c>
      <c r="C2472" s="8" t="s">
        <v>5804</v>
      </c>
      <c r="D2472" s="8" t="s">
        <v>5814</v>
      </c>
      <c r="E2472" s="11" t="n">
        <v>54</v>
      </c>
      <c r="F2472" s="8" t="str">
        <f aca="false">IFERROR(INDEX(Section_Master!$D$2:$D$477,MATCH($E2472,Section_Master!$A$2:$A$477,0))&amp;"","")</f>
        <v>Abettor present at the offence is deemed to have committed it, and is punished as for that offence [s.54]</v>
      </c>
      <c r="G2472" s="10" t="str">
        <f aca="false">IFERROR(INDEX(Section_Master!$E$2:$E$477,MATCH($E2472,Section_Master!$A$2:$A$477,0))&amp;"","")</f>
        <v>Same as underlying offence</v>
      </c>
      <c r="H2472" s="10" t="str">
        <f aca="false">IFERROR(INDEX(Section_Master!$F$2:$F$477,MATCH($E2472,Section_Master!$A$2:$A$477,0))&amp;"","")</f>
        <v>Same as underlying offence</v>
      </c>
      <c r="I2472" s="10" t="str">
        <f aca="false">IFERROR(INDEX(Section_Master!$G$2:$G$477,MATCH($E2472,Section_Master!$A$2:$A$477,0))&amp;"","")</f>
        <v>Same as underlying offence</v>
      </c>
      <c r="J2472" s="10" t="s">
        <v>61</v>
      </c>
      <c r="K2472" s="8" t="s">
        <v>5806</v>
      </c>
    </row>
    <row r="2473" customFormat="false" ht="34.5" hidden="false" customHeight="true" outlineLevel="0" collapsed="false">
      <c r="A2473" s="10" t="s">
        <v>5815</v>
      </c>
      <c r="B2473" s="10" t="s">
        <v>45</v>
      </c>
      <c r="C2473" s="8" t="s">
        <v>5804</v>
      </c>
      <c r="D2473" s="8" t="s">
        <v>5816</v>
      </c>
      <c r="E2473" s="11" t="n">
        <v>54</v>
      </c>
      <c r="F2473" s="8" t="str">
        <f aca="false">IFERROR(INDEX(Section_Master!$D$2:$D$477,MATCH($E2473,Section_Master!$A$2:$A$477,0))&amp;"","")</f>
        <v>Abettor present at the offence is deemed to have committed it, and is punished as for that offence [s.54]</v>
      </c>
      <c r="G2473" s="10" t="str">
        <f aca="false">IFERROR(INDEX(Section_Master!$E$2:$E$477,MATCH($E2473,Section_Master!$A$2:$A$477,0))&amp;"","")</f>
        <v>Same as underlying offence</v>
      </c>
      <c r="H2473" s="10" t="str">
        <f aca="false">IFERROR(INDEX(Section_Master!$F$2:$F$477,MATCH($E2473,Section_Master!$A$2:$A$477,0))&amp;"","")</f>
        <v>Same as underlying offence</v>
      </c>
      <c r="I2473" s="10" t="str">
        <f aca="false">IFERROR(INDEX(Section_Master!$G$2:$G$477,MATCH($E2473,Section_Master!$A$2:$A$477,0))&amp;"","")</f>
        <v>Same as underlying offence</v>
      </c>
      <c r="J2473" s="10" t="s">
        <v>64</v>
      </c>
      <c r="K2473" s="8" t="s">
        <v>5806</v>
      </c>
    </row>
    <row r="2474" customFormat="false" ht="34.5" hidden="false" customHeight="true" outlineLevel="0" collapsed="false">
      <c r="A2474" s="10" t="s">
        <v>5817</v>
      </c>
      <c r="B2474" s="10" t="s">
        <v>45</v>
      </c>
      <c r="C2474" s="8" t="s">
        <v>5818</v>
      </c>
      <c r="D2474" s="8" t="s">
        <v>5819</v>
      </c>
      <c r="E2474" s="11" t="n">
        <v>55</v>
      </c>
      <c r="F2474" s="8" t="str">
        <f aca="false">IFERROR(INDEX(Section_Master!$D$2:$D$477,MATCH($E2474,Section_Master!$A$2:$A$477,0))&amp;"","")</f>
        <v>Imprisonment up to 7 years and fine; up to 14 years and fine if the act abetted causes harm [s.55]</v>
      </c>
      <c r="G2474" s="10" t="str">
        <f aca="false">IFERROR(INDEX(Section_Master!$E$2:$E$477,MATCH($E2474,Section_Master!$A$2:$A$477,0))&amp;"","")</f>
        <v>Same as underlying offence</v>
      </c>
      <c r="H2474" s="10" t="str">
        <f aca="false">IFERROR(INDEX(Section_Master!$F$2:$F$477,MATCH($E2474,Section_Master!$A$2:$A$477,0))&amp;"","")</f>
        <v>Same as underlying offence</v>
      </c>
      <c r="I2474" s="10" t="str">
        <f aca="false">IFERROR(INDEX(Section_Master!$G$2:$G$477,MATCH($E2474,Section_Master!$A$2:$A$477,0))&amp;"","")</f>
        <v>Same as underlying offence</v>
      </c>
      <c r="J2474" s="10" t="s">
        <v>48</v>
      </c>
      <c r="K2474" s="8" t="s">
        <v>5820</v>
      </c>
    </row>
    <row r="2475" customFormat="false" ht="34.5" hidden="false" customHeight="true" outlineLevel="0" collapsed="false">
      <c r="A2475" s="10" t="s">
        <v>5821</v>
      </c>
      <c r="B2475" s="10" t="s">
        <v>45</v>
      </c>
      <c r="C2475" s="8" t="s">
        <v>5818</v>
      </c>
      <c r="D2475" s="8" t="s">
        <v>5822</v>
      </c>
      <c r="E2475" s="11" t="n">
        <v>55</v>
      </c>
      <c r="F2475" s="8" t="str">
        <f aca="false">IFERROR(INDEX(Section_Master!$D$2:$D$477,MATCH($E2475,Section_Master!$A$2:$A$477,0))&amp;"","")</f>
        <v>Imprisonment up to 7 years and fine; up to 14 years and fine if the act abetted causes harm [s.55]</v>
      </c>
      <c r="G2475" s="10" t="str">
        <f aca="false">IFERROR(INDEX(Section_Master!$E$2:$E$477,MATCH($E2475,Section_Master!$A$2:$A$477,0))&amp;"","")</f>
        <v>Same as underlying offence</v>
      </c>
      <c r="H2475" s="10" t="str">
        <f aca="false">IFERROR(INDEX(Section_Master!$F$2:$F$477,MATCH($E2475,Section_Master!$A$2:$A$477,0))&amp;"","")</f>
        <v>Same as underlying offence</v>
      </c>
      <c r="I2475" s="10" t="str">
        <f aca="false">IFERROR(INDEX(Section_Master!$G$2:$G$477,MATCH($E2475,Section_Master!$A$2:$A$477,0))&amp;"","")</f>
        <v>Same as underlying offence</v>
      </c>
      <c r="J2475" s="10" t="s">
        <v>52</v>
      </c>
      <c r="K2475" s="8" t="s">
        <v>5820</v>
      </c>
    </row>
    <row r="2476" customFormat="false" ht="23.25" hidden="false" customHeight="true" outlineLevel="0" collapsed="false">
      <c r="A2476" s="10" t="s">
        <v>5823</v>
      </c>
      <c r="B2476" s="10" t="s">
        <v>45</v>
      </c>
      <c r="C2476" s="8" t="s">
        <v>5818</v>
      </c>
      <c r="D2476" s="8" t="s">
        <v>5824</v>
      </c>
      <c r="E2476" s="11" t="n">
        <v>55</v>
      </c>
      <c r="F2476" s="8" t="str">
        <f aca="false">IFERROR(INDEX(Section_Master!$D$2:$D$477,MATCH($E2476,Section_Master!$A$2:$A$477,0))&amp;"","")</f>
        <v>Imprisonment up to 7 years and fine; up to 14 years and fine if the act abetted causes harm [s.55]</v>
      </c>
      <c r="G2476" s="10" t="str">
        <f aca="false">IFERROR(INDEX(Section_Master!$E$2:$E$477,MATCH($E2476,Section_Master!$A$2:$A$477,0))&amp;"","")</f>
        <v>Same as underlying offence</v>
      </c>
      <c r="H2476" s="10" t="str">
        <f aca="false">IFERROR(INDEX(Section_Master!$F$2:$F$477,MATCH($E2476,Section_Master!$A$2:$A$477,0))&amp;"","")</f>
        <v>Same as underlying offence</v>
      </c>
      <c r="I2476" s="10" t="str">
        <f aca="false">IFERROR(INDEX(Section_Master!$G$2:$G$477,MATCH($E2476,Section_Master!$A$2:$A$477,0))&amp;"","")</f>
        <v>Same as underlying offence</v>
      </c>
      <c r="J2476" s="10" t="s">
        <v>55</v>
      </c>
      <c r="K2476" s="8" t="s">
        <v>5820</v>
      </c>
    </row>
    <row r="2477" customFormat="false" ht="23.25" hidden="false" customHeight="true" outlineLevel="0" collapsed="false">
      <c r="A2477" s="10" t="s">
        <v>5825</v>
      </c>
      <c r="B2477" s="10" t="s">
        <v>45</v>
      </c>
      <c r="C2477" s="8" t="s">
        <v>5818</v>
      </c>
      <c r="D2477" s="8" t="s">
        <v>5826</v>
      </c>
      <c r="E2477" s="11" t="n">
        <v>55</v>
      </c>
      <c r="F2477" s="8" t="str">
        <f aca="false">IFERROR(INDEX(Section_Master!$D$2:$D$477,MATCH($E2477,Section_Master!$A$2:$A$477,0))&amp;"","")</f>
        <v>Imprisonment up to 7 years and fine; up to 14 years and fine if the act abetted causes harm [s.55]</v>
      </c>
      <c r="G2477" s="10" t="str">
        <f aca="false">IFERROR(INDEX(Section_Master!$E$2:$E$477,MATCH($E2477,Section_Master!$A$2:$A$477,0))&amp;"","")</f>
        <v>Same as underlying offence</v>
      </c>
      <c r="H2477" s="10" t="str">
        <f aca="false">IFERROR(INDEX(Section_Master!$F$2:$F$477,MATCH($E2477,Section_Master!$A$2:$A$477,0))&amp;"","")</f>
        <v>Same as underlying offence</v>
      </c>
      <c r="I2477" s="10" t="str">
        <f aca="false">IFERROR(INDEX(Section_Master!$G$2:$G$477,MATCH($E2477,Section_Master!$A$2:$A$477,0))&amp;"","")</f>
        <v>Same as underlying offence</v>
      </c>
      <c r="J2477" s="10" t="s">
        <v>58</v>
      </c>
      <c r="K2477" s="8" t="s">
        <v>5820</v>
      </c>
    </row>
    <row r="2478" customFormat="false" ht="23.25" hidden="false" customHeight="true" outlineLevel="0" collapsed="false">
      <c r="A2478" s="10" t="s">
        <v>5827</v>
      </c>
      <c r="B2478" s="10" t="s">
        <v>45</v>
      </c>
      <c r="C2478" s="8" t="s">
        <v>5818</v>
      </c>
      <c r="D2478" s="8" t="s">
        <v>5828</v>
      </c>
      <c r="E2478" s="11" t="n">
        <v>55</v>
      </c>
      <c r="F2478" s="8" t="str">
        <f aca="false">IFERROR(INDEX(Section_Master!$D$2:$D$477,MATCH($E2478,Section_Master!$A$2:$A$477,0))&amp;"","")</f>
        <v>Imprisonment up to 7 years and fine; up to 14 years and fine if the act abetted causes harm [s.55]</v>
      </c>
      <c r="G2478" s="10" t="str">
        <f aca="false">IFERROR(INDEX(Section_Master!$E$2:$E$477,MATCH($E2478,Section_Master!$A$2:$A$477,0))&amp;"","")</f>
        <v>Same as underlying offence</v>
      </c>
      <c r="H2478" s="10" t="str">
        <f aca="false">IFERROR(INDEX(Section_Master!$F$2:$F$477,MATCH($E2478,Section_Master!$A$2:$A$477,0))&amp;"","")</f>
        <v>Same as underlying offence</v>
      </c>
      <c r="I2478" s="10" t="str">
        <f aca="false">IFERROR(INDEX(Section_Master!$G$2:$G$477,MATCH($E2478,Section_Master!$A$2:$A$477,0))&amp;"","")</f>
        <v>Same as underlying offence</v>
      </c>
      <c r="J2478" s="10" t="s">
        <v>61</v>
      </c>
      <c r="K2478" s="8" t="s">
        <v>5820</v>
      </c>
    </row>
    <row r="2479" customFormat="false" ht="23.25" hidden="false" customHeight="true" outlineLevel="0" collapsed="false">
      <c r="A2479" s="10" t="s">
        <v>5829</v>
      </c>
      <c r="B2479" s="10" t="s">
        <v>45</v>
      </c>
      <c r="C2479" s="8" t="s">
        <v>5818</v>
      </c>
      <c r="D2479" s="8" t="s">
        <v>5830</v>
      </c>
      <c r="E2479" s="11" t="n">
        <v>55</v>
      </c>
      <c r="F2479" s="8" t="str">
        <f aca="false">IFERROR(INDEX(Section_Master!$D$2:$D$477,MATCH($E2479,Section_Master!$A$2:$A$477,0))&amp;"","")</f>
        <v>Imprisonment up to 7 years and fine; up to 14 years and fine if the act abetted causes harm [s.55]</v>
      </c>
      <c r="G2479" s="10" t="str">
        <f aca="false">IFERROR(INDEX(Section_Master!$E$2:$E$477,MATCH($E2479,Section_Master!$A$2:$A$477,0))&amp;"","")</f>
        <v>Same as underlying offence</v>
      </c>
      <c r="H2479" s="10" t="str">
        <f aca="false">IFERROR(INDEX(Section_Master!$F$2:$F$477,MATCH($E2479,Section_Master!$A$2:$A$477,0))&amp;"","")</f>
        <v>Same as underlying offence</v>
      </c>
      <c r="I2479" s="10" t="str">
        <f aca="false">IFERROR(INDEX(Section_Master!$G$2:$G$477,MATCH($E2479,Section_Master!$A$2:$A$477,0))&amp;"","")</f>
        <v>Same as underlying offence</v>
      </c>
      <c r="J2479" s="10" t="s">
        <v>64</v>
      </c>
      <c r="K2479" s="8" t="s">
        <v>5820</v>
      </c>
    </row>
    <row r="2480" customFormat="false" ht="23.25" hidden="false" customHeight="true" outlineLevel="0" collapsed="false">
      <c r="A2480" s="10" t="s">
        <v>5831</v>
      </c>
      <c r="B2480" s="10" t="s">
        <v>45</v>
      </c>
      <c r="C2480" s="8" t="s">
        <v>5832</v>
      </c>
      <c r="D2480" s="8" t="s">
        <v>5833</v>
      </c>
      <c r="E2480" s="11" t="n">
        <v>56</v>
      </c>
      <c r="F2480" s="8" t="str">
        <f aca="false">IFERROR(INDEX(Section_Master!$D$2:$D$477,MATCH($E2480,Section_Master!$A$2:$A$477,0))&amp;"","")</f>
        <v>Imprisonment up to one-fourth of the longest term for the offence, or fine, or both; up to half of it if the act abetted causes harm [s.56]</v>
      </c>
      <c r="G2480" s="10" t="str">
        <f aca="false">IFERROR(INDEX(Section_Master!$E$2:$E$477,MATCH($E2480,Section_Master!$A$2:$A$477,0))&amp;"","")</f>
        <v>Same as underlying offence</v>
      </c>
      <c r="H2480" s="10" t="str">
        <f aca="false">IFERROR(INDEX(Section_Master!$F$2:$F$477,MATCH($E2480,Section_Master!$A$2:$A$477,0))&amp;"","")</f>
        <v>Same as underlying offence</v>
      </c>
      <c r="I2480" s="10" t="str">
        <f aca="false">IFERROR(INDEX(Section_Master!$G$2:$G$477,MATCH($E2480,Section_Master!$A$2:$A$477,0))&amp;"","")</f>
        <v>Same as underlying offence</v>
      </c>
      <c r="J2480" s="10" t="s">
        <v>48</v>
      </c>
      <c r="K2480" s="8" t="s">
        <v>5834</v>
      </c>
    </row>
    <row r="2481" customFormat="false" ht="34.5" hidden="false" customHeight="true" outlineLevel="0" collapsed="false">
      <c r="A2481" s="10" t="s">
        <v>5835</v>
      </c>
      <c r="B2481" s="10" t="s">
        <v>45</v>
      </c>
      <c r="C2481" s="8" t="s">
        <v>5832</v>
      </c>
      <c r="D2481" s="8" t="s">
        <v>5836</v>
      </c>
      <c r="E2481" s="11" t="n">
        <v>56</v>
      </c>
      <c r="F2481" s="8" t="str">
        <f aca="false">IFERROR(INDEX(Section_Master!$D$2:$D$477,MATCH($E2481,Section_Master!$A$2:$A$477,0))&amp;"","")</f>
        <v>Imprisonment up to one-fourth of the longest term for the offence, or fine, or both; up to half of it if the act abetted causes harm [s.56]</v>
      </c>
      <c r="G2481" s="10" t="str">
        <f aca="false">IFERROR(INDEX(Section_Master!$E$2:$E$477,MATCH($E2481,Section_Master!$A$2:$A$477,0))&amp;"","")</f>
        <v>Same as underlying offence</v>
      </c>
      <c r="H2481" s="10" t="str">
        <f aca="false">IFERROR(INDEX(Section_Master!$F$2:$F$477,MATCH($E2481,Section_Master!$A$2:$A$477,0))&amp;"","")</f>
        <v>Same as underlying offence</v>
      </c>
      <c r="I2481" s="10" t="str">
        <f aca="false">IFERROR(INDEX(Section_Master!$G$2:$G$477,MATCH($E2481,Section_Master!$A$2:$A$477,0))&amp;"","")</f>
        <v>Same as underlying offence</v>
      </c>
      <c r="J2481" s="10" t="s">
        <v>52</v>
      </c>
      <c r="K2481" s="8" t="s">
        <v>5834</v>
      </c>
    </row>
    <row r="2482" customFormat="false" ht="23.25" hidden="false" customHeight="true" outlineLevel="0" collapsed="false">
      <c r="A2482" s="10" t="s">
        <v>5837</v>
      </c>
      <c r="B2482" s="10" t="s">
        <v>45</v>
      </c>
      <c r="C2482" s="8" t="s">
        <v>5832</v>
      </c>
      <c r="D2482" s="8" t="s">
        <v>5838</v>
      </c>
      <c r="E2482" s="11" t="n">
        <v>56</v>
      </c>
      <c r="F2482" s="8" t="str">
        <f aca="false">IFERROR(INDEX(Section_Master!$D$2:$D$477,MATCH($E2482,Section_Master!$A$2:$A$477,0))&amp;"","")</f>
        <v>Imprisonment up to one-fourth of the longest term for the offence, or fine, or both; up to half of it if the act abetted causes harm [s.56]</v>
      </c>
      <c r="G2482" s="10" t="str">
        <f aca="false">IFERROR(INDEX(Section_Master!$E$2:$E$477,MATCH($E2482,Section_Master!$A$2:$A$477,0))&amp;"","")</f>
        <v>Same as underlying offence</v>
      </c>
      <c r="H2482" s="10" t="str">
        <f aca="false">IFERROR(INDEX(Section_Master!$F$2:$F$477,MATCH($E2482,Section_Master!$A$2:$A$477,0))&amp;"","")</f>
        <v>Same as underlying offence</v>
      </c>
      <c r="I2482" s="10" t="str">
        <f aca="false">IFERROR(INDEX(Section_Master!$G$2:$G$477,MATCH($E2482,Section_Master!$A$2:$A$477,0))&amp;"","")</f>
        <v>Same as underlying offence</v>
      </c>
      <c r="J2482" s="10" t="s">
        <v>55</v>
      </c>
      <c r="K2482" s="8" t="s">
        <v>5834</v>
      </c>
    </row>
    <row r="2483" customFormat="false" ht="23.25" hidden="false" customHeight="true" outlineLevel="0" collapsed="false">
      <c r="A2483" s="10" t="s">
        <v>5839</v>
      </c>
      <c r="B2483" s="10" t="s">
        <v>45</v>
      </c>
      <c r="C2483" s="8" t="s">
        <v>5832</v>
      </c>
      <c r="D2483" s="8" t="s">
        <v>5840</v>
      </c>
      <c r="E2483" s="11" t="n">
        <v>56</v>
      </c>
      <c r="F2483" s="8" t="str">
        <f aca="false">IFERROR(INDEX(Section_Master!$D$2:$D$477,MATCH($E2483,Section_Master!$A$2:$A$477,0))&amp;"","")</f>
        <v>Imprisonment up to one-fourth of the longest term for the offence, or fine, or both; up to half of it if the act abetted causes harm [s.56]</v>
      </c>
      <c r="G2483" s="10" t="str">
        <f aca="false">IFERROR(INDEX(Section_Master!$E$2:$E$477,MATCH($E2483,Section_Master!$A$2:$A$477,0))&amp;"","")</f>
        <v>Same as underlying offence</v>
      </c>
      <c r="H2483" s="10" t="str">
        <f aca="false">IFERROR(INDEX(Section_Master!$F$2:$F$477,MATCH($E2483,Section_Master!$A$2:$A$477,0))&amp;"","")</f>
        <v>Same as underlying offence</v>
      </c>
      <c r="I2483" s="10" t="str">
        <f aca="false">IFERROR(INDEX(Section_Master!$G$2:$G$477,MATCH($E2483,Section_Master!$A$2:$A$477,0))&amp;"","")</f>
        <v>Same as underlying offence</v>
      </c>
      <c r="J2483" s="10" t="s">
        <v>58</v>
      </c>
      <c r="K2483" s="8" t="s">
        <v>5834</v>
      </c>
    </row>
    <row r="2484" customFormat="false" ht="23.25" hidden="false" customHeight="true" outlineLevel="0" collapsed="false">
      <c r="A2484" s="10" t="s">
        <v>5841</v>
      </c>
      <c r="B2484" s="10" t="s">
        <v>45</v>
      </c>
      <c r="C2484" s="8" t="s">
        <v>5832</v>
      </c>
      <c r="D2484" s="8" t="s">
        <v>5842</v>
      </c>
      <c r="E2484" s="11" t="n">
        <v>56</v>
      </c>
      <c r="F2484" s="8" t="str">
        <f aca="false">IFERROR(INDEX(Section_Master!$D$2:$D$477,MATCH($E2484,Section_Master!$A$2:$A$477,0))&amp;"","")</f>
        <v>Imprisonment up to one-fourth of the longest term for the offence, or fine, or both; up to half of it if the act abetted causes harm [s.56]</v>
      </c>
      <c r="G2484" s="10" t="str">
        <f aca="false">IFERROR(INDEX(Section_Master!$E$2:$E$477,MATCH($E2484,Section_Master!$A$2:$A$477,0))&amp;"","")</f>
        <v>Same as underlying offence</v>
      </c>
      <c r="H2484" s="10" t="str">
        <f aca="false">IFERROR(INDEX(Section_Master!$F$2:$F$477,MATCH($E2484,Section_Master!$A$2:$A$477,0))&amp;"","")</f>
        <v>Same as underlying offence</v>
      </c>
      <c r="I2484" s="10" t="str">
        <f aca="false">IFERROR(INDEX(Section_Master!$G$2:$G$477,MATCH($E2484,Section_Master!$A$2:$A$477,0))&amp;"","")</f>
        <v>Same as underlying offence</v>
      </c>
      <c r="J2484" s="10" t="s">
        <v>61</v>
      </c>
      <c r="K2484" s="8" t="s">
        <v>5834</v>
      </c>
    </row>
    <row r="2485" customFormat="false" ht="23.25" hidden="false" customHeight="true" outlineLevel="0" collapsed="false">
      <c r="A2485" s="10" t="s">
        <v>5843</v>
      </c>
      <c r="B2485" s="10" t="s">
        <v>45</v>
      </c>
      <c r="C2485" s="8" t="s">
        <v>5832</v>
      </c>
      <c r="D2485" s="8" t="s">
        <v>5844</v>
      </c>
      <c r="E2485" s="11" t="n">
        <v>56</v>
      </c>
      <c r="F2485" s="8" t="str">
        <f aca="false">IFERROR(INDEX(Section_Master!$D$2:$D$477,MATCH($E2485,Section_Master!$A$2:$A$477,0))&amp;"","")</f>
        <v>Imprisonment up to one-fourth of the longest term for the offence, or fine, or both; up to half of it if the act abetted causes harm [s.56]</v>
      </c>
      <c r="G2485" s="10" t="str">
        <f aca="false">IFERROR(INDEX(Section_Master!$E$2:$E$477,MATCH($E2485,Section_Master!$A$2:$A$477,0))&amp;"","")</f>
        <v>Same as underlying offence</v>
      </c>
      <c r="H2485" s="10" t="str">
        <f aca="false">IFERROR(INDEX(Section_Master!$F$2:$F$477,MATCH($E2485,Section_Master!$A$2:$A$477,0))&amp;"","")</f>
        <v>Same as underlying offence</v>
      </c>
      <c r="I2485" s="10" t="str">
        <f aca="false">IFERROR(INDEX(Section_Master!$G$2:$G$477,MATCH($E2485,Section_Master!$A$2:$A$477,0))&amp;"","")</f>
        <v>Same as underlying offence</v>
      </c>
      <c r="J2485" s="10" t="s">
        <v>64</v>
      </c>
      <c r="K2485" s="8" t="s">
        <v>5834</v>
      </c>
    </row>
    <row r="2486" customFormat="false" ht="34.5" hidden="false" customHeight="true" outlineLevel="0" collapsed="false">
      <c r="A2486" s="10" t="s">
        <v>5845</v>
      </c>
      <c r="B2486" s="10" t="s">
        <v>45</v>
      </c>
      <c r="C2486" s="8" t="s">
        <v>5846</v>
      </c>
      <c r="D2486" s="8" t="s">
        <v>5847</v>
      </c>
      <c r="E2486" s="11" t="n">
        <v>57</v>
      </c>
      <c r="F2486" s="8" t="str">
        <f aca="false">IFERROR(INDEX(Section_Master!$D$2:$D$477,MATCH($E2486,Section_Master!$A$2:$A$477,0))&amp;"","")</f>
        <v>Imprisonment up to 3 years, or fine, or both [s.57]</v>
      </c>
      <c r="G2486" s="10" t="str">
        <f aca="false">IFERROR(INDEX(Section_Master!$E$2:$E$477,MATCH($E2486,Section_Master!$A$2:$A$477,0))&amp;"","")</f>
        <v>Same as underlying offence</v>
      </c>
      <c r="H2486" s="10" t="str">
        <f aca="false">IFERROR(INDEX(Section_Master!$F$2:$F$477,MATCH($E2486,Section_Master!$A$2:$A$477,0))&amp;"","")</f>
        <v>Same as underlying offence</v>
      </c>
      <c r="I2486" s="10" t="str">
        <f aca="false">IFERROR(INDEX(Section_Master!$G$2:$G$477,MATCH($E2486,Section_Master!$A$2:$A$477,0))&amp;"","")</f>
        <v>Same as underlying offence</v>
      </c>
      <c r="J2486" s="10" t="s">
        <v>48</v>
      </c>
      <c r="K2486" s="8" t="s">
        <v>5848</v>
      </c>
    </row>
    <row r="2487" customFormat="false" ht="34.5" hidden="false" customHeight="true" outlineLevel="0" collapsed="false">
      <c r="A2487" s="10" t="s">
        <v>5849</v>
      </c>
      <c r="B2487" s="10" t="s">
        <v>45</v>
      </c>
      <c r="C2487" s="8" t="s">
        <v>5846</v>
      </c>
      <c r="D2487" s="8" t="s">
        <v>5850</v>
      </c>
      <c r="E2487" s="11" t="n">
        <v>57</v>
      </c>
      <c r="F2487" s="8" t="str">
        <f aca="false">IFERROR(INDEX(Section_Master!$D$2:$D$477,MATCH($E2487,Section_Master!$A$2:$A$477,0))&amp;"","")</f>
        <v>Imprisonment up to 3 years, or fine, or both [s.57]</v>
      </c>
      <c r="G2487" s="10" t="str">
        <f aca="false">IFERROR(INDEX(Section_Master!$E$2:$E$477,MATCH($E2487,Section_Master!$A$2:$A$477,0))&amp;"","")</f>
        <v>Same as underlying offence</v>
      </c>
      <c r="H2487" s="10" t="str">
        <f aca="false">IFERROR(INDEX(Section_Master!$F$2:$F$477,MATCH($E2487,Section_Master!$A$2:$A$477,0))&amp;"","")</f>
        <v>Same as underlying offence</v>
      </c>
      <c r="I2487" s="10" t="str">
        <f aca="false">IFERROR(INDEX(Section_Master!$G$2:$G$477,MATCH($E2487,Section_Master!$A$2:$A$477,0))&amp;"","")</f>
        <v>Same as underlying offence</v>
      </c>
      <c r="J2487" s="10" t="s">
        <v>52</v>
      </c>
      <c r="K2487" s="8" t="s">
        <v>5848</v>
      </c>
    </row>
    <row r="2488" customFormat="false" ht="34.5" hidden="false" customHeight="true" outlineLevel="0" collapsed="false">
      <c r="A2488" s="10" t="s">
        <v>5851</v>
      </c>
      <c r="B2488" s="10" t="s">
        <v>45</v>
      </c>
      <c r="C2488" s="8" t="s">
        <v>5846</v>
      </c>
      <c r="D2488" s="8" t="s">
        <v>5852</v>
      </c>
      <c r="E2488" s="11" t="n">
        <v>57</v>
      </c>
      <c r="F2488" s="8" t="str">
        <f aca="false">IFERROR(INDEX(Section_Master!$D$2:$D$477,MATCH($E2488,Section_Master!$A$2:$A$477,0))&amp;"","")</f>
        <v>Imprisonment up to 3 years, or fine, or both [s.57]</v>
      </c>
      <c r="G2488" s="10" t="str">
        <f aca="false">IFERROR(INDEX(Section_Master!$E$2:$E$477,MATCH($E2488,Section_Master!$A$2:$A$477,0))&amp;"","")</f>
        <v>Same as underlying offence</v>
      </c>
      <c r="H2488" s="10" t="str">
        <f aca="false">IFERROR(INDEX(Section_Master!$F$2:$F$477,MATCH($E2488,Section_Master!$A$2:$A$477,0))&amp;"","")</f>
        <v>Same as underlying offence</v>
      </c>
      <c r="I2488" s="10" t="str">
        <f aca="false">IFERROR(INDEX(Section_Master!$G$2:$G$477,MATCH($E2488,Section_Master!$A$2:$A$477,0))&amp;"","")</f>
        <v>Same as underlying offence</v>
      </c>
      <c r="J2488" s="10" t="s">
        <v>55</v>
      </c>
      <c r="K2488" s="8" t="s">
        <v>5848</v>
      </c>
    </row>
    <row r="2489" customFormat="false" ht="34.5" hidden="false" customHeight="true" outlineLevel="0" collapsed="false">
      <c r="A2489" s="10" t="s">
        <v>5853</v>
      </c>
      <c r="B2489" s="10" t="s">
        <v>45</v>
      </c>
      <c r="C2489" s="8" t="s">
        <v>5846</v>
      </c>
      <c r="D2489" s="8" t="s">
        <v>5854</v>
      </c>
      <c r="E2489" s="11" t="n">
        <v>57</v>
      </c>
      <c r="F2489" s="8" t="str">
        <f aca="false">IFERROR(INDEX(Section_Master!$D$2:$D$477,MATCH($E2489,Section_Master!$A$2:$A$477,0))&amp;"","")</f>
        <v>Imprisonment up to 3 years, or fine, or both [s.57]</v>
      </c>
      <c r="G2489" s="10" t="str">
        <f aca="false">IFERROR(INDEX(Section_Master!$E$2:$E$477,MATCH($E2489,Section_Master!$A$2:$A$477,0))&amp;"","")</f>
        <v>Same as underlying offence</v>
      </c>
      <c r="H2489" s="10" t="str">
        <f aca="false">IFERROR(INDEX(Section_Master!$F$2:$F$477,MATCH($E2489,Section_Master!$A$2:$A$477,0))&amp;"","")</f>
        <v>Same as underlying offence</v>
      </c>
      <c r="I2489" s="10" t="str">
        <f aca="false">IFERROR(INDEX(Section_Master!$G$2:$G$477,MATCH($E2489,Section_Master!$A$2:$A$477,0))&amp;"","")</f>
        <v>Same as underlying offence</v>
      </c>
      <c r="J2489" s="10" t="s">
        <v>58</v>
      </c>
      <c r="K2489" s="8" t="s">
        <v>5848</v>
      </c>
    </row>
    <row r="2490" customFormat="false" ht="34.5" hidden="false" customHeight="true" outlineLevel="0" collapsed="false">
      <c r="A2490" s="10" t="s">
        <v>5855</v>
      </c>
      <c r="B2490" s="10" t="s">
        <v>45</v>
      </c>
      <c r="C2490" s="8" t="s">
        <v>5846</v>
      </c>
      <c r="D2490" s="8" t="s">
        <v>5856</v>
      </c>
      <c r="E2490" s="11" t="n">
        <v>57</v>
      </c>
      <c r="F2490" s="8" t="str">
        <f aca="false">IFERROR(INDEX(Section_Master!$D$2:$D$477,MATCH($E2490,Section_Master!$A$2:$A$477,0))&amp;"","")</f>
        <v>Imprisonment up to 3 years, or fine, or both [s.57]</v>
      </c>
      <c r="G2490" s="10" t="str">
        <f aca="false">IFERROR(INDEX(Section_Master!$E$2:$E$477,MATCH($E2490,Section_Master!$A$2:$A$477,0))&amp;"","")</f>
        <v>Same as underlying offence</v>
      </c>
      <c r="H2490" s="10" t="str">
        <f aca="false">IFERROR(INDEX(Section_Master!$F$2:$F$477,MATCH($E2490,Section_Master!$A$2:$A$477,0))&amp;"","")</f>
        <v>Same as underlying offence</v>
      </c>
      <c r="I2490" s="10" t="str">
        <f aca="false">IFERROR(INDEX(Section_Master!$G$2:$G$477,MATCH($E2490,Section_Master!$A$2:$A$477,0))&amp;"","")</f>
        <v>Same as underlying offence</v>
      </c>
      <c r="J2490" s="10" t="s">
        <v>61</v>
      </c>
      <c r="K2490" s="8" t="s">
        <v>5848</v>
      </c>
    </row>
    <row r="2491" customFormat="false" ht="34.5" hidden="false" customHeight="true" outlineLevel="0" collapsed="false">
      <c r="A2491" s="10" t="s">
        <v>5857</v>
      </c>
      <c r="B2491" s="10" t="s">
        <v>45</v>
      </c>
      <c r="C2491" s="8" t="s">
        <v>5846</v>
      </c>
      <c r="D2491" s="8" t="s">
        <v>5858</v>
      </c>
      <c r="E2491" s="11" t="n">
        <v>57</v>
      </c>
      <c r="F2491" s="8" t="str">
        <f aca="false">IFERROR(INDEX(Section_Master!$D$2:$D$477,MATCH($E2491,Section_Master!$A$2:$A$477,0))&amp;"","")</f>
        <v>Imprisonment up to 3 years, or fine, or both [s.57]</v>
      </c>
      <c r="G2491" s="10" t="str">
        <f aca="false">IFERROR(INDEX(Section_Master!$E$2:$E$477,MATCH($E2491,Section_Master!$A$2:$A$477,0))&amp;"","")</f>
        <v>Same as underlying offence</v>
      </c>
      <c r="H2491" s="10" t="str">
        <f aca="false">IFERROR(INDEX(Section_Master!$F$2:$F$477,MATCH($E2491,Section_Master!$A$2:$A$477,0))&amp;"","")</f>
        <v>Same as underlying offence</v>
      </c>
      <c r="I2491" s="10" t="str">
        <f aca="false">IFERROR(INDEX(Section_Master!$G$2:$G$477,MATCH($E2491,Section_Master!$A$2:$A$477,0))&amp;"","")</f>
        <v>Same as underlying offence</v>
      </c>
      <c r="J2491" s="10" t="s">
        <v>64</v>
      </c>
      <c r="K2491" s="8" t="s">
        <v>5848</v>
      </c>
    </row>
    <row r="2492" customFormat="false" ht="34.5" hidden="false" customHeight="true" outlineLevel="0" collapsed="false">
      <c r="A2492" s="10" t="s">
        <v>5859</v>
      </c>
      <c r="B2492" s="10" t="s">
        <v>45</v>
      </c>
      <c r="C2492" s="8" t="s">
        <v>5860</v>
      </c>
      <c r="D2492" s="8" t="s">
        <v>5861</v>
      </c>
      <c r="E2492" s="11" t="n">
        <v>58</v>
      </c>
      <c r="F2492" s="8" t="str">
        <f aca="false">IFERROR(INDEX(Section_Master!$D$2:$D$477,MATCH($E2492,Section_Master!$A$2:$A$477,0))&amp;"","")</f>
        <v>Imprisonment up to 7 years and fine if the offence is committed; up to 3 years and fine if not [s.58]</v>
      </c>
      <c r="G2492" s="10" t="str">
        <f aca="false">IFERROR(INDEX(Section_Master!$E$2:$E$477,MATCH($E2492,Section_Master!$A$2:$A$477,0))&amp;"","")</f>
        <v>Same as underlying offence</v>
      </c>
      <c r="H2492" s="10" t="str">
        <f aca="false">IFERROR(INDEX(Section_Master!$F$2:$F$477,MATCH($E2492,Section_Master!$A$2:$A$477,0))&amp;"","")</f>
        <v>Same as underlying offence</v>
      </c>
      <c r="I2492" s="10" t="str">
        <f aca="false">IFERROR(INDEX(Section_Master!$G$2:$G$477,MATCH($E2492,Section_Master!$A$2:$A$477,0))&amp;"","")</f>
        <v>Same as underlying offence</v>
      </c>
      <c r="J2492" s="10" t="s">
        <v>48</v>
      </c>
      <c r="K2492" s="8" t="s">
        <v>5862</v>
      </c>
    </row>
    <row r="2493" customFormat="false" ht="34.5" hidden="false" customHeight="true" outlineLevel="0" collapsed="false">
      <c r="A2493" s="10" t="s">
        <v>5863</v>
      </c>
      <c r="B2493" s="10" t="s">
        <v>45</v>
      </c>
      <c r="C2493" s="8" t="s">
        <v>5860</v>
      </c>
      <c r="D2493" s="8" t="s">
        <v>5864</v>
      </c>
      <c r="E2493" s="11" t="n">
        <v>58</v>
      </c>
      <c r="F2493" s="8" t="str">
        <f aca="false">IFERROR(INDEX(Section_Master!$D$2:$D$477,MATCH($E2493,Section_Master!$A$2:$A$477,0))&amp;"","")</f>
        <v>Imprisonment up to 7 years and fine if the offence is committed; up to 3 years and fine if not [s.58]</v>
      </c>
      <c r="G2493" s="10" t="str">
        <f aca="false">IFERROR(INDEX(Section_Master!$E$2:$E$477,MATCH($E2493,Section_Master!$A$2:$A$477,0))&amp;"","")</f>
        <v>Same as underlying offence</v>
      </c>
      <c r="H2493" s="10" t="str">
        <f aca="false">IFERROR(INDEX(Section_Master!$F$2:$F$477,MATCH($E2493,Section_Master!$A$2:$A$477,0))&amp;"","")</f>
        <v>Same as underlying offence</v>
      </c>
      <c r="I2493" s="10" t="str">
        <f aca="false">IFERROR(INDEX(Section_Master!$G$2:$G$477,MATCH($E2493,Section_Master!$A$2:$A$477,0))&amp;"","")</f>
        <v>Same as underlying offence</v>
      </c>
      <c r="J2493" s="10" t="s">
        <v>52</v>
      </c>
      <c r="K2493" s="8" t="s">
        <v>5862</v>
      </c>
    </row>
    <row r="2494" customFormat="false" ht="23.25" hidden="false" customHeight="true" outlineLevel="0" collapsed="false">
      <c r="A2494" s="10" t="s">
        <v>5865</v>
      </c>
      <c r="B2494" s="10" t="s">
        <v>45</v>
      </c>
      <c r="C2494" s="8" t="s">
        <v>5860</v>
      </c>
      <c r="D2494" s="8" t="s">
        <v>5866</v>
      </c>
      <c r="E2494" s="11" t="n">
        <v>58</v>
      </c>
      <c r="F2494" s="8" t="str">
        <f aca="false">IFERROR(INDEX(Section_Master!$D$2:$D$477,MATCH($E2494,Section_Master!$A$2:$A$477,0))&amp;"","")</f>
        <v>Imprisonment up to 7 years and fine if the offence is committed; up to 3 years and fine if not [s.58]</v>
      </c>
      <c r="G2494" s="10" t="str">
        <f aca="false">IFERROR(INDEX(Section_Master!$E$2:$E$477,MATCH($E2494,Section_Master!$A$2:$A$477,0))&amp;"","")</f>
        <v>Same as underlying offence</v>
      </c>
      <c r="H2494" s="10" t="str">
        <f aca="false">IFERROR(INDEX(Section_Master!$F$2:$F$477,MATCH($E2494,Section_Master!$A$2:$A$477,0))&amp;"","")</f>
        <v>Same as underlying offence</v>
      </c>
      <c r="I2494" s="10" t="str">
        <f aca="false">IFERROR(INDEX(Section_Master!$G$2:$G$477,MATCH($E2494,Section_Master!$A$2:$A$477,0))&amp;"","")</f>
        <v>Same as underlying offence</v>
      </c>
      <c r="J2494" s="10" t="s">
        <v>55</v>
      </c>
      <c r="K2494" s="8" t="s">
        <v>5862</v>
      </c>
    </row>
    <row r="2495" customFormat="false" ht="23.25" hidden="false" customHeight="true" outlineLevel="0" collapsed="false">
      <c r="A2495" s="10" t="s">
        <v>5867</v>
      </c>
      <c r="B2495" s="10" t="s">
        <v>45</v>
      </c>
      <c r="C2495" s="8" t="s">
        <v>5860</v>
      </c>
      <c r="D2495" s="8" t="s">
        <v>5868</v>
      </c>
      <c r="E2495" s="11" t="n">
        <v>58</v>
      </c>
      <c r="F2495" s="8" t="str">
        <f aca="false">IFERROR(INDEX(Section_Master!$D$2:$D$477,MATCH($E2495,Section_Master!$A$2:$A$477,0))&amp;"","")</f>
        <v>Imprisonment up to 7 years and fine if the offence is committed; up to 3 years and fine if not [s.58]</v>
      </c>
      <c r="G2495" s="10" t="str">
        <f aca="false">IFERROR(INDEX(Section_Master!$E$2:$E$477,MATCH($E2495,Section_Master!$A$2:$A$477,0))&amp;"","")</f>
        <v>Same as underlying offence</v>
      </c>
      <c r="H2495" s="10" t="str">
        <f aca="false">IFERROR(INDEX(Section_Master!$F$2:$F$477,MATCH($E2495,Section_Master!$A$2:$A$477,0))&amp;"","")</f>
        <v>Same as underlying offence</v>
      </c>
      <c r="I2495" s="10" t="str">
        <f aca="false">IFERROR(INDEX(Section_Master!$G$2:$G$477,MATCH($E2495,Section_Master!$A$2:$A$477,0))&amp;"","")</f>
        <v>Same as underlying offence</v>
      </c>
      <c r="J2495" s="10" t="s">
        <v>58</v>
      </c>
      <c r="K2495" s="8" t="s">
        <v>5862</v>
      </c>
    </row>
    <row r="2496" customFormat="false" ht="23.25" hidden="false" customHeight="true" outlineLevel="0" collapsed="false">
      <c r="A2496" s="10" t="s">
        <v>5869</v>
      </c>
      <c r="B2496" s="10" t="s">
        <v>45</v>
      </c>
      <c r="C2496" s="8" t="s">
        <v>5860</v>
      </c>
      <c r="D2496" s="8" t="s">
        <v>5870</v>
      </c>
      <c r="E2496" s="11" t="n">
        <v>58</v>
      </c>
      <c r="F2496" s="8" t="str">
        <f aca="false">IFERROR(INDEX(Section_Master!$D$2:$D$477,MATCH($E2496,Section_Master!$A$2:$A$477,0))&amp;"","")</f>
        <v>Imprisonment up to 7 years and fine if the offence is committed; up to 3 years and fine if not [s.58]</v>
      </c>
      <c r="G2496" s="10" t="str">
        <f aca="false">IFERROR(INDEX(Section_Master!$E$2:$E$477,MATCH($E2496,Section_Master!$A$2:$A$477,0))&amp;"","")</f>
        <v>Same as underlying offence</v>
      </c>
      <c r="H2496" s="10" t="str">
        <f aca="false">IFERROR(INDEX(Section_Master!$F$2:$F$477,MATCH($E2496,Section_Master!$A$2:$A$477,0))&amp;"","")</f>
        <v>Same as underlying offence</v>
      </c>
      <c r="I2496" s="10" t="str">
        <f aca="false">IFERROR(INDEX(Section_Master!$G$2:$G$477,MATCH($E2496,Section_Master!$A$2:$A$477,0))&amp;"","")</f>
        <v>Same as underlying offence</v>
      </c>
      <c r="J2496" s="10" t="s">
        <v>61</v>
      </c>
      <c r="K2496" s="8" t="s">
        <v>5862</v>
      </c>
    </row>
    <row r="2497" customFormat="false" ht="23.25" hidden="false" customHeight="true" outlineLevel="0" collapsed="false">
      <c r="A2497" s="10" t="s">
        <v>5871</v>
      </c>
      <c r="B2497" s="10" t="s">
        <v>45</v>
      </c>
      <c r="C2497" s="8" t="s">
        <v>5860</v>
      </c>
      <c r="D2497" s="8" t="s">
        <v>5872</v>
      </c>
      <c r="E2497" s="11" t="n">
        <v>58</v>
      </c>
      <c r="F2497" s="8" t="str">
        <f aca="false">IFERROR(INDEX(Section_Master!$D$2:$D$477,MATCH($E2497,Section_Master!$A$2:$A$477,0))&amp;"","")</f>
        <v>Imprisonment up to 7 years and fine if the offence is committed; up to 3 years and fine if not [s.58]</v>
      </c>
      <c r="G2497" s="10" t="str">
        <f aca="false">IFERROR(INDEX(Section_Master!$E$2:$E$477,MATCH($E2497,Section_Master!$A$2:$A$477,0))&amp;"","")</f>
        <v>Same as underlying offence</v>
      </c>
      <c r="H2497" s="10" t="str">
        <f aca="false">IFERROR(INDEX(Section_Master!$F$2:$F$477,MATCH($E2497,Section_Master!$A$2:$A$477,0))&amp;"","")</f>
        <v>Same as underlying offence</v>
      </c>
      <c r="I2497" s="10" t="str">
        <f aca="false">IFERROR(INDEX(Section_Master!$G$2:$G$477,MATCH($E2497,Section_Master!$A$2:$A$477,0))&amp;"","")</f>
        <v>Same as underlying offence</v>
      </c>
      <c r="J2497" s="10" t="s">
        <v>64</v>
      </c>
      <c r="K2497" s="8" t="s">
        <v>5862</v>
      </c>
    </row>
    <row r="2498" customFormat="false" ht="34.5" hidden="false" customHeight="true" outlineLevel="0" collapsed="false">
      <c r="A2498" s="10" t="s">
        <v>5873</v>
      </c>
      <c r="B2498" s="10" t="s">
        <v>45</v>
      </c>
      <c r="C2498" s="8" t="s">
        <v>5874</v>
      </c>
      <c r="D2498" s="8" t="s">
        <v>5875</v>
      </c>
      <c r="E2498" s="11" t="n">
        <v>59</v>
      </c>
      <c r="F2498" s="8" t="str">
        <f aca="false">IFERROR(INDEX(Section_Master!$D$2:$D$477,MATCH($E2498,Section_Master!$A$2:$A$477,0))&amp;"","")</f>
        <v>Up to half of the longest term for the offence, or fine, or both (up to 10 years if death/life offence); up to one-fourth if not committed [s.59]</v>
      </c>
      <c r="G2498" s="10" t="str">
        <f aca="false">IFERROR(INDEX(Section_Master!$E$2:$E$477,MATCH($E2498,Section_Master!$A$2:$A$477,0))&amp;"","")</f>
        <v>Same as underlying offence</v>
      </c>
      <c r="H2498" s="10" t="str">
        <f aca="false">IFERROR(INDEX(Section_Master!$F$2:$F$477,MATCH($E2498,Section_Master!$A$2:$A$477,0))&amp;"","")</f>
        <v>Same as underlying offence</v>
      </c>
      <c r="I2498" s="10" t="str">
        <f aca="false">IFERROR(INDEX(Section_Master!$G$2:$G$477,MATCH($E2498,Section_Master!$A$2:$A$477,0))&amp;"","")</f>
        <v>Same as underlying offence</v>
      </c>
      <c r="J2498" s="10" t="s">
        <v>48</v>
      </c>
      <c r="K2498" s="8" t="s">
        <v>5876</v>
      </c>
    </row>
    <row r="2499" customFormat="false" ht="34.5" hidden="false" customHeight="true" outlineLevel="0" collapsed="false">
      <c r="A2499" s="10" t="s">
        <v>5877</v>
      </c>
      <c r="B2499" s="10" t="s">
        <v>45</v>
      </c>
      <c r="C2499" s="8" t="s">
        <v>5874</v>
      </c>
      <c r="D2499" s="8" t="s">
        <v>5878</v>
      </c>
      <c r="E2499" s="11" t="n">
        <v>59</v>
      </c>
      <c r="F2499" s="8" t="str">
        <f aca="false">IFERROR(INDEX(Section_Master!$D$2:$D$477,MATCH($E2499,Section_Master!$A$2:$A$477,0))&amp;"","")</f>
        <v>Up to half of the longest term for the offence, or fine, or both (up to 10 years if death/life offence); up to one-fourth if not committed [s.59]</v>
      </c>
      <c r="G2499" s="10" t="str">
        <f aca="false">IFERROR(INDEX(Section_Master!$E$2:$E$477,MATCH($E2499,Section_Master!$A$2:$A$477,0))&amp;"","")</f>
        <v>Same as underlying offence</v>
      </c>
      <c r="H2499" s="10" t="str">
        <f aca="false">IFERROR(INDEX(Section_Master!$F$2:$F$477,MATCH($E2499,Section_Master!$A$2:$A$477,0))&amp;"","")</f>
        <v>Same as underlying offence</v>
      </c>
      <c r="I2499" s="10" t="str">
        <f aca="false">IFERROR(INDEX(Section_Master!$G$2:$G$477,MATCH($E2499,Section_Master!$A$2:$A$477,0))&amp;"","")</f>
        <v>Same as underlying offence</v>
      </c>
      <c r="J2499" s="10" t="s">
        <v>52</v>
      </c>
      <c r="K2499" s="8" t="s">
        <v>5876</v>
      </c>
    </row>
    <row r="2500" customFormat="false" ht="23.25" hidden="false" customHeight="true" outlineLevel="0" collapsed="false">
      <c r="A2500" s="10" t="s">
        <v>5879</v>
      </c>
      <c r="B2500" s="10" t="s">
        <v>45</v>
      </c>
      <c r="C2500" s="8" t="s">
        <v>5874</v>
      </c>
      <c r="D2500" s="8" t="s">
        <v>5880</v>
      </c>
      <c r="E2500" s="11" t="n">
        <v>59</v>
      </c>
      <c r="F2500" s="8" t="str">
        <f aca="false">IFERROR(INDEX(Section_Master!$D$2:$D$477,MATCH($E2500,Section_Master!$A$2:$A$477,0))&amp;"","")</f>
        <v>Up to half of the longest term for the offence, or fine, or both (up to 10 years if death/life offence); up to one-fourth if not committed [s.59]</v>
      </c>
      <c r="G2500" s="10" t="str">
        <f aca="false">IFERROR(INDEX(Section_Master!$E$2:$E$477,MATCH($E2500,Section_Master!$A$2:$A$477,0))&amp;"","")</f>
        <v>Same as underlying offence</v>
      </c>
      <c r="H2500" s="10" t="str">
        <f aca="false">IFERROR(INDEX(Section_Master!$F$2:$F$477,MATCH($E2500,Section_Master!$A$2:$A$477,0))&amp;"","")</f>
        <v>Same as underlying offence</v>
      </c>
      <c r="I2500" s="10" t="str">
        <f aca="false">IFERROR(INDEX(Section_Master!$G$2:$G$477,MATCH($E2500,Section_Master!$A$2:$A$477,0))&amp;"","")</f>
        <v>Same as underlying offence</v>
      </c>
      <c r="J2500" s="10" t="s">
        <v>55</v>
      </c>
      <c r="K2500" s="8" t="s">
        <v>5876</v>
      </c>
    </row>
    <row r="2501" customFormat="false" ht="23.25" hidden="false" customHeight="true" outlineLevel="0" collapsed="false">
      <c r="A2501" s="10" t="s">
        <v>5881</v>
      </c>
      <c r="B2501" s="10" t="s">
        <v>45</v>
      </c>
      <c r="C2501" s="8" t="s">
        <v>5874</v>
      </c>
      <c r="D2501" s="8" t="s">
        <v>5882</v>
      </c>
      <c r="E2501" s="11" t="n">
        <v>59</v>
      </c>
      <c r="F2501" s="8" t="str">
        <f aca="false">IFERROR(INDEX(Section_Master!$D$2:$D$477,MATCH($E2501,Section_Master!$A$2:$A$477,0))&amp;"","")</f>
        <v>Up to half of the longest term for the offence, or fine, or both (up to 10 years if death/life offence); up to one-fourth if not committed [s.59]</v>
      </c>
      <c r="G2501" s="10" t="str">
        <f aca="false">IFERROR(INDEX(Section_Master!$E$2:$E$477,MATCH($E2501,Section_Master!$A$2:$A$477,0))&amp;"","")</f>
        <v>Same as underlying offence</v>
      </c>
      <c r="H2501" s="10" t="str">
        <f aca="false">IFERROR(INDEX(Section_Master!$F$2:$F$477,MATCH($E2501,Section_Master!$A$2:$A$477,0))&amp;"","")</f>
        <v>Same as underlying offence</v>
      </c>
      <c r="I2501" s="10" t="str">
        <f aca="false">IFERROR(INDEX(Section_Master!$G$2:$G$477,MATCH($E2501,Section_Master!$A$2:$A$477,0))&amp;"","")</f>
        <v>Same as underlying offence</v>
      </c>
      <c r="J2501" s="10" t="s">
        <v>58</v>
      </c>
      <c r="K2501" s="8" t="s">
        <v>5876</v>
      </c>
    </row>
    <row r="2502" customFormat="false" ht="23.25" hidden="false" customHeight="true" outlineLevel="0" collapsed="false">
      <c r="A2502" s="10" t="s">
        <v>5883</v>
      </c>
      <c r="B2502" s="10" t="s">
        <v>45</v>
      </c>
      <c r="C2502" s="8" t="s">
        <v>5874</v>
      </c>
      <c r="D2502" s="8" t="s">
        <v>5884</v>
      </c>
      <c r="E2502" s="11" t="n">
        <v>59</v>
      </c>
      <c r="F2502" s="8" t="str">
        <f aca="false">IFERROR(INDEX(Section_Master!$D$2:$D$477,MATCH($E2502,Section_Master!$A$2:$A$477,0))&amp;"","")</f>
        <v>Up to half of the longest term for the offence, or fine, or both (up to 10 years if death/life offence); up to one-fourth if not committed [s.59]</v>
      </c>
      <c r="G2502" s="10" t="str">
        <f aca="false">IFERROR(INDEX(Section_Master!$E$2:$E$477,MATCH($E2502,Section_Master!$A$2:$A$477,0))&amp;"","")</f>
        <v>Same as underlying offence</v>
      </c>
      <c r="H2502" s="10" t="str">
        <f aca="false">IFERROR(INDEX(Section_Master!$F$2:$F$477,MATCH($E2502,Section_Master!$A$2:$A$477,0))&amp;"","")</f>
        <v>Same as underlying offence</v>
      </c>
      <c r="I2502" s="10" t="str">
        <f aca="false">IFERROR(INDEX(Section_Master!$G$2:$G$477,MATCH($E2502,Section_Master!$A$2:$A$477,0))&amp;"","")</f>
        <v>Same as underlying offence</v>
      </c>
      <c r="J2502" s="10" t="s">
        <v>61</v>
      </c>
      <c r="K2502" s="8" t="s">
        <v>5876</v>
      </c>
    </row>
    <row r="2503" customFormat="false" ht="23.25" hidden="false" customHeight="true" outlineLevel="0" collapsed="false">
      <c r="A2503" s="10" t="s">
        <v>5885</v>
      </c>
      <c r="B2503" s="10" t="s">
        <v>45</v>
      </c>
      <c r="C2503" s="8" t="s">
        <v>5874</v>
      </c>
      <c r="D2503" s="8" t="s">
        <v>5886</v>
      </c>
      <c r="E2503" s="11" t="n">
        <v>59</v>
      </c>
      <c r="F2503" s="8" t="str">
        <f aca="false">IFERROR(INDEX(Section_Master!$D$2:$D$477,MATCH($E2503,Section_Master!$A$2:$A$477,0))&amp;"","")</f>
        <v>Up to half of the longest term for the offence, or fine, or both (up to 10 years if death/life offence); up to one-fourth if not committed [s.59]</v>
      </c>
      <c r="G2503" s="10" t="str">
        <f aca="false">IFERROR(INDEX(Section_Master!$E$2:$E$477,MATCH($E2503,Section_Master!$A$2:$A$477,0))&amp;"","")</f>
        <v>Same as underlying offence</v>
      </c>
      <c r="H2503" s="10" t="str">
        <f aca="false">IFERROR(INDEX(Section_Master!$F$2:$F$477,MATCH($E2503,Section_Master!$A$2:$A$477,0))&amp;"","")</f>
        <v>Same as underlying offence</v>
      </c>
      <c r="I2503" s="10" t="str">
        <f aca="false">IFERROR(INDEX(Section_Master!$G$2:$G$477,MATCH($E2503,Section_Master!$A$2:$A$477,0))&amp;"","")</f>
        <v>Same as underlying offence</v>
      </c>
      <c r="J2503" s="10" t="s">
        <v>64</v>
      </c>
      <c r="K2503" s="8" t="s">
        <v>5876</v>
      </c>
    </row>
    <row r="2504" customFormat="false" ht="23.25" hidden="false" customHeight="true" outlineLevel="0" collapsed="false">
      <c r="A2504" s="10" t="s">
        <v>5887</v>
      </c>
      <c r="B2504" s="10" t="s">
        <v>45</v>
      </c>
      <c r="C2504" s="8" t="s">
        <v>5888</v>
      </c>
      <c r="D2504" s="8" t="s">
        <v>5889</v>
      </c>
      <c r="E2504" s="11" t="n">
        <v>60</v>
      </c>
      <c r="F2504" s="8" t="str">
        <f aca="false">IFERROR(INDEX(Section_Master!$D$2:$D$477,MATCH($E2504,Section_Master!$A$2:$A$477,0))&amp;"","")</f>
        <v>Imprisonment up to one-fourth of the longest term for the offence, or fine, or both; up to one-eighth if not committed [s.60]</v>
      </c>
      <c r="G2504" s="10" t="str">
        <f aca="false">IFERROR(INDEX(Section_Master!$E$2:$E$477,MATCH($E2504,Section_Master!$A$2:$A$477,0))&amp;"","")</f>
        <v>Same as underlying offence</v>
      </c>
      <c r="H2504" s="10" t="str">
        <f aca="false">IFERROR(INDEX(Section_Master!$F$2:$F$477,MATCH($E2504,Section_Master!$A$2:$A$477,0))&amp;"","")</f>
        <v>Same as underlying offence</v>
      </c>
      <c r="I2504" s="10" t="str">
        <f aca="false">IFERROR(INDEX(Section_Master!$G$2:$G$477,MATCH($E2504,Section_Master!$A$2:$A$477,0))&amp;"","")</f>
        <v>Same as underlying offence</v>
      </c>
      <c r="J2504" s="10" t="s">
        <v>48</v>
      </c>
      <c r="K2504" s="8" t="s">
        <v>5890</v>
      </c>
    </row>
    <row r="2505" customFormat="false" ht="34.5" hidden="false" customHeight="true" outlineLevel="0" collapsed="false">
      <c r="A2505" s="10" t="s">
        <v>5891</v>
      </c>
      <c r="B2505" s="10" t="s">
        <v>45</v>
      </c>
      <c r="C2505" s="8" t="s">
        <v>5888</v>
      </c>
      <c r="D2505" s="8" t="s">
        <v>5892</v>
      </c>
      <c r="E2505" s="11" t="n">
        <v>60</v>
      </c>
      <c r="F2505" s="8" t="str">
        <f aca="false">IFERROR(INDEX(Section_Master!$D$2:$D$477,MATCH($E2505,Section_Master!$A$2:$A$477,0))&amp;"","")</f>
        <v>Imprisonment up to one-fourth of the longest term for the offence, or fine, or both; up to one-eighth if not committed [s.60]</v>
      </c>
      <c r="G2505" s="10" t="str">
        <f aca="false">IFERROR(INDEX(Section_Master!$E$2:$E$477,MATCH($E2505,Section_Master!$A$2:$A$477,0))&amp;"","")</f>
        <v>Same as underlying offence</v>
      </c>
      <c r="H2505" s="10" t="str">
        <f aca="false">IFERROR(INDEX(Section_Master!$F$2:$F$477,MATCH($E2505,Section_Master!$A$2:$A$477,0))&amp;"","")</f>
        <v>Same as underlying offence</v>
      </c>
      <c r="I2505" s="10" t="str">
        <f aca="false">IFERROR(INDEX(Section_Master!$G$2:$G$477,MATCH($E2505,Section_Master!$A$2:$A$477,0))&amp;"","")</f>
        <v>Same as underlying offence</v>
      </c>
      <c r="J2505" s="10" t="s">
        <v>52</v>
      </c>
      <c r="K2505" s="8" t="s">
        <v>5890</v>
      </c>
    </row>
    <row r="2506" customFormat="false" ht="23.25" hidden="false" customHeight="true" outlineLevel="0" collapsed="false">
      <c r="A2506" s="10" t="s">
        <v>5893</v>
      </c>
      <c r="B2506" s="10" t="s">
        <v>45</v>
      </c>
      <c r="C2506" s="8" t="s">
        <v>5888</v>
      </c>
      <c r="D2506" s="8" t="s">
        <v>5894</v>
      </c>
      <c r="E2506" s="11" t="n">
        <v>60</v>
      </c>
      <c r="F2506" s="8" t="str">
        <f aca="false">IFERROR(INDEX(Section_Master!$D$2:$D$477,MATCH($E2506,Section_Master!$A$2:$A$477,0))&amp;"","")</f>
        <v>Imprisonment up to one-fourth of the longest term for the offence, or fine, or both; up to one-eighth if not committed [s.60]</v>
      </c>
      <c r="G2506" s="10" t="str">
        <f aca="false">IFERROR(INDEX(Section_Master!$E$2:$E$477,MATCH($E2506,Section_Master!$A$2:$A$477,0))&amp;"","")</f>
        <v>Same as underlying offence</v>
      </c>
      <c r="H2506" s="10" t="str">
        <f aca="false">IFERROR(INDEX(Section_Master!$F$2:$F$477,MATCH($E2506,Section_Master!$A$2:$A$477,0))&amp;"","")</f>
        <v>Same as underlying offence</v>
      </c>
      <c r="I2506" s="10" t="str">
        <f aca="false">IFERROR(INDEX(Section_Master!$G$2:$G$477,MATCH($E2506,Section_Master!$A$2:$A$477,0))&amp;"","")</f>
        <v>Same as underlying offence</v>
      </c>
      <c r="J2506" s="10" t="s">
        <v>55</v>
      </c>
      <c r="K2506" s="8" t="s">
        <v>5890</v>
      </c>
    </row>
    <row r="2507" customFormat="false" ht="23.25" hidden="false" customHeight="true" outlineLevel="0" collapsed="false">
      <c r="A2507" s="10" t="s">
        <v>5895</v>
      </c>
      <c r="B2507" s="10" t="s">
        <v>45</v>
      </c>
      <c r="C2507" s="8" t="s">
        <v>5888</v>
      </c>
      <c r="D2507" s="8" t="s">
        <v>5896</v>
      </c>
      <c r="E2507" s="11" t="n">
        <v>60</v>
      </c>
      <c r="F2507" s="8" t="str">
        <f aca="false">IFERROR(INDEX(Section_Master!$D$2:$D$477,MATCH($E2507,Section_Master!$A$2:$A$477,0))&amp;"","")</f>
        <v>Imprisonment up to one-fourth of the longest term for the offence, or fine, or both; up to one-eighth if not committed [s.60]</v>
      </c>
      <c r="G2507" s="10" t="str">
        <f aca="false">IFERROR(INDEX(Section_Master!$E$2:$E$477,MATCH($E2507,Section_Master!$A$2:$A$477,0))&amp;"","")</f>
        <v>Same as underlying offence</v>
      </c>
      <c r="H2507" s="10" t="str">
        <f aca="false">IFERROR(INDEX(Section_Master!$F$2:$F$477,MATCH($E2507,Section_Master!$A$2:$A$477,0))&amp;"","")</f>
        <v>Same as underlying offence</v>
      </c>
      <c r="I2507" s="10" t="str">
        <f aca="false">IFERROR(INDEX(Section_Master!$G$2:$G$477,MATCH($E2507,Section_Master!$A$2:$A$477,0))&amp;"","")</f>
        <v>Same as underlying offence</v>
      </c>
      <c r="J2507" s="10" t="s">
        <v>58</v>
      </c>
      <c r="K2507" s="8" t="s">
        <v>5890</v>
      </c>
    </row>
    <row r="2508" customFormat="false" ht="23.25" hidden="false" customHeight="true" outlineLevel="0" collapsed="false">
      <c r="A2508" s="10" t="s">
        <v>5897</v>
      </c>
      <c r="B2508" s="10" t="s">
        <v>45</v>
      </c>
      <c r="C2508" s="8" t="s">
        <v>5888</v>
      </c>
      <c r="D2508" s="8" t="s">
        <v>5898</v>
      </c>
      <c r="E2508" s="11" t="n">
        <v>60</v>
      </c>
      <c r="F2508" s="8" t="str">
        <f aca="false">IFERROR(INDEX(Section_Master!$D$2:$D$477,MATCH($E2508,Section_Master!$A$2:$A$477,0))&amp;"","")</f>
        <v>Imprisonment up to one-fourth of the longest term for the offence, or fine, or both; up to one-eighth if not committed [s.60]</v>
      </c>
      <c r="G2508" s="10" t="str">
        <f aca="false">IFERROR(INDEX(Section_Master!$E$2:$E$477,MATCH($E2508,Section_Master!$A$2:$A$477,0))&amp;"","")</f>
        <v>Same as underlying offence</v>
      </c>
      <c r="H2508" s="10" t="str">
        <f aca="false">IFERROR(INDEX(Section_Master!$F$2:$F$477,MATCH($E2508,Section_Master!$A$2:$A$477,0))&amp;"","")</f>
        <v>Same as underlying offence</v>
      </c>
      <c r="I2508" s="10" t="str">
        <f aca="false">IFERROR(INDEX(Section_Master!$G$2:$G$477,MATCH($E2508,Section_Master!$A$2:$A$477,0))&amp;"","")</f>
        <v>Same as underlying offence</v>
      </c>
      <c r="J2508" s="10" t="s">
        <v>61</v>
      </c>
      <c r="K2508" s="8" t="s">
        <v>5890</v>
      </c>
    </row>
    <row r="2509" customFormat="false" ht="34.5" hidden="false" customHeight="true" outlineLevel="0" collapsed="false">
      <c r="A2509" s="10" t="s">
        <v>5899</v>
      </c>
      <c r="B2509" s="10" t="s">
        <v>45</v>
      </c>
      <c r="C2509" s="8" t="s">
        <v>5888</v>
      </c>
      <c r="D2509" s="8" t="s">
        <v>5900</v>
      </c>
      <c r="E2509" s="11" t="n">
        <v>60</v>
      </c>
      <c r="F2509" s="8" t="str">
        <f aca="false">IFERROR(INDEX(Section_Master!$D$2:$D$477,MATCH($E2509,Section_Master!$A$2:$A$477,0))&amp;"","")</f>
        <v>Imprisonment up to one-fourth of the longest term for the offence, or fine, or both; up to one-eighth if not committed [s.60]</v>
      </c>
      <c r="G2509" s="10" t="str">
        <f aca="false">IFERROR(INDEX(Section_Master!$E$2:$E$477,MATCH($E2509,Section_Master!$A$2:$A$477,0))&amp;"","")</f>
        <v>Same as underlying offence</v>
      </c>
      <c r="H2509" s="10" t="str">
        <f aca="false">IFERROR(INDEX(Section_Master!$F$2:$F$477,MATCH($E2509,Section_Master!$A$2:$A$477,0))&amp;"","")</f>
        <v>Same as underlying offence</v>
      </c>
      <c r="I2509" s="10" t="str">
        <f aca="false">IFERROR(INDEX(Section_Master!$G$2:$G$477,MATCH($E2509,Section_Master!$A$2:$A$477,0))&amp;"","")</f>
        <v>Same as underlying offence</v>
      </c>
      <c r="J2509" s="10" t="s">
        <v>64</v>
      </c>
      <c r="K2509" s="8" t="s">
        <v>5890</v>
      </c>
    </row>
    <row r="2510" customFormat="false" ht="23.25" hidden="false" customHeight="true" outlineLevel="0" collapsed="false">
      <c r="A2510" s="10" t="s">
        <v>5901</v>
      </c>
      <c r="B2510" s="10" t="s">
        <v>45</v>
      </c>
      <c r="C2510" s="8" t="s">
        <v>5902</v>
      </c>
      <c r="D2510" s="8" t="s">
        <v>5903</v>
      </c>
      <c r="E2510" s="11" t="n">
        <v>61</v>
      </c>
      <c r="F2510" s="8" t="str">
        <f aca="false">IFERROR(INDEX(Section_Master!$D$2:$D$477,MATCH($E2510,Section_Master!$A$2:$A$477,0))&amp;"","")</f>
        <v>Same as abetment for offences punishable with death, life or rigorous imprisonment of 2 years or more; otherwise up to 6 months, or fine, or both [s.61]</v>
      </c>
      <c r="G2510" s="10" t="str">
        <f aca="false">IFERROR(INDEX(Section_Master!$E$2:$E$477,MATCH($E2510,Section_Master!$A$2:$A$477,0))&amp;"","")</f>
        <v>Same as underlying offence</v>
      </c>
      <c r="H2510" s="10" t="str">
        <f aca="false">IFERROR(INDEX(Section_Master!$F$2:$F$477,MATCH($E2510,Section_Master!$A$2:$A$477,0))&amp;"","")</f>
        <v>Same as underlying offence</v>
      </c>
      <c r="I2510" s="10" t="str">
        <f aca="false">IFERROR(INDEX(Section_Master!$G$2:$G$477,MATCH($E2510,Section_Master!$A$2:$A$477,0))&amp;"","")</f>
        <v>Same as underlying offence</v>
      </c>
      <c r="J2510" s="10" t="s">
        <v>48</v>
      </c>
      <c r="K2510" s="8" t="s">
        <v>5904</v>
      </c>
    </row>
    <row r="2511" customFormat="false" ht="34.5" hidden="false" customHeight="true" outlineLevel="0" collapsed="false">
      <c r="A2511" s="10" t="s">
        <v>5905</v>
      </c>
      <c r="B2511" s="10" t="s">
        <v>45</v>
      </c>
      <c r="C2511" s="8" t="s">
        <v>5902</v>
      </c>
      <c r="D2511" s="8" t="s">
        <v>5906</v>
      </c>
      <c r="E2511" s="11" t="n">
        <v>61</v>
      </c>
      <c r="F2511" s="8" t="str">
        <f aca="false">IFERROR(INDEX(Section_Master!$D$2:$D$477,MATCH($E2511,Section_Master!$A$2:$A$477,0))&amp;"","")</f>
        <v>Same as abetment for offences punishable with death, life or rigorous imprisonment of 2 years or more; otherwise up to 6 months, or fine, or both [s.61]</v>
      </c>
      <c r="G2511" s="10" t="str">
        <f aca="false">IFERROR(INDEX(Section_Master!$E$2:$E$477,MATCH($E2511,Section_Master!$A$2:$A$477,0))&amp;"","")</f>
        <v>Same as underlying offence</v>
      </c>
      <c r="H2511" s="10" t="str">
        <f aca="false">IFERROR(INDEX(Section_Master!$F$2:$F$477,MATCH($E2511,Section_Master!$A$2:$A$477,0))&amp;"","")</f>
        <v>Same as underlying offence</v>
      </c>
      <c r="I2511" s="10" t="str">
        <f aca="false">IFERROR(INDEX(Section_Master!$G$2:$G$477,MATCH($E2511,Section_Master!$A$2:$A$477,0))&amp;"","")</f>
        <v>Same as underlying offence</v>
      </c>
      <c r="J2511" s="10" t="s">
        <v>52</v>
      </c>
      <c r="K2511" s="8" t="s">
        <v>5904</v>
      </c>
    </row>
    <row r="2512" customFormat="false" ht="23.25" hidden="false" customHeight="true" outlineLevel="0" collapsed="false">
      <c r="A2512" s="10" t="s">
        <v>5907</v>
      </c>
      <c r="B2512" s="10" t="s">
        <v>45</v>
      </c>
      <c r="C2512" s="8" t="s">
        <v>5902</v>
      </c>
      <c r="D2512" s="8" t="s">
        <v>5908</v>
      </c>
      <c r="E2512" s="11" t="n">
        <v>61</v>
      </c>
      <c r="F2512" s="8" t="str">
        <f aca="false">IFERROR(INDEX(Section_Master!$D$2:$D$477,MATCH($E2512,Section_Master!$A$2:$A$477,0))&amp;"","")</f>
        <v>Same as abetment for offences punishable with death, life or rigorous imprisonment of 2 years or more; otherwise up to 6 months, or fine, or both [s.61]</v>
      </c>
      <c r="G2512" s="10" t="str">
        <f aca="false">IFERROR(INDEX(Section_Master!$E$2:$E$477,MATCH($E2512,Section_Master!$A$2:$A$477,0))&amp;"","")</f>
        <v>Same as underlying offence</v>
      </c>
      <c r="H2512" s="10" t="str">
        <f aca="false">IFERROR(INDEX(Section_Master!$F$2:$F$477,MATCH($E2512,Section_Master!$A$2:$A$477,0))&amp;"","")</f>
        <v>Same as underlying offence</v>
      </c>
      <c r="I2512" s="10" t="str">
        <f aca="false">IFERROR(INDEX(Section_Master!$G$2:$G$477,MATCH($E2512,Section_Master!$A$2:$A$477,0))&amp;"","")</f>
        <v>Same as underlying offence</v>
      </c>
      <c r="J2512" s="10" t="s">
        <v>55</v>
      </c>
      <c r="K2512" s="8" t="s">
        <v>5904</v>
      </c>
    </row>
    <row r="2513" customFormat="false" ht="34.5" hidden="false" customHeight="true" outlineLevel="0" collapsed="false">
      <c r="A2513" s="10" t="s">
        <v>5909</v>
      </c>
      <c r="B2513" s="10" t="s">
        <v>45</v>
      </c>
      <c r="C2513" s="8" t="s">
        <v>5902</v>
      </c>
      <c r="D2513" s="8" t="s">
        <v>5910</v>
      </c>
      <c r="E2513" s="11" t="n">
        <v>61</v>
      </c>
      <c r="F2513" s="8" t="str">
        <f aca="false">IFERROR(INDEX(Section_Master!$D$2:$D$477,MATCH($E2513,Section_Master!$A$2:$A$477,0))&amp;"","")</f>
        <v>Same as abetment for offences punishable with death, life or rigorous imprisonment of 2 years or more; otherwise up to 6 months, or fine, or both [s.61]</v>
      </c>
      <c r="G2513" s="10" t="str">
        <f aca="false">IFERROR(INDEX(Section_Master!$E$2:$E$477,MATCH($E2513,Section_Master!$A$2:$A$477,0))&amp;"","")</f>
        <v>Same as underlying offence</v>
      </c>
      <c r="H2513" s="10" t="str">
        <f aca="false">IFERROR(INDEX(Section_Master!$F$2:$F$477,MATCH($E2513,Section_Master!$A$2:$A$477,0))&amp;"","")</f>
        <v>Same as underlying offence</v>
      </c>
      <c r="I2513" s="10" t="str">
        <f aca="false">IFERROR(INDEX(Section_Master!$G$2:$G$477,MATCH($E2513,Section_Master!$A$2:$A$477,0))&amp;"","")</f>
        <v>Same as underlying offence</v>
      </c>
      <c r="J2513" s="10" t="s">
        <v>58</v>
      </c>
      <c r="K2513" s="8" t="s">
        <v>5904</v>
      </c>
    </row>
    <row r="2514" customFormat="false" ht="34.5" hidden="false" customHeight="true" outlineLevel="0" collapsed="false">
      <c r="A2514" s="10" t="s">
        <v>5911</v>
      </c>
      <c r="B2514" s="10" t="s">
        <v>45</v>
      </c>
      <c r="C2514" s="8" t="s">
        <v>5902</v>
      </c>
      <c r="D2514" s="8" t="s">
        <v>5912</v>
      </c>
      <c r="E2514" s="11" t="n">
        <v>61</v>
      </c>
      <c r="F2514" s="8" t="str">
        <f aca="false">IFERROR(INDEX(Section_Master!$D$2:$D$477,MATCH($E2514,Section_Master!$A$2:$A$477,0))&amp;"","")</f>
        <v>Same as abetment for offences punishable with death, life or rigorous imprisonment of 2 years or more; otherwise up to 6 months, or fine, or both [s.61]</v>
      </c>
      <c r="G2514" s="10" t="str">
        <f aca="false">IFERROR(INDEX(Section_Master!$E$2:$E$477,MATCH($E2514,Section_Master!$A$2:$A$477,0))&amp;"","")</f>
        <v>Same as underlying offence</v>
      </c>
      <c r="H2514" s="10" t="str">
        <f aca="false">IFERROR(INDEX(Section_Master!$F$2:$F$477,MATCH($E2514,Section_Master!$A$2:$A$477,0))&amp;"","")</f>
        <v>Same as underlying offence</v>
      </c>
      <c r="I2514" s="10" t="str">
        <f aca="false">IFERROR(INDEX(Section_Master!$G$2:$G$477,MATCH($E2514,Section_Master!$A$2:$A$477,0))&amp;"","")</f>
        <v>Same as underlying offence</v>
      </c>
      <c r="J2514" s="10" t="s">
        <v>61</v>
      </c>
      <c r="K2514" s="8" t="s">
        <v>5904</v>
      </c>
    </row>
    <row r="2515" customFormat="false" ht="34.5" hidden="false" customHeight="true" outlineLevel="0" collapsed="false">
      <c r="A2515" s="10" t="s">
        <v>5913</v>
      </c>
      <c r="B2515" s="10" t="s">
        <v>45</v>
      </c>
      <c r="C2515" s="8" t="s">
        <v>5902</v>
      </c>
      <c r="D2515" s="8" t="s">
        <v>5914</v>
      </c>
      <c r="E2515" s="11" t="n">
        <v>61</v>
      </c>
      <c r="F2515" s="8" t="str">
        <f aca="false">IFERROR(INDEX(Section_Master!$D$2:$D$477,MATCH($E2515,Section_Master!$A$2:$A$477,0))&amp;"","")</f>
        <v>Same as abetment for offences punishable with death, life or rigorous imprisonment of 2 years or more; otherwise up to 6 months, or fine, or both [s.61]</v>
      </c>
      <c r="G2515" s="10" t="str">
        <f aca="false">IFERROR(INDEX(Section_Master!$E$2:$E$477,MATCH($E2515,Section_Master!$A$2:$A$477,0))&amp;"","")</f>
        <v>Same as underlying offence</v>
      </c>
      <c r="H2515" s="10" t="str">
        <f aca="false">IFERROR(INDEX(Section_Master!$F$2:$F$477,MATCH($E2515,Section_Master!$A$2:$A$477,0))&amp;"","")</f>
        <v>Same as underlying offence</v>
      </c>
      <c r="I2515" s="10" t="str">
        <f aca="false">IFERROR(INDEX(Section_Master!$G$2:$G$477,MATCH($E2515,Section_Master!$A$2:$A$477,0))&amp;"","")</f>
        <v>Same as underlying offence</v>
      </c>
      <c r="J2515" s="10" t="s">
        <v>64</v>
      </c>
      <c r="K2515" s="8" t="s">
        <v>5904</v>
      </c>
    </row>
    <row r="2516" customFormat="false" ht="23.25" hidden="false" customHeight="true" outlineLevel="0" collapsed="false">
      <c r="A2516" s="10" t="s">
        <v>5915</v>
      </c>
      <c r="B2516" s="10" t="s">
        <v>45</v>
      </c>
      <c r="C2516" s="8" t="s">
        <v>5916</v>
      </c>
      <c r="D2516" s="8" t="s">
        <v>5917</v>
      </c>
      <c r="E2516" s="11" t="n">
        <v>62</v>
      </c>
      <c r="F2516" s="8" t="str">
        <f aca="false">IFERROR(INDEX(Section_Master!$D$2:$D$477,MATCH($E2516,Section_Master!$A$2:$A$477,0))&amp;"","")</f>
        <v>Imprisonment up to half of the longest term for the offence attempted, or fine, or both [s.62]</v>
      </c>
      <c r="G2516" s="10" t="str">
        <f aca="false">IFERROR(INDEX(Section_Master!$E$2:$E$477,MATCH($E2516,Section_Master!$A$2:$A$477,0))&amp;"","")</f>
        <v>Same as underlying offence</v>
      </c>
      <c r="H2516" s="10" t="str">
        <f aca="false">IFERROR(INDEX(Section_Master!$F$2:$F$477,MATCH($E2516,Section_Master!$A$2:$A$477,0))&amp;"","")</f>
        <v>Same as underlying offence</v>
      </c>
      <c r="I2516" s="10" t="str">
        <f aca="false">IFERROR(INDEX(Section_Master!$G$2:$G$477,MATCH($E2516,Section_Master!$A$2:$A$477,0))&amp;"","")</f>
        <v>Same as underlying offence</v>
      </c>
      <c r="J2516" s="10" t="s">
        <v>48</v>
      </c>
      <c r="K2516" s="8" t="s">
        <v>5918</v>
      </c>
    </row>
    <row r="2517" customFormat="false" ht="34.5" hidden="false" customHeight="true" outlineLevel="0" collapsed="false">
      <c r="A2517" s="10" t="s">
        <v>5919</v>
      </c>
      <c r="B2517" s="10" t="s">
        <v>45</v>
      </c>
      <c r="C2517" s="8" t="s">
        <v>5916</v>
      </c>
      <c r="D2517" s="8" t="s">
        <v>5920</v>
      </c>
      <c r="E2517" s="11" t="n">
        <v>62</v>
      </c>
      <c r="F2517" s="8" t="str">
        <f aca="false">IFERROR(INDEX(Section_Master!$D$2:$D$477,MATCH($E2517,Section_Master!$A$2:$A$477,0))&amp;"","")</f>
        <v>Imprisonment up to half of the longest term for the offence attempted, or fine, or both [s.62]</v>
      </c>
      <c r="G2517" s="10" t="str">
        <f aca="false">IFERROR(INDEX(Section_Master!$E$2:$E$477,MATCH($E2517,Section_Master!$A$2:$A$477,0))&amp;"","")</f>
        <v>Same as underlying offence</v>
      </c>
      <c r="H2517" s="10" t="str">
        <f aca="false">IFERROR(INDEX(Section_Master!$F$2:$F$477,MATCH($E2517,Section_Master!$A$2:$A$477,0))&amp;"","")</f>
        <v>Same as underlying offence</v>
      </c>
      <c r="I2517" s="10" t="str">
        <f aca="false">IFERROR(INDEX(Section_Master!$G$2:$G$477,MATCH($E2517,Section_Master!$A$2:$A$477,0))&amp;"","")</f>
        <v>Same as underlying offence</v>
      </c>
      <c r="J2517" s="10" t="s">
        <v>52</v>
      </c>
      <c r="K2517" s="8" t="s">
        <v>5918</v>
      </c>
    </row>
    <row r="2518" customFormat="false" ht="34.5" hidden="false" customHeight="true" outlineLevel="0" collapsed="false">
      <c r="A2518" s="10" t="s">
        <v>5921</v>
      </c>
      <c r="B2518" s="10" t="s">
        <v>45</v>
      </c>
      <c r="C2518" s="8" t="s">
        <v>5916</v>
      </c>
      <c r="D2518" s="8" t="s">
        <v>5922</v>
      </c>
      <c r="E2518" s="11" t="n">
        <v>62</v>
      </c>
      <c r="F2518" s="8" t="str">
        <f aca="false">IFERROR(INDEX(Section_Master!$D$2:$D$477,MATCH($E2518,Section_Master!$A$2:$A$477,0))&amp;"","")</f>
        <v>Imprisonment up to half of the longest term for the offence attempted, or fine, or both [s.62]</v>
      </c>
      <c r="G2518" s="10" t="str">
        <f aca="false">IFERROR(INDEX(Section_Master!$E$2:$E$477,MATCH($E2518,Section_Master!$A$2:$A$477,0))&amp;"","")</f>
        <v>Same as underlying offence</v>
      </c>
      <c r="H2518" s="10" t="str">
        <f aca="false">IFERROR(INDEX(Section_Master!$F$2:$F$477,MATCH($E2518,Section_Master!$A$2:$A$477,0))&amp;"","")</f>
        <v>Same as underlying offence</v>
      </c>
      <c r="I2518" s="10" t="str">
        <f aca="false">IFERROR(INDEX(Section_Master!$G$2:$G$477,MATCH($E2518,Section_Master!$A$2:$A$477,0))&amp;"","")</f>
        <v>Same as underlying offence</v>
      </c>
      <c r="J2518" s="10" t="s">
        <v>55</v>
      </c>
      <c r="K2518" s="8" t="s">
        <v>5918</v>
      </c>
    </row>
    <row r="2519" customFormat="false" ht="23.25" hidden="false" customHeight="true" outlineLevel="0" collapsed="false">
      <c r="A2519" s="10" t="s">
        <v>5923</v>
      </c>
      <c r="B2519" s="10" t="s">
        <v>45</v>
      </c>
      <c r="C2519" s="8" t="s">
        <v>5916</v>
      </c>
      <c r="D2519" s="8" t="s">
        <v>5924</v>
      </c>
      <c r="E2519" s="11" t="n">
        <v>62</v>
      </c>
      <c r="F2519" s="8" t="str">
        <f aca="false">IFERROR(INDEX(Section_Master!$D$2:$D$477,MATCH($E2519,Section_Master!$A$2:$A$477,0))&amp;"","")</f>
        <v>Imprisonment up to half of the longest term for the offence attempted, or fine, or both [s.62]</v>
      </c>
      <c r="G2519" s="10" t="str">
        <f aca="false">IFERROR(INDEX(Section_Master!$E$2:$E$477,MATCH($E2519,Section_Master!$A$2:$A$477,0))&amp;"","")</f>
        <v>Same as underlying offence</v>
      </c>
      <c r="H2519" s="10" t="str">
        <f aca="false">IFERROR(INDEX(Section_Master!$F$2:$F$477,MATCH($E2519,Section_Master!$A$2:$A$477,0))&amp;"","")</f>
        <v>Same as underlying offence</v>
      </c>
      <c r="I2519" s="10" t="str">
        <f aca="false">IFERROR(INDEX(Section_Master!$G$2:$G$477,MATCH($E2519,Section_Master!$A$2:$A$477,0))&amp;"","")</f>
        <v>Same as underlying offence</v>
      </c>
      <c r="J2519" s="10" t="s">
        <v>58</v>
      </c>
      <c r="K2519" s="8" t="s">
        <v>5918</v>
      </c>
    </row>
    <row r="2520" customFormat="false" ht="23.25" hidden="false" customHeight="true" outlineLevel="0" collapsed="false">
      <c r="A2520" s="10" t="s">
        <v>5925</v>
      </c>
      <c r="B2520" s="10" t="s">
        <v>45</v>
      </c>
      <c r="C2520" s="8" t="s">
        <v>5916</v>
      </c>
      <c r="D2520" s="8" t="s">
        <v>5926</v>
      </c>
      <c r="E2520" s="11" t="n">
        <v>62</v>
      </c>
      <c r="F2520" s="8" t="str">
        <f aca="false">IFERROR(INDEX(Section_Master!$D$2:$D$477,MATCH($E2520,Section_Master!$A$2:$A$477,0))&amp;"","")</f>
        <v>Imprisonment up to half of the longest term for the offence attempted, or fine, or both [s.62]</v>
      </c>
      <c r="G2520" s="10" t="str">
        <f aca="false">IFERROR(INDEX(Section_Master!$E$2:$E$477,MATCH($E2520,Section_Master!$A$2:$A$477,0))&amp;"","")</f>
        <v>Same as underlying offence</v>
      </c>
      <c r="H2520" s="10" t="str">
        <f aca="false">IFERROR(INDEX(Section_Master!$F$2:$F$477,MATCH($E2520,Section_Master!$A$2:$A$477,0))&amp;"","")</f>
        <v>Same as underlying offence</v>
      </c>
      <c r="I2520" s="10" t="str">
        <f aca="false">IFERROR(INDEX(Section_Master!$G$2:$G$477,MATCH($E2520,Section_Master!$A$2:$A$477,0))&amp;"","")</f>
        <v>Same as underlying offence</v>
      </c>
      <c r="J2520" s="10" t="s">
        <v>61</v>
      </c>
      <c r="K2520" s="8" t="s">
        <v>5918</v>
      </c>
    </row>
    <row r="2521" customFormat="false" ht="34.5" hidden="false" customHeight="true" outlineLevel="0" collapsed="false">
      <c r="A2521" s="10" t="s">
        <v>5927</v>
      </c>
      <c r="B2521" s="10" t="s">
        <v>45</v>
      </c>
      <c r="C2521" s="8" t="s">
        <v>5916</v>
      </c>
      <c r="D2521" s="8" t="s">
        <v>5928</v>
      </c>
      <c r="E2521" s="11" t="n">
        <v>62</v>
      </c>
      <c r="F2521" s="8" t="str">
        <f aca="false">IFERROR(INDEX(Section_Master!$D$2:$D$477,MATCH($E2521,Section_Master!$A$2:$A$477,0))&amp;"","")</f>
        <v>Imprisonment up to half of the longest term for the offence attempted, or fine, or both [s.62]</v>
      </c>
      <c r="G2521" s="10" t="str">
        <f aca="false">IFERROR(INDEX(Section_Master!$E$2:$E$477,MATCH($E2521,Section_Master!$A$2:$A$477,0))&amp;"","")</f>
        <v>Same as underlying offence</v>
      </c>
      <c r="H2521" s="10" t="str">
        <f aca="false">IFERROR(INDEX(Section_Master!$F$2:$F$477,MATCH($E2521,Section_Master!$A$2:$A$477,0))&amp;"","")</f>
        <v>Same as underlying offence</v>
      </c>
      <c r="I2521" s="10" t="str">
        <f aca="false">IFERROR(INDEX(Section_Master!$G$2:$G$477,MATCH($E2521,Section_Master!$A$2:$A$477,0))&amp;"","")</f>
        <v>Same as underlying offence</v>
      </c>
      <c r="J2521" s="10" t="s">
        <v>64</v>
      </c>
      <c r="K2521" s="8" t="s">
        <v>5918</v>
      </c>
    </row>
    <row r="2522" customFormat="false" ht="34.5" hidden="false" customHeight="true" outlineLevel="0" collapsed="false">
      <c r="A2522" s="10" t="s">
        <v>5929</v>
      </c>
      <c r="B2522" s="10" t="s">
        <v>45</v>
      </c>
      <c r="C2522" s="8" t="s">
        <v>5930</v>
      </c>
      <c r="D2522" s="8" t="s">
        <v>5931</v>
      </c>
      <c r="E2522" s="11" t="n">
        <v>63</v>
      </c>
      <c r="F2522" s="8" t="str">
        <f aca="false">IFERROR(INDEX(Section_Master!$D$2:$D$477,MATCH($E2522,Section_Master!$A$2:$A$477,0))&amp;"","")</f>
        <v>Not applicable - no offence or penalty defined here (definition, exception or general provision)</v>
      </c>
      <c r="G2522" s="10" t="str">
        <f aca="false">IFERROR(INDEX(Section_Master!$E$2:$E$477,MATCH($E2522,Section_Master!$A$2:$A$477,0))&amp;"","")</f>
        <v>N/A</v>
      </c>
      <c r="H2522" s="10" t="str">
        <f aca="false">IFERROR(INDEX(Section_Master!$F$2:$F$477,MATCH($E2522,Section_Master!$A$2:$A$477,0))&amp;"","")</f>
        <v>N/A</v>
      </c>
      <c r="I2522" s="10" t="str">
        <f aca="false">IFERROR(INDEX(Section_Master!$G$2:$G$477,MATCH($E2522,Section_Master!$A$2:$A$477,0))&amp;"","")</f>
        <v>N/A</v>
      </c>
      <c r="J2522" s="10" t="s">
        <v>48</v>
      </c>
      <c r="K2522" s="8" t="s">
        <v>5932</v>
      </c>
    </row>
    <row r="2523" customFormat="false" ht="23.25" hidden="false" customHeight="true" outlineLevel="0" collapsed="false">
      <c r="A2523" s="10" t="s">
        <v>5933</v>
      </c>
      <c r="B2523" s="10" t="s">
        <v>45</v>
      </c>
      <c r="C2523" s="8" t="s">
        <v>5930</v>
      </c>
      <c r="D2523" s="8" t="s">
        <v>5934</v>
      </c>
      <c r="E2523" s="11" t="n">
        <v>63</v>
      </c>
      <c r="F2523" s="8" t="str">
        <f aca="false">IFERROR(INDEX(Section_Master!$D$2:$D$477,MATCH($E2523,Section_Master!$A$2:$A$477,0))&amp;"","")</f>
        <v>Not applicable - no offence or penalty defined here (definition, exception or general provision)</v>
      </c>
      <c r="G2523" s="10" t="str">
        <f aca="false">IFERROR(INDEX(Section_Master!$E$2:$E$477,MATCH($E2523,Section_Master!$A$2:$A$477,0))&amp;"","")</f>
        <v>N/A</v>
      </c>
      <c r="H2523" s="10" t="str">
        <f aca="false">IFERROR(INDEX(Section_Master!$F$2:$F$477,MATCH($E2523,Section_Master!$A$2:$A$477,0))&amp;"","")</f>
        <v>N/A</v>
      </c>
      <c r="I2523" s="10" t="str">
        <f aca="false">IFERROR(INDEX(Section_Master!$G$2:$G$477,MATCH($E2523,Section_Master!$A$2:$A$477,0))&amp;"","")</f>
        <v>N/A</v>
      </c>
      <c r="J2523" s="10" t="s">
        <v>52</v>
      </c>
      <c r="K2523" s="8" t="s">
        <v>5932</v>
      </c>
    </row>
    <row r="2524" customFormat="false" ht="45.75" hidden="false" customHeight="true" outlineLevel="0" collapsed="false">
      <c r="A2524" s="10" t="s">
        <v>5935</v>
      </c>
      <c r="B2524" s="10" t="s">
        <v>45</v>
      </c>
      <c r="C2524" s="8" t="s">
        <v>5930</v>
      </c>
      <c r="D2524" s="8" t="s">
        <v>5936</v>
      </c>
      <c r="E2524" s="11" t="n">
        <v>63</v>
      </c>
      <c r="F2524" s="8" t="str">
        <f aca="false">IFERROR(INDEX(Section_Master!$D$2:$D$477,MATCH($E2524,Section_Master!$A$2:$A$477,0))&amp;"","")</f>
        <v>Not applicable - no offence or penalty defined here (definition, exception or general provision)</v>
      </c>
      <c r="G2524" s="10" t="str">
        <f aca="false">IFERROR(INDEX(Section_Master!$E$2:$E$477,MATCH($E2524,Section_Master!$A$2:$A$477,0))&amp;"","")</f>
        <v>N/A</v>
      </c>
      <c r="H2524" s="10" t="str">
        <f aca="false">IFERROR(INDEX(Section_Master!$F$2:$F$477,MATCH($E2524,Section_Master!$A$2:$A$477,0))&amp;"","")</f>
        <v>N/A</v>
      </c>
      <c r="I2524" s="10" t="str">
        <f aca="false">IFERROR(INDEX(Section_Master!$G$2:$G$477,MATCH($E2524,Section_Master!$A$2:$A$477,0))&amp;"","")</f>
        <v>N/A</v>
      </c>
      <c r="J2524" s="10" t="s">
        <v>55</v>
      </c>
      <c r="K2524" s="8" t="s">
        <v>5932</v>
      </c>
    </row>
    <row r="2525" customFormat="false" ht="23.25" hidden="false" customHeight="true" outlineLevel="0" collapsed="false">
      <c r="A2525" s="10" t="s">
        <v>5937</v>
      </c>
      <c r="B2525" s="10" t="s">
        <v>45</v>
      </c>
      <c r="C2525" s="8" t="s">
        <v>5930</v>
      </c>
      <c r="D2525" s="8" t="s">
        <v>5938</v>
      </c>
      <c r="E2525" s="11" t="n">
        <v>63</v>
      </c>
      <c r="F2525" s="8" t="str">
        <f aca="false">IFERROR(INDEX(Section_Master!$D$2:$D$477,MATCH($E2525,Section_Master!$A$2:$A$477,0))&amp;"","")</f>
        <v>Not applicable - no offence or penalty defined here (definition, exception or general provision)</v>
      </c>
      <c r="G2525" s="10" t="str">
        <f aca="false">IFERROR(INDEX(Section_Master!$E$2:$E$477,MATCH($E2525,Section_Master!$A$2:$A$477,0))&amp;"","")</f>
        <v>N/A</v>
      </c>
      <c r="H2525" s="10" t="str">
        <f aca="false">IFERROR(INDEX(Section_Master!$F$2:$F$477,MATCH($E2525,Section_Master!$A$2:$A$477,0))&amp;"","")</f>
        <v>N/A</v>
      </c>
      <c r="I2525" s="10" t="str">
        <f aca="false">IFERROR(INDEX(Section_Master!$G$2:$G$477,MATCH($E2525,Section_Master!$A$2:$A$477,0))&amp;"","")</f>
        <v>N/A</v>
      </c>
      <c r="J2525" s="10" t="s">
        <v>58</v>
      </c>
      <c r="K2525" s="8" t="s">
        <v>5932</v>
      </c>
    </row>
    <row r="2526" customFormat="false" ht="23.25" hidden="false" customHeight="true" outlineLevel="0" collapsed="false">
      <c r="A2526" s="10" t="s">
        <v>5939</v>
      </c>
      <c r="B2526" s="10" t="s">
        <v>45</v>
      </c>
      <c r="C2526" s="8" t="s">
        <v>5930</v>
      </c>
      <c r="D2526" s="8" t="s">
        <v>5940</v>
      </c>
      <c r="E2526" s="11" t="n">
        <v>63</v>
      </c>
      <c r="F2526" s="8" t="str">
        <f aca="false">IFERROR(INDEX(Section_Master!$D$2:$D$477,MATCH($E2526,Section_Master!$A$2:$A$477,0))&amp;"","")</f>
        <v>Not applicable - no offence or penalty defined here (definition, exception or general provision)</v>
      </c>
      <c r="G2526" s="10" t="str">
        <f aca="false">IFERROR(INDEX(Section_Master!$E$2:$E$477,MATCH($E2526,Section_Master!$A$2:$A$477,0))&amp;"","")</f>
        <v>N/A</v>
      </c>
      <c r="H2526" s="10" t="str">
        <f aca="false">IFERROR(INDEX(Section_Master!$F$2:$F$477,MATCH($E2526,Section_Master!$A$2:$A$477,0))&amp;"","")</f>
        <v>N/A</v>
      </c>
      <c r="I2526" s="10" t="str">
        <f aca="false">IFERROR(INDEX(Section_Master!$G$2:$G$477,MATCH($E2526,Section_Master!$A$2:$A$477,0))&amp;"","")</f>
        <v>N/A</v>
      </c>
      <c r="J2526" s="10" t="s">
        <v>61</v>
      </c>
      <c r="K2526" s="8" t="s">
        <v>5932</v>
      </c>
    </row>
    <row r="2527" customFormat="false" ht="23.25" hidden="false" customHeight="true" outlineLevel="0" collapsed="false">
      <c r="A2527" s="10" t="s">
        <v>5941</v>
      </c>
      <c r="B2527" s="10" t="s">
        <v>45</v>
      </c>
      <c r="C2527" s="8" t="s">
        <v>5930</v>
      </c>
      <c r="D2527" s="8" t="s">
        <v>5942</v>
      </c>
      <c r="E2527" s="11" t="n">
        <v>63</v>
      </c>
      <c r="F2527" s="8" t="str">
        <f aca="false">IFERROR(INDEX(Section_Master!$D$2:$D$477,MATCH($E2527,Section_Master!$A$2:$A$477,0))&amp;"","")</f>
        <v>Not applicable - no offence or penalty defined here (definition, exception or general provision)</v>
      </c>
      <c r="G2527" s="10" t="str">
        <f aca="false">IFERROR(INDEX(Section_Master!$E$2:$E$477,MATCH($E2527,Section_Master!$A$2:$A$477,0))&amp;"","")</f>
        <v>N/A</v>
      </c>
      <c r="H2527" s="10" t="str">
        <f aca="false">IFERROR(INDEX(Section_Master!$F$2:$F$477,MATCH($E2527,Section_Master!$A$2:$A$477,0))&amp;"","")</f>
        <v>N/A</v>
      </c>
      <c r="I2527" s="10" t="str">
        <f aca="false">IFERROR(INDEX(Section_Master!$G$2:$G$477,MATCH($E2527,Section_Master!$A$2:$A$477,0))&amp;"","")</f>
        <v>N/A</v>
      </c>
      <c r="J2527" s="10" t="s">
        <v>64</v>
      </c>
      <c r="K2527" s="8" t="s">
        <v>5932</v>
      </c>
    </row>
    <row r="2528" customFormat="false" ht="34.5" hidden="false" customHeight="true" outlineLevel="0" collapsed="false">
      <c r="A2528" s="10" t="s">
        <v>5943</v>
      </c>
      <c r="B2528" s="10" t="s">
        <v>45</v>
      </c>
      <c r="C2528" s="8" t="s">
        <v>5944</v>
      </c>
      <c r="D2528" s="8" t="s">
        <v>5945</v>
      </c>
      <c r="E2528" s="11" t="n">
        <v>64</v>
      </c>
      <c r="F2528" s="8" t="str">
        <f aca="false">IFERROR(INDEX(Section_Master!$D$2:$D$477,MATCH($E2528,Section_Master!$A$2:$A$477,0))&amp;"","")</f>
        <v>Rigorous imprisonment not less than 10 years, may extend to life, and fine [s.64(1)]</v>
      </c>
      <c r="G2528" s="10" t="str">
        <f aca="false">IFERROR(INDEX(Section_Master!$E$2:$E$477,MATCH($E2528,Section_Master!$A$2:$A$477,0))&amp;"","")</f>
        <v>Yes</v>
      </c>
      <c r="H2528" s="10" t="str">
        <f aca="false">IFERROR(INDEX(Section_Master!$F$2:$F$477,MATCH($E2528,Section_Master!$A$2:$A$477,0))&amp;"","")</f>
        <v>No</v>
      </c>
      <c r="I2528" s="10" t="str">
        <f aca="false">IFERROR(INDEX(Section_Master!$G$2:$G$477,MATCH($E2528,Section_Master!$A$2:$A$477,0))&amp;"","")</f>
        <v>No</v>
      </c>
      <c r="J2528" s="10" t="s">
        <v>48</v>
      </c>
      <c r="K2528" s="8" t="s">
        <v>5946</v>
      </c>
    </row>
    <row r="2529" customFormat="false" ht="34.5" hidden="false" customHeight="true" outlineLevel="0" collapsed="false">
      <c r="A2529" s="10" t="s">
        <v>5947</v>
      </c>
      <c r="B2529" s="10" t="s">
        <v>45</v>
      </c>
      <c r="C2529" s="8" t="s">
        <v>5944</v>
      </c>
      <c r="D2529" s="8" t="s">
        <v>5948</v>
      </c>
      <c r="E2529" s="11" t="n">
        <v>64</v>
      </c>
      <c r="F2529" s="8" t="str">
        <f aca="false">IFERROR(INDEX(Section_Master!$D$2:$D$477,MATCH($E2529,Section_Master!$A$2:$A$477,0))&amp;"","")</f>
        <v>Rigorous imprisonment not less than 10 years, may extend to life, and fine [s.64(1)]</v>
      </c>
      <c r="G2529" s="10" t="str">
        <f aca="false">IFERROR(INDEX(Section_Master!$E$2:$E$477,MATCH($E2529,Section_Master!$A$2:$A$477,0))&amp;"","")</f>
        <v>Yes</v>
      </c>
      <c r="H2529" s="10" t="str">
        <f aca="false">IFERROR(INDEX(Section_Master!$F$2:$F$477,MATCH($E2529,Section_Master!$A$2:$A$477,0))&amp;"","")</f>
        <v>No</v>
      </c>
      <c r="I2529" s="10" t="str">
        <f aca="false">IFERROR(INDEX(Section_Master!$G$2:$G$477,MATCH($E2529,Section_Master!$A$2:$A$477,0))&amp;"","")</f>
        <v>No</v>
      </c>
      <c r="J2529" s="10" t="s">
        <v>52</v>
      </c>
      <c r="K2529" s="8" t="s">
        <v>5946</v>
      </c>
    </row>
    <row r="2530" customFormat="false" ht="34.5" hidden="false" customHeight="true" outlineLevel="0" collapsed="false">
      <c r="A2530" s="10" t="s">
        <v>5949</v>
      </c>
      <c r="B2530" s="10" t="s">
        <v>45</v>
      </c>
      <c r="C2530" s="8" t="s">
        <v>5944</v>
      </c>
      <c r="D2530" s="8" t="s">
        <v>5950</v>
      </c>
      <c r="E2530" s="11" t="n">
        <v>64</v>
      </c>
      <c r="F2530" s="8" t="str">
        <f aca="false">IFERROR(INDEX(Section_Master!$D$2:$D$477,MATCH($E2530,Section_Master!$A$2:$A$477,0))&amp;"","")</f>
        <v>Rigorous imprisonment not less than 10 years, may extend to life, and fine [s.64(1)]</v>
      </c>
      <c r="G2530" s="10" t="str">
        <f aca="false">IFERROR(INDEX(Section_Master!$E$2:$E$477,MATCH($E2530,Section_Master!$A$2:$A$477,0))&amp;"","")</f>
        <v>Yes</v>
      </c>
      <c r="H2530" s="10" t="str">
        <f aca="false">IFERROR(INDEX(Section_Master!$F$2:$F$477,MATCH($E2530,Section_Master!$A$2:$A$477,0))&amp;"","")</f>
        <v>No</v>
      </c>
      <c r="I2530" s="10" t="str">
        <f aca="false">IFERROR(INDEX(Section_Master!$G$2:$G$477,MATCH($E2530,Section_Master!$A$2:$A$477,0))&amp;"","")</f>
        <v>No</v>
      </c>
      <c r="J2530" s="10" t="s">
        <v>55</v>
      </c>
      <c r="K2530" s="8" t="s">
        <v>5946</v>
      </c>
    </row>
    <row r="2531" customFormat="false" ht="34.5" hidden="false" customHeight="true" outlineLevel="0" collapsed="false">
      <c r="A2531" s="10" t="s">
        <v>5951</v>
      </c>
      <c r="B2531" s="10" t="s">
        <v>45</v>
      </c>
      <c r="C2531" s="8" t="s">
        <v>5944</v>
      </c>
      <c r="D2531" s="8" t="s">
        <v>5952</v>
      </c>
      <c r="E2531" s="11" t="n">
        <v>64</v>
      </c>
      <c r="F2531" s="8" t="str">
        <f aca="false">IFERROR(INDEX(Section_Master!$D$2:$D$477,MATCH($E2531,Section_Master!$A$2:$A$477,0))&amp;"","")</f>
        <v>Rigorous imprisonment not less than 10 years, may extend to life, and fine [s.64(1)]</v>
      </c>
      <c r="G2531" s="10" t="str">
        <f aca="false">IFERROR(INDEX(Section_Master!$E$2:$E$477,MATCH($E2531,Section_Master!$A$2:$A$477,0))&amp;"","")</f>
        <v>Yes</v>
      </c>
      <c r="H2531" s="10" t="str">
        <f aca="false">IFERROR(INDEX(Section_Master!$F$2:$F$477,MATCH($E2531,Section_Master!$A$2:$A$477,0))&amp;"","")</f>
        <v>No</v>
      </c>
      <c r="I2531" s="10" t="str">
        <f aca="false">IFERROR(INDEX(Section_Master!$G$2:$G$477,MATCH($E2531,Section_Master!$A$2:$A$477,0))&amp;"","")</f>
        <v>No</v>
      </c>
      <c r="J2531" s="10" t="s">
        <v>58</v>
      </c>
      <c r="K2531" s="8" t="s">
        <v>5946</v>
      </c>
    </row>
    <row r="2532" customFormat="false" ht="23.25" hidden="false" customHeight="true" outlineLevel="0" collapsed="false">
      <c r="A2532" s="10" t="s">
        <v>5953</v>
      </c>
      <c r="B2532" s="10" t="s">
        <v>45</v>
      </c>
      <c r="C2532" s="8" t="s">
        <v>5944</v>
      </c>
      <c r="D2532" s="8" t="s">
        <v>5954</v>
      </c>
      <c r="E2532" s="11" t="n">
        <v>64</v>
      </c>
      <c r="F2532" s="8" t="str">
        <f aca="false">IFERROR(INDEX(Section_Master!$D$2:$D$477,MATCH($E2532,Section_Master!$A$2:$A$477,0))&amp;"","")</f>
        <v>Rigorous imprisonment not less than 10 years, may extend to life, and fine [s.64(1)]</v>
      </c>
      <c r="G2532" s="10" t="str">
        <f aca="false">IFERROR(INDEX(Section_Master!$E$2:$E$477,MATCH($E2532,Section_Master!$A$2:$A$477,0))&amp;"","")</f>
        <v>Yes</v>
      </c>
      <c r="H2532" s="10" t="str">
        <f aca="false">IFERROR(INDEX(Section_Master!$F$2:$F$477,MATCH($E2532,Section_Master!$A$2:$A$477,0))&amp;"","")</f>
        <v>No</v>
      </c>
      <c r="I2532" s="10" t="str">
        <f aca="false">IFERROR(INDEX(Section_Master!$G$2:$G$477,MATCH($E2532,Section_Master!$A$2:$A$477,0))&amp;"","")</f>
        <v>No</v>
      </c>
      <c r="J2532" s="10" t="s">
        <v>61</v>
      </c>
      <c r="K2532" s="8" t="s">
        <v>5946</v>
      </c>
    </row>
    <row r="2533" customFormat="false" ht="34.5" hidden="false" customHeight="true" outlineLevel="0" collapsed="false">
      <c r="A2533" s="10" t="s">
        <v>5955</v>
      </c>
      <c r="B2533" s="10" t="s">
        <v>45</v>
      </c>
      <c r="C2533" s="8" t="s">
        <v>5944</v>
      </c>
      <c r="D2533" s="8" t="s">
        <v>5956</v>
      </c>
      <c r="E2533" s="11" t="n">
        <v>64</v>
      </c>
      <c r="F2533" s="8" t="str">
        <f aca="false">IFERROR(INDEX(Section_Master!$D$2:$D$477,MATCH($E2533,Section_Master!$A$2:$A$477,0))&amp;"","")</f>
        <v>Rigorous imprisonment not less than 10 years, may extend to life, and fine [s.64(1)]</v>
      </c>
      <c r="G2533" s="10" t="str">
        <f aca="false">IFERROR(INDEX(Section_Master!$E$2:$E$477,MATCH($E2533,Section_Master!$A$2:$A$477,0))&amp;"","")</f>
        <v>Yes</v>
      </c>
      <c r="H2533" s="10" t="str">
        <f aca="false">IFERROR(INDEX(Section_Master!$F$2:$F$477,MATCH($E2533,Section_Master!$A$2:$A$477,0))&amp;"","")</f>
        <v>No</v>
      </c>
      <c r="I2533" s="10" t="str">
        <f aca="false">IFERROR(INDEX(Section_Master!$G$2:$G$477,MATCH($E2533,Section_Master!$A$2:$A$477,0))&amp;"","")</f>
        <v>No</v>
      </c>
      <c r="J2533" s="10" t="s">
        <v>64</v>
      </c>
      <c r="K2533" s="8" t="s">
        <v>5946</v>
      </c>
    </row>
    <row r="2534" customFormat="false" ht="34.5" hidden="false" customHeight="true" outlineLevel="0" collapsed="false">
      <c r="A2534" s="10" t="s">
        <v>5957</v>
      </c>
      <c r="B2534" s="10" t="s">
        <v>45</v>
      </c>
      <c r="C2534" s="8" t="s">
        <v>5958</v>
      </c>
      <c r="D2534" s="8" t="s">
        <v>5959</v>
      </c>
      <c r="E2534" s="11" t="n">
        <v>65</v>
      </c>
      <c r="F2534" s="8" t="str">
        <f aca="false">IFERROR(INDEX(Section_Master!$D$2:$D$477,MATCH($E2534,Section_Master!$A$2:$A$477,0))&amp;"","")</f>
        <v>Rigorous imprisonment not less than 20 years, may extend to life (remainder of natural life), and fine; death if victim is under 12 [s.65]</v>
      </c>
      <c r="G2534" s="10" t="str">
        <f aca="false">IFERROR(INDEX(Section_Master!$E$2:$E$477,MATCH($E2534,Section_Master!$A$2:$A$477,0))&amp;"","")</f>
        <v>Yes</v>
      </c>
      <c r="H2534" s="10" t="str">
        <f aca="false">IFERROR(INDEX(Section_Master!$F$2:$F$477,MATCH($E2534,Section_Master!$A$2:$A$477,0))&amp;"","")</f>
        <v>No</v>
      </c>
      <c r="I2534" s="10" t="str">
        <f aca="false">IFERROR(INDEX(Section_Master!$G$2:$G$477,MATCH($E2534,Section_Master!$A$2:$A$477,0))&amp;"","")</f>
        <v>No</v>
      </c>
      <c r="J2534" s="10" t="s">
        <v>48</v>
      </c>
      <c r="K2534" s="8" t="s">
        <v>5960</v>
      </c>
    </row>
    <row r="2535" customFormat="false" ht="23.25" hidden="false" customHeight="true" outlineLevel="0" collapsed="false">
      <c r="A2535" s="10" t="s">
        <v>5961</v>
      </c>
      <c r="B2535" s="10" t="s">
        <v>45</v>
      </c>
      <c r="C2535" s="8" t="s">
        <v>5958</v>
      </c>
      <c r="D2535" s="8" t="s">
        <v>5962</v>
      </c>
      <c r="E2535" s="11" t="n">
        <v>65</v>
      </c>
      <c r="F2535" s="8" t="str">
        <f aca="false">IFERROR(INDEX(Section_Master!$D$2:$D$477,MATCH($E2535,Section_Master!$A$2:$A$477,0))&amp;"","")</f>
        <v>Rigorous imprisonment not less than 20 years, may extend to life (remainder of natural life), and fine; death if victim is under 12 [s.65]</v>
      </c>
      <c r="G2535" s="10" t="str">
        <f aca="false">IFERROR(INDEX(Section_Master!$E$2:$E$477,MATCH($E2535,Section_Master!$A$2:$A$477,0))&amp;"","")</f>
        <v>Yes</v>
      </c>
      <c r="H2535" s="10" t="str">
        <f aca="false">IFERROR(INDEX(Section_Master!$F$2:$F$477,MATCH($E2535,Section_Master!$A$2:$A$477,0))&amp;"","")</f>
        <v>No</v>
      </c>
      <c r="I2535" s="10" t="str">
        <f aca="false">IFERROR(INDEX(Section_Master!$G$2:$G$477,MATCH($E2535,Section_Master!$A$2:$A$477,0))&amp;"","")</f>
        <v>No</v>
      </c>
      <c r="J2535" s="10" t="s">
        <v>52</v>
      </c>
      <c r="K2535" s="8" t="s">
        <v>5960</v>
      </c>
    </row>
    <row r="2536" customFormat="false" ht="23.25" hidden="false" customHeight="true" outlineLevel="0" collapsed="false">
      <c r="A2536" s="10" t="s">
        <v>5963</v>
      </c>
      <c r="B2536" s="10" t="s">
        <v>45</v>
      </c>
      <c r="C2536" s="8" t="s">
        <v>5958</v>
      </c>
      <c r="D2536" s="8" t="s">
        <v>5964</v>
      </c>
      <c r="E2536" s="11" t="n">
        <v>65</v>
      </c>
      <c r="F2536" s="8" t="str">
        <f aca="false">IFERROR(INDEX(Section_Master!$D$2:$D$477,MATCH($E2536,Section_Master!$A$2:$A$477,0))&amp;"","")</f>
        <v>Rigorous imprisonment not less than 20 years, may extend to life (remainder of natural life), and fine; death if victim is under 12 [s.65]</v>
      </c>
      <c r="G2536" s="10" t="str">
        <f aca="false">IFERROR(INDEX(Section_Master!$E$2:$E$477,MATCH($E2536,Section_Master!$A$2:$A$477,0))&amp;"","")</f>
        <v>Yes</v>
      </c>
      <c r="H2536" s="10" t="str">
        <f aca="false">IFERROR(INDEX(Section_Master!$F$2:$F$477,MATCH($E2536,Section_Master!$A$2:$A$477,0))&amp;"","")</f>
        <v>No</v>
      </c>
      <c r="I2536" s="10" t="str">
        <f aca="false">IFERROR(INDEX(Section_Master!$G$2:$G$477,MATCH($E2536,Section_Master!$A$2:$A$477,0))&amp;"","")</f>
        <v>No</v>
      </c>
      <c r="J2536" s="10" t="s">
        <v>55</v>
      </c>
      <c r="K2536" s="8" t="s">
        <v>5960</v>
      </c>
    </row>
    <row r="2537" customFormat="false" ht="23.25" hidden="false" customHeight="true" outlineLevel="0" collapsed="false">
      <c r="A2537" s="10" t="s">
        <v>5965</v>
      </c>
      <c r="B2537" s="10" t="s">
        <v>45</v>
      </c>
      <c r="C2537" s="8" t="s">
        <v>5958</v>
      </c>
      <c r="D2537" s="8" t="s">
        <v>5966</v>
      </c>
      <c r="E2537" s="11" t="n">
        <v>65</v>
      </c>
      <c r="F2537" s="8" t="str">
        <f aca="false">IFERROR(INDEX(Section_Master!$D$2:$D$477,MATCH($E2537,Section_Master!$A$2:$A$477,0))&amp;"","")</f>
        <v>Rigorous imprisonment not less than 20 years, may extend to life (remainder of natural life), and fine; death if victim is under 12 [s.65]</v>
      </c>
      <c r="G2537" s="10" t="str">
        <f aca="false">IFERROR(INDEX(Section_Master!$E$2:$E$477,MATCH($E2537,Section_Master!$A$2:$A$477,0))&amp;"","")</f>
        <v>Yes</v>
      </c>
      <c r="H2537" s="10" t="str">
        <f aca="false">IFERROR(INDEX(Section_Master!$F$2:$F$477,MATCH($E2537,Section_Master!$A$2:$A$477,0))&amp;"","")</f>
        <v>No</v>
      </c>
      <c r="I2537" s="10" t="str">
        <f aca="false">IFERROR(INDEX(Section_Master!$G$2:$G$477,MATCH($E2537,Section_Master!$A$2:$A$477,0))&amp;"","")</f>
        <v>No</v>
      </c>
      <c r="J2537" s="10" t="s">
        <v>58</v>
      </c>
      <c r="K2537" s="8" t="s">
        <v>5960</v>
      </c>
    </row>
    <row r="2538" customFormat="false" ht="34.5" hidden="false" customHeight="true" outlineLevel="0" collapsed="false">
      <c r="A2538" s="10" t="s">
        <v>5967</v>
      </c>
      <c r="B2538" s="10" t="s">
        <v>45</v>
      </c>
      <c r="C2538" s="8" t="s">
        <v>5958</v>
      </c>
      <c r="D2538" s="8" t="s">
        <v>5968</v>
      </c>
      <c r="E2538" s="11" t="n">
        <v>65</v>
      </c>
      <c r="F2538" s="8" t="str">
        <f aca="false">IFERROR(INDEX(Section_Master!$D$2:$D$477,MATCH($E2538,Section_Master!$A$2:$A$477,0))&amp;"","")</f>
        <v>Rigorous imprisonment not less than 20 years, may extend to life (remainder of natural life), and fine; death if victim is under 12 [s.65]</v>
      </c>
      <c r="G2538" s="10" t="str">
        <f aca="false">IFERROR(INDEX(Section_Master!$E$2:$E$477,MATCH($E2538,Section_Master!$A$2:$A$477,0))&amp;"","")</f>
        <v>Yes</v>
      </c>
      <c r="H2538" s="10" t="str">
        <f aca="false">IFERROR(INDEX(Section_Master!$F$2:$F$477,MATCH($E2538,Section_Master!$A$2:$A$477,0))&amp;"","")</f>
        <v>No</v>
      </c>
      <c r="I2538" s="10" t="str">
        <f aca="false">IFERROR(INDEX(Section_Master!$G$2:$G$477,MATCH($E2538,Section_Master!$A$2:$A$477,0))&amp;"","")</f>
        <v>No</v>
      </c>
      <c r="J2538" s="10" t="s">
        <v>61</v>
      </c>
      <c r="K2538" s="8" t="s">
        <v>5960</v>
      </c>
    </row>
    <row r="2539" customFormat="false" ht="23.25" hidden="false" customHeight="true" outlineLevel="0" collapsed="false">
      <c r="A2539" s="10" t="s">
        <v>5969</v>
      </c>
      <c r="B2539" s="10" t="s">
        <v>45</v>
      </c>
      <c r="C2539" s="8" t="s">
        <v>5958</v>
      </c>
      <c r="D2539" s="8" t="s">
        <v>5970</v>
      </c>
      <c r="E2539" s="11" t="n">
        <v>65</v>
      </c>
      <c r="F2539" s="8" t="str">
        <f aca="false">IFERROR(INDEX(Section_Master!$D$2:$D$477,MATCH($E2539,Section_Master!$A$2:$A$477,0))&amp;"","")</f>
        <v>Rigorous imprisonment not less than 20 years, may extend to life (remainder of natural life), and fine; death if victim is under 12 [s.65]</v>
      </c>
      <c r="G2539" s="10" t="str">
        <f aca="false">IFERROR(INDEX(Section_Master!$E$2:$E$477,MATCH($E2539,Section_Master!$A$2:$A$477,0))&amp;"","")</f>
        <v>Yes</v>
      </c>
      <c r="H2539" s="10" t="str">
        <f aca="false">IFERROR(INDEX(Section_Master!$F$2:$F$477,MATCH($E2539,Section_Master!$A$2:$A$477,0))&amp;"","")</f>
        <v>No</v>
      </c>
      <c r="I2539" s="10" t="str">
        <f aca="false">IFERROR(INDEX(Section_Master!$G$2:$G$477,MATCH($E2539,Section_Master!$A$2:$A$477,0))&amp;"","")</f>
        <v>No</v>
      </c>
      <c r="J2539" s="10" t="s">
        <v>64</v>
      </c>
      <c r="K2539" s="8" t="s">
        <v>5960</v>
      </c>
    </row>
    <row r="2540" customFormat="false" ht="34.5" hidden="false" customHeight="true" outlineLevel="0" collapsed="false">
      <c r="A2540" s="10" t="s">
        <v>5971</v>
      </c>
      <c r="B2540" s="10" t="s">
        <v>45</v>
      </c>
      <c r="C2540" s="8" t="s">
        <v>5972</v>
      </c>
      <c r="D2540" s="8" t="s">
        <v>5973</v>
      </c>
      <c r="E2540" s="11" t="n">
        <v>66</v>
      </c>
      <c r="F2540" s="8" t="str">
        <f aca="false">IFERROR(INDEX(Section_Master!$D$2:$D$477,MATCH($E2540,Section_Master!$A$2:$A$477,0))&amp;"","")</f>
        <v>Rigorous imprisonment not less than 20 years, may extend to life (remainder of natural life), or death</v>
      </c>
      <c r="G2540" s="10" t="str">
        <f aca="false">IFERROR(INDEX(Section_Master!$E$2:$E$477,MATCH($E2540,Section_Master!$A$2:$A$477,0))&amp;"","")</f>
        <v>Yes</v>
      </c>
      <c r="H2540" s="10" t="str">
        <f aca="false">IFERROR(INDEX(Section_Master!$F$2:$F$477,MATCH($E2540,Section_Master!$A$2:$A$477,0))&amp;"","")</f>
        <v>No</v>
      </c>
      <c r="I2540" s="10" t="str">
        <f aca="false">IFERROR(INDEX(Section_Master!$G$2:$G$477,MATCH($E2540,Section_Master!$A$2:$A$477,0))&amp;"","")</f>
        <v>No</v>
      </c>
      <c r="J2540" s="10" t="s">
        <v>48</v>
      </c>
      <c r="K2540" s="8" t="s">
        <v>5974</v>
      </c>
    </row>
    <row r="2541" customFormat="false" ht="34.5" hidden="false" customHeight="true" outlineLevel="0" collapsed="false">
      <c r="A2541" s="10" t="s">
        <v>5975</v>
      </c>
      <c r="B2541" s="10" t="s">
        <v>45</v>
      </c>
      <c r="C2541" s="8" t="s">
        <v>5972</v>
      </c>
      <c r="D2541" s="8" t="s">
        <v>5976</v>
      </c>
      <c r="E2541" s="11" t="n">
        <v>66</v>
      </c>
      <c r="F2541" s="8" t="str">
        <f aca="false">IFERROR(INDEX(Section_Master!$D$2:$D$477,MATCH($E2541,Section_Master!$A$2:$A$477,0))&amp;"","")</f>
        <v>Rigorous imprisonment not less than 20 years, may extend to life (remainder of natural life), or death</v>
      </c>
      <c r="G2541" s="10" t="str">
        <f aca="false">IFERROR(INDEX(Section_Master!$E$2:$E$477,MATCH($E2541,Section_Master!$A$2:$A$477,0))&amp;"","")</f>
        <v>Yes</v>
      </c>
      <c r="H2541" s="10" t="str">
        <f aca="false">IFERROR(INDEX(Section_Master!$F$2:$F$477,MATCH($E2541,Section_Master!$A$2:$A$477,0))&amp;"","")</f>
        <v>No</v>
      </c>
      <c r="I2541" s="10" t="str">
        <f aca="false">IFERROR(INDEX(Section_Master!$G$2:$G$477,MATCH($E2541,Section_Master!$A$2:$A$477,0))&amp;"","")</f>
        <v>No</v>
      </c>
      <c r="J2541" s="10" t="s">
        <v>52</v>
      </c>
      <c r="K2541" s="8" t="s">
        <v>5974</v>
      </c>
    </row>
    <row r="2542" customFormat="false" ht="23.25" hidden="false" customHeight="true" outlineLevel="0" collapsed="false">
      <c r="A2542" s="10" t="s">
        <v>5977</v>
      </c>
      <c r="B2542" s="10" t="s">
        <v>45</v>
      </c>
      <c r="C2542" s="8" t="s">
        <v>5972</v>
      </c>
      <c r="D2542" s="8" t="s">
        <v>5978</v>
      </c>
      <c r="E2542" s="11" t="n">
        <v>66</v>
      </c>
      <c r="F2542" s="8" t="str">
        <f aca="false">IFERROR(INDEX(Section_Master!$D$2:$D$477,MATCH($E2542,Section_Master!$A$2:$A$477,0))&amp;"","")</f>
        <v>Rigorous imprisonment not less than 20 years, may extend to life (remainder of natural life), or death</v>
      </c>
      <c r="G2542" s="10" t="str">
        <f aca="false">IFERROR(INDEX(Section_Master!$E$2:$E$477,MATCH($E2542,Section_Master!$A$2:$A$477,0))&amp;"","")</f>
        <v>Yes</v>
      </c>
      <c r="H2542" s="10" t="str">
        <f aca="false">IFERROR(INDEX(Section_Master!$F$2:$F$477,MATCH($E2542,Section_Master!$A$2:$A$477,0))&amp;"","")</f>
        <v>No</v>
      </c>
      <c r="I2542" s="10" t="str">
        <f aca="false">IFERROR(INDEX(Section_Master!$G$2:$G$477,MATCH($E2542,Section_Master!$A$2:$A$477,0))&amp;"","")</f>
        <v>No</v>
      </c>
      <c r="J2542" s="10" t="s">
        <v>55</v>
      </c>
      <c r="K2542" s="8" t="s">
        <v>5974</v>
      </c>
    </row>
    <row r="2543" customFormat="false" ht="34.5" hidden="false" customHeight="true" outlineLevel="0" collapsed="false">
      <c r="A2543" s="10" t="s">
        <v>5979</v>
      </c>
      <c r="B2543" s="10" t="s">
        <v>45</v>
      </c>
      <c r="C2543" s="8" t="s">
        <v>5972</v>
      </c>
      <c r="D2543" s="8" t="s">
        <v>5980</v>
      </c>
      <c r="E2543" s="11" t="n">
        <v>66</v>
      </c>
      <c r="F2543" s="8" t="str">
        <f aca="false">IFERROR(INDEX(Section_Master!$D$2:$D$477,MATCH($E2543,Section_Master!$A$2:$A$477,0))&amp;"","")</f>
        <v>Rigorous imprisonment not less than 20 years, may extend to life (remainder of natural life), or death</v>
      </c>
      <c r="G2543" s="10" t="str">
        <f aca="false">IFERROR(INDEX(Section_Master!$E$2:$E$477,MATCH($E2543,Section_Master!$A$2:$A$477,0))&amp;"","")</f>
        <v>Yes</v>
      </c>
      <c r="H2543" s="10" t="str">
        <f aca="false">IFERROR(INDEX(Section_Master!$F$2:$F$477,MATCH($E2543,Section_Master!$A$2:$A$477,0))&amp;"","")</f>
        <v>No</v>
      </c>
      <c r="I2543" s="10" t="str">
        <f aca="false">IFERROR(INDEX(Section_Master!$G$2:$G$477,MATCH($E2543,Section_Master!$A$2:$A$477,0))&amp;"","")</f>
        <v>No</v>
      </c>
      <c r="J2543" s="10" t="s">
        <v>58</v>
      </c>
      <c r="K2543" s="8" t="s">
        <v>5974</v>
      </c>
    </row>
    <row r="2544" customFormat="false" ht="23.25" hidden="false" customHeight="true" outlineLevel="0" collapsed="false">
      <c r="A2544" s="10" t="s">
        <v>5981</v>
      </c>
      <c r="B2544" s="10" t="s">
        <v>45</v>
      </c>
      <c r="C2544" s="8" t="s">
        <v>5972</v>
      </c>
      <c r="D2544" s="8" t="s">
        <v>5982</v>
      </c>
      <c r="E2544" s="11" t="n">
        <v>66</v>
      </c>
      <c r="F2544" s="8" t="str">
        <f aca="false">IFERROR(INDEX(Section_Master!$D$2:$D$477,MATCH($E2544,Section_Master!$A$2:$A$477,0))&amp;"","")</f>
        <v>Rigorous imprisonment not less than 20 years, may extend to life (remainder of natural life), or death</v>
      </c>
      <c r="G2544" s="10" t="str">
        <f aca="false">IFERROR(INDEX(Section_Master!$E$2:$E$477,MATCH($E2544,Section_Master!$A$2:$A$477,0))&amp;"","")</f>
        <v>Yes</v>
      </c>
      <c r="H2544" s="10" t="str">
        <f aca="false">IFERROR(INDEX(Section_Master!$F$2:$F$477,MATCH($E2544,Section_Master!$A$2:$A$477,0))&amp;"","")</f>
        <v>No</v>
      </c>
      <c r="I2544" s="10" t="str">
        <f aca="false">IFERROR(INDEX(Section_Master!$G$2:$G$477,MATCH($E2544,Section_Master!$A$2:$A$477,0))&amp;"","")</f>
        <v>No</v>
      </c>
      <c r="J2544" s="10" t="s">
        <v>61</v>
      </c>
      <c r="K2544" s="8" t="s">
        <v>5974</v>
      </c>
    </row>
    <row r="2545" customFormat="false" ht="34.5" hidden="false" customHeight="true" outlineLevel="0" collapsed="false">
      <c r="A2545" s="10" t="s">
        <v>5983</v>
      </c>
      <c r="B2545" s="10" t="s">
        <v>45</v>
      </c>
      <c r="C2545" s="8" t="s">
        <v>5972</v>
      </c>
      <c r="D2545" s="8" t="s">
        <v>5984</v>
      </c>
      <c r="E2545" s="11" t="n">
        <v>66</v>
      </c>
      <c r="F2545" s="8" t="str">
        <f aca="false">IFERROR(INDEX(Section_Master!$D$2:$D$477,MATCH($E2545,Section_Master!$A$2:$A$477,0))&amp;"","")</f>
        <v>Rigorous imprisonment not less than 20 years, may extend to life (remainder of natural life), or death</v>
      </c>
      <c r="G2545" s="10" t="str">
        <f aca="false">IFERROR(INDEX(Section_Master!$E$2:$E$477,MATCH($E2545,Section_Master!$A$2:$A$477,0))&amp;"","")</f>
        <v>Yes</v>
      </c>
      <c r="H2545" s="10" t="str">
        <f aca="false">IFERROR(INDEX(Section_Master!$F$2:$F$477,MATCH($E2545,Section_Master!$A$2:$A$477,0))&amp;"","")</f>
        <v>No</v>
      </c>
      <c r="I2545" s="10" t="str">
        <f aca="false">IFERROR(INDEX(Section_Master!$G$2:$G$477,MATCH($E2545,Section_Master!$A$2:$A$477,0))&amp;"","")</f>
        <v>No</v>
      </c>
      <c r="J2545" s="10" t="s">
        <v>64</v>
      </c>
      <c r="K2545" s="8" t="s">
        <v>5974</v>
      </c>
    </row>
    <row r="2546" customFormat="false" ht="34.5" hidden="false" customHeight="true" outlineLevel="0" collapsed="false">
      <c r="A2546" s="10" t="s">
        <v>5985</v>
      </c>
      <c r="B2546" s="10" t="s">
        <v>45</v>
      </c>
      <c r="C2546" s="8" t="s">
        <v>5986</v>
      </c>
      <c r="D2546" s="8" t="s">
        <v>5987</v>
      </c>
      <c r="E2546" s="11" t="n">
        <v>67</v>
      </c>
      <c r="F2546" s="8" t="str">
        <f aca="false">IFERROR(INDEX(Section_Master!$D$2:$D$477,MATCH($E2546,Section_Master!$A$2:$A$477,0))&amp;"","")</f>
        <v>Rigorous imprisonment not less than 2 years, may extend to 7 years, and fine</v>
      </c>
      <c r="G2546" s="10" t="str">
        <f aca="false">IFERROR(INDEX(Section_Master!$E$2:$E$477,MATCH($E2546,Section_Master!$A$2:$A$477,0))&amp;"","")</f>
        <v>Yes</v>
      </c>
      <c r="H2546" s="10" t="str">
        <f aca="false">IFERROR(INDEX(Section_Master!$F$2:$F$477,MATCH($E2546,Section_Master!$A$2:$A$477,0))&amp;"","")</f>
        <v>No</v>
      </c>
      <c r="I2546" s="10" t="str">
        <f aca="false">IFERROR(INDEX(Section_Master!$G$2:$G$477,MATCH($E2546,Section_Master!$A$2:$A$477,0))&amp;"","")</f>
        <v>No</v>
      </c>
      <c r="J2546" s="10" t="s">
        <v>48</v>
      </c>
      <c r="K2546" s="8" t="s">
        <v>5988</v>
      </c>
    </row>
    <row r="2547" customFormat="false" ht="34.5" hidden="false" customHeight="true" outlineLevel="0" collapsed="false">
      <c r="A2547" s="10" t="s">
        <v>5989</v>
      </c>
      <c r="B2547" s="10" t="s">
        <v>45</v>
      </c>
      <c r="C2547" s="8" t="s">
        <v>5986</v>
      </c>
      <c r="D2547" s="8" t="s">
        <v>5990</v>
      </c>
      <c r="E2547" s="11" t="n">
        <v>67</v>
      </c>
      <c r="F2547" s="8" t="str">
        <f aca="false">IFERROR(INDEX(Section_Master!$D$2:$D$477,MATCH($E2547,Section_Master!$A$2:$A$477,0))&amp;"","")</f>
        <v>Rigorous imprisonment not less than 2 years, may extend to 7 years, and fine</v>
      </c>
      <c r="G2547" s="10" t="str">
        <f aca="false">IFERROR(INDEX(Section_Master!$E$2:$E$477,MATCH($E2547,Section_Master!$A$2:$A$477,0))&amp;"","")</f>
        <v>Yes</v>
      </c>
      <c r="H2547" s="10" t="str">
        <f aca="false">IFERROR(INDEX(Section_Master!$F$2:$F$477,MATCH($E2547,Section_Master!$A$2:$A$477,0))&amp;"","")</f>
        <v>No</v>
      </c>
      <c r="I2547" s="10" t="str">
        <f aca="false">IFERROR(INDEX(Section_Master!$G$2:$G$477,MATCH($E2547,Section_Master!$A$2:$A$477,0))&amp;"","")</f>
        <v>No</v>
      </c>
      <c r="J2547" s="10" t="s">
        <v>52</v>
      </c>
      <c r="K2547" s="8" t="s">
        <v>5988</v>
      </c>
    </row>
    <row r="2548" customFormat="false" ht="34.5" hidden="false" customHeight="true" outlineLevel="0" collapsed="false">
      <c r="A2548" s="10" t="s">
        <v>5991</v>
      </c>
      <c r="B2548" s="10" t="s">
        <v>45</v>
      </c>
      <c r="C2548" s="8" t="s">
        <v>5986</v>
      </c>
      <c r="D2548" s="8" t="s">
        <v>5992</v>
      </c>
      <c r="E2548" s="11" t="n">
        <v>67</v>
      </c>
      <c r="F2548" s="8" t="str">
        <f aca="false">IFERROR(INDEX(Section_Master!$D$2:$D$477,MATCH($E2548,Section_Master!$A$2:$A$477,0))&amp;"","")</f>
        <v>Rigorous imprisonment not less than 2 years, may extend to 7 years, and fine</v>
      </c>
      <c r="G2548" s="10" t="str">
        <f aca="false">IFERROR(INDEX(Section_Master!$E$2:$E$477,MATCH($E2548,Section_Master!$A$2:$A$477,0))&amp;"","")</f>
        <v>Yes</v>
      </c>
      <c r="H2548" s="10" t="str">
        <f aca="false">IFERROR(INDEX(Section_Master!$F$2:$F$477,MATCH($E2548,Section_Master!$A$2:$A$477,0))&amp;"","")</f>
        <v>No</v>
      </c>
      <c r="I2548" s="10" t="str">
        <f aca="false">IFERROR(INDEX(Section_Master!$G$2:$G$477,MATCH($E2548,Section_Master!$A$2:$A$477,0))&amp;"","")</f>
        <v>No</v>
      </c>
      <c r="J2548" s="10" t="s">
        <v>55</v>
      </c>
      <c r="K2548" s="8" t="s">
        <v>5988</v>
      </c>
    </row>
    <row r="2549" customFormat="false" ht="23.25" hidden="false" customHeight="true" outlineLevel="0" collapsed="false">
      <c r="A2549" s="10" t="s">
        <v>5993</v>
      </c>
      <c r="B2549" s="10" t="s">
        <v>45</v>
      </c>
      <c r="C2549" s="8" t="s">
        <v>5986</v>
      </c>
      <c r="D2549" s="8" t="s">
        <v>5994</v>
      </c>
      <c r="E2549" s="11" t="n">
        <v>67</v>
      </c>
      <c r="F2549" s="8" t="str">
        <f aca="false">IFERROR(INDEX(Section_Master!$D$2:$D$477,MATCH($E2549,Section_Master!$A$2:$A$477,0))&amp;"","")</f>
        <v>Rigorous imprisonment not less than 2 years, may extend to 7 years, and fine</v>
      </c>
      <c r="G2549" s="10" t="str">
        <f aca="false">IFERROR(INDEX(Section_Master!$E$2:$E$477,MATCH($E2549,Section_Master!$A$2:$A$477,0))&amp;"","")</f>
        <v>Yes</v>
      </c>
      <c r="H2549" s="10" t="str">
        <f aca="false">IFERROR(INDEX(Section_Master!$F$2:$F$477,MATCH($E2549,Section_Master!$A$2:$A$477,0))&amp;"","")</f>
        <v>No</v>
      </c>
      <c r="I2549" s="10" t="str">
        <f aca="false">IFERROR(INDEX(Section_Master!$G$2:$G$477,MATCH($E2549,Section_Master!$A$2:$A$477,0))&amp;"","")</f>
        <v>No</v>
      </c>
      <c r="J2549" s="10" t="s">
        <v>58</v>
      </c>
      <c r="K2549" s="8" t="s">
        <v>5988</v>
      </c>
    </row>
    <row r="2550" customFormat="false" ht="34.5" hidden="false" customHeight="true" outlineLevel="0" collapsed="false">
      <c r="A2550" s="10" t="s">
        <v>5995</v>
      </c>
      <c r="B2550" s="10" t="s">
        <v>45</v>
      </c>
      <c r="C2550" s="8" t="s">
        <v>5986</v>
      </c>
      <c r="D2550" s="8" t="s">
        <v>5996</v>
      </c>
      <c r="E2550" s="11" t="n">
        <v>67</v>
      </c>
      <c r="F2550" s="8" t="str">
        <f aca="false">IFERROR(INDEX(Section_Master!$D$2:$D$477,MATCH($E2550,Section_Master!$A$2:$A$477,0))&amp;"","")</f>
        <v>Rigorous imprisonment not less than 2 years, may extend to 7 years, and fine</v>
      </c>
      <c r="G2550" s="10" t="str">
        <f aca="false">IFERROR(INDEX(Section_Master!$E$2:$E$477,MATCH($E2550,Section_Master!$A$2:$A$477,0))&amp;"","")</f>
        <v>Yes</v>
      </c>
      <c r="H2550" s="10" t="str">
        <f aca="false">IFERROR(INDEX(Section_Master!$F$2:$F$477,MATCH($E2550,Section_Master!$A$2:$A$477,0))&amp;"","")</f>
        <v>No</v>
      </c>
      <c r="I2550" s="10" t="str">
        <f aca="false">IFERROR(INDEX(Section_Master!$G$2:$G$477,MATCH($E2550,Section_Master!$A$2:$A$477,0))&amp;"","")</f>
        <v>No</v>
      </c>
      <c r="J2550" s="10" t="s">
        <v>61</v>
      </c>
      <c r="K2550" s="8" t="s">
        <v>5988</v>
      </c>
    </row>
    <row r="2551" customFormat="false" ht="34.5" hidden="false" customHeight="true" outlineLevel="0" collapsed="false">
      <c r="A2551" s="10" t="s">
        <v>5997</v>
      </c>
      <c r="B2551" s="10" t="s">
        <v>45</v>
      </c>
      <c r="C2551" s="8" t="s">
        <v>5986</v>
      </c>
      <c r="D2551" s="8" t="s">
        <v>5998</v>
      </c>
      <c r="E2551" s="11" t="n">
        <v>67</v>
      </c>
      <c r="F2551" s="8" t="str">
        <f aca="false">IFERROR(INDEX(Section_Master!$D$2:$D$477,MATCH($E2551,Section_Master!$A$2:$A$477,0))&amp;"","")</f>
        <v>Rigorous imprisonment not less than 2 years, may extend to 7 years, and fine</v>
      </c>
      <c r="G2551" s="10" t="str">
        <f aca="false">IFERROR(INDEX(Section_Master!$E$2:$E$477,MATCH($E2551,Section_Master!$A$2:$A$477,0))&amp;"","")</f>
        <v>Yes</v>
      </c>
      <c r="H2551" s="10" t="str">
        <f aca="false">IFERROR(INDEX(Section_Master!$F$2:$F$477,MATCH($E2551,Section_Master!$A$2:$A$477,0))&amp;"","")</f>
        <v>No</v>
      </c>
      <c r="I2551" s="10" t="str">
        <f aca="false">IFERROR(INDEX(Section_Master!$G$2:$G$477,MATCH($E2551,Section_Master!$A$2:$A$477,0))&amp;"","")</f>
        <v>No</v>
      </c>
      <c r="J2551" s="10" t="s">
        <v>64</v>
      </c>
      <c r="K2551" s="8" t="s">
        <v>5988</v>
      </c>
    </row>
    <row r="2552" customFormat="false" ht="34.5" hidden="false" customHeight="true" outlineLevel="0" collapsed="false">
      <c r="A2552" s="10" t="s">
        <v>5999</v>
      </c>
      <c r="B2552" s="10" t="s">
        <v>45</v>
      </c>
      <c r="C2552" s="8" t="s">
        <v>6000</v>
      </c>
      <c r="D2552" s="8" t="s">
        <v>6001</v>
      </c>
      <c r="E2552" s="11" t="n">
        <v>68</v>
      </c>
      <c r="F2552" s="8" t="str">
        <f aca="false">IFERROR(INDEX(Section_Master!$D$2:$D$477,MATCH($E2552,Section_Master!$A$2:$A$477,0))&amp;"","")</f>
        <v>Rigorous imprisonment not less than 5 years, may extend to 10 years, and fine</v>
      </c>
      <c r="G2552" s="10" t="str">
        <f aca="false">IFERROR(INDEX(Section_Master!$E$2:$E$477,MATCH($E2552,Section_Master!$A$2:$A$477,0))&amp;"","")</f>
        <v>Yes</v>
      </c>
      <c r="H2552" s="10" t="str">
        <f aca="false">IFERROR(INDEX(Section_Master!$F$2:$F$477,MATCH($E2552,Section_Master!$A$2:$A$477,0))&amp;"","")</f>
        <v>No</v>
      </c>
      <c r="I2552" s="10" t="str">
        <f aca="false">IFERROR(INDEX(Section_Master!$G$2:$G$477,MATCH($E2552,Section_Master!$A$2:$A$477,0))&amp;"","")</f>
        <v>No</v>
      </c>
      <c r="J2552" s="10" t="s">
        <v>48</v>
      </c>
      <c r="K2552" s="8" t="s">
        <v>6002</v>
      </c>
    </row>
    <row r="2553" customFormat="false" ht="23.25" hidden="false" customHeight="true" outlineLevel="0" collapsed="false">
      <c r="A2553" s="10" t="s">
        <v>6003</v>
      </c>
      <c r="B2553" s="10" t="s">
        <v>45</v>
      </c>
      <c r="C2553" s="8" t="s">
        <v>6000</v>
      </c>
      <c r="D2553" s="8" t="s">
        <v>6004</v>
      </c>
      <c r="E2553" s="11" t="n">
        <v>68</v>
      </c>
      <c r="F2553" s="8" t="str">
        <f aca="false">IFERROR(INDEX(Section_Master!$D$2:$D$477,MATCH($E2553,Section_Master!$A$2:$A$477,0))&amp;"","")</f>
        <v>Rigorous imprisonment not less than 5 years, may extend to 10 years, and fine</v>
      </c>
      <c r="G2553" s="10" t="str">
        <f aca="false">IFERROR(INDEX(Section_Master!$E$2:$E$477,MATCH($E2553,Section_Master!$A$2:$A$477,0))&amp;"","")</f>
        <v>Yes</v>
      </c>
      <c r="H2553" s="10" t="str">
        <f aca="false">IFERROR(INDEX(Section_Master!$F$2:$F$477,MATCH($E2553,Section_Master!$A$2:$A$477,0))&amp;"","")</f>
        <v>No</v>
      </c>
      <c r="I2553" s="10" t="str">
        <f aca="false">IFERROR(INDEX(Section_Master!$G$2:$G$477,MATCH($E2553,Section_Master!$A$2:$A$477,0))&amp;"","")</f>
        <v>No</v>
      </c>
      <c r="J2553" s="10" t="s">
        <v>52</v>
      </c>
      <c r="K2553" s="8" t="s">
        <v>6002</v>
      </c>
    </row>
    <row r="2554" customFormat="false" ht="23.25" hidden="false" customHeight="true" outlineLevel="0" collapsed="false">
      <c r="A2554" s="10" t="s">
        <v>6005</v>
      </c>
      <c r="B2554" s="10" t="s">
        <v>45</v>
      </c>
      <c r="C2554" s="8" t="s">
        <v>6000</v>
      </c>
      <c r="D2554" s="8" t="s">
        <v>6006</v>
      </c>
      <c r="E2554" s="11" t="n">
        <v>68</v>
      </c>
      <c r="F2554" s="8" t="str">
        <f aca="false">IFERROR(INDEX(Section_Master!$D$2:$D$477,MATCH($E2554,Section_Master!$A$2:$A$477,0))&amp;"","")</f>
        <v>Rigorous imprisonment not less than 5 years, may extend to 10 years, and fine</v>
      </c>
      <c r="G2554" s="10" t="str">
        <f aca="false">IFERROR(INDEX(Section_Master!$E$2:$E$477,MATCH($E2554,Section_Master!$A$2:$A$477,0))&amp;"","")</f>
        <v>Yes</v>
      </c>
      <c r="H2554" s="10" t="str">
        <f aca="false">IFERROR(INDEX(Section_Master!$F$2:$F$477,MATCH($E2554,Section_Master!$A$2:$A$477,0))&amp;"","")</f>
        <v>No</v>
      </c>
      <c r="I2554" s="10" t="str">
        <f aca="false">IFERROR(INDEX(Section_Master!$G$2:$G$477,MATCH($E2554,Section_Master!$A$2:$A$477,0))&amp;"","")</f>
        <v>No</v>
      </c>
      <c r="J2554" s="10" t="s">
        <v>55</v>
      </c>
      <c r="K2554" s="8" t="s">
        <v>6002</v>
      </c>
    </row>
    <row r="2555" customFormat="false" ht="34.5" hidden="false" customHeight="true" outlineLevel="0" collapsed="false">
      <c r="A2555" s="10" t="s">
        <v>6007</v>
      </c>
      <c r="B2555" s="10" t="s">
        <v>45</v>
      </c>
      <c r="C2555" s="8" t="s">
        <v>6000</v>
      </c>
      <c r="D2555" s="8" t="s">
        <v>6008</v>
      </c>
      <c r="E2555" s="11" t="n">
        <v>68</v>
      </c>
      <c r="F2555" s="8" t="str">
        <f aca="false">IFERROR(INDEX(Section_Master!$D$2:$D$477,MATCH($E2555,Section_Master!$A$2:$A$477,0))&amp;"","")</f>
        <v>Rigorous imprisonment not less than 5 years, may extend to 10 years, and fine</v>
      </c>
      <c r="G2555" s="10" t="str">
        <f aca="false">IFERROR(INDEX(Section_Master!$E$2:$E$477,MATCH($E2555,Section_Master!$A$2:$A$477,0))&amp;"","")</f>
        <v>Yes</v>
      </c>
      <c r="H2555" s="10" t="str">
        <f aca="false">IFERROR(INDEX(Section_Master!$F$2:$F$477,MATCH($E2555,Section_Master!$A$2:$A$477,0))&amp;"","")</f>
        <v>No</v>
      </c>
      <c r="I2555" s="10" t="str">
        <f aca="false">IFERROR(INDEX(Section_Master!$G$2:$G$477,MATCH($E2555,Section_Master!$A$2:$A$477,0))&amp;"","")</f>
        <v>No</v>
      </c>
      <c r="J2555" s="10" t="s">
        <v>58</v>
      </c>
      <c r="K2555" s="8" t="s">
        <v>6002</v>
      </c>
    </row>
    <row r="2556" customFormat="false" ht="23.25" hidden="false" customHeight="true" outlineLevel="0" collapsed="false">
      <c r="A2556" s="10" t="s">
        <v>6009</v>
      </c>
      <c r="B2556" s="10" t="s">
        <v>45</v>
      </c>
      <c r="C2556" s="8" t="s">
        <v>6000</v>
      </c>
      <c r="D2556" s="8" t="s">
        <v>6010</v>
      </c>
      <c r="E2556" s="11" t="n">
        <v>68</v>
      </c>
      <c r="F2556" s="8" t="str">
        <f aca="false">IFERROR(INDEX(Section_Master!$D$2:$D$477,MATCH($E2556,Section_Master!$A$2:$A$477,0))&amp;"","")</f>
        <v>Rigorous imprisonment not less than 5 years, may extend to 10 years, and fine</v>
      </c>
      <c r="G2556" s="10" t="str">
        <f aca="false">IFERROR(INDEX(Section_Master!$E$2:$E$477,MATCH($E2556,Section_Master!$A$2:$A$477,0))&amp;"","")</f>
        <v>Yes</v>
      </c>
      <c r="H2556" s="10" t="str">
        <f aca="false">IFERROR(INDEX(Section_Master!$F$2:$F$477,MATCH($E2556,Section_Master!$A$2:$A$477,0))&amp;"","")</f>
        <v>No</v>
      </c>
      <c r="I2556" s="10" t="str">
        <f aca="false">IFERROR(INDEX(Section_Master!$G$2:$G$477,MATCH($E2556,Section_Master!$A$2:$A$477,0))&amp;"","")</f>
        <v>No</v>
      </c>
      <c r="J2556" s="10" t="s">
        <v>61</v>
      </c>
      <c r="K2556" s="8" t="s">
        <v>6002</v>
      </c>
    </row>
    <row r="2557" customFormat="false" ht="23.25" hidden="false" customHeight="true" outlineLevel="0" collapsed="false">
      <c r="A2557" s="10" t="s">
        <v>6011</v>
      </c>
      <c r="B2557" s="10" t="s">
        <v>45</v>
      </c>
      <c r="C2557" s="8" t="s">
        <v>6000</v>
      </c>
      <c r="D2557" s="8" t="s">
        <v>6012</v>
      </c>
      <c r="E2557" s="11" t="n">
        <v>68</v>
      </c>
      <c r="F2557" s="8" t="str">
        <f aca="false">IFERROR(INDEX(Section_Master!$D$2:$D$477,MATCH($E2557,Section_Master!$A$2:$A$477,0))&amp;"","")</f>
        <v>Rigorous imprisonment not less than 5 years, may extend to 10 years, and fine</v>
      </c>
      <c r="G2557" s="10" t="str">
        <f aca="false">IFERROR(INDEX(Section_Master!$E$2:$E$477,MATCH($E2557,Section_Master!$A$2:$A$477,0))&amp;"","")</f>
        <v>Yes</v>
      </c>
      <c r="H2557" s="10" t="str">
        <f aca="false">IFERROR(INDEX(Section_Master!$F$2:$F$477,MATCH($E2557,Section_Master!$A$2:$A$477,0))&amp;"","")</f>
        <v>No</v>
      </c>
      <c r="I2557" s="10" t="str">
        <f aca="false">IFERROR(INDEX(Section_Master!$G$2:$G$477,MATCH($E2557,Section_Master!$A$2:$A$477,0))&amp;"","")</f>
        <v>No</v>
      </c>
      <c r="J2557" s="10" t="s">
        <v>64</v>
      </c>
      <c r="K2557" s="8" t="s">
        <v>6002</v>
      </c>
    </row>
    <row r="2558" customFormat="false" ht="34.5" hidden="false" customHeight="true" outlineLevel="0" collapsed="false">
      <c r="A2558" s="10" t="s">
        <v>6013</v>
      </c>
      <c r="B2558" s="10" t="s">
        <v>45</v>
      </c>
      <c r="C2558" s="8" t="s">
        <v>6014</v>
      </c>
      <c r="D2558" s="8" t="s">
        <v>6015</v>
      </c>
      <c r="E2558" s="11" t="n">
        <v>69</v>
      </c>
      <c r="F2558" s="8" t="str">
        <f aca="false">IFERROR(INDEX(Section_Master!$D$2:$D$477,MATCH($E2558,Section_Master!$A$2:$A$477,0))&amp;"","")</f>
        <v>Imprisonment up to 10 years and fine</v>
      </c>
      <c r="G2558" s="10" t="str">
        <f aca="false">IFERROR(INDEX(Section_Master!$E$2:$E$477,MATCH($E2558,Section_Master!$A$2:$A$477,0))&amp;"","")</f>
        <v>Yes</v>
      </c>
      <c r="H2558" s="10" t="str">
        <f aca="false">IFERROR(INDEX(Section_Master!$F$2:$F$477,MATCH($E2558,Section_Master!$A$2:$A$477,0))&amp;"","")</f>
        <v>No</v>
      </c>
      <c r="I2558" s="10" t="str">
        <f aca="false">IFERROR(INDEX(Section_Master!$G$2:$G$477,MATCH($E2558,Section_Master!$A$2:$A$477,0))&amp;"","")</f>
        <v>No</v>
      </c>
      <c r="J2558" s="10" t="s">
        <v>48</v>
      </c>
      <c r="K2558" s="8" t="s">
        <v>6016</v>
      </c>
    </row>
    <row r="2559" customFormat="false" ht="34.5" hidden="false" customHeight="true" outlineLevel="0" collapsed="false">
      <c r="A2559" s="10" t="s">
        <v>6017</v>
      </c>
      <c r="B2559" s="10" t="s">
        <v>45</v>
      </c>
      <c r="C2559" s="8" t="s">
        <v>6014</v>
      </c>
      <c r="D2559" s="8" t="s">
        <v>6018</v>
      </c>
      <c r="E2559" s="11" t="n">
        <v>69</v>
      </c>
      <c r="F2559" s="8" t="str">
        <f aca="false">IFERROR(INDEX(Section_Master!$D$2:$D$477,MATCH($E2559,Section_Master!$A$2:$A$477,0))&amp;"","")</f>
        <v>Imprisonment up to 10 years and fine</v>
      </c>
      <c r="G2559" s="10" t="str">
        <f aca="false">IFERROR(INDEX(Section_Master!$E$2:$E$477,MATCH($E2559,Section_Master!$A$2:$A$477,0))&amp;"","")</f>
        <v>Yes</v>
      </c>
      <c r="H2559" s="10" t="str">
        <f aca="false">IFERROR(INDEX(Section_Master!$F$2:$F$477,MATCH($E2559,Section_Master!$A$2:$A$477,0))&amp;"","")</f>
        <v>No</v>
      </c>
      <c r="I2559" s="10" t="str">
        <f aca="false">IFERROR(INDEX(Section_Master!$G$2:$G$477,MATCH($E2559,Section_Master!$A$2:$A$477,0))&amp;"","")</f>
        <v>No</v>
      </c>
      <c r="J2559" s="10" t="s">
        <v>52</v>
      </c>
      <c r="K2559" s="8" t="s">
        <v>6016</v>
      </c>
    </row>
    <row r="2560" customFormat="false" ht="34.5" hidden="false" customHeight="true" outlineLevel="0" collapsed="false">
      <c r="A2560" s="10" t="s">
        <v>6019</v>
      </c>
      <c r="B2560" s="10" t="s">
        <v>45</v>
      </c>
      <c r="C2560" s="8" t="s">
        <v>6014</v>
      </c>
      <c r="D2560" s="8" t="s">
        <v>6020</v>
      </c>
      <c r="E2560" s="11" t="n">
        <v>69</v>
      </c>
      <c r="F2560" s="8" t="str">
        <f aca="false">IFERROR(INDEX(Section_Master!$D$2:$D$477,MATCH($E2560,Section_Master!$A$2:$A$477,0))&amp;"","")</f>
        <v>Imprisonment up to 10 years and fine</v>
      </c>
      <c r="G2560" s="10" t="str">
        <f aca="false">IFERROR(INDEX(Section_Master!$E$2:$E$477,MATCH($E2560,Section_Master!$A$2:$A$477,0))&amp;"","")</f>
        <v>Yes</v>
      </c>
      <c r="H2560" s="10" t="str">
        <f aca="false">IFERROR(INDEX(Section_Master!$F$2:$F$477,MATCH($E2560,Section_Master!$A$2:$A$477,0))&amp;"","")</f>
        <v>No</v>
      </c>
      <c r="I2560" s="10" t="str">
        <f aca="false">IFERROR(INDEX(Section_Master!$G$2:$G$477,MATCH($E2560,Section_Master!$A$2:$A$477,0))&amp;"","")</f>
        <v>No</v>
      </c>
      <c r="J2560" s="10" t="s">
        <v>55</v>
      </c>
      <c r="K2560" s="8" t="s">
        <v>6016</v>
      </c>
    </row>
    <row r="2561" customFormat="false" ht="23.25" hidden="false" customHeight="true" outlineLevel="0" collapsed="false">
      <c r="A2561" s="10" t="s">
        <v>6021</v>
      </c>
      <c r="B2561" s="10" t="s">
        <v>45</v>
      </c>
      <c r="C2561" s="8" t="s">
        <v>6014</v>
      </c>
      <c r="D2561" s="8" t="s">
        <v>6022</v>
      </c>
      <c r="E2561" s="11" t="n">
        <v>69</v>
      </c>
      <c r="F2561" s="8" t="str">
        <f aca="false">IFERROR(INDEX(Section_Master!$D$2:$D$477,MATCH($E2561,Section_Master!$A$2:$A$477,0))&amp;"","")</f>
        <v>Imprisonment up to 10 years and fine</v>
      </c>
      <c r="G2561" s="10" t="str">
        <f aca="false">IFERROR(INDEX(Section_Master!$E$2:$E$477,MATCH($E2561,Section_Master!$A$2:$A$477,0))&amp;"","")</f>
        <v>Yes</v>
      </c>
      <c r="H2561" s="10" t="str">
        <f aca="false">IFERROR(INDEX(Section_Master!$F$2:$F$477,MATCH($E2561,Section_Master!$A$2:$A$477,0))&amp;"","")</f>
        <v>No</v>
      </c>
      <c r="I2561" s="10" t="str">
        <f aca="false">IFERROR(INDEX(Section_Master!$G$2:$G$477,MATCH($E2561,Section_Master!$A$2:$A$477,0))&amp;"","")</f>
        <v>No</v>
      </c>
      <c r="J2561" s="10" t="s">
        <v>58</v>
      </c>
      <c r="K2561" s="8" t="s">
        <v>6016</v>
      </c>
    </row>
    <row r="2562" customFormat="false" ht="34.5" hidden="false" customHeight="true" outlineLevel="0" collapsed="false">
      <c r="A2562" s="10" t="s">
        <v>6023</v>
      </c>
      <c r="B2562" s="10" t="s">
        <v>45</v>
      </c>
      <c r="C2562" s="8" t="s">
        <v>6014</v>
      </c>
      <c r="D2562" s="8" t="s">
        <v>6024</v>
      </c>
      <c r="E2562" s="11" t="n">
        <v>69</v>
      </c>
      <c r="F2562" s="8" t="str">
        <f aca="false">IFERROR(INDEX(Section_Master!$D$2:$D$477,MATCH($E2562,Section_Master!$A$2:$A$477,0))&amp;"","")</f>
        <v>Imprisonment up to 10 years and fine</v>
      </c>
      <c r="G2562" s="10" t="str">
        <f aca="false">IFERROR(INDEX(Section_Master!$E$2:$E$477,MATCH($E2562,Section_Master!$A$2:$A$477,0))&amp;"","")</f>
        <v>Yes</v>
      </c>
      <c r="H2562" s="10" t="str">
        <f aca="false">IFERROR(INDEX(Section_Master!$F$2:$F$477,MATCH($E2562,Section_Master!$A$2:$A$477,0))&amp;"","")</f>
        <v>No</v>
      </c>
      <c r="I2562" s="10" t="str">
        <f aca="false">IFERROR(INDEX(Section_Master!$G$2:$G$477,MATCH($E2562,Section_Master!$A$2:$A$477,0))&amp;"","")</f>
        <v>No</v>
      </c>
      <c r="J2562" s="10" t="s">
        <v>61</v>
      </c>
      <c r="K2562" s="8" t="s">
        <v>6016</v>
      </c>
    </row>
    <row r="2563" customFormat="false" ht="34.5" hidden="false" customHeight="true" outlineLevel="0" collapsed="false">
      <c r="A2563" s="10" t="s">
        <v>6025</v>
      </c>
      <c r="B2563" s="10" t="s">
        <v>45</v>
      </c>
      <c r="C2563" s="8" t="s">
        <v>6014</v>
      </c>
      <c r="D2563" s="8" t="s">
        <v>6026</v>
      </c>
      <c r="E2563" s="11" t="n">
        <v>69</v>
      </c>
      <c r="F2563" s="8" t="str">
        <f aca="false">IFERROR(INDEX(Section_Master!$D$2:$D$477,MATCH($E2563,Section_Master!$A$2:$A$477,0))&amp;"","")</f>
        <v>Imprisonment up to 10 years and fine</v>
      </c>
      <c r="G2563" s="10" t="str">
        <f aca="false">IFERROR(INDEX(Section_Master!$E$2:$E$477,MATCH($E2563,Section_Master!$A$2:$A$477,0))&amp;"","")</f>
        <v>Yes</v>
      </c>
      <c r="H2563" s="10" t="str">
        <f aca="false">IFERROR(INDEX(Section_Master!$F$2:$F$477,MATCH($E2563,Section_Master!$A$2:$A$477,0))&amp;"","")</f>
        <v>No</v>
      </c>
      <c r="I2563" s="10" t="str">
        <f aca="false">IFERROR(INDEX(Section_Master!$G$2:$G$477,MATCH($E2563,Section_Master!$A$2:$A$477,0))&amp;"","")</f>
        <v>No</v>
      </c>
      <c r="J2563" s="10" t="s">
        <v>64</v>
      </c>
      <c r="K2563" s="8" t="s">
        <v>6016</v>
      </c>
    </row>
    <row r="2564" customFormat="false" ht="34.5" hidden="false" customHeight="true" outlineLevel="0" collapsed="false">
      <c r="A2564" s="10" t="s">
        <v>6027</v>
      </c>
      <c r="B2564" s="10" t="s">
        <v>45</v>
      </c>
      <c r="C2564" s="8" t="s">
        <v>6028</v>
      </c>
      <c r="D2564" s="8" t="s">
        <v>6029</v>
      </c>
      <c r="E2564" s="11" t="n">
        <v>70</v>
      </c>
      <c r="F2564" s="8" t="str">
        <f aca="false">IFERROR(INDEX(Section_Master!$D$2:$D$477,MATCH($E2564,Section_Master!$A$2:$A$477,0))&amp;"","")</f>
        <v>Rigorous imprisonment not less than 20 years, may extend to life (remainder of natural life), and fine; life or death if victim is under 18 [s.70]</v>
      </c>
      <c r="G2564" s="10" t="str">
        <f aca="false">IFERROR(INDEX(Section_Master!$E$2:$E$477,MATCH($E2564,Section_Master!$A$2:$A$477,0))&amp;"","")</f>
        <v>Yes</v>
      </c>
      <c r="H2564" s="10" t="str">
        <f aca="false">IFERROR(INDEX(Section_Master!$F$2:$F$477,MATCH($E2564,Section_Master!$A$2:$A$477,0))&amp;"","")</f>
        <v>No</v>
      </c>
      <c r="I2564" s="10" t="str">
        <f aca="false">IFERROR(INDEX(Section_Master!$G$2:$G$477,MATCH($E2564,Section_Master!$A$2:$A$477,0))&amp;"","")</f>
        <v>No</v>
      </c>
      <c r="J2564" s="10" t="s">
        <v>48</v>
      </c>
      <c r="K2564" s="8" t="s">
        <v>6030</v>
      </c>
    </row>
    <row r="2565" customFormat="false" ht="34.5" hidden="false" customHeight="true" outlineLevel="0" collapsed="false">
      <c r="A2565" s="10" t="s">
        <v>6031</v>
      </c>
      <c r="B2565" s="10" t="s">
        <v>45</v>
      </c>
      <c r="C2565" s="8" t="s">
        <v>6028</v>
      </c>
      <c r="D2565" s="8" t="s">
        <v>6032</v>
      </c>
      <c r="E2565" s="11" t="n">
        <v>70</v>
      </c>
      <c r="F2565" s="8" t="str">
        <f aca="false">IFERROR(INDEX(Section_Master!$D$2:$D$477,MATCH($E2565,Section_Master!$A$2:$A$477,0))&amp;"","")</f>
        <v>Rigorous imprisonment not less than 20 years, may extend to life (remainder of natural life), and fine; life or death if victim is under 18 [s.70]</v>
      </c>
      <c r="G2565" s="10" t="str">
        <f aca="false">IFERROR(INDEX(Section_Master!$E$2:$E$477,MATCH($E2565,Section_Master!$A$2:$A$477,0))&amp;"","")</f>
        <v>Yes</v>
      </c>
      <c r="H2565" s="10" t="str">
        <f aca="false">IFERROR(INDEX(Section_Master!$F$2:$F$477,MATCH($E2565,Section_Master!$A$2:$A$477,0))&amp;"","")</f>
        <v>No</v>
      </c>
      <c r="I2565" s="10" t="str">
        <f aca="false">IFERROR(INDEX(Section_Master!$G$2:$G$477,MATCH($E2565,Section_Master!$A$2:$A$477,0))&amp;"","")</f>
        <v>No</v>
      </c>
      <c r="J2565" s="10" t="s">
        <v>52</v>
      </c>
      <c r="K2565" s="8" t="s">
        <v>6030</v>
      </c>
    </row>
    <row r="2566" customFormat="false" ht="34.5" hidden="false" customHeight="true" outlineLevel="0" collapsed="false">
      <c r="A2566" s="10" t="s">
        <v>6033</v>
      </c>
      <c r="B2566" s="10" t="s">
        <v>45</v>
      </c>
      <c r="C2566" s="8" t="s">
        <v>6028</v>
      </c>
      <c r="D2566" s="8" t="s">
        <v>6034</v>
      </c>
      <c r="E2566" s="11" t="n">
        <v>70</v>
      </c>
      <c r="F2566" s="8" t="str">
        <f aca="false">IFERROR(INDEX(Section_Master!$D$2:$D$477,MATCH($E2566,Section_Master!$A$2:$A$477,0))&amp;"","")</f>
        <v>Rigorous imprisonment not less than 20 years, may extend to life (remainder of natural life), and fine; life or death if victim is under 18 [s.70]</v>
      </c>
      <c r="G2566" s="10" t="str">
        <f aca="false">IFERROR(INDEX(Section_Master!$E$2:$E$477,MATCH($E2566,Section_Master!$A$2:$A$477,0))&amp;"","")</f>
        <v>Yes</v>
      </c>
      <c r="H2566" s="10" t="str">
        <f aca="false">IFERROR(INDEX(Section_Master!$F$2:$F$477,MATCH($E2566,Section_Master!$A$2:$A$477,0))&amp;"","")</f>
        <v>No</v>
      </c>
      <c r="I2566" s="10" t="str">
        <f aca="false">IFERROR(INDEX(Section_Master!$G$2:$G$477,MATCH($E2566,Section_Master!$A$2:$A$477,0))&amp;"","")</f>
        <v>No</v>
      </c>
      <c r="J2566" s="10" t="s">
        <v>55</v>
      </c>
      <c r="K2566" s="8" t="s">
        <v>6030</v>
      </c>
    </row>
    <row r="2567" customFormat="false" ht="34.5" hidden="false" customHeight="true" outlineLevel="0" collapsed="false">
      <c r="A2567" s="10" t="s">
        <v>6035</v>
      </c>
      <c r="B2567" s="10" t="s">
        <v>45</v>
      </c>
      <c r="C2567" s="8" t="s">
        <v>6028</v>
      </c>
      <c r="D2567" s="8" t="s">
        <v>6036</v>
      </c>
      <c r="E2567" s="11" t="n">
        <v>70</v>
      </c>
      <c r="F2567" s="8" t="str">
        <f aca="false">IFERROR(INDEX(Section_Master!$D$2:$D$477,MATCH($E2567,Section_Master!$A$2:$A$477,0))&amp;"","")</f>
        <v>Rigorous imprisonment not less than 20 years, may extend to life (remainder of natural life), and fine; life or death if victim is under 18 [s.70]</v>
      </c>
      <c r="G2567" s="10" t="str">
        <f aca="false">IFERROR(INDEX(Section_Master!$E$2:$E$477,MATCH($E2567,Section_Master!$A$2:$A$477,0))&amp;"","")</f>
        <v>Yes</v>
      </c>
      <c r="H2567" s="10" t="str">
        <f aca="false">IFERROR(INDEX(Section_Master!$F$2:$F$477,MATCH($E2567,Section_Master!$A$2:$A$477,0))&amp;"","")</f>
        <v>No</v>
      </c>
      <c r="I2567" s="10" t="str">
        <f aca="false">IFERROR(INDEX(Section_Master!$G$2:$G$477,MATCH($E2567,Section_Master!$A$2:$A$477,0))&amp;"","")</f>
        <v>No</v>
      </c>
      <c r="J2567" s="10" t="s">
        <v>58</v>
      </c>
      <c r="K2567" s="8" t="s">
        <v>6030</v>
      </c>
    </row>
    <row r="2568" customFormat="false" ht="34.5" hidden="false" customHeight="true" outlineLevel="0" collapsed="false">
      <c r="A2568" s="10" t="s">
        <v>6037</v>
      </c>
      <c r="B2568" s="10" t="s">
        <v>45</v>
      </c>
      <c r="C2568" s="8" t="s">
        <v>6028</v>
      </c>
      <c r="D2568" s="8" t="s">
        <v>6038</v>
      </c>
      <c r="E2568" s="11" t="n">
        <v>70</v>
      </c>
      <c r="F2568" s="8" t="str">
        <f aca="false">IFERROR(INDEX(Section_Master!$D$2:$D$477,MATCH($E2568,Section_Master!$A$2:$A$477,0))&amp;"","")</f>
        <v>Rigorous imprisonment not less than 20 years, may extend to life (remainder of natural life), and fine; life or death if victim is under 18 [s.70]</v>
      </c>
      <c r="G2568" s="10" t="str">
        <f aca="false">IFERROR(INDEX(Section_Master!$E$2:$E$477,MATCH($E2568,Section_Master!$A$2:$A$477,0))&amp;"","")</f>
        <v>Yes</v>
      </c>
      <c r="H2568" s="10" t="str">
        <f aca="false">IFERROR(INDEX(Section_Master!$F$2:$F$477,MATCH($E2568,Section_Master!$A$2:$A$477,0))&amp;"","")</f>
        <v>No</v>
      </c>
      <c r="I2568" s="10" t="str">
        <f aca="false">IFERROR(INDEX(Section_Master!$G$2:$G$477,MATCH($E2568,Section_Master!$A$2:$A$477,0))&amp;"","")</f>
        <v>No</v>
      </c>
      <c r="J2568" s="10" t="s">
        <v>61</v>
      </c>
      <c r="K2568" s="8" t="s">
        <v>6030</v>
      </c>
    </row>
    <row r="2569" customFormat="false" ht="34.5" hidden="false" customHeight="true" outlineLevel="0" collapsed="false">
      <c r="A2569" s="10" t="s">
        <v>6039</v>
      </c>
      <c r="B2569" s="10" t="s">
        <v>45</v>
      </c>
      <c r="C2569" s="8" t="s">
        <v>6028</v>
      </c>
      <c r="D2569" s="8" t="s">
        <v>6040</v>
      </c>
      <c r="E2569" s="11" t="n">
        <v>70</v>
      </c>
      <c r="F2569" s="8" t="str">
        <f aca="false">IFERROR(INDEX(Section_Master!$D$2:$D$477,MATCH($E2569,Section_Master!$A$2:$A$477,0))&amp;"","")</f>
        <v>Rigorous imprisonment not less than 20 years, may extend to life (remainder of natural life), and fine; life or death if victim is under 18 [s.70]</v>
      </c>
      <c r="G2569" s="10" t="str">
        <f aca="false">IFERROR(INDEX(Section_Master!$E$2:$E$477,MATCH($E2569,Section_Master!$A$2:$A$477,0))&amp;"","")</f>
        <v>Yes</v>
      </c>
      <c r="H2569" s="10" t="str">
        <f aca="false">IFERROR(INDEX(Section_Master!$F$2:$F$477,MATCH($E2569,Section_Master!$A$2:$A$477,0))&amp;"","")</f>
        <v>No</v>
      </c>
      <c r="I2569" s="10" t="str">
        <f aca="false">IFERROR(INDEX(Section_Master!$G$2:$G$477,MATCH($E2569,Section_Master!$A$2:$A$477,0))&amp;"","")</f>
        <v>No</v>
      </c>
      <c r="J2569" s="10" t="s">
        <v>64</v>
      </c>
      <c r="K2569" s="8" t="s">
        <v>6030</v>
      </c>
    </row>
    <row r="2570" customFormat="false" ht="34.5" hidden="false" customHeight="true" outlineLevel="0" collapsed="false">
      <c r="A2570" s="10" t="s">
        <v>6041</v>
      </c>
      <c r="B2570" s="10" t="s">
        <v>45</v>
      </c>
      <c r="C2570" s="8" t="s">
        <v>6042</v>
      </c>
      <c r="D2570" s="8" t="s">
        <v>6043</v>
      </c>
      <c r="E2570" s="11" t="n">
        <v>71</v>
      </c>
      <c r="F2570" s="8" t="str">
        <f aca="false">IFERROR(INDEX(Section_Master!$D$2:$D$477,MATCH($E2570,Section_Master!$A$2:$A$477,0))&amp;"","")</f>
        <v>Imprisonment for life (remainder of natural life), or death</v>
      </c>
      <c r="G2570" s="10" t="str">
        <f aca="false">IFERROR(INDEX(Section_Master!$E$2:$E$477,MATCH($E2570,Section_Master!$A$2:$A$477,0))&amp;"","")</f>
        <v>Yes</v>
      </c>
      <c r="H2570" s="10" t="str">
        <f aca="false">IFERROR(INDEX(Section_Master!$F$2:$F$477,MATCH($E2570,Section_Master!$A$2:$A$477,0))&amp;"","")</f>
        <v>No</v>
      </c>
      <c r="I2570" s="10" t="str">
        <f aca="false">IFERROR(INDEX(Section_Master!$G$2:$G$477,MATCH($E2570,Section_Master!$A$2:$A$477,0))&amp;"","")</f>
        <v>No</v>
      </c>
      <c r="J2570" s="10" t="s">
        <v>48</v>
      </c>
      <c r="K2570" s="8" t="s">
        <v>6044</v>
      </c>
    </row>
    <row r="2571" customFormat="false" ht="34.5" hidden="false" customHeight="true" outlineLevel="0" collapsed="false">
      <c r="A2571" s="10" t="s">
        <v>6045</v>
      </c>
      <c r="B2571" s="10" t="s">
        <v>45</v>
      </c>
      <c r="C2571" s="8" t="s">
        <v>6042</v>
      </c>
      <c r="D2571" s="8" t="s">
        <v>6046</v>
      </c>
      <c r="E2571" s="11" t="n">
        <v>71</v>
      </c>
      <c r="F2571" s="8" t="str">
        <f aca="false">IFERROR(INDEX(Section_Master!$D$2:$D$477,MATCH($E2571,Section_Master!$A$2:$A$477,0))&amp;"","")</f>
        <v>Imprisonment for life (remainder of natural life), or death</v>
      </c>
      <c r="G2571" s="10" t="str">
        <f aca="false">IFERROR(INDEX(Section_Master!$E$2:$E$477,MATCH($E2571,Section_Master!$A$2:$A$477,0))&amp;"","")</f>
        <v>Yes</v>
      </c>
      <c r="H2571" s="10" t="str">
        <f aca="false">IFERROR(INDEX(Section_Master!$F$2:$F$477,MATCH($E2571,Section_Master!$A$2:$A$477,0))&amp;"","")</f>
        <v>No</v>
      </c>
      <c r="I2571" s="10" t="str">
        <f aca="false">IFERROR(INDEX(Section_Master!$G$2:$G$477,MATCH($E2571,Section_Master!$A$2:$A$477,0))&amp;"","")</f>
        <v>No</v>
      </c>
      <c r="J2571" s="10" t="s">
        <v>52</v>
      </c>
      <c r="K2571" s="8" t="s">
        <v>6044</v>
      </c>
    </row>
    <row r="2572" customFormat="false" ht="23.25" hidden="false" customHeight="true" outlineLevel="0" collapsed="false">
      <c r="A2572" s="10" t="s">
        <v>6047</v>
      </c>
      <c r="B2572" s="10" t="s">
        <v>45</v>
      </c>
      <c r="C2572" s="8" t="s">
        <v>6042</v>
      </c>
      <c r="D2572" s="8" t="s">
        <v>6048</v>
      </c>
      <c r="E2572" s="11" t="n">
        <v>71</v>
      </c>
      <c r="F2572" s="8" t="str">
        <f aca="false">IFERROR(INDEX(Section_Master!$D$2:$D$477,MATCH($E2572,Section_Master!$A$2:$A$477,0))&amp;"","")</f>
        <v>Imprisonment for life (remainder of natural life), or death</v>
      </c>
      <c r="G2572" s="10" t="str">
        <f aca="false">IFERROR(INDEX(Section_Master!$E$2:$E$477,MATCH($E2572,Section_Master!$A$2:$A$477,0))&amp;"","")</f>
        <v>Yes</v>
      </c>
      <c r="H2572" s="10" t="str">
        <f aca="false">IFERROR(INDEX(Section_Master!$F$2:$F$477,MATCH($E2572,Section_Master!$A$2:$A$477,0))&amp;"","")</f>
        <v>No</v>
      </c>
      <c r="I2572" s="10" t="str">
        <f aca="false">IFERROR(INDEX(Section_Master!$G$2:$G$477,MATCH($E2572,Section_Master!$A$2:$A$477,0))&amp;"","")</f>
        <v>No</v>
      </c>
      <c r="J2572" s="10" t="s">
        <v>55</v>
      </c>
      <c r="K2572" s="8" t="s">
        <v>6044</v>
      </c>
    </row>
    <row r="2573" customFormat="false" ht="23.25" hidden="false" customHeight="true" outlineLevel="0" collapsed="false">
      <c r="A2573" s="10" t="s">
        <v>6049</v>
      </c>
      <c r="B2573" s="10" t="s">
        <v>45</v>
      </c>
      <c r="C2573" s="8" t="s">
        <v>6042</v>
      </c>
      <c r="D2573" s="8" t="s">
        <v>6050</v>
      </c>
      <c r="E2573" s="11" t="n">
        <v>71</v>
      </c>
      <c r="F2573" s="8" t="str">
        <f aca="false">IFERROR(INDEX(Section_Master!$D$2:$D$477,MATCH($E2573,Section_Master!$A$2:$A$477,0))&amp;"","")</f>
        <v>Imprisonment for life (remainder of natural life), or death</v>
      </c>
      <c r="G2573" s="10" t="str">
        <f aca="false">IFERROR(INDEX(Section_Master!$E$2:$E$477,MATCH($E2573,Section_Master!$A$2:$A$477,0))&amp;"","")</f>
        <v>Yes</v>
      </c>
      <c r="H2573" s="10" t="str">
        <f aca="false">IFERROR(INDEX(Section_Master!$F$2:$F$477,MATCH($E2573,Section_Master!$A$2:$A$477,0))&amp;"","")</f>
        <v>No</v>
      </c>
      <c r="I2573" s="10" t="str">
        <f aca="false">IFERROR(INDEX(Section_Master!$G$2:$G$477,MATCH($E2573,Section_Master!$A$2:$A$477,0))&amp;"","")</f>
        <v>No</v>
      </c>
      <c r="J2573" s="10" t="s">
        <v>58</v>
      </c>
      <c r="K2573" s="8" t="s">
        <v>6044</v>
      </c>
    </row>
    <row r="2574" customFormat="false" ht="34.5" hidden="false" customHeight="true" outlineLevel="0" collapsed="false">
      <c r="A2574" s="10" t="s">
        <v>6051</v>
      </c>
      <c r="B2574" s="10" t="s">
        <v>45</v>
      </c>
      <c r="C2574" s="8" t="s">
        <v>6042</v>
      </c>
      <c r="D2574" s="8" t="s">
        <v>6052</v>
      </c>
      <c r="E2574" s="11" t="n">
        <v>71</v>
      </c>
      <c r="F2574" s="8" t="str">
        <f aca="false">IFERROR(INDEX(Section_Master!$D$2:$D$477,MATCH($E2574,Section_Master!$A$2:$A$477,0))&amp;"","")</f>
        <v>Imprisonment for life (remainder of natural life), or death</v>
      </c>
      <c r="G2574" s="10" t="str">
        <f aca="false">IFERROR(INDEX(Section_Master!$E$2:$E$477,MATCH($E2574,Section_Master!$A$2:$A$477,0))&amp;"","")</f>
        <v>Yes</v>
      </c>
      <c r="H2574" s="10" t="str">
        <f aca="false">IFERROR(INDEX(Section_Master!$F$2:$F$477,MATCH($E2574,Section_Master!$A$2:$A$477,0))&amp;"","")</f>
        <v>No</v>
      </c>
      <c r="I2574" s="10" t="str">
        <f aca="false">IFERROR(INDEX(Section_Master!$G$2:$G$477,MATCH($E2574,Section_Master!$A$2:$A$477,0))&amp;"","")</f>
        <v>No</v>
      </c>
      <c r="J2574" s="10" t="s">
        <v>61</v>
      </c>
      <c r="K2574" s="8" t="s">
        <v>6044</v>
      </c>
    </row>
    <row r="2575" customFormat="false" ht="23.25" hidden="false" customHeight="true" outlineLevel="0" collapsed="false">
      <c r="A2575" s="10" t="s">
        <v>6053</v>
      </c>
      <c r="B2575" s="10" t="s">
        <v>45</v>
      </c>
      <c r="C2575" s="8" t="s">
        <v>6042</v>
      </c>
      <c r="D2575" s="8" t="s">
        <v>6054</v>
      </c>
      <c r="E2575" s="11" t="n">
        <v>71</v>
      </c>
      <c r="F2575" s="8" t="str">
        <f aca="false">IFERROR(INDEX(Section_Master!$D$2:$D$477,MATCH($E2575,Section_Master!$A$2:$A$477,0))&amp;"","")</f>
        <v>Imprisonment for life (remainder of natural life), or death</v>
      </c>
      <c r="G2575" s="10" t="str">
        <f aca="false">IFERROR(INDEX(Section_Master!$E$2:$E$477,MATCH($E2575,Section_Master!$A$2:$A$477,0))&amp;"","")</f>
        <v>Yes</v>
      </c>
      <c r="H2575" s="10" t="str">
        <f aca="false">IFERROR(INDEX(Section_Master!$F$2:$F$477,MATCH($E2575,Section_Master!$A$2:$A$477,0))&amp;"","")</f>
        <v>No</v>
      </c>
      <c r="I2575" s="10" t="str">
        <f aca="false">IFERROR(INDEX(Section_Master!$G$2:$G$477,MATCH($E2575,Section_Master!$A$2:$A$477,0))&amp;"","")</f>
        <v>No</v>
      </c>
      <c r="J2575" s="10" t="s">
        <v>64</v>
      </c>
      <c r="K2575" s="8" t="s">
        <v>6044</v>
      </c>
    </row>
    <row r="2576" customFormat="false" ht="34.5" hidden="false" customHeight="true" outlineLevel="0" collapsed="false">
      <c r="A2576" s="10" t="s">
        <v>6055</v>
      </c>
      <c r="B2576" s="10" t="s">
        <v>45</v>
      </c>
      <c r="C2576" s="8" t="s">
        <v>6056</v>
      </c>
      <c r="D2576" s="8" t="s">
        <v>6057</v>
      </c>
      <c r="E2576" s="11" t="n">
        <v>72</v>
      </c>
      <c r="F2576" s="8" t="str">
        <f aca="false">IFERROR(INDEX(Section_Master!$D$2:$D$477,MATCH($E2576,Section_Master!$A$2:$A$477,0))&amp;"","")</f>
        <v>Imprisonment up to 2 years and fine</v>
      </c>
      <c r="G2576" s="10" t="str">
        <f aca="false">IFERROR(INDEX(Section_Master!$E$2:$E$477,MATCH($E2576,Section_Master!$A$2:$A$477,0))&amp;"","")</f>
        <v>Yes</v>
      </c>
      <c r="H2576" s="10" t="str">
        <f aca="false">IFERROR(INDEX(Section_Master!$F$2:$F$477,MATCH($E2576,Section_Master!$A$2:$A$477,0))&amp;"","")</f>
        <v>Yes</v>
      </c>
      <c r="I2576" s="10" t="str">
        <f aca="false">IFERROR(INDEX(Section_Master!$G$2:$G$477,MATCH($E2576,Section_Master!$A$2:$A$477,0))&amp;"","")</f>
        <v>No</v>
      </c>
      <c r="J2576" s="10" t="s">
        <v>48</v>
      </c>
      <c r="K2576" s="8" t="s">
        <v>6058</v>
      </c>
    </row>
    <row r="2577" customFormat="false" ht="34.5" hidden="false" customHeight="true" outlineLevel="0" collapsed="false">
      <c r="A2577" s="10" t="s">
        <v>6059</v>
      </c>
      <c r="B2577" s="10" t="s">
        <v>45</v>
      </c>
      <c r="C2577" s="8" t="s">
        <v>6056</v>
      </c>
      <c r="D2577" s="8" t="s">
        <v>6060</v>
      </c>
      <c r="E2577" s="11" t="n">
        <v>72</v>
      </c>
      <c r="F2577" s="8" t="str">
        <f aca="false">IFERROR(INDEX(Section_Master!$D$2:$D$477,MATCH($E2577,Section_Master!$A$2:$A$477,0))&amp;"","")</f>
        <v>Imprisonment up to 2 years and fine</v>
      </c>
      <c r="G2577" s="10" t="str">
        <f aca="false">IFERROR(INDEX(Section_Master!$E$2:$E$477,MATCH($E2577,Section_Master!$A$2:$A$477,0))&amp;"","")</f>
        <v>Yes</v>
      </c>
      <c r="H2577" s="10" t="str">
        <f aca="false">IFERROR(INDEX(Section_Master!$F$2:$F$477,MATCH($E2577,Section_Master!$A$2:$A$477,0))&amp;"","")</f>
        <v>Yes</v>
      </c>
      <c r="I2577" s="10" t="str">
        <f aca="false">IFERROR(INDEX(Section_Master!$G$2:$G$477,MATCH($E2577,Section_Master!$A$2:$A$477,0))&amp;"","")</f>
        <v>No</v>
      </c>
      <c r="J2577" s="10" t="s">
        <v>52</v>
      </c>
      <c r="K2577" s="8" t="s">
        <v>6058</v>
      </c>
    </row>
    <row r="2578" customFormat="false" ht="23.25" hidden="false" customHeight="true" outlineLevel="0" collapsed="false">
      <c r="A2578" s="10" t="s">
        <v>6061</v>
      </c>
      <c r="B2578" s="10" t="s">
        <v>45</v>
      </c>
      <c r="C2578" s="8" t="s">
        <v>6056</v>
      </c>
      <c r="D2578" s="8" t="s">
        <v>6062</v>
      </c>
      <c r="E2578" s="11" t="n">
        <v>72</v>
      </c>
      <c r="F2578" s="8" t="str">
        <f aca="false">IFERROR(INDEX(Section_Master!$D$2:$D$477,MATCH($E2578,Section_Master!$A$2:$A$477,0))&amp;"","")</f>
        <v>Imprisonment up to 2 years and fine</v>
      </c>
      <c r="G2578" s="10" t="str">
        <f aca="false">IFERROR(INDEX(Section_Master!$E$2:$E$477,MATCH($E2578,Section_Master!$A$2:$A$477,0))&amp;"","")</f>
        <v>Yes</v>
      </c>
      <c r="H2578" s="10" t="str">
        <f aca="false">IFERROR(INDEX(Section_Master!$F$2:$F$477,MATCH($E2578,Section_Master!$A$2:$A$477,0))&amp;"","")</f>
        <v>Yes</v>
      </c>
      <c r="I2578" s="10" t="str">
        <f aca="false">IFERROR(INDEX(Section_Master!$G$2:$G$477,MATCH($E2578,Section_Master!$A$2:$A$477,0))&amp;"","")</f>
        <v>No</v>
      </c>
      <c r="J2578" s="10" t="s">
        <v>55</v>
      </c>
      <c r="K2578" s="8" t="s">
        <v>6058</v>
      </c>
    </row>
    <row r="2579" customFormat="false" ht="23.25" hidden="false" customHeight="true" outlineLevel="0" collapsed="false">
      <c r="A2579" s="10" t="s">
        <v>6063</v>
      </c>
      <c r="B2579" s="10" t="s">
        <v>45</v>
      </c>
      <c r="C2579" s="8" t="s">
        <v>6056</v>
      </c>
      <c r="D2579" s="8" t="s">
        <v>6064</v>
      </c>
      <c r="E2579" s="11" t="n">
        <v>72</v>
      </c>
      <c r="F2579" s="8" t="str">
        <f aca="false">IFERROR(INDEX(Section_Master!$D$2:$D$477,MATCH($E2579,Section_Master!$A$2:$A$477,0))&amp;"","")</f>
        <v>Imprisonment up to 2 years and fine</v>
      </c>
      <c r="G2579" s="10" t="str">
        <f aca="false">IFERROR(INDEX(Section_Master!$E$2:$E$477,MATCH($E2579,Section_Master!$A$2:$A$477,0))&amp;"","")</f>
        <v>Yes</v>
      </c>
      <c r="H2579" s="10" t="str">
        <f aca="false">IFERROR(INDEX(Section_Master!$F$2:$F$477,MATCH($E2579,Section_Master!$A$2:$A$477,0))&amp;"","")</f>
        <v>Yes</v>
      </c>
      <c r="I2579" s="10" t="str">
        <f aca="false">IFERROR(INDEX(Section_Master!$G$2:$G$477,MATCH($E2579,Section_Master!$A$2:$A$477,0))&amp;"","")</f>
        <v>No</v>
      </c>
      <c r="J2579" s="10" t="s">
        <v>58</v>
      </c>
      <c r="K2579" s="8" t="s">
        <v>6058</v>
      </c>
    </row>
    <row r="2580" customFormat="false" ht="23.25" hidden="false" customHeight="true" outlineLevel="0" collapsed="false">
      <c r="A2580" s="10" t="s">
        <v>6065</v>
      </c>
      <c r="B2580" s="10" t="s">
        <v>45</v>
      </c>
      <c r="C2580" s="8" t="s">
        <v>6056</v>
      </c>
      <c r="D2580" s="8" t="s">
        <v>6066</v>
      </c>
      <c r="E2580" s="11" t="n">
        <v>72</v>
      </c>
      <c r="F2580" s="8" t="str">
        <f aca="false">IFERROR(INDEX(Section_Master!$D$2:$D$477,MATCH($E2580,Section_Master!$A$2:$A$477,0))&amp;"","")</f>
        <v>Imprisonment up to 2 years and fine</v>
      </c>
      <c r="G2580" s="10" t="str">
        <f aca="false">IFERROR(INDEX(Section_Master!$E$2:$E$477,MATCH($E2580,Section_Master!$A$2:$A$477,0))&amp;"","")</f>
        <v>Yes</v>
      </c>
      <c r="H2580" s="10" t="str">
        <f aca="false">IFERROR(INDEX(Section_Master!$F$2:$F$477,MATCH($E2580,Section_Master!$A$2:$A$477,0))&amp;"","")</f>
        <v>Yes</v>
      </c>
      <c r="I2580" s="10" t="str">
        <f aca="false">IFERROR(INDEX(Section_Master!$G$2:$G$477,MATCH($E2580,Section_Master!$A$2:$A$477,0))&amp;"","")</f>
        <v>No</v>
      </c>
      <c r="J2580" s="10" t="s">
        <v>61</v>
      </c>
      <c r="K2580" s="8" t="s">
        <v>6058</v>
      </c>
    </row>
    <row r="2581" customFormat="false" ht="34.5" hidden="false" customHeight="true" outlineLevel="0" collapsed="false">
      <c r="A2581" s="10" t="s">
        <v>6067</v>
      </c>
      <c r="B2581" s="10" t="s">
        <v>45</v>
      </c>
      <c r="C2581" s="8" t="s">
        <v>6056</v>
      </c>
      <c r="D2581" s="8" t="s">
        <v>6068</v>
      </c>
      <c r="E2581" s="11" t="n">
        <v>72</v>
      </c>
      <c r="F2581" s="8" t="str">
        <f aca="false">IFERROR(INDEX(Section_Master!$D$2:$D$477,MATCH($E2581,Section_Master!$A$2:$A$477,0))&amp;"","")</f>
        <v>Imprisonment up to 2 years and fine</v>
      </c>
      <c r="G2581" s="10" t="str">
        <f aca="false">IFERROR(INDEX(Section_Master!$E$2:$E$477,MATCH($E2581,Section_Master!$A$2:$A$477,0))&amp;"","")</f>
        <v>Yes</v>
      </c>
      <c r="H2581" s="10" t="str">
        <f aca="false">IFERROR(INDEX(Section_Master!$F$2:$F$477,MATCH($E2581,Section_Master!$A$2:$A$477,0))&amp;"","")</f>
        <v>Yes</v>
      </c>
      <c r="I2581" s="10" t="str">
        <f aca="false">IFERROR(INDEX(Section_Master!$G$2:$G$477,MATCH($E2581,Section_Master!$A$2:$A$477,0))&amp;"","")</f>
        <v>No</v>
      </c>
      <c r="J2581" s="10" t="s">
        <v>64</v>
      </c>
      <c r="K2581" s="8" t="s">
        <v>6058</v>
      </c>
    </row>
    <row r="2582" customFormat="false" ht="34.5" hidden="false" customHeight="true" outlineLevel="0" collapsed="false">
      <c r="A2582" s="10" t="s">
        <v>6069</v>
      </c>
      <c r="B2582" s="10" t="s">
        <v>45</v>
      </c>
      <c r="C2582" s="8" t="s">
        <v>6070</v>
      </c>
      <c r="D2582" s="8" t="s">
        <v>6071</v>
      </c>
      <c r="E2582" s="11" t="n">
        <v>73</v>
      </c>
      <c r="F2582" s="8" t="str">
        <f aca="false">IFERROR(INDEX(Section_Master!$D$2:$D$477,MATCH($E2582,Section_Master!$A$2:$A$477,0))&amp;"","")</f>
        <v>Imprisonment up to 2 years and fine</v>
      </c>
      <c r="G2582" s="10" t="str">
        <f aca="false">IFERROR(INDEX(Section_Master!$E$2:$E$477,MATCH($E2582,Section_Master!$A$2:$A$477,0))&amp;"","")</f>
        <v>Yes</v>
      </c>
      <c r="H2582" s="10" t="str">
        <f aca="false">IFERROR(INDEX(Section_Master!$F$2:$F$477,MATCH($E2582,Section_Master!$A$2:$A$477,0))&amp;"","")</f>
        <v>Yes</v>
      </c>
      <c r="I2582" s="10" t="str">
        <f aca="false">IFERROR(INDEX(Section_Master!$G$2:$G$477,MATCH($E2582,Section_Master!$A$2:$A$477,0))&amp;"","")</f>
        <v>No</v>
      </c>
      <c r="J2582" s="10" t="s">
        <v>48</v>
      </c>
      <c r="K2582" s="8" t="s">
        <v>6072</v>
      </c>
    </row>
    <row r="2583" customFormat="false" ht="34.5" hidden="false" customHeight="true" outlineLevel="0" collapsed="false">
      <c r="A2583" s="10" t="s">
        <v>6073</v>
      </c>
      <c r="B2583" s="10" t="s">
        <v>45</v>
      </c>
      <c r="C2583" s="8" t="s">
        <v>6070</v>
      </c>
      <c r="D2583" s="8" t="s">
        <v>6074</v>
      </c>
      <c r="E2583" s="11" t="n">
        <v>73</v>
      </c>
      <c r="F2583" s="8" t="str">
        <f aca="false">IFERROR(INDEX(Section_Master!$D$2:$D$477,MATCH($E2583,Section_Master!$A$2:$A$477,0))&amp;"","")</f>
        <v>Imprisonment up to 2 years and fine</v>
      </c>
      <c r="G2583" s="10" t="str">
        <f aca="false">IFERROR(INDEX(Section_Master!$E$2:$E$477,MATCH($E2583,Section_Master!$A$2:$A$477,0))&amp;"","")</f>
        <v>Yes</v>
      </c>
      <c r="H2583" s="10" t="str">
        <f aca="false">IFERROR(INDEX(Section_Master!$F$2:$F$477,MATCH($E2583,Section_Master!$A$2:$A$477,0))&amp;"","")</f>
        <v>Yes</v>
      </c>
      <c r="I2583" s="10" t="str">
        <f aca="false">IFERROR(INDEX(Section_Master!$G$2:$G$477,MATCH($E2583,Section_Master!$A$2:$A$477,0))&amp;"","")</f>
        <v>No</v>
      </c>
      <c r="J2583" s="10" t="s">
        <v>52</v>
      </c>
      <c r="K2583" s="8" t="s">
        <v>6072</v>
      </c>
    </row>
    <row r="2584" customFormat="false" ht="34.5" hidden="false" customHeight="true" outlineLevel="0" collapsed="false">
      <c r="A2584" s="10" t="s">
        <v>6075</v>
      </c>
      <c r="B2584" s="10" t="s">
        <v>45</v>
      </c>
      <c r="C2584" s="8" t="s">
        <v>6070</v>
      </c>
      <c r="D2584" s="8" t="s">
        <v>6076</v>
      </c>
      <c r="E2584" s="11" t="n">
        <v>73</v>
      </c>
      <c r="F2584" s="8" t="str">
        <f aca="false">IFERROR(INDEX(Section_Master!$D$2:$D$477,MATCH($E2584,Section_Master!$A$2:$A$477,0))&amp;"","")</f>
        <v>Imprisonment up to 2 years and fine</v>
      </c>
      <c r="G2584" s="10" t="str">
        <f aca="false">IFERROR(INDEX(Section_Master!$E$2:$E$477,MATCH($E2584,Section_Master!$A$2:$A$477,0))&amp;"","")</f>
        <v>Yes</v>
      </c>
      <c r="H2584" s="10" t="str">
        <f aca="false">IFERROR(INDEX(Section_Master!$F$2:$F$477,MATCH($E2584,Section_Master!$A$2:$A$477,0))&amp;"","")</f>
        <v>Yes</v>
      </c>
      <c r="I2584" s="10" t="str">
        <f aca="false">IFERROR(INDEX(Section_Master!$G$2:$G$477,MATCH($E2584,Section_Master!$A$2:$A$477,0))&amp;"","")</f>
        <v>No</v>
      </c>
      <c r="J2584" s="10" t="s">
        <v>55</v>
      </c>
      <c r="K2584" s="8" t="s">
        <v>6072</v>
      </c>
    </row>
    <row r="2585" customFormat="false" ht="34.5" hidden="false" customHeight="true" outlineLevel="0" collapsed="false">
      <c r="A2585" s="10" t="s">
        <v>6077</v>
      </c>
      <c r="B2585" s="10" t="s">
        <v>45</v>
      </c>
      <c r="C2585" s="8" t="s">
        <v>6070</v>
      </c>
      <c r="D2585" s="8" t="s">
        <v>6078</v>
      </c>
      <c r="E2585" s="11" t="n">
        <v>73</v>
      </c>
      <c r="F2585" s="8" t="str">
        <f aca="false">IFERROR(INDEX(Section_Master!$D$2:$D$477,MATCH($E2585,Section_Master!$A$2:$A$477,0))&amp;"","")</f>
        <v>Imprisonment up to 2 years and fine</v>
      </c>
      <c r="G2585" s="10" t="str">
        <f aca="false">IFERROR(INDEX(Section_Master!$E$2:$E$477,MATCH($E2585,Section_Master!$A$2:$A$477,0))&amp;"","")</f>
        <v>Yes</v>
      </c>
      <c r="H2585" s="10" t="str">
        <f aca="false">IFERROR(INDEX(Section_Master!$F$2:$F$477,MATCH($E2585,Section_Master!$A$2:$A$477,0))&amp;"","")</f>
        <v>Yes</v>
      </c>
      <c r="I2585" s="10" t="str">
        <f aca="false">IFERROR(INDEX(Section_Master!$G$2:$G$477,MATCH($E2585,Section_Master!$A$2:$A$477,0))&amp;"","")</f>
        <v>No</v>
      </c>
      <c r="J2585" s="10" t="s">
        <v>58</v>
      </c>
      <c r="K2585" s="8" t="s">
        <v>6072</v>
      </c>
    </row>
    <row r="2586" customFormat="false" ht="23.25" hidden="false" customHeight="true" outlineLevel="0" collapsed="false">
      <c r="A2586" s="10" t="s">
        <v>6079</v>
      </c>
      <c r="B2586" s="10" t="s">
        <v>45</v>
      </c>
      <c r="C2586" s="8" t="s">
        <v>6070</v>
      </c>
      <c r="D2586" s="8" t="s">
        <v>6080</v>
      </c>
      <c r="E2586" s="11" t="n">
        <v>73</v>
      </c>
      <c r="F2586" s="8" t="str">
        <f aca="false">IFERROR(INDEX(Section_Master!$D$2:$D$477,MATCH($E2586,Section_Master!$A$2:$A$477,0))&amp;"","")</f>
        <v>Imprisonment up to 2 years and fine</v>
      </c>
      <c r="G2586" s="10" t="str">
        <f aca="false">IFERROR(INDEX(Section_Master!$E$2:$E$477,MATCH($E2586,Section_Master!$A$2:$A$477,0))&amp;"","")</f>
        <v>Yes</v>
      </c>
      <c r="H2586" s="10" t="str">
        <f aca="false">IFERROR(INDEX(Section_Master!$F$2:$F$477,MATCH($E2586,Section_Master!$A$2:$A$477,0))&amp;"","")</f>
        <v>Yes</v>
      </c>
      <c r="I2586" s="10" t="str">
        <f aca="false">IFERROR(INDEX(Section_Master!$G$2:$G$477,MATCH($E2586,Section_Master!$A$2:$A$477,0))&amp;"","")</f>
        <v>No</v>
      </c>
      <c r="J2586" s="10" t="s">
        <v>61</v>
      </c>
      <c r="K2586" s="8" t="s">
        <v>6072</v>
      </c>
    </row>
    <row r="2587" customFormat="false" ht="23.25" hidden="false" customHeight="true" outlineLevel="0" collapsed="false">
      <c r="A2587" s="10" t="s">
        <v>6081</v>
      </c>
      <c r="B2587" s="10" t="s">
        <v>45</v>
      </c>
      <c r="C2587" s="8" t="s">
        <v>6070</v>
      </c>
      <c r="D2587" s="8" t="s">
        <v>6082</v>
      </c>
      <c r="E2587" s="11" t="n">
        <v>73</v>
      </c>
      <c r="F2587" s="8" t="str">
        <f aca="false">IFERROR(INDEX(Section_Master!$D$2:$D$477,MATCH($E2587,Section_Master!$A$2:$A$477,0))&amp;"","")</f>
        <v>Imprisonment up to 2 years and fine</v>
      </c>
      <c r="G2587" s="10" t="str">
        <f aca="false">IFERROR(INDEX(Section_Master!$E$2:$E$477,MATCH($E2587,Section_Master!$A$2:$A$477,0))&amp;"","")</f>
        <v>Yes</v>
      </c>
      <c r="H2587" s="10" t="str">
        <f aca="false">IFERROR(INDEX(Section_Master!$F$2:$F$477,MATCH($E2587,Section_Master!$A$2:$A$477,0))&amp;"","")</f>
        <v>Yes</v>
      </c>
      <c r="I2587" s="10" t="str">
        <f aca="false">IFERROR(INDEX(Section_Master!$G$2:$G$477,MATCH($E2587,Section_Master!$A$2:$A$477,0))&amp;"","")</f>
        <v>No</v>
      </c>
      <c r="J2587" s="10" t="s">
        <v>64</v>
      </c>
      <c r="K2587" s="8" t="s">
        <v>6072</v>
      </c>
    </row>
    <row r="2588" customFormat="false" ht="34.5" hidden="false" customHeight="true" outlineLevel="0" collapsed="false">
      <c r="A2588" s="10" t="s">
        <v>6083</v>
      </c>
      <c r="B2588" s="10" t="s">
        <v>45</v>
      </c>
      <c r="C2588" s="8" t="s">
        <v>6084</v>
      </c>
      <c r="D2588" s="8" t="s">
        <v>6085</v>
      </c>
      <c r="E2588" s="11" t="n">
        <v>74</v>
      </c>
      <c r="F2588" s="8" t="str">
        <f aca="false">IFERROR(INDEX(Section_Master!$D$2:$D$477,MATCH($E2588,Section_Master!$A$2:$A$477,0))&amp;"","")</f>
        <v>Imprisonment not less than 1 year, may extend to 5 years, and fine</v>
      </c>
      <c r="G2588" s="10" t="str">
        <f aca="false">IFERROR(INDEX(Section_Master!$E$2:$E$477,MATCH($E2588,Section_Master!$A$2:$A$477,0))&amp;"","")</f>
        <v>Yes</v>
      </c>
      <c r="H2588" s="10" t="str">
        <f aca="false">IFERROR(INDEX(Section_Master!$F$2:$F$477,MATCH($E2588,Section_Master!$A$2:$A$477,0))&amp;"","")</f>
        <v>No</v>
      </c>
      <c r="I2588" s="10" t="str">
        <f aca="false">IFERROR(INDEX(Section_Master!$G$2:$G$477,MATCH($E2588,Section_Master!$A$2:$A$477,0))&amp;"","")</f>
        <v>No</v>
      </c>
      <c r="J2588" s="10" t="s">
        <v>48</v>
      </c>
      <c r="K2588" s="8" t="s">
        <v>6086</v>
      </c>
    </row>
    <row r="2589" customFormat="false" ht="34.5" hidden="false" customHeight="true" outlineLevel="0" collapsed="false">
      <c r="A2589" s="10" t="s">
        <v>6087</v>
      </c>
      <c r="B2589" s="10" t="s">
        <v>45</v>
      </c>
      <c r="C2589" s="8" t="s">
        <v>6084</v>
      </c>
      <c r="D2589" s="8" t="s">
        <v>6088</v>
      </c>
      <c r="E2589" s="11" t="n">
        <v>74</v>
      </c>
      <c r="F2589" s="8" t="str">
        <f aca="false">IFERROR(INDEX(Section_Master!$D$2:$D$477,MATCH($E2589,Section_Master!$A$2:$A$477,0))&amp;"","")</f>
        <v>Imprisonment not less than 1 year, may extend to 5 years, and fine</v>
      </c>
      <c r="G2589" s="10" t="str">
        <f aca="false">IFERROR(INDEX(Section_Master!$E$2:$E$477,MATCH($E2589,Section_Master!$A$2:$A$477,0))&amp;"","")</f>
        <v>Yes</v>
      </c>
      <c r="H2589" s="10" t="str">
        <f aca="false">IFERROR(INDEX(Section_Master!$F$2:$F$477,MATCH($E2589,Section_Master!$A$2:$A$477,0))&amp;"","")</f>
        <v>No</v>
      </c>
      <c r="I2589" s="10" t="str">
        <f aca="false">IFERROR(INDEX(Section_Master!$G$2:$G$477,MATCH($E2589,Section_Master!$A$2:$A$477,0))&amp;"","")</f>
        <v>No</v>
      </c>
      <c r="J2589" s="10" t="s">
        <v>52</v>
      </c>
      <c r="K2589" s="8" t="s">
        <v>6086</v>
      </c>
    </row>
    <row r="2590" customFormat="false" ht="23.25" hidden="false" customHeight="true" outlineLevel="0" collapsed="false">
      <c r="A2590" s="10" t="s">
        <v>6089</v>
      </c>
      <c r="B2590" s="10" t="s">
        <v>45</v>
      </c>
      <c r="C2590" s="8" t="s">
        <v>6084</v>
      </c>
      <c r="D2590" s="8" t="s">
        <v>6090</v>
      </c>
      <c r="E2590" s="11" t="n">
        <v>74</v>
      </c>
      <c r="F2590" s="8" t="str">
        <f aca="false">IFERROR(INDEX(Section_Master!$D$2:$D$477,MATCH($E2590,Section_Master!$A$2:$A$477,0))&amp;"","")</f>
        <v>Imprisonment not less than 1 year, may extend to 5 years, and fine</v>
      </c>
      <c r="G2590" s="10" t="str">
        <f aca="false">IFERROR(INDEX(Section_Master!$E$2:$E$477,MATCH($E2590,Section_Master!$A$2:$A$477,0))&amp;"","")</f>
        <v>Yes</v>
      </c>
      <c r="H2590" s="10" t="str">
        <f aca="false">IFERROR(INDEX(Section_Master!$F$2:$F$477,MATCH($E2590,Section_Master!$A$2:$A$477,0))&amp;"","")</f>
        <v>No</v>
      </c>
      <c r="I2590" s="10" t="str">
        <f aca="false">IFERROR(INDEX(Section_Master!$G$2:$G$477,MATCH($E2590,Section_Master!$A$2:$A$477,0))&amp;"","")</f>
        <v>No</v>
      </c>
      <c r="J2590" s="10" t="s">
        <v>55</v>
      </c>
      <c r="K2590" s="8" t="s">
        <v>6086</v>
      </c>
    </row>
    <row r="2591" customFormat="false" ht="23.25" hidden="false" customHeight="true" outlineLevel="0" collapsed="false">
      <c r="A2591" s="10" t="s">
        <v>6091</v>
      </c>
      <c r="B2591" s="10" t="s">
        <v>45</v>
      </c>
      <c r="C2591" s="8" t="s">
        <v>6084</v>
      </c>
      <c r="D2591" s="8" t="s">
        <v>6092</v>
      </c>
      <c r="E2591" s="11" t="n">
        <v>74</v>
      </c>
      <c r="F2591" s="8" t="str">
        <f aca="false">IFERROR(INDEX(Section_Master!$D$2:$D$477,MATCH($E2591,Section_Master!$A$2:$A$477,0))&amp;"","")</f>
        <v>Imprisonment not less than 1 year, may extend to 5 years, and fine</v>
      </c>
      <c r="G2591" s="10" t="str">
        <f aca="false">IFERROR(INDEX(Section_Master!$E$2:$E$477,MATCH($E2591,Section_Master!$A$2:$A$477,0))&amp;"","")</f>
        <v>Yes</v>
      </c>
      <c r="H2591" s="10" t="str">
        <f aca="false">IFERROR(INDEX(Section_Master!$F$2:$F$477,MATCH($E2591,Section_Master!$A$2:$A$477,0))&amp;"","")</f>
        <v>No</v>
      </c>
      <c r="I2591" s="10" t="str">
        <f aca="false">IFERROR(INDEX(Section_Master!$G$2:$G$477,MATCH($E2591,Section_Master!$A$2:$A$477,0))&amp;"","")</f>
        <v>No</v>
      </c>
      <c r="J2591" s="10" t="s">
        <v>58</v>
      </c>
      <c r="K2591" s="8" t="s">
        <v>6086</v>
      </c>
    </row>
    <row r="2592" customFormat="false" ht="23.25" hidden="false" customHeight="true" outlineLevel="0" collapsed="false">
      <c r="A2592" s="10" t="s">
        <v>6093</v>
      </c>
      <c r="B2592" s="10" t="s">
        <v>45</v>
      </c>
      <c r="C2592" s="8" t="s">
        <v>6084</v>
      </c>
      <c r="D2592" s="8" t="s">
        <v>6094</v>
      </c>
      <c r="E2592" s="11" t="n">
        <v>74</v>
      </c>
      <c r="F2592" s="8" t="str">
        <f aca="false">IFERROR(INDEX(Section_Master!$D$2:$D$477,MATCH($E2592,Section_Master!$A$2:$A$477,0))&amp;"","")</f>
        <v>Imprisonment not less than 1 year, may extend to 5 years, and fine</v>
      </c>
      <c r="G2592" s="10" t="str">
        <f aca="false">IFERROR(INDEX(Section_Master!$E$2:$E$477,MATCH($E2592,Section_Master!$A$2:$A$477,0))&amp;"","")</f>
        <v>Yes</v>
      </c>
      <c r="H2592" s="10" t="str">
        <f aca="false">IFERROR(INDEX(Section_Master!$F$2:$F$477,MATCH($E2592,Section_Master!$A$2:$A$477,0))&amp;"","")</f>
        <v>No</v>
      </c>
      <c r="I2592" s="10" t="str">
        <f aca="false">IFERROR(INDEX(Section_Master!$G$2:$G$477,MATCH($E2592,Section_Master!$A$2:$A$477,0))&amp;"","")</f>
        <v>No</v>
      </c>
      <c r="J2592" s="10" t="s">
        <v>61</v>
      </c>
      <c r="K2592" s="8" t="s">
        <v>6086</v>
      </c>
    </row>
    <row r="2593" customFormat="false" ht="23.25" hidden="false" customHeight="true" outlineLevel="0" collapsed="false">
      <c r="A2593" s="10" t="s">
        <v>6095</v>
      </c>
      <c r="B2593" s="10" t="s">
        <v>45</v>
      </c>
      <c r="C2593" s="8" t="s">
        <v>6084</v>
      </c>
      <c r="D2593" s="8" t="s">
        <v>6096</v>
      </c>
      <c r="E2593" s="11" t="n">
        <v>74</v>
      </c>
      <c r="F2593" s="8" t="str">
        <f aca="false">IFERROR(INDEX(Section_Master!$D$2:$D$477,MATCH($E2593,Section_Master!$A$2:$A$477,0))&amp;"","")</f>
        <v>Imprisonment not less than 1 year, may extend to 5 years, and fine</v>
      </c>
      <c r="G2593" s="10" t="str">
        <f aca="false">IFERROR(INDEX(Section_Master!$E$2:$E$477,MATCH($E2593,Section_Master!$A$2:$A$477,0))&amp;"","")</f>
        <v>Yes</v>
      </c>
      <c r="H2593" s="10" t="str">
        <f aca="false">IFERROR(INDEX(Section_Master!$F$2:$F$477,MATCH($E2593,Section_Master!$A$2:$A$477,0))&amp;"","")</f>
        <v>No</v>
      </c>
      <c r="I2593" s="10" t="str">
        <f aca="false">IFERROR(INDEX(Section_Master!$G$2:$G$477,MATCH($E2593,Section_Master!$A$2:$A$477,0))&amp;"","")</f>
        <v>No</v>
      </c>
      <c r="J2593" s="10" t="s">
        <v>64</v>
      </c>
      <c r="K2593" s="8" t="s">
        <v>6086</v>
      </c>
    </row>
    <row r="2594" customFormat="false" ht="34.5" hidden="false" customHeight="true" outlineLevel="0" collapsed="false">
      <c r="A2594" s="10" t="s">
        <v>6097</v>
      </c>
      <c r="B2594" s="10" t="s">
        <v>45</v>
      </c>
      <c r="C2594" s="8" t="s">
        <v>6098</v>
      </c>
      <c r="D2594" s="8" t="s">
        <v>6099</v>
      </c>
      <c r="E2594" s="11" t="n">
        <v>75</v>
      </c>
      <c r="F2594" s="8" t="str">
        <f aca="false">IFERROR(INDEX(Section_Master!$D$2:$D$477,MATCH($E2594,Section_Master!$A$2:$A$477,0))&amp;"","")</f>
        <v>Rigorous imprisonment up to 3 years, or fine, or both [s.75(2)]; up to 1 year, or fine, or both for sexually coloured remarks [s.75(3)]</v>
      </c>
      <c r="G2594" s="10" t="str">
        <f aca="false">IFERROR(INDEX(Section_Master!$E$2:$E$477,MATCH($E2594,Section_Master!$A$2:$A$477,0))&amp;"","")</f>
        <v>Yes</v>
      </c>
      <c r="H2594" s="10" t="str">
        <f aca="false">IFERROR(INDEX(Section_Master!$F$2:$F$477,MATCH($E2594,Section_Master!$A$2:$A$477,0))&amp;"","")</f>
        <v>Yes</v>
      </c>
      <c r="I2594" s="10" t="str">
        <f aca="false">IFERROR(INDEX(Section_Master!$G$2:$G$477,MATCH($E2594,Section_Master!$A$2:$A$477,0))&amp;"","")</f>
        <v>No</v>
      </c>
      <c r="J2594" s="10" t="s">
        <v>48</v>
      </c>
      <c r="K2594" s="8" t="s">
        <v>6100</v>
      </c>
    </row>
    <row r="2595" customFormat="false" ht="34.5" hidden="false" customHeight="true" outlineLevel="0" collapsed="false">
      <c r="A2595" s="10" t="s">
        <v>6101</v>
      </c>
      <c r="B2595" s="10" t="s">
        <v>45</v>
      </c>
      <c r="C2595" s="8" t="s">
        <v>6098</v>
      </c>
      <c r="D2595" s="8" t="s">
        <v>6102</v>
      </c>
      <c r="E2595" s="11" t="n">
        <v>75</v>
      </c>
      <c r="F2595" s="8" t="str">
        <f aca="false">IFERROR(INDEX(Section_Master!$D$2:$D$477,MATCH($E2595,Section_Master!$A$2:$A$477,0))&amp;"","")</f>
        <v>Rigorous imprisonment up to 3 years, or fine, or both [s.75(2)]; up to 1 year, or fine, or both for sexually coloured remarks [s.75(3)]</v>
      </c>
      <c r="G2595" s="10" t="str">
        <f aca="false">IFERROR(INDEX(Section_Master!$E$2:$E$477,MATCH($E2595,Section_Master!$A$2:$A$477,0))&amp;"","")</f>
        <v>Yes</v>
      </c>
      <c r="H2595" s="10" t="str">
        <f aca="false">IFERROR(INDEX(Section_Master!$F$2:$F$477,MATCH($E2595,Section_Master!$A$2:$A$477,0))&amp;"","")</f>
        <v>Yes</v>
      </c>
      <c r="I2595" s="10" t="str">
        <f aca="false">IFERROR(INDEX(Section_Master!$G$2:$G$477,MATCH($E2595,Section_Master!$A$2:$A$477,0))&amp;"","")</f>
        <v>No</v>
      </c>
      <c r="J2595" s="10" t="s">
        <v>52</v>
      </c>
      <c r="K2595" s="8" t="s">
        <v>6100</v>
      </c>
    </row>
    <row r="2596" customFormat="false" ht="23.25" hidden="false" customHeight="true" outlineLevel="0" collapsed="false">
      <c r="A2596" s="10" t="s">
        <v>6103</v>
      </c>
      <c r="B2596" s="10" t="s">
        <v>45</v>
      </c>
      <c r="C2596" s="8" t="s">
        <v>6098</v>
      </c>
      <c r="D2596" s="8" t="s">
        <v>6104</v>
      </c>
      <c r="E2596" s="11" t="n">
        <v>75</v>
      </c>
      <c r="F2596" s="8" t="str">
        <f aca="false">IFERROR(INDEX(Section_Master!$D$2:$D$477,MATCH($E2596,Section_Master!$A$2:$A$477,0))&amp;"","")</f>
        <v>Rigorous imprisonment up to 3 years, or fine, or both [s.75(2)]; up to 1 year, or fine, or both for sexually coloured remarks [s.75(3)]</v>
      </c>
      <c r="G2596" s="10" t="str">
        <f aca="false">IFERROR(INDEX(Section_Master!$E$2:$E$477,MATCH($E2596,Section_Master!$A$2:$A$477,0))&amp;"","")</f>
        <v>Yes</v>
      </c>
      <c r="H2596" s="10" t="str">
        <f aca="false">IFERROR(INDEX(Section_Master!$F$2:$F$477,MATCH($E2596,Section_Master!$A$2:$A$477,0))&amp;"","")</f>
        <v>Yes</v>
      </c>
      <c r="I2596" s="10" t="str">
        <f aca="false">IFERROR(INDEX(Section_Master!$G$2:$G$477,MATCH($E2596,Section_Master!$A$2:$A$477,0))&amp;"","")</f>
        <v>No</v>
      </c>
      <c r="J2596" s="10" t="s">
        <v>55</v>
      </c>
      <c r="K2596" s="8" t="s">
        <v>6100</v>
      </c>
    </row>
    <row r="2597" customFormat="false" ht="23.25" hidden="false" customHeight="true" outlineLevel="0" collapsed="false">
      <c r="A2597" s="10" t="s">
        <v>6105</v>
      </c>
      <c r="B2597" s="10" t="s">
        <v>45</v>
      </c>
      <c r="C2597" s="8" t="s">
        <v>6098</v>
      </c>
      <c r="D2597" s="8" t="s">
        <v>6106</v>
      </c>
      <c r="E2597" s="11" t="n">
        <v>75</v>
      </c>
      <c r="F2597" s="8" t="str">
        <f aca="false">IFERROR(INDEX(Section_Master!$D$2:$D$477,MATCH($E2597,Section_Master!$A$2:$A$477,0))&amp;"","")</f>
        <v>Rigorous imprisonment up to 3 years, or fine, or both [s.75(2)]; up to 1 year, or fine, or both for sexually coloured remarks [s.75(3)]</v>
      </c>
      <c r="G2597" s="10" t="str">
        <f aca="false">IFERROR(INDEX(Section_Master!$E$2:$E$477,MATCH($E2597,Section_Master!$A$2:$A$477,0))&amp;"","")</f>
        <v>Yes</v>
      </c>
      <c r="H2597" s="10" t="str">
        <f aca="false">IFERROR(INDEX(Section_Master!$F$2:$F$477,MATCH($E2597,Section_Master!$A$2:$A$477,0))&amp;"","")</f>
        <v>Yes</v>
      </c>
      <c r="I2597" s="10" t="str">
        <f aca="false">IFERROR(INDEX(Section_Master!$G$2:$G$477,MATCH($E2597,Section_Master!$A$2:$A$477,0))&amp;"","")</f>
        <v>No</v>
      </c>
      <c r="J2597" s="10" t="s">
        <v>58</v>
      </c>
      <c r="K2597" s="8" t="s">
        <v>6100</v>
      </c>
    </row>
    <row r="2598" customFormat="false" ht="23.25" hidden="false" customHeight="true" outlineLevel="0" collapsed="false">
      <c r="A2598" s="10" t="s">
        <v>6107</v>
      </c>
      <c r="B2598" s="10" t="s">
        <v>45</v>
      </c>
      <c r="C2598" s="8" t="s">
        <v>6098</v>
      </c>
      <c r="D2598" s="8" t="s">
        <v>6108</v>
      </c>
      <c r="E2598" s="11" t="n">
        <v>75</v>
      </c>
      <c r="F2598" s="8" t="str">
        <f aca="false">IFERROR(INDEX(Section_Master!$D$2:$D$477,MATCH($E2598,Section_Master!$A$2:$A$477,0))&amp;"","")</f>
        <v>Rigorous imprisonment up to 3 years, or fine, or both [s.75(2)]; up to 1 year, or fine, or both for sexually coloured remarks [s.75(3)]</v>
      </c>
      <c r="G2598" s="10" t="str">
        <f aca="false">IFERROR(INDEX(Section_Master!$E$2:$E$477,MATCH($E2598,Section_Master!$A$2:$A$477,0))&amp;"","")</f>
        <v>Yes</v>
      </c>
      <c r="H2598" s="10" t="str">
        <f aca="false">IFERROR(INDEX(Section_Master!$F$2:$F$477,MATCH($E2598,Section_Master!$A$2:$A$477,0))&amp;"","")</f>
        <v>Yes</v>
      </c>
      <c r="I2598" s="10" t="str">
        <f aca="false">IFERROR(INDEX(Section_Master!$G$2:$G$477,MATCH($E2598,Section_Master!$A$2:$A$477,0))&amp;"","")</f>
        <v>No</v>
      </c>
      <c r="J2598" s="10" t="s">
        <v>61</v>
      </c>
      <c r="K2598" s="8" t="s">
        <v>6100</v>
      </c>
    </row>
    <row r="2599" customFormat="false" ht="34.5" hidden="false" customHeight="true" outlineLevel="0" collapsed="false">
      <c r="A2599" s="10" t="s">
        <v>6109</v>
      </c>
      <c r="B2599" s="10" t="s">
        <v>45</v>
      </c>
      <c r="C2599" s="8" t="s">
        <v>6098</v>
      </c>
      <c r="D2599" s="8" t="s">
        <v>6110</v>
      </c>
      <c r="E2599" s="11" t="n">
        <v>75</v>
      </c>
      <c r="F2599" s="8" t="str">
        <f aca="false">IFERROR(INDEX(Section_Master!$D$2:$D$477,MATCH($E2599,Section_Master!$A$2:$A$477,0))&amp;"","")</f>
        <v>Rigorous imprisonment up to 3 years, or fine, or both [s.75(2)]; up to 1 year, or fine, or both for sexually coloured remarks [s.75(3)]</v>
      </c>
      <c r="G2599" s="10" t="str">
        <f aca="false">IFERROR(INDEX(Section_Master!$E$2:$E$477,MATCH($E2599,Section_Master!$A$2:$A$477,0))&amp;"","")</f>
        <v>Yes</v>
      </c>
      <c r="H2599" s="10" t="str">
        <f aca="false">IFERROR(INDEX(Section_Master!$F$2:$F$477,MATCH($E2599,Section_Master!$A$2:$A$477,0))&amp;"","")</f>
        <v>Yes</v>
      </c>
      <c r="I2599" s="10" t="str">
        <f aca="false">IFERROR(INDEX(Section_Master!$G$2:$G$477,MATCH($E2599,Section_Master!$A$2:$A$477,0))&amp;"","")</f>
        <v>No</v>
      </c>
      <c r="J2599" s="10" t="s">
        <v>64</v>
      </c>
      <c r="K2599" s="8" t="s">
        <v>6100</v>
      </c>
    </row>
    <row r="2600" customFormat="false" ht="34.5" hidden="false" customHeight="true" outlineLevel="0" collapsed="false">
      <c r="A2600" s="10" t="s">
        <v>6111</v>
      </c>
      <c r="B2600" s="10" t="s">
        <v>45</v>
      </c>
      <c r="C2600" s="8" t="s">
        <v>6112</v>
      </c>
      <c r="D2600" s="8" t="s">
        <v>6113</v>
      </c>
      <c r="E2600" s="11" t="n">
        <v>76</v>
      </c>
      <c r="F2600" s="8" t="str">
        <f aca="false">IFERROR(INDEX(Section_Master!$D$2:$D$477,MATCH($E2600,Section_Master!$A$2:$A$477,0))&amp;"","")</f>
        <v>Imprisonment not less than 3 years, may extend to 7 years, and fine</v>
      </c>
      <c r="G2600" s="10" t="str">
        <f aca="false">IFERROR(INDEX(Section_Master!$E$2:$E$477,MATCH($E2600,Section_Master!$A$2:$A$477,0))&amp;"","")</f>
        <v>Yes</v>
      </c>
      <c r="H2600" s="10" t="str">
        <f aca="false">IFERROR(INDEX(Section_Master!$F$2:$F$477,MATCH($E2600,Section_Master!$A$2:$A$477,0))&amp;"","")</f>
        <v>No</v>
      </c>
      <c r="I2600" s="10" t="str">
        <f aca="false">IFERROR(INDEX(Section_Master!$G$2:$G$477,MATCH($E2600,Section_Master!$A$2:$A$477,0))&amp;"","")</f>
        <v>No</v>
      </c>
      <c r="J2600" s="10" t="s">
        <v>48</v>
      </c>
      <c r="K2600" s="8" t="s">
        <v>6114</v>
      </c>
    </row>
    <row r="2601" customFormat="false" ht="34.5" hidden="false" customHeight="true" outlineLevel="0" collapsed="false">
      <c r="A2601" s="10" t="s">
        <v>6115</v>
      </c>
      <c r="B2601" s="10" t="s">
        <v>45</v>
      </c>
      <c r="C2601" s="8" t="s">
        <v>6112</v>
      </c>
      <c r="D2601" s="8" t="s">
        <v>6116</v>
      </c>
      <c r="E2601" s="11" t="n">
        <v>76</v>
      </c>
      <c r="F2601" s="8" t="str">
        <f aca="false">IFERROR(INDEX(Section_Master!$D$2:$D$477,MATCH($E2601,Section_Master!$A$2:$A$477,0))&amp;"","")</f>
        <v>Imprisonment not less than 3 years, may extend to 7 years, and fine</v>
      </c>
      <c r="G2601" s="10" t="str">
        <f aca="false">IFERROR(INDEX(Section_Master!$E$2:$E$477,MATCH($E2601,Section_Master!$A$2:$A$477,0))&amp;"","")</f>
        <v>Yes</v>
      </c>
      <c r="H2601" s="10" t="str">
        <f aca="false">IFERROR(INDEX(Section_Master!$F$2:$F$477,MATCH($E2601,Section_Master!$A$2:$A$477,0))&amp;"","")</f>
        <v>No</v>
      </c>
      <c r="I2601" s="10" t="str">
        <f aca="false">IFERROR(INDEX(Section_Master!$G$2:$G$477,MATCH($E2601,Section_Master!$A$2:$A$477,0))&amp;"","")</f>
        <v>No</v>
      </c>
      <c r="J2601" s="10" t="s">
        <v>52</v>
      </c>
      <c r="K2601" s="8" t="s">
        <v>6114</v>
      </c>
    </row>
    <row r="2602" customFormat="false" ht="34.5" hidden="false" customHeight="true" outlineLevel="0" collapsed="false">
      <c r="A2602" s="10" t="s">
        <v>6117</v>
      </c>
      <c r="B2602" s="10" t="s">
        <v>45</v>
      </c>
      <c r="C2602" s="8" t="s">
        <v>6112</v>
      </c>
      <c r="D2602" s="8" t="s">
        <v>6118</v>
      </c>
      <c r="E2602" s="11" t="n">
        <v>76</v>
      </c>
      <c r="F2602" s="8" t="str">
        <f aca="false">IFERROR(INDEX(Section_Master!$D$2:$D$477,MATCH($E2602,Section_Master!$A$2:$A$477,0))&amp;"","")</f>
        <v>Imprisonment not less than 3 years, may extend to 7 years, and fine</v>
      </c>
      <c r="G2602" s="10" t="str">
        <f aca="false">IFERROR(INDEX(Section_Master!$E$2:$E$477,MATCH($E2602,Section_Master!$A$2:$A$477,0))&amp;"","")</f>
        <v>Yes</v>
      </c>
      <c r="H2602" s="10" t="str">
        <f aca="false">IFERROR(INDEX(Section_Master!$F$2:$F$477,MATCH($E2602,Section_Master!$A$2:$A$477,0))&amp;"","")</f>
        <v>No</v>
      </c>
      <c r="I2602" s="10" t="str">
        <f aca="false">IFERROR(INDEX(Section_Master!$G$2:$G$477,MATCH($E2602,Section_Master!$A$2:$A$477,0))&amp;"","")</f>
        <v>No</v>
      </c>
      <c r="J2602" s="10" t="s">
        <v>55</v>
      </c>
      <c r="K2602" s="8" t="s">
        <v>6114</v>
      </c>
    </row>
    <row r="2603" customFormat="false" ht="23.25" hidden="false" customHeight="true" outlineLevel="0" collapsed="false">
      <c r="A2603" s="10" t="s">
        <v>6119</v>
      </c>
      <c r="B2603" s="10" t="s">
        <v>45</v>
      </c>
      <c r="C2603" s="8" t="s">
        <v>6112</v>
      </c>
      <c r="D2603" s="8" t="s">
        <v>6120</v>
      </c>
      <c r="E2603" s="11" t="n">
        <v>76</v>
      </c>
      <c r="F2603" s="8" t="str">
        <f aca="false">IFERROR(INDEX(Section_Master!$D$2:$D$477,MATCH($E2603,Section_Master!$A$2:$A$477,0))&amp;"","")</f>
        <v>Imprisonment not less than 3 years, may extend to 7 years, and fine</v>
      </c>
      <c r="G2603" s="10" t="str">
        <f aca="false">IFERROR(INDEX(Section_Master!$E$2:$E$477,MATCH($E2603,Section_Master!$A$2:$A$477,0))&amp;"","")</f>
        <v>Yes</v>
      </c>
      <c r="H2603" s="10" t="str">
        <f aca="false">IFERROR(INDEX(Section_Master!$F$2:$F$477,MATCH($E2603,Section_Master!$A$2:$A$477,0))&amp;"","")</f>
        <v>No</v>
      </c>
      <c r="I2603" s="10" t="str">
        <f aca="false">IFERROR(INDEX(Section_Master!$G$2:$G$477,MATCH($E2603,Section_Master!$A$2:$A$477,0))&amp;"","")</f>
        <v>No</v>
      </c>
      <c r="J2603" s="10" t="s">
        <v>58</v>
      </c>
      <c r="K2603" s="8" t="s">
        <v>6114</v>
      </c>
    </row>
    <row r="2604" customFormat="false" ht="23.25" hidden="false" customHeight="true" outlineLevel="0" collapsed="false">
      <c r="A2604" s="10" t="s">
        <v>6121</v>
      </c>
      <c r="B2604" s="10" t="s">
        <v>45</v>
      </c>
      <c r="C2604" s="8" t="s">
        <v>6112</v>
      </c>
      <c r="D2604" s="8" t="s">
        <v>6122</v>
      </c>
      <c r="E2604" s="11" t="n">
        <v>76</v>
      </c>
      <c r="F2604" s="8" t="str">
        <f aca="false">IFERROR(INDEX(Section_Master!$D$2:$D$477,MATCH($E2604,Section_Master!$A$2:$A$477,0))&amp;"","")</f>
        <v>Imprisonment not less than 3 years, may extend to 7 years, and fine</v>
      </c>
      <c r="G2604" s="10" t="str">
        <f aca="false">IFERROR(INDEX(Section_Master!$E$2:$E$477,MATCH($E2604,Section_Master!$A$2:$A$477,0))&amp;"","")</f>
        <v>Yes</v>
      </c>
      <c r="H2604" s="10" t="str">
        <f aca="false">IFERROR(INDEX(Section_Master!$F$2:$F$477,MATCH($E2604,Section_Master!$A$2:$A$477,0))&amp;"","")</f>
        <v>No</v>
      </c>
      <c r="I2604" s="10" t="str">
        <f aca="false">IFERROR(INDEX(Section_Master!$G$2:$G$477,MATCH($E2604,Section_Master!$A$2:$A$477,0))&amp;"","")</f>
        <v>No</v>
      </c>
      <c r="J2604" s="10" t="s">
        <v>61</v>
      </c>
      <c r="K2604" s="8" t="s">
        <v>6114</v>
      </c>
    </row>
    <row r="2605" customFormat="false" ht="34.5" hidden="false" customHeight="true" outlineLevel="0" collapsed="false">
      <c r="A2605" s="10" t="s">
        <v>6123</v>
      </c>
      <c r="B2605" s="10" t="s">
        <v>45</v>
      </c>
      <c r="C2605" s="8" t="s">
        <v>6112</v>
      </c>
      <c r="D2605" s="8" t="s">
        <v>6124</v>
      </c>
      <c r="E2605" s="11" t="n">
        <v>76</v>
      </c>
      <c r="F2605" s="8" t="str">
        <f aca="false">IFERROR(INDEX(Section_Master!$D$2:$D$477,MATCH($E2605,Section_Master!$A$2:$A$477,0))&amp;"","")</f>
        <v>Imprisonment not less than 3 years, may extend to 7 years, and fine</v>
      </c>
      <c r="G2605" s="10" t="str">
        <f aca="false">IFERROR(INDEX(Section_Master!$E$2:$E$477,MATCH($E2605,Section_Master!$A$2:$A$477,0))&amp;"","")</f>
        <v>Yes</v>
      </c>
      <c r="H2605" s="10" t="str">
        <f aca="false">IFERROR(INDEX(Section_Master!$F$2:$F$477,MATCH($E2605,Section_Master!$A$2:$A$477,0))&amp;"","")</f>
        <v>No</v>
      </c>
      <c r="I2605" s="10" t="str">
        <f aca="false">IFERROR(INDEX(Section_Master!$G$2:$G$477,MATCH($E2605,Section_Master!$A$2:$A$477,0))&amp;"","")</f>
        <v>No</v>
      </c>
      <c r="J2605" s="10" t="s">
        <v>64</v>
      </c>
      <c r="K2605" s="8" t="s">
        <v>6114</v>
      </c>
    </row>
    <row r="2606" customFormat="false" ht="34.5" hidden="false" customHeight="true" outlineLevel="0" collapsed="false">
      <c r="A2606" s="10" t="s">
        <v>6125</v>
      </c>
      <c r="B2606" s="10" t="s">
        <v>45</v>
      </c>
      <c r="C2606" s="8" t="s">
        <v>6126</v>
      </c>
      <c r="D2606" s="8" t="s">
        <v>6127</v>
      </c>
      <c r="E2606" s="11" t="n">
        <v>77</v>
      </c>
      <c r="F2606" s="8" t="str">
        <f aca="false">IFERROR(INDEX(Section_Master!$D$2:$D$477,MATCH($E2606,Section_Master!$A$2:$A$477,0))&amp;"","")</f>
        <v>First conviction: 1 to 3 years and fine; repeat conviction: 3 to 7 years and fine [s.77]</v>
      </c>
      <c r="G2606" s="10" t="str">
        <f aca="false">IFERROR(INDEX(Section_Master!$E$2:$E$477,MATCH($E2606,Section_Master!$A$2:$A$477,0))&amp;"","")</f>
        <v>Yes</v>
      </c>
      <c r="H2606" s="10" t="str">
        <f aca="false">IFERROR(INDEX(Section_Master!$F$2:$F$477,MATCH($E2606,Section_Master!$A$2:$A$477,0))&amp;"","")</f>
        <v>Yes (first conviction); No (repeat)</v>
      </c>
      <c r="I2606" s="10" t="str">
        <f aca="false">IFERROR(INDEX(Section_Master!$G$2:$G$477,MATCH($E2606,Section_Master!$A$2:$A$477,0))&amp;"","")</f>
        <v>No</v>
      </c>
      <c r="J2606" s="10" t="s">
        <v>48</v>
      </c>
      <c r="K2606" s="8" t="s">
        <v>6128</v>
      </c>
    </row>
    <row r="2607" customFormat="false" ht="34.5" hidden="false" customHeight="true" outlineLevel="0" collapsed="false">
      <c r="A2607" s="10" t="s">
        <v>6129</v>
      </c>
      <c r="B2607" s="10" t="s">
        <v>45</v>
      </c>
      <c r="C2607" s="8" t="s">
        <v>6126</v>
      </c>
      <c r="D2607" s="8" t="s">
        <v>6130</v>
      </c>
      <c r="E2607" s="11" t="n">
        <v>77</v>
      </c>
      <c r="F2607" s="8" t="str">
        <f aca="false">IFERROR(INDEX(Section_Master!$D$2:$D$477,MATCH($E2607,Section_Master!$A$2:$A$477,0))&amp;"","")</f>
        <v>First conviction: 1 to 3 years and fine; repeat conviction: 3 to 7 years and fine [s.77]</v>
      </c>
      <c r="G2607" s="10" t="str">
        <f aca="false">IFERROR(INDEX(Section_Master!$E$2:$E$477,MATCH($E2607,Section_Master!$A$2:$A$477,0))&amp;"","")</f>
        <v>Yes</v>
      </c>
      <c r="H2607" s="10" t="str">
        <f aca="false">IFERROR(INDEX(Section_Master!$F$2:$F$477,MATCH($E2607,Section_Master!$A$2:$A$477,0))&amp;"","")</f>
        <v>Yes (first conviction); No (repeat)</v>
      </c>
      <c r="I2607" s="10" t="str">
        <f aca="false">IFERROR(INDEX(Section_Master!$G$2:$G$477,MATCH($E2607,Section_Master!$A$2:$A$477,0))&amp;"","")</f>
        <v>No</v>
      </c>
      <c r="J2607" s="10" t="s">
        <v>52</v>
      </c>
      <c r="K2607" s="8" t="s">
        <v>6128</v>
      </c>
    </row>
    <row r="2608" customFormat="false" ht="23.25" hidden="false" customHeight="true" outlineLevel="0" collapsed="false">
      <c r="A2608" s="10" t="s">
        <v>6131</v>
      </c>
      <c r="B2608" s="10" t="s">
        <v>45</v>
      </c>
      <c r="C2608" s="8" t="s">
        <v>6126</v>
      </c>
      <c r="D2608" s="8" t="s">
        <v>6132</v>
      </c>
      <c r="E2608" s="11" t="n">
        <v>77</v>
      </c>
      <c r="F2608" s="8" t="str">
        <f aca="false">IFERROR(INDEX(Section_Master!$D$2:$D$477,MATCH($E2608,Section_Master!$A$2:$A$477,0))&amp;"","")</f>
        <v>First conviction: 1 to 3 years and fine; repeat conviction: 3 to 7 years and fine [s.77]</v>
      </c>
      <c r="G2608" s="10" t="str">
        <f aca="false">IFERROR(INDEX(Section_Master!$E$2:$E$477,MATCH($E2608,Section_Master!$A$2:$A$477,0))&amp;"","")</f>
        <v>Yes</v>
      </c>
      <c r="H2608" s="10" t="str">
        <f aca="false">IFERROR(INDEX(Section_Master!$F$2:$F$477,MATCH($E2608,Section_Master!$A$2:$A$477,0))&amp;"","")</f>
        <v>Yes (first conviction); No (repeat)</v>
      </c>
      <c r="I2608" s="10" t="str">
        <f aca="false">IFERROR(INDEX(Section_Master!$G$2:$G$477,MATCH($E2608,Section_Master!$A$2:$A$477,0))&amp;"","")</f>
        <v>No</v>
      </c>
      <c r="J2608" s="10" t="s">
        <v>55</v>
      </c>
      <c r="K2608" s="8" t="s">
        <v>6128</v>
      </c>
    </row>
    <row r="2609" customFormat="false" ht="23.25" hidden="false" customHeight="true" outlineLevel="0" collapsed="false">
      <c r="A2609" s="10" t="s">
        <v>6133</v>
      </c>
      <c r="B2609" s="10" t="s">
        <v>45</v>
      </c>
      <c r="C2609" s="8" t="s">
        <v>6126</v>
      </c>
      <c r="D2609" s="8" t="s">
        <v>6134</v>
      </c>
      <c r="E2609" s="11" t="n">
        <v>77</v>
      </c>
      <c r="F2609" s="8" t="str">
        <f aca="false">IFERROR(INDEX(Section_Master!$D$2:$D$477,MATCH($E2609,Section_Master!$A$2:$A$477,0))&amp;"","")</f>
        <v>First conviction: 1 to 3 years and fine; repeat conviction: 3 to 7 years and fine [s.77]</v>
      </c>
      <c r="G2609" s="10" t="str">
        <f aca="false">IFERROR(INDEX(Section_Master!$E$2:$E$477,MATCH($E2609,Section_Master!$A$2:$A$477,0))&amp;"","")</f>
        <v>Yes</v>
      </c>
      <c r="H2609" s="10" t="str">
        <f aca="false">IFERROR(INDEX(Section_Master!$F$2:$F$477,MATCH($E2609,Section_Master!$A$2:$A$477,0))&amp;"","")</f>
        <v>Yes (first conviction); No (repeat)</v>
      </c>
      <c r="I2609" s="10" t="str">
        <f aca="false">IFERROR(INDEX(Section_Master!$G$2:$G$477,MATCH($E2609,Section_Master!$A$2:$A$477,0))&amp;"","")</f>
        <v>No</v>
      </c>
      <c r="J2609" s="10" t="s">
        <v>58</v>
      </c>
      <c r="K2609" s="8" t="s">
        <v>6128</v>
      </c>
    </row>
    <row r="2610" customFormat="false" ht="34.5" hidden="false" customHeight="true" outlineLevel="0" collapsed="false">
      <c r="A2610" s="10" t="s">
        <v>6135</v>
      </c>
      <c r="B2610" s="10" t="s">
        <v>45</v>
      </c>
      <c r="C2610" s="8" t="s">
        <v>6126</v>
      </c>
      <c r="D2610" s="8" t="s">
        <v>6136</v>
      </c>
      <c r="E2610" s="11" t="n">
        <v>77</v>
      </c>
      <c r="F2610" s="8" t="str">
        <f aca="false">IFERROR(INDEX(Section_Master!$D$2:$D$477,MATCH($E2610,Section_Master!$A$2:$A$477,0))&amp;"","")</f>
        <v>First conviction: 1 to 3 years and fine; repeat conviction: 3 to 7 years and fine [s.77]</v>
      </c>
      <c r="G2610" s="10" t="str">
        <f aca="false">IFERROR(INDEX(Section_Master!$E$2:$E$477,MATCH($E2610,Section_Master!$A$2:$A$477,0))&amp;"","")</f>
        <v>Yes</v>
      </c>
      <c r="H2610" s="10" t="str">
        <f aca="false">IFERROR(INDEX(Section_Master!$F$2:$F$477,MATCH($E2610,Section_Master!$A$2:$A$477,0))&amp;"","")</f>
        <v>Yes (first conviction); No (repeat)</v>
      </c>
      <c r="I2610" s="10" t="str">
        <f aca="false">IFERROR(INDEX(Section_Master!$G$2:$G$477,MATCH($E2610,Section_Master!$A$2:$A$477,0))&amp;"","")</f>
        <v>No</v>
      </c>
      <c r="J2610" s="10" t="s">
        <v>61</v>
      </c>
      <c r="K2610" s="8" t="s">
        <v>6128</v>
      </c>
    </row>
    <row r="2611" customFormat="false" ht="34.5" hidden="false" customHeight="true" outlineLevel="0" collapsed="false">
      <c r="A2611" s="10" t="s">
        <v>6137</v>
      </c>
      <c r="B2611" s="10" t="s">
        <v>45</v>
      </c>
      <c r="C2611" s="8" t="s">
        <v>6126</v>
      </c>
      <c r="D2611" s="8" t="s">
        <v>6138</v>
      </c>
      <c r="E2611" s="11" t="n">
        <v>77</v>
      </c>
      <c r="F2611" s="8" t="str">
        <f aca="false">IFERROR(INDEX(Section_Master!$D$2:$D$477,MATCH($E2611,Section_Master!$A$2:$A$477,0))&amp;"","")</f>
        <v>First conviction: 1 to 3 years and fine; repeat conviction: 3 to 7 years and fine [s.77]</v>
      </c>
      <c r="G2611" s="10" t="str">
        <f aca="false">IFERROR(INDEX(Section_Master!$E$2:$E$477,MATCH($E2611,Section_Master!$A$2:$A$477,0))&amp;"","")</f>
        <v>Yes</v>
      </c>
      <c r="H2611" s="10" t="str">
        <f aca="false">IFERROR(INDEX(Section_Master!$F$2:$F$477,MATCH($E2611,Section_Master!$A$2:$A$477,0))&amp;"","")</f>
        <v>Yes (first conviction); No (repeat)</v>
      </c>
      <c r="I2611" s="10" t="str">
        <f aca="false">IFERROR(INDEX(Section_Master!$G$2:$G$477,MATCH($E2611,Section_Master!$A$2:$A$477,0))&amp;"","")</f>
        <v>No</v>
      </c>
      <c r="J2611" s="10" t="s">
        <v>64</v>
      </c>
      <c r="K2611" s="8" t="s">
        <v>6128</v>
      </c>
    </row>
    <row r="2612" customFormat="false" ht="23.25" hidden="false" customHeight="true" outlineLevel="0" collapsed="false">
      <c r="A2612" s="10" t="s">
        <v>6139</v>
      </c>
      <c r="B2612" s="10" t="s">
        <v>45</v>
      </c>
      <c r="C2612" s="8" t="s">
        <v>6140</v>
      </c>
      <c r="D2612" s="8" t="s">
        <v>6141</v>
      </c>
      <c r="E2612" s="11" t="n">
        <v>78</v>
      </c>
      <c r="F2612" s="8" t="str">
        <f aca="false">IFERROR(INDEX(Section_Master!$D$2:$D$477,MATCH($E2612,Section_Master!$A$2:$A$477,0))&amp;"","")</f>
        <v>First conviction: up to 3 years and fine; repeat conviction: up to 5 years and fine [s.78]</v>
      </c>
      <c r="G2612" s="10" t="str">
        <f aca="false">IFERROR(INDEX(Section_Master!$E$2:$E$477,MATCH($E2612,Section_Master!$A$2:$A$477,0))&amp;"","")</f>
        <v>Yes</v>
      </c>
      <c r="H2612" s="10" t="str">
        <f aca="false">IFERROR(INDEX(Section_Master!$F$2:$F$477,MATCH($E2612,Section_Master!$A$2:$A$477,0))&amp;"","")</f>
        <v>Yes (first conviction); No (repeat)</v>
      </c>
      <c r="I2612" s="10" t="str">
        <f aca="false">IFERROR(INDEX(Section_Master!$G$2:$G$477,MATCH($E2612,Section_Master!$A$2:$A$477,0))&amp;"","")</f>
        <v>No</v>
      </c>
      <c r="J2612" s="10" t="s">
        <v>48</v>
      </c>
      <c r="K2612" s="8" t="s">
        <v>6142</v>
      </c>
    </row>
    <row r="2613" customFormat="false" ht="34.5" hidden="false" customHeight="true" outlineLevel="0" collapsed="false">
      <c r="A2613" s="10" t="s">
        <v>6143</v>
      </c>
      <c r="B2613" s="10" t="s">
        <v>45</v>
      </c>
      <c r="C2613" s="8" t="s">
        <v>6140</v>
      </c>
      <c r="D2613" s="8" t="s">
        <v>6144</v>
      </c>
      <c r="E2613" s="11" t="n">
        <v>78</v>
      </c>
      <c r="F2613" s="8" t="str">
        <f aca="false">IFERROR(INDEX(Section_Master!$D$2:$D$477,MATCH($E2613,Section_Master!$A$2:$A$477,0))&amp;"","")</f>
        <v>First conviction: up to 3 years and fine; repeat conviction: up to 5 years and fine [s.78]</v>
      </c>
      <c r="G2613" s="10" t="str">
        <f aca="false">IFERROR(INDEX(Section_Master!$E$2:$E$477,MATCH($E2613,Section_Master!$A$2:$A$477,0))&amp;"","")</f>
        <v>Yes</v>
      </c>
      <c r="H2613" s="10" t="str">
        <f aca="false">IFERROR(INDEX(Section_Master!$F$2:$F$477,MATCH($E2613,Section_Master!$A$2:$A$477,0))&amp;"","")</f>
        <v>Yes (first conviction); No (repeat)</v>
      </c>
      <c r="I2613" s="10" t="str">
        <f aca="false">IFERROR(INDEX(Section_Master!$G$2:$G$477,MATCH($E2613,Section_Master!$A$2:$A$477,0))&amp;"","")</f>
        <v>No</v>
      </c>
      <c r="J2613" s="10" t="s">
        <v>52</v>
      </c>
      <c r="K2613" s="8" t="s">
        <v>6142</v>
      </c>
    </row>
    <row r="2614" customFormat="false" ht="23.25" hidden="false" customHeight="true" outlineLevel="0" collapsed="false">
      <c r="A2614" s="10" t="s">
        <v>6145</v>
      </c>
      <c r="B2614" s="10" t="s">
        <v>45</v>
      </c>
      <c r="C2614" s="8" t="s">
        <v>6140</v>
      </c>
      <c r="D2614" s="8" t="s">
        <v>6146</v>
      </c>
      <c r="E2614" s="11" t="n">
        <v>78</v>
      </c>
      <c r="F2614" s="8" t="str">
        <f aca="false">IFERROR(INDEX(Section_Master!$D$2:$D$477,MATCH($E2614,Section_Master!$A$2:$A$477,0))&amp;"","")</f>
        <v>First conviction: up to 3 years and fine; repeat conviction: up to 5 years and fine [s.78]</v>
      </c>
      <c r="G2614" s="10" t="str">
        <f aca="false">IFERROR(INDEX(Section_Master!$E$2:$E$477,MATCH($E2614,Section_Master!$A$2:$A$477,0))&amp;"","")</f>
        <v>Yes</v>
      </c>
      <c r="H2614" s="10" t="str">
        <f aca="false">IFERROR(INDEX(Section_Master!$F$2:$F$477,MATCH($E2614,Section_Master!$A$2:$A$477,0))&amp;"","")</f>
        <v>Yes (first conviction); No (repeat)</v>
      </c>
      <c r="I2614" s="10" t="str">
        <f aca="false">IFERROR(INDEX(Section_Master!$G$2:$G$477,MATCH($E2614,Section_Master!$A$2:$A$477,0))&amp;"","")</f>
        <v>No</v>
      </c>
      <c r="J2614" s="10" t="s">
        <v>55</v>
      </c>
      <c r="K2614" s="8" t="s">
        <v>6142</v>
      </c>
    </row>
    <row r="2615" customFormat="false" ht="23.25" hidden="false" customHeight="true" outlineLevel="0" collapsed="false">
      <c r="A2615" s="10" t="s">
        <v>6147</v>
      </c>
      <c r="B2615" s="10" t="s">
        <v>45</v>
      </c>
      <c r="C2615" s="8" t="s">
        <v>6140</v>
      </c>
      <c r="D2615" s="8" t="s">
        <v>6148</v>
      </c>
      <c r="E2615" s="11" t="n">
        <v>78</v>
      </c>
      <c r="F2615" s="8" t="str">
        <f aca="false">IFERROR(INDEX(Section_Master!$D$2:$D$477,MATCH($E2615,Section_Master!$A$2:$A$477,0))&amp;"","")</f>
        <v>First conviction: up to 3 years and fine; repeat conviction: up to 5 years and fine [s.78]</v>
      </c>
      <c r="G2615" s="10" t="str">
        <f aca="false">IFERROR(INDEX(Section_Master!$E$2:$E$477,MATCH($E2615,Section_Master!$A$2:$A$477,0))&amp;"","")</f>
        <v>Yes</v>
      </c>
      <c r="H2615" s="10" t="str">
        <f aca="false">IFERROR(INDEX(Section_Master!$F$2:$F$477,MATCH($E2615,Section_Master!$A$2:$A$477,0))&amp;"","")</f>
        <v>Yes (first conviction); No (repeat)</v>
      </c>
      <c r="I2615" s="10" t="str">
        <f aca="false">IFERROR(INDEX(Section_Master!$G$2:$G$477,MATCH($E2615,Section_Master!$A$2:$A$477,0))&amp;"","")</f>
        <v>No</v>
      </c>
      <c r="J2615" s="10" t="s">
        <v>58</v>
      </c>
      <c r="K2615" s="8" t="s">
        <v>6142</v>
      </c>
    </row>
    <row r="2616" customFormat="false" ht="23.25" hidden="false" customHeight="true" outlineLevel="0" collapsed="false">
      <c r="A2616" s="10" t="s">
        <v>6149</v>
      </c>
      <c r="B2616" s="10" t="s">
        <v>45</v>
      </c>
      <c r="C2616" s="8" t="s">
        <v>6140</v>
      </c>
      <c r="D2616" s="8" t="s">
        <v>6150</v>
      </c>
      <c r="E2616" s="11" t="n">
        <v>78</v>
      </c>
      <c r="F2616" s="8" t="str">
        <f aca="false">IFERROR(INDEX(Section_Master!$D$2:$D$477,MATCH($E2616,Section_Master!$A$2:$A$477,0))&amp;"","")</f>
        <v>First conviction: up to 3 years and fine; repeat conviction: up to 5 years and fine [s.78]</v>
      </c>
      <c r="G2616" s="10" t="str">
        <f aca="false">IFERROR(INDEX(Section_Master!$E$2:$E$477,MATCH($E2616,Section_Master!$A$2:$A$477,0))&amp;"","")</f>
        <v>Yes</v>
      </c>
      <c r="H2616" s="10" t="str">
        <f aca="false">IFERROR(INDEX(Section_Master!$F$2:$F$477,MATCH($E2616,Section_Master!$A$2:$A$477,0))&amp;"","")</f>
        <v>Yes (first conviction); No (repeat)</v>
      </c>
      <c r="I2616" s="10" t="str">
        <f aca="false">IFERROR(INDEX(Section_Master!$G$2:$G$477,MATCH($E2616,Section_Master!$A$2:$A$477,0))&amp;"","")</f>
        <v>No</v>
      </c>
      <c r="J2616" s="10" t="s">
        <v>61</v>
      </c>
      <c r="K2616" s="8" t="s">
        <v>6142</v>
      </c>
    </row>
    <row r="2617" customFormat="false" ht="23.25" hidden="false" customHeight="true" outlineLevel="0" collapsed="false">
      <c r="A2617" s="10" t="s">
        <v>6151</v>
      </c>
      <c r="B2617" s="10" t="s">
        <v>45</v>
      </c>
      <c r="C2617" s="8" t="s">
        <v>6140</v>
      </c>
      <c r="D2617" s="8" t="s">
        <v>6152</v>
      </c>
      <c r="E2617" s="11" t="n">
        <v>78</v>
      </c>
      <c r="F2617" s="8" t="str">
        <f aca="false">IFERROR(INDEX(Section_Master!$D$2:$D$477,MATCH($E2617,Section_Master!$A$2:$A$477,0))&amp;"","")</f>
        <v>First conviction: up to 3 years and fine; repeat conviction: up to 5 years and fine [s.78]</v>
      </c>
      <c r="G2617" s="10" t="str">
        <f aca="false">IFERROR(INDEX(Section_Master!$E$2:$E$477,MATCH($E2617,Section_Master!$A$2:$A$477,0))&amp;"","")</f>
        <v>Yes</v>
      </c>
      <c r="H2617" s="10" t="str">
        <f aca="false">IFERROR(INDEX(Section_Master!$F$2:$F$477,MATCH($E2617,Section_Master!$A$2:$A$477,0))&amp;"","")</f>
        <v>Yes (first conviction); No (repeat)</v>
      </c>
      <c r="I2617" s="10" t="str">
        <f aca="false">IFERROR(INDEX(Section_Master!$G$2:$G$477,MATCH($E2617,Section_Master!$A$2:$A$477,0))&amp;"","")</f>
        <v>No</v>
      </c>
      <c r="J2617" s="10" t="s">
        <v>64</v>
      </c>
      <c r="K2617" s="8" t="s">
        <v>6142</v>
      </c>
    </row>
    <row r="2618" customFormat="false" ht="23.25" hidden="false" customHeight="true" outlineLevel="0" collapsed="false">
      <c r="A2618" s="10" t="s">
        <v>6153</v>
      </c>
      <c r="B2618" s="10" t="s">
        <v>45</v>
      </c>
      <c r="C2618" s="8" t="s">
        <v>6154</v>
      </c>
      <c r="D2618" s="8" t="s">
        <v>6155</v>
      </c>
      <c r="E2618" s="11" t="n">
        <v>79</v>
      </c>
      <c r="F2618" s="8" t="str">
        <f aca="false">IFERROR(INDEX(Section_Master!$D$2:$D$477,MATCH($E2618,Section_Master!$A$2:$A$477,0))&amp;"","")</f>
        <v>Simple imprisonment up to 3 years and fine</v>
      </c>
      <c r="G2618" s="10" t="str">
        <f aca="false">IFERROR(INDEX(Section_Master!$E$2:$E$477,MATCH($E2618,Section_Master!$A$2:$A$477,0))&amp;"","")</f>
        <v>Yes</v>
      </c>
      <c r="H2618" s="10" t="str">
        <f aca="false">IFERROR(INDEX(Section_Master!$F$2:$F$477,MATCH($E2618,Section_Master!$A$2:$A$477,0))&amp;"","")</f>
        <v>Yes</v>
      </c>
      <c r="I2618" s="10" t="str">
        <f aca="false">IFERROR(INDEX(Section_Master!$G$2:$G$477,MATCH($E2618,Section_Master!$A$2:$A$477,0))&amp;"","")</f>
        <v>Yes</v>
      </c>
      <c r="J2618" s="10" t="s">
        <v>48</v>
      </c>
      <c r="K2618" s="8" t="s">
        <v>6156</v>
      </c>
    </row>
    <row r="2619" customFormat="false" ht="23.25" hidden="false" customHeight="true" outlineLevel="0" collapsed="false">
      <c r="A2619" s="10" t="s">
        <v>6157</v>
      </c>
      <c r="B2619" s="10" t="s">
        <v>45</v>
      </c>
      <c r="C2619" s="8" t="s">
        <v>6154</v>
      </c>
      <c r="D2619" s="8" t="s">
        <v>6158</v>
      </c>
      <c r="E2619" s="11" t="n">
        <v>79</v>
      </c>
      <c r="F2619" s="8" t="str">
        <f aca="false">IFERROR(INDEX(Section_Master!$D$2:$D$477,MATCH($E2619,Section_Master!$A$2:$A$477,0))&amp;"","")</f>
        <v>Simple imprisonment up to 3 years and fine</v>
      </c>
      <c r="G2619" s="10" t="str">
        <f aca="false">IFERROR(INDEX(Section_Master!$E$2:$E$477,MATCH($E2619,Section_Master!$A$2:$A$477,0))&amp;"","")</f>
        <v>Yes</v>
      </c>
      <c r="H2619" s="10" t="str">
        <f aca="false">IFERROR(INDEX(Section_Master!$F$2:$F$477,MATCH($E2619,Section_Master!$A$2:$A$477,0))&amp;"","")</f>
        <v>Yes</v>
      </c>
      <c r="I2619" s="10" t="str">
        <f aca="false">IFERROR(INDEX(Section_Master!$G$2:$G$477,MATCH($E2619,Section_Master!$A$2:$A$477,0))&amp;"","")</f>
        <v>Yes</v>
      </c>
      <c r="J2619" s="10" t="s">
        <v>52</v>
      </c>
      <c r="K2619" s="8" t="s">
        <v>6156</v>
      </c>
    </row>
    <row r="2620" customFormat="false" ht="23.25" hidden="false" customHeight="true" outlineLevel="0" collapsed="false">
      <c r="A2620" s="10" t="s">
        <v>6159</v>
      </c>
      <c r="B2620" s="10" t="s">
        <v>45</v>
      </c>
      <c r="C2620" s="8" t="s">
        <v>6154</v>
      </c>
      <c r="D2620" s="8" t="s">
        <v>6160</v>
      </c>
      <c r="E2620" s="11" t="n">
        <v>79</v>
      </c>
      <c r="F2620" s="8" t="str">
        <f aca="false">IFERROR(INDEX(Section_Master!$D$2:$D$477,MATCH($E2620,Section_Master!$A$2:$A$477,0))&amp;"","")</f>
        <v>Simple imprisonment up to 3 years and fine</v>
      </c>
      <c r="G2620" s="10" t="str">
        <f aca="false">IFERROR(INDEX(Section_Master!$E$2:$E$477,MATCH($E2620,Section_Master!$A$2:$A$477,0))&amp;"","")</f>
        <v>Yes</v>
      </c>
      <c r="H2620" s="10" t="str">
        <f aca="false">IFERROR(INDEX(Section_Master!$F$2:$F$477,MATCH($E2620,Section_Master!$A$2:$A$477,0))&amp;"","")</f>
        <v>Yes</v>
      </c>
      <c r="I2620" s="10" t="str">
        <f aca="false">IFERROR(INDEX(Section_Master!$G$2:$G$477,MATCH($E2620,Section_Master!$A$2:$A$477,0))&amp;"","")</f>
        <v>Yes</v>
      </c>
      <c r="J2620" s="10" t="s">
        <v>55</v>
      </c>
      <c r="K2620" s="8" t="s">
        <v>6156</v>
      </c>
    </row>
    <row r="2621" customFormat="false" ht="23.25" hidden="false" customHeight="true" outlineLevel="0" collapsed="false">
      <c r="A2621" s="10" t="s">
        <v>6161</v>
      </c>
      <c r="B2621" s="10" t="s">
        <v>45</v>
      </c>
      <c r="C2621" s="8" t="s">
        <v>6154</v>
      </c>
      <c r="D2621" s="8" t="s">
        <v>6162</v>
      </c>
      <c r="E2621" s="11" t="n">
        <v>79</v>
      </c>
      <c r="F2621" s="8" t="str">
        <f aca="false">IFERROR(INDEX(Section_Master!$D$2:$D$477,MATCH($E2621,Section_Master!$A$2:$A$477,0))&amp;"","")</f>
        <v>Simple imprisonment up to 3 years and fine</v>
      </c>
      <c r="G2621" s="10" t="str">
        <f aca="false">IFERROR(INDEX(Section_Master!$E$2:$E$477,MATCH($E2621,Section_Master!$A$2:$A$477,0))&amp;"","")</f>
        <v>Yes</v>
      </c>
      <c r="H2621" s="10" t="str">
        <f aca="false">IFERROR(INDEX(Section_Master!$F$2:$F$477,MATCH($E2621,Section_Master!$A$2:$A$477,0))&amp;"","")</f>
        <v>Yes</v>
      </c>
      <c r="I2621" s="10" t="str">
        <f aca="false">IFERROR(INDEX(Section_Master!$G$2:$G$477,MATCH($E2621,Section_Master!$A$2:$A$477,0))&amp;"","")</f>
        <v>Yes</v>
      </c>
      <c r="J2621" s="10" t="s">
        <v>58</v>
      </c>
      <c r="K2621" s="8" t="s">
        <v>6156</v>
      </c>
    </row>
    <row r="2622" customFormat="false" ht="23.25" hidden="false" customHeight="true" outlineLevel="0" collapsed="false">
      <c r="A2622" s="10" t="s">
        <v>6163</v>
      </c>
      <c r="B2622" s="10" t="s">
        <v>45</v>
      </c>
      <c r="C2622" s="8" t="s">
        <v>6154</v>
      </c>
      <c r="D2622" s="8" t="s">
        <v>6164</v>
      </c>
      <c r="E2622" s="11" t="n">
        <v>79</v>
      </c>
      <c r="F2622" s="8" t="str">
        <f aca="false">IFERROR(INDEX(Section_Master!$D$2:$D$477,MATCH($E2622,Section_Master!$A$2:$A$477,0))&amp;"","")</f>
        <v>Simple imprisonment up to 3 years and fine</v>
      </c>
      <c r="G2622" s="10" t="str">
        <f aca="false">IFERROR(INDEX(Section_Master!$E$2:$E$477,MATCH($E2622,Section_Master!$A$2:$A$477,0))&amp;"","")</f>
        <v>Yes</v>
      </c>
      <c r="H2622" s="10" t="str">
        <f aca="false">IFERROR(INDEX(Section_Master!$F$2:$F$477,MATCH($E2622,Section_Master!$A$2:$A$477,0))&amp;"","")</f>
        <v>Yes</v>
      </c>
      <c r="I2622" s="10" t="str">
        <f aca="false">IFERROR(INDEX(Section_Master!$G$2:$G$477,MATCH($E2622,Section_Master!$A$2:$A$477,0))&amp;"","")</f>
        <v>Yes</v>
      </c>
      <c r="J2622" s="10" t="s">
        <v>61</v>
      </c>
      <c r="K2622" s="8" t="s">
        <v>6156</v>
      </c>
    </row>
    <row r="2623" customFormat="false" ht="23.25" hidden="false" customHeight="true" outlineLevel="0" collapsed="false">
      <c r="A2623" s="10" t="s">
        <v>6165</v>
      </c>
      <c r="B2623" s="10" t="s">
        <v>45</v>
      </c>
      <c r="C2623" s="8" t="s">
        <v>6154</v>
      </c>
      <c r="D2623" s="8" t="s">
        <v>6166</v>
      </c>
      <c r="E2623" s="11" t="n">
        <v>79</v>
      </c>
      <c r="F2623" s="8" t="str">
        <f aca="false">IFERROR(INDEX(Section_Master!$D$2:$D$477,MATCH($E2623,Section_Master!$A$2:$A$477,0))&amp;"","")</f>
        <v>Simple imprisonment up to 3 years and fine</v>
      </c>
      <c r="G2623" s="10" t="str">
        <f aca="false">IFERROR(INDEX(Section_Master!$E$2:$E$477,MATCH($E2623,Section_Master!$A$2:$A$477,0))&amp;"","")</f>
        <v>Yes</v>
      </c>
      <c r="H2623" s="10" t="str">
        <f aca="false">IFERROR(INDEX(Section_Master!$F$2:$F$477,MATCH($E2623,Section_Master!$A$2:$A$477,0))&amp;"","")</f>
        <v>Yes</v>
      </c>
      <c r="I2623" s="10" t="str">
        <f aca="false">IFERROR(INDEX(Section_Master!$G$2:$G$477,MATCH($E2623,Section_Master!$A$2:$A$477,0))&amp;"","")</f>
        <v>Yes</v>
      </c>
      <c r="J2623" s="10" t="s">
        <v>64</v>
      </c>
      <c r="K2623" s="8" t="s">
        <v>6156</v>
      </c>
    </row>
    <row r="2624" customFormat="false" ht="34.5" hidden="false" customHeight="true" outlineLevel="0" collapsed="false">
      <c r="A2624" s="10" t="s">
        <v>6167</v>
      </c>
      <c r="B2624" s="10" t="s">
        <v>45</v>
      </c>
      <c r="C2624" s="8" t="s">
        <v>6168</v>
      </c>
      <c r="D2624" s="8" t="s">
        <v>6169</v>
      </c>
      <c r="E2624" s="11" t="n">
        <v>80</v>
      </c>
      <c r="F2624" s="8" t="str">
        <f aca="false">IFERROR(INDEX(Section_Master!$D$2:$D$477,MATCH($E2624,Section_Master!$A$2:$A$477,0))&amp;"","")</f>
        <v>Imprisonment not less than 7 years, may extend to life [s.80(2)]</v>
      </c>
      <c r="G2624" s="10" t="str">
        <f aca="false">IFERROR(INDEX(Section_Master!$E$2:$E$477,MATCH($E2624,Section_Master!$A$2:$A$477,0))&amp;"","")</f>
        <v>Yes</v>
      </c>
      <c r="H2624" s="10" t="str">
        <f aca="false">IFERROR(INDEX(Section_Master!$F$2:$F$477,MATCH($E2624,Section_Master!$A$2:$A$477,0))&amp;"","")</f>
        <v>No</v>
      </c>
      <c r="I2624" s="10" t="str">
        <f aca="false">IFERROR(INDEX(Section_Master!$G$2:$G$477,MATCH($E2624,Section_Master!$A$2:$A$477,0))&amp;"","")</f>
        <v>No</v>
      </c>
      <c r="J2624" s="10" t="s">
        <v>48</v>
      </c>
      <c r="K2624" s="8" t="s">
        <v>6170</v>
      </c>
    </row>
    <row r="2625" customFormat="false" ht="34.5" hidden="false" customHeight="true" outlineLevel="0" collapsed="false">
      <c r="A2625" s="10" t="s">
        <v>6171</v>
      </c>
      <c r="B2625" s="10" t="s">
        <v>45</v>
      </c>
      <c r="C2625" s="8" t="s">
        <v>6168</v>
      </c>
      <c r="D2625" s="8" t="s">
        <v>6172</v>
      </c>
      <c r="E2625" s="11" t="n">
        <v>80</v>
      </c>
      <c r="F2625" s="8" t="str">
        <f aca="false">IFERROR(INDEX(Section_Master!$D$2:$D$477,MATCH($E2625,Section_Master!$A$2:$A$477,0))&amp;"","")</f>
        <v>Imprisonment not less than 7 years, may extend to life [s.80(2)]</v>
      </c>
      <c r="G2625" s="10" t="str">
        <f aca="false">IFERROR(INDEX(Section_Master!$E$2:$E$477,MATCH($E2625,Section_Master!$A$2:$A$477,0))&amp;"","")</f>
        <v>Yes</v>
      </c>
      <c r="H2625" s="10" t="str">
        <f aca="false">IFERROR(INDEX(Section_Master!$F$2:$F$477,MATCH($E2625,Section_Master!$A$2:$A$477,0))&amp;"","")</f>
        <v>No</v>
      </c>
      <c r="I2625" s="10" t="str">
        <f aca="false">IFERROR(INDEX(Section_Master!$G$2:$G$477,MATCH($E2625,Section_Master!$A$2:$A$477,0))&amp;"","")</f>
        <v>No</v>
      </c>
      <c r="J2625" s="10" t="s">
        <v>52</v>
      </c>
      <c r="K2625" s="8" t="s">
        <v>6170</v>
      </c>
    </row>
    <row r="2626" customFormat="false" ht="45.75" hidden="false" customHeight="true" outlineLevel="0" collapsed="false">
      <c r="A2626" s="10" t="s">
        <v>6173</v>
      </c>
      <c r="B2626" s="10" t="s">
        <v>45</v>
      </c>
      <c r="C2626" s="8" t="s">
        <v>6168</v>
      </c>
      <c r="D2626" s="8" t="s">
        <v>6174</v>
      </c>
      <c r="E2626" s="11" t="n">
        <v>80</v>
      </c>
      <c r="F2626" s="8" t="str">
        <f aca="false">IFERROR(INDEX(Section_Master!$D$2:$D$477,MATCH($E2626,Section_Master!$A$2:$A$477,0))&amp;"","")</f>
        <v>Imprisonment not less than 7 years, may extend to life [s.80(2)]</v>
      </c>
      <c r="G2626" s="10" t="str">
        <f aca="false">IFERROR(INDEX(Section_Master!$E$2:$E$477,MATCH($E2626,Section_Master!$A$2:$A$477,0))&amp;"","")</f>
        <v>Yes</v>
      </c>
      <c r="H2626" s="10" t="str">
        <f aca="false">IFERROR(INDEX(Section_Master!$F$2:$F$477,MATCH($E2626,Section_Master!$A$2:$A$477,0))&amp;"","")</f>
        <v>No</v>
      </c>
      <c r="I2626" s="10" t="str">
        <f aca="false">IFERROR(INDEX(Section_Master!$G$2:$G$477,MATCH($E2626,Section_Master!$A$2:$A$477,0))&amp;"","")</f>
        <v>No</v>
      </c>
      <c r="J2626" s="10" t="s">
        <v>55</v>
      </c>
      <c r="K2626" s="8" t="s">
        <v>6170</v>
      </c>
    </row>
    <row r="2627" customFormat="false" ht="23.25" hidden="false" customHeight="true" outlineLevel="0" collapsed="false">
      <c r="A2627" s="10" t="s">
        <v>6175</v>
      </c>
      <c r="B2627" s="10" t="s">
        <v>45</v>
      </c>
      <c r="C2627" s="8" t="s">
        <v>6168</v>
      </c>
      <c r="D2627" s="8" t="s">
        <v>6176</v>
      </c>
      <c r="E2627" s="11" t="n">
        <v>80</v>
      </c>
      <c r="F2627" s="8" t="str">
        <f aca="false">IFERROR(INDEX(Section_Master!$D$2:$D$477,MATCH($E2627,Section_Master!$A$2:$A$477,0))&amp;"","")</f>
        <v>Imprisonment not less than 7 years, may extend to life [s.80(2)]</v>
      </c>
      <c r="G2627" s="10" t="str">
        <f aca="false">IFERROR(INDEX(Section_Master!$E$2:$E$477,MATCH($E2627,Section_Master!$A$2:$A$477,0))&amp;"","")</f>
        <v>Yes</v>
      </c>
      <c r="H2627" s="10" t="str">
        <f aca="false">IFERROR(INDEX(Section_Master!$F$2:$F$477,MATCH($E2627,Section_Master!$A$2:$A$477,0))&amp;"","")</f>
        <v>No</v>
      </c>
      <c r="I2627" s="10" t="str">
        <f aca="false">IFERROR(INDEX(Section_Master!$G$2:$G$477,MATCH($E2627,Section_Master!$A$2:$A$477,0))&amp;"","")</f>
        <v>No</v>
      </c>
      <c r="J2627" s="10" t="s">
        <v>58</v>
      </c>
      <c r="K2627" s="8" t="s">
        <v>6170</v>
      </c>
    </row>
    <row r="2628" customFormat="false" ht="23.25" hidden="false" customHeight="true" outlineLevel="0" collapsed="false">
      <c r="A2628" s="10" t="s">
        <v>6177</v>
      </c>
      <c r="B2628" s="10" t="s">
        <v>45</v>
      </c>
      <c r="C2628" s="8" t="s">
        <v>6168</v>
      </c>
      <c r="D2628" s="8" t="s">
        <v>6178</v>
      </c>
      <c r="E2628" s="11" t="n">
        <v>80</v>
      </c>
      <c r="F2628" s="8" t="str">
        <f aca="false">IFERROR(INDEX(Section_Master!$D$2:$D$477,MATCH($E2628,Section_Master!$A$2:$A$477,0))&amp;"","")</f>
        <v>Imprisonment not less than 7 years, may extend to life [s.80(2)]</v>
      </c>
      <c r="G2628" s="10" t="str">
        <f aca="false">IFERROR(INDEX(Section_Master!$E$2:$E$477,MATCH($E2628,Section_Master!$A$2:$A$477,0))&amp;"","")</f>
        <v>Yes</v>
      </c>
      <c r="H2628" s="10" t="str">
        <f aca="false">IFERROR(INDEX(Section_Master!$F$2:$F$477,MATCH($E2628,Section_Master!$A$2:$A$477,0))&amp;"","")</f>
        <v>No</v>
      </c>
      <c r="I2628" s="10" t="str">
        <f aca="false">IFERROR(INDEX(Section_Master!$G$2:$G$477,MATCH($E2628,Section_Master!$A$2:$A$477,0))&amp;"","")</f>
        <v>No</v>
      </c>
      <c r="J2628" s="10" t="s">
        <v>61</v>
      </c>
      <c r="K2628" s="8" t="s">
        <v>6170</v>
      </c>
    </row>
    <row r="2629" customFormat="false" ht="34.5" hidden="false" customHeight="true" outlineLevel="0" collapsed="false">
      <c r="A2629" s="10" t="s">
        <v>6179</v>
      </c>
      <c r="B2629" s="10" t="s">
        <v>45</v>
      </c>
      <c r="C2629" s="8" t="s">
        <v>6168</v>
      </c>
      <c r="D2629" s="8" t="s">
        <v>6180</v>
      </c>
      <c r="E2629" s="11" t="n">
        <v>80</v>
      </c>
      <c r="F2629" s="8" t="str">
        <f aca="false">IFERROR(INDEX(Section_Master!$D$2:$D$477,MATCH($E2629,Section_Master!$A$2:$A$477,0))&amp;"","")</f>
        <v>Imprisonment not less than 7 years, may extend to life [s.80(2)]</v>
      </c>
      <c r="G2629" s="10" t="str">
        <f aca="false">IFERROR(INDEX(Section_Master!$E$2:$E$477,MATCH($E2629,Section_Master!$A$2:$A$477,0))&amp;"","")</f>
        <v>Yes</v>
      </c>
      <c r="H2629" s="10" t="str">
        <f aca="false">IFERROR(INDEX(Section_Master!$F$2:$F$477,MATCH($E2629,Section_Master!$A$2:$A$477,0))&amp;"","")</f>
        <v>No</v>
      </c>
      <c r="I2629" s="10" t="str">
        <f aca="false">IFERROR(INDEX(Section_Master!$G$2:$G$477,MATCH($E2629,Section_Master!$A$2:$A$477,0))&amp;"","")</f>
        <v>No</v>
      </c>
      <c r="J2629" s="10" t="s">
        <v>64</v>
      </c>
      <c r="K2629" s="8" t="s">
        <v>6170</v>
      </c>
    </row>
    <row r="2630" customFormat="false" ht="23.25" hidden="false" customHeight="true" outlineLevel="0" collapsed="false">
      <c r="A2630" s="10" t="s">
        <v>6181</v>
      </c>
      <c r="B2630" s="10" t="s">
        <v>45</v>
      </c>
      <c r="C2630" s="8" t="s">
        <v>6182</v>
      </c>
      <c r="D2630" s="8" t="s">
        <v>6183</v>
      </c>
      <c r="E2630" s="11" t="n">
        <v>81</v>
      </c>
      <c r="F2630" s="8" t="str">
        <f aca="false">IFERROR(INDEX(Section_Master!$D$2:$D$477,MATCH($E2630,Section_Master!$A$2:$A$477,0))&amp;"","")</f>
        <v>Imprisonment up to 10 years and fine</v>
      </c>
      <c r="G2630" s="10" t="str">
        <f aca="false">IFERROR(INDEX(Section_Master!$E$2:$E$477,MATCH($E2630,Section_Master!$A$2:$A$477,0))&amp;"","")</f>
        <v>No</v>
      </c>
      <c r="H2630" s="10" t="str">
        <f aca="false">IFERROR(INDEX(Section_Master!$F$2:$F$477,MATCH($E2630,Section_Master!$A$2:$A$477,0))&amp;"","")</f>
        <v>No</v>
      </c>
      <c r="I2630" s="10" t="str">
        <f aca="false">IFERROR(INDEX(Section_Master!$G$2:$G$477,MATCH($E2630,Section_Master!$A$2:$A$477,0))&amp;"","")</f>
        <v>No</v>
      </c>
      <c r="J2630" s="10" t="s">
        <v>48</v>
      </c>
      <c r="K2630" s="8" t="s">
        <v>6184</v>
      </c>
    </row>
    <row r="2631" customFormat="false" ht="34.5" hidden="false" customHeight="true" outlineLevel="0" collapsed="false">
      <c r="A2631" s="10" t="s">
        <v>6185</v>
      </c>
      <c r="B2631" s="10" t="s">
        <v>45</v>
      </c>
      <c r="C2631" s="8" t="s">
        <v>6182</v>
      </c>
      <c r="D2631" s="8" t="s">
        <v>6186</v>
      </c>
      <c r="E2631" s="11" t="n">
        <v>81</v>
      </c>
      <c r="F2631" s="8" t="str">
        <f aca="false">IFERROR(INDEX(Section_Master!$D$2:$D$477,MATCH($E2631,Section_Master!$A$2:$A$477,0))&amp;"","")</f>
        <v>Imprisonment up to 10 years and fine</v>
      </c>
      <c r="G2631" s="10" t="str">
        <f aca="false">IFERROR(INDEX(Section_Master!$E$2:$E$477,MATCH($E2631,Section_Master!$A$2:$A$477,0))&amp;"","")</f>
        <v>No</v>
      </c>
      <c r="H2631" s="10" t="str">
        <f aca="false">IFERROR(INDEX(Section_Master!$F$2:$F$477,MATCH($E2631,Section_Master!$A$2:$A$477,0))&amp;"","")</f>
        <v>No</v>
      </c>
      <c r="I2631" s="10" t="str">
        <f aca="false">IFERROR(INDEX(Section_Master!$G$2:$G$477,MATCH($E2631,Section_Master!$A$2:$A$477,0))&amp;"","")</f>
        <v>No</v>
      </c>
      <c r="J2631" s="10" t="s">
        <v>52</v>
      </c>
      <c r="K2631" s="8" t="s">
        <v>6184</v>
      </c>
    </row>
    <row r="2632" customFormat="false" ht="34.5" hidden="false" customHeight="true" outlineLevel="0" collapsed="false">
      <c r="A2632" s="10" t="s">
        <v>6187</v>
      </c>
      <c r="B2632" s="10" t="s">
        <v>45</v>
      </c>
      <c r="C2632" s="8" t="s">
        <v>6182</v>
      </c>
      <c r="D2632" s="8" t="s">
        <v>6188</v>
      </c>
      <c r="E2632" s="11" t="n">
        <v>81</v>
      </c>
      <c r="F2632" s="8" t="str">
        <f aca="false">IFERROR(INDEX(Section_Master!$D$2:$D$477,MATCH($E2632,Section_Master!$A$2:$A$477,0))&amp;"","")</f>
        <v>Imprisonment up to 10 years and fine</v>
      </c>
      <c r="G2632" s="10" t="str">
        <f aca="false">IFERROR(INDEX(Section_Master!$E$2:$E$477,MATCH($E2632,Section_Master!$A$2:$A$477,0))&amp;"","")</f>
        <v>No</v>
      </c>
      <c r="H2632" s="10" t="str">
        <f aca="false">IFERROR(INDEX(Section_Master!$F$2:$F$477,MATCH($E2632,Section_Master!$A$2:$A$477,0))&amp;"","")</f>
        <v>No</v>
      </c>
      <c r="I2632" s="10" t="str">
        <f aca="false">IFERROR(INDEX(Section_Master!$G$2:$G$477,MATCH($E2632,Section_Master!$A$2:$A$477,0))&amp;"","")</f>
        <v>No</v>
      </c>
      <c r="J2632" s="10" t="s">
        <v>55</v>
      </c>
      <c r="K2632" s="8" t="s">
        <v>6184</v>
      </c>
    </row>
    <row r="2633" customFormat="false" ht="23.25" hidden="false" customHeight="true" outlineLevel="0" collapsed="false">
      <c r="A2633" s="10" t="s">
        <v>6189</v>
      </c>
      <c r="B2633" s="10" t="s">
        <v>45</v>
      </c>
      <c r="C2633" s="8" t="s">
        <v>6182</v>
      </c>
      <c r="D2633" s="8" t="s">
        <v>6190</v>
      </c>
      <c r="E2633" s="11" t="n">
        <v>81</v>
      </c>
      <c r="F2633" s="8" t="str">
        <f aca="false">IFERROR(INDEX(Section_Master!$D$2:$D$477,MATCH($E2633,Section_Master!$A$2:$A$477,0))&amp;"","")</f>
        <v>Imprisonment up to 10 years and fine</v>
      </c>
      <c r="G2633" s="10" t="str">
        <f aca="false">IFERROR(INDEX(Section_Master!$E$2:$E$477,MATCH($E2633,Section_Master!$A$2:$A$477,0))&amp;"","")</f>
        <v>No</v>
      </c>
      <c r="H2633" s="10" t="str">
        <f aca="false">IFERROR(INDEX(Section_Master!$F$2:$F$477,MATCH($E2633,Section_Master!$A$2:$A$477,0))&amp;"","")</f>
        <v>No</v>
      </c>
      <c r="I2633" s="10" t="str">
        <f aca="false">IFERROR(INDEX(Section_Master!$G$2:$G$477,MATCH($E2633,Section_Master!$A$2:$A$477,0))&amp;"","")</f>
        <v>No</v>
      </c>
      <c r="J2633" s="10" t="s">
        <v>58</v>
      </c>
      <c r="K2633" s="8" t="s">
        <v>6184</v>
      </c>
    </row>
    <row r="2634" customFormat="false" ht="23.25" hidden="false" customHeight="true" outlineLevel="0" collapsed="false">
      <c r="A2634" s="10" t="s">
        <v>6191</v>
      </c>
      <c r="B2634" s="10" t="s">
        <v>45</v>
      </c>
      <c r="C2634" s="8" t="s">
        <v>6182</v>
      </c>
      <c r="D2634" s="8" t="s">
        <v>6192</v>
      </c>
      <c r="E2634" s="11" t="n">
        <v>81</v>
      </c>
      <c r="F2634" s="8" t="str">
        <f aca="false">IFERROR(INDEX(Section_Master!$D$2:$D$477,MATCH($E2634,Section_Master!$A$2:$A$477,0))&amp;"","")</f>
        <v>Imprisonment up to 10 years and fine</v>
      </c>
      <c r="G2634" s="10" t="str">
        <f aca="false">IFERROR(INDEX(Section_Master!$E$2:$E$477,MATCH($E2634,Section_Master!$A$2:$A$477,0))&amp;"","")</f>
        <v>No</v>
      </c>
      <c r="H2634" s="10" t="str">
        <f aca="false">IFERROR(INDEX(Section_Master!$F$2:$F$477,MATCH($E2634,Section_Master!$A$2:$A$477,0))&amp;"","")</f>
        <v>No</v>
      </c>
      <c r="I2634" s="10" t="str">
        <f aca="false">IFERROR(INDEX(Section_Master!$G$2:$G$477,MATCH($E2634,Section_Master!$A$2:$A$477,0))&amp;"","")</f>
        <v>No</v>
      </c>
      <c r="J2634" s="10" t="s">
        <v>61</v>
      </c>
      <c r="K2634" s="8" t="s">
        <v>6184</v>
      </c>
    </row>
    <row r="2635" customFormat="false" ht="23.25" hidden="false" customHeight="true" outlineLevel="0" collapsed="false">
      <c r="A2635" s="10" t="s">
        <v>6193</v>
      </c>
      <c r="B2635" s="10" t="s">
        <v>45</v>
      </c>
      <c r="C2635" s="8" t="s">
        <v>6182</v>
      </c>
      <c r="D2635" s="8" t="s">
        <v>6194</v>
      </c>
      <c r="E2635" s="11" t="n">
        <v>81</v>
      </c>
      <c r="F2635" s="8" t="str">
        <f aca="false">IFERROR(INDEX(Section_Master!$D$2:$D$477,MATCH($E2635,Section_Master!$A$2:$A$477,0))&amp;"","")</f>
        <v>Imprisonment up to 10 years and fine</v>
      </c>
      <c r="G2635" s="10" t="str">
        <f aca="false">IFERROR(INDEX(Section_Master!$E$2:$E$477,MATCH($E2635,Section_Master!$A$2:$A$477,0))&amp;"","")</f>
        <v>No</v>
      </c>
      <c r="H2635" s="10" t="str">
        <f aca="false">IFERROR(INDEX(Section_Master!$F$2:$F$477,MATCH($E2635,Section_Master!$A$2:$A$477,0))&amp;"","")</f>
        <v>No</v>
      </c>
      <c r="I2635" s="10" t="str">
        <f aca="false">IFERROR(INDEX(Section_Master!$G$2:$G$477,MATCH($E2635,Section_Master!$A$2:$A$477,0))&amp;"","")</f>
        <v>No</v>
      </c>
      <c r="J2635" s="10" t="s">
        <v>64</v>
      </c>
      <c r="K2635" s="8" t="s">
        <v>6184</v>
      </c>
    </row>
    <row r="2636" customFormat="false" ht="34.5" hidden="false" customHeight="true" outlineLevel="0" collapsed="false">
      <c r="A2636" s="10" t="s">
        <v>6195</v>
      </c>
      <c r="B2636" s="10" t="s">
        <v>45</v>
      </c>
      <c r="C2636" s="8" t="s">
        <v>6196</v>
      </c>
      <c r="D2636" s="8" t="s">
        <v>6197</v>
      </c>
      <c r="E2636" s="11" t="n">
        <v>82</v>
      </c>
      <c r="F2636" s="8" t="str">
        <f aca="false">IFERROR(INDEX(Section_Master!$D$2:$D$477,MATCH($E2636,Section_Master!$A$2:$A$477,0))&amp;"","")</f>
        <v>Imprisonment up to 7 years and fine [s.82(1)]</v>
      </c>
      <c r="G2636" s="10" t="str">
        <f aca="false">IFERROR(INDEX(Section_Master!$E$2:$E$477,MATCH($E2636,Section_Master!$A$2:$A$477,0))&amp;"","")</f>
        <v>No</v>
      </c>
      <c r="H2636" s="10" t="str">
        <f aca="false">IFERROR(INDEX(Section_Master!$F$2:$F$477,MATCH($E2636,Section_Master!$A$2:$A$477,0))&amp;"","")</f>
        <v>Yes</v>
      </c>
      <c r="I2636" s="10" t="str">
        <f aca="false">IFERROR(INDEX(Section_Master!$G$2:$G$477,MATCH($E2636,Section_Master!$A$2:$A$477,0))&amp;"","")</f>
        <v>With court permission</v>
      </c>
      <c r="J2636" s="10" t="s">
        <v>48</v>
      </c>
      <c r="K2636" s="8" t="s">
        <v>6198</v>
      </c>
    </row>
    <row r="2637" customFormat="false" ht="34.5" hidden="false" customHeight="true" outlineLevel="0" collapsed="false">
      <c r="A2637" s="10" t="s">
        <v>6199</v>
      </c>
      <c r="B2637" s="10" t="s">
        <v>45</v>
      </c>
      <c r="C2637" s="8" t="s">
        <v>6196</v>
      </c>
      <c r="D2637" s="8" t="s">
        <v>6200</v>
      </c>
      <c r="E2637" s="11" t="n">
        <v>82</v>
      </c>
      <c r="F2637" s="8" t="str">
        <f aca="false">IFERROR(INDEX(Section_Master!$D$2:$D$477,MATCH($E2637,Section_Master!$A$2:$A$477,0))&amp;"","")</f>
        <v>Imprisonment up to 7 years and fine [s.82(1)]</v>
      </c>
      <c r="G2637" s="10" t="str">
        <f aca="false">IFERROR(INDEX(Section_Master!$E$2:$E$477,MATCH($E2637,Section_Master!$A$2:$A$477,0))&amp;"","")</f>
        <v>No</v>
      </c>
      <c r="H2637" s="10" t="str">
        <f aca="false">IFERROR(INDEX(Section_Master!$F$2:$F$477,MATCH($E2637,Section_Master!$A$2:$A$477,0))&amp;"","")</f>
        <v>Yes</v>
      </c>
      <c r="I2637" s="10" t="str">
        <f aca="false">IFERROR(INDEX(Section_Master!$G$2:$G$477,MATCH($E2637,Section_Master!$A$2:$A$477,0))&amp;"","")</f>
        <v>With court permission</v>
      </c>
      <c r="J2637" s="10" t="s">
        <v>52</v>
      </c>
      <c r="K2637" s="8" t="s">
        <v>6198</v>
      </c>
    </row>
    <row r="2638" customFormat="false" ht="23.25" hidden="false" customHeight="true" outlineLevel="0" collapsed="false">
      <c r="A2638" s="10" t="s">
        <v>6201</v>
      </c>
      <c r="B2638" s="10" t="s">
        <v>45</v>
      </c>
      <c r="C2638" s="8" t="s">
        <v>6196</v>
      </c>
      <c r="D2638" s="8" t="s">
        <v>6202</v>
      </c>
      <c r="E2638" s="11" t="n">
        <v>82</v>
      </c>
      <c r="F2638" s="8" t="str">
        <f aca="false">IFERROR(INDEX(Section_Master!$D$2:$D$477,MATCH($E2638,Section_Master!$A$2:$A$477,0))&amp;"","")</f>
        <v>Imprisonment up to 7 years and fine [s.82(1)]</v>
      </c>
      <c r="G2638" s="10" t="str">
        <f aca="false">IFERROR(INDEX(Section_Master!$E$2:$E$477,MATCH($E2638,Section_Master!$A$2:$A$477,0))&amp;"","")</f>
        <v>No</v>
      </c>
      <c r="H2638" s="10" t="str">
        <f aca="false">IFERROR(INDEX(Section_Master!$F$2:$F$477,MATCH($E2638,Section_Master!$A$2:$A$477,0))&amp;"","")</f>
        <v>Yes</v>
      </c>
      <c r="I2638" s="10" t="str">
        <f aca="false">IFERROR(INDEX(Section_Master!$G$2:$G$477,MATCH($E2638,Section_Master!$A$2:$A$477,0))&amp;"","")</f>
        <v>With court permission</v>
      </c>
      <c r="J2638" s="10" t="s">
        <v>55</v>
      </c>
      <c r="K2638" s="8" t="s">
        <v>6198</v>
      </c>
    </row>
    <row r="2639" customFormat="false" ht="23.25" hidden="false" customHeight="true" outlineLevel="0" collapsed="false">
      <c r="A2639" s="10" t="s">
        <v>6203</v>
      </c>
      <c r="B2639" s="10" t="s">
        <v>45</v>
      </c>
      <c r="C2639" s="8" t="s">
        <v>6196</v>
      </c>
      <c r="D2639" s="8" t="s">
        <v>6204</v>
      </c>
      <c r="E2639" s="11" t="n">
        <v>82</v>
      </c>
      <c r="F2639" s="8" t="str">
        <f aca="false">IFERROR(INDEX(Section_Master!$D$2:$D$477,MATCH($E2639,Section_Master!$A$2:$A$477,0))&amp;"","")</f>
        <v>Imprisonment up to 7 years and fine [s.82(1)]</v>
      </c>
      <c r="G2639" s="10" t="str">
        <f aca="false">IFERROR(INDEX(Section_Master!$E$2:$E$477,MATCH($E2639,Section_Master!$A$2:$A$477,0))&amp;"","")</f>
        <v>No</v>
      </c>
      <c r="H2639" s="10" t="str">
        <f aca="false">IFERROR(INDEX(Section_Master!$F$2:$F$477,MATCH($E2639,Section_Master!$A$2:$A$477,0))&amp;"","")</f>
        <v>Yes</v>
      </c>
      <c r="I2639" s="10" t="str">
        <f aca="false">IFERROR(INDEX(Section_Master!$G$2:$G$477,MATCH($E2639,Section_Master!$A$2:$A$477,0))&amp;"","")</f>
        <v>With court permission</v>
      </c>
      <c r="J2639" s="10" t="s">
        <v>58</v>
      </c>
      <c r="K2639" s="8" t="s">
        <v>6198</v>
      </c>
    </row>
    <row r="2640" customFormat="false" ht="34.5" hidden="false" customHeight="true" outlineLevel="0" collapsed="false">
      <c r="A2640" s="10" t="s">
        <v>6205</v>
      </c>
      <c r="B2640" s="10" t="s">
        <v>45</v>
      </c>
      <c r="C2640" s="8" t="s">
        <v>6196</v>
      </c>
      <c r="D2640" s="8" t="s">
        <v>6206</v>
      </c>
      <c r="E2640" s="11" t="n">
        <v>82</v>
      </c>
      <c r="F2640" s="8" t="str">
        <f aca="false">IFERROR(INDEX(Section_Master!$D$2:$D$477,MATCH($E2640,Section_Master!$A$2:$A$477,0))&amp;"","")</f>
        <v>Imprisonment up to 7 years and fine [s.82(1)]</v>
      </c>
      <c r="G2640" s="10" t="str">
        <f aca="false">IFERROR(INDEX(Section_Master!$E$2:$E$477,MATCH($E2640,Section_Master!$A$2:$A$477,0))&amp;"","")</f>
        <v>No</v>
      </c>
      <c r="H2640" s="10" t="str">
        <f aca="false">IFERROR(INDEX(Section_Master!$F$2:$F$477,MATCH($E2640,Section_Master!$A$2:$A$477,0))&amp;"","")</f>
        <v>Yes</v>
      </c>
      <c r="I2640" s="10" t="str">
        <f aca="false">IFERROR(INDEX(Section_Master!$G$2:$G$477,MATCH($E2640,Section_Master!$A$2:$A$477,0))&amp;"","")</f>
        <v>With court permission</v>
      </c>
      <c r="J2640" s="10" t="s">
        <v>61</v>
      </c>
      <c r="K2640" s="8" t="s">
        <v>6198</v>
      </c>
    </row>
    <row r="2641" customFormat="false" ht="34.5" hidden="false" customHeight="true" outlineLevel="0" collapsed="false">
      <c r="A2641" s="10" t="s">
        <v>6207</v>
      </c>
      <c r="B2641" s="10" t="s">
        <v>45</v>
      </c>
      <c r="C2641" s="8" t="s">
        <v>6196</v>
      </c>
      <c r="D2641" s="8" t="s">
        <v>6208</v>
      </c>
      <c r="E2641" s="11" t="n">
        <v>82</v>
      </c>
      <c r="F2641" s="8" t="str">
        <f aca="false">IFERROR(INDEX(Section_Master!$D$2:$D$477,MATCH($E2641,Section_Master!$A$2:$A$477,0))&amp;"","")</f>
        <v>Imprisonment up to 7 years and fine [s.82(1)]</v>
      </c>
      <c r="G2641" s="10" t="str">
        <f aca="false">IFERROR(INDEX(Section_Master!$E$2:$E$477,MATCH($E2641,Section_Master!$A$2:$A$477,0))&amp;"","")</f>
        <v>No</v>
      </c>
      <c r="H2641" s="10" t="str">
        <f aca="false">IFERROR(INDEX(Section_Master!$F$2:$F$477,MATCH($E2641,Section_Master!$A$2:$A$477,0))&amp;"","")</f>
        <v>Yes</v>
      </c>
      <c r="I2641" s="10" t="str">
        <f aca="false">IFERROR(INDEX(Section_Master!$G$2:$G$477,MATCH($E2641,Section_Master!$A$2:$A$477,0))&amp;"","")</f>
        <v>With court permission</v>
      </c>
      <c r="J2641" s="10" t="s">
        <v>64</v>
      </c>
      <c r="K2641" s="8" t="s">
        <v>6198</v>
      </c>
    </row>
    <row r="2642" customFormat="false" ht="34.5" hidden="false" customHeight="true" outlineLevel="0" collapsed="false">
      <c r="A2642" s="10" t="s">
        <v>6209</v>
      </c>
      <c r="B2642" s="10" t="s">
        <v>45</v>
      </c>
      <c r="C2642" s="8" t="s">
        <v>6210</v>
      </c>
      <c r="D2642" s="8" t="s">
        <v>6211</v>
      </c>
      <c r="E2642" s="11" t="n">
        <v>83</v>
      </c>
      <c r="F2642" s="8" t="str">
        <f aca="false">IFERROR(INDEX(Section_Master!$D$2:$D$477,MATCH($E2642,Section_Master!$A$2:$A$477,0))&amp;"","")</f>
        <v>Imprisonment up to 7 years and fine</v>
      </c>
      <c r="G2642" s="10" t="str">
        <f aca="false">IFERROR(INDEX(Section_Master!$E$2:$E$477,MATCH($E2642,Section_Master!$A$2:$A$477,0))&amp;"","")</f>
        <v>No</v>
      </c>
      <c r="H2642" s="10" t="str">
        <f aca="false">IFERROR(INDEX(Section_Master!$F$2:$F$477,MATCH($E2642,Section_Master!$A$2:$A$477,0))&amp;"","")</f>
        <v>Yes</v>
      </c>
      <c r="I2642" s="10" t="str">
        <f aca="false">IFERROR(INDEX(Section_Master!$G$2:$G$477,MATCH($E2642,Section_Master!$A$2:$A$477,0))&amp;"","")</f>
        <v>No</v>
      </c>
      <c r="J2642" s="10" t="s">
        <v>48</v>
      </c>
      <c r="K2642" s="8" t="s">
        <v>6212</v>
      </c>
    </row>
    <row r="2643" customFormat="false" ht="34.5" hidden="false" customHeight="true" outlineLevel="0" collapsed="false">
      <c r="A2643" s="10" t="s">
        <v>6213</v>
      </c>
      <c r="B2643" s="10" t="s">
        <v>45</v>
      </c>
      <c r="C2643" s="8" t="s">
        <v>6210</v>
      </c>
      <c r="D2643" s="8" t="s">
        <v>6214</v>
      </c>
      <c r="E2643" s="11" t="n">
        <v>83</v>
      </c>
      <c r="F2643" s="8" t="str">
        <f aca="false">IFERROR(INDEX(Section_Master!$D$2:$D$477,MATCH($E2643,Section_Master!$A$2:$A$477,0))&amp;"","")</f>
        <v>Imprisonment up to 7 years and fine</v>
      </c>
      <c r="G2643" s="10" t="str">
        <f aca="false">IFERROR(INDEX(Section_Master!$E$2:$E$477,MATCH($E2643,Section_Master!$A$2:$A$477,0))&amp;"","")</f>
        <v>No</v>
      </c>
      <c r="H2643" s="10" t="str">
        <f aca="false">IFERROR(INDEX(Section_Master!$F$2:$F$477,MATCH($E2643,Section_Master!$A$2:$A$477,0))&amp;"","")</f>
        <v>Yes</v>
      </c>
      <c r="I2643" s="10" t="str">
        <f aca="false">IFERROR(INDEX(Section_Master!$G$2:$G$477,MATCH($E2643,Section_Master!$A$2:$A$477,0))&amp;"","")</f>
        <v>No</v>
      </c>
      <c r="J2643" s="10" t="s">
        <v>52</v>
      </c>
      <c r="K2643" s="8" t="s">
        <v>6212</v>
      </c>
    </row>
    <row r="2644" customFormat="false" ht="34.5" hidden="false" customHeight="true" outlineLevel="0" collapsed="false">
      <c r="A2644" s="10" t="s">
        <v>6215</v>
      </c>
      <c r="B2644" s="10" t="s">
        <v>45</v>
      </c>
      <c r="C2644" s="8" t="s">
        <v>6210</v>
      </c>
      <c r="D2644" s="8" t="s">
        <v>6216</v>
      </c>
      <c r="E2644" s="11" t="n">
        <v>83</v>
      </c>
      <c r="F2644" s="8" t="str">
        <f aca="false">IFERROR(INDEX(Section_Master!$D$2:$D$477,MATCH($E2644,Section_Master!$A$2:$A$477,0))&amp;"","")</f>
        <v>Imprisonment up to 7 years and fine</v>
      </c>
      <c r="G2644" s="10" t="str">
        <f aca="false">IFERROR(INDEX(Section_Master!$E$2:$E$477,MATCH($E2644,Section_Master!$A$2:$A$477,0))&amp;"","")</f>
        <v>No</v>
      </c>
      <c r="H2644" s="10" t="str">
        <f aca="false">IFERROR(INDEX(Section_Master!$F$2:$F$477,MATCH($E2644,Section_Master!$A$2:$A$477,0))&amp;"","")</f>
        <v>Yes</v>
      </c>
      <c r="I2644" s="10" t="str">
        <f aca="false">IFERROR(INDEX(Section_Master!$G$2:$G$477,MATCH($E2644,Section_Master!$A$2:$A$477,0))&amp;"","")</f>
        <v>No</v>
      </c>
      <c r="J2644" s="10" t="s">
        <v>55</v>
      </c>
      <c r="K2644" s="8" t="s">
        <v>6212</v>
      </c>
    </row>
    <row r="2645" customFormat="false" ht="23.25" hidden="false" customHeight="true" outlineLevel="0" collapsed="false">
      <c r="A2645" s="10" t="s">
        <v>6217</v>
      </c>
      <c r="B2645" s="10" t="s">
        <v>45</v>
      </c>
      <c r="C2645" s="8" t="s">
        <v>6210</v>
      </c>
      <c r="D2645" s="8" t="s">
        <v>6218</v>
      </c>
      <c r="E2645" s="11" t="n">
        <v>83</v>
      </c>
      <c r="F2645" s="8" t="str">
        <f aca="false">IFERROR(INDEX(Section_Master!$D$2:$D$477,MATCH($E2645,Section_Master!$A$2:$A$477,0))&amp;"","")</f>
        <v>Imprisonment up to 7 years and fine</v>
      </c>
      <c r="G2645" s="10" t="str">
        <f aca="false">IFERROR(INDEX(Section_Master!$E$2:$E$477,MATCH($E2645,Section_Master!$A$2:$A$477,0))&amp;"","")</f>
        <v>No</v>
      </c>
      <c r="H2645" s="10" t="str">
        <f aca="false">IFERROR(INDEX(Section_Master!$F$2:$F$477,MATCH($E2645,Section_Master!$A$2:$A$477,0))&amp;"","")</f>
        <v>Yes</v>
      </c>
      <c r="I2645" s="10" t="str">
        <f aca="false">IFERROR(INDEX(Section_Master!$G$2:$G$477,MATCH($E2645,Section_Master!$A$2:$A$477,0))&amp;"","")</f>
        <v>No</v>
      </c>
      <c r="J2645" s="10" t="s">
        <v>58</v>
      </c>
      <c r="K2645" s="8" t="s">
        <v>6212</v>
      </c>
    </row>
    <row r="2646" customFormat="false" ht="23.25" hidden="false" customHeight="true" outlineLevel="0" collapsed="false">
      <c r="A2646" s="10" t="s">
        <v>6219</v>
      </c>
      <c r="B2646" s="10" t="s">
        <v>45</v>
      </c>
      <c r="C2646" s="8" t="s">
        <v>6210</v>
      </c>
      <c r="D2646" s="8" t="s">
        <v>6220</v>
      </c>
      <c r="E2646" s="11" t="n">
        <v>83</v>
      </c>
      <c r="F2646" s="8" t="str">
        <f aca="false">IFERROR(INDEX(Section_Master!$D$2:$D$477,MATCH($E2646,Section_Master!$A$2:$A$477,0))&amp;"","")</f>
        <v>Imprisonment up to 7 years and fine</v>
      </c>
      <c r="G2646" s="10" t="str">
        <f aca="false">IFERROR(INDEX(Section_Master!$E$2:$E$477,MATCH($E2646,Section_Master!$A$2:$A$477,0))&amp;"","")</f>
        <v>No</v>
      </c>
      <c r="H2646" s="10" t="str">
        <f aca="false">IFERROR(INDEX(Section_Master!$F$2:$F$477,MATCH($E2646,Section_Master!$A$2:$A$477,0))&amp;"","")</f>
        <v>Yes</v>
      </c>
      <c r="I2646" s="10" t="str">
        <f aca="false">IFERROR(INDEX(Section_Master!$G$2:$G$477,MATCH($E2646,Section_Master!$A$2:$A$477,0))&amp;"","")</f>
        <v>No</v>
      </c>
      <c r="J2646" s="10" t="s">
        <v>61</v>
      </c>
      <c r="K2646" s="8" t="s">
        <v>6212</v>
      </c>
    </row>
    <row r="2647" customFormat="false" ht="34.5" hidden="false" customHeight="true" outlineLevel="0" collapsed="false">
      <c r="A2647" s="10" t="s">
        <v>6221</v>
      </c>
      <c r="B2647" s="10" t="s">
        <v>45</v>
      </c>
      <c r="C2647" s="8" t="s">
        <v>6210</v>
      </c>
      <c r="D2647" s="8" t="s">
        <v>6222</v>
      </c>
      <c r="E2647" s="11" t="n">
        <v>83</v>
      </c>
      <c r="F2647" s="8" t="str">
        <f aca="false">IFERROR(INDEX(Section_Master!$D$2:$D$477,MATCH($E2647,Section_Master!$A$2:$A$477,0))&amp;"","")</f>
        <v>Imprisonment up to 7 years and fine</v>
      </c>
      <c r="G2647" s="10" t="str">
        <f aca="false">IFERROR(INDEX(Section_Master!$E$2:$E$477,MATCH($E2647,Section_Master!$A$2:$A$477,0))&amp;"","")</f>
        <v>No</v>
      </c>
      <c r="H2647" s="10" t="str">
        <f aca="false">IFERROR(INDEX(Section_Master!$F$2:$F$477,MATCH($E2647,Section_Master!$A$2:$A$477,0))&amp;"","")</f>
        <v>Yes</v>
      </c>
      <c r="I2647" s="10" t="str">
        <f aca="false">IFERROR(INDEX(Section_Master!$G$2:$G$477,MATCH($E2647,Section_Master!$A$2:$A$477,0))&amp;"","")</f>
        <v>No</v>
      </c>
      <c r="J2647" s="10" t="s">
        <v>64</v>
      </c>
      <c r="K2647" s="8" t="s">
        <v>6212</v>
      </c>
    </row>
    <row r="2648" customFormat="false" ht="23.25" hidden="false" customHeight="true" outlineLevel="0" collapsed="false">
      <c r="A2648" s="10" t="s">
        <v>6223</v>
      </c>
      <c r="B2648" s="10" t="s">
        <v>45</v>
      </c>
      <c r="C2648" s="8" t="s">
        <v>6224</v>
      </c>
      <c r="D2648" s="8" t="s">
        <v>6225</v>
      </c>
      <c r="E2648" s="11" t="n">
        <v>84</v>
      </c>
      <c r="F2648" s="8" t="str">
        <f aca="false">IFERROR(INDEX(Section_Master!$D$2:$D$477,MATCH($E2648,Section_Master!$A$2:$A$477,0))&amp;"","")</f>
        <v>Imprisonment up to 2 years, or fine, or both</v>
      </c>
      <c r="G2648" s="10" t="str">
        <f aca="false">IFERROR(INDEX(Section_Master!$E$2:$E$477,MATCH($E2648,Section_Master!$A$2:$A$477,0))&amp;"","")</f>
        <v>No</v>
      </c>
      <c r="H2648" s="10" t="str">
        <f aca="false">IFERROR(INDEX(Section_Master!$F$2:$F$477,MATCH($E2648,Section_Master!$A$2:$A$477,0))&amp;"","")</f>
        <v>Yes</v>
      </c>
      <c r="I2648" s="10" t="str">
        <f aca="false">IFERROR(INDEX(Section_Master!$G$2:$G$477,MATCH($E2648,Section_Master!$A$2:$A$477,0))&amp;"","")</f>
        <v>With court permission</v>
      </c>
      <c r="J2648" s="10" t="s">
        <v>48</v>
      </c>
      <c r="K2648" s="8" t="s">
        <v>6226</v>
      </c>
    </row>
    <row r="2649" customFormat="false" ht="34.5" hidden="false" customHeight="true" outlineLevel="0" collapsed="false">
      <c r="A2649" s="10" t="s">
        <v>6227</v>
      </c>
      <c r="B2649" s="10" t="s">
        <v>45</v>
      </c>
      <c r="C2649" s="8" t="s">
        <v>6224</v>
      </c>
      <c r="D2649" s="8" t="s">
        <v>6228</v>
      </c>
      <c r="E2649" s="11" t="n">
        <v>84</v>
      </c>
      <c r="F2649" s="8" t="str">
        <f aca="false">IFERROR(INDEX(Section_Master!$D$2:$D$477,MATCH($E2649,Section_Master!$A$2:$A$477,0))&amp;"","")</f>
        <v>Imprisonment up to 2 years, or fine, or both</v>
      </c>
      <c r="G2649" s="10" t="str">
        <f aca="false">IFERROR(INDEX(Section_Master!$E$2:$E$477,MATCH($E2649,Section_Master!$A$2:$A$477,0))&amp;"","")</f>
        <v>No</v>
      </c>
      <c r="H2649" s="10" t="str">
        <f aca="false">IFERROR(INDEX(Section_Master!$F$2:$F$477,MATCH($E2649,Section_Master!$A$2:$A$477,0))&amp;"","")</f>
        <v>Yes</v>
      </c>
      <c r="I2649" s="10" t="str">
        <f aca="false">IFERROR(INDEX(Section_Master!$G$2:$G$477,MATCH($E2649,Section_Master!$A$2:$A$477,0))&amp;"","")</f>
        <v>With court permission</v>
      </c>
      <c r="J2649" s="10" t="s">
        <v>52</v>
      </c>
      <c r="K2649" s="8" t="s">
        <v>6226</v>
      </c>
    </row>
    <row r="2650" customFormat="false" ht="23.25" hidden="false" customHeight="true" outlineLevel="0" collapsed="false">
      <c r="A2650" s="10" t="s">
        <v>6229</v>
      </c>
      <c r="B2650" s="10" t="s">
        <v>45</v>
      </c>
      <c r="C2650" s="8" t="s">
        <v>6224</v>
      </c>
      <c r="D2650" s="8" t="s">
        <v>6230</v>
      </c>
      <c r="E2650" s="11" t="n">
        <v>84</v>
      </c>
      <c r="F2650" s="8" t="str">
        <f aca="false">IFERROR(INDEX(Section_Master!$D$2:$D$477,MATCH($E2650,Section_Master!$A$2:$A$477,0))&amp;"","")</f>
        <v>Imprisonment up to 2 years, or fine, or both</v>
      </c>
      <c r="G2650" s="10" t="str">
        <f aca="false">IFERROR(INDEX(Section_Master!$E$2:$E$477,MATCH($E2650,Section_Master!$A$2:$A$477,0))&amp;"","")</f>
        <v>No</v>
      </c>
      <c r="H2650" s="10" t="str">
        <f aca="false">IFERROR(INDEX(Section_Master!$F$2:$F$477,MATCH($E2650,Section_Master!$A$2:$A$477,0))&amp;"","")</f>
        <v>Yes</v>
      </c>
      <c r="I2650" s="10" t="str">
        <f aca="false">IFERROR(INDEX(Section_Master!$G$2:$G$477,MATCH($E2650,Section_Master!$A$2:$A$477,0))&amp;"","")</f>
        <v>With court permission</v>
      </c>
      <c r="J2650" s="10" t="s">
        <v>55</v>
      </c>
      <c r="K2650" s="8" t="s">
        <v>6226</v>
      </c>
    </row>
    <row r="2651" customFormat="false" ht="34.5" hidden="false" customHeight="true" outlineLevel="0" collapsed="false">
      <c r="A2651" s="10" t="s">
        <v>6231</v>
      </c>
      <c r="B2651" s="10" t="s">
        <v>45</v>
      </c>
      <c r="C2651" s="8" t="s">
        <v>6224</v>
      </c>
      <c r="D2651" s="8" t="s">
        <v>6232</v>
      </c>
      <c r="E2651" s="11" t="n">
        <v>84</v>
      </c>
      <c r="F2651" s="8" t="str">
        <f aca="false">IFERROR(INDEX(Section_Master!$D$2:$D$477,MATCH($E2651,Section_Master!$A$2:$A$477,0))&amp;"","")</f>
        <v>Imprisonment up to 2 years, or fine, or both</v>
      </c>
      <c r="G2651" s="10" t="str">
        <f aca="false">IFERROR(INDEX(Section_Master!$E$2:$E$477,MATCH($E2651,Section_Master!$A$2:$A$477,0))&amp;"","")</f>
        <v>No</v>
      </c>
      <c r="H2651" s="10" t="str">
        <f aca="false">IFERROR(INDEX(Section_Master!$F$2:$F$477,MATCH($E2651,Section_Master!$A$2:$A$477,0))&amp;"","")</f>
        <v>Yes</v>
      </c>
      <c r="I2651" s="10" t="str">
        <f aca="false">IFERROR(INDEX(Section_Master!$G$2:$G$477,MATCH($E2651,Section_Master!$A$2:$A$477,0))&amp;"","")</f>
        <v>With court permission</v>
      </c>
      <c r="J2651" s="10" t="s">
        <v>58</v>
      </c>
      <c r="K2651" s="8" t="s">
        <v>6226</v>
      </c>
    </row>
    <row r="2652" customFormat="false" ht="34.5" hidden="false" customHeight="true" outlineLevel="0" collapsed="false">
      <c r="A2652" s="10" t="s">
        <v>6233</v>
      </c>
      <c r="B2652" s="10" t="s">
        <v>45</v>
      </c>
      <c r="C2652" s="8" t="s">
        <v>6224</v>
      </c>
      <c r="D2652" s="8" t="s">
        <v>6234</v>
      </c>
      <c r="E2652" s="11" t="n">
        <v>84</v>
      </c>
      <c r="F2652" s="8" t="str">
        <f aca="false">IFERROR(INDEX(Section_Master!$D$2:$D$477,MATCH($E2652,Section_Master!$A$2:$A$477,0))&amp;"","")</f>
        <v>Imprisonment up to 2 years, or fine, or both</v>
      </c>
      <c r="G2652" s="10" t="str">
        <f aca="false">IFERROR(INDEX(Section_Master!$E$2:$E$477,MATCH($E2652,Section_Master!$A$2:$A$477,0))&amp;"","")</f>
        <v>No</v>
      </c>
      <c r="H2652" s="10" t="str">
        <f aca="false">IFERROR(INDEX(Section_Master!$F$2:$F$477,MATCH($E2652,Section_Master!$A$2:$A$477,0))&amp;"","")</f>
        <v>Yes</v>
      </c>
      <c r="I2652" s="10" t="str">
        <f aca="false">IFERROR(INDEX(Section_Master!$G$2:$G$477,MATCH($E2652,Section_Master!$A$2:$A$477,0))&amp;"","")</f>
        <v>With court permission</v>
      </c>
      <c r="J2652" s="10" t="s">
        <v>61</v>
      </c>
      <c r="K2652" s="8" t="s">
        <v>6226</v>
      </c>
    </row>
    <row r="2653" customFormat="false" ht="23.25" hidden="false" customHeight="true" outlineLevel="0" collapsed="false">
      <c r="A2653" s="10" t="s">
        <v>6235</v>
      </c>
      <c r="B2653" s="10" t="s">
        <v>45</v>
      </c>
      <c r="C2653" s="8" t="s">
        <v>6224</v>
      </c>
      <c r="D2653" s="8" t="s">
        <v>6236</v>
      </c>
      <c r="E2653" s="11" t="n">
        <v>84</v>
      </c>
      <c r="F2653" s="8" t="str">
        <f aca="false">IFERROR(INDEX(Section_Master!$D$2:$D$477,MATCH($E2653,Section_Master!$A$2:$A$477,0))&amp;"","")</f>
        <v>Imprisonment up to 2 years, or fine, or both</v>
      </c>
      <c r="G2653" s="10" t="str">
        <f aca="false">IFERROR(INDEX(Section_Master!$E$2:$E$477,MATCH($E2653,Section_Master!$A$2:$A$477,0))&amp;"","")</f>
        <v>No</v>
      </c>
      <c r="H2653" s="10" t="str">
        <f aca="false">IFERROR(INDEX(Section_Master!$F$2:$F$477,MATCH($E2653,Section_Master!$A$2:$A$477,0))&amp;"","")</f>
        <v>Yes</v>
      </c>
      <c r="I2653" s="10" t="str">
        <f aca="false">IFERROR(INDEX(Section_Master!$G$2:$G$477,MATCH($E2653,Section_Master!$A$2:$A$477,0))&amp;"","")</f>
        <v>With court permission</v>
      </c>
      <c r="J2653" s="10" t="s">
        <v>64</v>
      </c>
      <c r="K2653" s="8" t="s">
        <v>6226</v>
      </c>
    </row>
    <row r="2654" customFormat="false" ht="23.25" hidden="false" customHeight="true" outlineLevel="0" collapsed="false">
      <c r="A2654" s="10" t="s">
        <v>6237</v>
      </c>
      <c r="B2654" s="10" t="s">
        <v>45</v>
      </c>
      <c r="C2654" s="8" t="s">
        <v>6238</v>
      </c>
      <c r="D2654" s="8" t="s">
        <v>6239</v>
      </c>
      <c r="E2654" s="11" t="n">
        <v>85</v>
      </c>
      <c r="F2654" s="8" t="str">
        <f aca="false">IFERROR(INDEX(Section_Master!$D$2:$D$477,MATCH($E2654,Section_Master!$A$2:$A$477,0))&amp;"","")</f>
        <v>Imprisonment up to 3 years and fine</v>
      </c>
      <c r="G2654" s="10" t="str">
        <f aca="false">IFERROR(INDEX(Section_Master!$E$2:$E$477,MATCH($E2654,Section_Master!$A$2:$A$477,0))&amp;"","")</f>
        <v>Yes</v>
      </c>
      <c r="H2654" s="10" t="str">
        <f aca="false">IFERROR(INDEX(Section_Master!$F$2:$F$477,MATCH($E2654,Section_Master!$A$2:$A$477,0))&amp;"","")</f>
        <v>No</v>
      </c>
      <c r="I2654" s="10" t="str">
        <f aca="false">IFERROR(INDEX(Section_Master!$G$2:$G$477,MATCH($E2654,Section_Master!$A$2:$A$477,0))&amp;"","")</f>
        <v>No</v>
      </c>
      <c r="J2654" s="10" t="s">
        <v>48</v>
      </c>
      <c r="K2654" s="8" t="s">
        <v>6240</v>
      </c>
    </row>
    <row r="2655" customFormat="false" ht="34.5" hidden="false" customHeight="true" outlineLevel="0" collapsed="false">
      <c r="A2655" s="10" t="s">
        <v>6241</v>
      </c>
      <c r="B2655" s="10" t="s">
        <v>45</v>
      </c>
      <c r="C2655" s="8" t="s">
        <v>6238</v>
      </c>
      <c r="D2655" s="8" t="s">
        <v>6242</v>
      </c>
      <c r="E2655" s="11" t="n">
        <v>85</v>
      </c>
      <c r="F2655" s="8" t="str">
        <f aca="false">IFERROR(INDEX(Section_Master!$D$2:$D$477,MATCH($E2655,Section_Master!$A$2:$A$477,0))&amp;"","")</f>
        <v>Imprisonment up to 3 years and fine</v>
      </c>
      <c r="G2655" s="10" t="str">
        <f aca="false">IFERROR(INDEX(Section_Master!$E$2:$E$477,MATCH($E2655,Section_Master!$A$2:$A$477,0))&amp;"","")</f>
        <v>Yes</v>
      </c>
      <c r="H2655" s="10" t="str">
        <f aca="false">IFERROR(INDEX(Section_Master!$F$2:$F$477,MATCH($E2655,Section_Master!$A$2:$A$477,0))&amp;"","")</f>
        <v>No</v>
      </c>
      <c r="I2655" s="10" t="str">
        <f aca="false">IFERROR(INDEX(Section_Master!$G$2:$G$477,MATCH($E2655,Section_Master!$A$2:$A$477,0))&amp;"","")</f>
        <v>No</v>
      </c>
      <c r="J2655" s="10" t="s">
        <v>52</v>
      </c>
      <c r="K2655" s="8" t="s">
        <v>6240</v>
      </c>
    </row>
    <row r="2656" customFormat="false" ht="34.5" hidden="false" customHeight="true" outlineLevel="0" collapsed="false">
      <c r="A2656" s="10" t="s">
        <v>6243</v>
      </c>
      <c r="B2656" s="10" t="s">
        <v>45</v>
      </c>
      <c r="C2656" s="8" t="s">
        <v>6238</v>
      </c>
      <c r="D2656" s="8" t="s">
        <v>6244</v>
      </c>
      <c r="E2656" s="11" t="n">
        <v>85</v>
      </c>
      <c r="F2656" s="8" t="str">
        <f aca="false">IFERROR(INDEX(Section_Master!$D$2:$D$477,MATCH($E2656,Section_Master!$A$2:$A$477,0))&amp;"","")</f>
        <v>Imprisonment up to 3 years and fine</v>
      </c>
      <c r="G2656" s="10" t="str">
        <f aca="false">IFERROR(INDEX(Section_Master!$E$2:$E$477,MATCH($E2656,Section_Master!$A$2:$A$477,0))&amp;"","")</f>
        <v>Yes</v>
      </c>
      <c r="H2656" s="10" t="str">
        <f aca="false">IFERROR(INDEX(Section_Master!$F$2:$F$477,MATCH($E2656,Section_Master!$A$2:$A$477,0))&amp;"","")</f>
        <v>No</v>
      </c>
      <c r="I2656" s="10" t="str">
        <f aca="false">IFERROR(INDEX(Section_Master!$G$2:$G$477,MATCH($E2656,Section_Master!$A$2:$A$477,0))&amp;"","")</f>
        <v>No</v>
      </c>
      <c r="J2656" s="10" t="s">
        <v>55</v>
      </c>
      <c r="K2656" s="8" t="s">
        <v>6240</v>
      </c>
    </row>
    <row r="2657" customFormat="false" ht="23.25" hidden="false" customHeight="true" outlineLevel="0" collapsed="false">
      <c r="A2657" s="10" t="s">
        <v>6245</v>
      </c>
      <c r="B2657" s="10" t="s">
        <v>45</v>
      </c>
      <c r="C2657" s="8" t="s">
        <v>6238</v>
      </c>
      <c r="D2657" s="8" t="s">
        <v>6246</v>
      </c>
      <c r="E2657" s="11" t="n">
        <v>85</v>
      </c>
      <c r="F2657" s="8" t="str">
        <f aca="false">IFERROR(INDEX(Section_Master!$D$2:$D$477,MATCH($E2657,Section_Master!$A$2:$A$477,0))&amp;"","")</f>
        <v>Imprisonment up to 3 years and fine</v>
      </c>
      <c r="G2657" s="10" t="str">
        <f aca="false">IFERROR(INDEX(Section_Master!$E$2:$E$477,MATCH($E2657,Section_Master!$A$2:$A$477,0))&amp;"","")</f>
        <v>Yes</v>
      </c>
      <c r="H2657" s="10" t="str">
        <f aca="false">IFERROR(INDEX(Section_Master!$F$2:$F$477,MATCH($E2657,Section_Master!$A$2:$A$477,0))&amp;"","")</f>
        <v>No</v>
      </c>
      <c r="I2657" s="10" t="str">
        <f aca="false">IFERROR(INDEX(Section_Master!$G$2:$G$477,MATCH($E2657,Section_Master!$A$2:$A$477,0))&amp;"","")</f>
        <v>No</v>
      </c>
      <c r="J2657" s="10" t="s">
        <v>58</v>
      </c>
      <c r="K2657" s="8" t="s">
        <v>6240</v>
      </c>
    </row>
    <row r="2658" customFormat="false" ht="23.25" hidden="false" customHeight="true" outlineLevel="0" collapsed="false">
      <c r="A2658" s="10" t="s">
        <v>6247</v>
      </c>
      <c r="B2658" s="10" t="s">
        <v>45</v>
      </c>
      <c r="C2658" s="8" t="s">
        <v>6238</v>
      </c>
      <c r="D2658" s="8" t="s">
        <v>6248</v>
      </c>
      <c r="E2658" s="11" t="n">
        <v>85</v>
      </c>
      <c r="F2658" s="8" t="str">
        <f aca="false">IFERROR(INDEX(Section_Master!$D$2:$D$477,MATCH($E2658,Section_Master!$A$2:$A$477,0))&amp;"","")</f>
        <v>Imprisonment up to 3 years and fine</v>
      </c>
      <c r="G2658" s="10" t="str">
        <f aca="false">IFERROR(INDEX(Section_Master!$E$2:$E$477,MATCH($E2658,Section_Master!$A$2:$A$477,0))&amp;"","")</f>
        <v>Yes</v>
      </c>
      <c r="H2658" s="10" t="str">
        <f aca="false">IFERROR(INDEX(Section_Master!$F$2:$F$477,MATCH($E2658,Section_Master!$A$2:$A$477,0))&amp;"","")</f>
        <v>No</v>
      </c>
      <c r="I2658" s="10" t="str">
        <f aca="false">IFERROR(INDEX(Section_Master!$G$2:$G$477,MATCH($E2658,Section_Master!$A$2:$A$477,0))&amp;"","")</f>
        <v>No</v>
      </c>
      <c r="J2658" s="10" t="s">
        <v>61</v>
      </c>
      <c r="K2658" s="8" t="s">
        <v>6240</v>
      </c>
    </row>
    <row r="2659" customFormat="false" ht="23.25" hidden="false" customHeight="true" outlineLevel="0" collapsed="false">
      <c r="A2659" s="10" t="s">
        <v>6249</v>
      </c>
      <c r="B2659" s="10" t="s">
        <v>45</v>
      </c>
      <c r="C2659" s="8" t="s">
        <v>6238</v>
      </c>
      <c r="D2659" s="8" t="s">
        <v>6250</v>
      </c>
      <c r="E2659" s="11" t="n">
        <v>85</v>
      </c>
      <c r="F2659" s="8" t="str">
        <f aca="false">IFERROR(INDEX(Section_Master!$D$2:$D$477,MATCH($E2659,Section_Master!$A$2:$A$477,0))&amp;"","")</f>
        <v>Imprisonment up to 3 years and fine</v>
      </c>
      <c r="G2659" s="10" t="str">
        <f aca="false">IFERROR(INDEX(Section_Master!$E$2:$E$477,MATCH($E2659,Section_Master!$A$2:$A$477,0))&amp;"","")</f>
        <v>Yes</v>
      </c>
      <c r="H2659" s="10" t="str">
        <f aca="false">IFERROR(INDEX(Section_Master!$F$2:$F$477,MATCH($E2659,Section_Master!$A$2:$A$477,0))&amp;"","")</f>
        <v>No</v>
      </c>
      <c r="I2659" s="10" t="str">
        <f aca="false">IFERROR(INDEX(Section_Master!$G$2:$G$477,MATCH($E2659,Section_Master!$A$2:$A$477,0))&amp;"","")</f>
        <v>No</v>
      </c>
      <c r="J2659" s="10" t="s">
        <v>64</v>
      </c>
      <c r="K2659" s="8" t="s">
        <v>6240</v>
      </c>
    </row>
    <row r="2660" customFormat="false" ht="34.5" hidden="false" customHeight="true" outlineLevel="0" collapsed="false">
      <c r="A2660" s="10" t="s">
        <v>6251</v>
      </c>
      <c r="B2660" s="10" t="s">
        <v>45</v>
      </c>
      <c r="C2660" s="8" t="s">
        <v>6252</v>
      </c>
      <c r="D2660" s="8" t="s">
        <v>6253</v>
      </c>
      <c r="E2660" s="11" t="n">
        <v>86</v>
      </c>
      <c r="F2660" s="8" t="str">
        <f aca="false">IFERROR(INDEX(Section_Master!$D$2:$D$477,MATCH($E2660,Section_Master!$A$2:$A$477,0))&amp;"","")</f>
        <v>Not applicable - no offence or penalty defined here (definition, exception or general provision)</v>
      </c>
      <c r="G2660" s="10" t="str">
        <f aca="false">IFERROR(INDEX(Section_Master!$E$2:$E$477,MATCH($E2660,Section_Master!$A$2:$A$477,0))&amp;"","")</f>
        <v>N/A</v>
      </c>
      <c r="H2660" s="10" t="str">
        <f aca="false">IFERROR(INDEX(Section_Master!$F$2:$F$477,MATCH($E2660,Section_Master!$A$2:$A$477,0))&amp;"","")</f>
        <v>N/A</v>
      </c>
      <c r="I2660" s="10" t="str">
        <f aca="false">IFERROR(INDEX(Section_Master!$G$2:$G$477,MATCH($E2660,Section_Master!$A$2:$A$477,0))&amp;"","")</f>
        <v>N/A</v>
      </c>
      <c r="J2660" s="10" t="s">
        <v>48</v>
      </c>
      <c r="K2660" s="8" t="s">
        <v>6254</v>
      </c>
    </row>
    <row r="2661" customFormat="false" ht="23.25" hidden="false" customHeight="true" outlineLevel="0" collapsed="false">
      <c r="A2661" s="10" t="s">
        <v>6255</v>
      </c>
      <c r="B2661" s="10" t="s">
        <v>45</v>
      </c>
      <c r="C2661" s="8" t="s">
        <v>6252</v>
      </c>
      <c r="D2661" s="8" t="s">
        <v>6256</v>
      </c>
      <c r="E2661" s="11" t="n">
        <v>86</v>
      </c>
      <c r="F2661" s="8" t="str">
        <f aca="false">IFERROR(INDEX(Section_Master!$D$2:$D$477,MATCH($E2661,Section_Master!$A$2:$A$477,0))&amp;"","")</f>
        <v>Not applicable - no offence or penalty defined here (definition, exception or general provision)</v>
      </c>
      <c r="G2661" s="10" t="str">
        <f aca="false">IFERROR(INDEX(Section_Master!$E$2:$E$477,MATCH($E2661,Section_Master!$A$2:$A$477,0))&amp;"","")</f>
        <v>N/A</v>
      </c>
      <c r="H2661" s="10" t="str">
        <f aca="false">IFERROR(INDEX(Section_Master!$F$2:$F$477,MATCH($E2661,Section_Master!$A$2:$A$477,0))&amp;"","")</f>
        <v>N/A</v>
      </c>
      <c r="I2661" s="10" t="str">
        <f aca="false">IFERROR(INDEX(Section_Master!$G$2:$G$477,MATCH($E2661,Section_Master!$A$2:$A$477,0))&amp;"","")</f>
        <v>N/A</v>
      </c>
      <c r="J2661" s="10" t="s">
        <v>52</v>
      </c>
      <c r="K2661" s="8" t="s">
        <v>6254</v>
      </c>
    </row>
    <row r="2662" customFormat="false" ht="23.25" hidden="false" customHeight="true" outlineLevel="0" collapsed="false">
      <c r="A2662" s="10" t="s">
        <v>6257</v>
      </c>
      <c r="B2662" s="10" t="s">
        <v>45</v>
      </c>
      <c r="C2662" s="8" t="s">
        <v>6252</v>
      </c>
      <c r="D2662" s="8" t="s">
        <v>6258</v>
      </c>
      <c r="E2662" s="11" t="n">
        <v>86</v>
      </c>
      <c r="F2662" s="8" t="str">
        <f aca="false">IFERROR(INDEX(Section_Master!$D$2:$D$477,MATCH($E2662,Section_Master!$A$2:$A$477,0))&amp;"","")</f>
        <v>Not applicable - no offence or penalty defined here (definition, exception or general provision)</v>
      </c>
      <c r="G2662" s="10" t="str">
        <f aca="false">IFERROR(INDEX(Section_Master!$E$2:$E$477,MATCH($E2662,Section_Master!$A$2:$A$477,0))&amp;"","")</f>
        <v>N/A</v>
      </c>
      <c r="H2662" s="10" t="str">
        <f aca="false">IFERROR(INDEX(Section_Master!$F$2:$F$477,MATCH($E2662,Section_Master!$A$2:$A$477,0))&amp;"","")</f>
        <v>N/A</v>
      </c>
      <c r="I2662" s="10" t="str">
        <f aca="false">IFERROR(INDEX(Section_Master!$G$2:$G$477,MATCH($E2662,Section_Master!$A$2:$A$477,0))&amp;"","")</f>
        <v>N/A</v>
      </c>
      <c r="J2662" s="10" t="s">
        <v>55</v>
      </c>
      <c r="K2662" s="8" t="s">
        <v>6254</v>
      </c>
    </row>
    <row r="2663" customFormat="false" ht="23.25" hidden="false" customHeight="true" outlineLevel="0" collapsed="false">
      <c r="A2663" s="10" t="s">
        <v>6259</v>
      </c>
      <c r="B2663" s="10" t="s">
        <v>45</v>
      </c>
      <c r="C2663" s="8" t="s">
        <v>6252</v>
      </c>
      <c r="D2663" s="8" t="s">
        <v>6260</v>
      </c>
      <c r="E2663" s="11" t="n">
        <v>86</v>
      </c>
      <c r="F2663" s="8" t="str">
        <f aca="false">IFERROR(INDEX(Section_Master!$D$2:$D$477,MATCH($E2663,Section_Master!$A$2:$A$477,0))&amp;"","")</f>
        <v>Not applicable - no offence or penalty defined here (definition, exception or general provision)</v>
      </c>
      <c r="G2663" s="10" t="str">
        <f aca="false">IFERROR(INDEX(Section_Master!$E$2:$E$477,MATCH($E2663,Section_Master!$A$2:$A$477,0))&amp;"","")</f>
        <v>N/A</v>
      </c>
      <c r="H2663" s="10" t="str">
        <f aca="false">IFERROR(INDEX(Section_Master!$F$2:$F$477,MATCH($E2663,Section_Master!$A$2:$A$477,0))&amp;"","")</f>
        <v>N/A</v>
      </c>
      <c r="I2663" s="10" t="str">
        <f aca="false">IFERROR(INDEX(Section_Master!$G$2:$G$477,MATCH($E2663,Section_Master!$A$2:$A$477,0))&amp;"","")</f>
        <v>N/A</v>
      </c>
      <c r="J2663" s="10" t="s">
        <v>58</v>
      </c>
      <c r="K2663" s="8" t="s">
        <v>6254</v>
      </c>
    </row>
    <row r="2664" customFormat="false" ht="34.5" hidden="false" customHeight="true" outlineLevel="0" collapsed="false">
      <c r="A2664" s="10" t="s">
        <v>6261</v>
      </c>
      <c r="B2664" s="10" t="s">
        <v>45</v>
      </c>
      <c r="C2664" s="8" t="s">
        <v>6252</v>
      </c>
      <c r="D2664" s="8" t="s">
        <v>6262</v>
      </c>
      <c r="E2664" s="11" t="n">
        <v>86</v>
      </c>
      <c r="F2664" s="8" t="str">
        <f aca="false">IFERROR(INDEX(Section_Master!$D$2:$D$477,MATCH($E2664,Section_Master!$A$2:$A$477,0))&amp;"","")</f>
        <v>Not applicable - no offence or penalty defined here (definition, exception or general provision)</v>
      </c>
      <c r="G2664" s="10" t="str">
        <f aca="false">IFERROR(INDEX(Section_Master!$E$2:$E$477,MATCH($E2664,Section_Master!$A$2:$A$477,0))&amp;"","")</f>
        <v>N/A</v>
      </c>
      <c r="H2664" s="10" t="str">
        <f aca="false">IFERROR(INDEX(Section_Master!$F$2:$F$477,MATCH($E2664,Section_Master!$A$2:$A$477,0))&amp;"","")</f>
        <v>N/A</v>
      </c>
      <c r="I2664" s="10" t="str">
        <f aca="false">IFERROR(INDEX(Section_Master!$G$2:$G$477,MATCH($E2664,Section_Master!$A$2:$A$477,0))&amp;"","")</f>
        <v>N/A</v>
      </c>
      <c r="J2664" s="10" t="s">
        <v>61</v>
      </c>
      <c r="K2664" s="8" t="s">
        <v>6254</v>
      </c>
    </row>
    <row r="2665" customFormat="false" ht="23.25" hidden="false" customHeight="true" outlineLevel="0" collapsed="false">
      <c r="A2665" s="10" t="s">
        <v>6263</v>
      </c>
      <c r="B2665" s="10" t="s">
        <v>45</v>
      </c>
      <c r="C2665" s="8" t="s">
        <v>6252</v>
      </c>
      <c r="D2665" s="8" t="s">
        <v>6264</v>
      </c>
      <c r="E2665" s="11" t="n">
        <v>86</v>
      </c>
      <c r="F2665" s="8" t="str">
        <f aca="false">IFERROR(INDEX(Section_Master!$D$2:$D$477,MATCH($E2665,Section_Master!$A$2:$A$477,0))&amp;"","")</f>
        <v>Not applicable - no offence or penalty defined here (definition, exception or general provision)</v>
      </c>
      <c r="G2665" s="10" t="str">
        <f aca="false">IFERROR(INDEX(Section_Master!$E$2:$E$477,MATCH($E2665,Section_Master!$A$2:$A$477,0))&amp;"","")</f>
        <v>N/A</v>
      </c>
      <c r="H2665" s="10" t="str">
        <f aca="false">IFERROR(INDEX(Section_Master!$F$2:$F$477,MATCH($E2665,Section_Master!$A$2:$A$477,0))&amp;"","")</f>
        <v>N/A</v>
      </c>
      <c r="I2665" s="10" t="str">
        <f aca="false">IFERROR(INDEX(Section_Master!$G$2:$G$477,MATCH($E2665,Section_Master!$A$2:$A$477,0))&amp;"","")</f>
        <v>N/A</v>
      </c>
      <c r="J2665" s="10" t="s">
        <v>64</v>
      </c>
      <c r="K2665" s="8" t="s">
        <v>6254</v>
      </c>
    </row>
    <row r="2666" customFormat="false" ht="34.5" hidden="false" customHeight="true" outlineLevel="0" collapsed="false">
      <c r="A2666" s="10" t="s">
        <v>6265</v>
      </c>
      <c r="B2666" s="10" t="s">
        <v>45</v>
      </c>
      <c r="C2666" s="8" t="s">
        <v>6266</v>
      </c>
      <c r="D2666" s="8" t="s">
        <v>6267</v>
      </c>
      <c r="E2666" s="11" t="n">
        <v>87</v>
      </c>
      <c r="F2666" s="8" t="str">
        <f aca="false">IFERROR(INDEX(Section_Master!$D$2:$D$477,MATCH($E2666,Section_Master!$A$2:$A$477,0))&amp;"","")</f>
        <v>Imprisonment up to 10 years and fine</v>
      </c>
      <c r="G2666" s="10" t="str">
        <f aca="false">IFERROR(INDEX(Section_Master!$E$2:$E$477,MATCH($E2666,Section_Master!$A$2:$A$477,0))&amp;"","")</f>
        <v>Yes</v>
      </c>
      <c r="H2666" s="10" t="str">
        <f aca="false">IFERROR(INDEX(Section_Master!$F$2:$F$477,MATCH($E2666,Section_Master!$A$2:$A$477,0))&amp;"","")</f>
        <v>No</v>
      </c>
      <c r="I2666" s="10" t="str">
        <f aca="false">IFERROR(INDEX(Section_Master!$G$2:$G$477,MATCH($E2666,Section_Master!$A$2:$A$477,0))&amp;"","")</f>
        <v>No</v>
      </c>
      <c r="J2666" s="10" t="s">
        <v>48</v>
      </c>
      <c r="K2666" s="8" t="s">
        <v>6268</v>
      </c>
    </row>
    <row r="2667" customFormat="false" ht="34.5" hidden="false" customHeight="true" outlineLevel="0" collapsed="false">
      <c r="A2667" s="10" t="s">
        <v>6269</v>
      </c>
      <c r="B2667" s="10" t="s">
        <v>45</v>
      </c>
      <c r="C2667" s="8" t="s">
        <v>6266</v>
      </c>
      <c r="D2667" s="8" t="s">
        <v>6270</v>
      </c>
      <c r="E2667" s="11" t="n">
        <v>87</v>
      </c>
      <c r="F2667" s="8" t="str">
        <f aca="false">IFERROR(INDEX(Section_Master!$D$2:$D$477,MATCH($E2667,Section_Master!$A$2:$A$477,0))&amp;"","")</f>
        <v>Imprisonment up to 10 years and fine</v>
      </c>
      <c r="G2667" s="10" t="str">
        <f aca="false">IFERROR(INDEX(Section_Master!$E$2:$E$477,MATCH($E2667,Section_Master!$A$2:$A$477,0))&amp;"","")</f>
        <v>Yes</v>
      </c>
      <c r="H2667" s="10" t="str">
        <f aca="false">IFERROR(INDEX(Section_Master!$F$2:$F$477,MATCH($E2667,Section_Master!$A$2:$A$477,0))&amp;"","")</f>
        <v>No</v>
      </c>
      <c r="I2667" s="10" t="str">
        <f aca="false">IFERROR(INDEX(Section_Master!$G$2:$G$477,MATCH($E2667,Section_Master!$A$2:$A$477,0))&amp;"","")</f>
        <v>No</v>
      </c>
      <c r="J2667" s="10" t="s">
        <v>52</v>
      </c>
      <c r="K2667" s="8" t="s">
        <v>6268</v>
      </c>
    </row>
    <row r="2668" customFormat="false" ht="23.25" hidden="false" customHeight="true" outlineLevel="0" collapsed="false">
      <c r="A2668" s="10" t="s">
        <v>6271</v>
      </c>
      <c r="B2668" s="10" t="s">
        <v>45</v>
      </c>
      <c r="C2668" s="8" t="s">
        <v>6266</v>
      </c>
      <c r="D2668" s="8" t="s">
        <v>6272</v>
      </c>
      <c r="E2668" s="11" t="n">
        <v>87</v>
      </c>
      <c r="F2668" s="8" t="str">
        <f aca="false">IFERROR(INDEX(Section_Master!$D$2:$D$477,MATCH($E2668,Section_Master!$A$2:$A$477,0))&amp;"","")</f>
        <v>Imprisonment up to 10 years and fine</v>
      </c>
      <c r="G2668" s="10" t="str">
        <f aca="false">IFERROR(INDEX(Section_Master!$E$2:$E$477,MATCH($E2668,Section_Master!$A$2:$A$477,0))&amp;"","")</f>
        <v>Yes</v>
      </c>
      <c r="H2668" s="10" t="str">
        <f aca="false">IFERROR(INDEX(Section_Master!$F$2:$F$477,MATCH($E2668,Section_Master!$A$2:$A$477,0))&amp;"","")</f>
        <v>No</v>
      </c>
      <c r="I2668" s="10" t="str">
        <f aca="false">IFERROR(INDEX(Section_Master!$G$2:$G$477,MATCH($E2668,Section_Master!$A$2:$A$477,0))&amp;"","")</f>
        <v>No</v>
      </c>
      <c r="J2668" s="10" t="s">
        <v>55</v>
      </c>
      <c r="K2668" s="8" t="s">
        <v>6268</v>
      </c>
    </row>
    <row r="2669" customFormat="false" ht="23.25" hidden="false" customHeight="true" outlineLevel="0" collapsed="false">
      <c r="A2669" s="10" t="s">
        <v>6273</v>
      </c>
      <c r="B2669" s="10" t="s">
        <v>45</v>
      </c>
      <c r="C2669" s="8" t="s">
        <v>6266</v>
      </c>
      <c r="D2669" s="8" t="s">
        <v>6274</v>
      </c>
      <c r="E2669" s="11" t="n">
        <v>87</v>
      </c>
      <c r="F2669" s="8" t="str">
        <f aca="false">IFERROR(INDEX(Section_Master!$D$2:$D$477,MATCH($E2669,Section_Master!$A$2:$A$477,0))&amp;"","")</f>
        <v>Imprisonment up to 10 years and fine</v>
      </c>
      <c r="G2669" s="10" t="str">
        <f aca="false">IFERROR(INDEX(Section_Master!$E$2:$E$477,MATCH($E2669,Section_Master!$A$2:$A$477,0))&amp;"","")</f>
        <v>Yes</v>
      </c>
      <c r="H2669" s="10" t="str">
        <f aca="false">IFERROR(INDEX(Section_Master!$F$2:$F$477,MATCH($E2669,Section_Master!$A$2:$A$477,0))&amp;"","")</f>
        <v>No</v>
      </c>
      <c r="I2669" s="10" t="str">
        <f aca="false">IFERROR(INDEX(Section_Master!$G$2:$G$477,MATCH($E2669,Section_Master!$A$2:$A$477,0))&amp;"","")</f>
        <v>No</v>
      </c>
      <c r="J2669" s="10" t="s">
        <v>58</v>
      </c>
      <c r="K2669" s="8" t="s">
        <v>6268</v>
      </c>
    </row>
    <row r="2670" customFormat="false" ht="23.25" hidden="false" customHeight="true" outlineLevel="0" collapsed="false">
      <c r="A2670" s="10" t="s">
        <v>6275</v>
      </c>
      <c r="B2670" s="10" t="s">
        <v>45</v>
      </c>
      <c r="C2670" s="8" t="s">
        <v>6266</v>
      </c>
      <c r="D2670" s="8" t="s">
        <v>6276</v>
      </c>
      <c r="E2670" s="11" t="n">
        <v>87</v>
      </c>
      <c r="F2670" s="8" t="str">
        <f aca="false">IFERROR(INDEX(Section_Master!$D$2:$D$477,MATCH($E2670,Section_Master!$A$2:$A$477,0))&amp;"","")</f>
        <v>Imprisonment up to 10 years and fine</v>
      </c>
      <c r="G2670" s="10" t="str">
        <f aca="false">IFERROR(INDEX(Section_Master!$E$2:$E$477,MATCH($E2670,Section_Master!$A$2:$A$477,0))&amp;"","")</f>
        <v>Yes</v>
      </c>
      <c r="H2670" s="10" t="str">
        <f aca="false">IFERROR(INDEX(Section_Master!$F$2:$F$477,MATCH($E2670,Section_Master!$A$2:$A$477,0))&amp;"","")</f>
        <v>No</v>
      </c>
      <c r="I2670" s="10" t="str">
        <f aca="false">IFERROR(INDEX(Section_Master!$G$2:$G$477,MATCH($E2670,Section_Master!$A$2:$A$477,0))&amp;"","")</f>
        <v>No</v>
      </c>
      <c r="J2670" s="10" t="s">
        <v>61</v>
      </c>
      <c r="K2670" s="8" t="s">
        <v>6268</v>
      </c>
    </row>
    <row r="2671" customFormat="false" ht="34.5" hidden="false" customHeight="true" outlineLevel="0" collapsed="false">
      <c r="A2671" s="10" t="s">
        <v>6277</v>
      </c>
      <c r="B2671" s="10" t="s">
        <v>45</v>
      </c>
      <c r="C2671" s="8" t="s">
        <v>6266</v>
      </c>
      <c r="D2671" s="8" t="s">
        <v>6278</v>
      </c>
      <c r="E2671" s="11" t="n">
        <v>87</v>
      </c>
      <c r="F2671" s="8" t="str">
        <f aca="false">IFERROR(INDEX(Section_Master!$D$2:$D$477,MATCH($E2671,Section_Master!$A$2:$A$477,0))&amp;"","")</f>
        <v>Imprisonment up to 10 years and fine</v>
      </c>
      <c r="G2671" s="10" t="str">
        <f aca="false">IFERROR(INDEX(Section_Master!$E$2:$E$477,MATCH($E2671,Section_Master!$A$2:$A$477,0))&amp;"","")</f>
        <v>Yes</v>
      </c>
      <c r="H2671" s="10" t="str">
        <f aca="false">IFERROR(INDEX(Section_Master!$F$2:$F$477,MATCH($E2671,Section_Master!$A$2:$A$477,0))&amp;"","")</f>
        <v>No</v>
      </c>
      <c r="I2671" s="10" t="str">
        <f aca="false">IFERROR(INDEX(Section_Master!$G$2:$G$477,MATCH($E2671,Section_Master!$A$2:$A$477,0))&amp;"","")</f>
        <v>No</v>
      </c>
      <c r="J2671" s="10" t="s">
        <v>64</v>
      </c>
      <c r="K2671" s="8" t="s">
        <v>6268</v>
      </c>
    </row>
    <row r="2672" customFormat="false" ht="23.25" hidden="false" customHeight="true" outlineLevel="0" collapsed="false">
      <c r="A2672" s="10" t="s">
        <v>6279</v>
      </c>
      <c r="B2672" s="10" t="s">
        <v>45</v>
      </c>
      <c r="C2672" s="8" t="s">
        <v>6280</v>
      </c>
      <c r="D2672" s="8" t="s">
        <v>6281</v>
      </c>
      <c r="E2672" s="11" t="n">
        <v>88</v>
      </c>
      <c r="F2672" s="8" t="str">
        <f aca="false">IFERROR(INDEX(Section_Master!$D$2:$D$477,MATCH($E2672,Section_Master!$A$2:$A$477,0))&amp;"","")</f>
        <v>Imprisonment up to 3 years, or fine, or both; up to 7 years and fine if the woman is quick with child [s.88]</v>
      </c>
      <c r="G2672" s="10" t="str">
        <f aca="false">IFERROR(INDEX(Section_Master!$E$2:$E$477,MATCH($E2672,Section_Master!$A$2:$A$477,0))&amp;"","")</f>
        <v>No</v>
      </c>
      <c r="H2672" s="10" t="str">
        <f aca="false">IFERROR(INDEX(Section_Master!$F$2:$F$477,MATCH($E2672,Section_Master!$A$2:$A$477,0))&amp;"","")</f>
        <v>Yes</v>
      </c>
      <c r="I2672" s="10" t="str">
        <f aca="false">IFERROR(INDEX(Section_Master!$G$2:$G$477,MATCH($E2672,Section_Master!$A$2:$A$477,0))&amp;"","")</f>
        <v>With court permission</v>
      </c>
      <c r="J2672" s="10" t="s">
        <v>48</v>
      </c>
      <c r="K2672" s="8" t="s">
        <v>6282</v>
      </c>
    </row>
    <row r="2673" customFormat="false" ht="34.5" hidden="false" customHeight="true" outlineLevel="0" collapsed="false">
      <c r="A2673" s="10" t="s">
        <v>6283</v>
      </c>
      <c r="B2673" s="10" t="s">
        <v>45</v>
      </c>
      <c r="C2673" s="8" t="s">
        <v>6280</v>
      </c>
      <c r="D2673" s="8" t="s">
        <v>6284</v>
      </c>
      <c r="E2673" s="11" t="n">
        <v>88</v>
      </c>
      <c r="F2673" s="8" t="str">
        <f aca="false">IFERROR(INDEX(Section_Master!$D$2:$D$477,MATCH($E2673,Section_Master!$A$2:$A$477,0))&amp;"","")</f>
        <v>Imprisonment up to 3 years, or fine, or both; up to 7 years and fine if the woman is quick with child [s.88]</v>
      </c>
      <c r="G2673" s="10" t="str">
        <f aca="false">IFERROR(INDEX(Section_Master!$E$2:$E$477,MATCH($E2673,Section_Master!$A$2:$A$477,0))&amp;"","")</f>
        <v>No</v>
      </c>
      <c r="H2673" s="10" t="str">
        <f aca="false">IFERROR(INDEX(Section_Master!$F$2:$F$477,MATCH($E2673,Section_Master!$A$2:$A$477,0))&amp;"","")</f>
        <v>Yes</v>
      </c>
      <c r="I2673" s="10" t="str">
        <f aca="false">IFERROR(INDEX(Section_Master!$G$2:$G$477,MATCH($E2673,Section_Master!$A$2:$A$477,0))&amp;"","")</f>
        <v>With court permission</v>
      </c>
      <c r="J2673" s="10" t="s">
        <v>52</v>
      </c>
      <c r="K2673" s="8" t="s">
        <v>6282</v>
      </c>
    </row>
    <row r="2674" customFormat="false" ht="34.5" hidden="false" customHeight="true" outlineLevel="0" collapsed="false">
      <c r="A2674" s="10" t="s">
        <v>6285</v>
      </c>
      <c r="B2674" s="10" t="s">
        <v>45</v>
      </c>
      <c r="C2674" s="8" t="s">
        <v>6280</v>
      </c>
      <c r="D2674" s="8" t="s">
        <v>6286</v>
      </c>
      <c r="E2674" s="11" t="n">
        <v>88</v>
      </c>
      <c r="F2674" s="8" t="str">
        <f aca="false">IFERROR(INDEX(Section_Master!$D$2:$D$477,MATCH($E2674,Section_Master!$A$2:$A$477,0))&amp;"","")</f>
        <v>Imprisonment up to 3 years, or fine, or both; up to 7 years and fine if the woman is quick with child [s.88]</v>
      </c>
      <c r="G2674" s="10" t="str">
        <f aca="false">IFERROR(INDEX(Section_Master!$E$2:$E$477,MATCH($E2674,Section_Master!$A$2:$A$477,0))&amp;"","")</f>
        <v>No</v>
      </c>
      <c r="H2674" s="10" t="str">
        <f aca="false">IFERROR(INDEX(Section_Master!$F$2:$F$477,MATCH($E2674,Section_Master!$A$2:$A$477,0))&amp;"","")</f>
        <v>Yes</v>
      </c>
      <c r="I2674" s="10" t="str">
        <f aca="false">IFERROR(INDEX(Section_Master!$G$2:$G$477,MATCH($E2674,Section_Master!$A$2:$A$477,0))&amp;"","")</f>
        <v>With court permission</v>
      </c>
      <c r="J2674" s="10" t="s">
        <v>55</v>
      </c>
      <c r="K2674" s="8" t="s">
        <v>6282</v>
      </c>
    </row>
    <row r="2675" customFormat="false" ht="34.5" hidden="false" customHeight="true" outlineLevel="0" collapsed="false">
      <c r="A2675" s="10" t="s">
        <v>6287</v>
      </c>
      <c r="B2675" s="10" t="s">
        <v>45</v>
      </c>
      <c r="C2675" s="8" t="s">
        <v>6280</v>
      </c>
      <c r="D2675" s="8" t="s">
        <v>6288</v>
      </c>
      <c r="E2675" s="11" t="n">
        <v>88</v>
      </c>
      <c r="F2675" s="8" t="str">
        <f aca="false">IFERROR(INDEX(Section_Master!$D$2:$D$477,MATCH($E2675,Section_Master!$A$2:$A$477,0))&amp;"","")</f>
        <v>Imprisonment up to 3 years, or fine, or both; up to 7 years and fine if the woman is quick with child [s.88]</v>
      </c>
      <c r="G2675" s="10" t="str">
        <f aca="false">IFERROR(INDEX(Section_Master!$E$2:$E$477,MATCH($E2675,Section_Master!$A$2:$A$477,0))&amp;"","")</f>
        <v>No</v>
      </c>
      <c r="H2675" s="10" t="str">
        <f aca="false">IFERROR(INDEX(Section_Master!$F$2:$F$477,MATCH($E2675,Section_Master!$A$2:$A$477,0))&amp;"","")</f>
        <v>Yes</v>
      </c>
      <c r="I2675" s="10" t="str">
        <f aca="false">IFERROR(INDEX(Section_Master!$G$2:$G$477,MATCH($E2675,Section_Master!$A$2:$A$477,0))&amp;"","")</f>
        <v>With court permission</v>
      </c>
      <c r="J2675" s="10" t="s">
        <v>58</v>
      </c>
      <c r="K2675" s="8" t="s">
        <v>6282</v>
      </c>
    </row>
    <row r="2676" customFormat="false" ht="23.25" hidden="false" customHeight="true" outlineLevel="0" collapsed="false">
      <c r="A2676" s="10" t="s">
        <v>6289</v>
      </c>
      <c r="B2676" s="10" t="s">
        <v>45</v>
      </c>
      <c r="C2676" s="8" t="s">
        <v>6280</v>
      </c>
      <c r="D2676" s="8" t="s">
        <v>6290</v>
      </c>
      <c r="E2676" s="11" t="n">
        <v>88</v>
      </c>
      <c r="F2676" s="8" t="str">
        <f aca="false">IFERROR(INDEX(Section_Master!$D$2:$D$477,MATCH($E2676,Section_Master!$A$2:$A$477,0))&amp;"","")</f>
        <v>Imprisonment up to 3 years, or fine, or both; up to 7 years and fine if the woman is quick with child [s.88]</v>
      </c>
      <c r="G2676" s="10" t="str">
        <f aca="false">IFERROR(INDEX(Section_Master!$E$2:$E$477,MATCH($E2676,Section_Master!$A$2:$A$477,0))&amp;"","")</f>
        <v>No</v>
      </c>
      <c r="H2676" s="10" t="str">
        <f aca="false">IFERROR(INDEX(Section_Master!$F$2:$F$477,MATCH($E2676,Section_Master!$A$2:$A$477,0))&amp;"","")</f>
        <v>Yes</v>
      </c>
      <c r="I2676" s="10" t="str">
        <f aca="false">IFERROR(INDEX(Section_Master!$G$2:$G$477,MATCH($E2676,Section_Master!$A$2:$A$477,0))&amp;"","")</f>
        <v>With court permission</v>
      </c>
      <c r="J2676" s="10" t="s">
        <v>61</v>
      </c>
      <c r="K2676" s="8" t="s">
        <v>6282</v>
      </c>
    </row>
    <row r="2677" customFormat="false" ht="23.25" hidden="false" customHeight="true" outlineLevel="0" collapsed="false">
      <c r="A2677" s="10" t="s">
        <v>6291</v>
      </c>
      <c r="B2677" s="10" t="s">
        <v>45</v>
      </c>
      <c r="C2677" s="8" t="s">
        <v>6280</v>
      </c>
      <c r="D2677" s="8" t="s">
        <v>6292</v>
      </c>
      <c r="E2677" s="11" t="n">
        <v>88</v>
      </c>
      <c r="F2677" s="8" t="str">
        <f aca="false">IFERROR(INDEX(Section_Master!$D$2:$D$477,MATCH($E2677,Section_Master!$A$2:$A$477,0))&amp;"","")</f>
        <v>Imprisonment up to 3 years, or fine, or both; up to 7 years and fine if the woman is quick with child [s.88]</v>
      </c>
      <c r="G2677" s="10" t="str">
        <f aca="false">IFERROR(INDEX(Section_Master!$E$2:$E$477,MATCH($E2677,Section_Master!$A$2:$A$477,0))&amp;"","")</f>
        <v>No</v>
      </c>
      <c r="H2677" s="10" t="str">
        <f aca="false">IFERROR(INDEX(Section_Master!$F$2:$F$477,MATCH($E2677,Section_Master!$A$2:$A$477,0))&amp;"","")</f>
        <v>Yes</v>
      </c>
      <c r="I2677" s="10" t="str">
        <f aca="false">IFERROR(INDEX(Section_Master!$G$2:$G$477,MATCH($E2677,Section_Master!$A$2:$A$477,0))&amp;"","")</f>
        <v>With court permission</v>
      </c>
      <c r="J2677" s="10" t="s">
        <v>64</v>
      </c>
      <c r="K2677" s="8" t="s">
        <v>6282</v>
      </c>
    </row>
    <row r="2678" customFormat="false" ht="34.5" hidden="false" customHeight="true" outlineLevel="0" collapsed="false">
      <c r="A2678" s="10" t="s">
        <v>6293</v>
      </c>
      <c r="B2678" s="10" t="s">
        <v>45</v>
      </c>
      <c r="C2678" s="8" t="s">
        <v>6294</v>
      </c>
      <c r="D2678" s="8" t="s">
        <v>6295</v>
      </c>
      <c r="E2678" s="11" t="n">
        <v>89</v>
      </c>
      <c r="F2678" s="8" t="str">
        <f aca="false">IFERROR(INDEX(Section_Master!$D$2:$D$477,MATCH($E2678,Section_Master!$A$2:$A$477,0))&amp;"","")</f>
        <v>Imprisonment for life, or up to 10 years, and fine</v>
      </c>
      <c r="G2678" s="10" t="str">
        <f aca="false">IFERROR(INDEX(Section_Master!$E$2:$E$477,MATCH($E2678,Section_Master!$A$2:$A$477,0))&amp;"","")</f>
        <v>Yes</v>
      </c>
      <c r="H2678" s="10" t="str">
        <f aca="false">IFERROR(INDEX(Section_Master!$F$2:$F$477,MATCH($E2678,Section_Master!$A$2:$A$477,0))&amp;"","")</f>
        <v>No</v>
      </c>
      <c r="I2678" s="10" t="str">
        <f aca="false">IFERROR(INDEX(Section_Master!$G$2:$G$477,MATCH($E2678,Section_Master!$A$2:$A$477,0))&amp;"","")</f>
        <v>No</v>
      </c>
      <c r="J2678" s="10" t="s">
        <v>48</v>
      </c>
      <c r="K2678" s="8" t="s">
        <v>6296</v>
      </c>
    </row>
    <row r="2679" customFormat="false" ht="34.5" hidden="false" customHeight="true" outlineLevel="0" collapsed="false">
      <c r="A2679" s="10" t="s">
        <v>6297</v>
      </c>
      <c r="B2679" s="10" t="s">
        <v>45</v>
      </c>
      <c r="C2679" s="8" t="s">
        <v>6294</v>
      </c>
      <c r="D2679" s="8" t="s">
        <v>6298</v>
      </c>
      <c r="E2679" s="11" t="n">
        <v>89</v>
      </c>
      <c r="F2679" s="8" t="str">
        <f aca="false">IFERROR(INDEX(Section_Master!$D$2:$D$477,MATCH($E2679,Section_Master!$A$2:$A$477,0))&amp;"","")</f>
        <v>Imprisonment for life, or up to 10 years, and fine</v>
      </c>
      <c r="G2679" s="10" t="str">
        <f aca="false">IFERROR(INDEX(Section_Master!$E$2:$E$477,MATCH($E2679,Section_Master!$A$2:$A$477,0))&amp;"","")</f>
        <v>Yes</v>
      </c>
      <c r="H2679" s="10" t="str">
        <f aca="false">IFERROR(INDEX(Section_Master!$F$2:$F$477,MATCH($E2679,Section_Master!$A$2:$A$477,0))&amp;"","")</f>
        <v>No</v>
      </c>
      <c r="I2679" s="10" t="str">
        <f aca="false">IFERROR(INDEX(Section_Master!$G$2:$G$477,MATCH($E2679,Section_Master!$A$2:$A$477,0))&amp;"","")</f>
        <v>No</v>
      </c>
      <c r="J2679" s="10" t="s">
        <v>52</v>
      </c>
      <c r="K2679" s="8" t="s">
        <v>6296</v>
      </c>
    </row>
    <row r="2680" customFormat="false" ht="23.25" hidden="false" customHeight="true" outlineLevel="0" collapsed="false">
      <c r="A2680" s="10" t="s">
        <v>6299</v>
      </c>
      <c r="B2680" s="10" t="s">
        <v>45</v>
      </c>
      <c r="C2680" s="8" t="s">
        <v>6294</v>
      </c>
      <c r="D2680" s="8" t="s">
        <v>6300</v>
      </c>
      <c r="E2680" s="11" t="n">
        <v>89</v>
      </c>
      <c r="F2680" s="8" t="str">
        <f aca="false">IFERROR(INDEX(Section_Master!$D$2:$D$477,MATCH($E2680,Section_Master!$A$2:$A$477,0))&amp;"","")</f>
        <v>Imprisonment for life, or up to 10 years, and fine</v>
      </c>
      <c r="G2680" s="10" t="str">
        <f aca="false">IFERROR(INDEX(Section_Master!$E$2:$E$477,MATCH($E2680,Section_Master!$A$2:$A$477,0))&amp;"","")</f>
        <v>Yes</v>
      </c>
      <c r="H2680" s="10" t="str">
        <f aca="false">IFERROR(INDEX(Section_Master!$F$2:$F$477,MATCH($E2680,Section_Master!$A$2:$A$477,0))&amp;"","")</f>
        <v>No</v>
      </c>
      <c r="I2680" s="10" t="str">
        <f aca="false">IFERROR(INDEX(Section_Master!$G$2:$G$477,MATCH($E2680,Section_Master!$A$2:$A$477,0))&amp;"","")</f>
        <v>No</v>
      </c>
      <c r="J2680" s="10" t="s">
        <v>55</v>
      </c>
      <c r="K2680" s="8" t="s">
        <v>6296</v>
      </c>
    </row>
    <row r="2681" customFormat="false" ht="34.5" hidden="false" customHeight="true" outlineLevel="0" collapsed="false">
      <c r="A2681" s="10" t="s">
        <v>6301</v>
      </c>
      <c r="B2681" s="10" t="s">
        <v>45</v>
      </c>
      <c r="C2681" s="8" t="s">
        <v>6294</v>
      </c>
      <c r="D2681" s="8" t="s">
        <v>6302</v>
      </c>
      <c r="E2681" s="11" t="n">
        <v>89</v>
      </c>
      <c r="F2681" s="8" t="str">
        <f aca="false">IFERROR(INDEX(Section_Master!$D$2:$D$477,MATCH($E2681,Section_Master!$A$2:$A$477,0))&amp;"","")</f>
        <v>Imprisonment for life, or up to 10 years, and fine</v>
      </c>
      <c r="G2681" s="10" t="str">
        <f aca="false">IFERROR(INDEX(Section_Master!$E$2:$E$477,MATCH($E2681,Section_Master!$A$2:$A$477,0))&amp;"","")</f>
        <v>Yes</v>
      </c>
      <c r="H2681" s="10" t="str">
        <f aca="false">IFERROR(INDEX(Section_Master!$F$2:$F$477,MATCH($E2681,Section_Master!$A$2:$A$477,0))&amp;"","")</f>
        <v>No</v>
      </c>
      <c r="I2681" s="10" t="str">
        <f aca="false">IFERROR(INDEX(Section_Master!$G$2:$G$477,MATCH($E2681,Section_Master!$A$2:$A$477,0))&amp;"","")</f>
        <v>No</v>
      </c>
      <c r="J2681" s="10" t="s">
        <v>58</v>
      </c>
      <c r="K2681" s="8" t="s">
        <v>6296</v>
      </c>
    </row>
    <row r="2682" customFormat="false" ht="34.5" hidden="false" customHeight="true" outlineLevel="0" collapsed="false">
      <c r="A2682" s="10" t="s">
        <v>6303</v>
      </c>
      <c r="B2682" s="10" t="s">
        <v>45</v>
      </c>
      <c r="C2682" s="8" t="s">
        <v>6294</v>
      </c>
      <c r="D2682" s="8" t="s">
        <v>6304</v>
      </c>
      <c r="E2682" s="11" t="n">
        <v>89</v>
      </c>
      <c r="F2682" s="8" t="str">
        <f aca="false">IFERROR(INDEX(Section_Master!$D$2:$D$477,MATCH($E2682,Section_Master!$A$2:$A$477,0))&amp;"","")</f>
        <v>Imprisonment for life, or up to 10 years, and fine</v>
      </c>
      <c r="G2682" s="10" t="str">
        <f aca="false">IFERROR(INDEX(Section_Master!$E$2:$E$477,MATCH($E2682,Section_Master!$A$2:$A$477,0))&amp;"","")</f>
        <v>Yes</v>
      </c>
      <c r="H2682" s="10" t="str">
        <f aca="false">IFERROR(INDEX(Section_Master!$F$2:$F$477,MATCH($E2682,Section_Master!$A$2:$A$477,0))&amp;"","")</f>
        <v>No</v>
      </c>
      <c r="I2682" s="10" t="str">
        <f aca="false">IFERROR(INDEX(Section_Master!$G$2:$G$477,MATCH($E2682,Section_Master!$A$2:$A$477,0))&amp;"","")</f>
        <v>No</v>
      </c>
      <c r="J2682" s="10" t="s">
        <v>61</v>
      </c>
      <c r="K2682" s="8" t="s">
        <v>6296</v>
      </c>
    </row>
    <row r="2683" customFormat="false" ht="34.5" hidden="false" customHeight="true" outlineLevel="0" collapsed="false">
      <c r="A2683" s="10" t="s">
        <v>6305</v>
      </c>
      <c r="B2683" s="10" t="s">
        <v>45</v>
      </c>
      <c r="C2683" s="8" t="s">
        <v>6294</v>
      </c>
      <c r="D2683" s="8" t="s">
        <v>6306</v>
      </c>
      <c r="E2683" s="11" t="n">
        <v>89</v>
      </c>
      <c r="F2683" s="8" t="str">
        <f aca="false">IFERROR(INDEX(Section_Master!$D$2:$D$477,MATCH($E2683,Section_Master!$A$2:$A$477,0))&amp;"","")</f>
        <v>Imprisonment for life, or up to 10 years, and fine</v>
      </c>
      <c r="G2683" s="10" t="str">
        <f aca="false">IFERROR(INDEX(Section_Master!$E$2:$E$477,MATCH($E2683,Section_Master!$A$2:$A$477,0))&amp;"","")</f>
        <v>Yes</v>
      </c>
      <c r="H2683" s="10" t="str">
        <f aca="false">IFERROR(INDEX(Section_Master!$F$2:$F$477,MATCH($E2683,Section_Master!$A$2:$A$477,0))&amp;"","")</f>
        <v>No</v>
      </c>
      <c r="I2683" s="10" t="str">
        <f aca="false">IFERROR(INDEX(Section_Master!$G$2:$G$477,MATCH($E2683,Section_Master!$A$2:$A$477,0))&amp;"","")</f>
        <v>No</v>
      </c>
      <c r="J2683" s="10" t="s">
        <v>64</v>
      </c>
      <c r="K2683" s="8" t="s">
        <v>6296</v>
      </c>
    </row>
    <row r="2684" customFormat="false" ht="34.5" hidden="false" customHeight="true" outlineLevel="0" collapsed="false">
      <c r="A2684" s="10" t="s">
        <v>6307</v>
      </c>
      <c r="B2684" s="10" t="s">
        <v>45</v>
      </c>
      <c r="C2684" s="8" t="s">
        <v>6308</v>
      </c>
      <c r="D2684" s="8" t="s">
        <v>6309</v>
      </c>
      <c r="E2684" s="11" t="n">
        <v>90</v>
      </c>
      <c r="F2684" s="8" t="str">
        <f aca="false">IFERROR(INDEX(Section_Master!$D$2:$D$477,MATCH($E2684,Section_Master!$A$2:$A$477,0))&amp;"","")</f>
        <v>Imprisonment up to 10 years and fine; life or the same term if done without the woman's consent [s.90]</v>
      </c>
      <c r="G2684" s="10" t="str">
        <f aca="false">IFERROR(INDEX(Section_Master!$E$2:$E$477,MATCH($E2684,Section_Master!$A$2:$A$477,0))&amp;"","")</f>
        <v>Yes</v>
      </c>
      <c r="H2684" s="10" t="str">
        <f aca="false">IFERROR(INDEX(Section_Master!$F$2:$F$477,MATCH($E2684,Section_Master!$A$2:$A$477,0))&amp;"","")</f>
        <v>No</v>
      </c>
      <c r="I2684" s="10" t="str">
        <f aca="false">IFERROR(INDEX(Section_Master!$G$2:$G$477,MATCH($E2684,Section_Master!$A$2:$A$477,0))&amp;"","")</f>
        <v>No</v>
      </c>
      <c r="J2684" s="10" t="s">
        <v>48</v>
      </c>
      <c r="K2684" s="8" t="s">
        <v>6310</v>
      </c>
    </row>
    <row r="2685" customFormat="false" ht="34.5" hidden="false" customHeight="true" outlineLevel="0" collapsed="false">
      <c r="A2685" s="10" t="s">
        <v>6311</v>
      </c>
      <c r="B2685" s="10" t="s">
        <v>45</v>
      </c>
      <c r="C2685" s="8" t="s">
        <v>6308</v>
      </c>
      <c r="D2685" s="8" t="s">
        <v>6312</v>
      </c>
      <c r="E2685" s="11" t="n">
        <v>90</v>
      </c>
      <c r="F2685" s="8" t="str">
        <f aca="false">IFERROR(INDEX(Section_Master!$D$2:$D$477,MATCH($E2685,Section_Master!$A$2:$A$477,0))&amp;"","")</f>
        <v>Imprisonment up to 10 years and fine; life or the same term if done without the woman's consent [s.90]</v>
      </c>
      <c r="G2685" s="10" t="str">
        <f aca="false">IFERROR(INDEX(Section_Master!$E$2:$E$477,MATCH($E2685,Section_Master!$A$2:$A$477,0))&amp;"","")</f>
        <v>Yes</v>
      </c>
      <c r="H2685" s="10" t="str">
        <f aca="false">IFERROR(INDEX(Section_Master!$F$2:$F$477,MATCH($E2685,Section_Master!$A$2:$A$477,0))&amp;"","")</f>
        <v>No</v>
      </c>
      <c r="I2685" s="10" t="str">
        <f aca="false">IFERROR(INDEX(Section_Master!$G$2:$G$477,MATCH($E2685,Section_Master!$A$2:$A$477,0))&amp;"","")</f>
        <v>No</v>
      </c>
      <c r="J2685" s="10" t="s">
        <v>52</v>
      </c>
      <c r="K2685" s="8" t="s">
        <v>6310</v>
      </c>
    </row>
    <row r="2686" customFormat="false" ht="34.5" hidden="false" customHeight="true" outlineLevel="0" collapsed="false">
      <c r="A2686" s="10" t="s">
        <v>6313</v>
      </c>
      <c r="B2686" s="10" t="s">
        <v>45</v>
      </c>
      <c r="C2686" s="8" t="s">
        <v>6308</v>
      </c>
      <c r="D2686" s="8" t="s">
        <v>6314</v>
      </c>
      <c r="E2686" s="11" t="n">
        <v>90</v>
      </c>
      <c r="F2686" s="8" t="str">
        <f aca="false">IFERROR(INDEX(Section_Master!$D$2:$D$477,MATCH($E2686,Section_Master!$A$2:$A$477,0))&amp;"","")</f>
        <v>Imprisonment up to 10 years and fine; life or the same term if done without the woman's consent [s.90]</v>
      </c>
      <c r="G2686" s="10" t="str">
        <f aca="false">IFERROR(INDEX(Section_Master!$E$2:$E$477,MATCH($E2686,Section_Master!$A$2:$A$477,0))&amp;"","")</f>
        <v>Yes</v>
      </c>
      <c r="H2686" s="10" t="str">
        <f aca="false">IFERROR(INDEX(Section_Master!$F$2:$F$477,MATCH($E2686,Section_Master!$A$2:$A$477,0))&amp;"","")</f>
        <v>No</v>
      </c>
      <c r="I2686" s="10" t="str">
        <f aca="false">IFERROR(INDEX(Section_Master!$G$2:$G$477,MATCH($E2686,Section_Master!$A$2:$A$477,0))&amp;"","")</f>
        <v>No</v>
      </c>
      <c r="J2686" s="10" t="s">
        <v>55</v>
      </c>
      <c r="K2686" s="8" t="s">
        <v>6310</v>
      </c>
    </row>
    <row r="2687" customFormat="false" ht="23.25" hidden="false" customHeight="true" outlineLevel="0" collapsed="false">
      <c r="A2687" s="10" t="s">
        <v>6315</v>
      </c>
      <c r="B2687" s="10" t="s">
        <v>45</v>
      </c>
      <c r="C2687" s="8" t="s">
        <v>6308</v>
      </c>
      <c r="D2687" s="8" t="s">
        <v>6316</v>
      </c>
      <c r="E2687" s="11" t="n">
        <v>90</v>
      </c>
      <c r="F2687" s="8" t="str">
        <f aca="false">IFERROR(INDEX(Section_Master!$D$2:$D$477,MATCH($E2687,Section_Master!$A$2:$A$477,0))&amp;"","")</f>
        <v>Imprisonment up to 10 years and fine; life or the same term if done without the woman's consent [s.90]</v>
      </c>
      <c r="G2687" s="10" t="str">
        <f aca="false">IFERROR(INDEX(Section_Master!$E$2:$E$477,MATCH($E2687,Section_Master!$A$2:$A$477,0))&amp;"","")</f>
        <v>Yes</v>
      </c>
      <c r="H2687" s="10" t="str">
        <f aca="false">IFERROR(INDEX(Section_Master!$F$2:$F$477,MATCH($E2687,Section_Master!$A$2:$A$477,0))&amp;"","")</f>
        <v>No</v>
      </c>
      <c r="I2687" s="10" t="str">
        <f aca="false">IFERROR(INDEX(Section_Master!$G$2:$G$477,MATCH($E2687,Section_Master!$A$2:$A$477,0))&amp;"","")</f>
        <v>No</v>
      </c>
      <c r="J2687" s="10" t="s">
        <v>58</v>
      </c>
      <c r="K2687" s="8" t="s">
        <v>6310</v>
      </c>
    </row>
    <row r="2688" customFormat="false" ht="34.5" hidden="false" customHeight="true" outlineLevel="0" collapsed="false">
      <c r="A2688" s="10" t="s">
        <v>6317</v>
      </c>
      <c r="B2688" s="10" t="s">
        <v>45</v>
      </c>
      <c r="C2688" s="8" t="s">
        <v>6308</v>
      </c>
      <c r="D2688" s="8" t="s">
        <v>6318</v>
      </c>
      <c r="E2688" s="11" t="n">
        <v>90</v>
      </c>
      <c r="F2688" s="8" t="str">
        <f aca="false">IFERROR(INDEX(Section_Master!$D$2:$D$477,MATCH($E2688,Section_Master!$A$2:$A$477,0))&amp;"","")</f>
        <v>Imprisonment up to 10 years and fine; life or the same term if done without the woman's consent [s.90]</v>
      </c>
      <c r="G2688" s="10" t="str">
        <f aca="false">IFERROR(INDEX(Section_Master!$E$2:$E$477,MATCH($E2688,Section_Master!$A$2:$A$477,0))&amp;"","")</f>
        <v>Yes</v>
      </c>
      <c r="H2688" s="10" t="str">
        <f aca="false">IFERROR(INDEX(Section_Master!$F$2:$F$477,MATCH($E2688,Section_Master!$A$2:$A$477,0))&amp;"","")</f>
        <v>No</v>
      </c>
      <c r="I2688" s="10" t="str">
        <f aca="false">IFERROR(INDEX(Section_Master!$G$2:$G$477,MATCH($E2688,Section_Master!$A$2:$A$477,0))&amp;"","")</f>
        <v>No</v>
      </c>
      <c r="J2688" s="10" t="s">
        <v>61</v>
      </c>
      <c r="K2688" s="8" t="s">
        <v>6310</v>
      </c>
    </row>
    <row r="2689" customFormat="false" ht="34.5" hidden="false" customHeight="true" outlineLevel="0" collapsed="false">
      <c r="A2689" s="10" t="s">
        <v>6319</v>
      </c>
      <c r="B2689" s="10" t="s">
        <v>45</v>
      </c>
      <c r="C2689" s="8" t="s">
        <v>6308</v>
      </c>
      <c r="D2689" s="8" t="s">
        <v>6320</v>
      </c>
      <c r="E2689" s="11" t="n">
        <v>90</v>
      </c>
      <c r="F2689" s="8" t="str">
        <f aca="false">IFERROR(INDEX(Section_Master!$D$2:$D$477,MATCH($E2689,Section_Master!$A$2:$A$477,0))&amp;"","")</f>
        <v>Imprisonment up to 10 years and fine; life or the same term if done without the woman's consent [s.90]</v>
      </c>
      <c r="G2689" s="10" t="str">
        <f aca="false">IFERROR(INDEX(Section_Master!$E$2:$E$477,MATCH($E2689,Section_Master!$A$2:$A$477,0))&amp;"","")</f>
        <v>Yes</v>
      </c>
      <c r="H2689" s="10" t="str">
        <f aca="false">IFERROR(INDEX(Section_Master!$F$2:$F$477,MATCH($E2689,Section_Master!$A$2:$A$477,0))&amp;"","")</f>
        <v>No</v>
      </c>
      <c r="I2689" s="10" t="str">
        <f aca="false">IFERROR(INDEX(Section_Master!$G$2:$G$477,MATCH($E2689,Section_Master!$A$2:$A$477,0))&amp;"","")</f>
        <v>No</v>
      </c>
      <c r="J2689" s="10" t="s">
        <v>64</v>
      </c>
      <c r="K2689" s="8" t="s">
        <v>6310</v>
      </c>
    </row>
    <row r="2690" customFormat="false" ht="34.5" hidden="false" customHeight="true" outlineLevel="0" collapsed="false">
      <c r="A2690" s="10" t="s">
        <v>6321</v>
      </c>
      <c r="B2690" s="10" t="s">
        <v>45</v>
      </c>
      <c r="C2690" s="8" t="s">
        <v>6322</v>
      </c>
      <c r="D2690" s="8" t="s">
        <v>6323</v>
      </c>
      <c r="E2690" s="11" t="n">
        <v>91</v>
      </c>
      <c r="F2690" s="8" t="str">
        <f aca="false">IFERROR(INDEX(Section_Master!$D$2:$D$477,MATCH($E2690,Section_Master!$A$2:$A$477,0))&amp;"","")</f>
        <v>Imprisonment up to 10 years, or fine, or both</v>
      </c>
      <c r="G2690" s="10" t="str">
        <f aca="false">IFERROR(INDEX(Section_Master!$E$2:$E$477,MATCH($E2690,Section_Master!$A$2:$A$477,0))&amp;"","")</f>
        <v>Yes</v>
      </c>
      <c r="H2690" s="10" t="str">
        <f aca="false">IFERROR(INDEX(Section_Master!$F$2:$F$477,MATCH($E2690,Section_Master!$A$2:$A$477,0))&amp;"","")</f>
        <v>No</v>
      </c>
      <c r="I2690" s="10" t="str">
        <f aca="false">IFERROR(INDEX(Section_Master!$G$2:$G$477,MATCH($E2690,Section_Master!$A$2:$A$477,0))&amp;"","")</f>
        <v>No</v>
      </c>
      <c r="J2690" s="10" t="s">
        <v>48</v>
      </c>
      <c r="K2690" s="8" t="s">
        <v>6324</v>
      </c>
    </row>
    <row r="2691" customFormat="false" ht="34.5" hidden="false" customHeight="true" outlineLevel="0" collapsed="false">
      <c r="A2691" s="10" t="s">
        <v>6325</v>
      </c>
      <c r="B2691" s="10" t="s">
        <v>45</v>
      </c>
      <c r="C2691" s="8" t="s">
        <v>6322</v>
      </c>
      <c r="D2691" s="8" t="s">
        <v>6326</v>
      </c>
      <c r="E2691" s="11" t="n">
        <v>91</v>
      </c>
      <c r="F2691" s="8" t="str">
        <f aca="false">IFERROR(INDEX(Section_Master!$D$2:$D$477,MATCH($E2691,Section_Master!$A$2:$A$477,0))&amp;"","")</f>
        <v>Imprisonment up to 10 years, or fine, or both</v>
      </c>
      <c r="G2691" s="10" t="str">
        <f aca="false">IFERROR(INDEX(Section_Master!$E$2:$E$477,MATCH($E2691,Section_Master!$A$2:$A$477,0))&amp;"","")</f>
        <v>Yes</v>
      </c>
      <c r="H2691" s="10" t="str">
        <f aca="false">IFERROR(INDEX(Section_Master!$F$2:$F$477,MATCH($E2691,Section_Master!$A$2:$A$477,0))&amp;"","")</f>
        <v>No</v>
      </c>
      <c r="I2691" s="10" t="str">
        <f aca="false">IFERROR(INDEX(Section_Master!$G$2:$G$477,MATCH($E2691,Section_Master!$A$2:$A$477,0))&amp;"","")</f>
        <v>No</v>
      </c>
      <c r="J2691" s="10" t="s">
        <v>52</v>
      </c>
      <c r="K2691" s="8" t="s">
        <v>6324</v>
      </c>
    </row>
    <row r="2692" customFormat="false" ht="23.25" hidden="false" customHeight="true" outlineLevel="0" collapsed="false">
      <c r="A2692" s="10" t="s">
        <v>6327</v>
      </c>
      <c r="B2692" s="10" t="s">
        <v>45</v>
      </c>
      <c r="C2692" s="8" t="s">
        <v>6322</v>
      </c>
      <c r="D2692" s="8" t="s">
        <v>6328</v>
      </c>
      <c r="E2692" s="11" t="n">
        <v>91</v>
      </c>
      <c r="F2692" s="8" t="str">
        <f aca="false">IFERROR(INDEX(Section_Master!$D$2:$D$477,MATCH($E2692,Section_Master!$A$2:$A$477,0))&amp;"","")</f>
        <v>Imprisonment up to 10 years, or fine, or both</v>
      </c>
      <c r="G2692" s="10" t="str">
        <f aca="false">IFERROR(INDEX(Section_Master!$E$2:$E$477,MATCH($E2692,Section_Master!$A$2:$A$477,0))&amp;"","")</f>
        <v>Yes</v>
      </c>
      <c r="H2692" s="10" t="str">
        <f aca="false">IFERROR(INDEX(Section_Master!$F$2:$F$477,MATCH($E2692,Section_Master!$A$2:$A$477,0))&amp;"","")</f>
        <v>No</v>
      </c>
      <c r="I2692" s="10" t="str">
        <f aca="false">IFERROR(INDEX(Section_Master!$G$2:$G$477,MATCH($E2692,Section_Master!$A$2:$A$477,0))&amp;"","")</f>
        <v>No</v>
      </c>
      <c r="J2692" s="10" t="s">
        <v>55</v>
      </c>
      <c r="K2692" s="8" t="s">
        <v>6324</v>
      </c>
    </row>
    <row r="2693" customFormat="false" ht="23.25" hidden="false" customHeight="true" outlineLevel="0" collapsed="false">
      <c r="A2693" s="10" t="s">
        <v>6329</v>
      </c>
      <c r="B2693" s="10" t="s">
        <v>45</v>
      </c>
      <c r="C2693" s="8" t="s">
        <v>6322</v>
      </c>
      <c r="D2693" s="8" t="s">
        <v>6330</v>
      </c>
      <c r="E2693" s="11" t="n">
        <v>91</v>
      </c>
      <c r="F2693" s="8" t="str">
        <f aca="false">IFERROR(INDEX(Section_Master!$D$2:$D$477,MATCH($E2693,Section_Master!$A$2:$A$477,0))&amp;"","")</f>
        <v>Imprisonment up to 10 years, or fine, or both</v>
      </c>
      <c r="G2693" s="10" t="str">
        <f aca="false">IFERROR(INDEX(Section_Master!$E$2:$E$477,MATCH($E2693,Section_Master!$A$2:$A$477,0))&amp;"","")</f>
        <v>Yes</v>
      </c>
      <c r="H2693" s="10" t="str">
        <f aca="false">IFERROR(INDEX(Section_Master!$F$2:$F$477,MATCH($E2693,Section_Master!$A$2:$A$477,0))&amp;"","")</f>
        <v>No</v>
      </c>
      <c r="I2693" s="10" t="str">
        <f aca="false">IFERROR(INDEX(Section_Master!$G$2:$G$477,MATCH($E2693,Section_Master!$A$2:$A$477,0))&amp;"","")</f>
        <v>No</v>
      </c>
      <c r="J2693" s="10" t="s">
        <v>58</v>
      </c>
      <c r="K2693" s="8" t="s">
        <v>6324</v>
      </c>
    </row>
    <row r="2694" customFormat="false" ht="23.25" hidden="false" customHeight="true" outlineLevel="0" collapsed="false">
      <c r="A2694" s="10" t="s">
        <v>6331</v>
      </c>
      <c r="B2694" s="10" t="s">
        <v>45</v>
      </c>
      <c r="C2694" s="8" t="s">
        <v>6322</v>
      </c>
      <c r="D2694" s="8" t="s">
        <v>6332</v>
      </c>
      <c r="E2694" s="11" t="n">
        <v>91</v>
      </c>
      <c r="F2694" s="8" t="str">
        <f aca="false">IFERROR(INDEX(Section_Master!$D$2:$D$477,MATCH($E2694,Section_Master!$A$2:$A$477,0))&amp;"","")</f>
        <v>Imprisonment up to 10 years, or fine, or both</v>
      </c>
      <c r="G2694" s="10" t="str">
        <f aca="false">IFERROR(INDEX(Section_Master!$E$2:$E$477,MATCH($E2694,Section_Master!$A$2:$A$477,0))&amp;"","")</f>
        <v>Yes</v>
      </c>
      <c r="H2694" s="10" t="str">
        <f aca="false">IFERROR(INDEX(Section_Master!$F$2:$F$477,MATCH($E2694,Section_Master!$A$2:$A$477,0))&amp;"","")</f>
        <v>No</v>
      </c>
      <c r="I2694" s="10" t="str">
        <f aca="false">IFERROR(INDEX(Section_Master!$G$2:$G$477,MATCH($E2694,Section_Master!$A$2:$A$477,0))&amp;"","")</f>
        <v>No</v>
      </c>
      <c r="J2694" s="10" t="s">
        <v>61</v>
      </c>
      <c r="K2694" s="8" t="s">
        <v>6324</v>
      </c>
    </row>
    <row r="2695" customFormat="false" ht="34.5" hidden="false" customHeight="true" outlineLevel="0" collapsed="false">
      <c r="A2695" s="10" t="s">
        <v>6333</v>
      </c>
      <c r="B2695" s="10" t="s">
        <v>45</v>
      </c>
      <c r="C2695" s="8" t="s">
        <v>6322</v>
      </c>
      <c r="D2695" s="8" t="s">
        <v>6334</v>
      </c>
      <c r="E2695" s="11" t="n">
        <v>91</v>
      </c>
      <c r="F2695" s="8" t="str">
        <f aca="false">IFERROR(INDEX(Section_Master!$D$2:$D$477,MATCH($E2695,Section_Master!$A$2:$A$477,0))&amp;"","")</f>
        <v>Imprisonment up to 10 years, or fine, or both</v>
      </c>
      <c r="G2695" s="10" t="str">
        <f aca="false">IFERROR(INDEX(Section_Master!$E$2:$E$477,MATCH($E2695,Section_Master!$A$2:$A$477,0))&amp;"","")</f>
        <v>Yes</v>
      </c>
      <c r="H2695" s="10" t="str">
        <f aca="false">IFERROR(INDEX(Section_Master!$F$2:$F$477,MATCH($E2695,Section_Master!$A$2:$A$477,0))&amp;"","")</f>
        <v>No</v>
      </c>
      <c r="I2695" s="10" t="str">
        <f aca="false">IFERROR(INDEX(Section_Master!$G$2:$G$477,MATCH($E2695,Section_Master!$A$2:$A$477,0))&amp;"","")</f>
        <v>No</v>
      </c>
      <c r="J2695" s="10" t="s">
        <v>64</v>
      </c>
      <c r="K2695" s="8" t="s">
        <v>6324</v>
      </c>
    </row>
    <row r="2696" customFormat="false" ht="34.5" hidden="false" customHeight="true" outlineLevel="0" collapsed="false">
      <c r="A2696" s="10" t="s">
        <v>6335</v>
      </c>
      <c r="B2696" s="10" t="s">
        <v>45</v>
      </c>
      <c r="C2696" s="8" t="s">
        <v>6336</v>
      </c>
      <c r="D2696" s="8" t="s">
        <v>6337</v>
      </c>
      <c r="E2696" s="11" t="n">
        <v>92</v>
      </c>
      <c r="F2696" s="8" t="str">
        <f aca="false">IFERROR(INDEX(Section_Master!$D$2:$D$477,MATCH($E2696,Section_Master!$A$2:$A$477,0))&amp;"","")</f>
        <v>Imprisonment up to 10 years and fine</v>
      </c>
      <c r="G2696" s="10" t="str">
        <f aca="false">IFERROR(INDEX(Section_Master!$E$2:$E$477,MATCH($E2696,Section_Master!$A$2:$A$477,0))&amp;"","")</f>
        <v>Yes</v>
      </c>
      <c r="H2696" s="10" t="str">
        <f aca="false">IFERROR(INDEX(Section_Master!$F$2:$F$477,MATCH($E2696,Section_Master!$A$2:$A$477,0))&amp;"","")</f>
        <v>No</v>
      </c>
      <c r="I2696" s="10" t="str">
        <f aca="false">IFERROR(INDEX(Section_Master!$G$2:$G$477,MATCH($E2696,Section_Master!$A$2:$A$477,0))&amp;"","")</f>
        <v>No</v>
      </c>
      <c r="J2696" s="10" t="s">
        <v>48</v>
      </c>
      <c r="K2696" s="8" t="s">
        <v>6338</v>
      </c>
    </row>
    <row r="2697" customFormat="false" ht="34.5" hidden="false" customHeight="true" outlineLevel="0" collapsed="false">
      <c r="A2697" s="10" t="s">
        <v>6339</v>
      </c>
      <c r="B2697" s="10" t="s">
        <v>45</v>
      </c>
      <c r="C2697" s="8" t="s">
        <v>6336</v>
      </c>
      <c r="D2697" s="8" t="s">
        <v>6340</v>
      </c>
      <c r="E2697" s="11" t="n">
        <v>92</v>
      </c>
      <c r="F2697" s="8" t="str">
        <f aca="false">IFERROR(INDEX(Section_Master!$D$2:$D$477,MATCH($E2697,Section_Master!$A$2:$A$477,0))&amp;"","")</f>
        <v>Imprisonment up to 10 years and fine</v>
      </c>
      <c r="G2697" s="10" t="str">
        <f aca="false">IFERROR(INDEX(Section_Master!$E$2:$E$477,MATCH($E2697,Section_Master!$A$2:$A$477,0))&amp;"","")</f>
        <v>Yes</v>
      </c>
      <c r="H2697" s="10" t="str">
        <f aca="false">IFERROR(INDEX(Section_Master!$F$2:$F$477,MATCH($E2697,Section_Master!$A$2:$A$477,0))&amp;"","")</f>
        <v>No</v>
      </c>
      <c r="I2697" s="10" t="str">
        <f aca="false">IFERROR(INDEX(Section_Master!$G$2:$G$477,MATCH($E2697,Section_Master!$A$2:$A$477,0))&amp;"","")</f>
        <v>No</v>
      </c>
      <c r="J2697" s="10" t="s">
        <v>52</v>
      </c>
      <c r="K2697" s="8" t="s">
        <v>6338</v>
      </c>
    </row>
    <row r="2698" customFormat="false" ht="23.25" hidden="false" customHeight="true" outlineLevel="0" collapsed="false">
      <c r="A2698" s="10" t="s">
        <v>6341</v>
      </c>
      <c r="B2698" s="10" t="s">
        <v>45</v>
      </c>
      <c r="C2698" s="8" t="s">
        <v>6336</v>
      </c>
      <c r="D2698" s="8" t="s">
        <v>6342</v>
      </c>
      <c r="E2698" s="11" t="n">
        <v>92</v>
      </c>
      <c r="F2698" s="8" t="str">
        <f aca="false">IFERROR(INDEX(Section_Master!$D$2:$D$477,MATCH($E2698,Section_Master!$A$2:$A$477,0))&amp;"","")</f>
        <v>Imprisonment up to 10 years and fine</v>
      </c>
      <c r="G2698" s="10" t="str">
        <f aca="false">IFERROR(INDEX(Section_Master!$E$2:$E$477,MATCH($E2698,Section_Master!$A$2:$A$477,0))&amp;"","")</f>
        <v>Yes</v>
      </c>
      <c r="H2698" s="10" t="str">
        <f aca="false">IFERROR(INDEX(Section_Master!$F$2:$F$477,MATCH($E2698,Section_Master!$A$2:$A$477,0))&amp;"","")</f>
        <v>No</v>
      </c>
      <c r="I2698" s="10" t="str">
        <f aca="false">IFERROR(INDEX(Section_Master!$G$2:$G$477,MATCH($E2698,Section_Master!$A$2:$A$477,0))&amp;"","")</f>
        <v>No</v>
      </c>
      <c r="J2698" s="10" t="s">
        <v>55</v>
      </c>
      <c r="K2698" s="8" t="s">
        <v>6338</v>
      </c>
    </row>
    <row r="2699" customFormat="false" ht="23.25" hidden="false" customHeight="true" outlineLevel="0" collapsed="false">
      <c r="A2699" s="10" t="s">
        <v>6343</v>
      </c>
      <c r="B2699" s="10" t="s">
        <v>45</v>
      </c>
      <c r="C2699" s="8" t="s">
        <v>6336</v>
      </c>
      <c r="D2699" s="8" t="s">
        <v>6344</v>
      </c>
      <c r="E2699" s="11" t="n">
        <v>92</v>
      </c>
      <c r="F2699" s="8" t="str">
        <f aca="false">IFERROR(INDEX(Section_Master!$D$2:$D$477,MATCH($E2699,Section_Master!$A$2:$A$477,0))&amp;"","")</f>
        <v>Imprisonment up to 10 years and fine</v>
      </c>
      <c r="G2699" s="10" t="str">
        <f aca="false">IFERROR(INDEX(Section_Master!$E$2:$E$477,MATCH($E2699,Section_Master!$A$2:$A$477,0))&amp;"","")</f>
        <v>Yes</v>
      </c>
      <c r="H2699" s="10" t="str">
        <f aca="false">IFERROR(INDEX(Section_Master!$F$2:$F$477,MATCH($E2699,Section_Master!$A$2:$A$477,0))&amp;"","")</f>
        <v>No</v>
      </c>
      <c r="I2699" s="10" t="str">
        <f aca="false">IFERROR(INDEX(Section_Master!$G$2:$G$477,MATCH($E2699,Section_Master!$A$2:$A$477,0))&amp;"","")</f>
        <v>No</v>
      </c>
      <c r="J2699" s="10" t="s">
        <v>58</v>
      </c>
      <c r="K2699" s="8" t="s">
        <v>6338</v>
      </c>
    </row>
    <row r="2700" customFormat="false" ht="23.25" hidden="false" customHeight="true" outlineLevel="0" collapsed="false">
      <c r="A2700" s="10" t="s">
        <v>6345</v>
      </c>
      <c r="B2700" s="10" t="s">
        <v>45</v>
      </c>
      <c r="C2700" s="8" t="s">
        <v>6336</v>
      </c>
      <c r="D2700" s="8" t="s">
        <v>6346</v>
      </c>
      <c r="E2700" s="11" t="n">
        <v>92</v>
      </c>
      <c r="F2700" s="8" t="str">
        <f aca="false">IFERROR(INDEX(Section_Master!$D$2:$D$477,MATCH($E2700,Section_Master!$A$2:$A$477,0))&amp;"","")</f>
        <v>Imprisonment up to 10 years and fine</v>
      </c>
      <c r="G2700" s="10" t="str">
        <f aca="false">IFERROR(INDEX(Section_Master!$E$2:$E$477,MATCH($E2700,Section_Master!$A$2:$A$477,0))&amp;"","")</f>
        <v>Yes</v>
      </c>
      <c r="H2700" s="10" t="str">
        <f aca="false">IFERROR(INDEX(Section_Master!$F$2:$F$477,MATCH($E2700,Section_Master!$A$2:$A$477,0))&amp;"","")</f>
        <v>No</v>
      </c>
      <c r="I2700" s="10" t="str">
        <f aca="false">IFERROR(INDEX(Section_Master!$G$2:$G$477,MATCH($E2700,Section_Master!$A$2:$A$477,0))&amp;"","")</f>
        <v>No</v>
      </c>
      <c r="J2700" s="10" t="s">
        <v>61</v>
      </c>
      <c r="K2700" s="8" t="s">
        <v>6338</v>
      </c>
    </row>
    <row r="2701" customFormat="false" ht="34.5" hidden="false" customHeight="true" outlineLevel="0" collapsed="false">
      <c r="A2701" s="10" t="s">
        <v>6347</v>
      </c>
      <c r="B2701" s="10" t="s">
        <v>45</v>
      </c>
      <c r="C2701" s="8" t="s">
        <v>6336</v>
      </c>
      <c r="D2701" s="8" t="s">
        <v>6348</v>
      </c>
      <c r="E2701" s="11" t="n">
        <v>92</v>
      </c>
      <c r="F2701" s="8" t="str">
        <f aca="false">IFERROR(INDEX(Section_Master!$D$2:$D$477,MATCH($E2701,Section_Master!$A$2:$A$477,0))&amp;"","")</f>
        <v>Imprisonment up to 10 years and fine</v>
      </c>
      <c r="G2701" s="10" t="str">
        <f aca="false">IFERROR(INDEX(Section_Master!$E$2:$E$477,MATCH($E2701,Section_Master!$A$2:$A$477,0))&amp;"","")</f>
        <v>Yes</v>
      </c>
      <c r="H2701" s="10" t="str">
        <f aca="false">IFERROR(INDEX(Section_Master!$F$2:$F$477,MATCH($E2701,Section_Master!$A$2:$A$477,0))&amp;"","")</f>
        <v>No</v>
      </c>
      <c r="I2701" s="10" t="str">
        <f aca="false">IFERROR(INDEX(Section_Master!$G$2:$G$477,MATCH($E2701,Section_Master!$A$2:$A$477,0))&amp;"","")</f>
        <v>No</v>
      </c>
      <c r="J2701" s="10" t="s">
        <v>64</v>
      </c>
      <c r="K2701" s="8" t="s">
        <v>6338</v>
      </c>
    </row>
    <row r="2702" customFormat="false" ht="34.5" hidden="false" customHeight="true" outlineLevel="0" collapsed="false">
      <c r="A2702" s="10" t="s">
        <v>6349</v>
      </c>
      <c r="B2702" s="10" t="s">
        <v>45</v>
      </c>
      <c r="C2702" s="8" t="s">
        <v>6350</v>
      </c>
      <c r="D2702" s="8" t="s">
        <v>6351</v>
      </c>
      <c r="E2702" s="11" t="n">
        <v>93</v>
      </c>
      <c r="F2702" s="8" t="str">
        <f aca="false">IFERROR(INDEX(Section_Master!$D$2:$D$477,MATCH($E2702,Section_Master!$A$2:$A$477,0))&amp;"","")</f>
        <v>Imprisonment up to 7 years, or fine, or both</v>
      </c>
      <c r="G2702" s="10" t="str">
        <f aca="false">IFERROR(INDEX(Section_Master!$E$2:$E$477,MATCH($E2702,Section_Master!$A$2:$A$477,0))&amp;"","")</f>
        <v>Yes</v>
      </c>
      <c r="H2702" s="10" t="str">
        <f aca="false">IFERROR(INDEX(Section_Master!$F$2:$F$477,MATCH($E2702,Section_Master!$A$2:$A$477,0))&amp;"","")</f>
        <v>Yes</v>
      </c>
      <c r="I2702" s="10" t="str">
        <f aca="false">IFERROR(INDEX(Section_Master!$G$2:$G$477,MATCH($E2702,Section_Master!$A$2:$A$477,0))&amp;"","")</f>
        <v>No</v>
      </c>
      <c r="J2702" s="10" t="s">
        <v>48</v>
      </c>
      <c r="K2702" s="8" t="s">
        <v>6352</v>
      </c>
    </row>
    <row r="2703" customFormat="false" ht="34.5" hidden="false" customHeight="true" outlineLevel="0" collapsed="false">
      <c r="A2703" s="10" t="s">
        <v>6353</v>
      </c>
      <c r="B2703" s="10" t="s">
        <v>45</v>
      </c>
      <c r="C2703" s="8" t="s">
        <v>6350</v>
      </c>
      <c r="D2703" s="8" t="s">
        <v>6354</v>
      </c>
      <c r="E2703" s="11" t="n">
        <v>93</v>
      </c>
      <c r="F2703" s="8" t="str">
        <f aca="false">IFERROR(INDEX(Section_Master!$D$2:$D$477,MATCH($E2703,Section_Master!$A$2:$A$477,0))&amp;"","")</f>
        <v>Imprisonment up to 7 years, or fine, or both</v>
      </c>
      <c r="G2703" s="10" t="str">
        <f aca="false">IFERROR(INDEX(Section_Master!$E$2:$E$477,MATCH($E2703,Section_Master!$A$2:$A$477,0))&amp;"","")</f>
        <v>Yes</v>
      </c>
      <c r="H2703" s="10" t="str">
        <f aca="false">IFERROR(INDEX(Section_Master!$F$2:$F$477,MATCH($E2703,Section_Master!$A$2:$A$477,0))&amp;"","")</f>
        <v>Yes</v>
      </c>
      <c r="I2703" s="10" t="str">
        <f aca="false">IFERROR(INDEX(Section_Master!$G$2:$G$477,MATCH($E2703,Section_Master!$A$2:$A$477,0))&amp;"","")</f>
        <v>No</v>
      </c>
      <c r="J2703" s="10" t="s">
        <v>52</v>
      </c>
      <c r="K2703" s="8" t="s">
        <v>6352</v>
      </c>
    </row>
    <row r="2704" customFormat="false" ht="34.5" hidden="false" customHeight="true" outlineLevel="0" collapsed="false">
      <c r="A2704" s="10" t="s">
        <v>6355</v>
      </c>
      <c r="B2704" s="10" t="s">
        <v>45</v>
      </c>
      <c r="C2704" s="8" t="s">
        <v>6350</v>
      </c>
      <c r="D2704" s="8" t="s">
        <v>6356</v>
      </c>
      <c r="E2704" s="11" t="n">
        <v>93</v>
      </c>
      <c r="F2704" s="8" t="str">
        <f aca="false">IFERROR(INDEX(Section_Master!$D$2:$D$477,MATCH($E2704,Section_Master!$A$2:$A$477,0))&amp;"","")</f>
        <v>Imprisonment up to 7 years, or fine, or both</v>
      </c>
      <c r="G2704" s="10" t="str">
        <f aca="false">IFERROR(INDEX(Section_Master!$E$2:$E$477,MATCH($E2704,Section_Master!$A$2:$A$477,0))&amp;"","")</f>
        <v>Yes</v>
      </c>
      <c r="H2704" s="10" t="str">
        <f aca="false">IFERROR(INDEX(Section_Master!$F$2:$F$477,MATCH($E2704,Section_Master!$A$2:$A$477,0))&amp;"","")</f>
        <v>Yes</v>
      </c>
      <c r="I2704" s="10" t="str">
        <f aca="false">IFERROR(INDEX(Section_Master!$G$2:$G$477,MATCH($E2704,Section_Master!$A$2:$A$477,0))&amp;"","")</f>
        <v>No</v>
      </c>
      <c r="J2704" s="10" t="s">
        <v>55</v>
      </c>
      <c r="K2704" s="8" t="s">
        <v>6352</v>
      </c>
    </row>
    <row r="2705" customFormat="false" ht="34.5" hidden="false" customHeight="true" outlineLevel="0" collapsed="false">
      <c r="A2705" s="10" t="s">
        <v>6357</v>
      </c>
      <c r="B2705" s="10" t="s">
        <v>45</v>
      </c>
      <c r="C2705" s="8" t="s">
        <v>6350</v>
      </c>
      <c r="D2705" s="8" t="s">
        <v>6358</v>
      </c>
      <c r="E2705" s="11" t="n">
        <v>93</v>
      </c>
      <c r="F2705" s="8" t="str">
        <f aca="false">IFERROR(INDEX(Section_Master!$D$2:$D$477,MATCH($E2705,Section_Master!$A$2:$A$477,0))&amp;"","")</f>
        <v>Imprisonment up to 7 years, or fine, or both</v>
      </c>
      <c r="G2705" s="10" t="str">
        <f aca="false">IFERROR(INDEX(Section_Master!$E$2:$E$477,MATCH($E2705,Section_Master!$A$2:$A$477,0))&amp;"","")</f>
        <v>Yes</v>
      </c>
      <c r="H2705" s="10" t="str">
        <f aca="false">IFERROR(INDEX(Section_Master!$F$2:$F$477,MATCH($E2705,Section_Master!$A$2:$A$477,0))&amp;"","")</f>
        <v>Yes</v>
      </c>
      <c r="I2705" s="10" t="str">
        <f aca="false">IFERROR(INDEX(Section_Master!$G$2:$G$477,MATCH($E2705,Section_Master!$A$2:$A$477,0))&amp;"","")</f>
        <v>No</v>
      </c>
      <c r="J2705" s="10" t="s">
        <v>58</v>
      </c>
      <c r="K2705" s="8" t="s">
        <v>6352</v>
      </c>
    </row>
    <row r="2706" customFormat="false" ht="34.5" hidden="false" customHeight="true" outlineLevel="0" collapsed="false">
      <c r="A2706" s="10" t="s">
        <v>6359</v>
      </c>
      <c r="B2706" s="10" t="s">
        <v>45</v>
      </c>
      <c r="C2706" s="8" t="s">
        <v>6350</v>
      </c>
      <c r="D2706" s="8" t="s">
        <v>6360</v>
      </c>
      <c r="E2706" s="11" t="n">
        <v>93</v>
      </c>
      <c r="F2706" s="8" t="str">
        <f aca="false">IFERROR(INDEX(Section_Master!$D$2:$D$477,MATCH($E2706,Section_Master!$A$2:$A$477,0))&amp;"","")</f>
        <v>Imprisonment up to 7 years, or fine, or both</v>
      </c>
      <c r="G2706" s="10" t="str">
        <f aca="false">IFERROR(INDEX(Section_Master!$E$2:$E$477,MATCH($E2706,Section_Master!$A$2:$A$477,0))&amp;"","")</f>
        <v>Yes</v>
      </c>
      <c r="H2706" s="10" t="str">
        <f aca="false">IFERROR(INDEX(Section_Master!$F$2:$F$477,MATCH($E2706,Section_Master!$A$2:$A$477,0))&amp;"","")</f>
        <v>Yes</v>
      </c>
      <c r="I2706" s="10" t="str">
        <f aca="false">IFERROR(INDEX(Section_Master!$G$2:$G$477,MATCH($E2706,Section_Master!$A$2:$A$477,0))&amp;"","")</f>
        <v>No</v>
      </c>
      <c r="J2706" s="10" t="s">
        <v>61</v>
      </c>
      <c r="K2706" s="8" t="s">
        <v>6352</v>
      </c>
    </row>
    <row r="2707" customFormat="false" ht="34.5" hidden="false" customHeight="true" outlineLevel="0" collapsed="false">
      <c r="A2707" s="10" t="s">
        <v>6361</v>
      </c>
      <c r="B2707" s="10" t="s">
        <v>45</v>
      </c>
      <c r="C2707" s="8" t="s">
        <v>6350</v>
      </c>
      <c r="D2707" s="8" t="s">
        <v>6362</v>
      </c>
      <c r="E2707" s="11" t="n">
        <v>93</v>
      </c>
      <c r="F2707" s="8" t="str">
        <f aca="false">IFERROR(INDEX(Section_Master!$D$2:$D$477,MATCH($E2707,Section_Master!$A$2:$A$477,0))&amp;"","")</f>
        <v>Imprisonment up to 7 years, or fine, or both</v>
      </c>
      <c r="G2707" s="10" t="str">
        <f aca="false">IFERROR(INDEX(Section_Master!$E$2:$E$477,MATCH($E2707,Section_Master!$A$2:$A$477,0))&amp;"","")</f>
        <v>Yes</v>
      </c>
      <c r="H2707" s="10" t="str">
        <f aca="false">IFERROR(INDEX(Section_Master!$F$2:$F$477,MATCH($E2707,Section_Master!$A$2:$A$477,0))&amp;"","")</f>
        <v>Yes</v>
      </c>
      <c r="I2707" s="10" t="str">
        <f aca="false">IFERROR(INDEX(Section_Master!$G$2:$G$477,MATCH($E2707,Section_Master!$A$2:$A$477,0))&amp;"","")</f>
        <v>No</v>
      </c>
      <c r="J2707" s="10" t="s">
        <v>64</v>
      </c>
      <c r="K2707" s="8" t="s">
        <v>6352</v>
      </c>
    </row>
    <row r="2708" customFormat="false" ht="34.5" hidden="false" customHeight="true" outlineLevel="0" collapsed="false">
      <c r="A2708" s="10" t="s">
        <v>6363</v>
      </c>
      <c r="B2708" s="10" t="s">
        <v>45</v>
      </c>
      <c r="C2708" s="8" t="s">
        <v>6364</v>
      </c>
      <c r="D2708" s="8" t="s">
        <v>6365</v>
      </c>
      <c r="E2708" s="11" t="n">
        <v>94</v>
      </c>
      <c r="F2708" s="8" t="str">
        <f aca="false">IFERROR(INDEX(Section_Master!$D$2:$D$477,MATCH($E2708,Section_Master!$A$2:$A$477,0))&amp;"","")</f>
        <v>Imprisonment up to 2 years, or fine, or both</v>
      </c>
      <c r="G2708" s="10" t="str">
        <f aca="false">IFERROR(INDEX(Section_Master!$E$2:$E$477,MATCH($E2708,Section_Master!$A$2:$A$477,0))&amp;"","")</f>
        <v>No</v>
      </c>
      <c r="H2708" s="10" t="str">
        <f aca="false">IFERROR(INDEX(Section_Master!$F$2:$F$477,MATCH($E2708,Section_Master!$A$2:$A$477,0))&amp;"","")</f>
        <v>Yes</v>
      </c>
      <c r="I2708" s="10" t="str">
        <f aca="false">IFERROR(INDEX(Section_Master!$G$2:$G$477,MATCH($E2708,Section_Master!$A$2:$A$477,0))&amp;"","")</f>
        <v>No</v>
      </c>
      <c r="J2708" s="10" t="s">
        <v>48</v>
      </c>
      <c r="K2708" s="8" t="s">
        <v>6366</v>
      </c>
    </row>
    <row r="2709" customFormat="false" ht="34.5" hidden="false" customHeight="true" outlineLevel="0" collapsed="false">
      <c r="A2709" s="10" t="s">
        <v>6367</v>
      </c>
      <c r="B2709" s="10" t="s">
        <v>45</v>
      </c>
      <c r="C2709" s="8" t="s">
        <v>6364</v>
      </c>
      <c r="D2709" s="8" t="s">
        <v>6368</v>
      </c>
      <c r="E2709" s="11" t="n">
        <v>94</v>
      </c>
      <c r="F2709" s="8" t="str">
        <f aca="false">IFERROR(INDEX(Section_Master!$D$2:$D$477,MATCH($E2709,Section_Master!$A$2:$A$477,0))&amp;"","")</f>
        <v>Imprisonment up to 2 years, or fine, or both</v>
      </c>
      <c r="G2709" s="10" t="str">
        <f aca="false">IFERROR(INDEX(Section_Master!$E$2:$E$477,MATCH($E2709,Section_Master!$A$2:$A$477,0))&amp;"","")</f>
        <v>No</v>
      </c>
      <c r="H2709" s="10" t="str">
        <f aca="false">IFERROR(INDEX(Section_Master!$F$2:$F$477,MATCH($E2709,Section_Master!$A$2:$A$477,0))&amp;"","")</f>
        <v>Yes</v>
      </c>
      <c r="I2709" s="10" t="str">
        <f aca="false">IFERROR(INDEX(Section_Master!$G$2:$G$477,MATCH($E2709,Section_Master!$A$2:$A$477,0))&amp;"","")</f>
        <v>No</v>
      </c>
      <c r="J2709" s="10" t="s">
        <v>52</v>
      </c>
      <c r="K2709" s="8" t="s">
        <v>6366</v>
      </c>
    </row>
    <row r="2710" customFormat="false" ht="23.25" hidden="false" customHeight="true" outlineLevel="0" collapsed="false">
      <c r="A2710" s="10" t="s">
        <v>6369</v>
      </c>
      <c r="B2710" s="10" t="s">
        <v>45</v>
      </c>
      <c r="C2710" s="8" t="s">
        <v>6364</v>
      </c>
      <c r="D2710" s="8" t="s">
        <v>6370</v>
      </c>
      <c r="E2710" s="11" t="n">
        <v>94</v>
      </c>
      <c r="F2710" s="8" t="str">
        <f aca="false">IFERROR(INDEX(Section_Master!$D$2:$D$477,MATCH($E2710,Section_Master!$A$2:$A$477,0))&amp;"","")</f>
        <v>Imprisonment up to 2 years, or fine, or both</v>
      </c>
      <c r="G2710" s="10" t="str">
        <f aca="false">IFERROR(INDEX(Section_Master!$E$2:$E$477,MATCH($E2710,Section_Master!$A$2:$A$477,0))&amp;"","")</f>
        <v>No</v>
      </c>
      <c r="H2710" s="10" t="str">
        <f aca="false">IFERROR(INDEX(Section_Master!$F$2:$F$477,MATCH($E2710,Section_Master!$A$2:$A$477,0))&amp;"","")</f>
        <v>Yes</v>
      </c>
      <c r="I2710" s="10" t="str">
        <f aca="false">IFERROR(INDEX(Section_Master!$G$2:$G$477,MATCH($E2710,Section_Master!$A$2:$A$477,0))&amp;"","")</f>
        <v>No</v>
      </c>
      <c r="J2710" s="10" t="s">
        <v>55</v>
      </c>
      <c r="K2710" s="8" t="s">
        <v>6366</v>
      </c>
    </row>
    <row r="2711" customFormat="false" ht="34.5" hidden="false" customHeight="true" outlineLevel="0" collapsed="false">
      <c r="A2711" s="10" t="s">
        <v>6371</v>
      </c>
      <c r="B2711" s="10" t="s">
        <v>45</v>
      </c>
      <c r="C2711" s="8" t="s">
        <v>6364</v>
      </c>
      <c r="D2711" s="8" t="s">
        <v>6372</v>
      </c>
      <c r="E2711" s="11" t="n">
        <v>94</v>
      </c>
      <c r="F2711" s="8" t="str">
        <f aca="false">IFERROR(INDEX(Section_Master!$D$2:$D$477,MATCH($E2711,Section_Master!$A$2:$A$477,0))&amp;"","")</f>
        <v>Imprisonment up to 2 years, or fine, or both</v>
      </c>
      <c r="G2711" s="10" t="str">
        <f aca="false">IFERROR(INDEX(Section_Master!$E$2:$E$477,MATCH($E2711,Section_Master!$A$2:$A$477,0))&amp;"","")</f>
        <v>No</v>
      </c>
      <c r="H2711" s="10" t="str">
        <f aca="false">IFERROR(INDEX(Section_Master!$F$2:$F$477,MATCH($E2711,Section_Master!$A$2:$A$477,0))&amp;"","")</f>
        <v>Yes</v>
      </c>
      <c r="I2711" s="10" t="str">
        <f aca="false">IFERROR(INDEX(Section_Master!$G$2:$G$477,MATCH($E2711,Section_Master!$A$2:$A$477,0))&amp;"","")</f>
        <v>No</v>
      </c>
      <c r="J2711" s="10" t="s">
        <v>58</v>
      </c>
      <c r="K2711" s="8" t="s">
        <v>6366</v>
      </c>
    </row>
    <row r="2712" customFormat="false" ht="34.5" hidden="false" customHeight="true" outlineLevel="0" collapsed="false">
      <c r="A2712" s="10" t="s">
        <v>6373</v>
      </c>
      <c r="B2712" s="10" t="s">
        <v>45</v>
      </c>
      <c r="C2712" s="8" t="s">
        <v>6364</v>
      </c>
      <c r="D2712" s="8" t="s">
        <v>6374</v>
      </c>
      <c r="E2712" s="11" t="n">
        <v>94</v>
      </c>
      <c r="F2712" s="8" t="str">
        <f aca="false">IFERROR(INDEX(Section_Master!$D$2:$D$477,MATCH($E2712,Section_Master!$A$2:$A$477,0))&amp;"","")</f>
        <v>Imprisonment up to 2 years, or fine, or both</v>
      </c>
      <c r="G2712" s="10" t="str">
        <f aca="false">IFERROR(INDEX(Section_Master!$E$2:$E$477,MATCH($E2712,Section_Master!$A$2:$A$477,0))&amp;"","")</f>
        <v>No</v>
      </c>
      <c r="H2712" s="10" t="str">
        <f aca="false">IFERROR(INDEX(Section_Master!$F$2:$F$477,MATCH($E2712,Section_Master!$A$2:$A$477,0))&amp;"","")</f>
        <v>Yes</v>
      </c>
      <c r="I2712" s="10" t="str">
        <f aca="false">IFERROR(INDEX(Section_Master!$G$2:$G$477,MATCH($E2712,Section_Master!$A$2:$A$477,0))&amp;"","")</f>
        <v>No</v>
      </c>
      <c r="J2712" s="10" t="s">
        <v>61</v>
      </c>
      <c r="K2712" s="8" t="s">
        <v>6366</v>
      </c>
    </row>
    <row r="2713" customFormat="false" ht="34.5" hidden="false" customHeight="true" outlineLevel="0" collapsed="false">
      <c r="A2713" s="10" t="s">
        <v>6375</v>
      </c>
      <c r="B2713" s="10" t="s">
        <v>45</v>
      </c>
      <c r="C2713" s="8" t="s">
        <v>6364</v>
      </c>
      <c r="D2713" s="8" t="s">
        <v>6376</v>
      </c>
      <c r="E2713" s="11" t="n">
        <v>94</v>
      </c>
      <c r="F2713" s="8" t="str">
        <f aca="false">IFERROR(INDEX(Section_Master!$D$2:$D$477,MATCH($E2713,Section_Master!$A$2:$A$477,0))&amp;"","")</f>
        <v>Imprisonment up to 2 years, or fine, or both</v>
      </c>
      <c r="G2713" s="10" t="str">
        <f aca="false">IFERROR(INDEX(Section_Master!$E$2:$E$477,MATCH($E2713,Section_Master!$A$2:$A$477,0))&amp;"","")</f>
        <v>No</v>
      </c>
      <c r="H2713" s="10" t="str">
        <f aca="false">IFERROR(INDEX(Section_Master!$F$2:$F$477,MATCH($E2713,Section_Master!$A$2:$A$477,0))&amp;"","")</f>
        <v>Yes</v>
      </c>
      <c r="I2713" s="10" t="str">
        <f aca="false">IFERROR(INDEX(Section_Master!$G$2:$G$477,MATCH($E2713,Section_Master!$A$2:$A$477,0))&amp;"","")</f>
        <v>No</v>
      </c>
      <c r="J2713" s="10" t="s">
        <v>64</v>
      </c>
      <c r="K2713" s="8" t="s">
        <v>6366</v>
      </c>
    </row>
    <row r="2714" customFormat="false" ht="34.5" hidden="false" customHeight="true" outlineLevel="0" collapsed="false">
      <c r="A2714" s="10" t="s">
        <v>6377</v>
      </c>
      <c r="B2714" s="10" t="s">
        <v>45</v>
      </c>
      <c r="C2714" s="8" t="s">
        <v>6378</v>
      </c>
      <c r="D2714" s="8" t="s">
        <v>6379</v>
      </c>
      <c r="E2714" s="11" t="n">
        <v>95</v>
      </c>
      <c r="F2714" s="8" t="str">
        <f aca="false">IFERROR(INDEX(Section_Master!$D$2:$D$477,MATCH($E2714,Section_Master!$A$2:$A$477,0))&amp;"","")</f>
        <v>Imprisonment not less than 3 years, may extend to 10 years, and fine</v>
      </c>
      <c r="G2714" s="10" t="str">
        <f aca="false">IFERROR(INDEX(Section_Master!$E$2:$E$477,MATCH($E2714,Section_Master!$A$2:$A$477,0))&amp;"","")</f>
        <v>Yes</v>
      </c>
      <c r="H2714" s="10" t="str">
        <f aca="false">IFERROR(INDEX(Section_Master!$F$2:$F$477,MATCH($E2714,Section_Master!$A$2:$A$477,0))&amp;"","")</f>
        <v>No</v>
      </c>
      <c r="I2714" s="10" t="str">
        <f aca="false">IFERROR(INDEX(Section_Master!$G$2:$G$477,MATCH($E2714,Section_Master!$A$2:$A$477,0))&amp;"","")</f>
        <v>No</v>
      </c>
      <c r="J2714" s="10" t="s">
        <v>48</v>
      </c>
      <c r="K2714" s="8" t="s">
        <v>6380</v>
      </c>
    </row>
    <row r="2715" customFormat="false" ht="34.5" hidden="false" customHeight="true" outlineLevel="0" collapsed="false">
      <c r="A2715" s="10" t="s">
        <v>6381</v>
      </c>
      <c r="B2715" s="10" t="s">
        <v>45</v>
      </c>
      <c r="C2715" s="8" t="s">
        <v>6378</v>
      </c>
      <c r="D2715" s="8" t="s">
        <v>6382</v>
      </c>
      <c r="E2715" s="11" t="n">
        <v>95</v>
      </c>
      <c r="F2715" s="8" t="str">
        <f aca="false">IFERROR(INDEX(Section_Master!$D$2:$D$477,MATCH($E2715,Section_Master!$A$2:$A$477,0))&amp;"","")</f>
        <v>Imprisonment not less than 3 years, may extend to 10 years, and fine</v>
      </c>
      <c r="G2715" s="10" t="str">
        <f aca="false">IFERROR(INDEX(Section_Master!$E$2:$E$477,MATCH($E2715,Section_Master!$A$2:$A$477,0))&amp;"","")</f>
        <v>Yes</v>
      </c>
      <c r="H2715" s="10" t="str">
        <f aca="false">IFERROR(INDEX(Section_Master!$F$2:$F$477,MATCH($E2715,Section_Master!$A$2:$A$477,0))&amp;"","")</f>
        <v>No</v>
      </c>
      <c r="I2715" s="10" t="str">
        <f aca="false">IFERROR(INDEX(Section_Master!$G$2:$G$477,MATCH($E2715,Section_Master!$A$2:$A$477,0))&amp;"","")</f>
        <v>No</v>
      </c>
      <c r="J2715" s="10" t="s">
        <v>52</v>
      </c>
      <c r="K2715" s="8" t="s">
        <v>6380</v>
      </c>
    </row>
    <row r="2716" customFormat="false" ht="34.5" hidden="false" customHeight="true" outlineLevel="0" collapsed="false">
      <c r="A2716" s="10" t="s">
        <v>6383</v>
      </c>
      <c r="B2716" s="10" t="s">
        <v>45</v>
      </c>
      <c r="C2716" s="8" t="s">
        <v>6378</v>
      </c>
      <c r="D2716" s="8" t="s">
        <v>6384</v>
      </c>
      <c r="E2716" s="11" t="n">
        <v>95</v>
      </c>
      <c r="F2716" s="8" t="str">
        <f aca="false">IFERROR(INDEX(Section_Master!$D$2:$D$477,MATCH($E2716,Section_Master!$A$2:$A$477,0))&amp;"","")</f>
        <v>Imprisonment not less than 3 years, may extend to 10 years, and fine</v>
      </c>
      <c r="G2716" s="10" t="str">
        <f aca="false">IFERROR(INDEX(Section_Master!$E$2:$E$477,MATCH($E2716,Section_Master!$A$2:$A$477,0))&amp;"","")</f>
        <v>Yes</v>
      </c>
      <c r="H2716" s="10" t="str">
        <f aca="false">IFERROR(INDEX(Section_Master!$F$2:$F$477,MATCH($E2716,Section_Master!$A$2:$A$477,0))&amp;"","")</f>
        <v>No</v>
      </c>
      <c r="I2716" s="10" t="str">
        <f aca="false">IFERROR(INDEX(Section_Master!$G$2:$G$477,MATCH($E2716,Section_Master!$A$2:$A$477,0))&amp;"","")</f>
        <v>No</v>
      </c>
      <c r="J2716" s="10" t="s">
        <v>55</v>
      </c>
      <c r="K2716" s="8" t="s">
        <v>6380</v>
      </c>
    </row>
    <row r="2717" customFormat="false" ht="23.25" hidden="false" customHeight="true" outlineLevel="0" collapsed="false">
      <c r="A2717" s="10" t="s">
        <v>6385</v>
      </c>
      <c r="B2717" s="10" t="s">
        <v>45</v>
      </c>
      <c r="C2717" s="8" t="s">
        <v>6378</v>
      </c>
      <c r="D2717" s="8" t="s">
        <v>6386</v>
      </c>
      <c r="E2717" s="11" t="n">
        <v>95</v>
      </c>
      <c r="F2717" s="8" t="str">
        <f aca="false">IFERROR(INDEX(Section_Master!$D$2:$D$477,MATCH($E2717,Section_Master!$A$2:$A$477,0))&amp;"","")</f>
        <v>Imprisonment not less than 3 years, may extend to 10 years, and fine</v>
      </c>
      <c r="G2717" s="10" t="str">
        <f aca="false">IFERROR(INDEX(Section_Master!$E$2:$E$477,MATCH($E2717,Section_Master!$A$2:$A$477,0))&amp;"","")</f>
        <v>Yes</v>
      </c>
      <c r="H2717" s="10" t="str">
        <f aca="false">IFERROR(INDEX(Section_Master!$F$2:$F$477,MATCH($E2717,Section_Master!$A$2:$A$477,0))&amp;"","")</f>
        <v>No</v>
      </c>
      <c r="I2717" s="10" t="str">
        <f aca="false">IFERROR(INDEX(Section_Master!$G$2:$G$477,MATCH($E2717,Section_Master!$A$2:$A$477,0))&amp;"","")</f>
        <v>No</v>
      </c>
      <c r="J2717" s="10" t="s">
        <v>58</v>
      </c>
      <c r="K2717" s="8" t="s">
        <v>6380</v>
      </c>
    </row>
    <row r="2718" customFormat="false" ht="34.5" hidden="false" customHeight="true" outlineLevel="0" collapsed="false">
      <c r="A2718" s="10" t="s">
        <v>6387</v>
      </c>
      <c r="B2718" s="10" t="s">
        <v>45</v>
      </c>
      <c r="C2718" s="8" t="s">
        <v>6378</v>
      </c>
      <c r="D2718" s="8" t="s">
        <v>6388</v>
      </c>
      <c r="E2718" s="11" t="n">
        <v>95</v>
      </c>
      <c r="F2718" s="8" t="str">
        <f aca="false">IFERROR(INDEX(Section_Master!$D$2:$D$477,MATCH($E2718,Section_Master!$A$2:$A$477,0))&amp;"","")</f>
        <v>Imprisonment not less than 3 years, may extend to 10 years, and fine</v>
      </c>
      <c r="G2718" s="10" t="str">
        <f aca="false">IFERROR(INDEX(Section_Master!$E$2:$E$477,MATCH($E2718,Section_Master!$A$2:$A$477,0))&amp;"","")</f>
        <v>Yes</v>
      </c>
      <c r="H2718" s="10" t="str">
        <f aca="false">IFERROR(INDEX(Section_Master!$F$2:$F$477,MATCH($E2718,Section_Master!$A$2:$A$477,0))&amp;"","")</f>
        <v>No</v>
      </c>
      <c r="I2718" s="10" t="str">
        <f aca="false">IFERROR(INDEX(Section_Master!$G$2:$G$477,MATCH($E2718,Section_Master!$A$2:$A$477,0))&amp;"","")</f>
        <v>No</v>
      </c>
      <c r="J2718" s="10" t="s">
        <v>61</v>
      </c>
      <c r="K2718" s="8" t="s">
        <v>6380</v>
      </c>
    </row>
    <row r="2719" customFormat="false" ht="34.5" hidden="false" customHeight="true" outlineLevel="0" collapsed="false">
      <c r="A2719" s="10" t="s">
        <v>6389</v>
      </c>
      <c r="B2719" s="10" t="s">
        <v>45</v>
      </c>
      <c r="C2719" s="8" t="s">
        <v>6378</v>
      </c>
      <c r="D2719" s="8" t="s">
        <v>6390</v>
      </c>
      <c r="E2719" s="11" t="n">
        <v>95</v>
      </c>
      <c r="F2719" s="8" t="str">
        <f aca="false">IFERROR(INDEX(Section_Master!$D$2:$D$477,MATCH($E2719,Section_Master!$A$2:$A$477,0))&amp;"","")</f>
        <v>Imprisonment not less than 3 years, may extend to 10 years, and fine</v>
      </c>
      <c r="G2719" s="10" t="str">
        <f aca="false">IFERROR(INDEX(Section_Master!$E$2:$E$477,MATCH($E2719,Section_Master!$A$2:$A$477,0))&amp;"","")</f>
        <v>Yes</v>
      </c>
      <c r="H2719" s="10" t="str">
        <f aca="false">IFERROR(INDEX(Section_Master!$F$2:$F$477,MATCH($E2719,Section_Master!$A$2:$A$477,0))&amp;"","")</f>
        <v>No</v>
      </c>
      <c r="I2719" s="10" t="str">
        <f aca="false">IFERROR(INDEX(Section_Master!$G$2:$G$477,MATCH($E2719,Section_Master!$A$2:$A$477,0))&amp;"","")</f>
        <v>No</v>
      </c>
      <c r="J2719" s="10" t="s">
        <v>64</v>
      </c>
      <c r="K2719" s="8" t="s">
        <v>6380</v>
      </c>
    </row>
    <row r="2720" customFormat="false" ht="34.5" hidden="false" customHeight="true" outlineLevel="0" collapsed="false">
      <c r="A2720" s="10" t="s">
        <v>6391</v>
      </c>
      <c r="B2720" s="10" t="s">
        <v>45</v>
      </c>
      <c r="C2720" s="8" t="s">
        <v>6392</v>
      </c>
      <c r="D2720" s="8" t="s">
        <v>6393</v>
      </c>
      <c r="E2720" s="11" t="n">
        <v>96</v>
      </c>
      <c r="F2720" s="8" t="str">
        <f aca="false">IFERROR(INDEX(Section_Master!$D$2:$D$477,MATCH($E2720,Section_Master!$A$2:$A$477,0))&amp;"","")</f>
        <v>Imprisonment up to 10 years and fine</v>
      </c>
      <c r="G2720" s="10" t="str">
        <f aca="false">IFERROR(INDEX(Section_Master!$E$2:$E$477,MATCH($E2720,Section_Master!$A$2:$A$477,0))&amp;"","")</f>
        <v>Yes</v>
      </c>
      <c r="H2720" s="10" t="str">
        <f aca="false">IFERROR(INDEX(Section_Master!$F$2:$F$477,MATCH($E2720,Section_Master!$A$2:$A$477,0))&amp;"","")</f>
        <v>No</v>
      </c>
      <c r="I2720" s="10" t="str">
        <f aca="false">IFERROR(INDEX(Section_Master!$G$2:$G$477,MATCH($E2720,Section_Master!$A$2:$A$477,0))&amp;"","")</f>
        <v>No</v>
      </c>
      <c r="J2720" s="10" t="s">
        <v>48</v>
      </c>
      <c r="K2720" s="8" t="s">
        <v>6394</v>
      </c>
    </row>
    <row r="2721" customFormat="false" ht="34.5" hidden="false" customHeight="true" outlineLevel="0" collapsed="false">
      <c r="A2721" s="10" t="s">
        <v>6395</v>
      </c>
      <c r="B2721" s="10" t="s">
        <v>45</v>
      </c>
      <c r="C2721" s="8" t="s">
        <v>6392</v>
      </c>
      <c r="D2721" s="8" t="s">
        <v>6396</v>
      </c>
      <c r="E2721" s="11" t="n">
        <v>96</v>
      </c>
      <c r="F2721" s="8" t="str">
        <f aca="false">IFERROR(INDEX(Section_Master!$D$2:$D$477,MATCH($E2721,Section_Master!$A$2:$A$477,0))&amp;"","")</f>
        <v>Imprisonment up to 10 years and fine</v>
      </c>
      <c r="G2721" s="10" t="str">
        <f aca="false">IFERROR(INDEX(Section_Master!$E$2:$E$477,MATCH($E2721,Section_Master!$A$2:$A$477,0))&amp;"","")</f>
        <v>Yes</v>
      </c>
      <c r="H2721" s="10" t="str">
        <f aca="false">IFERROR(INDEX(Section_Master!$F$2:$F$477,MATCH($E2721,Section_Master!$A$2:$A$477,0))&amp;"","")</f>
        <v>No</v>
      </c>
      <c r="I2721" s="10" t="str">
        <f aca="false">IFERROR(INDEX(Section_Master!$G$2:$G$477,MATCH($E2721,Section_Master!$A$2:$A$477,0))&amp;"","")</f>
        <v>No</v>
      </c>
      <c r="J2721" s="10" t="s">
        <v>52</v>
      </c>
      <c r="K2721" s="8" t="s">
        <v>6394</v>
      </c>
    </row>
    <row r="2722" customFormat="false" ht="23.25" hidden="false" customHeight="true" outlineLevel="0" collapsed="false">
      <c r="A2722" s="10" t="s">
        <v>6397</v>
      </c>
      <c r="B2722" s="10" t="s">
        <v>45</v>
      </c>
      <c r="C2722" s="8" t="s">
        <v>6392</v>
      </c>
      <c r="D2722" s="8" t="s">
        <v>6398</v>
      </c>
      <c r="E2722" s="11" t="n">
        <v>96</v>
      </c>
      <c r="F2722" s="8" t="str">
        <f aca="false">IFERROR(INDEX(Section_Master!$D$2:$D$477,MATCH($E2722,Section_Master!$A$2:$A$477,0))&amp;"","")</f>
        <v>Imprisonment up to 10 years and fine</v>
      </c>
      <c r="G2722" s="10" t="str">
        <f aca="false">IFERROR(INDEX(Section_Master!$E$2:$E$477,MATCH($E2722,Section_Master!$A$2:$A$477,0))&amp;"","")</f>
        <v>Yes</v>
      </c>
      <c r="H2722" s="10" t="str">
        <f aca="false">IFERROR(INDEX(Section_Master!$F$2:$F$477,MATCH($E2722,Section_Master!$A$2:$A$477,0))&amp;"","")</f>
        <v>No</v>
      </c>
      <c r="I2722" s="10" t="str">
        <f aca="false">IFERROR(INDEX(Section_Master!$G$2:$G$477,MATCH($E2722,Section_Master!$A$2:$A$477,0))&amp;"","")</f>
        <v>No</v>
      </c>
      <c r="J2722" s="10" t="s">
        <v>55</v>
      </c>
      <c r="K2722" s="8" t="s">
        <v>6394</v>
      </c>
    </row>
    <row r="2723" customFormat="false" ht="34.5" hidden="false" customHeight="true" outlineLevel="0" collapsed="false">
      <c r="A2723" s="10" t="s">
        <v>6399</v>
      </c>
      <c r="B2723" s="10" t="s">
        <v>45</v>
      </c>
      <c r="C2723" s="8" t="s">
        <v>6392</v>
      </c>
      <c r="D2723" s="8" t="s">
        <v>6400</v>
      </c>
      <c r="E2723" s="11" t="n">
        <v>96</v>
      </c>
      <c r="F2723" s="8" t="str">
        <f aca="false">IFERROR(INDEX(Section_Master!$D$2:$D$477,MATCH($E2723,Section_Master!$A$2:$A$477,0))&amp;"","")</f>
        <v>Imprisonment up to 10 years and fine</v>
      </c>
      <c r="G2723" s="10" t="str">
        <f aca="false">IFERROR(INDEX(Section_Master!$E$2:$E$477,MATCH($E2723,Section_Master!$A$2:$A$477,0))&amp;"","")</f>
        <v>Yes</v>
      </c>
      <c r="H2723" s="10" t="str">
        <f aca="false">IFERROR(INDEX(Section_Master!$F$2:$F$477,MATCH($E2723,Section_Master!$A$2:$A$477,0))&amp;"","")</f>
        <v>No</v>
      </c>
      <c r="I2723" s="10" t="str">
        <f aca="false">IFERROR(INDEX(Section_Master!$G$2:$G$477,MATCH($E2723,Section_Master!$A$2:$A$477,0))&amp;"","")</f>
        <v>No</v>
      </c>
      <c r="J2723" s="10" t="s">
        <v>58</v>
      </c>
      <c r="K2723" s="8" t="s">
        <v>6394</v>
      </c>
    </row>
    <row r="2724" customFormat="false" ht="23.25" hidden="false" customHeight="true" outlineLevel="0" collapsed="false">
      <c r="A2724" s="10" t="s">
        <v>6401</v>
      </c>
      <c r="B2724" s="10" t="s">
        <v>45</v>
      </c>
      <c r="C2724" s="8" t="s">
        <v>6392</v>
      </c>
      <c r="D2724" s="8" t="s">
        <v>6402</v>
      </c>
      <c r="E2724" s="11" t="n">
        <v>96</v>
      </c>
      <c r="F2724" s="8" t="str">
        <f aca="false">IFERROR(INDEX(Section_Master!$D$2:$D$477,MATCH($E2724,Section_Master!$A$2:$A$477,0))&amp;"","")</f>
        <v>Imprisonment up to 10 years and fine</v>
      </c>
      <c r="G2724" s="10" t="str">
        <f aca="false">IFERROR(INDEX(Section_Master!$E$2:$E$477,MATCH($E2724,Section_Master!$A$2:$A$477,0))&amp;"","")</f>
        <v>Yes</v>
      </c>
      <c r="H2724" s="10" t="str">
        <f aca="false">IFERROR(INDEX(Section_Master!$F$2:$F$477,MATCH($E2724,Section_Master!$A$2:$A$477,0))&amp;"","")</f>
        <v>No</v>
      </c>
      <c r="I2724" s="10" t="str">
        <f aca="false">IFERROR(INDEX(Section_Master!$G$2:$G$477,MATCH($E2724,Section_Master!$A$2:$A$477,0))&amp;"","")</f>
        <v>No</v>
      </c>
      <c r="J2724" s="10" t="s">
        <v>61</v>
      </c>
      <c r="K2724" s="8" t="s">
        <v>6394</v>
      </c>
    </row>
    <row r="2725" customFormat="false" ht="34.5" hidden="false" customHeight="true" outlineLevel="0" collapsed="false">
      <c r="A2725" s="10" t="s">
        <v>6403</v>
      </c>
      <c r="B2725" s="10" t="s">
        <v>45</v>
      </c>
      <c r="C2725" s="8" t="s">
        <v>6392</v>
      </c>
      <c r="D2725" s="8" t="s">
        <v>6404</v>
      </c>
      <c r="E2725" s="11" t="n">
        <v>96</v>
      </c>
      <c r="F2725" s="8" t="str">
        <f aca="false">IFERROR(INDEX(Section_Master!$D$2:$D$477,MATCH($E2725,Section_Master!$A$2:$A$477,0))&amp;"","")</f>
        <v>Imprisonment up to 10 years and fine</v>
      </c>
      <c r="G2725" s="10" t="str">
        <f aca="false">IFERROR(INDEX(Section_Master!$E$2:$E$477,MATCH($E2725,Section_Master!$A$2:$A$477,0))&amp;"","")</f>
        <v>Yes</v>
      </c>
      <c r="H2725" s="10" t="str">
        <f aca="false">IFERROR(INDEX(Section_Master!$F$2:$F$477,MATCH($E2725,Section_Master!$A$2:$A$477,0))&amp;"","")</f>
        <v>No</v>
      </c>
      <c r="I2725" s="10" t="str">
        <f aca="false">IFERROR(INDEX(Section_Master!$G$2:$G$477,MATCH($E2725,Section_Master!$A$2:$A$477,0))&amp;"","")</f>
        <v>No</v>
      </c>
      <c r="J2725" s="10" t="s">
        <v>64</v>
      </c>
      <c r="K2725" s="8" t="s">
        <v>6394</v>
      </c>
    </row>
    <row r="2726" customFormat="false" ht="34.5" hidden="false" customHeight="true" outlineLevel="0" collapsed="false">
      <c r="A2726" s="10" t="s">
        <v>6405</v>
      </c>
      <c r="B2726" s="10" t="s">
        <v>45</v>
      </c>
      <c r="C2726" s="8" t="s">
        <v>6406</v>
      </c>
      <c r="D2726" s="8" t="s">
        <v>6407</v>
      </c>
      <c r="E2726" s="11" t="n">
        <v>97</v>
      </c>
      <c r="F2726" s="8" t="str">
        <f aca="false">IFERROR(INDEX(Section_Master!$D$2:$D$477,MATCH($E2726,Section_Master!$A$2:$A$477,0))&amp;"","")</f>
        <v>Imprisonment up to 7 years and fine</v>
      </c>
      <c r="G2726" s="10" t="str">
        <f aca="false">IFERROR(INDEX(Section_Master!$E$2:$E$477,MATCH($E2726,Section_Master!$A$2:$A$477,0))&amp;"","")</f>
        <v>Yes</v>
      </c>
      <c r="H2726" s="10" t="str">
        <f aca="false">IFERROR(INDEX(Section_Master!$F$2:$F$477,MATCH($E2726,Section_Master!$A$2:$A$477,0))&amp;"","")</f>
        <v>No</v>
      </c>
      <c r="I2726" s="10" t="str">
        <f aca="false">IFERROR(INDEX(Section_Master!$G$2:$G$477,MATCH($E2726,Section_Master!$A$2:$A$477,0))&amp;"","")</f>
        <v>No</v>
      </c>
      <c r="J2726" s="10" t="s">
        <v>48</v>
      </c>
      <c r="K2726" s="8" t="s">
        <v>6408</v>
      </c>
    </row>
    <row r="2727" customFormat="false" ht="34.5" hidden="false" customHeight="true" outlineLevel="0" collapsed="false">
      <c r="A2727" s="10" t="s">
        <v>6409</v>
      </c>
      <c r="B2727" s="10" t="s">
        <v>45</v>
      </c>
      <c r="C2727" s="8" t="s">
        <v>6406</v>
      </c>
      <c r="D2727" s="8" t="s">
        <v>6410</v>
      </c>
      <c r="E2727" s="11" t="n">
        <v>97</v>
      </c>
      <c r="F2727" s="8" t="str">
        <f aca="false">IFERROR(INDEX(Section_Master!$D$2:$D$477,MATCH($E2727,Section_Master!$A$2:$A$477,0))&amp;"","")</f>
        <v>Imprisonment up to 7 years and fine</v>
      </c>
      <c r="G2727" s="10" t="str">
        <f aca="false">IFERROR(INDEX(Section_Master!$E$2:$E$477,MATCH($E2727,Section_Master!$A$2:$A$477,0))&amp;"","")</f>
        <v>Yes</v>
      </c>
      <c r="H2727" s="10" t="str">
        <f aca="false">IFERROR(INDEX(Section_Master!$F$2:$F$477,MATCH($E2727,Section_Master!$A$2:$A$477,0))&amp;"","")</f>
        <v>No</v>
      </c>
      <c r="I2727" s="10" t="str">
        <f aca="false">IFERROR(INDEX(Section_Master!$G$2:$G$477,MATCH($E2727,Section_Master!$A$2:$A$477,0))&amp;"","")</f>
        <v>No</v>
      </c>
      <c r="J2727" s="10" t="s">
        <v>52</v>
      </c>
      <c r="K2727" s="8" t="s">
        <v>6408</v>
      </c>
    </row>
    <row r="2728" customFormat="false" ht="23.25" hidden="false" customHeight="true" outlineLevel="0" collapsed="false">
      <c r="A2728" s="10" t="s">
        <v>6411</v>
      </c>
      <c r="B2728" s="10" t="s">
        <v>45</v>
      </c>
      <c r="C2728" s="8" t="s">
        <v>6406</v>
      </c>
      <c r="D2728" s="8" t="s">
        <v>6412</v>
      </c>
      <c r="E2728" s="11" t="n">
        <v>97</v>
      </c>
      <c r="F2728" s="8" t="str">
        <f aca="false">IFERROR(INDEX(Section_Master!$D$2:$D$477,MATCH($E2728,Section_Master!$A$2:$A$477,0))&amp;"","")</f>
        <v>Imprisonment up to 7 years and fine</v>
      </c>
      <c r="G2728" s="10" t="str">
        <f aca="false">IFERROR(INDEX(Section_Master!$E$2:$E$477,MATCH($E2728,Section_Master!$A$2:$A$477,0))&amp;"","")</f>
        <v>Yes</v>
      </c>
      <c r="H2728" s="10" t="str">
        <f aca="false">IFERROR(INDEX(Section_Master!$F$2:$F$477,MATCH($E2728,Section_Master!$A$2:$A$477,0))&amp;"","")</f>
        <v>No</v>
      </c>
      <c r="I2728" s="10" t="str">
        <f aca="false">IFERROR(INDEX(Section_Master!$G$2:$G$477,MATCH($E2728,Section_Master!$A$2:$A$477,0))&amp;"","")</f>
        <v>No</v>
      </c>
      <c r="J2728" s="10" t="s">
        <v>55</v>
      </c>
      <c r="K2728" s="8" t="s">
        <v>6408</v>
      </c>
    </row>
    <row r="2729" customFormat="false" ht="23.25" hidden="false" customHeight="true" outlineLevel="0" collapsed="false">
      <c r="A2729" s="10" t="s">
        <v>6413</v>
      </c>
      <c r="B2729" s="10" t="s">
        <v>45</v>
      </c>
      <c r="C2729" s="8" t="s">
        <v>6406</v>
      </c>
      <c r="D2729" s="8" t="s">
        <v>6414</v>
      </c>
      <c r="E2729" s="11" t="n">
        <v>97</v>
      </c>
      <c r="F2729" s="8" t="str">
        <f aca="false">IFERROR(INDEX(Section_Master!$D$2:$D$477,MATCH($E2729,Section_Master!$A$2:$A$477,0))&amp;"","")</f>
        <v>Imprisonment up to 7 years and fine</v>
      </c>
      <c r="G2729" s="10" t="str">
        <f aca="false">IFERROR(INDEX(Section_Master!$E$2:$E$477,MATCH($E2729,Section_Master!$A$2:$A$477,0))&amp;"","")</f>
        <v>Yes</v>
      </c>
      <c r="H2729" s="10" t="str">
        <f aca="false">IFERROR(INDEX(Section_Master!$F$2:$F$477,MATCH($E2729,Section_Master!$A$2:$A$477,0))&amp;"","")</f>
        <v>No</v>
      </c>
      <c r="I2729" s="10" t="str">
        <f aca="false">IFERROR(INDEX(Section_Master!$G$2:$G$477,MATCH($E2729,Section_Master!$A$2:$A$477,0))&amp;"","")</f>
        <v>No</v>
      </c>
      <c r="J2729" s="10" t="s">
        <v>58</v>
      </c>
      <c r="K2729" s="8" t="s">
        <v>6408</v>
      </c>
    </row>
    <row r="2730" customFormat="false" ht="34.5" hidden="false" customHeight="true" outlineLevel="0" collapsed="false">
      <c r="A2730" s="10" t="s">
        <v>6415</v>
      </c>
      <c r="B2730" s="10" t="s">
        <v>45</v>
      </c>
      <c r="C2730" s="8" t="s">
        <v>6406</v>
      </c>
      <c r="D2730" s="8" t="s">
        <v>6416</v>
      </c>
      <c r="E2730" s="11" t="n">
        <v>97</v>
      </c>
      <c r="F2730" s="8" t="str">
        <f aca="false">IFERROR(INDEX(Section_Master!$D$2:$D$477,MATCH($E2730,Section_Master!$A$2:$A$477,0))&amp;"","")</f>
        <v>Imprisonment up to 7 years and fine</v>
      </c>
      <c r="G2730" s="10" t="str">
        <f aca="false">IFERROR(INDEX(Section_Master!$E$2:$E$477,MATCH($E2730,Section_Master!$A$2:$A$477,0))&amp;"","")</f>
        <v>Yes</v>
      </c>
      <c r="H2730" s="10" t="str">
        <f aca="false">IFERROR(INDEX(Section_Master!$F$2:$F$477,MATCH($E2730,Section_Master!$A$2:$A$477,0))&amp;"","")</f>
        <v>No</v>
      </c>
      <c r="I2730" s="10" t="str">
        <f aca="false">IFERROR(INDEX(Section_Master!$G$2:$G$477,MATCH($E2730,Section_Master!$A$2:$A$477,0))&amp;"","")</f>
        <v>No</v>
      </c>
      <c r="J2730" s="10" t="s">
        <v>61</v>
      </c>
      <c r="K2730" s="8" t="s">
        <v>6408</v>
      </c>
    </row>
    <row r="2731" customFormat="false" ht="34.5" hidden="false" customHeight="true" outlineLevel="0" collapsed="false">
      <c r="A2731" s="10" t="s">
        <v>6417</v>
      </c>
      <c r="B2731" s="10" t="s">
        <v>45</v>
      </c>
      <c r="C2731" s="8" t="s">
        <v>6406</v>
      </c>
      <c r="D2731" s="8" t="s">
        <v>6418</v>
      </c>
      <c r="E2731" s="11" t="n">
        <v>97</v>
      </c>
      <c r="F2731" s="8" t="str">
        <f aca="false">IFERROR(INDEX(Section_Master!$D$2:$D$477,MATCH($E2731,Section_Master!$A$2:$A$477,0))&amp;"","")</f>
        <v>Imprisonment up to 7 years and fine</v>
      </c>
      <c r="G2731" s="10" t="str">
        <f aca="false">IFERROR(INDEX(Section_Master!$E$2:$E$477,MATCH($E2731,Section_Master!$A$2:$A$477,0))&amp;"","")</f>
        <v>Yes</v>
      </c>
      <c r="H2731" s="10" t="str">
        <f aca="false">IFERROR(INDEX(Section_Master!$F$2:$F$477,MATCH($E2731,Section_Master!$A$2:$A$477,0))&amp;"","")</f>
        <v>No</v>
      </c>
      <c r="I2731" s="10" t="str">
        <f aca="false">IFERROR(INDEX(Section_Master!$G$2:$G$477,MATCH($E2731,Section_Master!$A$2:$A$477,0))&amp;"","")</f>
        <v>No</v>
      </c>
      <c r="J2731" s="10" t="s">
        <v>64</v>
      </c>
      <c r="K2731" s="8" t="s">
        <v>6408</v>
      </c>
    </row>
    <row r="2732" customFormat="false" ht="34.5" hidden="false" customHeight="true" outlineLevel="0" collapsed="false">
      <c r="A2732" s="10" t="s">
        <v>6419</v>
      </c>
      <c r="B2732" s="10" t="s">
        <v>45</v>
      </c>
      <c r="C2732" s="8" t="s">
        <v>6420</v>
      </c>
      <c r="D2732" s="8" t="s">
        <v>6421</v>
      </c>
      <c r="E2732" s="11" t="n">
        <v>98</v>
      </c>
      <c r="F2732" s="8" t="str">
        <f aca="false">IFERROR(INDEX(Section_Master!$D$2:$D$477,MATCH($E2732,Section_Master!$A$2:$A$477,0))&amp;"","")</f>
        <v>Rigorous imprisonment not less than 5 years, may extend to 10 years, and fine</v>
      </c>
      <c r="G2732" s="10" t="str">
        <f aca="false">IFERROR(INDEX(Section_Master!$E$2:$E$477,MATCH($E2732,Section_Master!$A$2:$A$477,0))&amp;"","")</f>
        <v>Yes</v>
      </c>
      <c r="H2732" s="10" t="str">
        <f aca="false">IFERROR(INDEX(Section_Master!$F$2:$F$477,MATCH($E2732,Section_Master!$A$2:$A$477,0))&amp;"","")</f>
        <v>No</v>
      </c>
      <c r="I2732" s="10" t="str">
        <f aca="false">IFERROR(INDEX(Section_Master!$G$2:$G$477,MATCH($E2732,Section_Master!$A$2:$A$477,0))&amp;"","")</f>
        <v>No</v>
      </c>
      <c r="J2732" s="10" t="s">
        <v>48</v>
      </c>
      <c r="K2732" s="8" t="s">
        <v>6422</v>
      </c>
    </row>
    <row r="2733" customFormat="false" ht="34.5" hidden="false" customHeight="true" outlineLevel="0" collapsed="false">
      <c r="A2733" s="10" t="s">
        <v>6423</v>
      </c>
      <c r="B2733" s="10" t="s">
        <v>45</v>
      </c>
      <c r="C2733" s="8" t="s">
        <v>6420</v>
      </c>
      <c r="D2733" s="8" t="s">
        <v>6424</v>
      </c>
      <c r="E2733" s="11" t="n">
        <v>98</v>
      </c>
      <c r="F2733" s="8" t="str">
        <f aca="false">IFERROR(INDEX(Section_Master!$D$2:$D$477,MATCH($E2733,Section_Master!$A$2:$A$477,0))&amp;"","")</f>
        <v>Rigorous imprisonment not less than 5 years, may extend to 10 years, and fine</v>
      </c>
      <c r="G2733" s="10" t="str">
        <f aca="false">IFERROR(INDEX(Section_Master!$E$2:$E$477,MATCH($E2733,Section_Master!$A$2:$A$477,0))&amp;"","")</f>
        <v>Yes</v>
      </c>
      <c r="H2733" s="10" t="str">
        <f aca="false">IFERROR(INDEX(Section_Master!$F$2:$F$477,MATCH($E2733,Section_Master!$A$2:$A$477,0))&amp;"","")</f>
        <v>No</v>
      </c>
      <c r="I2733" s="10" t="str">
        <f aca="false">IFERROR(INDEX(Section_Master!$G$2:$G$477,MATCH($E2733,Section_Master!$A$2:$A$477,0))&amp;"","")</f>
        <v>No</v>
      </c>
      <c r="J2733" s="10" t="s">
        <v>52</v>
      </c>
      <c r="K2733" s="8" t="s">
        <v>6422</v>
      </c>
    </row>
    <row r="2734" customFormat="false" ht="34.5" hidden="false" customHeight="true" outlineLevel="0" collapsed="false">
      <c r="A2734" s="10" t="s">
        <v>6425</v>
      </c>
      <c r="B2734" s="10" t="s">
        <v>45</v>
      </c>
      <c r="C2734" s="8" t="s">
        <v>6420</v>
      </c>
      <c r="D2734" s="8" t="s">
        <v>6426</v>
      </c>
      <c r="E2734" s="11" t="n">
        <v>98</v>
      </c>
      <c r="F2734" s="8" t="str">
        <f aca="false">IFERROR(INDEX(Section_Master!$D$2:$D$477,MATCH($E2734,Section_Master!$A$2:$A$477,0))&amp;"","")</f>
        <v>Rigorous imprisonment not less than 5 years, may extend to 10 years, and fine</v>
      </c>
      <c r="G2734" s="10" t="str">
        <f aca="false">IFERROR(INDEX(Section_Master!$E$2:$E$477,MATCH($E2734,Section_Master!$A$2:$A$477,0))&amp;"","")</f>
        <v>Yes</v>
      </c>
      <c r="H2734" s="10" t="str">
        <f aca="false">IFERROR(INDEX(Section_Master!$F$2:$F$477,MATCH($E2734,Section_Master!$A$2:$A$477,0))&amp;"","")</f>
        <v>No</v>
      </c>
      <c r="I2734" s="10" t="str">
        <f aca="false">IFERROR(INDEX(Section_Master!$G$2:$G$477,MATCH($E2734,Section_Master!$A$2:$A$477,0))&amp;"","")</f>
        <v>No</v>
      </c>
      <c r="J2734" s="10" t="s">
        <v>55</v>
      </c>
      <c r="K2734" s="8" t="s">
        <v>6422</v>
      </c>
    </row>
    <row r="2735" customFormat="false" ht="34.5" hidden="false" customHeight="true" outlineLevel="0" collapsed="false">
      <c r="A2735" s="10" t="s">
        <v>6427</v>
      </c>
      <c r="B2735" s="10" t="s">
        <v>45</v>
      </c>
      <c r="C2735" s="8" t="s">
        <v>6420</v>
      </c>
      <c r="D2735" s="8" t="s">
        <v>6428</v>
      </c>
      <c r="E2735" s="11" t="n">
        <v>98</v>
      </c>
      <c r="F2735" s="8" t="str">
        <f aca="false">IFERROR(INDEX(Section_Master!$D$2:$D$477,MATCH($E2735,Section_Master!$A$2:$A$477,0))&amp;"","")</f>
        <v>Rigorous imprisonment not less than 5 years, may extend to 10 years, and fine</v>
      </c>
      <c r="G2735" s="10" t="str">
        <f aca="false">IFERROR(INDEX(Section_Master!$E$2:$E$477,MATCH($E2735,Section_Master!$A$2:$A$477,0))&amp;"","")</f>
        <v>Yes</v>
      </c>
      <c r="H2735" s="10" t="str">
        <f aca="false">IFERROR(INDEX(Section_Master!$F$2:$F$477,MATCH($E2735,Section_Master!$A$2:$A$477,0))&amp;"","")</f>
        <v>No</v>
      </c>
      <c r="I2735" s="10" t="str">
        <f aca="false">IFERROR(INDEX(Section_Master!$G$2:$G$477,MATCH($E2735,Section_Master!$A$2:$A$477,0))&amp;"","")</f>
        <v>No</v>
      </c>
      <c r="J2735" s="10" t="s">
        <v>58</v>
      </c>
      <c r="K2735" s="8" t="s">
        <v>6422</v>
      </c>
    </row>
    <row r="2736" customFormat="false" ht="34.5" hidden="false" customHeight="true" outlineLevel="0" collapsed="false">
      <c r="A2736" s="10" t="s">
        <v>6429</v>
      </c>
      <c r="B2736" s="10" t="s">
        <v>45</v>
      </c>
      <c r="C2736" s="8" t="s">
        <v>6420</v>
      </c>
      <c r="D2736" s="8" t="s">
        <v>6430</v>
      </c>
      <c r="E2736" s="11" t="n">
        <v>98</v>
      </c>
      <c r="F2736" s="8" t="str">
        <f aca="false">IFERROR(INDEX(Section_Master!$D$2:$D$477,MATCH($E2736,Section_Master!$A$2:$A$477,0))&amp;"","")</f>
        <v>Rigorous imprisonment not less than 5 years, may extend to 10 years, and fine</v>
      </c>
      <c r="G2736" s="10" t="str">
        <f aca="false">IFERROR(INDEX(Section_Master!$E$2:$E$477,MATCH($E2736,Section_Master!$A$2:$A$477,0))&amp;"","")</f>
        <v>Yes</v>
      </c>
      <c r="H2736" s="10" t="str">
        <f aca="false">IFERROR(INDEX(Section_Master!$F$2:$F$477,MATCH($E2736,Section_Master!$A$2:$A$477,0))&amp;"","")</f>
        <v>No</v>
      </c>
      <c r="I2736" s="10" t="str">
        <f aca="false">IFERROR(INDEX(Section_Master!$G$2:$G$477,MATCH($E2736,Section_Master!$A$2:$A$477,0))&amp;"","")</f>
        <v>No</v>
      </c>
      <c r="J2736" s="10" t="s">
        <v>61</v>
      </c>
      <c r="K2736" s="8" t="s">
        <v>6422</v>
      </c>
    </row>
    <row r="2737" customFormat="false" ht="34.5" hidden="false" customHeight="true" outlineLevel="0" collapsed="false">
      <c r="A2737" s="10" t="s">
        <v>6431</v>
      </c>
      <c r="B2737" s="10" t="s">
        <v>45</v>
      </c>
      <c r="C2737" s="8" t="s">
        <v>6420</v>
      </c>
      <c r="D2737" s="8" t="s">
        <v>6432</v>
      </c>
      <c r="E2737" s="11" t="n">
        <v>98</v>
      </c>
      <c r="F2737" s="8" t="str">
        <f aca="false">IFERROR(INDEX(Section_Master!$D$2:$D$477,MATCH($E2737,Section_Master!$A$2:$A$477,0))&amp;"","")</f>
        <v>Rigorous imprisonment not less than 5 years, may extend to 10 years, and fine</v>
      </c>
      <c r="G2737" s="10" t="str">
        <f aca="false">IFERROR(INDEX(Section_Master!$E$2:$E$477,MATCH($E2737,Section_Master!$A$2:$A$477,0))&amp;"","")</f>
        <v>Yes</v>
      </c>
      <c r="H2737" s="10" t="str">
        <f aca="false">IFERROR(INDEX(Section_Master!$F$2:$F$477,MATCH($E2737,Section_Master!$A$2:$A$477,0))&amp;"","")</f>
        <v>No</v>
      </c>
      <c r="I2737" s="10" t="str">
        <f aca="false">IFERROR(INDEX(Section_Master!$G$2:$G$477,MATCH($E2737,Section_Master!$A$2:$A$477,0))&amp;"","")</f>
        <v>No</v>
      </c>
      <c r="J2737" s="10" t="s">
        <v>64</v>
      </c>
      <c r="K2737" s="8" t="s">
        <v>6422</v>
      </c>
    </row>
    <row r="2738" customFormat="false" ht="23.25" hidden="false" customHeight="true" outlineLevel="0" collapsed="false">
      <c r="A2738" s="10" t="s">
        <v>6433</v>
      </c>
      <c r="B2738" s="10" t="s">
        <v>45</v>
      </c>
      <c r="C2738" s="8" t="s">
        <v>6434</v>
      </c>
      <c r="D2738" s="8" t="s">
        <v>6435</v>
      </c>
      <c r="E2738" s="11" t="n">
        <v>99</v>
      </c>
      <c r="F2738" s="8" t="str">
        <f aca="false">IFERROR(INDEX(Section_Master!$D$2:$D$477,MATCH($E2738,Section_Master!$A$2:$A$477,0))&amp;"","")</f>
        <v>Rigorous imprisonment not less than 7 years, may extend to 14 years, and fine</v>
      </c>
      <c r="G2738" s="10" t="str">
        <f aca="false">IFERROR(INDEX(Section_Master!$E$2:$E$477,MATCH($E2738,Section_Master!$A$2:$A$477,0))&amp;"","")</f>
        <v>Yes</v>
      </c>
      <c r="H2738" s="10" t="str">
        <f aca="false">IFERROR(INDEX(Section_Master!$F$2:$F$477,MATCH($E2738,Section_Master!$A$2:$A$477,0))&amp;"","")</f>
        <v>No</v>
      </c>
      <c r="I2738" s="10" t="str">
        <f aca="false">IFERROR(INDEX(Section_Master!$G$2:$G$477,MATCH($E2738,Section_Master!$A$2:$A$477,0))&amp;"","")</f>
        <v>No</v>
      </c>
      <c r="J2738" s="10" t="s">
        <v>48</v>
      </c>
      <c r="K2738" s="8" t="s">
        <v>6436</v>
      </c>
    </row>
    <row r="2739" customFormat="false" ht="34.5" hidden="false" customHeight="true" outlineLevel="0" collapsed="false">
      <c r="A2739" s="10" t="s">
        <v>6437</v>
      </c>
      <c r="B2739" s="10" t="s">
        <v>45</v>
      </c>
      <c r="C2739" s="8" t="s">
        <v>6434</v>
      </c>
      <c r="D2739" s="8" t="s">
        <v>6438</v>
      </c>
      <c r="E2739" s="11" t="n">
        <v>99</v>
      </c>
      <c r="F2739" s="8" t="str">
        <f aca="false">IFERROR(INDEX(Section_Master!$D$2:$D$477,MATCH($E2739,Section_Master!$A$2:$A$477,0))&amp;"","")</f>
        <v>Rigorous imprisonment not less than 7 years, may extend to 14 years, and fine</v>
      </c>
      <c r="G2739" s="10" t="str">
        <f aca="false">IFERROR(INDEX(Section_Master!$E$2:$E$477,MATCH($E2739,Section_Master!$A$2:$A$477,0))&amp;"","")</f>
        <v>Yes</v>
      </c>
      <c r="H2739" s="10" t="str">
        <f aca="false">IFERROR(INDEX(Section_Master!$F$2:$F$477,MATCH($E2739,Section_Master!$A$2:$A$477,0))&amp;"","")</f>
        <v>No</v>
      </c>
      <c r="I2739" s="10" t="str">
        <f aca="false">IFERROR(INDEX(Section_Master!$G$2:$G$477,MATCH($E2739,Section_Master!$A$2:$A$477,0))&amp;"","")</f>
        <v>No</v>
      </c>
      <c r="J2739" s="10" t="s">
        <v>52</v>
      </c>
      <c r="K2739" s="8" t="s">
        <v>6436</v>
      </c>
    </row>
    <row r="2740" customFormat="false" ht="23.25" hidden="false" customHeight="true" outlineLevel="0" collapsed="false">
      <c r="A2740" s="10" t="s">
        <v>6439</v>
      </c>
      <c r="B2740" s="10" t="s">
        <v>45</v>
      </c>
      <c r="C2740" s="8" t="s">
        <v>6434</v>
      </c>
      <c r="D2740" s="8" t="s">
        <v>6440</v>
      </c>
      <c r="E2740" s="11" t="n">
        <v>99</v>
      </c>
      <c r="F2740" s="8" t="str">
        <f aca="false">IFERROR(INDEX(Section_Master!$D$2:$D$477,MATCH($E2740,Section_Master!$A$2:$A$477,0))&amp;"","")</f>
        <v>Rigorous imprisonment not less than 7 years, may extend to 14 years, and fine</v>
      </c>
      <c r="G2740" s="10" t="str">
        <f aca="false">IFERROR(INDEX(Section_Master!$E$2:$E$477,MATCH($E2740,Section_Master!$A$2:$A$477,0))&amp;"","")</f>
        <v>Yes</v>
      </c>
      <c r="H2740" s="10" t="str">
        <f aca="false">IFERROR(INDEX(Section_Master!$F$2:$F$477,MATCH($E2740,Section_Master!$A$2:$A$477,0))&amp;"","")</f>
        <v>No</v>
      </c>
      <c r="I2740" s="10" t="str">
        <f aca="false">IFERROR(INDEX(Section_Master!$G$2:$G$477,MATCH($E2740,Section_Master!$A$2:$A$477,0))&amp;"","")</f>
        <v>No</v>
      </c>
      <c r="J2740" s="10" t="s">
        <v>55</v>
      </c>
      <c r="K2740" s="8" t="s">
        <v>6436</v>
      </c>
    </row>
    <row r="2741" customFormat="false" ht="23.25" hidden="false" customHeight="true" outlineLevel="0" collapsed="false">
      <c r="A2741" s="10" t="s">
        <v>6441</v>
      </c>
      <c r="B2741" s="10" t="s">
        <v>45</v>
      </c>
      <c r="C2741" s="8" t="s">
        <v>6434</v>
      </c>
      <c r="D2741" s="8" t="s">
        <v>6442</v>
      </c>
      <c r="E2741" s="11" t="n">
        <v>99</v>
      </c>
      <c r="F2741" s="8" t="str">
        <f aca="false">IFERROR(INDEX(Section_Master!$D$2:$D$477,MATCH($E2741,Section_Master!$A$2:$A$477,0))&amp;"","")</f>
        <v>Rigorous imprisonment not less than 7 years, may extend to 14 years, and fine</v>
      </c>
      <c r="G2741" s="10" t="str">
        <f aca="false">IFERROR(INDEX(Section_Master!$E$2:$E$477,MATCH($E2741,Section_Master!$A$2:$A$477,0))&amp;"","")</f>
        <v>Yes</v>
      </c>
      <c r="H2741" s="10" t="str">
        <f aca="false">IFERROR(INDEX(Section_Master!$F$2:$F$477,MATCH($E2741,Section_Master!$A$2:$A$477,0))&amp;"","")</f>
        <v>No</v>
      </c>
      <c r="I2741" s="10" t="str">
        <f aca="false">IFERROR(INDEX(Section_Master!$G$2:$G$477,MATCH($E2741,Section_Master!$A$2:$A$477,0))&amp;"","")</f>
        <v>No</v>
      </c>
      <c r="J2741" s="10" t="s">
        <v>58</v>
      </c>
      <c r="K2741" s="8" t="s">
        <v>6436</v>
      </c>
    </row>
    <row r="2742" customFormat="false" ht="23.25" hidden="false" customHeight="true" outlineLevel="0" collapsed="false">
      <c r="A2742" s="10" t="s">
        <v>6443</v>
      </c>
      <c r="B2742" s="10" t="s">
        <v>45</v>
      </c>
      <c r="C2742" s="8" t="s">
        <v>6434</v>
      </c>
      <c r="D2742" s="8" t="s">
        <v>6444</v>
      </c>
      <c r="E2742" s="11" t="n">
        <v>99</v>
      </c>
      <c r="F2742" s="8" t="str">
        <f aca="false">IFERROR(INDEX(Section_Master!$D$2:$D$477,MATCH($E2742,Section_Master!$A$2:$A$477,0))&amp;"","")</f>
        <v>Rigorous imprisonment not less than 7 years, may extend to 14 years, and fine</v>
      </c>
      <c r="G2742" s="10" t="str">
        <f aca="false">IFERROR(INDEX(Section_Master!$E$2:$E$477,MATCH($E2742,Section_Master!$A$2:$A$477,0))&amp;"","")</f>
        <v>Yes</v>
      </c>
      <c r="H2742" s="10" t="str">
        <f aca="false">IFERROR(INDEX(Section_Master!$F$2:$F$477,MATCH($E2742,Section_Master!$A$2:$A$477,0))&amp;"","")</f>
        <v>No</v>
      </c>
      <c r="I2742" s="10" t="str">
        <f aca="false">IFERROR(INDEX(Section_Master!$G$2:$G$477,MATCH($E2742,Section_Master!$A$2:$A$477,0))&amp;"","")</f>
        <v>No</v>
      </c>
      <c r="J2742" s="10" t="s">
        <v>61</v>
      </c>
      <c r="K2742" s="8" t="s">
        <v>6436</v>
      </c>
    </row>
    <row r="2743" customFormat="false" ht="23.25" hidden="false" customHeight="true" outlineLevel="0" collapsed="false">
      <c r="A2743" s="10" t="s">
        <v>6445</v>
      </c>
      <c r="B2743" s="10" t="s">
        <v>45</v>
      </c>
      <c r="C2743" s="8" t="s">
        <v>6434</v>
      </c>
      <c r="D2743" s="8" t="s">
        <v>6446</v>
      </c>
      <c r="E2743" s="11" t="n">
        <v>99</v>
      </c>
      <c r="F2743" s="8" t="str">
        <f aca="false">IFERROR(INDEX(Section_Master!$D$2:$D$477,MATCH($E2743,Section_Master!$A$2:$A$477,0))&amp;"","")</f>
        <v>Rigorous imprisonment not less than 7 years, may extend to 14 years, and fine</v>
      </c>
      <c r="G2743" s="10" t="str">
        <f aca="false">IFERROR(INDEX(Section_Master!$E$2:$E$477,MATCH($E2743,Section_Master!$A$2:$A$477,0))&amp;"","")</f>
        <v>Yes</v>
      </c>
      <c r="H2743" s="10" t="str">
        <f aca="false">IFERROR(INDEX(Section_Master!$F$2:$F$477,MATCH($E2743,Section_Master!$A$2:$A$477,0))&amp;"","")</f>
        <v>No</v>
      </c>
      <c r="I2743" s="10" t="str">
        <f aca="false">IFERROR(INDEX(Section_Master!$G$2:$G$477,MATCH($E2743,Section_Master!$A$2:$A$477,0))&amp;"","")</f>
        <v>No</v>
      </c>
      <c r="J2743" s="10" t="s">
        <v>64</v>
      </c>
      <c r="K2743" s="8" t="s">
        <v>6436</v>
      </c>
    </row>
    <row r="2744" customFormat="false" ht="34.5" hidden="false" customHeight="true" outlineLevel="0" collapsed="false">
      <c r="A2744" s="10" t="s">
        <v>6447</v>
      </c>
      <c r="B2744" s="10" t="s">
        <v>45</v>
      </c>
      <c r="C2744" s="8" t="s">
        <v>6448</v>
      </c>
      <c r="D2744" s="8" t="s">
        <v>6449</v>
      </c>
      <c r="E2744" s="11" t="n">
        <v>100</v>
      </c>
      <c r="F2744" s="8" t="str">
        <f aca="false">IFERROR(INDEX(Section_Master!$D$2:$D$477,MATCH($E2744,Section_Master!$A$2:$A$477,0))&amp;"","")</f>
        <v>Not applicable - no offence or penalty defined here (definition, exception or general provision)</v>
      </c>
      <c r="G2744" s="10" t="str">
        <f aca="false">IFERROR(INDEX(Section_Master!$E$2:$E$477,MATCH($E2744,Section_Master!$A$2:$A$477,0))&amp;"","")</f>
        <v>N/A</v>
      </c>
      <c r="H2744" s="10" t="str">
        <f aca="false">IFERROR(INDEX(Section_Master!$F$2:$F$477,MATCH($E2744,Section_Master!$A$2:$A$477,0))&amp;"","")</f>
        <v>N/A</v>
      </c>
      <c r="I2744" s="10" t="str">
        <f aca="false">IFERROR(INDEX(Section_Master!$G$2:$G$477,MATCH($E2744,Section_Master!$A$2:$A$477,0))&amp;"","")</f>
        <v>N/A</v>
      </c>
      <c r="J2744" s="10" t="s">
        <v>48</v>
      </c>
      <c r="K2744" s="8" t="s">
        <v>6450</v>
      </c>
    </row>
    <row r="2745" customFormat="false" ht="34.5" hidden="false" customHeight="true" outlineLevel="0" collapsed="false">
      <c r="A2745" s="10" t="s">
        <v>6451</v>
      </c>
      <c r="B2745" s="10" t="s">
        <v>45</v>
      </c>
      <c r="C2745" s="8" t="s">
        <v>6448</v>
      </c>
      <c r="D2745" s="8" t="s">
        <v>6452</v>
      </c>
      <c r="E2745" s="11" t="n">
        <v>100</v>
      </c>
      <c r="F2745" s="8" t="str">
        <f aca="false">IFERROR(INDEX(Section_Master!$D$2:$D$477,MATCH($E2745,Section_Master!$A$2:$A$477,0))&amp;"","")</f>
        <v>Not applicable - no offence or penalty defined here (definition, exception or general provision)</v>
      </c>
      <c r="G2745" s="10" t="str">
        <f aca="false">IFERROR(INDEX(Section_Master!$E$2:$E$477,MATCH($E2745,Section_Master!$A$2:$A$477,0))&amp;"","")</f>
        <v>N/A</v>
      </c>
      <c r="H2745" s="10" t="str">
        <f aca="false">IFERROR(INDEX(Section_Master!$F$2:$F$477,MATCH($E2745,Section_Master!$A$2:$A$477,0))&amp;"","")</f>
        <v>N/A</v>
      </c>
      <c r="I2745" s="10" t="str">
        <f aca="false">IFERROR(INDEX(Section_Master!$G$2:$G$477,MATCH($E2745,Section_Master!$A$2:$A$477,0))&amp;"","")</f>
        <v>N/A</v>
      </c>
      <c r="J2745" s="10" t="s">
        <v>52</v>
      </c>
      <c r="K2745" s="8" t="s">
        <v>6450</v>
      </c>
    </row>
    <row r="2746" customFormat="false" ht="34.5" hidden="false" customHeight="true" outlineLevel="0" collapsed="false">
      <c r="A2746" s="10" t="s">
        <v>6453</v>
      </c>
      <c r="B2746" s="10" t="s">
        <v>45</v>
      </c>
      <c r="C2746" s="8" t="s">
        <v>6448</v>
      </c>
      <c r="D2746" s="8" t="s">
        <v>6454</v>
      </c>
      <c r="E2746" s="11" t="n">
        <v>100</v>
      </c>
      <c r="F2746" s="8" t="str">
        <f aca="false">IFERROR(INDEX(Section_Master!$D$2:$D$477,MATCH($E2746,Section_Master!$A$2:$A$477,0))&amp;"","")</f>
        <v>Not applicable - no offence or penalty defined here (definition, exception or general provision)</v>
      </c>
      <c r="G2746" s="10" t="str">
        <f aca="false">IFERROR(INDEX(Section_Master!$E$2:$E$477,MATCH($E2746,Section_Master!$A$2:$A$477,0))&amp;"","")</f>
        <v>N/A</v>
      </c>
      <c r="H2746" s="10" t="str">
        <f aca="false">IFERROR(INDEX(Section_Master!$F$2:$F$477,MATCH($E2746,Section_Master!$A$2:$A$477,0))&amp;"","")</f>
        <v>N/A</v>
      </c>
      <c r="I2746" s="10" t="str">
        <f aca="false">IFERROR(INDEX(Section_Master!$G$2:$G$477,MATCH($E2746,Section_Master!$A$2:$A$477,0))&amp;"","")</f>
        <v>N/A</v>
      </c>
      <c r="J2746" s="10" t="s">
        <v>55</v>
      </c>
      <c r="K2746" s="8" t="s">
        <v>6450</v>
      </c>
    </row>
    <row r="2747" customFormat="false" ht="23.25" hidden="false" customHeight="true" outlineLevel="0" collapsed="false">
      <c r="A2747" s="10" t="s">
        <v>6455</v>
      </c>
      <c r="B2747" s="10" t="s">
        <v>45</v>
      </c>
      <c r="C2747" s="8" t="s">
        <v>6448</v>
      </c>
      <c r="D2747" s="8" t="s">
        <v>6456</v>
      </c>
      <c r="E2747" s="11" t="n">
        <v>100</v>
      </c>
      <c r="F2747" s="8" t="str">
        <f aca="false">IFERROR(INDEX(Section_Master!$D$2:$D$477,MATCH($E2747,Section_Master!$A$2:$A$477,0))&amp;"","")</f>
        <v>Not applicable - no offence or penalty defined here (definition, exception or general provision)</v>
      </c>
      <c r="G2747" s="10" t="str">
        <f aca="false">IFERROR(INDEX(Section_Master!$E$2:$E$477,MATCH($E2747,Section_Master!$A$2:$A$477,0))&amp;"","")</f>
        <v>N/A</v>
      </c>
      <c r="H2747" s="10" t="str">
        <f aca="false">IFERROR(INDEX(Section_Master!$F$2:$F$477,MATCH($E2747,Section_Master!$A$2:$A$477,0))&amp;"","")</f>
        <v>N/A</v>
      </c>
      <c r="I2747" s="10" t="str">
        <f aca="false">IFERROR(INDEX(Section_Master!$G$2:$G$477,MATCH($E2747,Section_Master!$A$2:$A$477,0))&amp;"","")</f>
        <v>N/A</v>
      </c>
      <c r="J2747" s="10" t="s">
        <v>58</v>
      </c>
      <c r="K2747" s="8" t="s">
        <v>6450</v>
      </c>
    </row>
    <row r="2748" customFormat="false" ht="23.25" hidden="false" customHeight="true" outlineLevel="0" collapsed="false">
      <c r="A2748" s="10" t="s">
        <v>6457</v>
      </c>
      <c r="B2748" s="10" t="s">
        <v>45</v>
      </c>
      <c r="C2748" s="8" t="s">
        <v>6448</v>
      </c>
      <c r="D2748" s="8" t="s">
        <v>6458</v>
      </c>
      <c r="E2748" s="11" t="n">
        <v>100</v>
      </c>
      <c r="F2748" s="8" t="str">
        <f aca="false">IFERROR(INDEX(Section_Master!$D$2:$D$477,MATCH($E2748,Section_Master!$A$2:$A$477,0))&amp;"","")</f>
        <v>Not applicable - no offence or penalty defined here (definition, exception or general provision)</v>
      </c>
      <c r="G2748" s="10" t="str">
        <f aca="false">IFERROR(INDEX(Section_Master!$E$2:$E$477,MATCH($E2748,Section_Master!$A$2:$A$477,0))&amp;"","")</f>
        <v>N/A</v>
      </c>
      <c r="H2748" s="10" t="str">
        <f aca="false">IFERROR(INDEX(Section_Master!$F$2:$F$477,MATCH($E2748,Section_Master!$A$2:$A$477,0))&amp;"","")</f>
        <v>N/A</v>
      </c>
      <c r="I2748" s="10" t="str">
        <f aca="false">IFERROR(INDEX(Section_Master!$G$2:$G$477,MATCH($E2748,Section_Master!$A$2:$A$477,0))&amp;"","")</f>
        <v>N/A</v>
      </c>
      <c r="J2748" s="10" t="s">
        <v>61</v>
      </c>
      <c r="K2748" s="8" t="s">
        <v>6450</v>
      </c>
    </row>
    <row r="2749" customFormat="false" ht="34.5" hidden="false" customHeight="true" outlineLevel="0" collapsed="false">
      <c r="A2749" s="10" t="s">
        <v>6459</v>
      </c>
      <c r="B2749" s="10" t="s">
        <v>45</v>
      </c>
      <c r="C2749" s="8" t="s">
        <v>6448</v>
      </c>
      <c r="D2749" s="8" t="s">
        <v>6460</v>
      </c>
      <c r="E2749" s="11" t="n">
        <v>100</v>
      </c>
      <c r="F2749" s="8" t="str">
        <f aca="false">IFERROR(INDEX(Section_Master!$D$2:$D$477,MATCH($E2749,Section_Master!$A$2:$A$477,0))&amp;"","")</f>
        <v>Not applicable - no offence or penalty defined here (definition, exception or general provision)</v>
      </c>
      <c r="G2749" s="10" t="str">
        <f aca="false">IFERROR(INDEX(Section_Master!$E$2:$E$477,MATCH($E2749,Section_Master!$A$2:$A$477,0))&amp;"","")</f>
        <v>N/A</v>
      </c>
      <c r="H2749" s="10" t="str">
        <f aca="false">IFERROR(INDEX(Section_Master!$F$2:$F$477,MATCH($E2749,Section_Master!$A$2:$A$477,0))&amp;"","")</f>
        <v>N/A</v>
      </c>
      <c r="I2749" s="10" t="str">
        <f aca="false">IFERROR(INDEX(Section_Master!$G$2:$G$477,MATCH($E2749,Section_Master!$A$2:$A$477,0))&amp;"","")</f>
        <v>N/A</v>
      </c>
      <c r="J2749" s="10" t="s">
        <v>64</v>
      </c>
      <c r="K2749" s="8" t="s">
        <v>6450</v>
      </c>
    </row>
    <row r="2750" customFormat="false" ht="34.5" hidden="false" customHeight="true" outlineLevel="0" collapsed="false">
      <c r="A2750" s="10" t="s">
        <v>6461</v>
      </c>
      <c r="B2750" s="10" t="s">
        <v>45</v>
      </c>
      <c r="C2750" s="8" t="s">
        <v>6462</v>
      </c>
      <c r="D2750" s="8" t="s">
        <v>6463</v>
      </c>
      <c r="E2750" s="11" t="n">
        <v>101</v>
      </c>
      <c r="F2750" s="8" t="str">
        <f aca="false">IFERROR(INDEX(Section_Master!$D$2:$D$477,MATCH($E2750,Section_Master!$A$2:$A$477,0))&amp;"","")</f>
        <v>Not applicable - no offence or penalty defined here (definition, exception or general provision)</v>
      </c>
      <c r="G2750" s="10" t="str">
        <f aca="false">IFERROR(INDEX(Section_Master!$E$2:$E$477,MATCH($E2750,Section_Master!$A$2:$A$477,0))&amp;"","")</f>
        <v>N/A</v>
      </c>
      <c r="H2750" s="10" t="str">
        <f aca="false">IFERROR(INDEX(Section_Master!$F$2:$F$477,MATCH($E2750,Section_Master!$A$2:$A$477,0))&amp;"","")</f>
        <v>N/A</v>
      </c>
      <c r="I2750" s="10" t="str">
        <f aca="false">IFERROR(INDEX(Section_Master!$G$2:$G$477,MATCH($E2750,Section_Master!$A$2:$A$477,0))&amp;"","")</f>
        <v>N/A</v>
      </c>
      <c r="J2750" s="10" t="s">
        <v>48</v>
      </c>
      <c r="K2750" s="8" t="s">
        <v>6464</v>
      </c>
    </row>
    <row r="2751" customFormat="false" ht="34.5" hidden="false" customHeight="true" outlineLevel="0" collapsed="false">
      <c r="A2751" s="10" t="s">
        <v>6465</v>
      </c>
      <c r="B2751" s="10" t="s">
        <v>45</v>
      </c>
      <c r="C2751" s="8" t="s">
        <v>6462</v>
      </c>
      <c r="D2751" s="8" t="s">
        <v>6466</v>
      </c>
      <c r="E2751" s="11" t="n">
        <v>101</v>
      </c>
      <c r="F2751" s="8" t="str">
        <f aca="false">IFERROR(INDEX(Section_Master!$D$2:$D$477,MATCH($E2751,Section_Master!$A$2:$A$477,0))&amp;"","")</f>
        <v>Not applicable - no offence or penalty defined here (definition, exception or general provision)</v>
      </c>
      <c r="G2751" s="10" t="str">
        <f aca="false">IFERROR(INDEX(Section_Master!$E$2:$E$477,MATCH($E2751,Section_Master!$A$2:$A$477,0))&amp;"","")</f>
        <v>N/A</v>
      </c>
      <c r="H2751" s="10" t="str">
        <f aca="false">IFERROR(INDEX(Section_Master!$F$2:$F$477,MATCH($E2751,Section_Master!$A$2:$A$477,0))&amp;"","")</f>
        <v>N/A</v>
      </c>
      <c r="I2751" s="10" t="str">
        <f aca="false">IFERROR(INDEX(Section_Master!$G$2:$G$477,MATCH($E2751,Section_Master!$A$2:$A$477,0))&amp;"","")</f>
        <v>N/A</v>
      </c>
      <c r="J2751" s="10" t="s">
        <v>52</v>
      </c>
      <c r="K2751" s="8" t="s">
        <v>6464</v>
      </c>
    </row>
    <row r="2752" customFormat="false" ht="23.25" hidden="false" customHeight="true" outlineLevel="0" collapsed="false">
      <c r="A2752" s="10" t="s">
        <v>6467</v>
      </c>
      <c r="B2752" s="10" t="s">
        <v>45</v>
      </c>
      <c r="C2752" s="8" t="s">
        <v>6462</v>
      </c>
      <c r="D2752" s="8" t="s">
        <v>6468</v>
      </c>
      <c r="E2752" s="11" t="n">
        <v>101</v>
      </c>
      <c r="F2752" s="8" t="str">
        <f aca="false">IFERROR(INDEX(Section_Master!$D$2:$D$477,MATCH($E2752,Section_Master!$A$2:$A$477,0))&amp;"","")</f>
        <v>Not applicable - no offence or penalty defined here (definition, exception or general provision)</v>
      </c>
      <c r="G2752" s="10" t="str">
        <f aca="false">IFERROR(INDEX(Section_Master!$E$2:$E$477,MATCH($E2752,Section_Master!$A$2:$A$477,0))&amp;"","")</f>
        <v>N/A</v>
      </c>
      <c r="H2752" s="10" t="str">
        <f aca="false">IFERROR(INDEX(Section_Master!$F$2:$F$477,MATCH($E2752,Section_Master!$A$2:$A$477,0))&amp;"","")</f>
        <v>N/A</v>
      </c>
      <c r="I2752" s="10" t="str">
        <f aca="false">IFERROR(INDEX(Section_Master!$G$2:$G$477,MATCH($E2752,Section_Master!$A$2:$A$477,0))&amp;"","")</f>
        <v>N/A</v>
      </c>
      <c r="J2752" s="10" t="s">
        <v>55</v>
      </c>
      <c r="K2752" s="8" t="s">
        <v>6464</v>
      </c>
    </row>
    <row r="2753" customFormat="false" ht="23.25" hidden="false" customHeight="true" outlineLevel="0" collapsed="false">
      <c r="A2753" s="10" t="s">
        <v>6469</v>
      </c>
      <c r="B2753" s="10" t="s">
        <v>45</v>
      </c>
      <c r="C2753" s="8" t="s">
        <v>6462</v>
      </c>
      <c r="D2753" s="8" t="s">
        <v>6470</v>
      </c>
      <c r="E2753" s="11" t="n">
        <v>101</v>
      </c>
      <c r="F2753" s="8" t="str">
        <f aca="false">IFERROR(INDEX(Section_Master!$D$2:$D$477,MATCH($E2753,Section_Master!$A$2:$A$477,0))&amp;"","")</f>
        <v>Not applicable - no offence or penalty defined here (definition, exception or general provision)</v>
      </c>
      <c r="G2753" s="10" t="str">
        <f aca="false">IFERROR(INDEX(Section_Master!$E$2:$E$477,MATCH($E2753,Section_Master!$A$2:$A$477,0))&amp;"","")</f>
        <v>N/A</v>
      </c>
      <c r="H2753" s="10" t="str">
        <f aca="false">IFERROR(INDEX(Section_Master!$F$2:$F$477,MATCH($E2753,Section_Master!$A$2:$A$477,0))&amp;"","")</f>
        <v>N/A</v>
      </c>
      <c r="I2753" s="10" t="str">
        <f aca="false">IFERROR(INDEX(Section_Master!$G$2:$G$477,MATCH($E2753,Section_Master!$A$2:$A$477,0))&amp;"","")</f>
        <v>N/A</v>
      </c>
      <c r="J2753" s="10" t="s">
        <v>58</v>
      </c>
      <c r="K2753" s="8" t="s">
        <v>6464</v>
      </c>
    </row>
    <row r="2754" customFormat="false" ht="23.25" hidden="false" customHeight="true" outlineLevel="0" collapsed="false">
      <c r="A2754" s="10" t="s">
        <v>6471</v>
      </c>
      <c r="B2754" s="10" t="s">
        <v>45</v>
      </c>
      <c r="C2754" s="8" t="s">
        <v>6462</v>
      </c>
      <c r="D2754" s="8" t="s">
        <v>6472</v>
      </c>
      <c r="E2754" s="11" t="n">
        <v>101</v>
      </c>
      <c r="F2754" s="8" t="str">
        <f aca="false">IFERROR(INDEX(Section_Master!$D$2:$D$477,MATCH($E2754,Section_Master!$A$2:$A$477,0))&amp;"","")</f>
        <v>Not applicable - no offence or penalty defined here (definition, exception or general provision)</v>
      </c>
      <c r="G2754" s="10" t="str">
        <f aca="false">IFERROR(INDEX(Section_Master!$E$2:$E$477,MATCH($E2754,Section_Master!$A$2:$A$477,0))&amp;"","")</f>
        <v>N/A</v>
      </c>
      <c r="H2754" s="10" t="str">
        <f aca="false">IFERROR(INDEX(Section_Master!$F$2:$F$477,MATCH($E2754,Section_Master!$A$2:$A$477,0))&amp;"","")</f>
        <v>N/A</v>
      </c>
      <c r="I2754" s="10" t="str">
        <f aca="false">IFERROR(INDEX(Section_Master!$G$2:$G$477,MATCH($E2754,Section_Master!$A$2:$A$477,0))&amp;"","")</f>
        <v>N/A</v>
      </c>
      <c r="J2754" s="10" t="s">
        <v>61</v>
      </c>
      <c r="K2754" s="8" t="s">
        <v>6464</v>
      </c>
    </row>
    <row r="2755" customFormat="false" ht="23.25" hidden="false" customHeight="true" outlineLevel="0" collapsed="false">
      <c r="A2755" s="10" t="s">
        <v>6473</v>
      </c>
      <c r="B2755" s="10" t="s">
        <v>45</v>
      </c>
      <c r="C2755" s="8" t="s">
        <v>6462</v>
      </c>
      <c r="D2755" s="8" t="s">
        <v>6474</v>
      </c>
      <c r="E2755" s="11" t="n">
        <v>101</v>
      </c>
      <c r="F2755" s="8" t="str">
        <f aca="false">IFERROR(INDEX(Section_Master!$D$2:$D$477,MATCH($E2755,Section_Master!$A$2:$A$477,0))&amp;"","")</f>
        <v>Not applicable - no offence or penalty defined here (definition, exception or general provision)</v>
      </c>
      <c r="G2755" s="10" t="str">
        <f aca="false">IFERROR(INDEX(Section_Master!$E$2:$E$477,MATCH($E2755,Section_Master!$A$2:$A$477,0))&amp;"","")</f>
        <v>N/A</v>
      </c>
      <c r="H2755" s="10" t="str">
        <f aca="false">IFERROR(INDEX(Section_Master!$F$2:$F$477,MATCH($E2755,Section_Master!$A$2:$A$477,0))&amp;"","")</f>
        <v>N/A</v>
      </c>
      <c r="I2755" s="10" t="str">
        <f aca="false">IFERROR(INDEX(Section_Master!$G$2:$G$477,MATCH($E2755,Section_Master!$A$2:$A$477,0))&amp;"","")</f>
        <v>N/A</v>
      </c>
      <c r="J2755" s="10" t="s">
        <v>64</v>
      </c>
      <c r="K2755" s="8" t="s">
        <v>6464</v>
      </c>
    </row>
    <row r="2756" customFormat="false" ht="34.5" hidden="false" customHeight="true" outlineLevel="0" collapsed="false">
      <c r="A2756" s="10" t="s">
        <v>6475</v>
      </c>
      <c r="B2756" s="10" t="s">
        <v>45</v>
      </c>
      <c r="C2756" s="8" t="s">
        <v>6476</v>
      </c>
      <c r="D2756" s="8" t="s">
        <v>6477</v>
      </c>
      <c r="E2756" s="11" t="n">
        <v>102</v>
      </c>
      <c r="F2756" s="8" t="str">
        <f aca="false">IFERROR(INDEX(Section_Master!$D$2:$D$477,MATCH($E2756,Section_Master!$A$2:$A$477,0))&amp;"","")</f>
        <v>Same punishment as if the death of the intended person had been caused (murder or culpable homicide) [s.102]</v>
      </c>
      <c r="G2756" s="10" t="str">
        <f aca="false">IFERROR(INDEX(Section_Master!$E$2:$E$477,MATCH($E2756,Section_Master!$A$2:$A$477,0))&amp;"","")</f>
        <v>Yes</v>
      </c>
      <c r="H2756" s="10" t="str">
        <f aca="false">IFERROR(INDEX(Section_Master!$F$2:$F$477,MATCH($E2756,Section_Master!$A$2:$A$477,0))&amp;"","")</f>
        <v>No</v>
      </c>
      <c r="I2756" s="10" t="str">
        <f aca="false">IFERROR(INDEX(Section_Master!$G$2:$G$477,MATCH($E2756,Section_Master!$A$2:$A$477,0))&amp;"","")</f>
        <v>No</v>
      </c>
      <c r="J2756" s="10" t="s">
        <v>48</v>
      </c>
      <c r="K2756" s="8" t="s">
        <v>6478</v>
      </c>
    </row>
    <row r="2757" customFormat="false" ht="34.5" hidden="false" customHeight="true" outlineLevel="0" collapsed="false">
      <c r="A2757" s="10" t="s">
        <v>6479</v>
      </c>
      <c r="B2757" s="10" t="s">
        <v>45</v>
      </c>
      <c r="C2757" s="8" t="s">
        <v>6476</v>
      </c>
      <c r="D2757" s="8" t="s">
        <v>6480</v>
      </c>
      <c r="E2757" s="11" t="n">
        <v>102</v>
      </c>
      <c r="F2757" s="8" t="str">
        <f aca="false">IFERROR(INDEX(Section_Master!$D$2:$D$477,MATCH($E2757,Section_Master!$A$2:$A$477,0))&amp;"","")</f>
        <v>Same punishment as if the death of the intended person had been caused (murder or culpable homicide) [s.102]</v>
      </c>
      <c r="G2757" s="10" t="str">
        <f aca="false">IFERROR(INDEX(Section_Master!$E$2:$E$477,MATCH($E2757,Section_Master!$A$2:$A$477,0))&amp;"","")</f>
        <v>Yes</v>
      </c>
      <c r="H2757" s="10" t="str">
        <f aca="false">IFERROR(INDEX(Section_Master!$F$2:$F$477,MATCH($E2757,Section_Master!$A$2:$A$477,0))&amp;"","")</f>
        <v>No</v>
      </c>
      <c r="I2757" s="10" t="str">
        <f aca="false">IFERROR(INDEX(Section_Master!$G$2:$G$477,MATCH($E2757,Section_Master!$A$2:$A$477,0))&amp;"","")</f>
        <v>No</v>
      </c>
      <c r="J2757" s="10" t="s">
        <v>52</v>
      </c>
      <c r="K2757" s="8" t="s">
        <v>6478</v>
      </c>
    </row>
    <row r="2758" customFormat="false" ht="34.5" hidden="false" customHeight="true" outlineLevel="0" collapsed="false">
      <c r="A2758" s="10" t="s">
        <v>6481</v>
      </c>
      <c r="B2758" s="10" t="s">
        <v>45</v>
      </c>
      <c r="C2758" s="8" t="s">
        <v>6476</v>
      </c>
      <c r="D2758" s="8" t="s">
        <v>6482</v>
      </c>
      <c r="E2758" s="11" t="n">
        <v>102</v>
      </c>
      <c r="F2758" s="8" t="str">
        <f aca="false">IFERROR(INDEX(Section_Master!$D$2:$D$477,MATCH($E2758,Section_Master!$A$2:$A$477,0))&amp;"","")</f>
        <v>Same punishment as if the death of the intended person had been caused (murder or culpable homicide) [s.102]</v>
      </c>
      <c r="G2758" s="10" t="str">
        <f aca="false">IFERROR(INDEX(Section_Master!$E$2:$E$477,MATCH($E2758,Section_Master!$A$2:$A$477,0))&amp;"","")</f>
        <v>Yes</v>
      </c>
      <c r="H2758" s="10" t="str">
        <f aca="false">IFERROR(INDEX(Section_Master!$F$2:$F$477,MATCH($E2758,Section_Master!$A$2:$A$477,0))&amp;"","")</f>
        <v>No</v>
      </c>
      <c r="I2758" s="10" t="str">
        <f aca="false">IFERROR(INDEX(Section_Master!$G$2:$G$477,MATCH($E2758,Section_Master!$A$2:$A$477,0))&amp;"","")</f>
        <v>No</v>
      </c>
      <c r="J2758" s="10" t="s">
        <v>55</v>
      </c>
      <c r="K2758" s="8" t="s">
        <v>6478</v>
      </c>
    </row>
    <row r="2759" customFormat="false" ht="34.5" hidden="false" customHeight="true" outlineLevel="0" collapsed="false">
      <c r="A2759" s="10" t="s">
        <v>6483</v>
      </c>
      <c r="B2759" s="10" t="s">
        <v>45</v>
      </c>
      <c r="C2759" s="8" t="s">
        <v>6476</v>
      </c>
      <c r="D2759" s="8" t="s">
        <v>6484</v>
      </c>
      <c r="E2759" s="11" t="n">
        <v>102</v>
      </c>
      <c r="F2759" s="8" t="str">
        <f aca="false">IFERROR(INDEX(Section_Master!$D$2:$D$477,MATCH($E2759,Section_Master!$A$2:$A$477,0))&amp;"","")</f>
        <v>Same punishment as if the death of the intended person had been caused (murder or culpable homicide) [s.102]</v>
      </c>
      <c r="G2759" s="10" t="str">
        <f aca="false">IFERROR(INDEX(Section_Master!$E$2:$E$477,MATCH($E2759,Section_Master!$A$2:$A$477,0))&amp;"","")</f>
        <v>Yes</v>
      </c>
      <c r="H2759" s="10" t="str">
        <f aca="false">IFERROR(INDEX(Section_Master!$F$2:$F$477,MATCH($E2759,Section_Master!$A$2:$A$477,0))&amp;"","")</f>
        <v>No</v>
      </c>
      <c r="I2759" s="10" t="str">
        <f aca="false">IFERROR(INDEX(Section_Master!$G$2:$G$477,MATCH($E2759,Section_Master!$A$2:$A$477,0))&amp;"","")</f>
        <v>No</v>
      </c>
      <c r="J2759" s="10" t="s">
        <v>64</v>
      </c>
      <c r="K2759" s="8" t="s">
        <v>6478</v>
      </c>
    </row>
    <row r="2760" customFormat="false" ht="23.25" hidden="false" customHeight="true" outlineLevel="0" collapsed="false">
      <c r="A2760" s="10" t="s">
        <v>6485</v>
      </c>
      <c r="B2760" s="10" t="s">
        <v>45</v>
      </c>
      <c r="C2760" s="8" t="s">
        <v>6476</v>
      </c>
      <c r="D2760" s="8" t="s">
        <v>6486</v>
      </c>
      <c r="E2760" s="11" t="n">
        <v>102</v>
      </c>
      <c r="F2760" s="8" t="str">
        <f aca="false">IFERROR(INDEX(Section_Master!$D$2:$D$477,MATCH($E2760,Section_Master!$A$2:$A$477,0))&amp;"","")</f>
        <v>Same punishment as if the death of the intended person had been caused (murder or culpable homicide) [s.102]</v>
      </c>
      <c r="G2760" s="10" t="str">
        <f aca="false">IFERROR(INDEX(Section_Master!$E$2:$E$477,MATCH($E2760,Section_Master!$A$2:$A$477,0))&amp;"","")</f>
        <v>Yes</v>
      </c>
      <c r="H2760" s="10" t="str">
        <f aca="false">IFERROR(INDEX(Section_Master!$F$2:$F$477,MATCH($E2760,Section_Master!$A$2:$A$477,0))&amp;"","")</f>
        <v>No</v>
      </c>
      <c r="I2760" s="10" t="str">
        <f aca="false">IFERROR(INDEX(Section_Master!$G$2:$G$477,MATCH($E2760,Section_Master!$A$2:$A$477,0))&amp;"","")</f>
        <v>No</v>
      </c>
      <c r="J2760" s="10" t="s">
        <v>61</v>
      </c>
      <c r="K2760" s="8" t="s">
        <v>6478</v>
      </c>
    </row>
    <row r="2761" customFormat="false" ht="23.25" hidden="false" customHeight="true" outlineLevel="0" collapsed="false">
      <c r="A2761" s="10" t="s">
        <v>6487</v>
      </c>
      <c r="B2761" s="10" t="s">
        <v>45</v>
      </c>
      <c r="C2761" s="8" t="s">
        <v>6476</v>
      </c>
      <c r="D2761" s="8" t="s">
        <v>6488</v>
      </c>
      <c r="E2761" s="11" t="n">
        <v>102</v>
      </c>
      <c r="F2761" s="8" t="str">
        <f aca="false">IFERROR(INDEX(Section_Master!$D$2:$D$477,MATCH($E2761,Section_Master!$A$2:$A$477,0))&amp;"","")</f>
        <v>Same punishment as if the death of the intended person had been caused (murder or culpable homicide) [s.102]</v>
      </c>
      <c r="G2761" s="10" t="str">
        <f aca="false">IFERROR(INDEX(Section_Master!$E$2:$E$477,MATCH($E2761,Section_Master!$A$2:$A$477,0))&amp;"","")</f>
        <v>Yes</v>
      </c>
      <c r="H2761" s="10" t="str">
        <f aca="false">IFERROR(INDEX(Section_Master!$F$2:$F$477,MATCH($E2761,Section_Master!$A$2:$A$477,0))&amp;"","")</f>
        <v>No</v>
      </c>
      <c r="I2761" s="10" t="str">
        <f aca="false">IFERROR(INDEX(Section_Master!$G$2:$G$477,MATCH($E2761,Section_Master!$A$2:$A$477,0))&amp;"","")</f>
        <v>No</v>
      </c>
      <c r="J2761" s="10" t="s">
        <v>58</v>
      </c>
      <c r="K2761" s="8" t="s">
        <v>6478</v>
      </c>
    </row>
    <row r="2762" customFormat="false" ht="34.5" hidden="false" customHeight="true" outlineLevel="0" collapsed="false">
      <c r="A2762" s="10" t="s">
        <v>6489</v>
      </c>
      <c r="B2762" s="10" t="s">
        <v>45</v>
      </c>
      <c r="C2762" s="8" t="s">
        <v>6490</v>
      </c>
      <c r="D2762" s="8" t="s">
        <v>6491</v>
      </c>
      <c r="E2762" s="11" t="n">
        <v>103</v>
      </c>
      <c r="F2762" s="8" t="str">
        <f aca="false">IFERROR(INDEX(Section_Master!$D$2:$D$477,MATCH($E2762,Section_Master!$A$2:$A$477,0))&amp;"","")</f>
        <v>Death or imprisonment for life, and fine [s.103(1)]</v>
      </c>
      <c r="G2762" s="10" t="str">
        <f aca="false">IFERROR(INDEX(Section_Master!$E$2:$E$477,MATCH($E2762,Section_Master!$A$2:$A$477,0))&amp;"","")</f>
        <v>Yes</v>
      </c>
      <c r="H2762" s="10" t="str">
        <f aca="false">IFERROR(INDEX(Section_Master!$F$2:$F$477,MATCH($E2762,Section_Master!$A$2:$A$477,0))&amp;"","")</f>
        <v>No</v>
      </c>
      <c r="I2762" s="10" t="str">
        <f aca="false">IFERROR(INDEX(Section_Master!$G$2:$G$477,MATCH($E2762,Section_Master!$A$2:$A$477,0))&amp;"","")</f>
        <v>No</v>
      </c>
      <c r="J2762" s="10" t="s">
        <v>48</v>
      </c>
      <c r="K2762" s="8" t="s">
        <v>6492</v>
      </c>
    </row>
    <row r="2763" customFormat="false" ht="34.5" hidden="false" customHeight="true" outlineLevel="0" collapsed="false">
      <c r="A2763" s="10" t="s">
        <v>6493</v>
      </c>
      <c r="B2763" s="10" t="s">
        <v>45</v>
      </c>
      <c r="C2763" s="8" t="s">
        <v>6490</v>
      </c>
      <c r="D2763" s="8" t="s">
        <v>6494</v>
      </c>
      <c r="E2763" s="11" t="n">
        <v>103</v>
      </c>
      <c r="F2763" s="8" t="str">
        <f aca="false">IFERROR(INDEX(Section_Master!$D$2:$D$477,MATCH($E2763,Section_Master!$A$2:$A$477,0))&amp;"","")</f>
        <v>Death or imprisonment for life, and fine [s.103(1)]</v>
      </c>
      <c r="G2763" s="10" t="str">
        <f aca="false">IFERROR(INDEX(Section_Master!$E$2:$E$477,MATCH($E2763,Section_Master!$A$2:$A$477,0))&amp;"","")</f>
        <v>Yes</v>
      </c>
      <c r="H2763" s="10" t="str">
        <f aca="false">IFERROR(INDEX(Section_Master!$F$2:$F$477,MATCH($E2763,Section_Master!$A$2:$A$477,0))&amp;"","")</f>
        <v>No</v>
      </c>
      <c r="I2763" s="10" t="str">
        <f aca="false">IFERROR(INDEX(Section_Master!$G$2:$G$477,MATCH($E2763,Section_Master!$A$2:$A$477,0))&amp;"","")</f>
        <v>No</v>
      </c>
      <c r="J2763" s="10" t="s">
        <v>52</v>
      </c>
      <c r="K2763" s="8" t="s">
        <v>6492</v>
      </c>
    </row>
    <row r="2764" customFormat="false" ht="34.5" hidden="false" customHeight="true" outlineLevel="0" collapsed="false">
      <c r="A2764" s="10" t="s">
        <v>6495</v>
      </c>
      <c r="B2764" s="10" t="s">
        <v>45</v>
      </c>
      <c r="C2764" s="8" t="s">
        <v>6490</v>
      </c>
      <c r="D2764" s="8" t="s">
        <v>6496</v>
      </c>
      <c r="E2764" s="11" t="n">
        <v>103</v>
      </c>
      <c r="F2764" s="8" t="str">
        <f aca="false">IFERROR(INDEX(Section_Master!$D$2:$D$477,MATCH($E2764,Section_Master!$A$2:$A$477,0))&amp;"","")</f>
        <v>Death or imprisonment for life, and fine [s.103(1)]</v>
      </c>
      <c r="G2764" s="10" t="str">
        <f aca="false">IFERROR(INDEX(Section_Master!$E$2:$E$477,MATCH($E2764,Section_Master!$A$2:$A$477,0))&amp;"","")</f>
        <v>Yes</v>
      </c>
      <c r="H2764" s="10" t="str">
        <f aca="false">IFERROR(INDEX(Section_Master!$F$2:$F$477,MATCH($E2764,Section_Master!$A$2:$A$477,0))&amp;"","")</f>
        <v>No</v>
      </c>
      <c r="I2764" s="10" t="str">
        <f aca="false">IFERROR(INDEX(Section_Master!$G$2:$G$477,MATCH($E2764,Section_Master!$A$2:$A$477,0))&amp;"","")</f>
        <v>No</v>
      </c>
      <c r="J2764" s="10" t="s">
        <v>55</v>
      </c>
      <c r="K2764" s="8" t="s">
        <v>6492</v>
      </c>
    </row>
    <row r="2765" customFormat="false" ht="34.5" hidden="false" customHeight="true" outlineLevel="0" collapsed="false">
      <c r="A2765" s="10" t="s">
        <v>6497</v>
      </c>
      <c r="B2765" s="10" t="s">
        <v>45</v>
      </c>
      <c r="C2765" s="8" t="s">
        <v>6490</v>
      </c>
      <c r="D2765" s="8" t="s">
        <v>6498</v>
      </c>
      <c r="E2765" s="11" t="n">
        <v>103</v>
      </c>
      <c r="F2765" s="8" t="str">
        <f aca="false">IFERROR(INDEX(Section_Master!$D$2:$D$477,MATCH($E2765,Section_Master!$A$2:$A$477,0))&amp;"","")</f>
        <v>Death or imprisonment for life, and fine [s.103(1)]</v>
      </c>
      <c r="G2765" s="10" t="str">
        <f aca="false">IFERROR(INDEX(Section_Master!$E$2:$E$477,MATCH($E2765,Section_Master!$A$2:$A$477,0))&amp;"","")</f>
        <v>Yes</v>
      </c>
      <c r="H2765" s="10" t="str">
        <f aca="false">IFERROR(INDEX(Section_Master!$F$2:$F$477,MATCH($E2765,Section_Master!$A$2:$A$477,0))&amp;"","")</f>
        <v>No</v>
      </c>
      <c r="I2765" s="10" t="str">
        <f aca="false">IFERROR(INDEX(Section_Master!$G$2:$G$477,MATCH($E2765,Section_Master!$A$2:$A$477,0))&amp;"","")</f>
        <v>No</v>
      </c>
      <c r="J2765" s="10" t="s">
        <v>58</v>
      </c>
      <c r="K2765" s="8" t="s">
        <v>6492</v>
      </c>
    </row>
    <row r="2766" customFormat="false" ht="34.5" hidden="false" customHeight="true" outlineLevel="0" collapsed="false">
      <c r="A2766" s="10" t="s">
        <v>6499</v>
      </c>
      <c r="B2766" s="10" t="s">
        <v>45</v>
      </c>
      <c r="C2766" s="8" t="s">
        <v>6490</v>
      </c>
      <c r="D2766" s="8" t="s">
        <v>6500</v>
      </c>
      <c r="E2766" s="11" t="n">
        <v>103</v>
      </c>
      <c r="F2766" s="8" t="str">
        <f aca="false">IFERROR(INDEX(Section_Master!$D$2:$D$477,MATCH($E2766,Section_Master!$A$2:$A$477,0))&amp;"","")</f>
        <v>Death or imprisonment for life, and fine [s.103(1)]</v>
      </c>
      <c r="G2766" s="10" t="str">
        <f aca="false">IFERROR(INDEX(Section_Master!$E$2:$E$477,MATCH($E2766,Section_Master!$A$2:$A$477,0))&amp;"","")</f>
        <v>Yes</v>
      </c>
      <c r="H2766" s="10" t="str">
        <f aca="false">IFERROR(INDEX(Section_Master!$F$2:$F$477,MATCH($E2766,Section_Master!$A$2:$A$477,0))&amp;"","")</f>
        <v>No</v>
      </c>
      <c r="I2766" s="10" t="str">
        <f aca="false">IFERROR(INDEX(Section_Master!$G$2:$G$477,MATCH($E2766,Section_Master!$A$2:$A$477,0))&amp;"","")</f>
        <v>No</v>
      </c>
      <c r="J2766" s="10" t="s">
        <v>61</v>
      </c>
      <c r="K2766" s="8" t="s">
        <v>6492</v>
      </c>
    </row>
    <row r="2767" customFormat="false" ht="23.25" hidden="false" customHeight="true" outlineLevel="0" collapsed="false">
      <c r="A2767" s="10" t="s">
        <v>6501</v>
      </c>
      <c r="B2767" s="10" t="s">
        <v>45</v>
      </c>
      <c r="C2767" s="8" t="s">
        <v>6490</v>
      </c>
      <c r="D2767" s="8" t="s">
        <v>6502</v>
      </c>
      <c r="E2767" s="11" t="n">
        <v>103</v>
      </c>
      <c r="F2767" s="8" t="str">
        <f aca="false">IFERROR(INDEX(Section_Master!$D$2:$D$477,MATCH($E2767,Section_Master!$A$2:$A$477,0))&amp;"","")</f>
        <v>Death or imprisonment for life, and fine [s.103(1)]</v>
      </c>
      <c r="G2767" s="10" t="str">
        <f aca="false">IFERROR(INDEX(Section_Master!$E$2:$E$477,MATCH($E2767,Section_Master!$A$2:$A$477,0))&amp;"","")</f>
        <v>Yes</v>
      </c>
      <c r="H2767" s="10" t="str">
        <f aca="false">IFERROR(INDEX(Section_Master!$F$2:$F$477,MATCH($E2767,Section_Master!$A$2:$A$477,0))&amp;"","")</f>
        <v>No</v>
      </c>
      <c r="I2767" s="10" t="str">
        <f aca="false">IFERROR(INDEX(Section_Master!$G$2:$G$477,MATCH($E2767,Section_Master!$A$2:$A$477,0))&amp;"","")</f>
        <v>No</v>
      </c>
      <c r="J2767" s="10" t="s">
        <v>64</v>
      </c>
      <c r="K2767" s="8" t="s">
        <v>6492</v>
      </c>
    </row>
    <row r="2768" customFormat="false" ht="34.5" hidden="false" customHeight="true" outlineLevel="0" collapsed="false">
      <c r="A2768" s="10" t="s">
        <v>6503</v>
      </c>
      <c r="B2768" s="10" t="s">
        <v>45</v>
      </c>
      <c r="C2768" s="8" t="s">
        <v>6504</v>
      </c>
      <c r="D2768" s="8" t="s">
        <v>6505</v>
      </c>
      <c r="E2768" s="11" t="n">
        <v>104</v>
      </c>
      <c r="F2768" s="8" t="str">
        <f aca="false">IFERROR(INDEX(Section_Master!$D$2:$D$477,MATCH($E2768,Section_Master!$A$2:$A$477,0))&amp;"","")</f>
        <v>Death or imprisonment for life</v>
      </c>
      <c r="G2768" s="10" t="str">
        <f aca="false">IFERROR(INDEX(Section_Master!$E$2:$E$477,MATCH($E2768,Section_Master!$A$2:$A$477,0))&amp;"","")</f>
        <v>Yes</v>
      </c>
      <c r="H2768" s="10" t="str">
        <f aca="false">IFERROR(INDEX(Section_Master!$F$2:$F$477,MATCH($E2768,Section_Master!$A$2:$A$477,0))&amp;"","")</f>
        <v>No</v>
      </c>
      <c r="I2768" s="10" t="str">
        <f aca="false">IFERROR(INDEX(Section_Master!$G$2:$G$477,MATCH($E2768,Section_Master!$A$2:$A$477,0))&amp;"","")</f>
        <v>No</v>
      </c>
      <c r="J2768" s="10" t="s">
        <v>48</v>
      </c>
      <c r="K2768" s="8" t="s">
        <v>6506</v>
      </c>
    </row>
    <row r="2769" customFormat="false" ht="34.5" hidden="false" customHeight="true" outlineLevel="0" collapsed="false">
      <c r="A2769" s="10" t="s">
        <v>6507</v>
      </c>
      <c r="B2769" s="10" t="s">
        <v>45</v>
      </c>
      <c r="C2769" s="8" t="s">
        <v>6504</v>
      </c>
      <c r="D2769" s="8" t="s">
        <v>6508</v>
      </c>
      <c r="E2769" s="11" t="n">
        <v>104</v>
      </c>
      <c r="F2769" s="8" t="str">
        <f aca="false">IFERROR(INDEX(Section_Master!$D$2:$D$477,MATCH($E2769,Section_Master!$A$2:$A$477,0))&amp;"","")</f>
        <v>Death or imprisonment for life</v>
      </c>
      <c r="G2769" s="10" t="str">
        <f aca="false">IFERROR(INDEX(Section_Master!$E$2:$E$477,MATCH($E2769,Section_Master!$A$2:$A$477,0))&amp;"","")</f>
        <v>Yes</v>
      </c>
      <c r="H2769" s="10" t="str">
        <f aca="false">IFERROR(INDEX(Section_Master!$F$2:$F$477,MATCH($E2769,Section_Master!$A$2:$A$477,0))&amp;"","")</f>
        <v>No</v>
      </c>
      <c r="I2769" s="10" t="str">
        <f aca="false">IFERROR(INDEX(Section_Master!$G$2:$G$477,MATCH($E2769,Section_Master!$A$2:$A$477,0))&amp;"","")</f>
        <v>No</v>
      </c>
      <c r="J2769" s="10" t="s">
        <v>52</v>
      </c>
      <c r="K2769" s="8" t="s">
        <v>6506</v>
      </c>
    </row>
    <row r="2770" customFormat="false" ht="34.5" hidden="false" customHeight="true" outlineLevel="0" collapsed="false">
      <c r="A2770" s="10" t="s">
        <v>6509</v>
      </c>
      <c r="B2770" s="10" t="s">
        <v>45</v>
      </c>
      <c r="C2770" s="8" t="s">
        <v>6504</v>
      </c>
      <c r="D2770" s="8" t="s">
        <v>6510</v>
      </c>
      <c r="E2770" s="11" t="n">
        <v>104</v>
      </c>
      <c r="F2770" s="8" t="str">
        <f aca="false">IFERROR(INDEX(Section_Master!$D$2:$D$477,MATCH($E2770,Section_Master!$A$2:$A$477,0))&amp;"","")</f>
        <v>Death or imprisonment for life</v>
      </c>
      <c r="G2770" s="10" t="str">
        <f aca="false">IFERROR(INDEX(Section_Master!$E$2:$E$477,MATCH($E2770,Section_Master!$A$2:$A$477,0))&amp;"","")</f>
        <v>Yes</v>
      </c>
      <c r="H2770" s="10" t="str">
        <f aca="false">IFERROR(INDEX(Section_Master!$F$2:$F$477,MATCH($E2770,Section_Master!$A$2:$A$477,0))&amp;"","")</f>
        <v>No</v>
      </c>
      <c r="I2770" s="10" t="str">
        <f aca="false">IFERROR(INDEX(Section_Master!$G$2:$G$477,MATCH($E2770,Section_Master!$A$2:$A$477,0))&amp;"","")</f>
        <v>No</v>
      </c>
      <c r="J2770" s="10" t="s">
        <v>55</v>
      </c>
      <c r="K2770" s="8" t="s">
        <v>6506</v>
      </c>
    </row>
    <row r="2771" customFormat="false" ht="23.25" hidden="false" customHeight="true" outlineLevel="0" collapsed="false">
      <c r="A2771" s="10" t="s">
        <v>6511</v>
      </c>
      <c r="B2771" s="10" t="s">
        <v>45</v>
      </c>
      <c r="C2771" s="8" t="s">
        <v>6504</v>
      </c>
      <c r="D2771" s="8" t="s">
        <v>6512</v>
      </c>
      <c r="E2771" s="11" t="n">
        <v>104</v>
      </c>
      <c r="F2771" s="8" t="str">
        <f aca="false">IFERROR(INDEX(Section_Master!$D$2:$D$477,MATCH($E2771,Section_Master!$A$2:$A$477,0))&amp;"","")</f>
        <v>Death or imprisonment for life</v>
      </c>
      <c r="G2771" s="10" t="str">
        <f aca="false">IFERROR(INDEX(Section_Master!$E$2:$E$477,MATCH($E2771,Section_Master!$A$2:$A$477,0))&amp;"","")</f>
        <v>Yes</v>
      </c>
      <c r="H2771" s="10" t="str">
        <f aca="false">IFERROR(INDEX(Section_Master!$F$2:$F$477,MATCH($E2771,Section_Master!$A$2:$A$477,0))&amp;"","")</f>
        <v>No</v>
      </c>
      <c r="I2771" s="10" t="str">
        <f aca="false">IFERROR(INDEX(Section_Master!$G$2:$G$477,MATCH($E2771,Section_Master!$A$2:$A$477,0))&amp;"","")</f>
        <v>No</v>
      </c>
      <c r="J2771" s="10" t="s">
        <v>58</v>
      </c>
      <c r="K2771" s="8" t="s">
        <v>6506</v>
      </c>
    </row>
    <row r="2772" customFormat="false" ht="23.25" hidden="false" customHeight="true" outlineLevel="0" collapsed="false">
      <c r="A2772" s="10" t="s">
        <v>6513</v>
      </c>
      <c r="B2772" s="10" t="s">
        <v>45</v>
      </c>
      <c r="C2772" s="8" t="s">
        <v>6504</v>
      </c>
      <c r="D2772" s="8" t="s">
        <v>6514</v>
      </c>
      <c r="E2772" s="11" t="n">
        <v>104</v>
      </c>
      <c r="F2772" s="8" t="str">
        <f aca="false">IFERROR(INDEX(Section_Master!$D$2:$D$477,MATCH($E2772,Section_Master!$A$2:$A$477,0))&amp;"","")</f>
        <v>Death or imprisonment for life</v>
      </c>
      <c r="G2772" s="10" t="str">
        <f aca="false">IFERROR(INDEX(Section_Master!$E$2:$E$477,MATCH($E2772,Section_Master!$A$2:$A$477,0))&amp;"","")</f>
        <v>Yes</v>
      </c>
      <c r="H2772" s="10" t="str">
        <f aca="false">IFERROR(INDEX(Section_Master!$F$2:$F$477,MATCH($E2772,Section_Master!$A$2:$A$477,0))&amp;"","")</f>
        <v>No</v>
      </c>
      <c r="I2772" s="10" t="str">
        <f aca="false">IFERROR(INDEX(Section_Master!$G$2:$G$477,MATCH($E2772,Section_Master!$A$2:$A$477,0))&amp;"","")</f>
        <v>No</v>
      </c>
      <c r="J2772" s="10" t="s">
        <v>61</v>
      </c>
      <c r="K2772" s="8" t="s">
        <v>6506</v>
      </c>
    </row>
    <row r="2773" customFormat="false" ht="34.5" hidden="false" customHeight="true" outlineLevel="0" collapsed="false">
      <c r="A2773" s="10" t="s">
        <v>6515</v>
      </c>
      <c r="B2773" s="10" t="s">
        <v>45</v>
      </c>
      <c r="C2773" s="8" t="s">
        <v>6504</v>
      </c>
      <c r="D2773" s="8" t="s">
        <v>6516</v>
      </c>
      <c r="E2773" s="11" t="n">
        <v>104</v>
      </c>
      <c r="F2773" s="8" t="str">
        <f aca="false">IFERROR(INDEX(Section_Master!$D$2:$D$477,MATCH($E2773,Section_Master!$A$2:$A$477,0))&amp;"","")</f>
        <v>Death or imprisonment for life</v>
      </c>
      <c r="G2773" s="10" t="str">
        <f aca="false">IFERROR(INDEX(Section_Master!$E$2:$E$477,MATCH($E2773,Section_Master!$A$2:$A$477,0))&amp;"","")</f>
        <v>Yes</v>
      </c>
      <c r="H2773" s="10" t="str">
        <f aca="false">IFERROR(INDEX(Section_Master!$F$2:$F$477,MATCH($E2773,Section_Master!$A$2:$A$477,0))&amp;"","")</f>
        <v>No</v>
      </c>
      <c r="I2773" s="10" t="str">
        <f aca="false">IFERROR(INDEX(Section_Master!$G$2:$G$477,MATCH($E2773,Section_Master!$A$2:$A$477,0))&amp;"","")</f>
        <v>No</v>
      </c>
      <c r="J2773" s="10" t="s">
        <v>64</v>
      </c>
      <c r="K2773" s="8" t="s">
        <v>6506</v>
      </c>
    </row>
    <row r="2774" customFormat="false" ht="34.5" hidden="false" customHeight="true" outlineLevel="0" collapsed="false">
      <c r="A2774" s="10" t="s">
        <v>6517</v>
      </c>
      <c r="B2774" s="10" t="s">
        <v>45</v>
      </c>
      <c r="C2774" s="8" t="s">
        <v>6518</v>
      </c>
      <c r="D2774" s="8" t="s">
        <v>6519</v>
      </c>
      <c r="E2774" s="11" t="n">
        <v>105</v>
      </c>
      <c r="F2774" s="8" t="str">
        <f aca="false">IFERROR(INDEX(Section_Master!$D$2:$D$477,MATCH($E2774,Section_Master!$A$2:$A$477,0))&amp;"","")</f>
        <v>Life imprisonment, or 5 to 10 years, and fine (act done with intention); up to 10 years, or fine, or both (act done with knowledge)</v>
      </c>
      <c r="G2774" s="10" t="str">
        <f aca="false">IFERROR(INDEX(Section_Master!$E$2:$E$477,MATCH($E2774,Section_Master!$A$2:$A$477,0))&amp;"","")</f>
        <v>Yes</v>
      </c>
      <c r="H2774" s="10" t="str">
        <f aca="false">IFERROR(INDEX(Section_Master!$F$2:$F$477,MATCH($E2774,Section_Master!$A$2:$A$477,0))&amp;"","")</f>
        <v>No</v>
      </c>
      <c r="I2774" s="10" t="str">
        <f aca="false">IFERROR(INDEX(Section_Master!$G$2:$G$477,MATCH($E2774,Section_Master!$A$2:$A$477,0))&amp;"","")</f>
        <v>No</v>
      </c>
      <c r="J2774" s="10" t="s">
        <v>48</v>
      </c>
      <c r="K2774" s="8" t="s">
        <v>6520</v>
      </c>
    </row>
    <row r="2775" customFormat="false" ht="34.5" hidden="false" customHeight="true" outlineLevel="0" collapsed="false">
      <c r="A2775" s="10" t="s">
        <v>6521</v>
      </c>
      <c r="B2775" s="10" t="s">
        <v>45</v>
      </c>
      <c r="C2775" s="8" t="s">
        <v>6518</v>
      </c>
      <c r="D2775" s="8" t="s">
        <v>6522</v>
      </c>
      <c r="E2775" s="11" t="n">
        <v>105</v>
      </c>
      <c r="F2775" s="8" t="str">
        <f aca="false">IFERROR(INDEX(Section_Master!$D$2:$D$477,MATCH($E2775,Section_Master!$A$2:$A$477,0))&amp;"","")</f>
        <v>Life imprisonment, or 5 to 10 years, and fine (act done with intention); up to 10 years, or fine, or both (act done with knowledge)</v>
      </c>
      <c r="G2775" s="10" t="str">
        <f aca="false">IFERROR(INDEX(Section_Master!$E$2:$E$477,MATCH($E2775,Section_Master!$A$2:$A$477,0))&amp;"","")</f>
        <v>Yes</v>
      </c>
      <c r="H2775" s="10" t="str">
        <f aca="false">IFERROR(INDEX(Section_Master!$F$2:$F$477,MATCH($E2775,Section_Master!$A$2:$A$477,0))&amp;"","")</f>
        <v>No</v>
      </c>
      <c r="I2775" s="10" t="str">
        <f aca="false">IFERROR(INDEX(Section_Master!$G$2:$G$477,MATCH($E2775,Section_Master!$A$2:$A$477,0))&amp;"","")</f>
        <v>No</v>
      </c>
      <c r="J2775" s="10" t="s">
        <v>52</v>
      </c>
      <c r="K2775" s="8" t="s">
        <v>6520</v>
      </c>
    </row>
    <row r="2776" customFormat="false" ht="34.5" hidden="false" customHeight="true" outlineLevel="0" collapsed="false">
      <c r="A2776" s="10" t="s">
        <v>6523</v>
      </c>
      <c r="B2776" s="10" t="s">
        <v>45</v>
      </c>
      <c r="C2776" s="8" t="s">
        <v>6518</v>
      </c>
      <c r="D2776" s="8" t="s">
        <v>6524</v>
      </c>
      <c r="E2776" s="11" t="n">
        <v>105</v>
      </c>
      <c r="F2776" s="8" t="str">
        <f aca="false">IFERROR(INDEX(Section_Master!$D$2:$D$477,MATCH($E2776,Section_Master!$A$2:$A$477,0))&amp;"","")</f>
        <v>Life imprisonment, or 5 to 10 years, and fine (act done with intention); up to 10 years, or fine, or both (act done with knowledge)</v>
      </c>
      <c r="G2776" s="10" t="str">
        <f aca="false">IFERROR(INDEX(Section_Master!$E$2:$E$477,MATCH($E2776,Section_Master!$A$2:$A$477,0))&amp;"","")</f>
        <v>Yes</v>
      </c>
      <c r="H2776" s="10" t="str">
        <f aca="false">IFERROR(INDEX(Section_Master!$F$2:$F$477,MATCH($E2776,Section_Master!$A$2:$A$477,0))&amp;"","")</f>
        <v>No</v>
      </c>
      <c r="I2776" s="10" t="str">
        <f aca="false">IFERROR(INDEX(Section_Master!$G$2:$G$477,MATCH($E2776,Section_Master!$A$2:$A$477,0))&amp;"","")</f>
        <v>No</v>
      </c>
      <c r="J2776" s="10" t="s">
        <v>55</v>
      </c>
      <c r="K2776" s="8" t="s">
        <v>6520</v>
      </c>
    </row>
    <row r="2777" customFormat="false" ht="34.5" hidden="false" customHeight="true" outlineLevel="0" collapsed="false">
      <c r="A2777" s="10" t="s">
        <v>6525</v>
      </c>
      <c r="B2777" s="10" t="s">
        <v>45</v>
      </c>
      <c r="C2777" s="8" t="s">
        <v>6518</v>
      </c>
      <c r="D2777" s="8" t="s">
        <v>6526</v>
      </c>
      <c r="E2777" s="11" t="n">
        <v>105</v>
      </c>
      <c r="F2777" s="8" t="str">
        <f aca="false">IFERROR(INDEX(Section_Master!$D$2:$D$477,MATCH($E2777,Section_Master!$A$2:$A$477,0))&amp;"","")</f>
        <v>Life imprisonment, or 5 to 10 years, and fine (act done with intention); up to 10 years, or fine, or both (act done with knowledge)</v>
      </c>
      <c r="G2777" s="10" t="str">
        <f aca="false">IFERROR(INDEX(Section_Master!$E$2:$E$477,MATCH($E2777,Section_Master!$A$2:$A$477,0))&amp;"","")</f>
        <v>Yes</v>
      </c>
      <c r="H2777" s="10" t="str">
        <f aca="false">IFERROR(INDEX(Section_Master!$F$2:$F$477,MATCH($E2777,Section_Master!$A$2:$A$477,0))&amp;"","")</f>
        <v>No</v>
      </c>
      <c r="I2777" s="10" t="str">
        <f aca="false">IFERROR(INDEX(Section_Master!$G$2:$G$477,MATCH($E2777,Section_Master!$A$2:$A$477,0))&amp;"","")</f>
        <v>No</v>
      </c>
      <c r="J2777" s="10" t="s">
        <v>58</v>
      </c>
      <c r="K2777" s="8" t="s">
        <v>6520</v>
      </c>
    </row>
    <row r="2778" customFormat="false" ht="23.25" hidden="false" customHeight="true" outlineLevel="0" collapsed="false">
      <c r="A2778" s="10" t="s">
        <v>6527</v>
      </c>
      <c r="B2778" s="10" t="s">
        <v>45</v>
      </c>
      <c r="C2778" s="8" t="s">
        <v>6518</v>
      </c>
      <c r="D2778" s="8" t="s">
        <v>6528</v>
      </c>
      <c r="E2778" s="11" t="n">
        <v>105</v>
      </c>
      <c r="F2778" s="8" t="str">
        <f aca="false">IFERROR(INDEX(Section_Master!$D$2:$D$477,MATCH($E2778,Section_Master!$A$2:$A$477,0))&amp;"","")</f>
        <v>Life imprisonment, or 5 to 10 years, and fine (act done with intention); up to 10 years, or fine, or both (act done with knowledge)</v>
      </c>
      <c r="G2778" s="10" t="str">
        <f aca="false">IFERROR(INDEX(Section_Master!$E$2:$E$477,MATCH($E2778,Section_Master!$A$2:$A$477,0))&amp;"","")</f>
        <v>Yes</v>
      </c>
      <c r="H2778" s="10" t="str">
        <f aca="false">IFERROR(INDEX(Section_Master!$F$2:$F$477,MATCH($E2778,Section_Master!$A$2:$A$477,0))&amp;"","")</f>
        <v>No</v>
      </c>
      <c r="I2778" s="10" t="str">
        <f aca="false">IFERROR(INDEX(Section_Master!$G$2:$G$477,MATCH($E2778,Section_Master!$A$2:$A$477,0))&amp;"","")</f>
        <v>No</v>
      </c>
      <c r="J2778" s="10" t="s">
        <v>61</v>
      </c>
      <c r="K2778" s="8" t="s">
        <v>6520</v>
      </c>
    </row>
    <row r="2779" customFormat="false" ht="34.5" hidden="false" customHeight="true" outlineLevel="0" collapsed="false">
      <c r="A2779" s="10" t="s">
        <v>6529</v>
      </c>
      <c r="B2779" s="10" t="s">
        <v>45</v>
      </c>
      <c r="C2779" s="8" t="s">
        <v>6518</v>
      </c>
      <c r="D2779" s="8" t="s">
        <v>6530</v>
      </c>
      <c r="E2779" s="11" t="n">
        <v>105</v>
      </c>
      <c r="F2779" s="8" t="str">
        <f aca="false">IFERROR(INDEX(Section_Master!$D$2:$D$477,MATCH($E2779,Section_Master!$A$2:$A$477,0))&amp;"","")</f>
        <v>Life imprisonment, or 5 to 10 years, and fine (act done with intention); up to 10 years, or fine, or both (act done with knowledge)</v>
      </c>
      <c r="G2779" s="10" t="str">
        <f aca="false">IFERROR(INDEX(Section_Master!$E$2:$E$477,MATCH($E2779,Section_Master!$A$2:$A$477,0))&amp;"","")</f>
        <v>Yes</v>
      </c>
      <c r="H2779" s="10" t="str">
        <f aca="false">IFERROR(INDEX(Section_Master!$F$2:$F$477,MATCH($E2779,Section_Master!$A$2:$A$477,0))&amp;"","")</f>
        <v>No</v>
      </c>
      <c r="I2779" s="10" t="str">
        <f aca="false">IFERROR(INDEX(Section_Master!$G$2:$G$477,MATCH($E2779,Section_Master!$A$2:$A$477,0))&amp;"","")</f>
        <v>No</v>
      </c>
      <c r="J2779" s="10" t="s">
        <v>64</v>
      </c>
      <c r="K2779" s="8" t="s">
        <v>6520</v>
      </c>
    </row>
    <row r="2780" customFormat="false" ht="34.5" hidden="false" customHeight="true" outlineLevel="0" collapsed="false">
      <c r="A2780" s="10" t="s">
        <v>6531</v>
      </c>
      <c r="B2780" s="10" t="s">
        <v>45</v>
      </c>
      <c r="C2780" s="8" t="s">
        <v>6532</v>
      </c>
      <c r="D2780" s="8" t="s">
        <v>6533</v>
      </c>
      <c r="E2780" s="11" t="n">
        <v>106</v>
      </c>
      <c r="F2780" s="8" t="str">
        <f aca="false">IFERROR(INDEX(Section_Master!$D$2:$D$477,MATCH($E2780,Section_Master!$A$2:$A$477,0))&amp;"","")</f>
        <v>Up to 5 years and fine [s.106(1)]; up to 2 years and fine for a registered medical practitioner</v>
      </c>
      <c r="G2780" s="10" t="str">
        <f aca="false">IFERROR(INDEX(Section_Master!$E$2:$E$477,MATCH($E2780,Section_Master!$A$2:$A$477,0))&amp;"","")</f>
        <v>Yes</v>
      </c>
      <c r="H2780" s="10" t="str">
        <f aca="false">IFERROR(INDEX(Section_Master!$F$2:$F$477,MATCH($E2780,Section_Master!$A$2:$A$477,0))&amp;"","")</f>
        <v>Yes</v>
      </c>
      <c r="I2780" s="10" t="str">
        <f aca="false">IFERROR(INDEX(Section_Master!$G$2:$G$477,MATCH($E2780,Section_Master!$A$2:$A$477,0))&amp;"","")</f>
        <v>No</v>
      </c>
      <c r="J2780" s="10" t="s">
        <v>48</v>
      </c>
      <c r="K2780" s="8" t="s">
        <v>6534</v>
      </c>
    </row>
    <row r="2781" customFormat="false" ht="34.5" hidden="false" customHeight="true" outlineLevel="0" collapsed="false">
      <c r="A2781" s="10" t="s">
        <v>6535</v>
      </c>
      <c r="B2781" s="10" t="s">
        <v>45</v>
      </c>
      <c r="C2781" s="8" t="s">
        <v>6532</v>
      </c>
      <c r="D2781" s="8" t="s">
        <v>6536</v>
      </c>
      <c r="E2781" s="11" t="n">
        <v>106</v>
      </c>
      <c r="F2781" s="8" t="str">
        <f aca="false">IFERROR(INDEX(Section_Master!$D$2:$D$477,MATCH($E2781,Section_Master!$A$2:$A$477,0))&amp;"","")</f>
        <v>Up to 5 years and fine [s.106(1)]; up to 2 years and fine for a registered medical practitioner</v>
      </c>
      <c r="G2781" s="10" t="str">
        <f aca="false">IFERROR(INDEX(Section_Master!$E$2:$E$477,MATCH($E2781,Section_Master!$A$2:$A$477,0))&amp;"","")</f>
        <v>Yes</v>
      </c>
      <c r="H2781" s="10" t="str">
        <f aca="false">IFERROR(INDEX(Section_Master!$F$2:$F$477,MATCH($E2781,Section_Master!$A$2:$A$477,0))&amp;"","")</f>
        <v>Yes</v>
      </c>
      <c r="I2781" s="10" t="str">
        <f aca="false">IFERROR(INDEX(Section_Master!$G$2:$G$477,MATCH($E2781,Section_Master!$A$2:$A$477,0))&amp;"","")</f>
        <v>No</v>
      </c>
      <c r="J2781" s="10" t="s">
        <v>52</v>
      </c>
      <c r="K2781" s="8" t="s">
        <v>6534</v>
      </c>
    </row>
    <row r="2782" customFormat="false" ht="34.5" hidden="false" customHeight="true" outlineLevel="0" collapsed="false">
      <c r="A2782" s="10" t="s">
        <v>6537</v>
      </c>
      <c r="B2782" s="10" t="s">
        <v>45</v>
      </c>
      <c r="C2782" s="8" t="s">
        <v>6532</v>
      </c>
      <c r="D2782" s="8" t="s">
        <v>6538</v>
      </c>
      <c r="E2782" s="11" t="n">
        <v>106</v>
      </c>
      <c r="F2782" s="8" t="str">
        <f aca="false">IFERROR(INDEX(Section_Master!$D$2:$D$477,MATCH($E2782,Section_Master!$A$2:$A$477,0))&amp;"","")</f>
        <v>Up to 5 years and fine [s.106(1)]; up to 2 years and fine for a registered medical practitioner</v>
      </c>
      <c r="G2782" s="10" t="str">
        <f aca="false">IFERROR(INDEX(Section_Master!$E$2:$E$477,MATCH($E2782,Section_Master!$A$2:$A$477,0))&amp;"","")</f>
        <v>Yes</v>
      </c>
      <c r="H2782" s="10" t="str">
        <f aca="false">IFERROR(INDEX(Section_Master!$F$2:$F$477,MATCH($E2782,Section_Master!$A$2:$A$477,0))&amp;"","")</f>
        <v>Yes</v>
      </c>
      <c r="I2782" s="10" t="str">
        <f aca="false">IFERROR(INDEX(Section_Master!$G$2:$G$477,MATCH($E2782,Section_Master!$A$2:$A$477,0))&amp;"","")</f>
        <v>No</v>
      </c>
      <c r="J2782" s="10" t="s">
        <v>55</v>
      </c>
      <c r="K2782" s="8" t="s">
        <v>6534</v>
      </c>
    </row>
    <row r="2783" customFormat="false" ht="45.75" hidden="false" customHeight="true" outlineLevel="0" collapsed="false">
      <c r="A2783" s="10" t="s">
        <v>6539</v>
      </c>
      <c r="B2783" s="10" t="s">
        <v>45</v>
      </c>
      <c r="C2783" s="8" t="s">
        <v>6532</v>
      </c>
      <c r="D2783" s="8" t="s">
        <v>6540</v>
      </c>
      <c r="E2783" s="11" t="n">
        <v>106</v>
      </c>
      <c r="F2783" s="8" t="str">
        <f aca="false">IFERROR(INDEX(Section_Master!$D$2:$D$477,MATCH($E2783,Section_Master!$A$2:$A$477,0))&amp;"","")</f>
        <v>Up to 5 years and fine [s.106(1)]; up to 2 years and fine for a registered medical practitioner</v>
      </c>
      <c r="G2783" s="10" t="str">
        <f aca="false">IFERROR(INDEX(Section_Master!$E$2:$E$477,MATCH($E2783,Section_Master!$A$2:$A$477,0))&amp;"","")</f>
        <v>Yes</v>
      </c>
      <c r="H2783" s="10" t="str">
        <f aca="false">IFERROR(INDEX(Section_Master!$F$2:$F$477,MATCH($E2783,Section_Master!$A$2:$A$477,0))&amp;"","")</f>
        <v>Yes</v>
      </c>
      <c r="I2783" s="10" t="str">
        <f aca="false">IFERROR(INDEX(Section_Master!$G$2:$G$477,MATCH($E2783,Section_Master!$A$2:$A$477,0))&amp;"","")</f>
        <v>No</v>
      </c>
      <c r="J2783" s="10" t="s">
        <v>58</v>
      </c>
      <c r="K2783" s="8" t="s">
        <v>6534</v>
      </c>
    </row>
    <row r="2784" customFormat="false" ht="34.5" hidden="false" customHeight="true" outlineLevel="0" collapsed="false">
      <c r="A2784" s="10" t="s">
        <v>6541</v>
      </c>
      <c r="B2784" s="10" t="s">
        <v>45</v>
      </c>
      <c r="C2784" s="8" t="s">
        <v>6532</v>
      </c>
      <c r="D2784" s="8" t="s">
        <v>6542</v>
      </c>
      <c r="E2784" s="11" t="n">
        <v>106</v>
      </c>
      <c r="F2784" s="8" t="str">
        <f aca="false">IFERROR(INDEX(Section_Master!$D$2:$D$477,MATCH($E2784,Section_Master!$A$2:$A$477,0))&amp;"","")</f>
        <v>Up to 5 years and fine [s.106(1)]; up to 2 years and fine for a registered medical practitioner</v>
      </c>
      <c r="G2784" s="10" t="str">
        <f aca="false">IFERROR(INDEX(Section_Master!$E$2:$E$477,MATCH($E2784,Section_Master!$A$2:$A$477,0))&amp;"","")</f>
        <v>Yes</v>
      </c>
      <c r="H2784" s="10" t="str">
        <f aca="false">IFERROR(INDEX(Section_Master!$F$2:$F$477,MATCH($E2784,Section_Master!$A$2:$A$477,0))&amp;"","")</f>
        <v>Yes</v>
      </c>
      <c r="I2784" s="10" t="str">
        <f aca="false">IFERROR(INDEX(Section_Master!$G$2:$G$477,MATCH($E2784,Section_Master!$A$2:$A$477,0))&amp;"","")</f>
        <v>No</v>
      </c>
      <c r="J2784" s="10" t="s">
        <v>61</v>
      </c>
      <c r="K2784" s="8" t="s">
        <v>6534</v>
      </c>
    </row>
    <row r="2785" customFormat="false" ht="23.25" hidden="false" customHeight="true" outlineLevel="0" collapsed="false">
      <c r="A2785" s="10" t="s">
        <v>6543</v>
      </c>
      <c r="B2785" s="10" t="s">
        <v>45</v>
      </c>
      <c r="C2785" s="8" t="s">
        <v>6532</v>
      </c>
      <c r="D2785" s="8" t="s">
        <v>6544</v>
      </c>
      <c r="E2785" s="11" t="n">
        <v>106</v>
      </c>
      <c r="F2785" s="8" t="str">
        <f aca="false">IFERROR(INDEX(Section_Master!$D$2:$D$477,MATCH($E2785,Section_Master!$A$2:$A$477,0))&amp;"","")</f>
        <v>Up to 5 years and fine [s.106(1)]; up to 2 years and fine for a registered medical practitioner</v>
      </c>
      <c r="G2785" s="10" t="str">
        <f aca="false">IFERROR(INDEX(Section_Master!$E$2:$E$477,MATCH($E2785,Section_Master!$A$2:$A$477,0))&amp;"","")</f>
        <v>Yes</v>
      </c>
      <c r="H2785" s="10" t="str">
        <f aca="false">IFERROR(INDEX(Section_Master!$F$2:$F$477,MATCH($E2785,Section_Master!$A$2:$A$477,0))&amp;"","")</f>
        <v>Yes</v>
      </c>
      <c r="I2785" s="10" t="str">
        <f aca="false">IFERROR(INDEX(Section_Master!$G$2:$G$477,MATCH($E2785,Section_Master!$A$2:$A$477,0))&amp;"","")</f>
        <v>No</v>
      </c>
      <c r="J2785" s="10" t="s">
        <v>64</v>
      </c>
      <c r="K2785" s="8" t="s">
        <v>6534</v>
      </c>
    </row>
    <row r="2786" customFormat="false" ht="34.5" hidden="false" customHeight="true" outlineLevel="0" collapsed="false">
      <c r="A2786" s="10" t="s">
        <v>6545</v>
      </c>
      <c r="B2786" s="10" t="s">
        <v>45</v>
      </c>
      <c r="C2786" s="8" t="s">
        <v>6546</v>
      </c>
      <c r="D2786" s="8" t="s">
        <v>6547</v>
      </c>
      <c r="E2786" s="11" t="n">
        <v>107</v>
      </c>
      <c r="F2786" s="8" t="str">
        <f aca="false">IFERROR(INDEX(Section_Master!$D$2:$D$477,MATCH($E2786,Section_Master!$A$2:$A$477,0))&amp;"","")</f>
        <v>Death, or imprisonment for life, or imprisonment up to 10 years, and fine</v>
      </c>
      <c r="G2786" s="10" t="str">
        <f aca="false">IFERROR(INDEX(Section_Master!$E$2:$E$477,MATCH($E2786,Section_Master!$A$2:$A$477,0))&amp;"","")</f>
        <v>Yes</v>
      </c>
      <c r="H2786" s="10" t="str">
        <f aca="false">IFERROR(INDEX(Section_Master!$F$2:$F$477,MATCH($E2786,Section_Master!$A$2:$A$477,0))&amp;"","")</f>
        <v>No</v>
      </c>
      <c r="I2786" s="10" t="str">
        <f aca="false">IFERROR(INDEX(Section_Master!$G$2:$G$477,MATCH($E2786,Section_Master!$A$2:$A$477,0))&amp;"","")</f>
        <v>No</v>
      </c>
      <c r="J2786" s="10" t="s">
        <v>48</v>
      </c>
      <c r="K2786" s="8" t="s">
        <v>6548</v>
      </c>
    </row>
    <row r="2787" customFormat="false" ht="34.5" hidden="false" customHeight="true" outlineLevel="0" collapsed="false">
      <c r="A2787" s="10" t="s">
        <v>6549</v>
      </c>
      <c r="B2787" s="10" t="s">
        <v>45</v>
      </c>
      <c r="C2787" s="8" t="s">
        <v>6546</v>
      </c>
      <c r="D2787" s="8" t="s">
        <v>6550</v>
      </c>
      <c r="E2787" s="11" t="n">
        <v>107</v>
      </c>
      <c r="F2787" s="8" t="str">
        <f aca="false">IFERROR(INDEX(Section_Master!$D$2:$D$477,MATCH($E2787,Section_Master!$A$2:$A$477,0))&amp;"","")</f>
        <v>Death, or imprisonment for life, or imprisonment up to 10 years, and fine</v>
      </c>
      <c r="G2787" s="10" t="str">
        <f aca="false">IFERROR(INDEX(Section_Master!$E$2:$E$477,MATCH($E2787,Section_Master!$A$2:$A$477,0))&amp;"","")</f>
        <v>Yes</v>
      </c>
      <c r="H2787" s="10" t="str">
        <f aca="false">IFERROR(INDEX(Section_Master!$F$2:$F$477,MATCH($E2787,Section_Master!$A$2:$A$477,0))&amp;"","")</f>
        <v>No</v>
      </c>
      <c r="I2787" s="10" t="str">
        <f aca="false">IFERROR(INDEX(Section_Master!$G$2:$G$477,MATCH($E2787,Section_Master!$A$2:$A$477,0))&amp;"","")</f>
        <v>No</v>
      </c>
      <c r="J2787" s="10" t="s">
        <v>52</v>
      </c>
      <c r="K2787" s="8" t="s">
        <v>6548</v>
      </c>
    </row>
    <row r="2788" customFormat="false" ht="34.5" hidden="false" customHeight="true" outlineLevel="0" collapsed="false">
      <c r="A2788" s="10" t="s">
        <v>6551</v>
      </c>
      <c r="B2788" s="10" t="s">
        <v>45</v>
      </c>
      <c r="C2788" s="8" t="s">
        <v>6546</v>
      </c>
      <c r="D2788" s="8" t="s">
        <v>6552</v>
      </c>
      <c r="E2788" s="11" t="n">
        <v>107</v>
      </c>
      <c r="F2788" s="8" t="str">
        <f aca="false">IFERROR(INDEX(Section_Master!$D$2:$D$477,MATCH($E2788,Section_Master!$A$2:$A$477,0))&amp;"","")</f>
        <v>Death, or imprisonment for life, or imprisonment up to 10 years, and fine</v>
      </c>
      <c r="G2788" s="10" t="str">
        <f aca="false">IFERROR(INDEX(Section_Master!$E$2:$E$477,MATCH($E2788,Section_Master!$A$2:$A$477,0))&amp;"","")</f>
        <v>Yes</v>
      </c>
      <c r="H2788" s="10" t="str">
        <f aca="false">IFERROR(INDEX(Section_Master!$F$2:$F$477,MATCH($E2788,Section_Master!$A$2:$A$477,0))&amp;"","")</f>
        <v>No</v>
      </c>
      <c r="I2788" s="10" t="str">
        <f aca="false">IFERROR(INDEX(Section_Master!$G$2:$G$477,MATCH($E2788,Section_Master!$A$2:$A$477,0))&amp;"","")</f>
        <v>No</v>
      </c>
      <c r="J2788" s="10" t="s">
        <v>55</v>
      </c>
      <c r="K2788" s="8" t="s">
        <v>6548</v>
      </c>
    </row>
    <row r="2789" customFormat="false" ht="34.5" hidden="false" customHeight="true" outlineLevel="0" collapsed="false">
      <c r="A2789" s="10" t="s">
        <v>6553</v>
      </c>
      <c r="B2789" s="10" t="s">
        <v>45</v>
      </c>
      <c r="C2789" s="8" t="s">
        <v>6546</v>
      </c>
      <c r="D2789" s="8" t="s">
        <v>6554</v>
      </c>
      <c r="E2789" s="11" t="n">
        <v>107</v>
      </c>
      <c r="F2789" s="8" t="str">
        <f aca="false">IFERROR(INDEX(Section_Master!$D$2:$D$477,MATCH($E2789,Section_Master!$A$2:$A$477,0))&amp;"","")</f>
        <v>Death, or imprisonment for life, or imprisonment up to 10 years, and fine</v>
      </c>
      <c r="G2789" s="10" t="str">
        <f aca="false">IFERROR(INDEX(Section_Master!$E$2:$E$477,MATCH($E2789,Section_Master!$A$2:$A$477,0))&amp;"","")</f>
        <v>Yes</v>
      </c>
      <c r="H2789" s="10" t="str">
        <f aca="false">IFERROR(INDEX(Section_Master!$F$2:$F$477,MATCH($E2789,Section_Master!$A$2:$A$477,0))&amp;"","")</f>
        <v>No</v>
      </c>
      <c r="I2789" s="10" t="str">
        <f aca="false">IFERROR(INDEX(Section_Master!$G$2:$G$477,MATCH($E2789,Section_Master!$A$2:$A$477,0))&amp;"","")</f>
        <v>No</v>
      </c>
      <c r="J2789" s="10" t="s">
        <v>58</v>
      </c>
      <c r="K2789" s="8" t="s">
        <v>6548</v>
      </c>
    </row>
    <row r="2790" customFormat="false" ht="34.5" hidden="false" customHeight="true" outlineLevel="0" collapsed="false">
      <c r="A2790" s="10" t="s">
        <v>6555</v>
      </c>
      <c r="B2790" s="10" t="s">
        <v>45</v>
      </c>
      <c r="C2790" s="8" t="s">
        <v>6546</v>
      </c>
      <c r="D2790" s="8" t="s">
        <v>6556</v>
      </c>
      <c r="E2790" s="11" t="n">
        <v>107</v>
      </c>
      <c r="F2790" s="8" t="str">
        <f aca="false">IFERROR(INDEX(Section_Master!$D$2:$D$477,MATCH($E2790,Section_Master!$A$2:$A$477,0))&amp;"","")</f>
        <v>Death, or imprisonment for life, or imprisonment up to 10 years, and fine</v>
      </c>
      <c r="G2790" s="10" t="str">
        <f aca="false">IFERROR(INDEX(Section_Master!$E$2:$E$477,MATCH($E2790,Section_Master!$A$2:$A$477,0))&amp;"","")</f>
        <v>Yes</v>
      </c>
      <c r="H2790" s="10" t="str">
        <f aca="false">IFERROR(INDEX(Section_Master!$F$2:$F$477,MATCH($E2790,Section_Master!$A$2:$A$477,0))&amp;"","")</f>
        <v>No</v>
      </c>
      <c r="I2790" s="10" t="str">
        <f aca="false">IFERROR(INDEX(Section_Master!$G$2:$G$477,MATCH($E2790,Section_Master!$A$2:$A$477,0))&amp;"","")</f>
        <v>No</v>
      </c>
      <c r="J2790" s="10" t="s">
        <v>61</v>
      </c>
      <c r="K2790" s="8" t="s">
        <v>6548</v>
      </c>
    </row>
    <row r="2791" customFormat="false" ht="34.5" hidden="false" customHeight="true" outlineLevel="0" collapsed="false">
      <c r="A2791" s="10" t="s">
        <v>6557</v>
      </c>
      <c r="B2791" s="10" t="s">
        <v>45</v>
      </c>
      <c r="C2791" s="8" t="s">
        <v>6546</v>
      </c>
      <c r="D2791" s="8" t="s">
        <v>6558</v>
      </c>
      <c r="E2791" s="11" t="n">
        <v>107</v>
      </c>
      <c r="F2791" s="8" t="str">
        <f aca="false">IFERROR(INDEX(Section_Master!$D$2:$D$477,MATCH($E2791,Section_Master!$A$2:$A$477,0))&amp;"","")</f>
        <v>Death, or imprisonment for life, or imprisonment up to 10 years, and fine</v>
      </c>
      <c r="G2791" s="10" t="str">
        <f aca="false">IFERROR(INDEX(Section_Master!$E$2:$E$477,MATCH($E2791,Section_Master!$A$2:$A$477,0))&amp;"","")</f>
        <v>Yes</v>
      </c>
      <c r="H2791" s="10" t="str">
        <f aca="false">IFERROR(INDEX(Section_Master!$F$2:$F$477,MATCH($E2791,Section_Master!$A$2:$A$477,0))&amp;"","")</f>
        <v>No</v>
      </c>
      <c r="I2791" s="10" t="str">
        <f aca="false">IFERROR(INDEX(Section_Master!$G$2:$G$477,MATCH($E2791,Section_Master!$A$2:$A$477,0))&amp;"","")</f>
        <v>No</v>
      </c>
      <c r="J2791" s="10" t="s">
        <v>64</v>
      </c>
      <c r="K2791" s="8" t="s">
        <v>6548</v>
      </c>
    </row>
    <row r="2792" customFormat="false" ht="23.25" hidden="false" customHeight="true" outlineLevel="0" collapsed="false">
      <c r="A2792" s="10" t="s">
        <v>6559</v>
      </c>
      <c r="B2792" s="10" t="s">
        <v>45</v>
      </c>
      <c r="C2792" s="8" t="s">
        <v>6560</v>
      </c>
      <c r="D2792" s="8" t="s">
        <v>6561</v>
      </c>
      <c r="E2792" s="11" t="n">
        <v>108</v>
      </c>
      <c r="F2792" s="8" t="str">
        <f aca="false">IFERROR(INDEX(Section_Master!$D$2:$D$477,MATCH($E2792,Section_Master!$A$2:$A$477,0))&amp;"","")</f>
        <v>Imprisonment up to 10 years and fine</v>
      </c>
      <c r="G2792" s="10" t="str">
        <f aca="false">IFERROR(INDEX(Section_Master!$E$2:$E$477,MATCH($E2792,Section_Master!$A$2:$A$477,0))&amp;"","")</f>
        <v>Yes</v>
      </c>
      <c r="H2792" s="10" t="str">
        <f aca="false">IFERROR(INDEX(Section_Master!$F$2:$F$477,MATCH($E2792,Section_Master!$A$2:$A$477,0))&amp;"","")</f>
        <v>No</v>
      </c>
      <c r="I2792" s="10" t="str">
        <f aca="false">IFERROR(INDEX(Section_Master!$G$2:$G$477,MATCH($E2792,Section_Master!$A$2:$A$477,0))&amp;"","")</f>
        <v>No</v>
      </c>
      <c r="J2792" s="10" t="s">
        <v>48</v>
      </c>
      <c r="K2792" s="8" t="s">
        <v>6562</v>
      </c>
    </row>
    <row r="2793" customFormat="false" ht="34.5" hidden="false" customHeight="true" outlineLevel="0" collapsed="false">
      <c r="A2793" s="10" t="s">
        <v>6563</v>
      </c>
      <c r="B2793" s="10" t="s">
        <v>45</v>
      </c>
      <c r="C2793" s="8" t="s">
        <v>6560</v>
      </c>
      <c r="D2793" s="8" t="s">
        <v>6564</v>
      </c>
      <c r="E2793" s="11" t="n">
        <v>108</v>
      </c>
      <c r="F2793" s="8" t="str">
        <f aca="false">IFERROR(INDEX(Section_Master!$D$2:$D$477,MATCH($E2793,Section_Master!$A$2:$A$477,0))&amp;"","")</f>
        <v>Imprisonment up to 10 years and fine</v>
      </c>
      <c r="G2793" s="10" t="str">
        <f aca="false">IFERROR(INDEX(Section_Master!$E$2:$E$477,MATCH($E2793,Section_Master!$A$2:$A$477,0))&amp;"","")</f>
        <v>Yes</v>
      </c>
      <c r="H2793" s="10" t="str">
        <f aca="false">IFERROR(INDEX(Section_Master!$F$2:$F$477,MATCH($E2793,Section_Master!$A$2:$A$477,0))&amp;"","")</f>
        <v>No</v>
      </c>
      <c r="I2793" s="10" t="str">
        <f aca="false">IFERROR(INDEX(Section_Master!$G$2:$G$477,MATCH($E2793,Section_Master!$A$2:$A$477,0))&amp;"","")</f>
        <v>No</v>
      </c>
      <c r="J2793" s="10" t="s">
        <v>52</v>
      </c>
      <c r="K2793" s="8" t="s">
        <v>6562</v>
      </c>
    </row>
    <row r="2794" customFormat="false" ht="23.25" hidden="false" customHeight="true" outlineLevel="0" collapsed="false">
      <c r="A2794" s="10" t="s">
        <v>6565</v>
      </c>
      <c r="B2794" s="10" t="s">
        <v>45</v>
      </c>
      <c r="C2794" s="8" t="s">
        <v>6560</v>
      </c>
      <c r="D2794" s="8" t="s">
        <v>6566</v>
      </c>
      <c r="E2794" s="11" t="n">
        <v>108</v>
      </c>
      <c r="F2794" s="8" t="str">
        <f aca="false">IFERROR(INDEX(Section_Master!$D$2:$D$477,MATCH($E2794,Section_Master!$A$2:$A$477,0))&amp;"","")</f>
        <v>Imprisonment up to 10 years and fine</v>
      </c>
      <c r="G2794" s="10" t="str">
        <f aca="false">IFERROR(INDEX(Section_Master!$E$2:$E$477,MATCH($E2794,Section_Master!$A$2:$A$477,0))&amp;"","")</f>
        <v>Yes</v>
      </c>
      <c r="H2794" s="10" t="str">
        <f aca="false">IFERROR(INDEX(Section_Master!$F$2:$F$477,MATCH($E2794,Section_Master!$A$2:$A$477,0))&amp;"","")</f>
        <v>No</v>
      </c>
      <c r="I2794" s="10" t="str">
        <f aca="false">IFERROR(INDEX(Section_Master!$G$2:$G$477,MATCH($E2794,Section_Master!$A$2:$A$477,0))&amp;"","")</f>
        <v>No</v>
      </c>
      <c r="J2794" s="10" t="s">
        <v>55</v>
      </c>
      <c r="K2794" s="8" t="s">
        <v>6562</v>
      </c>
    </row>
    <row r="2795" customFormat="false" ht="34.5" hidden="false" customHeight="true" outlineLevel="0" collapsed="false">
      <c r="A2795" s="10" t="s">
        <v>6567</v>
      </c>
      <c r="B2795" s="10" t="s">
        <v>45</v>
      </c>
      <c r="C2795" s="8" t="s">
        <v>6560</v>
      </c>
      <c r="D2795" s="8" t="s">
        <v>6568</v>
      </c>
      <c r="E2795" s="11" t="n">
        <v>108</v>
      </c>
      <c r="F2795" s="8" t="str">
        <f aca="false">IFERROR(INDEX(Section_Master!$D$2:$D$477,MATCH($E2795,Section_Master!$A$2:$A$477,0))&amp;"","")</f>
        <v>Imprisonment up to 10 years and fine</v>
      </c>
      <c r="G2795" s="10" t="str">
        <f aca="false">IFERROR(INDEX(Section_Master!$E$2:$E$477,MATCH($E2795,Section_Master!$A$2:$A$477,0))&amp;"","")</f>
        <v>Yes</v>
      </c>
      <c r="H2795" s="10" t="str">
        <f aca="false">IFERROR(INDEX(Section_Master!$F$2:$F$477,MATCH($E2795,Section_Master!$A$2:$A$477,0))&amp;"","")</f>
        <v>No</v>
      </c>
      <c r="I2795" s="10" t="str">
        <f aca="false">IFERROR(INDEX(Section_Master!$G$2:$G$477,MATCH($E2795,Section_Master!$A$2:$A$477,0))&amp;"","")</f>
        <v>No</v>
      </c>
      <c r="J2795" s="10" t="s">
        <v>58</v>
      </c>
      <c r="K2795" s="8" t="s">
        <v>6562</v>
      </c>
    </row>
    <row r="2796" customFormat="false" ht="23.25" hidden="false" customHeight="true" outlineLevel="0" collapsed="false">
      <c r="A2796" s="10" t="s">
        <v>6569</v>
      </c>
      <c r="B2796" s="10" t="s">
        <v>45</v>
      </c>
      <c r="C2796" s="8" t="s">
        <v>6560</v>
      </c>
      <c r="D2796" s="8" t="s">
        <v>6570</v>
      </c>
      <c r="E2796" s="11" t="n">
        <v>108</v>
      </c>
      <c r="F2796" s="8" t="str">
        <f aca="false">IFERROR(INDEX(Section_Master!$D$2:$D$477,MATCH($E2796,Section_Master!$A$2:$A$477,0))&amp;"","")</f>
        <v>Imprisonment up to 10 years and fine</v>
      </c>
      <c r="G2796" s="10" t="str">
        <f aca="false">IFERROR(INDEX(Section_Master!$E$2:$E$477,MATCH($E2796,Section_Master!$A$2:$A$477,0))&amp;"","")</f>
        <v>Yes</v>
      </c>
      <c r="H2796" s="10" t="str">
        <f aca="false">IFERROR(INDEX(Section_Master!$F$2:$F$477,MATCH($E2796,Section_Master!$A$2:$A$477,0))&amp;"","")</f>
        <v>No</v>
      </c>
      <c r="I2796" s="10" t="str">
        <f aca="false">IFERROR(INDEX(Section_Master!$G$2:$G$477,MATCH($E2796,Section_Master!$A$2:$A$477,0))&amp;"","")</f>
        <v>No</v>
      </c>
      <c r="J2796" s="10" t="s">
        <v>61</v>
      </c>
      <c r="K2796" s="8" t="s">
        <v>6562</v>
      </c>
    </row>
    <row r="2797" customFormat="false" ht="34.5" hidden="false" customHeight="true" outlineLevel="0" collapsed="false">
      <c r="A2797" s="10" t="s">
        <v>6571</v>
      </c>
      <c r="B2797" s="10" t="s">
        <v>45</v>
      </c>
      <c r="C2797" s="8" t="s">
        <v>6560</v>
      </c>
      <c r="D2797" s="8" t="s">
        <v>6572</v>
      </c>
      <c r="E2797" s="11" t="n">
        <v>108</v>
      </c>
      <c r="F2797" s="8" t="str">
        <f aca="false">IFERROR(INDEX(Section_Master!$D$2:$D$477,MATCH($E2797,Section_Master!$A$2:$A$477,0))&amp;"","")</f>
        <v>Imprisonment up to 10 years and fine</v>
      </c>
      <c r="G2797" s="10" t="str">
        <f aca="false">IFERROR(INDEX(Section_Master!$E$2:$E$477,MATCH($E2797,Section_Master!$A$2:$A$477,0))&amp;"","")</f>
        <v>Yes</v>
      </c>
      <c r="H2797" s="10" t="str">
        <f aca="false">IFERROR(INDEX(Section_Master!$F$2:$F$477,MATCH($E2797,Section_Master!$A$2:$A$477,0))&amp;"","")</f>
        <v>No</v>
      </c>
      <c r="I2797" s="10" t="str">
        <f aca="false">IFERROR(INDEX(Section_Master!$G$2:$G$477,MATCH($E2797,Section_Master!$A$2:$A$477,0))&amp;"","")</f>
        <v>No</v>
      </c>
      <c r="J2797" s="10" t="s">
        <v>64</v>
      </c>
      <c r="K2797" s="8" t="s">
        <v>6562</v>
      </c>
    </row>
    <row r="2798" customFormat="false" ht="23.25" hidden="false" customHeight="true" outlineLevel="0" collapsed="false">
      <c r="A2798" s="10" t="s">
        <v>6573</v>
      </c>
      <c r="B2798" s="10" t="s">
        <v>45</v>
      </c>
      <c r="C2798" s="8" t="s">
        <v>6574</v>
      </c>
      <c r="D2798" s="8" t="s">
        <v>6575</v>
      </c>
      <c r="E2798" s="11" t="n">
        <v>109</v>
      </c>
      <c r="F2798" s="8" t="str">
        <f aca="false">IFERROR(INDEX(Section_Master!$D$2:$D$477,MATCH($E2798,Section_Master!$A$2:$A$477,0))&amp;"","")</f>
        <v>Imprisonment up to 10 years and fine; if hurt is caused, imprisonment for life or the term above [s.109(1)]</v>
      </c>
      <c r="G2798" s="10" t="str">
        <f aca="false">IFERROR(INDEX(Section_Master!$E$2:$E$477,MATCH($E2798,Section_Master!$A$2:$A$477,0))&amp;"","")</f>
        <v>Yes</v>
      </c>
      <c r="H2798" s="10" t="str">
        <f aca="false">IFERROR(INDEX(Section_Master!$F$2:$F$477,MATCH($E2798,Section_Master!$A$2:$A$477,0))&amp;"","")</f>
        <v>No</v>
      </c>
      <c r="I2798" s="10" t="str">
        <f aca="false">IFERROR(INDEX(Section_Master!$G$2:$G$477,MATCH($E2798,Section_Master!$A$2:$A$477,0))&amp;"","")</f>
        <v>No</v>
      </c>
      <c r="J2798" s="10" t="s">
        <v>48</v>
      </c>
      <c r="K2798" s="8" t="s">
        <v>6576</v>
      </c>
    </row>
    <row r="2799" customFormat="false" ht="23.25" hidden="false" customHeight="true" outlineLevel="0" collapsed="false">
      <c r="A2799" s="10" t="s">
        <v>6577</v>
      </c>
      <c r="B2799" s="10" t="s">
        <v>45</v>
      </c>
      <c r="C2799" s="8" t="s">
        <v>6574</v>
      </c>
      <c r="D2799" s="8" t="s">
        <v>6578</v>
      </c>
      <c r="E2799" s="11" t="n">
        <v>109</v>
      </c>
      <c r="F2799" s="8" t="str">
        <f aca="false">IFERROR(INDEX(Section_Master!$D$2:$D$477,MATCH($E2799,Section_Master!$A$2:$A$477,0))&amp;"","")</f>
        <v>Imprisonment up to 10 years and fine; if hurt is caused, imprisonment for life or the term above [s.109(1)]</v>
      </c>
      <c r="G2799" s="10" t="str">
        <f aca="false">IFERROR(INDEX(Section_Master!$E$2:$E$477,MATCH($E2799,Section_Master!$A$2:$A$477,0))&amp;"","")</f>
        <v>Yes</v>
      </c>
      <c r="H2799" s="10" t="str">
        <f aca="false">IFERROR(INDEX(Section_Master!$F$2:$F$477,MATCH($E2799,Section_Master!$A$2:$A$477,0))&amp;"","")</f>
        <v>No</v>
      </c>
      <c r="I2799" s="10" t="str">
        <f aca="false">IFERROR(INDEX(Section_Master!$G$2:$G$477,MATCH($E2799,Section_Master!$A$2:$A$477,0))&amp;"","")</f>
        <v>No</v>
      </c>
      <c r="J2799" s="10" t="s">
        <v>52</v>
      </c>
      <c r="K2799" s="8" t="s">
        <v>6576</v>
      </c>
    </row>
    <row r="2800" customFormat="false" ht="23.25" hidden="false" customHeight="true" outlineLevel="0" collapsed="false">
      <c r="A2800" s="10" t="s">
        <v>6579</v>
      </c>
      <c r="B2800" s="10" t="s">
        <v>45</v>
      </c>
      <c r="C2800" s="8" t="s">
        <v>6574</v>
      </c>
      <c r="D2800" s="8" t="s">
        <v>6580</v>
      </c>
      <c r="E2800" s="11" t="n">
        <v>109</v>
      </c>
      <c r="F2800" s="8" t="str">
        <f aca="false">IFERROR(INDEX(Section_Master!$D$2:$D$477,MATCH($E2800,Section_Master!$A$2:$A$477,0))&amp;"","")</f>
        <v>Imprisonment up to 10 years and fine; if hurt is caused, imprisonment for life or the term above [s.109(1)]</v>
      </c>
      <c r="G2800" s="10" t="str">
        <f aca="false">IFERROR(INDEX(Section_Master!$E$2:$E$477,MATCH($E2800,Section_Master!$A$2:$A$477,0))&amp;"","")</f>
        <v>Yes</v>
      </c>
      <c r="H2800" s="10" t="str">
        <f aca="false">IFERROR(INDEX(Section_Master!$F$2:$F$477,MATCH($E2800,Section_Master!$A$2:$A$477,0))&amp;"","")</f>
        <v>No</v>
      </c>
      <c r="I2800" s="10" t="str">
        <f aca="false">IFERROR(INDEX(Section_Master!$G$2:$G$477,MATCH($E2800,Section_Master!$A$2:$A$477,0))&amp;"","")</f>
        <v>No</v>
      </c>
      <c r="J2800" s="10" t="s">
        <v>55</v>
      </c>
      <c r="K2800" s="8" t="s">
        <v>6576</v>
      </c>
    </row>
    <row r="2801" customFormat="false" ht="23.25" hidden="false" customHeight="true" outlineLevel="0" collapsed="false">
      <c r="A2801" s="10" t="s">
        <v>6581</v>
      </c>
      <c r="B2801" s="10" t="s">
        <v>45</v>
      </c>
      <c r="C2801" s="8" t="s">
        <v>6574</v>
      </c>
      <c r="D2801" s="8" t="s">
        <v>6582</v>
      </c>
      <c r="E2801" s="11" t="n">
        <v>109</v>
      </c>
      <c r="F2801" s="8" t="str">
        <f aca="false">IFERROR(INDEX(Section_Master!$D$2:$D$477,MATCH($E2801,Section_Master!$A$2:$A$477,0))&amp;"","")</f>
        <v>Imprisonment up to 10 years and fine; if hurt is caused, imprisonment for life or the term above [s.109(1)]</v>
      </c>
      <c r="G2801" s="10" t="str">
        <f aca="false">IFERROR(INDEX(Section_Master!$E$2:$E$477,MATCH($E2801,Section_Master!$A$2:$A$477,0))&amp;"","")</f>
        <v>Yes</v>
      </c>
      <c r="H2801" s="10" t="str">
        <f aca="false">IFERROR(INDEX(Section_Master!$F$2:$F$477,MATCH($E2801,Section_Master!$A$2:$A$477,0))&amp;"","")</f>
        <v>No</v>
      </c>
      <c r="I2801" s="10" t="str">
        <f aca="false">IFERROR(INDEX(Section_Master!$G$2:$G$477,MATCH($E2801,Section_Master!$A$2:$A$477,0))&amp;"","")</f>
        <v>No</v>
      </c>
      <c r="J2801" s="10" t="s">
        <v>58</v>
      </c>
      <c r="K2801" s="8" t="s">
        <v>6576</v>
      </c>
    </row>
    <row r="2802" customFormat="false" ht="23.25" hidden="false" customHeight="true" outlineLevel="0" collapsed="false">
      <c r="A2802" s="10" t="s">
        <v>6583</v>
      </c>
      <c r="B2802" s="10" t="s">
        <v>45</v>
      </c>
      <c r="C2802" s="8" t="s">
        <v>6574</v>
      </c>
      <c r="D2802" s="8" t="s">
        <v>6584</v>
      </c>
      <c r="E2802" s="11" t="n">
        <v>109</v>
      </c>
      <c r="F2802" s="8" t="str">
        <f aca="false">IFERROR(INDEX(Section_Master!$D$2:$D$477,MATCH($E2802,Section_Master!$A$2:$A$477,0))&amp;"","")</f>
        <v>Imprisonment up to 10 years and fine; if hurt is caused, imprisonment for life or the term above [s.109(1)]</v>
      </c>
      <c r="G2802" s="10" t="str">
        <f aca="false">IFERROR(INDEX(Section_Master!$E$2:$E$477,MATCH($E2802,Section_Master!$A$2:$A$477,0))&amp;"","")</f>
        <v>Yes</v>
      </c>
      <c r="H2802" s="10" t="str">
        <f aca="false">IFERROR(INDEX(Section_Master!$F$2:$F$477,MATCH($E2802,Section_Master!$A$2:$A$477,0))&amp;"","")</f>
        <v>No</v>
      </c>
      <c r="I2802" s="10" t="str">
        <f aca="false">IFERROR(INDEX(Section_Master!$G$2:$G$477,MATCH($E2802,Section_Master!$A$2:$A$477,0))&amp;"","")</f>
        <v>No</v>
      </c>
      <c r="J2802" s="10" t="s">
        <v>61</v>
      </c>
      <c r="K2802" s="8" t="s">
        <v>6576</v>
      </c>
    </row>
    <row r="2803" customFormat="false" ht="34.5" hidden="false" customHeight="true" outlineLevel="0" collapsed="false">
      <c r="A2803" s="10" t="s">
        <v>6585</v>
      </c>
      <c r="B2803" s="10" t="s">
        <v>45</v>
      </c>
      <c r="C2803" s="8" t="s">
        <v>6574</v>
      </c>
      <c r="D2803" s="8" t="s">
        <v>6586</v>
      </c>
      <c r="E2803" s="11" t="n">
        <v>109</v>
      </c>
      <c r="F2803" s="8" t="str">
        <f aca="false">IFERROR(INDEX(Section_Master!$D$2:$D$477,MATCH($E2803,Section_Master!$A$2:$A$477,0))&amp;"","")</f>
        <v>Imprisonment up to 10 years and fine; if hurt is caused, imprisonment for life or the term above [s.109(1)]</v>
      </c>
      <c r="G2803" s="10" t="str">
        <f aca="false">IFERROR(INDEX(Section_Master!$E$2:$E$477,MATCH($E2803,Section_Master!$A$2:$A$477,0))&amp;"","")</f>
        <v>Yes</v>
      </c>
      <c r="H2803" s="10" t="str">
        <f aca="false">IFERROR(INDEX(Section_Master!$F$2:$F$477,MATCH($E2803,Section_Master!$A$2:$A$477,0))&amp;"","")</f>
        <v>No</v>
      </c>
      <c r="I2803" s="10" t="str">
        <f aca="false">IFERROR(INDEX(Section_Master!$G$2:$G$477,MATCH($E2803,Section_Master!$A$2:$A$477,0))&amp;"","")</f>
        <v>No</v>
      </c>
      <c r="J2803" s="10" t="s">
        <v>64</v>
      </c>
      <c r="K2803" s="8" t="s">
        <v>6576</v>
      </c>
    </row>
    <row r="2804" customFormat="false" ht="34.5" hidden="false" customHeight="true" outlineLevel="0" collapsed="false">
      <c r="A2804" s="10" t="s">
        <v>6587</v>
      </c>
      <c r="B2804" s="10" t="s">
        <v>45</v>
      </c>
      <c r="C2804" s="8" t="s">
        <v>6588</v>
      </c>
      <c r="D2804" s="8" t="s">
        <v>6589</v>
      </c>
      <c r="E2804" s="11" t="n">
        <v>110</v>
      </c>
      <c r="F2804" s="8" t="str">
        <f aca="false">IFERROR(INDEX(Section_Master!$D$2:$D$477,MATCH($E2804,Section_Master!$A$2:$A$477,0))&amp;"","")</f>
        <v>Imprisonment up to 3 years, or fine, or both; up to 7 years, or fine, or both if hurt is caused [s.110]</v>
      </c>
      <c r="G2804" s="10" t="str">
        <f aca="false">IFERROR(INDEX(Section_Master!$E$2:$E$477,MATCH($E2804,Section_Master!$A$2:$A$477,0))&amp;"","")</f>
        <v>Yes</v>
      </c>
      <c r="H2804" s="10" t="str">
        <f aca="false">IFERROR(INDEX(Section_Master!$F$2:$F$477,MATCH($E2804,Section_Master!$A$2:$A$477,0))&amp;"","")</f>
        <v>No</v>
      </c>
      <c r="I2804" s="10" t="str">
        <f aca="false">IFERROR(INDEX(Section_Master!$G$2:$G$477,MATCH($E2804,Section_Master!$A$2:$A$477,0))&amp;"","")</f>
        <v>With court permission</v>
      </c>
      <c r="J2804" s="10" t="s">
        <v>48</v>
      </c>
      <c r="K2804" s="8" t="s">
        <v>6590</v>
      </c>
    </row>
    <row r="2805" customFormat="false" ht="34.5" hidden="false" customHeight="true" outlineLevel="0" collapsed="false">
      <c r="A2805" s="10" t="s">
        <v>6591</v>
      </c>
      <c r="B2805" s="10" t="s">
        <v>45</v>
      </c>
      <c r="C2805" s="8" t="s">
        <v>6588</v>
      </c>
      <c r="D2805" s="8" t="s">
        <v>6592</v>
      </c>
      <c r="E2805" s="11" t="n">
        <v>110</v>
      </c>
      <c r="F2805" s="8" t="str">
        <f aca="false">IFERROR(INDEX(Section_Master!$D$2:$D$477,MATCH($E2805,Section_Master!$A$2:$A$477,0))&amp;"","")</f>
        <v>Imprisonment up to 3 years, or fine, or both; up to 7 years, or fine, or both if hurt is caused [s.110]</v>
      </c>
      <c r="G2805" s="10" t="str">
        <f aca="false">IFERROR(INDEX(Section_Master!$E$2:$E$477,MATCH($E2805,Section_Master!$A$2:$A$477,0))&amp;"","")</f>
        <v>Yes</v>
      </c>
      <c r="H2805" s="10" t="str">
        <f aca="false">IFERROR(INDEX(Section_Master!$F$2:$F$477,MATCH($E2805,Section_Master!$A$2:$A$477,0))&amp;"","")</f>
        <v>No</v>
      </c>
      <c r="I2805" s="10" t="str">
        <f aca="false">IFERROR(INDEX(Section_Master!$G$2:$G$477,MATCH($E2805,Section_Master!$A$2:$A$477,0))&amp;"","")</f>
        <v>With court permission</v>
      </c>
      <c r="J2805" s="10" t="s">
        <v>52</v>
      </c>
      <c r="K2805" s="8" t="s">
        <v>6590</v>
      </c>
    </row>
    <row r="2806" customFormat="false" ht="34.5" hidden="false" customHeight="true" outlineLevel="0" collapsed="false">
      <c r="A2806" s="10" t="s">
        <v>6593</v>
      </c>
      <c r="B2806" s="10" t="s">
        <v>45</v>
      </c>
      <c r="C2806" s="8" t="s">
        <v>6588</v>
      </c>
      <c r="D2806" s="8" t="s">
        <v>6594</v>
      </c>
      <c r="E2806" s="11" t="n">
        <v>110</v>
      </c>
      <c r="F2806" s="8" t="str">
        <f aca="false">IFERROR(INDEX(Section_Master!$D$2:$D$477,MATCH($E2806,Section_Master!$A$2:$A$477,0))&amp;"","")</f>
        <v>Imprisonment up to 3 years, or fine, or both; up to 7 years, or fine, or both if hurt is caused [s.110]</v>
      </c>
      <c r="G2806" s="10" t="str">
        <f aca="false">IFERROR(INDEX(Section_Master!$E$2:$E$477,MATCH($E2806,Section_Master!$A$2:$A$477,0))&amp;"","")</f>
        <v>Yes</v>
      </c>
      <c r="H2806" s="10" t="str">
        <f aca="false">IFERROR(INDEX(Section_Master!$F$2:$F$477,MATCH($E2806,Section_Master!$A$2:$A$477,0))&amp;"","")</f>
        <v>No</v>
      </c>
      <c r="I2806" s="10" t="str">
        <f aca="false">IFERROR(INDEX(Section_Master!$G$2:$G$477,MATCH($E2806,Section_Master!$A$2:$A$477,0))&amp;"","")</f>
        <v>With court permission</v>
      </c>
      <c r="J2806" s="10" t="s">
        <v>55</v>
      </c>
      <c r="K2806" s="8" t="s">
        <v>6590</v>
      </c>
    </row>
    <row r="2807" customFormat="false" ht="34.5" hidden="false" customHeight="true" outlineLevel="0" collapsed="false">
      <c r="A2807" s="10" t="s">
        <v>6595</v>
      </c>
      <c r="B2807" s="10" t="s">
        <v>45</v>
      </c>
      <c r="C2807" s="8" t="s">
        <v>6588</v>
      </c>
      <c r="D2807" s="8" t="s">
        <v>6596</v>
      </c>
      <c r="E2807" s="11" t="n">
        <v>110</v>
      </c>
      <c r="F2807" s="8" t="str">
        <f aca="false">IFERROR(INDEX(Section_Master!$D$2:$D$477,MATCH($E2807,Section_Master!$A$2:$A$477,0))&amp;"","")</f>
        <v>Imprisonment up to 3 years, or fine, or both; up to 7 years, or fine, or both if hurt is caused [s.110]</v>
      </c>
      <c r="G2807" s="10" t="str">
        <f aca="false">IFERROR(INDEX(Section_Master!$E$2:$E$477,MATCH($E2807,Section_Master!$A$2:$A$477,0))&amp;"","")</f>
        <v>Yes</v>
      </c>
      <c r="H2807" s="10" t="str">
        <f aca="false">IFERROR(INDEX(Section_Master!$F$2:$F$477,MATCH($E2807,Section_Master!$A$2:$A$477,0))&amp;"","")</f>
        <v>No</v>
      </c>
      <c r="I2807" s="10" t="str">
        <f aca="false">IFERROR(INDEX(Section_Master!$G$2:$G$477,MATCH($E2807,Section_Master!$A$2:$A$477,0))&amp;"","")</f>
        <v>With court permission</v>
      </c>
      <c r="J2807" s="10" t="s">
        <v>58</v>
      </c>
      <c r="K2807" s="8" t="s">
        <v>6590</v>
      </c>
    </row>
    <row r="2808" customFormat="false" ht="23.25" hidden="false" customHeight="true" outlineLevel="0" collapsed="false">
      <c r="A2808" s="10" t="s">
        <v>6597</v>
      </c>
      <c r="B2808" s="10" t="s">
        <v>45</v>
      </c>
      <c r="C2808" s="8" t="s">
        <v>6588</v>
      </c>
      <c r="D2808" s="8" t="s">
        <v>6598</v>
      </c>
      <c r="E2808" s="11" t="n">
        <v>110</v>
      </c>
      <c r="F2808" s="8" t="str">
        <f aca="false">IFERROR(INDEX(Section_Master!$D$2:$D$477,MATCH($E2808,Section_Master!$A$2:$A$477,0))&amp;"","")</f>
        <v>Imprisonment up to 3 years, or fine, or both; up to 7 years, or fine, or both if hurt is caused [s.110]</v>
      </c>
      <c r="G2808" s="10" t="str">
        <f aca="false">IFERROR(INDEX(Section_Master!$E$2:$E$477,MATCH($E2808,Section_Master!$A$2:$A$477,0))&amp;"","")</f>
        <v>Yes</v>
      </c>
      <c r="H2808" s="10" t="str">
        <f aca="false">IFERROR(INDEX(Section_Master!$F$2:$F$477,MATCH($E2808,Section_Master!$A$2:$A$477,0))&amp;"","")</f>
        <v>No</v>
      </c>
      <c r="I2808" s="10" t="str">
        <f aca="false">IFERROR(INDEX(Section_Master!$G$2:$G$477,MATCH($E2808,Section_Master!$A$2:$A$477,0))&amp;"","")</f>
        <v>With court permission</v>
      </c>
      <c r="J2808" s="10" t="s">
        <v>61</v>
      </c>
      <c r="K2808" s="8" t="s">
        <v>6590</v>
      </c>
    </row>
    <row r="2809" customFormat="false" ht="34.5" hidden="false" customHeight="true" outlineLevel="0" collapsed="false">
      <c r="A2809" s="10" t="s">
        <v>6599</v>
      </c>
      <c r="B2809" s="10" t="s">
        <v>45</v>
      </c>
      <c r="C2809" s="8" t="s">
        <v>6588</v>
      </c>
      <c r="D2809" s="8" t="s">
        <v>6600</v>
      </c>
      <c r="E2809" s="11" t="n">
        <v>110</v>
      </c>
      <c r="F2809" s="8" t="str">
        <f aca="false">IFERROR(INDEX(Section_Master!$D$2:$D$477,MATCH($E2809,Section_Master!$A$2:$A$477,0))&amp;"","")</f>
        <v>Imprisonment up to 3 years, or fine, or both; up to 7 years, or fine, or both if hurt is caused [s.110]</v>
      </c>
      <c r="G2809" s="10" t="str">
        <f aca="false">IFERROR(INDEX(Section_Master!$E$2:$E$477,MATCH($E2809,Section_Master!$A$2:$A$477,0))&amp;"","")</f>
        <v>Yes</v>
      </c>
      <c r="H2809" s="10" t="str">
        <f aca="false">IFERROR(INDEX(Section_Master!$F$2:$F$477,MATCH($E2809,Section_Master!$A$2:$A$477,0))&amp;"","")</f>
        <v>No</v>
      </c>
      <c r="I2809" s="10" t="str">
        <f aca="false">IFERROR(INDEX(Section_Master!$G$2:$G$477,MATCH($E2809,Section_Master!$A$2:$A$477,0))&amp;"","")</f>
        <v>With court permission</v>
      </c>
      <c r="J2809" s="10" t="s">
        <v>64</v>
      </c>
      <c r="K2809" s="8" t="s">
        <v>6590</v>
      </c>
    </row>
    <row r="2810" customFormat="false" ht="34.5" hidden="false" customHeight="true" outlineLevel="0" collapsed="false">
      <c r="A2810" s="10" t="s">
        <v>6601</v>
      </c>
      <c r="B2810" s="10" t="s">
        <v>45</v>
      </c>
      <c r="C2810" s="8" t="s">
        <v>66</v>
      </c>
      <c r="D2810" s="8" t="s">
        <v>6602</v>
      </c>
      <c r="E2810" s="11" t="n">
        <v>111</v>
      </c>
      <c r="F2810" s="8" t="str">
        <f aca="false">IFERROR(INDEX(Section_Master!$D$2:$D$477,MATCH($E2810,Section_Master!$A$2:$A$477,0))&amp;"","")</f>
        <v>Death or life imprisonment and fine not less than Rs 10 lakh if death results; otherwise 5 years to life and fine not less than Rs 5 lakh [s.111(2)]</v>
      </c>
      <c r="G2810" s="10" t="str">
        <f aca="false">IFERROR(INDEX(Section_Master!$E$2:$E$477,MATCH($E2810,Section_Master!$A$2:$A$477,0))&amp;"","")</f>
        <v>Yes</v>
      </c>
      <c r="H2810" s="10" t="str">
        <f aca="false">IFERROR(INDEX(Section_Master!$F$2:$F$477,MATCH($E2810,Section_Master!$A$2:$A$477,0))&amp;"","")</f>
        <v>No</v>
      </c>
      <c r="I2810" s="10" t="str">
        <f aca="false">IFERROR(INDEX(Section_Master!$G$2:$G$477,MATCH($E2810,Section_Master!$A$2:$A$477,0))&amp;"","")</f>
        <v>No</v>
      </c>
      <c r="J2810" s="10" t="s">
        <v>48</v>
      </c>
      <c r="K2810" s="8" t="s">
        <v>6603</v>
      </c>
    </row>
    <row r="2811" customFormat="false" ht="34.5" hidden="false" customHeight="true" outlineLevel="0" collapsed="false">
      <c r="A2811" s="10" t="s">
        <v>6604</v>
      </c>
      <c r="B2811" s="10" t="s">
        <v>45</v>
      </c>
      <c r="C2811" s="8" t="s">
        <v>66</v>
      </c>
      <c r="D2811" s="8" t="s">
        <v>6605</v>
      </c>
      <c r="E2811" s="11" t="n">
        <v>111</v>
      </c>
      <c r="F2811" s="8" t="str">
        <f aca="false">IFERROR(INDEX(Section_Master!$D$2:$D$477,MATCH($E2811,Section_Master!$A$2:$A$477,0))&amp;"","")</f>
        <v>Death or life imprisonment and fine not less than Rs 10 lakh if death results; otherwise 5 years to life and fine not less than Rs 5 lakh [s.111(2)]</v>
      </c>
      <c r="G2811" s="10" t="str">
        <f aca="false">IFERROR(INDEX(Section_Master!$E$2:$E$477,MATCH($E2811,Section_Master!$A$2:$A$477,0))&amp;"","")</f>
        <v>Yes</v>
      </c>
      <c r="H2811" s="10" t="str">
        <f aca="false">IFERROR(INDEX(Section_Master!$F$2:$F$477,MATCH($E2811,Section_Master!$A$2:$A$477,0))&amp;"","")</f>
        <v>No</v>
      </c>
      <c r="I2811" s="10" t="str">
        <f aca="false">IFERROR(INDEX(Section_Master!$G$2:$G$477,MATCH($E2811,Section_Master!$A$2:$A$477,0))&amp;"","")</f>
        <v>No</v>
      </c>
      <c r="J2811" s="10" t="s">
        <v>52</v>
      </c>
      <c r="K2811" s="8" t="s">
        <v>6603</v>
      </c>
    </row>
    <row r="2812" customFormat="false" ht="23.25" hidden="false" customHeight="true" outlineLevel="0" collapsed="false">
      <c r="A2812" s="10" t="s">
        <v>6606</v>
      </c>
      <c r="B2812" s="10" t="s">
        <v>45</v>
      </c>
      <c r="C2812" s="8" t="s">
        <v>66</v>
      </c>
      <c r="D2812" s="8" t="s">
        <v>6607</v>
      </c>
      <c r="E2812" s="11" t="n">
        <v>111</v>
      </c>
      <c r="F2812" s="8" t="str">
        <f aca="false">IFERROR(INDEX(Section_Master!$D$2:$D$477,MATCH($E2812,Section_Master!$A$2:$A$477,0))&amp;"","")</f>
        <v>Death or life imprisonment and fine not less than Rs 10 lakh if death results; otherwise 5 years to life and fine not less than Rs 5 lakh [s.111(2)]</v>
      </c>
      <c r="G2812" s="10" t="str">
        <f aca="false">IFERROR(INDEX(Section_Master!$E$2:$E$477,MATCH($E2812,Section_Master!$A$2:$A$477,0))&amp;"","")</f>
        <v>Yes</v>
      </c>
      <c r="H2812" s="10" t="str">
        <f aca="false">IFERROR(INDEX(Section_Master!$F$2:$F$477,MATCH($E2812,Section_Master!$A$2:$A$477,0))&amp;"","")</f>
        <v>No</v>
      </c>
      <c r="I2812" s="10" t="str">
        <f aca="false">IFERROR(INDEX(Section_Master!$G$2:$G$477,MATCH($E2812,Section_Master!$A$2:$A$477,0))&amp;"","")</f>
        <v>No</v>
      </c>
      <c r="J2812" s="10" t="s">
        <v>55</v>
      </c>
      <c r="K2812" s="8" t="s">
        <v>6603</v>
      </c>
    </row>
    <row r="2813" customFormat="false" ht="34.5" hidden="false" customHeight="true" outlineLevel="0" collapsed="false">
      <c r="A2813" s="10" t="s">
        <v>6608</v>
      </c>
      <c r="B2813" s="10" t="s">
        <v>45</v>
      </c>
      <c r="C2813" s="8" t="s">
        <v>66</v>
      </c>
      <c r="D2813" s="8" t="s">
        <v>6609</v>
      </c>
      <c r="E2813" s="11" t="n">
        <v>111</v>
      </c>
      <c r="F2813" s="8" t="str">
        <f aca="false">IFERROR(INDEX(Section_Master!$D$2:$D$477,MATCH($E2813,Section_Master!$A$2:$A$477,0))&amp;"","")</f>
        <v>Death or life imprisonment and fine not less than Rs 10 lakh if death results; otherwise 5 years to life and fine not less than Rs 5 lakh [s.111(2)]</v>
      </c>
      <c r="G2813" s="10" t="str">
        <f aca="false">IFERROR(INDEX(Section_Master!$E$2:$E$477,MATCH($E2813,Section_Master!$A$2:$A$477,0))&amp;"","")</f>
        <v>Yes</v>
      </c>
      <c r="H2813" s="10" t="str">
        <f aca="false">IFERROR(INDEX(Section_Master!$F$2:$F$477,MATCH($E2813,Section_Master!$A$2:$A$477,0))&amp;"","")</f>
        <v>No</v>
      </c>
      <c r="I2813" s="10" t="str">
        <f aca="false">IFERROR(INDEX(Section_Master!$G$2:$G$477,MATCH($E2813,Section_Master!$A$2:$A$477,0))&amp;"","")</f>
        <v>No</v>
      </c>
      <c r="J2813" s="10" t="s">
        <v>58</v>
      </c>
      <c r="K2813" s="8" t="s">
        <v>6603</v>
      </c>
    </row>
    <row r="2814" customFormat="false" ht="34.5" hidden="false" customHeight="true" outlineLevel="0" collapsed="false">
      <c r="A2814" s="10" t="s">
        <v>6610</v>
      </c>
      <c r="B2814" s="10" t="s">
        <v>45</v>
      </c>
      <c r="C2814" s="8" t="s">
        <v>66</v>
      </c>
      <c r="D2814" s="8" t="s">
        <v>6611</v>
      </c>
      <c r="E2814" s="11" t="n">
        <v>111</v>
      </c>
      <c r="F2814" s="8" t="str">
        <f aca="false">IFERROR(INDEX(Section_Master!$D$2:$D$477,MATCH($E2814,Section_Master!$A$2:$A$477,0))&amp;"","")</f>
        <v>Death or life imprisonment and fine not less than Rs 10 lakh if death results; otherwise 5 years to life and fine not less than Rs 5 lakh [s.111(2)]</v>
      </c>
      <c r="G2814" s="10" t="str">
        <f aca="false">IFERROR(INDEX(Section_Master!$E$2:$E$477,MATCH($E2814,Section_Master!$A$2:$A$477,0))&amp;"","")</f>
        <v>Yes</v>
      </c>
      <c r="H2814" s="10" t="str">
        <f aca="false">IFERROR(INDEX(Section_Master!$F$2:$F$477,MATCH($E2814,Section_Master!$A$2:$A$477,0))&amp;"","")</f>
        <v>No</v>
      </c>
      <c r="I2814" s="10" t="str">
        <f aca="false">IFERROR(INDEX(Section_Master!$G$2:$G$477,MATCH($E2814,Section_Master!$A$2:$A$477,0))&amp;"","")</f>
        <v>No</v>
      </c>
      <c r="J2814" s="10" t="s">
        <v>61</v>
      </c>
      <c r="K2814" s="8" t="s">
        <v>6603</v>
      </c>
    </row>
    <row r="2815" customFormat="false" ht="34.5" hidden="false" customHeight="true" outlineLevel="0" collapsed="false">
      <c r="A2815" s="10" t="s">
        <v>6612</v>
      </c>
      <c r="B2815" s="10" t="s">
        <v>45</v>
      </c>
      <c r="C2815" s="8" t="s">
        <v>66</v>
      </c>
      <c r="D2815" s="8" t="s">
        <v>6613</v>
      </c>
      <c r="E2815" s="11" t="n">
        <v>111</v>
      </c>
      <c r="F2815" s="8" t="str">
        <f aca="false">IFERROR(INDEX(Section_Master!$D$2:$D$477,MATCH($E2815,Section_Master!$A$2:$A$477,0))&amp;"","")</f>
        <v>Death or life imprisonment and fine not less than Rs 10 lakh if death results; otherwise 5 years to life and fine not less than Rs 5 lakh [s.111(2)]</v>
      </c>
      <c r="G2815" s="10" t="str">
        <f aca="false">IFERROR(INDEX(Section_Master!$E$2:$E$477,MATCH($E2815,Section_Master!$A$2:$A$477,0))&amp;"","")</f>
        <v>Yes</v>
      </c>
      <c r="H2815" s="10" t="str">
        <f aca="false">IFERROR(INDEX(Section_Master!$F$2:$F$477,MATCH($E2815,Section_Master!$A$2:$A$477,0))&amp;"","")</f>
        <v>No</v>
      </c>
      <c r="I2815" s="10" t="str">
        <f aca="false">IFERROR(INDEX(Section_Master!$G$2:$G$477,MATCH($E2815,Section_Master!$A$2:$A$477,0))&amp;"","")</f>
        <v>No</v>
      </c>
      <c r="J2815" s="10" t="s">
        <v>64</v>
      </c>
      <c r="K2815" s="8" t="s">
        <v>6603</v>
      </c>
    </row>
    <row r="2816" customFormat="false" ht="34.5" hidden="false" customHeight="true" outlineLevel="0" collapsed="false">
      <c r="A2816" s="10" t="s">
        <v>6614</v>
      </c>
      <c r="B2816" s="10" t="s">
        <v>45</v>
      </c>
      <c r="C2816" s="8" t="s">
        <v>6615</v>
      </c>
      <c r="D2816" s="8" t="s">
        <v>6616</v>
      </c>
      <c r="E2816" s="11" t="n">
        <v>112</v>
      </c>
      <c r="F2816" s="8" t="str">
        <f aca="false">IFERROR(INDEX(Section_Master!$D$2:$D$477,MATCH($E2816,Section_Master!$A$2:$A$477,0))&amp;"","")</f>
        <v>Imprisonment not less than 1 year, may extend to 7 years, and fine</v>
      </c>
      <c r="G2816" s="10" t="str">
        <f aca="false">IFERROR(INDEX(Section_Master!$E$2:$E$477,MATCH($E2816,Section_Master!$A$2:$A$477,0))&amp;"","")</f>
        <v>Yes</v>
      </c>
      <c r="H2816" s="10" t="str">
        <f aca="false">IFERROR(INDEX(Section_Master!$F$2:$F$477,MATCH($E2816,Section_Master!$A$2:$A$477,0))&amp;"","")</f>
        <v>No</v>
      </c>
      <c r="I2816" s="10" t="str">
        <f aca="false">IFERROR(INDEX(Section_Master!$G$2:$G$477,MATCH($E2816,Section_Master!$A$2:$A$477,0))&amp;"","")</f>
        <v>No</v>
      </c>
      <c r="J2816" s="10" t="s">
        <v>48</v>
      </c>
      <c r="K2816" s="8" t="s">
        <v>6617</v>
      </c>
    </row>
    <row r="2817" customFormat="false" ht="34.5" hidden="false" customHeight="true" outlineLevel="0" collapsed="false">
      <c r="A2817" s="10" t="s">
        <v>6618</v>
      </c>
      <c r="B2817" s="10" t="s">
        <v>45</v>
      </c>
      <c r="C2817" s="8" t="s">
        <v>6615</v>
      </c>
      <c r="D2817" s="8" t="s">
        <v>6619</v>
      </c>
      <c r="E2817" s="11" t="n">
        <v>112</v>
      </c>
      <c r="F2817" s="8" t="str">
        <f aca="false">IFERROR(INDEX(Section_Master!$D$2:$D$477,MATCH($E2817,Section_Master!$A$2:$A$477,0))&amp;"","")</f>
        <v>Imprisonment not less than 1 year, may extend to 7 years, and fine</v>
      </c>
      <c r="G2817" s="10" t="str">
        <f aca="false">IFERROR(INDEX(Section_Master!$E$2:$E$477,MATCH($E2817,Section_Master!$A$2:$A$477,0))&amp;"","")</f>
        <v>Yes</v>
      </c>
      <c r="H2817" s="10" t="str">
        <f aca="false">IFERROR(INDEX(Section_Master!$F$2:$F$477,MATCH($E2817,Section_Master!$A$2:$A$477,0))&amp;"","")</f>
        <v>No</v>
      </c>
      <c r="I2817" s="10" t="str">
        <f aca="false">IFERROR(INDEX(Section_Master!$G$2:$G$477,MATCH($E2817,Section_Master!$A$2:$A$477,0))&amp;"","")</f>
        <v>No</v>
      </c>
      <c r="J2817" s="10" t="s">
        <v>52</v>
      </c>
      <c r="K2817" s="8" t="s">
        <v>6617</v>
      </c>
    </row>
    <row r="2818" customFormat="false" ht="34.5" hidden="false" customHeight="true" outlineLevel="0" collapsed="false">
      <c r="A2818" s="10" t="s">
        <v>6620</v>
      </c>
      <c r="B2818" s="10" t="s">
        <v>45</v>
      </c>
      <c r="C2818" s="8" t="s">
        <v>6615</v>
      </c>
      <c r="D2818" s="8" t="s">
        <v>6621</v>
      </c>
      <c r="E2818" s="11" t="n">
        <v>112</v>
      </c>
      <c r="F2818" s="8" t="str">
        <f aca="false">IFERROR(INDEX(Section_Master!$D$2:$D$477,MATCH($E2818,Section_Master!$A$2:$A$477,0))&amp;"","")</f>
        <v>Imprisonment not less than 1 year, may extend to 7 years, and fine</v>
      </c>
      <c r="G2818" s="10" t="str">
        <f aca="false">IFERROR(INDEX(Section_Master!$E$2:$E$477,MATCH($E2818,Section_Master!$A$2:$A$477,0))&amp;"","")</f>
        <v>Yes</v>
      </c>
      <c r="H2818" s="10" t="str">
        <f aca="false">IFERROR(INDEX(Section_Master!$F$2:$F$477,MATCH($E2818,Section_Master!$A$2:$A$477,0))&amp;"","")</f>
        <v>No</v>
      </c>
      <c r="I2818" s="10" t="str">
        <f aca="false">IFERROR(INDEX(Section_Master!$G$2:$G$477,MATCH($E2818,Section_Master!$A$2:$A$477,0))&amp;"","")</f>
        <v>No</v>
      </c>
      <c r="J2818" s="10" t="s">
        <v>55</v>
      </c>
      <c r="K2818" s="8" t="s">
        <v>6617</v>
      </c>
    </row>
    <row r="2819" customFormat="false" ht="34.5" hidden="false" customHeight="true" outlineLevel="0" collapsed="false">
      <c r="A2819" s="10" t="s">
        <v>6622</v>
      </c>
      <c r="B2819" s="10" t="s">
        <v>45</v>
      </c>
      <c r="C2819" s="8" t="s">
        <v>6615</v>
      </c>
      <c r="D2819" s="8" t="s">
        <v>6623</v>
      </c>
      <c r="E2819" s="11" t="n">
        <v>112</v>
      </c>
      <c r="F2819" s="8" t="str">
        <f aca="false">IFERROR(INDEX(Section_Master!$D$2:$D$477,MATCH($E2819,Section_Master!$A$2:$A$477,0))&amp;"","")</f>
        <v>Imprisonment not less than 1 year, may extend to 7 years, and fine</v>
      </c>
      <c r="G2819" s="10" t="str">
        <f aca="false">IFERROR(INDEX(Section_Master!$E$2:$E$477,MATCH($E2819,Section_Master!$A$2:$A$477,0))&amp;"","")</f>
        <v>Yes</v>
      </c>
      <c r="H2819" s="10" t="str">
        <f aca="false">IFERROR(INDEX(Section_Master!$F$2:$F$477,MATCH($E2819,Section_Master!$A$2:$A$477,0))&amp;"","")</f>
        <v>No</v>
      </c>
      <c r="I2819" s="10" t="str">
        <f aca="false">IFERROR(INDEX(Section_Master!$G$2:$G$477,MATCH($E2819,Section_Master!$A$2:$A$477,0))&amp;"","")</f>
        <v>No</v>
      </c>
      <c r="J2819" s="10" t="s">
        <v>58</v>
      </c>
      <c r="K2819" s="8" t="s">
        <v>6617</v>
      </c>
    </row>
    <row r="2820" customFormat="false" ht="34.5" hidden="false" customHeight="true" outlineLevel="0" collapsed="false">
      <c r="A2820" s="10" t="s">
        <v>6624</v>
      </c>
      <c r="B2820" s="10" t="s">
        <v>45</v>
      </c>
      <c r="C2820" s="8" t="s">
        <v>6615</v>
      </c>
      <c r="D2820" s="8" t="s">
        <v>6625</v>
      </c>
      <c r="E2820" s="11" t="n">
        <v>112</v>
      </c>
      <c r="F2820" s="8" t="str">
        <f aca="false">IFERROR(INDEX(Section_Master!$D$2:$D$477,MATCH($E2820,Section_Master!$A$2:$A$477,0))&amp;"","")</f>
        <v>Imprisonment not less than 1 year, may extend to 7 years, and fine</v>
      </c>
      <c r="G2820" s="10" t="str">
        <f aca="false">IFERROR(INDEX(Section_Master!$E$2:$E$477,MATCH($E2820,Section_Master!$A$2:$A$477,0))&amp;"","")</f>
        <v>Yes</v>
      </c>
      <c r="H2820" s="10" t="str">
        <f aca="false">IFERROR(INDEX(Section_Master!$F$2:$F$477,MATCH($E2820,Section_Master!$A$2:$A$477,0))&amp;"","")</f>
        <v>No</v>
      </c>
      <c r="I2820" s="10" t="str">
        <f aca="false">IFERROR(INDEX(Section_Master!$G$2:$G$477,MATCH($E2820,Section_Master!$A$2:$A$477,0))&amp;"","")</f>
        <v>No</v>
      </c>
      <c r="J2820" s="10" t="s">
        <v>61</v>
      </c>
      <c r="K2820" s="8" t="s">
        <v>6617</v>
      </c>
    </row>
    <row r="2821" customFormat="false" ht="34.5" hidden="false" customHeight="true" outlineLevel="0" collapsed="false">
      <c r="A2821" s="10" t="s">
        <v>6626</v>
      </c>
      <c r="B2821" s="10" t="s">
        <v>45</v>
      </c>
      <c r="C2821" s="8" t="s">
        <v>6615</v>
      </c>
      <c r="D2821" s="8" t="s">
        <v>6627</v>
      </c>
      <c r="E2821" s="11" t="n">
        <v>112</v>
      </c>
      <c r="F2821" s="8" t="str">
        <f aca="false">IFERROR(INDEX(Section_Master!$D$2:$D$477,MATCH($E2821,Section_Master!$A$2:$A$477,0))&amp;"","")</f>
        <v>Imprisonment not less than 1 year, may extend to 7 years, and fine</v>
      </c>
      <c r="G2821" s="10" t="str">
        <f aca="false">IFERROR(INDEX(Section_Master!$E$2:$E$477,MATCH($E2821,Section_Master!$A$2:$A$477,0))&amp;"","")</f>
        <v>Yes</v>
      </c>
      <c r="H2821" s="10" t="str">
        <f aca="false">IFERROR(INDEX(Section_Master!$F$2:$F$477,MATCH($E2821,Section_Master!$A$2:$A$477,0))&amp;"","")</f>
        <v>No</v>
      </c>
      <c r="I2821" s="10" t="str">
        <f aca="false">IFERROR(INDEX(Section_Master!$G$2:$G$477,MATCH($E2821,Section_Master!$A$2:$A$477,0))&amp;"","")</f>
        <v>No</v>
      </c>
      <c r="J2821" s="10" t="s">
        <v>64</v>
      </c>
      <c r="K2821" s="8" t="s">
        <v>6617</v>
      </c>
    </row>
    <row r="2822" customFormat="false" ht="34.5" hidden="false" customHeight="true" outlineLevel="0" collapsed="false">
      <c r="A2822" s="10" t="s">
        <v>6628</v>
      </c>
      <c r="B2822" s="10" t="s">
        <v>45</v>
      </c>
      <c r="C2822" s="8" t="s">
        <v>6629</v>
      </c>
      <c r="D2822" s="8" t="s">
        <v>6630</v>
      </c>
      <c r="E2822" s="11" t="n">
        <v>113</v>
      </c>
      <c r="F2822" s="8" t="str">
        <f aca="false">IFERROR(INDEX(Section_Master!$D$2:$D$477,MATCH($E2822,Section_Master!$A$2:$A$477,0))&amp;"","")</f>
        <v>Death or life imprisonment and fine if death results; otherwise 5 years to life and fine [s.113(2)]</v>
      </c>
      <c r="G2822" s="10" t="str">
        <f aca="false">IFERROR(INDEX(Section_Master!$E$2:$E$477,MATCH($E2822,Section_Master!$A$2:$A$477,0))&amp;"","")</f>
        <v>Yes</v>
      </c>
      <c r="H2822" s="10" t="str">
        <f aca="false">IFERROR(INDEX(Section_Master!$F$2:$F$477,MATCH($E2822,Section_Master!$A$2:$A$477,0))&amp;"","")</f>
        <v>No</v>
      </c>
      <c r="I2822" s="10" t="str">
        <f aca="false">IFERROR(INDEX(Section_Master!$G$2:$G$477,MATCH($E2822,Section_Master!$A$2:$A$477,0))&amp;"","")</f>
        <v>No</v>
      </c>
      <c r="J2822" s="10" t="s">
        <v>48</v>
      </c>
      <c r="K2822" s="8" t="s">
        <v>6631</v>
      </c>
    </row>
    <row r="2823" customFormat="false" ht="34.5" hidden="false" customHeight="true" outlineLevel="0" collapsed="false">
      <c r="A2823" s="10" t="s">
        <v>6632</v>
      </c>
      <c r="B2823" s="10" t="s">
        <v>45</v>
      </c>
      <c r="C2823" s="8" t="s">
        <v>6629</v>
      </c>
      <c r="D2823" s="8" t="s">
        <v>6633</v>
      </c>
      <c r="E2823" s="11" t="n">
        <v>113</v>
      </c>
      <c r="F2823" s="8" t="str">
        <f aca="false">IFERROR(INDEX(Section_Master!$D$2:$D$477,MATCH($E2823,Section_Master!$A$2:$A$477,0))&amp;"","")</f>
        <v>Death or life imprisonment and fine if death results; otherwise 5 years to life and fine [s.113(2)]</v>
      </c>
      <c r="G2823" s="10" t="str">
        <f aca="false">IFERROR(INDEX(Section_Master!$E$2:$E$477,MATCH($E2823,Section_Master!$A$2:$A$477,0))&amp;"","")</f>
        <v>Yes</v>
      </c>
      <c r="H2823" s="10" t="str">
        <f aca="false">IFERROR(INDEX(Section_Master!$F$2:$F$477,MATCH($E2823,Section_Master!$A$2:$A$477,0))&amp;"","")</f>
        <v>No</v>
      </c>
      <c r="I2823" s="10" t="str">
        <f aca="false">IFERROR(INDEX(Section_Master!$G$2:$G$477,MATCH($E2823,Section_Master!$A$2:$A$477,0))&amp;"","")</f>
        <v>No</v>
      </c>
      <c r="J2823" s="10" t="s">
        <v>52</v>
      </c>
      <c r="K2823" s="8" t="s">
        <v>6631</v>
      </c>
    </row>
    <row r="2824" customFormat="false" ht="34.5" hidden="false" customHeight="true" outlineLevel="0" collapsed="false">
      <c r="A2824" s="10" t="s">
        <v>6634</v>
      </c>
      <c r="B2824" s="10" t="s">
        <v>45</v>
      </c>
      <c r="C2824" s="8" t="s">
        <v>6629</v>
      </c>
      <c r="D2824" s="8" t="s">
        <v>6635</v>
      </c>
      <c r="E2824" s="11" t="n">
        <v>113</v>
      </c>
      <c r="F2824" s="8" t="str">
        <f aca="false">IFERROR(INDEX(Section_Master!$D$2:$D$477,MATCH($E2824,Section_Master!$A$2:$A$477,0))&amp;"","")</f>
        <v>Death or life imprisonment and fine if death results; otherwise 5 years to life and fine [s.113(2)]</v>
      </c>
      <c r="G2824" s="10" t="str">
        <f aca="false">IFERROR(INDEX(Section_Master!$E$2:$E$477,MATCH($E2824,Section_Master!$A$2:$A$477,0))&amp;"","")</f>
        <v>Yes</v>
      </c>
      <c r="H2824" s="10" t="str">
        <f aca="false">IFERROR(INDEX(Section_Master!$F$2:$F$477,MATCH($E2824,Section_Master!$A$2:$A$477,0))&amp;"","")</f>
        <v>No</v>
      </c>
      <c r="I2824" s="10" t="str">
        <f aca="false">IFERROR(INDEX(Section_Master!$G$2:$G$477,MATCH($E2824,Section_Master!$A$2:$A$477,0))&amp;"","")</f>
        <v>No</v>
      </c>
      <c r="J2824" s="10" t="s">
        <v>55</v>
      </c>
      <c r="K2824" s="8" t="s">
        <v>6631</v>
      </c>
    </row>
    <row r="2825" customFormat="false" ht="34.5" hidden="false" customHeight="true" outlineLevel="0" collapsed="false">
      <c r="A2825" s="10" t="s">
        <v>6636</v>
      </c>
      <c r="B2825" s="10" t="s">
        <v>45</v>
      </c>
      <c r="C2825" s="8" t="s">
        <v>6629</v>
      </c>
      <c r="D2825" s="8" t="s">
        <v>6637</v>
      </c>
      <c r="E2825" s="11" t="n">
        <v>113</v>
      </c>
      <c r="F2825" s="8" t="str">
        <f aca="false">IFERROR(INDEX(Section_Master!$D$2:$D$477,MATCH($E2825,Section_Master!$A$2:$A$477,0))&amp;"","")</f>
        <v>Death or life imprisonment and fine if death results; otherwise 5 years to life and fine [s.113(2)]</v>
      </c>
      <c r="G2825" s="10" t="str">
        <f aca="false">IFERROR(INDEX(Section_Master!$E$2:$E$477,MATCH($E2825,Section_Master!$A$2:$A$477,0))&amp;"","")</f>
        <v>Yes</v>
      </c>
      <c r="H2825" s="10" t="str">
        <f aca="false">IFERROR(INDEX(Section_Master!$F$2:$F$477,MATCH($E2825,Section_Master!$A$2:$A$477,0))&amp;"","")</f>
        <v>No</v>
      </c>
      <c r="I2825" s="10" t="str">
        <f aca="false">IFERROR(INDEX(Section_Master!$G$2:$G$477,MATCH($E2825,Section_Master!$A$2:$A$477,0))&amp;"","")</f>
        <v>No</v>
      </c>
      <c r="J2825" s="10" t="s">
        <v>58</v>
      </c>
      <c r="K2825" s="8" t="s">
        <v>6631</v>
      </c>
    </row>
    <row r="2826" customFormat="false" ht="34.5" hidden="false" customHeight="true" outlineLevel="0" collapsed="false">
      <c r="A2826" s="10" t="s">
        <v>6638</v>
      </c>
      <c r="B2826" s="10" t="s">
        <v>45</v>
      </c>
      <c r="C2826" s="8" t="s">
        <v>6629</v>
      </c>
      <c r="D2826" s="8" t="s">
        <v>6639</v>
      </c>
      <c r="E2826" s="11" t="n">
        <v>113</v>
      </c>
      <c r="F2826" s="8" t="str">
        <f aca="false">IFERROR(INDEX(Section_Master!$D$2:$D$477,MATCH($E2826,Section_Master!$A$2:$A$477,0))&amp;"","")</f>
        <v>Death or life imprisonment and fine if death results; otherwise 5 years to life and fine [s.113(2)]</v>
      </c>
      <c r="G2826" s="10" t="str">
        <f aca="false">IFERROR(INDEX(Section_Master!$E$2:$E$477,MATCH($E2826,Section_Master!$A$2:$A$477,0))&amp;"","")</f>
        <v>Yes</v>
      </c>
      <c r="H2826" s="10" t="str">
        <f aca="false">IFERROR(INDEX(Section_Master!$F$2:$F$477,MATCH($E2826,Section_Master!$A$2:$A$477,0))&amp;"","")</f>
        <v>No</v>
      </c>
      <c r="I2826" s="10" t="str">
        <f aca="false">IFERROR(INDEX(Section_Master!$G$2:$G$477,MATCH($E2826,Section_Master!$A$2:$A$477,0))&amp;"","")</f>
        <v>No</v>
      </c>
      <c r="J2826" s="10" t="s">
        <v>61</v>
      </c>
      <c r="K2826" s="8" t="s">
        <v>6631</v>
      </c>
    </row>
    <row r="2827" customFormat="false" ht="34.5" hidden="false" customHeight="true" outlineLevel="0" collapsed="false">
      <c r="A2827" s="10" t="s">
        <v>6640</v>
      </c>
      <c r="B2827" s="10" t="s">
        <v>45</v>
      </c>
      <c r="C2827" s="8" t="s">
        <v>6629</v>
      </c>
      <c r="D2827" s="8" t="s">
        <v>6641</v>
      </c>
      <c r="E2827" s="11" t="n">
        <v>113</v>
      </c>
      <c r="F2827" s="8" t="str">
        <f aca="false">IFERROR(INDEX(Section_Master!$D$2:$D$477,MATCH($E2827,Section_Master!$A$2:$A$477,0))&amp;"","")</f>
        <v>Death or life imprisonment and fine if death results; otherwise 5 years to life and fine [s.113(2)]</v>
      </c>
      <c r="G2827" s="10" t="str">
        <f aca="false">IFERROR(INDEX(Section_Master!$E$2:$E$477,MATCH($E2827,Section_Master!$A$2:$A$477,0))&amp;"","")</f>
        <v>Yes</v>
      </c>
      <c r="H2827" s="10" t="str">
        <f aca="false">IFERROR(INDEX(Section_Master!$F$2:$F$477,MATCH($E2827,Section_Master!$A$2:$A$477,0))&amp;"","")</f>
        <v>No</v>
      </c>
      <c r="I2827" s="10" t="str">
        <f aca="false">IFERROR(INDEX(Section_Master!$G$2:$G$477,MATCH($E2827,Section_Master!$A$2:$A$477,0))&amp;"","")</f>
        <v>No</v>
      </c>
      <c r="J2827" s="10" t="s">
        <v>64</v>
      </c>
      <c r="K2827" s="8" t="s">
        <v>6631</v>
      </c>
    </row>
    <row r="2828" customFormat="false" ht="34.5" hidden="false" customHeight="true" outlineLevel="0" collapsed="false">
      <c r="A2828" s="10" t="s">
        <v>6642</v>
      </c>
      <c r="B2828" s="10" t="s">
        <v>45</v>
      </c>
      <c r="C2828" s="8" t="s">
        <v>6643</v>
      </c>
      <c r="D2828" s="8" t="s">
        <v>6644</v>
      </c>
      <c r="E2828" s="11" t="n">
        <v>114</v>
      </c>
      <c r="F2828" s="8" t="str">
        <f aca="false">IFERROR(INDEX(Section_Master!$D$2:$D$477,MATCH($E2828,Section_Master!$A$2:$A$477,0))&amp;"","")</f>
        <v>Not applicable - no offence or penalty defined here (definition, exception or general provision)</v>
      </c>
      <c r="G2828" s="10" t="str">
        <f aca="false">IFERROR(INDEX(Section_Master!$E$2:$E$477,MATCH($E2828,Section_Master!$A$2:$A$477,0))&amp;"","")</f>
        <v>N/A</v>
      </c>
      <c r="H2828" s="10" t="str">
        <f aca="false">IFERROR(INDEX(Section_Master!$F$2:$F$477,MATCH($E2828,Section_Master!$A$2:$A$477,0))&amp;"","")</f>
        <v>N/A</v>
      </c>
      <c r="I2828" s="10" t="str">
        <f aca="false">IFERROR(INDEX(Section_Master!$G$2:$G$477,MATCH($E2828,Section_Master!$A$2:$A$477,0))&amp;"","")</f>
        <v>N/A</v>
      </c>
      <c r="J2828" s="10" t="s">
        <v>48</v>
      </c>
      <c r="K2828" s="8" t="s">
        <v>6645</v>
      </c>
    </row>
    <row r="2829" customFormat="false" ht="34.5" hidden="false" customHeight="true" outlineLevel="0" collapsed="false">
      <c r="A2829" s="10" t="s">
        <v>6646</v>
      </c>
      <c r="B2829" s="10" t="s">
        <v>45</v>
      </c>
      <c r="C2829" s="8" t="s">
        <v>6643</v>
      </c>
      <c r="D2829" s="8" t="s">
        <v>6647</v>
      </c>
      <c r="E2829" s="11" t="n">
        <v>114</v>
      </c>
      <c r="F2829" s="8" t="str">
        <f aca="false">IFERROR(INDEX(Section_Master!$D$2:$D$477,MATCH($E2829,Section_Master!$A$2:$A$477,0))&amp;"","")</f>
        <v>Not applicable - no offence or penalty defined here (definition, exception or general provision)</v>
      </c>
      <c r="G2829" s="10" t="str">
        <f aca="false">IFERROR(INDEX(Section_Master!$E$2:$E$477,MATCH($E2829,Section_Master!$A$2:$A$477,0))&amp;"","")</f>
        <v>N/A</v>
      </c>
      <c r="H2829" s="10" t="str">
        <f aca="false">IFERROR(INDEX(Section_Master!$F$2:$F$477,MATCH($E2829,Section_Master!$A$2:$A$477,0))&amp;"","")</f>
        <v>N/A</v>
      </c>
      <c r="I2829" s="10" t="str">
        <f aca="false">IFERROR(INDEX(Section_Master!$G$2:$G$477,MATCH($E2829,Section_Master!$A$2:$A$477,0))&amp;"","")</f>
        <v>N/A</v>
      </c>
      <c r="J2829" s="10" t="s">
        <v>52</v>
      </c>
      <c r="K2829" s="8" t="s">
        <v>6645</v>
      </c>
    </row>
    <row r="2830" customFormat="false" ht="23.25" hidden="false" customHeight="true" outlineLevel="0" collapsed="false">
      <c r="A2830" s="10" t="s">
        <v>6648</v>
      </c>
      <c r="B2830" s="10" t="s">
        <v>45</v>
      </c>
      <c r="C2830" s="8" t="s">
        <v>6643</v>
      </c>
      <c r="D2830" s="8" t="s">
        <v>6649</v>
      </c>
      <c r="E2830" s="11" t="n">
        <v>114</v>
      </c>
      <c r="F2830" s="8" t="str">
        <f aca="false">IFERROR(INDEX(Section_Master!$D$2:$D$477,MATCH($E2830,Section_Master!$A$2:$A$477,0))&amp;"","")</f>
        <v>Not applicable - no offence or penalty defined here (definition, exception or general provision)</v>
      </c>
      <c r="G2830" s="10" t="str">
        <f aca="false">IFERROR(INDEX(Section_Master!$E$2:$E$477,MATCH($E2830,Section_Master!$A$2:$A$477,0))&amp;"","")</f>
        <v>N/A</v>
      </c>
      <c r="H2830" s="10" t="str">
        <f aca="false">IFERROR(INDEX(Section_Master!$F$2:$F$477,MATCH($E2830,Section_Master!$A$2:$A$477,0))&amp;"","")</f>
        <v>N/A</v>
      </c>
      <c r="I2830" s="10" t="str">
        <f aca="false">IFERROR(INDEX(Section_Master!$G$2:$G$477,MATCH($E2830,Section_Master!$A$2:$A$477,0))&amp;"","")</f>
        <v>N/A</v>
      </c>
      <c r="J2830" s="10" t="s">
        <v>55</v>
      </c>
      <c r="K2830" s="8" t="s">
        <v>6645</v>
      </c>
    </row>
    <row r="2831" customFormat="false" ht="23.25" hidden="false" customHeight="true" outlineLevel="0" collapsed="false">
      <c r="A2831" s="10" t="s">
        <v>6650</v>
      </c>
      <c r="B2831" s="10" t="s">
        <v>45</v>
      </c>
      <c r="C2831" s="8" t="s">
        <v>6643</v>
      </c>
      <c r="D2831" s="8" t="s">
        <v>6651</v>
      </c>
      <c r="E2831" s="11" t="n">
        <v>114</v>
      </c>
      <c r="F2831" s="8" t="str">
        <f aca="false">IFERROR(INDEX(Section_Master!$D$2:$D$477,MATCH($E2831,Section_Master!$A$2:$A$477,0))&amp;"","")</f>
        <v>Not applicable - no offence or penalty defined here (definition, exception or general provision)</v>
      </c>
      <c r="G2831" s="10" t="str">
        <f aca="false">IFERROR(INDEX(Section_Master!$E$2:$E$477,MATCH($E2831,Section_Master!$A$2:$A$477,0))&amp;"","")</f>
        <v>N/A</v>
      </c>
      <c r="H2831" s="10" t="str">
        <f aca="false">IFERROR(INDEX(Section_Master!$F$2:$F$477,MATCH($E2831,Section_Master!$A$2:$A$477,0))&amp;"","")</f>
        <v>N/A</v>
      </c>
      <c r="I2831" s="10" t="str">
        <f aca="false">IFERROR(INDEX(Section_Master!$G$2:$G$477,MATCH($E2831,Section_Master!$A$2:$A$477,0))&amp;"","")</f>
        <v>N/A</v>
      </c>
      <c r="J2831" s="10" t="s">
        <v>58</v>
      </c>
      <c r="K2831" s="8" t="s">
        <v>6645</v>
      </c>
    </row>
    <row r="2832" customFormat="false" ht="23.25" hidden="false" customHeight="true" outlineLevel="0" collapsed="false">
      <c r="A2832" s="10" t="s">
        <v>6652</v>
      </c>
      <c r="B2832" s="10" t="s">
        <v>45</v>
      </c>
      <c r="C2832" s="8" t="s">
        <v>6643</v>
      </c>
      <c r="D2832" s="8" t="s">
        <v>6653</v>
      </c>
      <c r="E2832" s="11" t="n">
        <v>114</v>
      </c>
      <c r="F2832" s="8" t="str">
        <f aca="false">IFERROR(INDEX(Section_Master!$D$2:$D$477,MATCH($E2832,Section_Master!$A$2:$A$477,0))&amp;"","")</f>
        <v>Not applicable - no offence or penalty defined here (definition, exception or general provision)</v>
      </c>
      <c r="G2832" s="10" t="str">
        <f aca="false">IFERROR(INDEX(Section_Master!$E$2:$E$477,MATCH($E2832,Section_Master!$A$2:$A$477,0))&amp;"","")</f>
        <v>N/A</v>
      </c>
      <c r="H2832" s="10" t="str">
        <f aca="false">IFERROR(INDEX(Section_Master!$F$2:$F$477,MATCH($E2832,Section_Master!$A$2:$A$477,0))&amp;"","")</f>
        <v>N/A</v>
      </c>
      <c r="I2832" s="10" t="str">
        <f aca="false">IFERROR(INDEX(Section_Master!$G$2:$G$477,MATCH($E2832,Section_Master!$A$2:$A$477,0))&amp;"","")</f>
        <v>N/A</v>
      </c>
      <c r="J2832" s="10" t="s">
        <v>61</v>
      </c>
      <c r="K2832" s="8" t="s">
        <v>6645</v>
      </c>
    </row>
    <row r="2833" customFormat="false" ht="34.5" hidden="false" customHeight="true" outlineLevel="0" collapsed="false">
      <c r="A2833" s="10" t="s">
        <v>6654</v>
      </c>
      <c r="B2833" s="10" t="s">
        <v>45</v>
      </c>
      <c r="C2833" s="8" t="s">
        <v>6643</v>
      </c>
      <c r="D2833" s="8" t="s">
        <v>6655</v>
      </c>
      <c r="E2833" s="11" t="n">
        <v>114</v>
      </c>
      <c r="F2833" s="8" t="str">
        <f aca="false">IFERROR(INDEX(Section_Master!$D$2:$D$477,MATCH($E2833,Section_Master!$A$2:$A$477,0))&amp;"","")</f>
        <v>Not applicable - no offence or penalty defined here (definition, exception or general provision)</v>
      </c>
      <c r="G2833" s="10" t="str">
        <f aca="false">IFERROR(INDEX(Section_Master!$E$2:$E$477,MATCH($E2833,Section_Master!$A$2:$A$477,0))&amp;"","")</f>
        <v>N/A</v>
      </c>
      <c r="H2833" s="10" t="str">
        <f aca="false">IFERROR(INDEX(Section_Master!$F$2:$F$477,MATCH($E2833,Section_Master!$A$2:$A$477,0))&amp;"","")</f>
        <v>N/A</v>
      </c>
      <c r="I2833" s="10" t="str">
        <f aca="false">IFERROR(INDEX(Section_Master!$G$2:$G$477,MATCH($E2833,Section_Master!$A$2:$A$477,0))&amp;"","")</f>
        <v>N/A</v>
      </c>
      <c r="J2833" s="10" t="s">
        <v>64</v>
      </c>
      <c r="K2833" s="8" t="s">
        <v>6645</v>
      </c>
    </row>
    <row r="2834" customFormat="false" ht="34.5" hidden="false" customHeight="true" outlineLevel="0" collapsed="false">
      <c r="A2834" s="10" t="s">
        <v>6656</v>
      </c>
      <c r="B2834" s="10" t="s">
        <v>45</v>
      </c>
      <c r="C2834" s="8" t="s">
        <v>6657</v>
      </c>
      <c r="D2834" s="8" t="s">
        <v>6658</v>
      </c>
      <c r="E2834" s="11" t="n">
        <v>115</v>
      </c>
      <c r="F2834" s="8" t="str">
        <f aca="false">IFERROR(INDEX(Section_Master!$D$2:$D$477,MATCH($E2834,Section_Master!$A$2:$A$477,0))&amp;"","")</f>
        <v>Imprisonment up to 1 year, or fine up to Rs 10,000, or both [s.115(2)]</v>
      </c>
      <c r="G2834" s="10" t="str">
        <f aca="false">IFERROR(INDEX(Section_Master!$E$2:$E$477,MATCH($E2834,Section_Master!$A$2:$A$477,0))&amp;"","")</f>
        <v>No</v>
      </c>
      <c r="H2834" s="10" t="str">
        <f aca="false">IFERROR(INDEX(Section_Master!$F$2:$F$477,MATCH($E2834,Section_Master!$A$2:$A$477,0))&amp;"","")</f>
        <v>Yes</v>
      </c>
      <c r="I2834" s="10" t="str">
        <f aca="false">IFERROR(INDEX(Section_Master!$G$2:$G$477,MATCH($E2834,Section_Master!$A$2:$A$477,0))&amp;"","")</f>
        <v>Yes</v>
      </c>
      <c r="J2834" s="10" t="s">
        <v>48</v>
      </c>
      <c r="K2834" s="8" t="s">
        <v>6659</v>
      </c>
    </row>
    <row r="2835" customFormat="false" ht="34.5" hidden="false" customHeight="true" outlineLevel="0" collapsed="false">
      <c r="A2835" s="10" t="s">
        <v>6660</v>
      </c>
      <c r="B2835" s="10" t="s">
        <v>45</v>
      </c>
      <c r="C2835" s="8" t="s">
        <v>6657</v>
      </c>
      <c r="D2835" s="8" t="s">
        <v>6661</v>
      </c>
      <c r="E2835" s="11" t="n">
        <v>115</v>
      </c>
      <c r="F2835" s="8" t="str">
        <f aca="false">IFERROR(INDEX(Section_Master!$D$2:$D$477,MATCH($E2835,Section_Master!$A$2:$A$477,0))&amp;"","")</f>
        <v>Imprisonment up to 1 year, or fine up to Rs 10,000, or both [s.115(2)]</v>
      </c>
      <c r="G2835" s="10" t="str">
        <f aca="false">IFERROR(INDEX(Section_Master!$E$2:$E$477,MATCH($E2835,Section_Master!$A$2:$A$477,0))&amp;"","")</f>
        <v>No</v>
      </c>
      <c r="H2835" s="10" t="str">
        <f aca="false">IFERROR(INDEX(Section_Master!$F$2:$F$477,MATCH($E2835,Section_Master!$A$2:$A$477,0))&amp;"","")</f>
        <v>Yes</v>
      </c>
      <c r="I2835" s="10" t="str">
        <f aca="false">IFERROR(INDEX(Section_Master!$G$2:$G$477,MATCH($E2835,Section_Master!$A$2:$A$477,0))&amp;"","")</f>
        <v>Yes</v>
      </c>
      <c r="J2835" s="10" t="s">
        <v>52</v>
      </c>
      <c r="K2835" s="8" t="s">
        <v>6659</v>
      </c>
    </row>
    <row r="2836" customFormat="false" ht="23.25" hidden="false" customHeight="true" outlineLevel="0" collapsed="false">
      <c r="A2836" s="10" t="s">
        <v>6662</v>
      </c>
      <c r="B2836" s="10" t="s">
        <v>45</v>
      </c>
      <c r="C2836" s="8" t="s">
        <v>6657</v>
      </c>
      <c r="D2836" s="8" t="s">
        <v>6663</v>
      </c>
      <c r="E2836" s="11" t="n">
        <v>115</v>
      </c>
      <c r="F2836" s="8" t="str">
        <f aca="false">IFERROR(INDEX(Section_Master!$D$2:$D$477,MATCH($E2836,Section_Master!$A$2:$A$477,0))&amp;"","")</f>
        <v>Imprisonment up to 1 year, or fine up to Rs 10,000, or both [s.115(2)]</v>
      </c>
      <c r="G2836" s="10" t="str">
        <f aca="false">IFERROR(INDEX(Section_Master!$E$2:$E$477,MATCH($E2836,Section_Master!$A$2:$A$477,0))&amp;"","")</f>
        <v>No</v>
      </c>
      <c r="H2836" s="10" t="str">
        <f aca="false">IFERROR(INDEX(Section_Master!$F$2:$F$477,MATCH($E2836,Section_Master!$A$2:$A$477,0))&amp;"","")</f>
        <v>Yes</v>
      </c>
      <c r="I2836" s="10" t="str">
        <f aca="false">IFERROR(INDEX(Section_Master!$G$2:$G$477,MATCH($E2836,Section_Master!$A$2:$A$477,0))&amp;"","")</f>
        <v>Yes</v>
      </c>
      <c r="J2836" s="10" t="s">
        <v>55</v>
      </c>
      <c r="K2836" s="8" t="s">
        <v>6659</v>
      </c>
    </row>
    <row r="2837" customFormat="false" ht="34.5" hidden="false" customHeight="true" outlineLevel="0" collapsed="false">
      <c r="A2837" s="10" t="s">
        <v>6664</v>
      </c>
      <c r="B2837" s="10" t="s">
        <v>45</v>
      </c>
      <c r="C2837" s="8" t="s">
        <v>6657</v>
      </c>
      <c r="D2837" s="8" t="s">
        <v>6665</v>
      </c>
      <c r="E2837" s="11" t="n">
        <v>115</v>
      </c>
      <c r="F2837" s="8" t="str">
        <f aca="false">IFERROR(INDEX(Section_Master!$D$2:$D$477,MATCH($E2837,Section_Master!$A$2:$A$477,0))&amp;"","")</f>
        <v>Imprisonment up to 1 year, or fine up to Rs 10,000, or both [s.115(2)]</v>
      </c>
      <c r="G2837" s="10" t="str">
        <f aca="false">IFERROR(INDEX(Section_Master!$E$2:$E$477,MATCH($E2837,Section_Master!$A$2:$A$477,0))&amp;"","")</f>
        <v>No</v>
      </c>
      <c r="H2837" s="10" t="str">
        <f aca="false">IFERROR(INDEX(Section_Master!$F$2:$F$477,MATCH($E2837,Section_Master!$A$2:$A$477,0))&amp;"","")</f>
        <v>Yes</v>
      </c>
      <c r="I2837" s="10" t="str">
        <f aca="false">IFERROR(INDEX(Section_Master!$G$2:$G$477,MATCH($E2837,Section_Master!$A$2:$A$477,0))&amp;"","")</f>
        <v>Yes</v>
      </c>
      <c r="J2837" s="10" t="s">
        <v>58</v>
      </c>
      <c r="K2837" s="8" t="s">
        <v>6659</v>
      </c>
    </row>
    <row r="2838" customFormat="false" ht="23.25" hidden="false" customHeight="true" outlineLevel="0" collapsed="false">
      <c r="A2838" s="10" t="s">
        <v>6666</v>
      </c>
      <c r="B2838" s="10" t="s">
        <v>45</v>
      </c>
      <c r="C2838" s="8" t="s">
        <v>6657</v>
      </c>
      <c r="D2838" s="8" t="s">
        <v>6667</v>
      </c>
      <c r="E2838" s="11" t="n">
        <v>115</v>
      </c>
      <c r="F2838" s="8" t="str">
        <f aca="false">IFERROR(INDEX(Section_Master!$D$2:$D$477,MATCH($E2838,Section_Master!$A$2:$A$477,0))&amp;"","")</f>
        <v>Imprisonment up to 1 year, or fine up to Rs 10,000, or both [s.115(2)]</v>
      </c>
      <c r="G2838" s="10" t="str">
        <f aca="false">IFERROR(INDEX(Section_Master!$E$2:$E$477,MATCH($E2838,Section_Master!$A$2:$A$477,0))&amp;"","")</f>
        <v>No</v>
      </c>
      <c r="H2838" s="10" t="str">
        <f aca="false">IFERROR(INDEX(Section_Master!$F$2:$F$477,MATCH($E2838,Section_Master!$A$2:$A$477,0))&amp;"","")</f>
        <v>Yes</v>
      </c>
      <c r="I2838" s="10" t="str">
        <f aca="false">IFERROR(INDEX(Section_Master!$G$2:$G$477,MATCH($E2838,Section_Master!$A$2:$A$477,0))&amp;"","")</f>
        <v>Yes</v>
      </c>
      <c r="J2838" s="10" t="s">
        <v>61</v>
      </c>
      <c r="K2838" s="8" t="s">
        <v>6659</v>
      </c>
    </row>
    <row r="2839" customFormat="false" ht="34.5" hidden="false" customHeight="true" outlineLevel="0" collapsed="false">
      <c r="A2839" s="10" t="s">
        <v>6668</v>
      </c>
      <c r="B2839" s="10" t="s">
        <v>45</v>
      </c>
      <c r="C2839" s="8" t="s">
        <v>6657</v>
      </c>
      <c r="D2839" s="8" t="s">
        <v>6669</v>
      </c>
      <c r="E2839" s="11" t="n">
        <v>115</v>
      </c>
      <c r="F2839" s="8" t="str">
        <f aca="false">IFERROR(INDEX(Section_Master!$D$2:$D$477,MATCH($E2839,Section_Master!$A$2:$A$477,0))&amp;"","")</f>
        <v>Imprisonment up to 1 year, or fine up to Rs 10,000, or both [s.115(2)]</v>
      </c>
      <c r="G2839" s="10" t="str">
        <f aca="false">IFERROR(INDEX(Section_Master!$E$2:$E$477,MATCH($E2839,Section_Master!$A$2:$A$477,0))&amp;"","")</f>
        <v>No</v>
      </c>
      <c r="H2839" s="10" t="str">
        <f aca="false">IFERROR(INDEX(Section_Master!$F$2:$F$477,MATCH($E2839,Section_Master!$A$2:$A$477,0))&amp;"","")</f>
        <v>Yes</v>
      </c>
      <c r="I2839" s="10" t="str">
        <f aca="false">IFERROR(INDEX(Section_Master!$G$2:$G$477,MATCH($E2839,Section_Master!$A$2:$A$477,0))&amp;"","")</f>
        <v>Yes</v>
      </c>
      <c r="J2839" s="10" t="s">
        <v>64</v>
      </c>
      <c r="K2839" s="8" t="s">
        <v>6659</v>
      </c>
    </row>
    <row r="2840" customFormat="false" ht="34.5" hidden="false" customHeight="true" outlineLevel="0" collapsed="false">
      <c r="A2840" s="10" t="s">
        <v>6670</v>
      </c>
      <c r="B2840" s="10" t="s">
        <v>45</v>
      </c>
      <c r="C2840" s="8" t="s">
        <v>6671</v>
      </c>
      <c r="D2840" s="8" t="s">
        <v>6672</v>
      </c>
      <c r="E2840" s="11" t="n">
        <v>116</v>
      </c>
      <c r="F2840" s="8" t="str">
        <f aca="false">IFERROR(INDEX(Section_Master!$D$2:$D$477,MATCH($E2840,Section_Master!$A$2:$A$477,0))&amp;"","")</f>
        <v>Not applicable - no offence or penalty defined here (definition, exception or general provision)</v>
      </c>
      <c r="G2840" s="10" t="str">
        <f aca="false">IFERROR(INDEX(Section_Master!$E$2:$E$477,MATCH($E2840,Section_Master!$A$2:$A$477,0))&amp;"","")</f>
        <v>N/A</v>
      </c>
      <c r="H2840" s="10" t="str">
        <f aca="false">IFERROR(INDEX(Section_Master!$F$2:$F$477,MATCH($E2840,Section_Master!$A$2:$A$477,0))&amp;"","")</f>
        <v>N/A</v>
      </c>
      <c r="I2840" s="10" t="str">
        <f aca="false">IFERROR(INDEX(Section_Master!$G$2:$G$477,MATCH($E2840,Section_Master!$A$2:$A$477,0))&amp;"","")</f>
        <v>N/A</v>
      </c>
      <c r="J2840" s="10" t="s">
        <v>48</v>
      </c>
      <c r="K2840" s="8" t="s">
        <v>6673</v>
      </c>
    </row>
    <row r="2841" customFormat="false" ht="23.25" hidden="false" customHeight="true" outlineLevel="0" collapsed="false">
      <c r="A2841" s="10" t="s">
        <v>6674</v>
      </c>
      <c r="B2841" s="10" t="s">
        <v>45</v>
      </c>
      <c r="C2841" s="8" t="s">
        <v>6671</v>
      </c>
      <c r="D2841" s="8" t="s">
        <v>6675</v>
      </c>
      <c r="E2841" s="11" t="n">
        <v>116</v>
      </c>
      <c r="F2841" s="8" t="str">
        <f aca="false">IFERROR(INDEX(Section_Master!$D$2:$D$477,MATCH($E2841,Section_Master!$A$2:$A$477,0))&amp;"","")</f>
        <v>Not applicable - no offence or penalty defined here (definition, exception or general provision)</v>
      </c>
      <c r="G2841" s="10" t="str">
        <f aca="false">IFERROR(INDEX(Section_Master!$E$2:$E$477,MATCH($E2841,Section_Master!$A$2:$A$477,0))&amp;"","")</f>
        <v>N/A</v>
      </c>
      <c r="H2841" s="10" t="str">
        <f aca="false">IFERROR(INDEX(Section_Master!$F$2:$F$477,MATCH($E2841,Section_Master!$A$2:$A$477,0))&amp;"","")</f>
        <v>N/A</v>
      </c>
      <c r="I2841" s="10" t="str">
        <f aca="false">IFERROR(INDEX(Section_Master!$G$2:$G$477,MATCH($E2841,Section_Master!$A$2:$A$477,0))&amp;"","")</f>
        <v>N/A</v>
      </c>
      <c r="J2841" s="10" t="s">
        <v>52</v>
      </c>
      <c r="K2841" s="8" t="s">
        <v>6673</v>
      </c>
    </row>
    <row r="2842" customFormat="false" ht="34.5" hidden="false" customHeight="true" outlineLevel="0" collapsed="false">
      <c r="A2842" s="10" t="s">
        <v>6676</v>
      </c>
      <c r="B2842" s="10" t="s">
        <v>45</v>
      </c>
      <c r="C2842" s="8" t="s">
        <v>6671</v>
      </c>
      <c r="D2842" s="8" t="s">
        <v>6677</v>
      </c>
      <c r="E2842" s="11" t="n">
        <v>116</v>
      </c>
      <c r="F2842" s="8" t="str">
        <f aca="false">IFERROR(INDEX(Section_Master!$D$2:$D$477,MATCH($E2842,Section_Master!$A$2:$A$477,0))&amp;"","")</f>
        <v>Not applicable - no offence or penalty defined here (definition, exception or general provision)</v>
      </c>
      <c r="G2842" s="10" t="str">
        <f aca="false">IFERROR(INDEX(Section_Master!$E$2:$E$477,MATCH($E2842,Section_Master!$A$2:$A$477,0))&amp;"","")</f>
        <v>N/A</v>
      </c>
      <c r="H2842" s="10" t="str">
        <f aca="false">IFERROR(INDEX(Section_Master!$F$2:$F$477,MATCH($E2842,Section_Master!$A$2:$A$477,0))&amp;"","")</f>
        <v>N/A</v>
      </c>
      <c r="I2842" s="10" t="str">
        <f aca="false">IFERROR(INDEX(Section_Master!$G$2:$G$477,MATCH($E2842,Section_Master!$A$2:$A$477,0))&amp;"","")</f>
        <v>N/A</v>
      </c>
      <c r="J2842" s="10" t="s">
        <v>55</v>
      </c>
      <c r="K2842" s="8" t="s">
        <v>6673</v>
      </c>
    </row>
    <row r="2843" customFormat="false" ht="34.5" hidden="false" customHeight="true" outlineLevel="0" collapsed="false">
      <c r="A2843" s="10" t="s">
        <v>6678</v>
      </c>
      <c r="B2843" s="10" t="s">
        <v>45</v>
      </c>
      <c r="C2843" s="8" t="s">
        <v>6671</v>
      </c>
      <c r="D2843" s="8" t="s">
        <v>6679</v>
      </c>
      <c r="E2843" s="11" t="n">
        <v>116</v>
      </c>
      <c r="F2843" s="8" t="str">
        <f aca="false">IFERROR(INDEX(Section_Master!$D$2:$D$477,MATCH($E2843,Section_Master!$A$2:$A$477,0))&amp;"","")</f>
        <v>Not applicable - no offence or penalty defined here (definition, exception or general provision)</v>
      </c>
      <c r="G2843" s="10" t="str">
        <f aca="false">IFERROR(INDEX(Section_Master!$E$2:$E$477,MATCH($E2843,Section_Master!$A$2:$A$477,0))&amp;"","")</f>
        <v>N/A</v>
      </c>
      <c r="H2843" s="10" t="str">
        <f aca="false">IFERROR(INDEX(Section_Master!$F$2:$F$477,MATCH($E2843,Section_Master!$A$2:$A$477,0))&amp;"","")</f>
        <v>N/A</v>
      </c>
      <c r="I2843" s="10" t="str">
        <f aca="false">IFERROR(INDEX(Section_Master!$G$2:$G$477,MATCH($E2843,Section_Master!$A$2:$A$477,0))&amp;"","")</f>
        <v>N/A</v>
      </c>
      <c r="J2843" s="10" t="s">
        <v>58</v>
      </c>
      <c r="K2843" s="8" t="s">
        <v>6673</v>
      </c>
    </row>
    <row r="2844" customFormat="false" ht="23.25" hidden="false" customHeight="true" outlineLevel="0" collapsed="false">
      <c r="A2844" s="10" t="s">
        <v>6680</v>
      </c>
      <c r="B2844" s="10" t="s">
        <v>45</v>
      </c>
      <c r="C2844" s="8" t="s">
        <v>6671</v>
      </c>
      <c r="D2844" s="8" t="s">
        <v>6681</v>
      </c>
      <c r="E2844" s="11" t="n">
        <v>116</v>
      </c>
      <c r="F2844" s="8" t="str">
        <f aca="false">IFERROR(INDEX(Section_Master!$D$2:$D$477,MATCH($E2844,Section_Master!$A$2:$A$477,0))&amp;"","")</f>
        <v>Not applicable - no offence or penalty defined here (definition, exception or general provision)</v>
      </c>
      <c r="G2844" s="10" t="str">
        <f aca="false">IFERROR(INDEX(Section_Master!$E$2:$E$477,MATCH($E2844,Section_Master!$A$2:$A$477,0))&amp;"","")</f>
        <v>N/A</v>
      </c>
      <c r="H2844" s="10" t="str">
        <f aca="false">IFERROR(INDEX(Section_Master!$F$2:$F$477,MATCH($E2844,Section_Master!$A$2:$A$477,0))&amp;"","")</f>
        <v>N/A</v>
      </c>
      <c r="I2844" s="10" t="str">
        <f aca="false">IFERROR(INDEX(Section_Master!$G$2:$G$477,MATCH($E2844,Section_Master!$A$2:$A$477,0))&amp;"","")</f>
        <v>N/A</v>
      </c>
      <c r="J2844" s="10" t="s">
        <v>61</v>
      </c>
      <c r="K2844" s="8" t="s">
        <v>6673</v>
      </c>
    </row>
    <row r="2845" customFormat="false" ht="34.5" hidden="false" customHeight="true" outlineLevel="0" collapsed="false">
      <c r="A2845" s="10" t="s">
        <v>6682</v>
      </c>
      <c r="B2845" s="10" t="s">
        <v>45</v>
      </c>
      <c r="C2845" s="8" t="s">
        <v>6671</v>
      </c>
      <c r="D2845" s="8" t="s">
        <v>6683</v>
      </c>
      <c r="E2845" s="11" t="n">
        <v>116</v>
      </c>
      <c r="F2845" s="8" t="str">
        <f aca="false">IFERROR(INDEX(Section_Master!$D$2:$D$477,MATCH($E2845,Section_Master!$A$2:$A$477,0))&amp;"","")</f>
        <v>Not applicable - no offence or penalty defined here (definition, exception or general provision)</v>
      </c>
      <c r="G2845" s="10" t="str">
        <f aca="false">IFERROR(INDEX(Section_Master!$E$2:$E$477,MATCH($E2845,Section_Master!$A$2:$A$477,0))&amp;"","")</f>
        <v>N/A</v>
      </c>
      <c r="H2845" s="10" t="str">
        <f aca="false">IFERROR(INDEX(Section_Master!$F$2:$F$477,MATCH($E2845,Section_Master!$A$2:$A$477,0))&amp;"","")</f>
        <v>N/A</v>
      </c>
      <c r="I2845" s="10" t="str">
        <f aca="false">IFERROR(INDEX(Section_Master!$G$2:$G$477,MATCH($E2845,Section_Master!$A$2:$A$477,0))&amp;"","")</f>
        <v>N/A</v>
      </c>
      <c r="J2845" s="10" t="s">
        <v>64</v>
      </c>
      <c r="K2845" s="8" t="s">
        <v>6673</v>
      </c>
    </row>
    <row r="2846" customFormat="false" ht="34.5" hidden="false" customHeight="true" outlineLevel="0" collapsed="false">
      <c r="A2846" s="10" t="s">
        <v>6684</v>
      </c>
      <c r="B2846" s="10" t="s">
        <v>45</v>
      </c>
      <c r="C2846" s="8" t="s">
        <v>6685</v>
      </c>
      <c r="D2846" s="8" t="s">
        <v>6686</v>
      </c>
      <c r="E2846" s="11" t="n">
        <v>117</v>
      </c>
      <c r="F2846" s="8" t="str">
        <f aca="false">IFERROR(INDEX(Section_Master!$D$2:$D$477,MATCH($E2846,Section_Master!$A$2:$A$477,0))&amp;"","")</f>
        <v>Imprisonment up to 7 years and fine [s.117(2)]</v>
      </c>
      <c r="G2846" s="10" t="str">
        <f aca="false">IFERROR(INDEX(Section_Master!$E$2:$E$477,MATCH($E2846,Section_Master!$A$2:$A$477,0))&amp;"","")</f>
        <v>Yes</v>
      </c>
      <c r="H2846" s="10" t="str">
        <f aca="false">IFERROR(INDEX(Section_Master!$F$2:$F$477,MATCH($E2846,Section_Master!$A$2:$A$477,0))&amp;"","")</f>
        <v>Yes</v>
      </c>
      <c r="I2846" s="10" t="str">
        <f aca="false">IFERROR(INDEX(Section_Master!$G$2:$G$477,MATCH($E2846,Section_Master!$A$2:$A$477,0))&amp;"","")</f>
        <v>With court permission</v>
      </c>
      <c r="J2846" s="10" t="s">
        <v>48</v>
      </c>
      <c r="K2846" s="8" t="s">
        <v>6687</v>
      </c>
    </row>
    <row r="2847" customFormat="false" ht="23.25" hidden="false" customHeight="true" outlineLevel="0" collapsed="false">
      <c r="A2847" s="10" t="s">
        <v>6688</v>
      </c>
      <c r="B2847" s="10" t="s">
        <v>45</v>
      </c>
      <c r="C2847" s="8" t="s">
        <v>6685</v>
      </c>
      <c r="D2847" s="8" t="s">
        <v>6689</v>
      </c>
      <c r="E2847" s="11" t="n">
        <v>117</v>
      </c>
      <c r="F2847" s="8" t="str">
        <f aca="false">IFERROR(INDEX(Section_Master!$D$2:$D$477,MATCH($E2847,Section_Master!$A$2:$A$477,0))&amp;"","")</f>
        <v>Imprisonment up to 7 years and fine [s.117(2)]</v>
      </c>
      <c r="G2847" s="10" t="str">
        <f aca="false">IFERROR(INDEX(Section_Master!$E$2:$E$477,MATCH($E2847,Section_Master!$A$2:$A$477,0))&amp;"","")</f>
        <v>Yes</v>
      </c>
      <c r="H2847" s="10" t="str">
        <f aca="false">IFERROR(INDEX(Section_Master!$F$2:$F$477,MATCH($E2847,Section_Master!$A$2:$A$477,0))&amp;"","")</f>
        <v>Yes</v>
      </c>
      <c r="I2847" s="10" t="str">
        <f aca="false">IFERROR(INDEX(Section_Master!$G$2:$G$477,MATCH($E2847,Section_Master!$A$2:$A$477,0))&amp;"","")</f>
        <v>With court permission</v>
      </c>
      <c r="J2847" s="10" t="s">
        <v>52</v>
      </c>
      <c r="K2847" s="8" t="s">
        <v>6687</v>
      </c>
    </row>
    <row r="2848" customFormat="false" ht="34.5" hidden="false" customHeight="true" outlineLevel="0" collapsed="false">
      <c r="A2848" s="10" t="s">
        <v>6690</v>
      </c>
      <c r="B2848" s="10" t="s">
        <v>45</v>
      </c>
      <c r="C2848" s="8" t="s">
        <v>6685</v>
      </c>
      <c r="D2848" s="8" t="s">
        <v>6691</v>
      </c>
      <c r="E2848" s="11" t="n">
        <v>117</v>
      </c>
      <c r="F2848" s="8" t="str">
        <f aca="false">IFERROR(INDEX(Section_Master!$D$2:$D$477,MATCH($E2848,Section_Master!$A$2:$A$477,0))&amp;"","")</f>
        <v>Imprisonment up to 7 years and fine [s.117(2)]</v>
      </c>
      <c r="G2848" s="10" t="str">
        <f aca="false">IFERROR(INDEX(Section_Master!$E$2:$E$477,MATCH($E2848,Section_Master!$A$2:$A$477,0))&amp;"","")</f>
        <v>Yes</v>
      </c>
      <c r="H2848" s="10" t="str">
        <f aca="false">IFERROR(INDEX(Section_Master!$F$2:$F$477,MATCH($E2848,Section_Master!$A$2:$A$477,0))&amp;"","")</f>
        <v>Yes</v>
      </c>
      <c r="I2848" s="10" t="str">
        <f aca="false">IFERROR(INDEX(Section_Master!$G$2:$G$477,MATCH($E2848,Section_Master!$A$2:$A$477,0))&amp;"","")</f>
        <v>With court permission</v>
      </c>
      <c r="J2848" s="10" t="s">
        <v>55</v>
      </c>
      <c r="K2848" s="8" t="s">
        <v>6687</v>
      </c>
    </row>
    <row r="2849" customFormat="false" ht="34.5" hidden="false" customHeight="true" outlineLevel="0" collapsed="false">
      <c r="A2849" s="10" t="s">
        <v>6692</v>
      </c>
      <c r="B2849" s="10" t="s">
        <v>45</v>
      </c>
      <c r="C2849" s="8" t="s">
        <v>6685</v>
      </c>
      <c r="D2849" s="8" t="s">
        <v>6693</v>
      </c>
      <c r="E2849" s="11" t="n">
        <v>117</v>
      </c>
      <c r="F2849" s="8" t="str">
        <f aca="false">IFERROR(INDEX(Section_Master!$D$2:$D$477,MATCH($E2849,Section_Master!$A$2:$A$477,0))&amp;"","")</f>
        <v>Imprisonment up to 7 years and fine [s.117(2)]</v>
      </c>
      <c r="G2849" s="10" t="str">
        <f aca="false">IFERROR(INDEX(Section_Master!$E$2:$E$477,MATCH($E2849,Section_Master!$A$2:$A$477,0))&amp;"","")</f>
        <v>Yes</v>
      </c>
      <c r="H2849" s="10" t="str">
        <f aca="false">IFERROR(INDEX(Section_Master!$F$2:$F$477,MATCH($E2849,Section_Master!$A$2:$A$477,0))&amp;"","")</f>
        <v>Yes</v>
      </c>
      <c r="I2849" s="10" t="str">
        <f aca="false">IFERROR(INDEX(Section_Master!$G$2:$G$477,MATCH($E2849,Section_Master!$A$2:$A$477,0))&amp;"","")</f>
        <v>With court permission</v>
      </c>
      <c r="J2849" s="10" t="s">
        <v>58</v>
      </c>
      <c r="K2849" s="8" t="s">
        <v>6687</v>
      </c>
    </row>
    <row r="2850" customFormat="false" ht="23.25" hidden="false" customHeight="true" outlineLevel="0" collapsed="false">
      <c r="A2850" s="10" t="s">
        <v>6694</v>
      </c>
      <c r="B2850" s="10" t="s">
        <v>45</v>
      </c>
      <c r="C2850" s="8" t="s">
        <v>6685</v>
      </c>
      <c r="D2850" s="8" t="s">
        <v>6695</v>
      </c>
      <c r="E2850" s="11" t="n">
        <v>117</v>
      </c>
      <c r="F2850" s="8" t="str">
        <f aca="false">IFERROR(INDEX(Section_Master!$D$2:$D$477,MATCH($E2850,Section_Master!$A$2:$A$477,0))&amp;"","")</f>
        <v>Imprisonment up to 7 years and fine [s.117(2)]</v>
      </c>
      <c r="G2850" s="10" t="str">
        <f aca="false">IFERROR(INDEX(Section_Master!$E$2:$E$477,MATCH($E2850,Section_Master!$A$2:$A$477,0))&amp;"","")</f>
        <v>Yes</v>
      </c>
      <c r="H2850" s="10" t="str">
        <f aca="false">IFERROR(INDEX(Section_Master!$F$2:$F$477,MATCH($E2850,Section_Master!$A$2:$A$477,0))&amp;"","")</f>
        <v>Yes</v>
      </c>
      <c r="I2850" s="10" t="str">
        <f aca="false">IFERROR(INDEX(Section_Master!$G$2:$G$477,MATCH($E2850,Section_Master!$A$2:$A$477,0))&amp;"","")</f>
        <v>With court permission</v>
      </c>
      <c r="J2850" s="10" t="s">
        <v>61</v>
      </c>
      <c r="K2850" s="8" t="s">
        <v>6687</v>
      </c>
    </row>
    <row r="2851" customFormat="false" ht="34.5" hidden="false" customHeight="true" outlineLevel="0" collapsed="false">
      <c r="A2851" s="10" t="s">
        <v>6696</v>
      </c>
      <c r="B2851" s="10" t="s">
        <v>45</v>
      </c>
      <c r="C2851" s="8" t="s">
        <v>6685</v>
      </c>
      <c r="D2851" s="8" t="s">
        <v>6697</v>
      </c>
      <c r="E2851" s="11" t="n">
        <v>117</v>
      </c>
      <c r="F2851" s="8" t="str">
        <f aca="false">IFERROR(INDEX(Section_Master!$D$2:$D$477,MATCH($E2851,Section_Master!$A$2:$A$477,0))&amp;"","")</f>
        <v>Imprisonment up to 7 years and fine [s.117(2)]</v>
      </c>
      <c r="G2851" s="10" t="str">
        <f aca="false">IFERROR(INDEX(Section_Master!$E$2:$E$477,MATCH($E2851,Section_Master!$A$2:$A$477,0))&amp;"","")</f>
        <v>Yes</v>
      </c>
      <c r="H2851" s="10" t="str">
        <f aca="false">IFERROR(INDEX(Section_Master!$F$2:$F$477,MATCH($E2851,Section_Master!$A$2:$A$477,0))&amp;"","")</f>
        <v>Yes</v>
      </c>
      <c r="I2851" s="10" t="str">
        <f aca="false">IFERROR(INDEX(Section_Master!$G$2:$G$477,MATCH($E2851,Section_Master!$A$2:$A$477,0))&amp;"","")</f>
        <v>With court permission</v>
      </c>
      <c r="J2851" s="10" t="s">
        <v>64</v>
      </c>
      <c r="K2851" s="8" t="s">
        <v>6687</v>
      </c>
    </row>
    <row r="2852" customFormat="false" ht="23.25" hidden="false" customHeight="true" outlineLevel="0" collapsed="false">
      <c r="A2852" s="10" t="s">
        <v>6698</v>
      </c>
      <c r="B2852" s="10" t="s">
        <v>45</v>
      </c>
      <c r="C2852" s="8" t="s">
        <v>6699</v>
      </c>
      <c r="D2852" s="8" t="s">
        <v>6700</v>
      </c>
      <c r="E2852" s="11" t="n">
        <v>118</v>
      </c>
      <c r="F2852" s="8" t="str">
        <f aca="false">IFERROR(INDEX(Section_Master!$D$2:$D$477,MATCH($E2852,Section_Master!$A$2:$A$477,0))&amp;"","")</f>
        <v>Up to 3 years, or fine, or both for hurt by dangerous weapons [s.118(1)]; life or up to 10 years and fine for grievous hurt [s.118(2)]</v>
      </c>
      <c r="G2852" s="10" t="str">
        <f aca="false">IFERROR(INDEX(Section_Master!$E$2:$E$477,MATCH($E2852,Section_Master!$A$2:$A$477,0))&amp;"","")</f>
        <v>Yes</v>
      </c>
      <c r="H2852" s="10" t="str">
        <f aca="false">IFERROR(INDEX(Section_Master!$F$2:$F$477,MATCH($E2852,Section_Master!$A$2:$A$477,0))&amp;"","")</f>
        <v>Yes (118(1)); No (118(2))</v>
      </c>
      <c r="I2852" s="10" t="str">
        <f aca="false">IFERROR(INDEX(Section_Master!$G$2:$G$477,MATCH($E2852,Section_Master!$A$2:$A$477,0))&amp;"","")</f>
        <v>With court permission (118(1)); No (118(2))</v>
      </c>
      <c r="J2852" s="10" t="s">
        <v>48</v>
      </c>
      <c r="K2852" s="8" t="s">
        <v>6701</v>
      </c>
    </row>
    <row r="2853" customFormat="false" ht="34.5" hidden="false" customHeight="true" outlineLevel="0" collapsed="false">
      <c r="A2853" s="10" t="s">
        <v>6702</v>
      </c>
      <c r="B2853" s="10" t="s">
        <v>45</v>
      </c>
      <c r="C2853" s="8" t="s">
        <v>6699</v>
      </c>
      <c r="D2853" s="8" t="s">
        <v>6703</v>
      </c>
      <c r="E2853" s="11" t="n">
        <v>118</v>
      </c>
      <c r="F2853" s="8" t="str">
        <f aca="false">IFERROR(INDEX(Section_Master!$D$2:$D$477,MATCH($E2853,Section_Master!$A$2:$A$477,0))&amp;"","")</f>
        <v>Up to 3 years, or fine, or both for hurt by dangerous weapons [s.118(1)]; life or up to 10 years and fine for grievous hurt [s.118(2)]</v>
      </c>
      <c r="G2853" s="10" t="str">
        <f aca="false">IFERROR(INDEX(Section_Master!$E$2:$E$477,MATCH($E2853,Section_Master!$A$2:$A$477,0))&amp;"","")</f>
        <v>Yes</v>
      </c>
      <c r="H2853" s="10" t="str">
        <f aca="false">IFERROR(INDEX(Section_Master!$F$2:$F$477,MATCH($E2853,Section_Master!$A$2:$A$477,0))&amp;"","")</f>
        <v>Yes (118(1)); No (118(2))</v>
      </c>
      <c r="I2853" s="10" t="str">
        <f aca="false">IFERROR(INDEX(Section_Master!$G$2:$G$477,MATCH($E2853,Section_Master!$A$2:$A$477,0))&amp;"","")</f>
        <v>With court permission (118(1)); No (118(2))</v>
      </c>
      <c r="J2853" s="10" t="s">
        <v>52</v>
      </c>
      <c r="K2853" s="8" t="s">
        <v>6701</v>
      </c>
    </row>
    <row r="2854" customFormat="false" ht="34.5" hidden="false" customHeight="true" outlineLevel="0" collapsed="false">
      <c r="A2854" s="10" t="s">
        <v>6704</v>
      </c>
      <c r="B2854" s="10" t="s">
        <v>45</v>
      </c>
      <c r="C2854" s="8" t="s">
        <v>6699</v>
      </c>
      <c r="D2854" s="8" t="s">
        <v>6705</v>
      </c>
      <c r="E2854" s="11" t="n">
        <v>118</v>
      </c>
      <c r="F2854" s="8" t="str">
        <f aca="false">IFERROR(INDEX(Section_Master!$D$2:$D$477,MATCH($E2854,Section_Master!$A$2:$A$477,0))&amp;"","")</f>
        <v>Up to 3 years, or fine, or both for hurt by dangerous weapons [s.118(1)]; life or up to 10 years and fine for grievous hurt [s.118(2)]</v>
      </c>
      <c r="G2854" s="10" t="str">
        <f aca="false">IFERROR(INDEX(Section_Master!$E$2:$E$477,MATCH($E2854,Section_Master!$A$2:$A$477,0))&amp;"","")</f>
        <v>Yes</v>
      </c>
      <c r="H2854" s="10" t="str">
        <f aca="false">IFERROR(INDEX(Section_Master!$F$2:$F$477,MATCH($E2854,Section_Master!$A$2:$A$477,0))&amp;"","")</f>
        <v>Yes (118(1)); No (118(2))</v>
      </c>
      <c r="I2854" s="10" t="str">
        <f aca="false">IFERROR(INDEX(Section_Master!$G$2:$G$477,MATCH($E2854,Section_Master!$A$2:$A$477,0))&amp;"","")</f>
        <v>With court permission (118(1)); No (118(2))</v>
      </c>
      <c r="J2854" s="10" t="s">
        <v>55</v>
      </c>
      <c r="K2854" s="8" t="s">
        <v>6701</v>
      </c>
    </row>
    <row r="2855" customFormat="false" ht="23.25" hidden="false" customHeight="true" outlineLevel="0" collapsed="false">
      <c r="A2855" s="10" t="s">
        <v>6706</v>
      </c>
      <c r="B2855" s="10" t="s">
        <v>45</v>
      </c>
      <c r="C2855" s="8" t="s">
        <v>6699</v>
      </c>
      <c r="D2855" s="8" t="s">
        <v>6707</v>
      </c>
      <c r="E2855" s="11" t="n">
        <v>118</v>
      </c>
      <c r="F2855" s="8" t="str">
        <f aca="false">IFERROR(INDEX(Section_Master!$D$2:$D$477,MATCH($E2855,Section_Master!$A$2:$A$477,0))&amp;"","")</f>
        <v>Up to 3 years, or fine, or both for hurt by dangerous weapons [s.118(1)]; life or up to 10 years and fine for grievous hurt [s.118(2)]</v>
      </c>
      <c r="G2855" s="10" t="str">
        <f aca="false">IFERROR(INDEX(Section_Master!$E$2:$E$477,MATCH($E2855,Section_Master!$A$2:$A$477,0))&amp;"","")</f>
        <v>Yes</v>
      </c>
      <c r="H2855" s="10" t="str">
        <f aca="false">IFERROR(INDEX(Section_Master!$F$2:$F$477,MATCH($E2855,Section_Master!$A$2:$A$477,0))&amp;"","")</f>
        <v>Yes (118(1)); No (118(2))</v>
      </c>
      <c r="I2855" s="10" t="str">
        <f aca="false">IFERROR(INDEX(Section_Master!$G$2:$G$477,MATCH($E2855,Section_Master!$A$2:$A$477,0))&amp;"","")</f>
        <v>With court permission (118(1)); No (118(2))</v>
      </c>
      <c r="J2855" s="10" t="s">
        <v>58</v>
      </c>
      <c r="K2855" s="8" t="s">
        <v>6701</v>
      </c>
    </row>
    <row r="2856" customFormat="false" ht="34.5" hidden="false" customHeight="true" outlineLevel="0" collapsed="false">
      <c r="A2856" s="10" t="s">
        <v>6708</v>
      </c>
      <c r="B2856" s="10" t="s">
        <v>45</v>
      </c>
      <c r="C2856" s="8" t="s">
        <v>6699</v>
      </c>
      <c r="D2856" s="8" t="s">
        <v>6709</v>
      </c>
      <c r="E2856" s="11" t="n">
        <v>118</v>
      </c>
      <c r="F2856" s="8" t="str">
        <f aca="false">IFERROR(INDEX(Section_Master!$D$2:$D$477,MATCH($E2856,Section_Master!$A$2:$A$477,0))&amp;"","")</f>
        <v>Up to 3 years, or fine, or both for hurt by dangerous weapons [s.118(1)]; life or up to 10 years and fine for grievous hurt [s.118(2)]</v>
      </c>
      <c r="G2856" s="10" t="str">
        <f aca="false">IFERROR(INDEX(Section_Master!$E$2:$E$477,MATCH($E2856,Section_Master!$A$2:$A$477,0))&amp;"","")</f>
        <v>Yes</v>
      </c>
      <c r="H2856" s="10" t="str">
        <f aca="false">IFERROR(INDEX(Section_Master!$F$2:$F$477,MATCH($E2856,Section_Master!$A$2:$A$477,0))&amp;"","")</f>
        <v>Yes (118(1)); No (118(2))</v>
      </c>
      <c r="I2856" s="10" t="str">
        <f aca="false">IFERROR(INDEX(Section_Master!$G$2:$G$477,MATCH($E2856,Section_Master!$A$2:$A$477,0))&amp;"","")</f>
        <v>With court permission (118(1)); No (118(2))</v>
      </c>
      <c r="J2856" s="10" t="s">
        <v>61</v>
      </c>
      <c r="K2856" s="8" t="s">
        <v>6701</v>
      </c>
    </row>
    <row r="2857" customFormat="false" ht="34.5" hidden="false" customHeight="true" outlineLevel="0" collapsed="false">
      <c r="A2857" s="10" t="s">
        <v>6710</v>
      </c>
      <c r="B2857" s="10" t="s">
        <v>45</v>
      </c>
      <c r="C2857" s="8" t="s">
        <v>6699</v>
      </c>
      <c r="D2857" s="8" t="s">
        <v>6711</v>
      </c>
      <c r="E2857" s="11" t="n">
        <v>118</v>
      </c>
      <c r="F2857" s="8" t="str">
        <f aca="false">IFERROR(INDEX(Section_Master!$D$2:$D$477,MATCH($E2857,Section_Master!$A$2:$A$477,0))&amp;"","")</f>
        <v>Up to 3 years, or fine, or both for hurt by dangerous weapons [s.118(1)]; life or up to 10 years and fine for grievous hurt [s.118(2)]</v>
      </c>
      <c r="G2857" s="10" t="str">
        <f aca="false">IFERROR(INDEX(Section_Master!$E$2:$E$477,MATCH($E2857,Section_Master!$A$2:$A$477,0))&amp;"","")</f>
        <v>Yes</v>
      </c>
      <c r="H2857" s="10" t="str">
        <f aca="false">IFERROR(INDEX(Section_Master!$F$2:$F$477,MATCH($E2857,Section_Master!$A$2:$A$477,0))&amp;"","")</f>
        <v>Yes (118(1)); No (118(2))</v>
      </c>
      <c r="I2857" s="10" t="str">
        <f aca="false">IFERROR(INDEX(Section_Master!$G$2:$G$477,MATCH($E2857,Section_Master!$A$2:$A$477,0))&amp;"","")</f>
        <v>With court permission (118(1)); No (118(2))</v>
      </c>
      <c r="J2857" s="10" t="s">
        <v>64</v>
      </c>
      <c r="K2857" s="8" t="s">
        <v>6701</v>
      </c>
    </row>
    <row r="2858" customFormat="false" ht="34.5" hidden="false" customHeight="true" outlineLevel="0" collapsed="false">
      <c r="A2858" s="10" t="s">
        <v>6712</v>
      </c>
      <c r="B2858" s="10" t="s">
        <v>45</v>
      </c>
      <c r="C2858" s="8" t="s">
        <v>6713</v>
      </c>
      <c r="D2858" s="8" t="s">
        <v>6714</v>
      </c>
      <c r="E2858" s="11" t="n">
        <v>119</v>
      </c>
      <c r="F2858" s="8" t="str">
        <f aca="false">IFERROR(INDEX(Section_Master!$D$2:$D$477,MATCH($E2858,Section_Master!$A$2:$A$477,0))&amp;"","")</f>
        <v>Imprisonment up to 10 years and fine [s.119(1)]; life or up to 10 years and fine for grievous hurt [s.119(2)]</v>
      </c>
      <c r="G2858" s="10" t="str">
        <f aca="false">IFERROR(INDEX(Section_Master!$E$2:$E$477,MATCH($E2858,Section_Master!$A$2:$A$477,0))&amp;"","")</f>
        <v>Yes</v>
      </c>
      <c r="H2858" s="10" t="str">
        <f aca="false">IFERROR(INDEX(Section_Master!$F$2:$F$477,MATCH($E2858,Section_Master!$A$2:$A$477,0))&amp;"","")</f>
        <v>No</v>
      </c>
      <c r="I2858" s="10" t="str">
        <f aca="false">IFERROR(INDEX(Section_Master!$G$2:$G$477,MATCH($E2858,Section_Master!$A$2:$A$477,0))&amp;"","")</f>
        <v>No</v>
      </c>
      <c r="J2858" s="10" t="s">
        <v>48</v>
      </c>
      <c r="K2858" s="8" t="s">
        <v>6715</v>
      </c>
    </row>
    <row r="2859" customFormat="false" ht="34.5" hidden="false" customHeight="true" outlineLevel="0" collapsed="false">
      <c r="A2859" s="10" t="s">
        <v>6716</v>
      </c>
      <c r="B2859" s="10" t="s">
        <v>45</v>
      </c>
      <c r="C2859" s="8" t="s">
        <v>6713</v>
      </c>
      <c r="D2859" s="8" t="s">
        <v>6717</v>
      </c>
      <c r="E2859" s="11" t="n">
        <v>119</v>
      </c>
      <c r="F2859" s="8" t="str">
        <f aca="false">IFERROR(INDEX(Section_Master!$D$2:$D$477,MATCH($E2859,Section_Master!$A$2:$A$477,0))&amp;"","")</f>
        <v>Imprisonment up to 10 years and fine [s.119(1)]; life or up to 10 years and fine for grievous hurt [s.119(2)]</v>
      </c>
      <c r="G2859" s="10" t="str">
        <f aca="false">IFERROR(INDEX(Section_Master!$E$2:$E$477,MATCH($E2859,Section_Master!$A$2:$A$477,0))&amp;"","")</f>
        <v>Yes</v>
      </c>
      <c r="H2859" s="10" t="str">
        <f aca="false">IFERROR(INDEX(Section_Master!$F$2:$F$477,MATCH($E2859,Section_Master!$A$2:$A$477,0))&amp;"","")</f>
        <v>No</v>
      </c>
      <c r="I2859" s="10" t="str">
        <f aca="false">IFERROR(INDEX(Section_Master!$G$2:$G$477,MATCH($E2859,Section_Master!$A$2:$A$477,0))&amp;"","")</f>
        <v>No</v>
      </c>
      <c r="J2859" s="10" t="s">
        <v>52</v>
      </c>
      <c r="K2859" s="8" t="s">
        <v>6715</v>
      </c>
    </row>
    <row r="2860" customFormat="false" ht="34.5" hidden="false" customHeight="true" outlineLevel="0" collapsed="false">
      <c r="A2860" s="10" t="s">
        <v>6718</v>
      </c>
      <c r="B2860" s="10" t="s">
        <v>45</v>
      </c>
      <c r="C2860" s="8" t="s">
        <v>6713</v>
      </c>
      <c r="D2860" s="8" t="s">
        <v>6719</v>
      </c>
      <c r="E2860" s="11" t="n">
        <v>119</v>
      </c>
      <c r="F2860" s="8" t="str">
        <f aca="false">IFERROR(INDEX(Section_Master!$D$2:$D$477,MATCH($E2860,Section_Master!$A$2:$A$477,0))&amp;"","")</f>
        <v>Imprisonment up to 10 years and fine [s.119(1)]; life or up to 10 years and fine for grievous hurt [s.119(2)]</v>
      </c>
      <c r="G2860" s="10" t="str">
        <f aca="false">IFERROR(INDEX(Section_Master!$E$2:$E$477,MATCH($E2860,Section_Master!$A$2:$A$477,0))&amp;"","")</f>
        <v>Yes</v>
      </c>
      <c r="H2860" s="10" t="str">
        <f aca="false">IFERROR(INDEX(Section_Master!$F$2:$F$477,MATCH($E2860,Section_Master!$A$2:$A$477,0))&amp;"","")</f>
        <v>No</v>
      </c>
      <c r="I2860" s="10" t="str">
        <f aca="false">IFERROR(INDEX(Section_Master!$G$2:$G$477,MATCH($E2860,Section_Master!$A$2:$A$477,0))&amp;"","")</f>
        <v>No</v>
      </c>
      <c r="J2860" s="10" t="s">
        <v>55</v>
      </c>
      <c r="K2860" s="8" t="s">
        <v>6715</v>
      </c>
    </row>
    <row r="2861" customFormat="false" ht="34.5" hidden="false" customHeight="true" outlineLevel="0" collapsed="false">
      <c r="A2861" s="10" t="s">
        <v>6720</v>
      </c>
      <c r="B2861" s="10" t="s">
        <v>45</v>
      </c>
      <c r="C2861" s="8" t="s">
        <v>6713</v>
      </c>
      <c r="D2861" s="8" t="s">
        <v>6721</v>
      </c>
      <c r="E2861" s="11" t="n">
        <v>119</v>
      </c>
      <c r="F2861" s="8" t="str">
        <f aca="false">IFERROR(INDEX(Section_Master!$D$2:$D$477,MATCH($E2861,Section_Master!$A$2:$A$477,0))&amp;"","")</f>
        <v>Imprisonment up to 10 years and fine [s.119(1)]; life or up to 10 years and fine for grievous hurt [s.119(2)]</v>
      </c>
      <c r="G2861" s="10" t="str">
        <f aca="false">IFERROR(INDEX(Section_Master!$E$2:$E$477,MATCH($E2861,Section_Master!$A$2:$A$477,0))&amp;"","")</f>
        <v>Yes</v>
      </c>
      <c r="H2861" s="10" t="str">
        <f aca="false">IFERROR(INDEX(Section_Master!$F$2:$F$477,MATCH($E2861,Section_Master!$A$2:$A$477,0))&amp;"","")</f>
        <v>No</v>
      </c>
      <c r="I2861" s="10" t="str">
        <f aca="false">IFERROR(INDEX(Section_Master!$G$2:$G$477,MATCH($E2861,Section_Master!$A$2:$A$477,0))&amp;"","")</f>
        <v>No</v>
      </c>
      <c r="J2861" s="10" t="s">
        <v>58</v>
      </c>
      <c r="K2861" s="8" t="s">
        <v>6715</v>
      </c>
    </row>
    <row r="2862" customFormat="false" ht="23.25" hidden="false" customHeight="true" outlineLevel="0" collapsed="false">
      <c r="A2862" s="10" t="s">
        <v>6722</v>
      </c>
      <c r="B2862" s="10" t="s">
        <v>45</v>
      </c>
      <c r="C2862" s="8" t="s">
        <v>6713</v>
      </c>
      <c r="D2862" s="8" t="s">
        <v>6723</v>
      </c>
      <c r="E2862" s="11" t="n">
        <v>119</v>
      </c>
      <c r="F2862" s="8" t="str">
        <f aca="false">IFERROR(INDEX(Section_Master!$D$2:$D$477,MATCH($E2862,Section_Master!$A$2:$A$477,0))&amp;"","")</f>
        <v>Imprisonment up to 10 years and fine [s.119(1)]; life or up to 10 years and fine for grievous hurt [s.119(2)]</v>
      </c>
      <c r="G2862" s="10" t="str">
        <f aca="false">IFERROR(INDEX(Section_Master!$E$2:$E$477,MATCH($E2862,Section_Master!$A$2:$A$477,0))&amp;"","")</f>
        <v>Yes</v>
      </c>
      <c r="H2862" s="10" t="str">
        <f aca="false">IFERROR(INDEX(Section_Master!$F$2:$F$477,MATCH($E2862,Section_Master!$A$2:$A$477,0))&amp;"","")</f>
        <v>No</v>
      </c>
      <c r="I2862" s="10" t="str">
        <f aca="false">IFERROR(INDEX(Section_Master!$G$2:$G$477,MATCH($E2862,Section_Master!$A$2:$A$477,0))&amp;"","")</f>
        <v>No</v>
      </c>
      <c r="J2862" s="10" t="s">
        <v>61</v>
      </c>
      <c r="K2862" s="8" t="s">
        <v>6715</v>
      </c>
    </row>
    <row r="2863" customFormat="false" ht="34.5" hidden="false" customHeight="true" outlineLevel="0" collapsed="false">
      <c r="A2863" s="10" t="s">
        <v>6724</v>
      </c>
      <c r="B2863" s="10" t="s">
        <v>45</v>
      </c>
      <c r="C2863" s="8" t="s">
        <v>6713</v>
      </c>
      <c r="D2863" s="8" t="s">
        <v>6725</v>
      </c>
      <c r="E2863" s="11" t="n">
        <v>119</v>
      </c>
      <c r="F2863" s="8" t="str">
        <f aca="false">IFERROR(INDEX(Section_Master!$D$2:$D$477,MATCH($E2863,Section_Master!$A$2:$A$477,0))&amp;"","")</f>
        <v>Imprisonment up to 10 years and fine [s.119(1)]; life or up to 10 years and fine for grievous hurt [s.119(2)]</v>
      </c>
      <c r="G2863" s="10" t="str">
        <f aca="false">IFERROR(INDEX(Section_Master!$E$2:$E$477,MATCH($E2863,Section_Master!$A$2:$A$477,0))&amp;"","")</f>
        <v>Yes</v>
      </c>
      <c r="H2863" s="10" t="str">
        <f aca="false">IFERROR(INDEX(Section_Master!$F$2:$F$477,MATCH($E2863,Section_Master!$A$2:$A$477,0))&amp;"","")</f>
        <v>No</v>
      </c>
      <c r="I2863" s="10" t="str">
        <f aca="false">IFERROR(INDEX(Section_Master!$G$2:$G$477,MATCH($E2863,Section_Master!$A$2:$A$477,0))&amp;"","")</f>
        <v>No</v>
      </c>
      <c r="J2863" s="10" t="s">
        <v>64</v>
      </c>
      <c r="K2863" s="8" t="s">
        <v>6715</v>
      </c>
    </row>
    <row r="2864" customFormat="false" ht="34.5" hidden="false" customHeight="true" outlineLevel="0" collapsed="false">
      <c r="A2864" s="10" t="s">
        <v>6726</v>
      </c>
      <c r="B2864" s="10" t="s">
        <v>45</v>
      </c>
      <c r="C2864" s="8" t="s">
        <v>6727</v>
      </c>
      <c r="D2864" s="8" t="s">
        <v>6728</v>
      </c>
      <c r="E2864" s="11" t="n">
        <v>120</v>
      </c>
      <c r="F2864" s="8" t="str">
        <f aca="false">IFERROR(INDEX(Section_Master!$D$2:$D$477,MATCH($E2864,Section_Master!$A$2:$A$477,0))&amp;"","")</f>
        <v>Imprisonment up to 7 years and fine [s.120(1)]; up to 10 years and fine for grievous hurt [s.120(2)]</v>
      </c>
      <c r="G2864" s="10" t="str">
        <f aca="false">IFERROR(INDEX(Section_Master!$E$2:$E$477,MATCH($E2864,Section_Master!$A$2:$A$477,0))&amp;"","")</f>
        <v>Yes</v>
      </c>
      <c r="H2864" s="10" t="str">
        <f aca="false">IFERROR(INDEX(Section_Master!$F$2:$F$477,MATCH($E2864,Section_Master!$A$2:$A$477,0))&amp;"","")</f>
        <v>No</v>
      </c>
      <c r="I2864" s="10" t="str">
        <f aca="false">IFERROR(INDEX(Section_Master!$G$2:$G$477,MATCH($E2864,Section_Master!$A$2:$A$477,0))&amp;"","")</f>
        <v>No</v>
      </c>
      <c r="J2864" s="10" t="s">
        <v>48</v>
      </c>
      <c r="K2864" s="8" t="s">
        <v>6729</v>
      </c>
    </row>
    <row r="2865" customFormat="false" ht="34.5" hidden="false" customHeight="true" outlineLevel="0" collapsed="false">
      <c r="A2865" s="10" t="s">
        <v>6730</v>
      </c>
      <c r="B2865" s="10" t="s">
        <v>45</v>
      </c>
      <c r="C2865" s="8" t="s">
        <v>6727</v>
      </c>
      <c r="D2865" s="8" t="s">
        <v>6731</v>
      </c>
      <c r="E2865" s="11" t="n">
        <v>120</v>
      </c>
      <c r="F2865" s="8" t="str">
        <f aca="false">IFERROR(INDEX(Section_Master!$D$2:$D$477,MATCH($E2865,Section_Master!$A$2:$A$477,0))&amp;"","")</f>
        <v>Imprisonment up to 7 years and fine [s.120(1)]; up to 10 years and fine for grievous hurt [s.120(2)]</v>
      </c>
      <c r="G2865" s="10" t="str">
        <f aca="false">IFERROR(INDEX(Section_Master!$E$2:$E$477,MATCH($E2865,Section_Master!$A$2:$A$477,0))&amp;"","")</f>
        <v>Yes</v>
      </c>
      <c r="H2865" s="10" t="str">
        <f aca="false">IFERROR(INDEX(Section_Master!$F$2:$F$477,MATCH($E2865,Section_Master!$A$2:$A$477,0))&amp;"","")</f>
        <v>No</v>
      </c>
      <c r="I2865" s="10" t="str">
        <f aca="false">IFERROR(INDEX(Section_Master!$G$2:$G$477,MATCH($E2865,Section_Master!$A$2:$A$477,0))&amp;"","")</f>
        <v>No</v>
      </c>
      <c r="J2865" s="10" t="s">
        <v>52</v>
      </c>
      <c r="K2865" s="8" t="s">
        <v>6729</v>
      </c>
    </row>
    <row r="2866" customFormat="false" ht="34.5" hidden="false" customHeight="true" outlineLevel="0" collapsed="false">
      <c r="A2866" s="10" t="s">
        <v>6732</v>
      </c>
      <c r="B2866" s="10" t="s">
        <v>45</v>
      </c>
      <c r="C2866" s="8" t="s">
        <v>6727</v>
      </c>
      <c r="D2866" s="8" t="s">
        <v>6733</v>
      </c>
      <c r="E2866" s="11" t="n">
        <v>120</v>
      </c>
      <c r="F2866" s="8" t="str">
        <f aca="false">IFERROR(INDEX(Section_Master!$D$2:$D$477,MATCH($E2866,Section_Master!$A$2:$A$477,0))&amp;"","")</f>
        <v>Imprisonment up to 7 years and fine [s.120(1)]; up to 10 years and fine for grievous hurt [s.120(2)]</v>
      </c>
      <c r="G2866" s="10" t="str">
        <f aca="false">IFERROR(INDEX(Section_Master!$E$2:$E$477,MATCH($E2866,Section_Master!$A$2:$A$477,0))&amp;"","")</f>
        <v>Yes</v>
      </c>
      <c r="H2866" s="10" t="str">
        <f aca="false">IFERROR(INDEX(Section_Master!$F$2:$F$477,MATCH($E2866,Section_Master!$A$2:$A$477,0))&amp;"","")</f>
        <v>No</v>
      </c>
      <c r="I2866" s="10" t="str">
        <f aca="false">IFERROR(INDEX(Section_Master!$G$2:$G$477,MATCH($E2866,Section_Master!$A$2:$A$477,0))&amp;"","")</f>
        <v>No</v>
      </c>
      <c r="J2866" s="10" t="s">
        <v>55</v>
      </c>
      <c r="K2866" s="8" t="s">
        <v>6729</v>
      </c>
    </row>
    <row r="2867" customFormat="false" ht="23.25" hidden="false" customHeight="true" outlineLevel="0" collapsed="false">
      <c r="A2867" s="10" t="s">
        <v>6734</v>
      </c>
      <c r="B2867" s="10" t="s">
        <v>45</v>
      </c>
      <c r="C2867" s="8" t="s">
        <v>6727</v>
      </c>
      <c r="D2867" s="8" t="s">
        <v>6735</v>
      </c>
      <c r="E2867" s="11" t="n">
        <v>120</v>
      </c>
      <c r="F2867" s="8" t="str">
        <f aca="false">IFERROR(INDEX(Section_Master!$D$2:$D$477,MATCH($E2867,Section_Master!$A$2:$A$477,0))&amp;"","")</f>
        <v>Imprisonment up to 7 years and fine [s.120(1)]; up to 10 years and fine for grievous hurt [s.120(2)]</v>
      </c>
      <c r="G2867" s="10" t="str">
        <f aca="false">IFERROR(INDEX(Section_Master!$E$2:$E$477,MATCH($E2867,Section_Master!$A$2:$A$477,0))&amp;"","")</f>
        <v>Yes</v>
      </c>
      <c r="H2867" s="10" t="str">
        <f aca="false">IFERROR(INDEX(Section_Master!$F$2:$F$477,MATCH($E2867,Section_Master!$A$2:$A$477,0))&amp;"","")</f>
        <v>No</v>
      </c>
      <c r="I2867" s="10" t="str">
        <f aca="false">IFERROR(INDEX(Section_Master!$G$2:$G$477,MATCH($E2867,Section_Master!$A$2:$A$477,0))&amp;"","")</f>
        <v>No</v>
      </c>
      <c r="J2867" s="10" t="s">
        <v>58</v>
      </c>
      <c r="K2867" s="8" t="s">
        <v>6729</v>
      </c>
    </row>
    <row r="2868" customFormat="false" ht="34.5" hidden="false" customHeight="true" outlineLevel="0" collapsed="false">
      <c r="A2868" s="10" t="s">
        <v>6736</v>
      </c>
      <c r="B2868" s="10" t="s">
        <v>45</v>
      </c>
      <c r="C2868" s="8" t="s">
        <v>6727</v>
      </c>
      <c r="D2868" s="8" t="s">
        <v>6737</v>
      </c>
      <c r="E2868" s="11" t="n">
        <v>120</v>
      </c>
      <c r="F2868" s="8" t="str">
        <f aca="false">IFERROR(INDEX(Section_Master!$D$2:$D$477,MATCH($E2868,Section_Master!$A$2:$A$477,0))&amp;"","")</f>
        <v>Imprisonment up to 7 years and fine [s.120(1)]; up to 10 years and fine for grievous hurt [s.120(2)]</v>
      </c>
      <c r="G2868" s="10" t="str">
        <f aca="false">IFERROR(INDEX(Section_Master!$E$2:$E$477,MATCH($E2868,Section_Master!$A$2:$A$477,0))&amp;"","")</f>
        <v>Yes</v>
      </c>
      <c r="H2868" s="10" t="str">
        <f aca="false">IFERROR(INDEX(Section_Master!$F$2:$F$477,MATCH($E2868,Section_Master!$A$2:$A$477,0))&amp;"","")</f>
        <v>No</v>
      </c>
      <c r="I2868" s="10" t="str">
        <f aca="false">IFERROR(INDEX(Section_Master!$G$2:$G$477,MATCH($E2868,Section_Master!$A$2:$A$477,0))&amp;"","")</f>
        <v>No</v>
      </c>
      <c r="J2868" s="10" t="s">
        <v>61</v>
      </c>
      <c r="K2868" s="8" t="s">
        <v>6729</v>
      </c>
    </row>
    <row r="2869" customFormat="false" ht="34.5" hidden="false" customHeight="true" outlineLevel="0" collapsed="false">
      <c r="A2869" s="10" t="s">
        <v>6738</v>
      </c>
      <c r="B2869" s="10" t="s">
        <v>45</v>
      </c>
      <c r="C2869" s="8" t="s">
        <v>6727</v>
      </c>
      <c r="D2869" s="8" t="s">
        <v>6739</v>
      </c>
      <c r="E2869" s="11" t="n">
        <v>120</v>
      </c>
      <c r="F2869" s="8" t="str">
        <f aca="false">IFERROR(INDEX(Section_Master!$D$2:$D$477,MATCH($E2869,Section_Master!$A$2:$A$477,0))&amp;"","")</f>
        <v>Imprisonment up to 7 years and fine [s.120(1)]; up to 10 years and fine for grievous hurt [s.120(2)]</v>
      </c>
      <c r="G2869" s="10" t="str">
        <f aca="false">IFERROR(INDEX(Section_Master!$E$2:$E$477,MATCH($E2869,Section_Master!$A$2:$A$477,0))&amp;"","")</f>
        <v>Yes</v>
      </c>
      <c r="H2869" s="10" t="str">
        <f aca="false">IFERROR(INDEX(Section_Master!$F$2:$F$477,MATCH($E2869,Section_Master!$A$2:$A$477,0))&amp;"","")</f>
        <v>No</v>
      </c>
      <c r="I2869" s="10" t="str">
        <f aca="false">IFERROR(INDEX(Section_Master!$G$2:$G$477,MATCH($E2869,Section_Master!$A$2:$A$477,0))&amp;"","")</f>
        <v>No</v>
      </c>
      <c r="J2869" s="10" t="s">
        <v>64</v>
      </c>
      <c r="K2869" s="8" t="s">
        <v>6729</v>
      </c>
    </row>
    <row r="2870" customFormat="false" ht="34.5" hidden="false" customHeight="true" outlineLevel="0" collapsed="false">
      <c r="A2870" s="10" t="s">
        <v>6740</v>
      </c>
      <c r="B2870" s="10" t="s">
        <v>45</v>
      </c>
      <c r="C2870" s="8" t="s">
        <v>6741</v>
      </c>
      <c r="D2870" s="8" t="s">
        <v>6742</v>
      </c>
      <c r="E2870" s="11" t="n">
        <v>121</v>
      </c>
      <c r="F2870" s="8" t="str">
        <f aca="false">IFERROR(INDEX(Section_Master!$D$2:$D$477,MATCH($E2870,Section_Master!$A$2:$A$477,0))&amp;"","")</f>
        <v>Imprisonment up to 5 years, or fine, or both [s.121(1)]; up to 10 years and fine for grievous hurt [s.121(2)]</v>
      </c>
      <c r="G2870" s="10" t="str">
        <f aca="false">IFERROR(INDEX(Section_Master!$E$2:$E$477,MATCH($E2870,Section_Master!$A$2:$A$477,0))&amp;"","")</f>
        <v>Yes</v>
      </c>
      <c r="H2870" s="10" t="str">
        <f aca="false">IFERROR(INDEX(Section_Master!$F$2:$F$477,MATCH($E2870,Section_Master!$A$2:$A$477,0))&amp;"","")</f>
        <v>No</v>
      </c>
      <c r="I2870" s="10" t="str">
        <f aca="false">IFERROR(INDEX(Section_Master!$G$2:$G$477,MATCH($E2870,Section_Master!$A$2:$A$477,0))&amp;"","")</f>
        <v>No</v>
      </c>
      <c r="J2870" s="10" t="s">
        <v>48</v>
      </c>
      <c r="K2870" s="8" t="s">
        <v>6743</v>
      </c>
    </row>
    <row r="2871" customFormat="false" ht="34.5" hidden="false" customHeight="true" outlineLevel="0" collapsed="false">
      <c r="A2871" s="10" t="s">
        <v>6744</v>
      </c>
      <c r="B2871" s="10" t="s">
        <v>45</v>
      </c>
      <c r="C2871" s="8" t="s">
        <v>6741</v>
      </c>
      <c r="D2871" s="8" t="s">
        <v>6745</v>
      </c>
      <c r="E2871" s="11" t="n">
        <v>121</v>
      </c>
      <c r="F2871" s="8" t="str">
        <f aca="false">IFERROR(INDEX(Section_Master!$D$2:$D$477,MATCH($E2871,Section_Master!$A$2:$A$477,0))&amp;"","")</f>
        <v>Imprisonment up to 5 years, or fine, or both [s.121(1)]; up to 10 years and fine for grievous hurt [s.121(2)]</v>
      </c>
      <c r="G2871" s="10" t="str">
        <f aca="false">IFERROR(INDEX(Section_Master!$E$2:$E$477,MATCH($E2871,Section_Master!$A$2:$A$477,0))&amp;"","")</f>
        <v>Yes</v>
      </c>
      <c r="H2871" s="10" t="str">
        <f aca="false">IFERROR(INDEX(Section_Master!$F$2:$F$477,MATCH($E2871,Section_Master!$A$2:$A$477,0))&amp;"","")</f>
        <v>No</v>
      </c>
      <c r="I2871" s="10" t="str">
        <f aca="false">IFERROR(INDEX(Section_Master!$G$2:$G$477,MATCH($E2871,Section_Master!$A$2:$A$477,0))&amp;"","")</f>
        <v>No</v>
      </c>
      <c r="J2871" s="10" t="s">
        <v>52</v>
      </c>
      <c r="K2871" s="8" t="s">
        <v>6743</v>
      </c>
    </row>
    <row r="2872" customFormat="false" ht="34.5" hidden="false" customHeight="true" outlineLevel="0" collapsed="false">
      <c r="A2872" s="10" t="s">
        <v>6746</v>
      </c>
      <c r="B2872" s="10" t="s">
        <v>45</v>
      </c>
      <c r="C2872" s="8" t="s">
        <v>6741</v>
      </c>
      <c r="D2872" s="8" t="s">
        <v>6747</v>
      </c>
      <c r="E2872" s="11" t="n">
        <v>121</v>
      </c>
      <c r="F2872" s="8" t="str">
        <f aca="false">IFERROR(INDEX(Section_Master!$D$2:$D$477,MATCH($E2872,Section_Master!$A$2:$A$477,0))&amp;"","")</f>
        <v>Imprisonment up to 5 years, or fine, or both [s.121(1)]; up to 10 years and fine for grievous hurt [s.121(2)]</v>
      </c>
      <c r="G2872" s="10" t="str">
        <f aca="false">IFERROR(INDEX(Section_Master!$E$2:$E$477,MATCH($E2872,Section_Master!$A$2:$A$477,0))&amp;"","")</f>
        <v>Yes</v>
      </c>
      <c r="H2872" s="10" t="str">
        <f aca="false">IFERROR(INDEX(Section_Master!$F$2:$F$477,MATCH($E2872,Section_Master!$A$2:$A$477,0))&amp;"","")</f>
        <v>No</v>
      </c>
      <c r="I2872" s="10" t="str">
        <f aca="false">IFERROR(INDEX(Section_Master!$G$2:$G$477,MATCH($E2872,Section_Master!$A$2:$A$477,0))&amp;"","")</f>
        <v>No</v>
      </c>
      <c r="J2872" s="10" t="s">
        <v>55</v>
      </c>
      <c r="K2872" s="8" t="s">
        <v>6743</v>
      </c>
    </row>
    <row r="2873" customFormat="false" ht="23.25" hidden="false" customHeight="true" outlineLevel="0" collapsed="false">
      <c r="A2873" s="10" t="s">
        <v>6748</v>
      </c>
      <c r="B2873" s="10" t="s">
        <v>45</v>
      </c>
      <c r="C2873" s="8" t="s">
        <v>6741</v>
      </c>
      <c r="D2873" s="8" t="s">
        <v>6749</v>
      </c>
      <c r="E2873" s="11" t="n">
        <v>121</v>
      </c>
      <c r="F2873" s="8" t="str">
        <f aca="false">IFERROR(INDEX(Section_Master!$D$2:$D$477,MATCH($E2873,Section_Master!$A$2:$A$477,0))&amp;"","")</f>
        <v>Imprisonment up to 5 years, or fine, or both [s.121(1)]; up to 10 years and fine for grievous hurt [s.121(2)]</v>
      </c>
      <c r="G2873" s="10" t="str">
        <f aca="false">IFERROR(INDEX(Section_Master!$E$2:$E$477,MATCH($E2873,Section_Master!$A$2:$A$477,0))&amp;"","")</f>
        <v>Yes</v>
      </c>
      <c r="H2873" s="10" t="str">
        <f aca="false">IFERROR(INDEX(Section_Master!$F$2:$F$477,MATCH($E2873,Section_Master!$A$2:$A$477,0))&amp;"","")</f>
        <v>No</v>
      </c>
      <c r="I2873" s="10" t="str">
        <f aca="false">IFERROR(INDEX(Section_Master!$G$2:$G$477,MATCH($E2873,Section_Master!$A$2:$A$477,0))&amp;"","")</f>
        <v>No</v>
      </c>
      <c r="J2873" s="10" t="s">
        <v>58</v>
      </c>
      <c r="K2873" s="8" t="s">
        <v>6743</v>
      </c>
    </row>
    <row r="2874" customFormat="false" ht="23.25" hidden="false" customHeight="true" outlineLevel="0" collapsed="false">
      <c r="A2874" s="10" t="s">
        <v>6750</v>
      </c>
      <c r="B2874" s="10" t="s">
        <v>45</v>
      </c>
      <c r="C2874" s="8" t="s">
        <v>6741</v>
      </c>
      <c r="D2874" s="8" t="s">
        <v>6751</v>
      </c>
      <c r="E2874" s="11" t="n">
        <v>121</v>
      </c>
      <c r="F2874" s="8" t="str">
        <f aca="false">IFERROR(INDEX(Section_Master!$D$2:$D$477,MATCH($E2874,Section_Master!$A$2:$A$477,0))&amp;"","")</f>
        <v>Imprisonment up to 5 years, or fine, or both [s.121(1)]; up to 10 years and fine for grievous hurt [s.121(2)]</v>
      </c>
      <c r="G2874" s="10" t="str">
        <f aca="false">IFERROR(INDEX(Section_Master!$E$2:$E$477,MATCH($E2874,Section_Master!$A$2:$A$477,0))&amp;"","")</f>
        <v>Yes</v>
      </c>
      <c r="H2874" s="10" t="str">
        <f aca="false">IFERROR(INDEX(Section_Master!$F$2:$F$477,MATCH($E2874,Section_Master!$A$2:$A$477,0))&amp;"","")</f>
        <v>No</v>
      </c>
      <c r="I2874" s="10" t="str">
        <f aca="false">IFERROR(INDEX(Section_Master!$G$2:$G$477,MATCH($E2874,Section_Master!$A$2:$A$477,0))&amp;"","")</f>
        <v>No</v>
      </c>
      <c r="J2874" s="10" t="s">
        <v>61</v>
      </c>
      <c r="K2874" s="8" t="s">
        <v>6743</v>
      </c>
    </row>
    <row r="2875" customFormat="false" ht="34.5" hidden="false" customHeight="true" outlineLevel="0" collapsed="false">
      <c r="A2875" s="10" t="s">
        <v>6752</v>
      </c>
      <c r="B2875" s="10" t="s">
        <v>45</v>
      </c>
      <c r="C2875" s="8" t="s">
        <v>6741</v>
      </c>
      <c r="D2875" s="8" t="s">
        <v>6753</v>
      </c>
      <c r="E2875" s="11" t="n">
        <v>121</v>
      </c>
      <c r="F2875" s="8" t="str">
        <f aca="false">IFERROR(INDEX(Section_Master!$D$2:$D$477,MATCH($E2875,Section_Master!$A$2:$A$477,0))&amp;"","")</f>
        <v>Imprisonment up to 5 years, or fine, or both [s.121(1)]; up to 10 years and fine for grievous hurt [s.121(2)]</v>
      </c>
      <c r="G2875" s="10" t="str">
        <f aca="false">IFERROR(INDEX(Section_Master!$E$2:$E$477,MATCH($E2875,Section_Master!$A$2:$A$477,0))&amp;"","")</f>
        <v>Yes</v>
      </c>
      <c r="H2875" s="10" t="str">
        <f aca="false">IFERROR(INDEX(Section_Master!$F$2:$F$477,MATCH($E2875,Section_Master!$A$2:$A$477,0))&amp;"","")</f>
        <v>No</v>
      </c>
      <c r="I2875" s="10" t="str">
        <f aca="false">IFERROR(INDEX(Section_Master!$G$2:$G$477,MATCH($E2875,Section_Master!$A$2:$A$477,0))&amp;"","")</f>
        <v>No</v>
      </c>
      <c r="J2875" s="10" t="s">
        <v>64</v>
      </c>
      <c r="K2875" s="8" t="s">
        <v>6743</v>
      </c>
    </row>
    <row r="2876" customFormat="false" ht="34.5" hidden="false" customHeight="true" outlineLevel="0" collapsed="false">
      <c r="A2876" s="10" t="s">
        <v>6754</v>
      </c>
      <c r="B2876" s="10" t="s">
        <v>45</v>
      </c>
      <c r="C2876" s="8" t="s">
        <v>6755</v>
      </c>
      <c r="D2876" s="8" t="s">
        <v>6756</v>
      </c>
      <c r="E2876" s="11" t="n">
        <v>122</v>
      </c>
      <c r="F2876" s="8" t="str">
        <f aca="false">IFERROR(INDEX(Section_Master!$D$2:$D$477,MATCH($E2876,Section_Master!$A$2:$A$477,0))&amp;"","")</f>
        <v>Imprisonment up to 1 month, or fine, or both [s.122(1)]; up to 5 years, or fine, or both for grievous hurt [s.122(2)]</v>
      </c>
      <c r="G2876" s="10" t="str">
        <f aca="false">IFERROR(INDEX(Section_Master!$E$2:$E$477,MATCH($E2876,Section_Master!$A$2:$A$477,0))&amp;"","")</f>
        <v>No</v>
      </c>
      <c r="H2876" s="10" t="str">
        <f aca="false">IFERROR(INDEX(Section_Master!$F$2:$F$477,MATCH($E2876,Section_Master!$A$2:$A$477,0))&amp;"","")</f>
        <v>Yes</v>
      </c>
      <c r="I2876" s="10" t="str">
        <f aca="false">IFERROR(INDEX(Section_Master!$G$2:$G$477,MATCH($E2876,Section_Master!$A$2:$A$477,0))&amp;"","")</f>
        <v>Yes (122(1)); With court permission (122(2))</v>
      </c>
      <c r="J2876" s="10" t="s">
        <v>48</v>
      </c>
      <c r="K2876" s="8" t="s">
        <v>6757</v>
      </c>
    </row>
    <row r="2877" customFormat="false" ht="34.5" hidden="false" customHeight="true" outlineLevel="0" collapsed="false">
      <c r="A2877" s="10" t="s">
        <v>6758</v>
      </c>
      <c r="B2877" s="10" t="s">
        <v>45</v>
      </c>
      <c r="C2877" s="8" t="s">
        <v>6755</v>
      </c>
      <c r="D2877" s="8" t="s">
        <v>6759</v>
      </c>
      <c r="E2877" s="11" t="n">
        <v>122</v>
      </c>
      <c r="F2877" s="8" t="str">
        <f aca="false">IFERROR(INDEX(Section_Master!$D$2:$D$477,MATCH($E2877,Section_Master!$A$2:$A$477,0))&amp;"","")</f>
        <v>Imprisonment up to 1 month, or fine, or both [s.122(1)]; up to 5 years, or fine, or both for grievous hurt [s.122(2)]</v>
      </c>
      <c r="G2877" s="10" t="str">
        <f aca="false">IFERROR(INDEX(Section_Master!$E$2:$E$477,MATCH($E2877,Section_Master!$A$2:$A$477,0))&amp;"","")</f>
        <v>No</v>
      </c>
      <c r="H2877" s="10" t="str">
        <f aca="false">IFERROR(INDEX(Section_Master!$F$2:$F$477,MATCH($E2877,Section_Master!$A$2:$A$477,0))&amp;"","")</f>
        <v>Yes</v>
      </c>
      <c r="I2877" s="10" t="str">
        <f aca="false">IFERROR(INDEX(Section_Master!$G$2:$G$477,MATCH($E2877,Section_Master!$A$2:$A$477,0))&amp;"","")</f>
        <v>Yes (122(1)); With court permission (122(2))</v>
      </c>
      <c r="J2877" s="10" t="s">
        <v>52</v>
      </c>
      <c r="K2877" s="8" t="s">
        <v>6757</v>
      </c>
    </row>
    <row r="2878" customFormat="false" ht="23.25" hidden="false" customHeight="true" outlineLevel="0" collapsed="false">
      <c r="A2878" s="10" t="s">
        <v>6760</v>
      </c>
      <c r="B2878" s="10" t="s">
        <v>45</v>
      </c>
      <c r="C2878" s="8" t="s">
        <v>6755</v>
      </c>
      <c r="D2878" s="8" t="s">
        <v>6761</v>
      </c>
      <c r="E2878" s="11" t="n">
        <v>122</v>
      </c>
      <c r="F2878" s="8" t="str">
        <f aca="false">IFERROR(INDEX(Section_Master!$D$2:$D$477,MATCH($E2878,Section_Master!$A$2:$A$477,0))&amp;"","")</f>
        <v>Imprisonment up to 1 month, or fine, or both [s.122(1)]; up to 5 years, or fine, or both for grievous hurt [s.122(2)]</v>
      </c>
      <c r="G2878" s="10" t="str">
        <f aca="false">IFERROR(INDEX(Section_Master!$E$2:$E$477,MATCH($E2878,Section_Master!$A$2:$A$477,0))&amp;"","")</f>
        <v>No</v>
      </c>
      <c r="H2878" s="10" t="str">
        <f aca="false">IFERROR(INDEX(Section_Master!$F$2:$F$477,MATCH($E2878,Section_Master!$A$2:$A$477,0))&amp;"","")</f>
        <v>Yes</v>
      </c>
      <c r="I2878" s="10" t="str">
        <f aca="false">IFERROR(INDEX(Section_Master!$G$2:$G$477,MATCH($E2878,Section_Master!$A$2:$A$477,0))&amp;"","")</f>
        <v>Yes (122(1)); With court permission (122(2))</v>
      </c>
      <c r="J2878" s="10" t="s">
        <v>55</v>
      </c>
      <c r="K2878" s="8" t="s">
        <v>6757</v>
      </c>
    </row>
    <row r="2879" customFormat="false" ht="34.5" hidden="false" customHeight="true" outlineLevel="0" collapsed="false">
      <c r="A2879" s="10" t="s">
        <v>6762</v>
      </c>
      <c r="B2879" s="10" t="s">
        <v>45</v>
      </c>
      <c r="C2879" s="8" t="s">
        <v>6755</v>
      </c>
      <c r="D2879" s="8" t="s">
        <v>6763</v>
      </c>
      <c r="E2879" s="11" t="n">
        <v>122</v>
      </c>
      <c r="F2879" s="8" t="str">
        <f aca="false">IFERROR(INDEX(Section_Master!$D$2:$D$477,MATCH($E2879,Section_Master!$A$2:$A$477,0))&amp;"","")</f>
        <v>Imprisonment up to 1 month, or fine, or both [s.122(1)]; up to 5 years, or fine, or both for grievous hurt [s.122(2)]</v>
      </c>
      <c r="G2879" s="10" t="str">
        <f aca="false">IFERROR(INDEX(Section_Master!$E$2:$E$477,MATCH($E2879,Section_Master!$A$2:$A$477,0))&amp;"","")</f>
        <v>No</v>
      </c>
      <c r="H2879" s="10" t="str">
        <f aca="false">IFERROR(INDEX(Section_Master!$F$2:$F$477,MATCH($E2879,Section_Master!$A$2:$A$477,0))&amp;"","")</f>
        <v>Yes</v>
      </c>
      <c r="I2879" s="10" t="str">
        <f aca="false">IFERROR(INDEX(Section_Master!$G$2:$G$477,MATCH($E2879,Section_Master!$A$2:$A$477,0))&amp;"","")</f>
        <v>Yes (122(1)); With court permission (122(2))</v>
      </c>
      <c r="J2879" s="10" t="s">
        <v>58</v>
      </c>
      <c r="K2879" s="8" t="s">
        <v>6757</v>
      </c>
    </row>
    <row r="2880" customFormat="false" ht="23.25" hidden="false" customHeight="true" outlineLevel="0" collapsed="false">
      <c r="A2880" s="10" t="s">
        <v>6764</v>
      </c>
      <c r="B2880" s="10" t="s">
        <v>45</v>
      </c>
      <c r="C2880" s="8" t="s">
        <v>6755</v>
      </c>
      <c r="D2880" s="8" t="s">
        <v>6765</v>
      </c>
      <c r="E2880" s="11" t="n">
        <v>122</v>
      </c>
      <c r="F2880" s="8" t="str">
        <f aca="false">IFERROR(INDEX(Section_Master!$D$2:$D$477,MATCH($E2880,Section_Master!$A$2:$A$477,0))&amp;"","")</f>
        <v>Imprisonment up to 1 month, or fine, or both [s.122(1)]; up to 5 years, or fine, or both for grievous hurt [s.122(2)]</v>
      </c>
      <c r="G2880" s="10" t="str">
        <f aca="false">IFERROR(INDEX(Section_Master!$E$2:$E$477,MATCH($E2880,Section_Master!$A$2:$A$477,0))&amp;"","")</f>
        <v>No</v>
      </c>
      <c r="H2880" s="10" t="str">
        <f aca="false">IFERROR(INDEX(Section_Master!$F$2:$F$477,MATCH($E2880,Section_Master!$A$2:$A$477,0))&amp;"","")</f>
        <v>Yes</v>
      </c>
      <c r="I2880" s="10" t="str">
        <f aca="false">IFERROR(INDEX(Section_Master!$G$2:$G$477,MATCH($E2880,Section_Master!$A$2:$A$477,0))&amp;"","")</f>
        <v>Yes (122(1)); With court permission (122(2))</v>
      </c>
      <c r="J2880" s="10" t="s">
        <v>61</v>
      </c>
      <c r="K2880" s="8" t="s">
        <v>6757</v>
      </c>
    </row>
    <row r="2881" customFormat="false" ht="23.25" hidden="false" customHeight="true" outlineLevel="0" collapsed="false">
      <c r="A2881" s="10" t="s">
        <v>6766</v>
      </c>
      <c r="B2881" s="10" t="s">
        <v>45</v>
      </c>
      <c r="C2881" s="8" t="s">
        <v>6755</v>
      </c>
      <c r="D2881" s="8" t="s">
        <v>6767</v>
      </c>
      <c r="E2881" s="11" t="n">
        <v>122</v>
      </c>
      <c r="F2881" s="8" t="str">
        <f aca="false">IFERROR(INDEX(Section_Master!$D$2:$D$477,MATCH($E2881,Section_Master!$A$2:$A$477,0))&amp;"","")</f>
        <v>Imprisonment up to 1 month, or fine, or both [s.122(1)]; up to 5 years, or fine, or both for grievous hurt [s.122(2)]</v>
      </c>
      <c r="G2881" s="10" t="str">
        <f aca="false">IFERROR(INDEX(Section_Master!$E$2:$E$477,MATCH($E2881,Section_Master!$A$2:$A$477,0))&amp;"","")</f>
        <v>No</v>
      </c>
      <c r="H2881" s="10" t="str">
        <f aca="false">IFERROR(INDEX(Section_Master!$F$2:$F$477,MATCH($E2881,Section_Master!$A$2:$A$477,0))&amp;"","")</f>
        <v>Yes</v>
      </c>
      <c r="I2881" s="10" t="str">
        <f aca="false">IFERROR(INDEX(Section_Master!$G$2:$G$477,MATCH($E2881,Section_Master!$A$2:$A$477,0))&amp;"","")</f>
        <v>Yes (122(1)); With court permission (122(2))</v>
      </c>
      <c r="J2881" s="10" t="s">
        <v>64</v>
      </c>
      <c r="K2881" s="8" t="s">
        <v>6757</v>
      </c>
    </row>
    <row r="2882" customFormat="false" ht="34.5" hidden="false" customHeight="true" outlineLevel="0" collapsed="false">
      <c r="A2882" s="10" t="s">
        <v>6768</v>
      </c>
      <c r="B2882" s="10" t="s">
        <v>45</v>
      </c>
      <c r="C2882" s="8" t="s">
        <v>6769</v>
      </c>
      <c r="D2882" s="8" t="s">
        <v>6770</v>
      </c>
      <c r="E2882" s="11" t="n">
        <v>123</v>
      </c>
      <c r="F2882" s="8" t="str">
        <f aca="false">IFERROR(INDEX(Section_Master!$D$2:$D$477,MATCH($E2882,Section_Master!$A$2:$A$477,0))&amp;"","")</f>
        <v>Imprisonment up to 10 years and fine</v>
      </c>
      <c r="G2882" s="10" t="str">
        <f aca="false">IFERROR(INDEX(Section_Master!$E$2:$E$477,MATCH($E2882,Section_Master!$A$2:$A$477,0))&amp;"","")</f>
        <v>Yes</v>
      </c>
      <c r="H2882" s="10" t="str">
        <f aca="false">IFERROR(INDEX(Section_Master!$F$2:$F$477,MATCH($E2882,Section_Master!$A$2:$A$477,0))&amp;"","")</f>
        <v>No</v>
      </c>
      <c r="I2882" s="10" t="str">
        <f aca="false">IFERROR(INDEX(Section_Master!$G$2:$G$477,MATCH($E2882,Section_Master!$A$2:$A$477,0))&amp;"","")</f>
        <v>No</v>
      </c>
      <c r="J2882" s="10" t="s">
        <v>48</v>
      </c>
      <c r="K2882" s="8" t="s">
        <v>6771</v>
      </c>
    </row>
    <row r="2883" customFormat="false" ht="34.5" hidden="false" customHeight="true" outlineLevel="0" collapsed="false">
      <c r="A2883" s="10" t="s">
        <v>6772</v>
      </c>
      <c r="B2883" s="10" t="s">
        <v>45</v>
      </c>
      <c r="C2883" s="8" t="s">
        <v>6769</v>
      </c>
      <c r="D2883" s="8" t="s">
        <v>6773</v>
      </c>
      <c r="E2883" s="11" t="n">
        <v>123</v>
      </c>
      <c r="F2883" s="8" t="str">
        <f aca="false">IFERROR(INDEX(Section_Master!$D$2:$D$477,MATCH($E2883,Section_Master!$A$2:$A$477,0))&amp;"","")</f>
        <v>Imprisonment up to 10 years and fine</v>
      </c>
      <c r="G2883" s="10" t="str">
        <f aca="false">IFERROR(INDEX(Section_Master!$E$2:$E$477,MATCH($E2883,Section_Master!$A$2:$A$477,0))&amp;"","")</f>
        <v>Yes</v>
      </c>
      <c r="H2883" s="10" t="str">
        <f aca="false">IFERROR(INDEX(Section_Master!$F$2:$F$477,MATCH($E2883,Section_Master!$A$2:$A$477,0))&amp;"","")</f>
        <v>No</v>
      </c>
      <c r="I2883" s="10" t="str">
        <f aca="false">IFERROR(INDEX(Section_Master!$G$2:$G$477,MATCH($E2883,Section_Master!$A$2:$A$477,0))&amp;"","")</f>
        <v>No</v>
      </c>
      <c r="J2883" s="10" t="s">
        <v>52</v>
      </c>
      <c r="K2883" s="8" t="s">
        <v>6771</v>
      </c>
    </row>
    <row r="2884" customFormat="false" ht="34.5" hidden="false" customHeight="true" outlineLevel="0" collapsed="false">
      <c r="A2884" s="10" t="s">
        <v>6774</v>
      </c>
      <c r="B2884" s="10" t="s">
        <v>45</v>
      </c>
      <c r="C2884" s="8" t="s">
        <v>6769</v>
      </c>
      <c r="D2884" s="8" t="s">
        <v>6775</v>
      </c>
      <c r="E2884" s="11" t="n">
        <v>123</v>
      </c>
      <c r="F2884" s="8" t="str">
        <f aca="false">IFERROR(INDEX(Section_Master!$D$2:$D$477,MATCH($E2884,Section_Master!$A$2:$A$477,0))&amp;"","")</f>
        <v>Imprisonment up to 10 years and fine</v>
      </c>
      <c r="G2884" s="10" t="str">
        <f aca="false">IFERROR(INDEX(Section_Master!$E$2:$E$477,MATCH($E2884,Section_Master!$A$2:$A$477,0))&amp;"","")</f>
        <v>Yes</v>
      </c>
      <c r="H2884" s="10" t="str">
        <f aca="false">IFERROR(INDEX(Section_Master!$F$2:$F$477,MATCH($E2884,Section_Master!$A$2:$A$477,0))&amp;"","")</f>
        <v>No</v>
      </c>
      <c r="I2884" s="10" t="str">
        <f aca="false">IFERROR(INDEX(Section_Master!$G$2:$G$477,MATCH($E2884,Section_Master!$A$2:$A$477,0))&amp;"","")</f>
        <v>No</v>
      </c>
      <c r="J2884" s="10" t="s">
        <v>55</v>
      </c>
      <c r="K2884" s="8" t="s">
        <v>6771</v>
      </c>
    </row>
    <row r="2885" customFormat="false" ht="23.25" hidden="false" customHeight="true" outlineLevel="0" collapsed="false">
      <c r="A2885" s="10" t="s">
        <v>6776</v>
      </c>
      <c r="B2885" s="10" t="s">
        <v>45</v>
      </c>
      <c r="C2885" s="8" t="s">
        <v>6769</v>
      </c>
      <c r="D2885" s="8" t="s">
        <v>6777</v>
      </c>
      <c r="E2885" s="11" t="n">
        <v>123</v>
      </c>
      <c r="F2885" s="8" t="str">
        <f aca="false">IFERROR(INDEX(Section_Master!$D$2:$D$477,MATCH($E2885,Section_Master!$A$2:$A$477,0))&amp;"","")</f>
        <v>Imprisonment up to 10 years and fine</v>
      </c>
      <c r="G2885" s="10" t="str">
        <f aca="false">IFERROR(INDEX(Section_Master!$E$2:$E$477,MATCH($E2885,Section_Master!$A$2:$A$477,0))&amp;"","")</f>
        <v>Yes</v>
      </c>
      <c r="H2885" s="10" t="str">
        <f aca="false">IFERROR(INDEX(Section_Master!$F$2:$F$477,MATCH($E2885,Section_Master!$A$2:$A$477,0))&amp;"","")</f>
        <v>No</v>
      </c>
      <c r="I2885" s="10" t="str">
        <f aca="false">IFERROR(INDEX(Section_Master!$G$2:$G$477,MATCH($E2885,Section_Master!$A$2:$A$477,0))&amp;"","")</f>
        <v>No</v>
      </c>
      <c r="J2885" s="10" t="s">
        <v>58</v>
      </c>
      <c r="K2885" s="8" t="s">
        <v>6771</v>
      </c>
    </row>
    <row r="2886" customFormat="false" ht="23.25" hidden="false" customHeight="true" outlineLevel="0" collapsed="false">
      <c r="A2886" s="10" t="s">
        <v>6778</v>
      </c>
      <c r="B2886" s="10" t="s">
        <v>45</v>
      </c>
      <c r="C2886" s="8" t="s">
        <v>6769</v>
      </c>
      <c r="D2886" s="8" t="s">
        <v>6779</v>
      </c>
      <c r="E2886" s="11" t="n">
        <v>123</v>
      </c>
      <c r="F2886" s="8" t="str">
        <f aca="false">IFERROR(INDEX(Section_Master!$D$2:$D$477,MATCH($E2886,Section_Master!$A$2:$A$477,0))&amp;"","")</f>
        <v>Imprisonment up to 10 years and fine</v>
      </c>
      <c r="G2886" s="10" t="str">
        <f aca="false">IFERROR(INDEX(Section_Master!$E$2:$E$477,MATCH($E2886,Section_Master!$A$2:$A$477,0))&amp;"","")</f>
        <v>Yes</v>
      </c>
      <c r="H2886" s="10" t="str">
        <f aca="false">IFERROR(INDEX(Section_Master!$F$2:$F$477,MATCH($E2886,Section_Master!$A$2:$A$477,0))&amp;"","")</f>
        <v>No</v>
      </c>
      <c r="I2886" s="10" t="str">
        <f aca="false">IFERROR(INDEX(Section_Master!$G$2:$G$477,MATCH($E2886,Section_Master!$A$2:$A$477,0))&amp;"","")</f>
        <v>No</v>
      </c>
      <c r="J2886" s="10" t="s">
        <v>61</v>
      </c>
      <c r="K2886" s="8" t="s">
        <v>6771</v>
      </c>
    </row>
    <row r="2887" customFormat="false" ht="34.5" hidden="false" customHeight="true" outlineLevel="0" collapsed="false">
      <c r="A2887" s="10" t="s">
        <v>6780</v>
      </c>
      <c r="B2887" s="10" t="s">
        <v>45</v>
      </c>
      <c r="C2887" s="8" t="s">
        <v>6769</v>
      </c>
      <c r="D2887" s="8" t="s">
        <v>6781</v>
      </c>
      <c r="E2887" s="11" t="n">
        <v>123</v>
      </c>
      <c r="F2887" s="8" t="str">
        <f aca="false">IFERROR(INDEX(Section_Master!$D$2:$D$477,MATCH($E2887,Section_Master!$A$2:$A$477,0))&amp;"","")</f>
        <v>Imprisonment up to 10 years and fine</v>
      </c>
      <c r="G2887" s="10" t="str">
        <f aca="false">IFERROR(INDEX(Section_Master!$E$2:$E$477,MATCH($E2887,Section_Master!$A$2:$A$477,0))&amp;"","")</f>
        <v>Yes</v>
      </c>
      <c r="H2887" s="10" t="str">
        <f aca="false">IFERROR(INDEX(Section_Master!$F$2:$F$477,MATCH($E2887,Section_Master!$A$2:$A$477,0))&amp;"","")</f>
        <v>No</v>
      </c>
      <c r="I2887" s="10" t="str">
        <f aca="false">IFERROR(INDEX(Section_Master!$G$2:$G$477,MATCH($E2887,Section_Master!$A$2:$A$477,0))&amp;"","")</f>
        <v>No</v>
      </c>
      <c r="J2887" s="10" t="s">
        <v>64</v>
      </c>
      <c r="K2887" s="8" t="s">
        <v>6771</v>
      </c>
    </row>
    <row r="2888" customFormat="false" ht="34.5" hidden="false" customHeight="true" outlineLevel="0" collapsed="false">
      <c r="A2888" s="10" t="s">
        <v>6782</v>
      </c>
      <c r="B2888" s="10" t="s">
        <v>45</v>
      </c>
      <c r="C2888" s="8" t="s">
        <v>6783</v>
      </c>
      <c r="D2888" s="8" t="s">
        <v>6784</v>
      </c>
      <c r="E2888" s="11" t="n">
        <v>124</v>
      </c>
      <c r="F2888" s="8" t="str">
        <f aca="false">IFERROR(INDEX(Section_Master!$D$2:$D$477,MATCH($E2888,Section_Master!$A$2:$A$477,0))&amp;"","")</f>
        <v>Not less than 10 years, may extend to life, and fine for acid attack [s.124(1)]; 5 to 7 years and fine for attempt [s.124(2)]</v>
      </c>
      <c r="G2888" s="10" t="str">
        <f aca="false">IFERROR(INDEX(Section_Master!$E$2:$E$477,MATCH($E2888,Section_Master!$A$2:$A$477,0))&amp;"","")</f>
        <v>Yes</v>
      </c>
      <c r="H2888" s="10" t="str">
        <f aca="false">IFERROR(INDEX(Section_Master!$F$2:$F$477,MATCH($E2888,Section_Master!$A$2:$A$477,0))&amp;"","")</f>
        <v>No</v>
      </c>
      <c r="I2888" s="10" t="str">
        <f aca="false">IFERROR(INDEX(Section_Master!$G$2:$G$477,MATCH($E2888,Section_Master!$A$2:$A$477,0))&amp;"","")</f>
        <v>No</v>
      </c>
      <c r="J2888" s="10" t="s">
        <v>48</v>
      </c>
      <c r="K2888" s="8" t="s">
        <v>6785</v>
      </c>
    </row>
    <row r="2889" customFormat="false" ht="34.5" hidden="false" customHeight="true" outlineLevel="0" collapsed="false">
      <c r="A2889" s="10" t="s">
        <v>6786</v>
      </c>
      <c r="B2889" s="10" t="s">
        <v>45</v>
      </c>
      <c r="C2889" s="8" t="s">
        <v>6783</v>
      </c>
      <c r="D2889" s="8" t="s">
        <v>6787</v>
      </c>
      <c r="E2889" s="11" t="n">
        <v>124</v>
      </c>
      <c r="F2889" s="8" t="str">
        <f aca="false">IFERROR(INDEX(Section_Master!$D$2:$D$477,MATCH($E2889,Section_Master!$A$2:$A$477,0))&amp;"","")</f>
        <v>Not less than 10 years, may extend to life, and fine for acid attack [s.124(1)]; 5 to 7 years and fine for attempt [s.124(2)]</v>
      </c>
      <c r="G2889" s="10" t="str">
        <f aca="false">IFERROR(INDEX(Section_Master!$E$2:$E$477,MATCH($E2889,Section_Master!$A$2:$A$477,0))&amp;"","")</f>
        <v>Yes</v>
      </c>
      <c r="H2889" s="10" t="str">
        <f aca="false">IFERROR(INDEX(Section_Master!$F$2:$F$477,MATCH($E2889,Section_Master!$A$2:$A$477,0))&amp;"","")</f>
        <v>No</v>
      </c>
      <c r="I2889" s="10" t="str">
        <f aca="false">IFERROR(INDEX(Section_Master!$G$2:$G$477,MATCH($E2889,Section_Master!$A$2:$A$477,0))&amp;"","")</f>
        <v>No</v>
      </c>
      <c r="J2889" s="10" t="s">
        <v>52</v>
      </c>
      <c r="K2889" s="8" t="s">
        <v>6785</v>
      </c>
    </row>
    <row r="2890" customFormat="false" ht="23.25" hidden="false" customHeight="true" outlineLevel="0" collapsed="false">
      <c r="A2890" s="10" t="s">
        <v>6788</v>
      </c>
      <c r="B2890" s="10" t="s">
        <v>45</v>
      </c>
      <c r="C2890" s="8" t="s">
        <v>6783</v>
      </c>
      <c r="D2890" s="8" t="s">
        <v>6789</v>
      </c>
      <c r="E2890" s="11" t="n">
        <v>124</v>
      </c>
      <c r="F2890" s="8" t="str">
        <f aca="false">IFERROR(INDEX(Section_Master!$D$2:$D$477,MATCH($E2890,Section_Master!$A$2:$A$477,0))&amp;"","")</f>
        <v>Not less than 10 years, may extend to life, and fine for acid attack [s.124(1)]; 5 to 7 years and fine for attempt [s.124(2)]</v>
      </c>
      <c r="G2890" s="10" t="str">
        <f aca="false">IFERROR(INDEX(Section_Master!$E$2:$E$477,MATCH($E2890,Section_Master!$A$2:$A$477,0))&amp;"","")</f>
        <v>Yes</v>
      </c>
      <c r="H2890" s="10" t="str">
        <f aca="false">IFERROR(INDEX(Section_Master!$F$2:$F$477,MATCH($E2890,Section_Master!$A$2:$A$477,0))&amp;"","")</f>
        <v>No</v>
      </c>
      <c r="I2890" s="10" t="str">
        <f aca="false">IFERROR(INDEX(Section_Master!$G$2:$G$477,MATCH($E2890,Section_Master!$A$2:$A$477,0))&amp;"","")</f>
        <v>No</v>
      </c>
      <c r="J2890" s="10" t="s">
        <v>55</v>
      </c>
      <c r="K2890" s="8" t="s">
        <v>6785</v>
      </c>
    </row>
    <row r="2891" customFormat="false" ht="23.25" hidden="false" customHeight="true" outlineLevel="0" collapsed="false">
      <c r="A2891" s="10" t="s">
        <v>6790</v>
      </c>
      <c r="B2891" s="10" t="s">
        <v>45</v>
      </c>
      <c r="C2891" s="8" t="s">
        <v>6783</v>
      </c>
      <c r="D2891" s="8" t="s">
        <v>6791</v>
      </c>
      <c r="E2891" s="11" t="n">
        <v>124</v>
      </c>
      <c r="F2891" s="8" t="str">
        <f aca="false">IFERROR(INDEX(Section_Master!$D$2:$D$477,MATCH($E2891,Section_Master!$A$2:$A$477,0))&amp;"","")</f>
        <v>Not less than 10 years, may extend to life, and fine for acid attack [s.124(1)]; 5 to 7 years and fine for attempt [s.124(2)]</v>
      </c>
      <c r="G2891" s="10" t="str">
        <f aca="false">IFERROR(INDEX(Section_Master!$E$2:$E$477,MATCH($E2891,Section_Master!$A$2:$A$477,0))&amp;"","")</f>
        <v>Yes</v>
      </c>
      <c r="H2891" s="10" t="str">
        <f aca="false">IFERROR(INDEX(Section_Master!$F$2:$F$477,MATCH($E2891,Section_Master!$A$2:$A$477,0))&amp;"","")</f>
        <v>No</v>
      </c>
      <c r="I2891" s="10" t="str">
        <f aca="false">IFERROR(INDEX(Section_Master!$G$2:$G$477,MATCH($E2891,Section_Master!$A$2:$A$477,0))&amp;"","")</f>
        <v>No</v>
      </c>
      <c r="J2891" s="10" t="s">
        <v>58</v>
      </c>
      <c r="K2891" s="8" t="s">
        <v>6785</v>
      </c>
    </row>
    <row r="2892" customFormat="false" ht="23.25" hidden="false" customHeight="true" outlineLevel="0" collapsed="false">
      <c r="A2892" s="10" t="s">
        <v>6792</v>
      </c>
      <c r="B2892" s="10" t="s">
        <v>45</v>
      </c>
      <c r="C2892" s="8" t="s">
        <v>6783</v>
      </c>
      <c r="D2892" s="8" t="s">
        <v>6793</v>
      </c>
      <c r="E2892" s="11" t="n">
        <v>124</v>
      </c>
      <c r="F2892" s="8" t="str">
        <f aca="false">IFERROR(INDEX(Section_Master!$D$2:$D$477,MATCH($E2892,Section_Master!$A$2:$A$477,0))&amp;"","")</f>
        <v>Not less than 10 years, may extend to life, and fine for acid attack [s.124(1)]; 5 to 7 years and fine for attempt [s.124(2)]</v>
      </c>
      <c r="G2892" s="10" t="str">
        <f aca="false">IFERROR(INDEX(Section_Master!$E$2:$E$477,MATCH($E2892,Section_Master!$A$2:$A$477,0))&amp;"","")</f>
        <v>Yes</v>
      </c>
      <c r="H2892" s="10" t="str">
        <f aca="false">IFERROR(INDEX(Section_Master!$F$2:$F$477,MATCH($E2892,Section_Master!$A$2:$A$477,0))&amp;"","")</f>
        <v>No</v>
      </c>
      <c r="I2892" s="10" t="str">
        <f aca="false">IFERROR(INDEX(Section_Master!$G$2:$G$477,MATCH($E2892,Section_Master!$A$2:$A$477,0))&amp;"","")</f>
        <v>No</v>
      </c>
      <c r="J2892" s="10" t="s">
        <v>61</v>
      </c>
      <c r="K2892" s="8" t="s">
        <v>6785</v>
      </c>
    </row>
    <row r="2893" customFormat="false" ht="34.5" hidden="false" customHeight="true" outlineLevel="0" collapsed="false">
      <c r="A2893" s="10" t="s">
        <v>6794</v>
      </c>
      <c r="B2893" s="10" t="s">
        <v>45</v>
      </c>
      <c r="C2893" s="8" t="s">
        <v>6783</v>
      </c>
      <c r="D2893" s="8" t="s">
        <v>6795</v>
      </c>
      <c r="E2893" s="11" t="n">
        <v>124</v>
      </c>
      <c r="F2893" s="8" t="str">
        <f aca="false">IFERROR(INDEX(Section_Master!$D$2:$D$477,MATCH($E2893,Section_Master!$A$2:$A$477,0))&amp;"","")</f>
        <v>Not less than 10 years, may extend to life, and fine for acid attack [s.124(1)]; 5 to 7 years and fine for attempt [s.124(2)]</v>
      </c>
      <c r="G2893" s="10" t="str">
        <f aca="false">IFERROR(INDEX(Section_Master!$E$2:$E$477,MATCH($E2893,Section_Master!$A$2:$A$477,0))&amp;"","")</f>
        <v>Yes</v>
      </c>
      <c r="H2893" s="10" t="str">
        <f aca="false">IFERROR(INDEX(Section_Master!$F$2:$F$477,MATCH($E2893,Section_Master!$A$2:$A$477,0))&amp;"","")</f>
        <v>No</v>
      </c>
      <c r="I2893" s="10" t="str">
        <f aca="false">IFERROR(INDEX(Section_Master!$G$2:$G$477,MATCH($E2893,Section_Master!$A$2:$A$477,0))&amp;"","")</f>
        <v>No</v>
      </c>
      <c r="J2893" s="10" t="s">
        <v>64</v>
      </c>
      <c r="K2893" s="8" t="s">
        <v>6785</v>
      </c>
    </row>
    <row r="2894" customFormat="false" ht="34.5" hidden="false" customHeight="true" outlineLevel="0" collapsed="false">
      <c r="A2894" s="10" t="s">
        <v>6796</v>
      </c>
      <c r="B2894" s="10" t="s">
        <v>45</v>
      </c>
      <c r="C2894" s="8" t="s">
        <v>6797</v>
      </c>
      <c r="D2894" s="8" t="s">
        <v>6798</v>
      </c>
      <c r="E2894" s="11" t="n">
        <v>125</v>
      </c>
      <c r="F2894" s="8" t="str">
        <f aca="false">IFERROR(INDEX(Section_Master!$D$2:$D$477,MATCH($E2894,Section_Master!$A$2:$A$477,0))&amp;"","")</f>
        <v>Up to 3 months, or fine, or both; up to 6 months for hurt; up to 3 years for grievous hurt [s.125]</v>
      </c>
      <c r="G2894" s="10" t="str">
        <f aca="false">IFERROR(INDEX(Section_Master!$E$2:$E$477,MATCH($E2894,Section_Master!$A$2:$A$477,0))&amp;"","")</f>
        <v>Yes</v>
      </c>
      <c r="H2894" s="10" t="str">
        <f aca="false">IFERROR(INDEX(Section_Master!$F$2:$F$477,MATCH($E2894,Section_Master!$A$2:$A$477,0))&amp;"","")</f>
        <v>Yes</v>
      </c>
      <c r="I2894" s="10" t="str">
        <f aca="false">IFERROR(INDEX(Section_Master!$G$2:$G$477,MATCH($E2894,Section_Master!$A$2:$A$477,0))&amp;"","")</f>
        <v>With court permission</v>
      </c>
      <c r="J2894" s="10" t="s">
        <v>48</v>
      </c>
      <c r="K2894" s="8" t="s">
        <v>6799</v>
      </c>
    </row>
    <row r="2895" customFormat="false" ht="34.5" hidden="false" customHeight="true" outlineLevel="0" collapsed="false">
      <c r="A2895" s="10" t="s">
        <v>6800</v>
      </c>
      <c r="B2895" s="10" t="s">
        <v>45</v>
      </c>
      <c r="C2895" s="8" t="s">
        <v>6797</v>
      </c>
      <c r="D2895" s="8" t="s">
        <v>6801</v>
      </c>
      <c r="E2895" s="11" t="n">
        <v>125</v>
      </c>
      <c r="F2895" s="8" t="str">
        <f aca="false">IFERROR(INDEX(Section_Master!$D$2:$D$477,MATCH($E2895,Section_Master!$A$2:$A$477,0))&amp;"","")</f>
        <v>Up to 3 months, or fine, or both; up to 6 months for hurt; up to 3 years for grievous hurt [s.125]</v>
      </c>
      <c r="G2895" s="10" t="str">
        <f aca="false">IFERROR(INDEX(Section_Master!$E$2:$E$477,MATCH($E2895,Section_Master!$A$2:$A$477,0))&amp;"","")</f>
        <v>Yes</v>
      </c>
      <c r="H2895" s="10" t="str">
        <f aca="false">IFERROR(INDEX(Section_Master!$F$2:$F$477,MATCH($E2895,Section_Master!$A$2:$A$477,0))&amp;"","")</f>
        <v>Yes</v>
      </c>
      <c r="I2895" s="10" t="str">
        <f aca="false">IFERROR(INDEX(Section_Master!$G$2:$G$477,MATCH($E2895,Section_Master!$A$2:$A$477,0))&amp;"","")</f>
        <v>With court permission</v>
      </c>
      <c r="J2895" s="10" t="s">
        <v>52</v>
      </c>
      <c r="K2895" s="8" t="s">
        <v>6799</v>
      </c>
    </row>
    <row r="2896" customFormat="false" ht="23.25" hidden="false" customHeight="true" outlineLevel="0" collapsed="false">
      <c r="A2896" s="10" t="s">
        <v>6802</v>
      </c>
      <c r="B2896" s="10" t="s">
        <v>45</v>
      </c>
      <c r="C2896" s="8" t="s">
        <v>6797</v>
      </c>
      <c r="D2896" s="8" t="s">
        <v>6803</v>
      </c>
      <c r="E2896" s="11" t="n">
        <v>125</v>
      </c>
      <c r="F2896" s="8" t="str">
        <f aca="false">IFERROR(INDEX(Section_Master!$D$2:$D$477,MATCH($E2896,Section_Master!$A$2:$A$477,0))&amp;"","")</f>
        <v>Up to 3 months, or fine, or both; up to 6 months for hurt; up to 3 years for grievous hurt [s.125]</v>
      </c>
      <c r="G2896" s="10" t="str">
        <f aca="false">IFERROR(INDEX(Section_Master!$E$2:$E$477,MATCH($E2896,Section_Master!$A$2:$A$477,0))&amp;"","")</f>
        <v>Yes</v>
      </c>
      <c r="H2896" s="10" t="str">
        <f aca="false">IFERROR(INDEX(Section_Master!$F$2:$F$477,MATCH($E2896,Section_Master!$A$2:$A$477,0))&amp;"","")</f>
        <v>Yes</v>
      </c>
      <c r="I2896" s="10" t="str">
        <f aca="false">IFERROR(INDEX(Section_Master!$G$2:$G$477,MATCH($E2896,Section_Master!$A$2:$A$477,0))&amp;"","")</f>
        <v>With court permission</v>
      </c>
      <c r="J2896" s="10" t="s">
        <v>55</v>
      </c>
      <c r="K2896" s="8" t="s">
        <v>6799</v>
      </c>
    </row>
    <row r="2897" customFormat="false" ht="34.5" hidden="false" customHeight="true" outlineLevel="0" collapsed="false">
      <c r="A2897" s="10" t="s">
        <v>6804</v>
      </c>
      <c r="B2897" s="10" t="s">
        <v>45</v>
      </c>
      <c r="C2897" s="8" t="s">
        <v>6797</v>
      </c>
      <c r="D2897" s="8" t="s">
        <v>6805</v>
      </c>
      <c r="E2897" s="11" t="n">
        <v>125</v>
      </c>
      <c r="F2897" s="8" t="str">
        <f aca="false">IFERROR(INDEX(Section_Master!$D$2:$D$477,MATCH($E2897,Section_Master!$A$2:$A$477,0))&amp;"","")</f>
        <v>Up to 3 months, or fine, or both; up to 6 months for hurt; up to 3 years for grievous hurt [s.125]</v>
      </c>
      <c r="G2897" s="10" t="str">
        <f aca="false">IFERROR(INDEX(Section_Master!$E$2:$E$477,MATCH($E2897,Section_Master!$A$2:$A$477,0))&amp;"","")</f>
        <v>Yes</v>
      </c>
      <c r="H2897" s="10" t="str">
        <f aca="false">IFERROR(INDEX(Section_Master!$F$2:$F$477,MATCH($E2897,Section_Master!$A$2:$A$477,0))&amp;"","")</f>
        <v>Yes</v>
      </c>
      <c r="I2897" s="10" t="str">
        <f aca="false">IFERROR(INDEX(Section_Master!$G$2:$G$477,MATCH($E2897,Section_Master!$A$2:$A$477,0))&amp;"","")</f>
        <v>With court permission</v>
      </c>
      <c r="J2897" s="10" t="s">
        <v>58</v>
      </c>
      <c r="K2897" s="8" t="s">
        <v>6799</v>
      </c>
    </row>
    <row r="2898" customFormat="false" ht="23.25" hidden="false" customHeight="true" outlineLevel="0" collapsed="false">
      <c r="A2898" s="10" t="s">
        <v>6806</v>
      </c>
      <c r="B2898" s="10" t="s">
        <v>45</v>
      </c>
      <c r="C2898" s="8" t="s">
        <v>6797</v>
      </c>
      <c r="D2898" s="8" t="s">
        <v>6807</v>
      </c>
      <c r="E2898" s="11" t="n">
        <v>125</v>
      </c>
      <c r="F2898" s="8" t="str">
        <f aca="false">IFERROR(INDEX(Section_Master!$D$2:$D$477,MATCH($E2898,Section_Master!$A$2:$A$477,0))&amp;"","")</f>
        <v>Up to 3 months, or fine, or both; up to 6 months for hurt; up to 3 years for grievous hurt [s.125]</v>
      </c>
      <c r="G2898" s="10" t="str">
        <f aca="false">IFERROR(INDEX(Section_Master!$E$2:$E$477,MATCH($E2898,Section_Master!$A$2:$A$477,0))&amp;"","")</f>
        <v>Yes</v>
      </c>
      <c r="H2898" s="10" t="str">
        <f aca="false">IFERROR(INDEX(Section_Master!$F$2:$F$477,MATCH($E2898,Section_Master!$A$2:$A$477,0))&amp;"","")</f>
        <v>Yes</v>
      </c>
      <c r="I2898" s="10" t="str">
        <f aca="false">IFERROR(INDEX(Section_Master!$G$2:$G$477,MATCH($E2898,Section_Master!$A$2:$A$477,0))&amp;"","")</f>
        <v>With court permission</v>
      </c>
      <c r="J2898" s="10" t="s">
        <v>61</v>
      </c>
      <c r="K2898" s="8" t="s">
        <v>6799</v>
      </c>
    </row>
    <row r="2899" customFormat="false" ht="34.5" hidden="false" customHeight="true" outlineLevel="0" collapsed="false">
      <c r="A2899" s="10" t="s">
        <v>6808</v>
      </c>
      <c r="B2899" s="10" t="s">
        <v>45</v>
      </c>
      <c r="C2899" s="8" t="s">
        <v>6797</v>
      </c>
      <c r="D2899" s="8" t="s">
        <v>6809</v>
      </c>
      <c r="E2899" s="11" t="n">
        <v>125</v>
      </c>
      <c r="F2899" s="8" t="str">
        <f aca="false">IFERROR(INDEX(Section_Master!$D$2:$D$477,MATCH($E2899,Section_Master!$A$2:$A$477,0))&amp;"","")</f>
        <v>Up to 3 months, or fine, or both; up to 6 months for hurt; up to 3 years for grievous hurt [s.125]</v>
      </c>
      <c r="G2899" s="10" t="str">
        <f aca="false">IFERROR(INDEX(Section_Master!$E$2:$E$477,MATCH($E2899,Section_Master!$A$2:$A$477,0))&amp;"","")</f>
        <v>Yes</v>
      </c>
      <c r="H2899" s="10" t="str">
        <f aca="false">IFERROR(INDEX(Section_Master!$F$2:$F$477,MATCH($E2899,Section_Master!$A$2:$A$477,0))&amp;"","")</f>
        <v>Yes</v>
      </c>
      <c r="I2899" s="10" t="str">
        <f aca="false">IFERROR(INDEX(Section_Master!$G$2:$G$477,MATCH($E2899,Section_Master!$A$2:$A$477,0))&amp;"","")</f>
        <v>With court permission</v>
      </c>
      <c r="J2899" s="10" t="s">
        <v>64</v>
      </c>
      <c r="K2899" s="8" t="s">
        <v>6799</v>
      </c>
    </row>
    <row r="2900" customFormat="false" ht="34.5" hidden="false" customHeight="true" outlineLevel="0" collapsed="false">
      <c r="A2900" s="10" t="s">
        <v>6810</v>
      </c>
      <c r="B2900" s="10" t="s">
        <v>45</v>
      </c>
      <c r="C2900" s="8" t="s">
        <v>6811</v>
      </c>
      <c r="D2900" s="8" t="s">
        <v>6812</v>
      </c>
      <c r="E2900" s="11" t="n">
        <v>126</v>
      </c>
      <c r="F2900" s="8" t="str">
        <f aca="false">IFERROR(INDEX(Section_Master!$D$2:$D$477,MATCH($E2900,Section_Master!$A$2:$A$477,0))&amp;"","")</f>
        <v>Imprisonment up to 1 month, or fine, or both [s.126(2)]; higher terms for graver forms (e.g. up to 6 months)</v>
      </c>
      <c r="G2900" s="10" t="str">
        <f aca="false">IFERROR(INDEX(Section_Master!$E$2:$E$477,MATCH($E2900,Section_Master!$A$2:$A$477,0))&amp;"","")</f>
        <v>No</v>
      </c>
      <c r="H2900" s="10" t="str">
        <f aca="false">IFERROR(INDEX(Section_Master!$F$2:$F$477,MATCH($E2900,Section_Master!$A$2:$A$477,0))&amp;"","")</f>
        <v>Yes</v>
      </c>
      <c r="I2900" s="10" t="str">
        <f aca="false">IFERROR(INDEX(Section_Master!$G$2:$G$477,MATCH($E2900,Section_Master!$A$2:$A$477,0))&amp;"","")</f>
        <v>Yes</v>
      </c>
      <c r="J2900" s="10" t="s">
        <v>48</v>
      </c>
      <c r="K2900" s="8" t="s">
        <v>6813</v>
      </c>
    </row>
    <row r="2901" customFormat="false" ht="34.5" hidden="false" customHeight="true" outlineLevel="0" collapsed="false">
      <c r="A2901" s="10" t="s">
        <v>6814</v>
      </c>
      <c r="B2901" s="10" t="s">
        <v>45</v>
      </c>
      <c r="C2901" s="8" t="s">
        <v>6811</v>
      </c>
      <c r="D2901" s="8" t="s">
        <v>6815</v>
      </c>
      <c r="E2901" s="11" t="n">
        <v>126</v>
      </c>
      <c r="F2901" s="8" t="str">
        <f aca="false">IFERROR(INDEX(Section_Master!$D$2:$D$477,MATCH($E2901,Section_Master!$A$2:$A$477,0))&amp;"","")</f>
        <v>Imprisonment up to 1 month, or fine, or both [s.126(2)]; higher terms for graver forms (e.g. up to 6 months)</v>
      </c>
      <c r="G2901" s="10" t="str">
        <f aca="false">IFERROR(INDEX(Section_Master!$E$2:$E$477,MATCH($E2901,Section_Master!$A$2:$A$477,0))&amp;"","")</f>
        <v>No</v>
      </c>
      <c r="H2901" s="10" t="str">
        <f aca="false">IFERROR(INDEX(Section_Master!$F$2:$F$477,MATCH($E2901,Section_Master!$A$2:$A$477,0))&amp;"","")</f>
        <v>Yes</v>
      </c>
      <c r="I2901" s="10" t="str">
        <f aca="false">IFERROR(INDEX(Section_Master!$G$2:$G$477,MATCH($E2901,Section_Master!$A$2:$A$477,0))&amp;"","")</f>
        <v>Yes</v>
      </c>
      <c r="J2901" s="10" t="s">
        <v>52</v>
      </c>
      <c r="K2901" s="8" t="s">
        <v>6813</v>
      </c>
    </row>
    <row r="2902" customFormat="false" ht="34.5" hidden="false" customHeight="true" outlineLevel="0" collapsed="false">
      <c r="A2902" s="10" t="s">
        <v>6816</v>
      </c>
      <c r="B2902" s="10" t="s">
        <v>45</v>
      </c>
      <c r="C2902" s="8" t="s">
        <v>6811</v>
      </c>
      <c r="D2902" s="8" t="s">
        <v>6817</v>
      </c>
      <c r="E2902" s="11" t="n">
        <v>126</v>
      </c>
      <c r="F2902" s="8" t="str">
        <f aca="false">IFERROR(INDEX(Section_Master!$D$2:$D$477,MATCH($E2902,Section_Master!$A$2:$A$477,0))&amp;"","")</f>
        <v>Imprisonment up to 1 month, or fine, or both [s.126(2)]; higher terms for graver forms (e.g. up to 6 months)</v>
      </c>
      <c r="G2902" s="10" t="str">
        <f aca="false">IFERROR(INDEX(Section_Master!$E$2:$E$477,MATCH($E2902,Section_Master!$A$2:$A$477,0))&amp;"","")</f>
        <v>No</v>
      </c>
      <c r="H2902" s="10" t="str">
        <f aca="false">IFERROR(INDEX(Section_Master!$F$2:$F$477,MATCH($E2902,Section_Master!$A$2:$A$477,0))&amp;"","")</f>
        <v>Yes</v>
      </c>
      <c r="I2902" s="10" t="str">
        <f aca="false">IFERROR(INDEX(Section_Master!$G$2:$G$477,MATCH($E2902,Section_Master!$A$2:$A$477,0))&amp;"","")</f>
        <v>Yes</v>
      </c>
      <c r="J2902" s="10" t="s">
        <v>55</v>
      </c>
      <c r="K2902" s="8" t="s">
        <v>6813</v>
      </c>
    </row>
    <row r="2903" customFormat="false" ht="23.25" hidden="false" customHeight="true" outlineLevel="0" collapsed="false">
      <c r="A2903" s="10" t="s">
        <v>6818</v>
      </c>
      <c r="B2903" s="10" t="s">
        <v>45</v>
      </c>
      <c r="C2903" s="8" t="s">
        <v>6811</v>
      </c>
      <c r="D2903" s="8" t="s">
        <v>6819</v>
      </c>
      <c r="E2903" s="11" t="n">
        <v>126</v>
      </c>
      <c r="F2903" s="8" t="str">
        <f aca="false">IFERROR(INDEX(Section_Master!$D$2:$D$477,MATCH($E2903,Section_Master!$A$2:$A$477,0))&amp;"","")</f>
        <v>Imprisonment up to 1 month, or fine, or both [s.126(2)]; higher terms for graver forms (e.g. up to 6 months)</v>
      </c>
      <c r="G2903" s="10" t="str">
        <f aca="false">IFERROR(INDEX(Section_Master!$E$2:$E$477,MATCH($E2903,Section_Master!$A$2:$A$477,0))&amp;"","")</f>
        <v>No</v>
      </c>
      <c r="H2903" s="10" t="str">
        <f aca="false">IFERROR(INDEX(Section_Master!$F$2:$F$477,MATCH($E2903,Section_Master!$A$2:$A$477,0))&amp;"","")</f>
        <v>Yes</v>
      </c>
      <c r="I2903" s="10" t="str">
        <f aca="false">IFERROR(INDEX(Section_Master!$G$2:$G$477,MATCH($E2903,Section_Master!$A$2:$A$477,0))&amp;"","")</f>
        <v>Yes</v>
      </c>
      <c r="J2903" s="10" t="s">
        <v>58</v>
      </c>
      <c r="K2903" s="8" t="s">
        <v>6813</v>
      </c>
    </row>
    <row r="2904" customFormat="false" ht="23.25" hidden="false" customHeight="true" outlineLevel="0" collapsed="false">
      <c r="A2904" s="10" t="s">
        <v>6820</v>
      </c>
      <c r="B2904" s="10" t="s">
        <v>45</v>
      </c>
      <c r="C2904" s="8" t="s">
        <v>6811</v>
      </c>
      <c r="D2904" s="8" t="s">
        <v>6821</v>
      </c>
      <c r="E2904" s="11" t="n">
        <v>126</v>
      </c>
      <c r="F2904" s="8" t="str">
        <f aca="false">IFERROR(INDEX(Section_Master!$D$2:$D$477,MATCH($E2904,Section_Master!$A$2:$A$477,0))&amp;"","")</f>
        <v>Imprisonment up to 1 month, or fine, or both [s.126(2)]; higher terms for graver forms (e.g. up to 6 months)</v>
      </c>
      <c r="G2904" s="10" t="str">
        <f aca="false">IFERROR(INDEX(Section_Master!$E$2:$E$477,MATCH($E2904,Section_Master!$A$2:$A$477,0))&amp;"","")</f>
        <v>No</v>
      </c>
      <c r="H2904" s="10" t="str">
        <f aca="false">IFERROR(INDEX(Section_Master!$F$2:$F$477,MATCH($E2904,Section_Master!$A$2:$A$477,0))&amp;"","")</f>
        <v>Yes</v>
      </c>
      <c r="I2904" s="10" t="str">
        <f aca="false">IFERROR(INDEX(Section_Master!$G$2:$G$477,MATCH($E2904,Section_Master!$A$2:$A$477,0))&amp;"","")</f>
        <v>Yes</v>
      </c>
      <c r="J2904" s="10" t="s">
        <v>61</v>
      </c>
      <c r="K2904" s="8" t="s">
        <v>6813</v>
      </c>
    </row>
    <row r="2905" customFormat="false" ht="34.5" hidden="false" customHeight="true" outlineLevel="0" collapsed="false">
      <c r="A2905" s="10" t="s">
        <v>6822</v>
      </c>
      <c r="B2905" s="10" t="s">
        <v>45</v>
      </c>
      <c r="C2905" s="8" t="s">
        <v>6811</v>
      </c>
      <c r="D2905" s="8" t="s">
        <v>6823</v>
      </c>
      <c r="E2905" s="11" t="n">
        <v>126</v>
      </c>
      <c r="F2905" s="8" t="str">
        <f aca="false">IFERROR(INDEX(Section_Master!$D$2:$D$477,MATCH($E2905,Section_Master!$A$2:$A$477,0))&amp;"","")</f>
        <v>Imprisonment up to 1 month, or fine, or both [s.126(2)]; higher terms for graver forms (e.g. up to 6 months)</v>
      </c>
      <c r="G2905" s="10" t="str">
        <f aca="false">IFERROR(INDEX(Section_Master!$E$2:$E$477,MATCH($E2905,Section_Master!$A$2:$A$477,0))&amp;"","")</f>
        <v>No</v>
      </c>
      <c r="H2905" s="10" t="str">
        <f aca="false">IFERROR(INDEX(Section_Master!$F$2:$F$477,MATCH($E2905,Section_Master!$A$2:$A$477,0))&amp;"","")</f>
        <v>Yes</v>
      </c>
      <c r="I2905" s="10" t="str">
        <f aca="false">IFERROR(INDEX(Section_Master!$G$2:$G$477,MATCH($E2905,Section_Master!$A$2:$A$477,0))&amp;"","")</f>
        <v>Yes</v>
      </c>
      <c r="J2905" s="10" t="s">
        <v>64</v>
      </c>
      <c r="K2905" s="8" t="s">
        <v>6813</v>
      </c>
    </row>
    <row r="2906" customFormat="false" ht="45.75" hidden="false" customHeight="true" outlineLevel="0" collapsed="false">
      <c r="A2906" s="10" t="s">
        <v>6824</v>
      </c>
      <c r="B2906" s="10" t="s">
        <v>45</v>
      </c>
      <c r="C2906" s="8" t="s">
        <v>6825</v>
      </c>
      <c r="D2906" s="8" t="s">
        <v>6826</v>
      </c>
      <c r="E2906" s="11" t="n">
        <v>127</v>
      </c>
      <c r="F2906" s="8" t="str">
        <f aca="false">IFERROR(INDEX(Section_Master!$D$2:$D$477,MATCH($E2906,Section_Master!$A$2:$A$477,0))&amp;"","")</f>
        <v>Imprisonment up to 1 year, or fine, or both [s.127(2)]; terms rise with duration/purpose of confinement, up to 3 years and fine</v>
      </c>
      <c r="G2906" s="10" t="str">
        <f aca="false">IFERROR(INDEX(Section_Master!$E$2:$E$477,MATCH($E2906,Section_Master!$A$2:$A$477,0))&amp;"","")</f>
        <v>Varies by sub-section</v>
      </c>
      <c r="H2906" s="10" t="str">
        <f aca="false">IFERROR(INDEX(Section_Master!$F$2:$F$477,MATCH($E2906,Section_Master!$A$2:$A$477,0))&amp;"","")</f>
        <v>Varies by sub-section</v>
      </c>
      <c r="I2906" s="10" t="str">
        <f aca="false">IFERROR(INDEX(Section_Master!$G$2:$G$477,MATCH($E2906,Section_Master!$A$2:$A$477,0))&amp;"","")</f>
        <v>Varies by sub-section</v>
      </c>
      <c r="J2906" s="10" t="s">
        <v>48</v>
      </c>
      <c r="K2906" s="8" t="s">
        <v>6827</v>
      </c>
    </row>
    <row r="2907" customFormat="false" ht="34.5" hidden="false" customHeight="true" outlineLevel="0" collapsed="false">
      <c r="A2907" s="10" t="s">
        <v>6828</v>
      </c>
      <c r="B2907" s="10" t="s">
        <v>45</v>
      </c>
      <c r="C2907" s="8" t="s">
        <v>6825</v>
      </c>
      <c r="D2907" s="8" t="s">
        <v>6829</v>
      </c>
      <c r="E2907" s="11" t="n">
        <v>127</v>
      </c>
      <c r="F2907" s="8" t="str">
        <f aca="false">IFERROR(INDEX(Section_Master!$D$2:$D$477,MATCH($E2907,Section_Master!$A$2:$A$477,0))&amp;"","")</f>
        <v>Imprisonment up to 1 year, or fine, or both [s.127(2)]; terms rise with duration/purpose of confinement, up to 3 years and fine</v>
      </c>
      <c r="G2907" s="10" t="str">
        <f aca="false">IFERROR(INDEX(Section_Master!$E$2:$E$477,MATCH($E2907,Section_Master!$A$2:$A$477,0))&amp;"","")</f>
        <v>Varies by sub-section</v>
      </c>
      <c r="H2907" s="10" t="str">
        <f aca="false">IFERROR(INDEX(Section_Master!$F$2:$F$477,MATCH($E2907,Section_Master!$A$2:$A$477,0))&amp;"","")</f>
        <v>Varies by sub-section</v>
      </c>
      <c r="I2907" s="10" t="str">
        <f aca="false">IFERROR(INDEX(Section_Master!$G$2:$G$477,MATCH($E2907,Section_Master!$A$2:$A$477,0))&amp;"","")</f>
        <v>Varies by sub-section</v>
      </c>
      <c r="J2907" s="10" t="s">
        <v>52</v>
      </c>
      <c r="K2907" s="8" t="s">
        <v>6827</v>
      </c>
    </row>
    <row r="2908" customFormat="false" ht="34.5" hidden="false" customHeight="true" outlineLevel="0" collapsed="false">
      <c r="A2908" s="10" t="s">
        <v>6830</v>
      </c>
      <c r="B2908" s="10" t="s">
        <v>45</v>
      </c>
      <c r="C2908" s="8" t="s">
        <v>6825</v>
      </c>
      <c r="D2908" s="8" t="s">
        <v>6831</v>
      </c>
      <c r="E2908" s="11" t="n">
        <v>127</v>
      </c>
      <c r="F2908" s="8" t="str">
        <f aca="false">IFERROR(INDEX(Section_Master!$D$2:$D$477,MATCH($E2908,Section_Master!$A$2:$A$477,0))&amp;"","")</f>
        <v>Imprisonment up to 1 year, or fine, or both [s.127(2)]; terms rise with duration/purpose of confinement, up to 3 years and fine</v>
      </c>
      <c r="G2908" s="10" t="str">
        <f aca="false">IFERROR(INDEX(Section_Master!$E$2:$E$477,MATCH($E2908,Section_Master!$A$2:$A$477,0))&amp;"","")</f>
        <v>Varies by sub-section</v>
      </c>
      <c r="H2908" s="10" t="str">
        <f aca="false">IFERROR(INDEX(Section_Master!$F$2:$F$477,MATCH($E2908,Section_Master!$A$2:$A$477,0))&amp;"","")</f>
        <v>Varies by sub-section</v>
      </c>
      <c r="I2908" s="10" t="str">
        <f aca="false">IFERROR(INDEX(Section_Master!$G$2:$G$477,MATCH($E2908,Section_Master!$A$2:$A$477,0))&amp;"","")</f>
        <v>Varies by sub-section</v>
      </c>
      <c r="J2908" s="10" t="s">
        <v>55</v>
      </c>
      <c r="K2908" s="8" t="s">
        <v>6827</v>
      </c>
    </row>
    <row r="2909" customFormat="false" ht="34.5" hidden="false" customHeight="true" outlineLevel="0" collapsed="false">
      <c r="A2909" s="10" t="s">
        <v>6832</v>
      </c>
      <c r="B2909" s="10" t="s">
        <v>45</v>
      </c>
      <c r="C2909" s="8" t="s">
        <v>6825</v>
      </c>
      <c r="D2909" s="8" t="s">
        <v>6833</v>
      </c>
      <c r="E2909" s="11" t="n">
        <v>127</v>
      </c>
      <c r="F2909" s="8" t="str">
        <f aca="false">IFERROR(INDEX(Section_Master!$D$2:$D$477,MATCH($E2909,Section_Master!$A$2:$A$477,0))&amp;"","")</f>
        <v>Imprisonment up to 1 year, or fine, or both [s.127(2)]; terms rise with duration/purpose of confinement, up to 3 years and fine</v>
      </c>
      <c r="G2909" s="10" t="str">
        <f aca="false">IFERROR(INDEX(Section_Master!$E$2:$E$477,MATCH($E2909,Section_Master!$A$2:$A$477,0))&amp;"","")</f>
        <v>Varies by sub-section</v>
      </c>
      <c r="H2909" s="10" t="str">
        <f aca="false">IFERROR(INDEX(Section_Master!$F$2:$F$477,MATCH($E2909,Section_Master!$A$2:$A$477,0))&amp;"","")</f>
        <v>Varies by sub-section</v>
      </c>
      <c r="I2909" s="10" t="str">
        <f aca="false">IFERROR(INDEX(Section_Master!$G$2:$G$477,MATCH($E2909,Section_Master!$A$2:$A$477,0))&amp;"","")</f>
        <v>Varies by sub-section</v>
      </c>
      <c r="J2909" s="10" t="s">
        <v>58</v>
      </c>
      <c r="K2909" s="8" t="s">
        <v>6827</v>
      </c>
    </row>
    <row r="2910" customFormat="false" ht="23.25" hidden="false" customHeight="true" outlineLevel="0" collapsed="false">
      <c r="A2910" s="10" t="s">
        <v>6834</v>
      </c>
      <c r="B2910" s="10" t="s">
        <v>45</v>
      </c>
      <c r="C2910" s="8" t="s">
        <v>6825</v>
      </c>
      <c r="D2910" s="8" t="s">
        <v>6835</v>
      </c>
      <c r="E2910" s="11" t="n">
        <v>127</v>
      </c>
      <c r="F2910" s="8" t="str">
        <f aca="false">IFERROR(INDEX(Section_Master!$D$2:$D$477,MATCH($E2910,Section_Master!$A$2:$A$477,0))&amp;"","")</f>
        <v>Imprisonment up to 1 year, or fine, or both [s.127(2)]; terms rise with duration/purpose of confinement, up to 3 years and fine</v>
      </c>
      <c r="G2910" s="10" t="str">
        <f aca="false">IFERROR(INDEX(Section_Master!$E$2:$E$477,MATCH($E2910,Section_Master!$A$2:$A$477,0))&amp;"","")</f>
        <v>Varies by sub-section</v>
      </c>
      <c r="H2910" s="10" t="str">
        <f aca="false">IFERROR(INDEX(Section_Master!$F$2:$F$477,MATCH($E2910,Section_Master!$A$2:$A$477,0))&amp;"","")</f>
        <v>Varies by sub-section</v>
      </c>
      <c r="I2910" s="10" t="str">
        <f aca="false">IFERROR(INDEX(Section_Master!$G$2:$G$477,MATCH($E2910,Section_Master!$A$2:$A$477,0))&amp;"","")</f>
        <v>Varies by sub-section</v>
      </c>
      <c r="J2910" s="10" t="s">
        <v>61</v>
      </c>
      <c r="K2910" s="8" t="s">
        <v>6827</v>
      </c>
    </row>
    <row r="2911" customFormat="false" ht="34.5" hidden="false" customHeight="true" outlineLevel="0" collapsed="false">
      <c r="A2911" s="10" t="s">
        <v>6836</v>
      </c>
      <c r="B2911" s="10" t="s">
        <v>45</v>
      </c>
      <c r="C2911" s="8" t="s">
        <v>6825</v>
      </c>
      <c r="D2911" s="8" t="s">
        <v>6837</v>
      </c>
      <c r="E2911" s="11" t="n">
        <v>127</v>
      </c>
      <c r="F2911" s="8" t="str">
        <f aca="false">IFERROR(INDEX(Section_Master!$D$2:$D$477,MATCH($E2911,Section_Master!$A$2:$A$477,0))&amp;"","")</f>
        <v>Imprisonment up to 1 year, or fine, or both [s.127(2)]; terms rise with duration/purpose of confinement, up to 3 years and fine</v>
      </c>
      <c r="G2911" s="10" t="str">
        <f aca="false">IFERROR(INDEX(Section_Master!$E$2:$E$477,MATCH($E2911,Section_Master!$A$2:$A$477,0))&amp;"","")</f>
        <v>Varies by sub-section</v>
      </c>
      <c r="H2911" s="10" t="str">
        <f aca="false">IFERROR(INDEX(Section_Master!$F$2:$F$477,MATCH($E2911,Section_Master!$A$2:$A$477,0))&amp;"","")</f>
        <v>Varies by sub-section</v>
      </c>
      <c r="I2911" s="10" t="str">
        <f aca="false">IFERROR(INDEX(Section_Master!$G$2:$G$477,MATCH($E2911,Section_Master!$A$2:$A$477,0))&amp;"","")</f>
        <v>Varies by sub-section</v>
      </c>
      <c r="J2911" s="10" t="s">
        <v>64</v>
      </c>
      <c r="K2911" s="8" t="s">
        <v>6827</v>
      </c>
    </row>
    <row r="2912" customFormat="false" ht="23.25" hidden="false" customHeight="true" outlineLevel="0" collapsed="false">
      <c r="A2912" s="10" t="s">
        <v>6838</v>
      </c>
      <c r="B2912" s="10" t="s">
        <v>45</v>
      </c>
      <c r="C2912" s="8" t="s">
        <v>6839</v>
      </c>
      <c r="D2912" s="8" t="s">
        <v>6840</v>
      </c>
      <c r="E2912" s="11" t="n">
        <v>128</v>
      </c>
      <c r="F2912" s="8" t="str">
        <f aca="false">IFERROR(INDEX(Section_Master!$D$2:$D$477,MATCH($E2912,Section_Master!$A$2:$A$477,0))&amp;"","")</f>
        <v>Not applicable - no offence or penalty defined here (definition, exception or general provision)</v>
      </c>
      <c r="G2912" s="10" t="str">
        <f aca="false">IFERROR(INDEX(Section_Master!$E$2:$E$477,MATCH($E2912,Section_Master!$A$2:$A$477,0))&amp;"","")</f>
        <v>N/A</v>
      </c>
      <c r="H2912" s="10" t="str">
        <f aca="false">IFERROR(INDEX(Section_Master!$F$2:$F$477,MATCH($E2912,Section_Master!$A$2:$A$477,0))&amp;"","")</f>
        <v>N/A</v>
      </c>
      <c r="I2912" s="10" t="str">
        <f aca="false">IFERROR(INDEX(Section_Master!$G$2:$G$477,MATCH($E2912,Section_Master!$A$2:$A$477,0))&amp;"","")</f>
        <v>N/A</v>
      </c>
      <c r="J2912" s="10" t="s">
        <v>48</v>
      </c>
      <c r="K2912" s="8" t="s">
        <v>6841</v>
      </c>
    </row>
    <row r="2913" customFormat="false" ht="34.5" hidden="false" customHeight="true" outlineLevel="0" collapsed="false">
      <c r="A2913" s="10" t="s">
        <v>6842</v>
      </c>
      <c r="B2913" s="10" t="s">
        <v>45</v>
      </c>
      <c r="C2913" s="8" t="s">
        <v>6839</v>
      </c>
      <c r="D2913" s="8" t="s">
        <v>6843</v>
      </c>
      <c r="E2913" s="11" t="n">
        <v>128</v>
      </c>
      <c r="F2913" s="8" t="str">
        <f aca="false">IFERROR(INDEX(Section_Master!$D$2:$D$477,MATCH($E2913,Section_Master!$A$2:$A$477,0))&amp;"","")</f>
        <v>Not applicable - no offence or penalty defined here (definition, exception or general provision)</v>
      </c>
      <c r="G2913" s="10" t="str">
        <f aca="false">IFERROR(INDEX(Section_Master!$E$2:$E$477,MATCH($E2913,Section_Master!$A$2:$A$477,0))&amp;"","")</f>
        <v>N/A</v>
      </c>
      <c r="H2913" s="10" t="str">
        <f aca="false">IFERROR(INDEX(Section_Master!$F$2:$F$477,MATCH($E2913,Section_Master!$A$2:$A$477,0))&amp;"","")</f>
        <v>N/A</v>
      </c>
      <c r="I2913" s="10" t="str">
        <f aca="false">IFERROR(INDEX(Section_Master!$G$2:$G$477,MATCH($E2913,Section_Master!$A$2:$A$477,0))&amp;"","")</f>
        <v>N/A</v>
      </c>
      <c r="J2913" s="10" t="s">
        <v>52</v>
      </c>
      <c r="K2913" s="8" t="s">
        <v>6841</v>
      </c>
    </row>
    <row r="2914" customFormat="false" ht="23.25" hidden="false" customHeight="true" outlineLevel="0" collapsed="false">
      <c r="A2914" s="10" t="s">
        <v>6844</v>
      </c>
      <c r="B2914" s="10" t="s">
        <v>45</v>
      </c>
      <c r="C2914" s="8" t="s">
        <v>6839</v>
      </c>
      <c r="D2914" s="8" t="s">
        <v>6845</v>
      </c>
      <c r="E2914" s="11" t="n">
        <v>128</v>
      </c>
      <c r="F2914" s="8" t="str">
        <f aca="false">IFERROR(INDEX(Section_Master!$D$2:$D$477,MATCH($E2914,Section_Master!$A$2:$A$477,0))&amp;"","")</f>
        <v>Not applicable - no offence or penalty defined here (definition, exception or general provision)</v>
      </c>
      <c r="G2914" s="10" t="str">
        <f aca="false">IFERROR(INDEX(Section_Master!$E$2:$E$477,MATCH($E2914,Section_Master!$A$2:$A$477,0))&amp;"","")</f>
        <v>N/A</v>
      </c>
      <c r="H2914" s="10" t="str">
        <f aca="false">IFERROR(INDEX(Section_Master!$F$2:$F$477,MATCH($E2914,Section_Master!$A$2:$A$477,0))&amp;"","")</f>
        <v>N/A</v>
      </c>
      <c r="I2914" s="10" t="str">
        <f aca="false">IFERROR(INDEX(Section_Master!$G$2:$G$477,MATCH($E2914,Section_Master!$A$2:$A$477,0))&amp;"","")</f>
        <v>N/A</v>
      </c>
      <c r="J2914" s="10" t="s">
        <v>55</v>
      </c>
      <c r="K2914" s="8" t="s">
        <v>6841</v>
      </c>
    </row>
    <row r="2915" customFormat="false" ht="34.5" hidden="false" customHeight="true" outlineLevel="0" collapsed="false">
      <c r="A2915" s="10" t="s">
        <v>6846</v>
      </c>
      <c r="B2915" s="10" t="s">
        <v>45</v>
      </c>
      <c r="C2915" s="8" t="s">
        <v>6839</v>
      </c>
      <c r="D2915" s="8" t="s">
        <v>6847</v>
      </c>
      <c r="E2915" s="11" t="n">
        <v>128</v>
      </c>
      <c r="F2915" s="8" t="str">
        <f aca="false">IFERROR(INDEX(Section_Master!$D$2:$D$477,MATCH($E2915,Section_Master!$A$2:$A$477,0))&amp;"","")</f>
        <v>Not applicable - no offence or penalty defined here (definition, exception or general provision)</v>
      </c>
      <c r="G2915" s="10" t="str">
        <f aca="false">IFERROR(INDEX(Section_Master!$E$2:$E$477,MATCH($E2915,Section_Master!$A$2:$A$477,0))&amp;"","")</f>
        <v>N/A</v>
      </c>
      <c r="H2915" s="10" t="str">
        <f aca="false">IFERROR(INDEX(Section_Master!$F$2:$F$477,MATCH($E2915,Section_Master!$A$2:$A$477,0))&amp;"","")</f>
        <v>N/A</v>
      </c>
      <c r="I2915" s="10" t="str">
        <f aca="false">IFERROR(INDEX(Section_Master!$G$2:$G$477,MATCH($E2915,Section_Master!$A$2:$A$477,0))&amp;"","")</f>
        <v>N/A</v>
      </c>
      <c r="J2915" s="10" t="s">
        <v>58</v>
      </c>
      <c r="K2915" s="8" t="s">
        <v>6841</v>
      </c>
    </row>
    <row r="2916" customFormat="false" ht="23.25" hidden="false" customHeight="true" outlineLevel="0" collapsed="false">
      <c r="A2916" s="10" t="s">
        <v>6848</v>
      </c>
      <c r="B2916" s="10" t="s">
        <v>45</v>
      </c>
      <c r="C2916" s="8" t="s">
        <v>6839</v>
      </c>
      <c r="D2916" s="8" t="s">
        <v>6849</v>
      </c>
      <c r="E2916" s="11" t="n">
        <v>128</v>
      </c>
      <c r="F2916" s="8" t="str">
        <f aca="false">IFERROR(INDEX(Section_Master!$D$2:$D$477,MATCH($E2916,Section_Master!$A$2:$A$477,0))&amp;"","")</f>
        <v>Not applicable - no offence or penalty defined here (definition, exception or general provision)</v>
      </c>
      <c r="G2916" s="10" t="str">
        <f aca="false">IFERROR(INDEX(Section_Master!$E$2:$E$477,MATCH($E2916,Section_Master!$A$2:$A$477,0))&amp;"","")</f>
        <v>N/A</v>
      </c>
      <c r="H2916" s="10" t="str">
        <f aca="false">IFERROR(INDEX(Section_Master!$F$2:$F$477,MATCH($E2916,Section_Master!$A$2:$A$477,0))&amp;"","")</f>
        <v>N/A</v>
      </c>
      <c r="I2916" s="10" t="str">
        <f aca="false">IFERROR(INDEX(Section_Master!$G$2:$G$477,MATCH($E2916,Section_Master!$A$2:$A$477,0))&amp;"","")</f>
        <v>N/A</v>
      </c>
      <c r="J2916" s="10" t="s">
        <v>61</v>
      </c>
      <c r="K2916" s="8" t="s">
        <v>6841</v>
      </c>
    </row>
    <row r="2917" customFormat="false" ht="34.5" hidden="false" customHeight="true" outlineLevel="0" collapsed="false">
      <c r="A2917" s="10" t="s">
        <v>6850</v>
      </c>
      <c r="B2917" s="10" t="s">
        <v>45</v>
      </c>
      <c r="C2917" s="8" t="s">
        <v>6839</v>
      </c>
      <c r="D2917" s="8" t="s">
        <v>6851</v>
      </c>
      <c r="E2917" s="11" t="n">
        <v>128</v>
      </c>
      <c r="F2917" s="8" t="str">
        <f aca="false">IFERROR(INDEX(Section_Master!$D$2:$D$477,MATCH($E2917,Section_Master!$A$2:$A$477,0))&amp;"","")</f>
        <v>Not applicable - no offence or penalty defined here (definition, exception or general provision)</v>
      </c>
      <c r="G2917" s="10" t="str">
        <f aca="false">IFERROR(INDEX(Section_Master!$E$2:$E$477,MATCH($E2917,Section_Master!$A$2:$A$477,0))&amp;"","")</f>
        <v>N/A</v>
      </c>
      <c r="H2917" s="10" t="str">
        <f aca="false">IFERROR(INDEX(Section_Master!$F$2:$F$477,MATCH($E2917,Section_Master!$A$2:$A$477,0))&amp;"","")</f>
        <v>N/A</v>
      </c>
      <c r="I2917" s="10" t="str">
        <f aca="false">IFERROR(INDEX(Section_Master!$G$2:$G$477,MATCH($E2917,Section_Master!$A$2:$A$477,0))&amp;"","")</f>
        <v>N/A</v>
      </c>
      <c r="J2917" s="10" t="s">
        <v>64</v>
      </c>
      <c r="K2917" s="8" t="s">
        <v>6841</v>
      </c>
    </row>
    <row r="2918" customFormat="false" ht="34.5" hidden="false" customHeight="true" outlineLevel="0" collapsed="false">
      <c r="A2918" s="10" t="s">
        <v>6852</v>
      </c>
      <c r="B2918" s="10" t="s">
        <v>45</v>
      </c>
      <c r="C2918" s="8" t="s">
        <v>6853</v>
      </c>
      <c r="D2918" s="8" t="s">
        <v>6854</v>
      </c>
      <c r="E2918" s="11" t="n">
        <v>129</v>
      </c>
      <c r="F2918" s="8" t="str">
        <f aca="false">IFERROR(INDEX(Section_Master!$D$2:$D$477,MATCH($E2918,Section_Master!$A$2:$A$477,0))&amp;"","")</f>
        <v>Not applicable - no offence or penalty defined here (definition, exception or general provision)</v>
      </c>
      <c r="G2918" s="10" t="str">
        <f aca="false">IFERROR(INDEX(Section_Master!$E$2:$E$477,MATCH($E2918,Section_Master!$A$2:$A$477,0))&amp;"","")</f>
        <v>N/A</v>
      </c>
      <c r="H2918" s="10" t="str">
        <f aca="false">IFERROR(INDEX(Section_Master!$F$2:$F$477,MATCH($E2918,Section_Master!$A$2:$A$477,0))&amp;"","")</f>
        <v>N/A</v>
      </c>
      <c r="I2918" s="10" t="str">
        <f aca="false">IFERROR(INDEX(Section_Master!$G$2:$G$477,MATCH($E2918,Section_Master!$A$2:$A$477,0))&amp;"","")</f>
        <v>N/A</v>
      </c>
      <c r="J2918" s="10" t="s">
        <v>48</v>
      </c>
      <c r="K2918" s="8" t="s">
        <v>6855</v>
      </c>
    </row>
    <row r="2919" customFormat="false" ht="34.5" hidden="false" customHeight="true" outlineLevel="0" collapsed="false">
      <c r="A2919" s="10" t="s">
        <v>6856</v>
      </c>
      <c r="B2919" s="10" t="s">
        <v>45</v>
      </c>
      <c r="C2919" s="8" t="s">
        <v>6853</v>
      </c>
      <c r="D2919" s="8" t="s">
        <v>6857</v>
      </c>
      <c r="E2919" s="11" t="n">
        <v>129</v>
      </c>
      <c r="F2919" s="8" t="str">
        <f aca="false">IFERROR(INDEX(Section_Master!$D$2:$D$477,MATCH($E2919,Section_Master!$A$2:$A$477,0))&amp;"","")</f>
        <v>Not applicable - no offence or penalty defined here (definition, exception or general provision)</v>
      </c>
      <c r="G2919" s="10" t="str">
        <f aca="false">IFERROR(INDEX(Section_Master!$E$2:$E$477,MATCH($E2919,Section_Master!$A$2:$A$477,0))&amp;"","")</f>
        <v>N/A</v>
      </c>
      <c r="H2919" s="10" t="str">
        <f aca="false">IFERROR(INDEX(Section_Master!$F$2:$F$477,MATCH($E2919,Section_Master!$A$2:$A$477,0))&amp;"","")</f>
        <v>N/A</v>
      </c>
      <c r="I2919" s="10" t="str">
        <f aca="false">IFERROR(INDEX(Section_Master!$G$2:$G$477,MATCH($E2919,Section_Master!$A$2:$A$477,0))&amp;"","")</f>
        <v>N/A</v>
      </c>
      <c r="J2919" s="10" t="s">
        <v>52</v>
      </c>
      <c r="K2919" s="8" t="s">
        <v>6855</v>
      </c>
    </row>
    <row r="2920" customFormat="false" ht="23.25" hidden="false" customHeight="true" outlineLevel="0" collapsed="false">
      <c r="A2920" s="10" t="s">
        <v>6858</v>
      </c>
      <c r="B2920" s="10" t="s">
        <v>45</v>
      </c>
      <c r="C2920" s="8" t="s">
        <v>6853</v>
      </c>
      <c r="D2920" s="8" t="s">
        <v>6859</v>
      </c>
      <c r="E2920" s="11" t="n">
        <v>129</v>
      </c>
      <c r="F2920" s="8" t="str">
        <f aca="false">IFERROR(INDEX(Section_Master!$D$2:$D$477,MATCH($E2920,Section_Master!$A$2:$A$477,0))&amp;"","")</f>
        <v>Not applicable - no offence or penalty defined here (definition, exception or general provision)</v>
      </c>
      <c r="G2920" s="10" t="str">
        <f aca="false">IFERROR(INDEX(Section_Master!$E$2:$E$477,MATCH($E2920,Section_Master!$A$2:$A$477,0))&amp;"","")</f>
        <v>N/A</v>
      </c>
      <c r="H2920" s="10" t="str">
        <f aca="false">IFERROR(INDEX(Section_Master!$F$2:$F$477,MATCH($E2920,Section_Master!$A$2:$A$477,0))&amp;"","")</f>
        <v>N/A</v>
      </c>
      <c r="I2920" s="10" t="str">
        <f aca="false">IFERROR(INDEX(Section_Master!$G$2:$G$477,MATCH($E2920,Section_Master!$A$2:$A$477,0))&amp;"","")</f>
        <v>N/A</v>
      </c>
      <c r="J2920" s="10" t="s">
        <v>55</v>
      </c>
      <c r="K2920" s="8" t="s">
        <v>6855</v>
      </c>
    </row>
    <row r="2921" customFormat="false" ht="34.5" hidden="false" customHeight="true" outlineLevel="0" collapsed="false">
      <c r="A2921" s="10" t="s">
        <v>6860</v>
      </c>
      <c r="B2921" s="10" t="s">
        <v>45</v>
      </c>
      <c r="C2921" s="8" t="s">
        <v>6853</v>
      </c>
      <c r="D2921" s="8" t="s">
        <v>6861</v>
      </c>
      <c r="E2921" s="11" t="n">
        <v>129</v>
      </c>
      <c r="F2921" s="8" t="str">
        <f aca="false">IFERROR(INDEX(Section_Master!$D$2:$D$477,MATCH($E2921,Section_Master!$A$2:$A$477,0))&amp;"","")</f>
        <v>Not applicable - no offence or penalty defined here (definition, exception or general provision)</v>
      </c>
      <c r="G2921" s="10" t="str">
        <f aca="false">IFERROR(INDEX(Section_Master!$E$2:$E$477,MATCH($E2921,Section_Master!$A$2:$A$477,0))&amp;"","")</f>
        <v>N/A</v>
      </c>
      <c r="H2921" s="10" t="str">
        <f aca="false">IFERROR(INDEX(Section_Master!$F$2:$F$477,MATCH($E2921,Section_Master!$A$2:$A$477,0))&amp;"","")</f>
        <v>N/A</v>
      </c>
      <c r="I2921" s="10" t="str">
        <f aca="false">IFERROR(INDEX(Section_Master!$G$2:$G$477,MATCH($E2921,Section_Master!$A$2:$A$477,0))&amp;"","")</f>
        <v>N/A</v>
      </c>
      <c r="J2921" s="10" t="s">
        <v>58</v>
      </c>
      <c r="K2921" s="8" t="s">
        <v>6855</v>
      </c>
    </row>
    <row r="2922" customFormat="false" ht="23.25" hidden="false" customHeight="true" outlineLevel="0" collapsed="false">
      <c r="A2922" s="10" t="s">
        <v>6862</v>
      </c>
      <c r="B2922" s="10" t="s">
        <v>45</v>
      </c>
      <c r="C2922" s="8" t="s">
        <v>6853</v>
      </c>
      <c r="D2922" s="8" t="s">
        <v>6863</v>
      </c>
      <c r="E2922" s="11" t="n">
        <v>129</v>
      </c>
      <c r="F2922" s="8" t="str">
        <f aca="false">IFERROR(INDEX(Section_Master!$D$2:$D$477,MATCH($E2922,Section_Master!$A$2:$A$477,0))&amp;"","")</f>
        <v>Not applicable - no offence or penalty defined here (definition, exception or general provision)</v>
      </c>
      <c r="G2922" s="10" t="str">
        <f aca="false">IFERROR(INDEX(Section_Master!$E$2:$E$477,MATCH($E2922,Section_Master!$A$2:$A$477,0))&amp;"","")</f>
        <v>N/A</v>
      </c>
      <c r="H2922" s="10" t="str">
        <f aca="false">IFERROR(INDEX(Section_Master!$F$2:$F$477,MATCH($E2922,Section_Master!$A$2:$A$477,0))&amp;"","")</f>
        <v>N/A</v>
      </c>
      <c r="I2922" s="10" t="str">
        <f aca="false">IFERROR(INDEX(Section_Master!$G$2:$G$477,MATCH($E2922,Section_Master!$A$2:$A$477,0))&amp;"","")</f>
        <v>N/A</v>
      </c>
      <c r="J2922" s="10" t="s">
        <v>61</v>
      </c>
      <c r="K2922" s="8" t="s">
        <v>6855</v>
      </c>
    </row>
    <row r="2923" customFormat="false" ht="34.5" hidden="false" customHeight="true" outlineLevel="0" collapsed="false">
      <c r="A2923" s="10" t="s">
        <v>6864</v>
      </c>
      <c r="B2923" s="10" t="s">
        <v>45</v>
      </c>
      <c r="C2923" s="8" t="s">
        <v>6853</v>
      </c>
      <c r="D2923" s="8" t="s">
        <v>6865</v>
      </c>
      <c r="E2923" s="11" t="n">
        <v>129</v>
      </c>
      <c r="F2923" s="8" t="str">
        <f aca="false">IFERROR(INDEX(Section_Master!$D$2:$D$477,MATCH($E2923,Section_Master!$A$2:$A$477,0))&amp;"","")</f>
        <v>Not applicable - no offence or penalty defined here (definition, exception or general provision)</v>
      </c>
      <c r="G2923" s="10" t="str">
        <f aca="false">IFERROR(INDEX(Section_Master!$E$2:$E$477,MATCH($E2923,Section_Master!$A$2:$A$477,0))&amp;"","")</f>
        <v>N/A</v>
      </c>
      <c r="H2923" s="10" t="str">
        <f aca="false">IFERROR(INDEX(Section_Master!$F$2:$F$477,MATCH($E2923,Section_Master!$A$2:$A$477,0))&amp;"","")</f>
        <v>N/A</v>
      </c>
      <c r="I2923" s="10" t="str">
        <f aca="false">IFERROR(INDEX(Section_Master!$G$2:$G$477,MATCH($E2923,Section_Master!$A$2:$A$477,0))&amp;"","")</f>
        <v>N/A</v>
      </c>
      <c r="J2923" s="10" t="s">
        <v>64</v>
      </c>
      <c r="K2923" s="8" t="s">
        <v>6855</v>
      </c>
    </row>
    <row r="2924" customFormat="false" ht="34.5" hidden="false" customHeight="true" outlineLevel="0" collapsed="false">
      <c r="A2924" s="10" t="s">
        <v>6866</v>
      </c>
      <c r="B2924" s="10" t="s">
        <v>45</v>
      </c>
      <c r="C2924" s="8" t="s">
        <v>6867</v>
      </c>
      <c r="D2924" s="8" t="s">
        <v>6868</v>
      </c>
      <c r="E2924" s="11" t="n">
        <v>130</v>
      </c>
      <c r="F2924" s="8" t="str">
        <f aca="false">IFERROR(INDEX(Section_Master!$D$2:$D$477,MATCH($E2924,Section_Master!$A$2:$A$477,0))&amp;"","")</f>
        <v>Not applicable - no offence or penalty defined here (definition, exception or general provision)</v>
      </c>
      <c r="G2924" s="10" t="str">
        <f aca="false">IFERROR(INDEX(Section_Master!$E$2:$E$477,MATCH($E2924,Section_Master!$A$2:$A$477,0))&amp;"","")</f>
        <v>N/A</v>
      </c>
      <c r="H2924" s="10" t="str">
        <f aca="false">IFERROR(INDEX(Section_Master!$F$2:$F$477,MATCH($E2924,Section_Master!$A$2:$A$477,0))&amp;"","")</f>
        <v>N/A</v>
      </c>
      <c r="I2924" s="10" t="str">
        <f aca="false">IFERROR(INDEX(Section_Master!$G$2:$G$477,MATCH($E2924,Section_Master!$A$2:$A$477,0))&amp;"","")</f>
        <v>N/A</v>
      </c>
      <c r="J2924" s="10" t="s">
        <v>48</v>
      </c>
      <c r="K2924" s="8" t="s">
        <v>6869</v>
      </c>
    </row>
    <row r="2925" customFormat="false" ht="34.5" hidden="false" customHeight="true" outlineLevel="0" collapsed="false">
      <c r="A2925" s="10" t="s">
        <v>6870</v>
      </c>
      <c r="B2925" s="10" t="s">
        <v>45</v>
      </c>
      <c r="C2925" s="8" t="s">
        <v>6867</v>
      </c>
      <c r="D2925" s="8" t="s">
        <v>6871</v>
      </c>
      <c r="E2925" s="11" t="n">
        <v>130</v>
      </c>
      <c r="F2925" s="8" t="str">
        <f aca="false">IFERROR(INDEX(Section_Master!$D$2:$D$477,MATCH($E2925,Section_Master!$A$2:$A$477,0))&amp;"","")</f>
        <v>Not applicable - no offence or penalty defined here (definition, exception or general provision)</v>
      </c>
      <c r="G2925" s="10" t="str">
        <f aca="false">IFERROR(INDEX(Section_Master!$E$2:$E$477,MATCH($E2925,Section_Master!$A$2:$A$477,0))&amp;"","")</f>
        <v>N/A</v>
      </c>
      <c r="H2925" s="10" t="str">
        <f aca="false">IFERROR(INDEX(Section_Master!$F$2:$F$477,MATCH($E2925,Section_Master!$A$2:$A$477,0))&amp;"","")</f>
        <v>N/A</v>
      </c>
      <c r="I2925" s="10" t="str">
        <f aca="false">IFERROR(INDEX(Section_Master!$G$2:$G$477,MATCH($E2925,Section_Master!$A$2:$A$477,0))&amp;"","")</f>
        <v>N/A</v>
      </c>
      <c r="J2925" s="10" t="s">
        <v>52</v>
      </c>
      <c r="K2925" s="8" t="s">
        <v>6869</v>
      </c>
    </row>
    <row r="2926" customFormat="false" ht="23.25" hidden="false" customHeight="true" outlineLevel="0" collapsed="false">
      <c r="A2926" s="10" t="s">
        <v>6872</v>
      </c>
      <c r="B2926" s="10" t="s">
        <v>45</v>
      </c>
      <c r="C2926" s="8" t="s">
        <v>6867</v>
      </c>
      <c r="D2926" s="8" t="s">
        <v>6873</v>
      </c>
      <c r="E2926" s="11" t="n">
        <v>130</v>
      </c>
      <c r="F2926" s="8" t="str">
        <f aca="false">IFERROR(INDEX(Section_Master!$D$2:$D$477,MATCH($E2926,Section_Master!$A$2:$A$477,0))&amp;"","")</f>
        <v>Not applicable - no offence or penalty defined here (definition, exception or general provision)</v>
      </c>
      <c r="G2926" s="10" t="str">
        <f aca="false">IFERROR(INDEX(Section_Master!$E$2:$E$477,MATCH($E2926,Section_Master!$A$2:$A$477,0))&amp;"","")</f>
        <v>N/A</v>
      </c>
      <c r="H2926" s="10" t="str">
        <f aca="false">IFERROR(INDEX(Section_Master!$F$2:$F$477,MATCH($E2926,Section_Master!$A$2:$A$477,0))&amp;"","")</f>
        <v>N/A</v>
      </c>
      <c r="I2926" s="10" t="str">
        <f aca="false">IFERROR(INDEX(Section_Master!$G$2:$G$477,MATCH($E2926,Section_Master!$A$2:$A$477,0))&amp;"","")</f>
        <v>N/A</v>
      </c>
      <c r="J2926" s="10" t="s">
        <v>55</v>
      </c>
      <c r="K2926" s="8" t="s">
        <v>6869</v>
      </c>
    </row>
    <row r="2927" customFormat="false" ht="34.5" hidden="false" customHeight="true" outlineLevel="0" collapsed="false">
      <c r="A2927" s="10" t="s">
        <v>6874</v>
      </c>
      <c r="B2927" s="10" t="s">
        <v>45</v>
      </c>
      <c r="C2927" s="8" t="s">
        <v>6867</v>
      </c>
      <c r="D2927" s="8" t="s">
        <v>6875</v>
      </c>
      <c r="E2927" s="11" t="n">
        <v>130</v>
      </c>
      <c r="F2927" s="8" t="str">
        <f aca="false">IFERROR(INDEX(Section_Master!$D$2:$D$477,MATCH($E2927,Section_Master!$A$2:$A$477,0))&amp;"","")</f>
        <v>Not applicable - no offence or penalty defined here (definition, exception or general provision)</v>
      </c>
      <c r="G2927" s="10" t="str">
        <f aca="false">IFERROR(INDEX(Section_Master!$E$2:$E$477,MATCH($E2927,Section_Master!$A$2:$A$477,0))&amp;"","")</f>
        <v>N/A</v>
      </c>
      <c r="H2927" s="10" t="str">
        <f aca="false">IFERROR(INDEX(Section_Master!$F$2:$F$477,MATCH($E2927,Section_Master!$A$2:$A$477,0))&amp;"","")</f>
        <v>N/A</v>
      </c>
      <c r="I2927" s="10" t="str">
        <f aca="false">IFERROR(INDEX(Section_Master!$G$2:$G$477,MATCH($E2927,Section_Master!$A$2:$A$477,0))&amp;"","")</f>
        <v>N/A</v>
      </c>
      <c r="J2927" s="10" t="s">
        <v>58</v>
      </c>
      <c r="K2927" s="8" t="s">
        <v>6869</v>
      </c>
    </row>
    <row r="2928" customFormat="false" ht="23.25" hidden="false" customHeight="true" outlineLevel="0" collapsed="false">
      <c r="A2928" s="10" t="s">
        <v>6876</v>
      </c>
      <c r="B2928" s="10" t="s">
        <v>45</v>
      </c>
      <c r="C2928" s="8" t="s">
        <v>6867</v>
      </c>
      <c r="D2928" s="8" t="s">
        <v>6877</v>
      </c>
      <c r="E2928" s="11" t="n">
        <v>130</v>
      </c>
      <c r="F2928" s="8" t="str">
        <f aca="false">IFERROR(INDEX(Section_Master!$D$2:$D$477,MATCH($E2928,Section_Master!$A$2:$A$477,0))&amp;"","")</f>
        <v>Not applicable - no offence or penalty defined here (definition, exception or general provision)</v>
      </c>
      <c r="G2928" s="10" t="str">
        <f aca="false">IFERROR(INDEX(Section_Master!$E$2:$E$477,MATCH($E2928,Section_Master!$A$2:$A$477,0))&amp;"","")</f>
        <v>N/A</v>
      </c>
      <c r="H2928" s="10" t="str">
        <f aca="false">IFERROR(INDEX(Section_Master!$F$2:$F$477,MATCH($E2928,Section_Master!$A$2:$A$477,0))&amp;"","")</f>
        <v>N/A</v>
      </c>
      <c r="I2928" s="10" t="str">
        <f aca="false">IFERROR(INDEX(Section_Master!$G$2:$G$477,MATCH($E2928,Section_Master!$A$2:$A$477,0))&amp;"","")</f>
        <v>N/A</v>
      </c>
      <c r="J2928" s="10" t="s">
        <v>61</v>
      </c>
      <c r="K2928" s="8" t="s">
        <v>6869</v>
      </c>
    </row>
    <row r="2929" customFormat="false" ht="34.5" hidden="false" customHeight="true" outlineLevel="0" collapsed="false">
      <c r="A2929" s="10" t="s">
        <v>6878</v>
      </c>
      <c r="B2929" s="10" t="s">
        <v>45</v>
      </c>
      <c r="C2929" s="8" t="s">
        <v>6867</v>
      </c>
      <c r="D2929" s="8" t="s">
        <v>6879</v>
      </c>
      <c r="E2929" s="11" t="n">
        <v>130</v>
      </c>
      <c r="F2929" s="8" t="str">
        <f aca="false">IFERROR(INDEX(Section_Master!$D$2:$D$477,MATCH($E2929,Section_Master!$A$2:$A$477,0))&amp;"","")</f>
        <v>Not applicable - no offence or penalty defined here (definition, exception or general provision)</v>
      </c>
      <c r="G2929" s="10" t="str">
        <f aca="false">IFERROR(INDEX(Section_Master!$E$2:$E$477,MATCH($E2929,Section_Master!$A$2:$A$477,0))&amp;"","")</f>
        <v>N/A</v>
      </c>
      <c r="H2929" s="10" t="str">
        <f aca="false">IFERROR(INDEX(Section_Master!$F$2:$F$477,MATCH($E2929,Section_Master!$A$2:$A$477,0))&amp;"","")</f>
        <v>N/A</v>
      </c>
      <c r="I2929" s="10" t="str">
        <f aca="false">IFERROR(INDEX(Section_Master!$G$2:$G$477,MATCH($E2929,Section_Master!$A$2:$A$477,0))&amp;"","")</f>
        <v>N/A</v>
      </c>
      <c r="J2929" s="10" t="s">
        <v>64</v>
      </c>
      <c r="K2929" s="8" t="s">
        <v>6869</v>
      </c>
    </row>
    <row r="2930" customFormat="false" ht="23.25" hidden="false" customHeight="true" outlineLevel="0" collapsed="false">
      <c r="A2930" s="10" t="s">
        <v>6880</v>
      </c>
      <c r="B2930" s="10" t="s">
        <v>45</v>
      </c>
      <c r="C2930" s="8" t="s">
        <v>6881</v>
      </c>
      <c r="D2930" s="8" t="s">
        <v>6882</v>
      </c>
      <c r="E2930" s="11" t="n">
        <v>131</v>
      </c>
      <c r="F2930" s="8" t="str">
        <f aca="false">IFERROR(INDEX(Section_Master!$D$2:$D$477,MATCH($E2930,Section_Master!$A$2:$A$477,0))&amp;"","")</f>
        <v>Imprisonment up to 3 months, or fine up to Rs 1,000, or both</v>
      </c>
      <c r="G2930" s="10" t="str">
        <f aca="false">IFERROR(INDEX(Section_Master!$E$2:$E$477,MATCH($E2930,Section_Master!$A$2:$A$477,0))&amp;"","")</f>
        <v>No</v>
      </c>
      <c r="H2930" s="10" t="str">
        <f aca="false">IFERROR(INDEX(Section_Master!$F$2:$F$477,MATCH($E2930,Section_Master!$A$2:$A$477,0))&amp;"","")</f>
        <v>Yes</v>
      </c>
      <c r="I2930" s="10" t="str">
        <f aca="false">IFERROR(INDEX(Section_Master!$G$2:$G$477,MATCH($E2930,Section_Master!$A$2:$A$477,0))&amp;"","")</f>
        <v>Yes</v>
      </c>
      <c r="J2930" s="10" t="s">
        <v>48</v>
      </c>
      <c r="K2930" s="8" t="s">
        <v>6883</v>
      </c>
    </row>
    <row r="2931" customFormat="false" ht="34.5" hidden="false" customHeight="true" outlineLevel="0" collapsed="false">
      <c r="A2931" s="10" t="s">
        <v>6884</v>
      </c>
      <c r="B2931" s="10" t="s">
        <v>45</v>
      </c>
      <c r="C2931" s="8" t="s">
        <v>6881</v>
      </c>
      <c r="D2931" s="8" t="s">
        <v>6885</v>
      </c>
      <c r="E2931" s="11" t="n">
        <v>131</v>
      </c>
      <c r="F2931" s="8" t="str">
        <f aca="false">IFERROR(INDEX(Section_Master!$D$2:$D$477,MATCH($E2931,Section_Master!$A$2:$A$477,0))&amp;"","")</f>
        <v>Imprisonment up to 3 months, or fine up to Rs 1,000, or both</v>
      </c>
      <c r="G2931" s="10" t="str">
        <f aca="false">IFERROR(INDEX(Section_Master!$E$2:$E$477,MATCH($E2931,Section_Master!$A$2:$A$477,0))&amp;"","")</f>
        <v>No</v>
      </c>
      <c r="H2931" s="10" t="str">
        <f aca="false">IFERROR(INDEX(Section_Master!$F$2:$F$477,MATCH($E2931,Section_Master!$A$2:$A$477,0))&amp;"","")</f>
        <v>Yes</v>
      </c>
      <c r="I2931" s="10" t="str">
        <f aca="false">IFERROR(INDEX(Section_Master!$G$2:$G$477,MATCH($E2931,Section_Master!$A$2:$A$477,0))&amp;"","")</f>
        <v>Yes</v>
      </c>
      <c r="J2931" s="10" t="s">
        <v>52</v>
      </c>
      <c r="K2931" s="8" t="s">
        <v>6883</v>
      </c>
    </row>
    <row r="2932" customFormat="false" ht="23.25" hidden="false" customHeight="true" outlineLevel="0" collapsed="false">
      <c r="A2932" s="10" t="s">
        <v>6886</v>
      </c>
      <c r="B2932" s="10" t="s">
        <v>45</v>
      </c>
      <c r="C2932" s="8" t="s">
        <v>6881</v>
      </c>
      <c r="D2932" s="8" t="s">
        <v>6887</v>
      </c>
      <c r="E2932" s="11" t="n">
        <v>131</v>
      </c>
      <c r="F2932" s="8" t="str">
        <f aca="false">IFERROR(INDEX(Section_Master!$D$2:$D$477,MATCH($E2932,Section_Master!$A$2:$A$477,0))&amp;"","")</f>
        <v>Imprisonment up to 3 months, or fine up to Rs 1,000, or both</v>
      </c>
      <c r="G2932" s="10" t="str">
        <f aca="false">IFERROR(INDEX(Section_Master!$E$2:$E$477,MATCH($E2932,Section_Master!$A$2:$A$477,0))&amp;"","")</f>
        <v>No</v>
      </c>
      <c r="H2932" s="10" t="str">
        <f aca="false">IFERROR(INDEX(Section_Master!$F$2:$F$477,MATCH($E2932,Section_Master!$A$2:$A$477,0))&amp;"","")</f>
        <v>Yes</v>
      </c>
      <c r="I2932" s="10" t="str">
        <f aca="false">IFERROR(INDEX(Section_Master!$G$2:$G$477,MATCH($E2932,Section_Master!$A$2:$A$477,0))&amp;"","")</f>
        <v>Yes</v>
      </c>
      <c r="J2932" s="10" t="s">
        <v>55</v>
      </c>
      <c r="K2932" s="8" t="s">
        <v>6883</v>
      </c>
    </row>
    <row r="2933" customFormat="false" ht="23.25" hidden="false" customHeight="true" outlineLevel="0" collapsed="false">
      <c r="A2933" s="10" t="s">
        <v>6888</v>
      </c>
      <c r="B2933" s="10" t="s">
        <v>45</v>
      </c>
      <c r="C2933" s="8" t="s">
        <v>6881</v>
      </c>
      <c r="D2933" s="8" t="s">
        <v>6889</v>
      </c>
      <c r="E2933" s="11" t="n">
        <v>131</v>
      </c>
      <c r="F2933" s="8" t="str">
        <f aca="false">IFERROR(INDEX(Section_Master!$D$2:$D$477,MATCH($E2933,Section_Master!$A$2:$A$477,0))&amp;"","")</f>
        <v>Imprisonment up to 3 months, or fine up to Rs 1,000, or both</v>
      </c>
      <c r="G2933" s="10" t="str">
        <f aca="false">IFERROR(INDEX(Section_Master!$E$2:$E$477,MATCH($E2933,Section_Master!$A$2:$A$477,0))&amp;"","")</f>
        <v>No</v>
      </c>
      <c r="H2933" s="10" t="str">
        <f aca="false">IFERROR(INDEX(Section_Master!$F$2:$F$477,MATCH($E2933,Section_Master!$A$2:$A$477,0))&amp;"","")</f>
        <v>Yes</v>
      </c>
      <c r="I2933" s="10" t="str">
        <f aca="false">IFERROR(INDEX(Section_Master!$G$2:$G$477,MATCH($E2933,Section_Master!$A$2:$A$477,0))&amp;"","")</f>
        <v>Yes</v>
      </c>
      <c r="J2933" s="10" t="s">
        <v>58</v>
      </c>
      <c r="K2933" s="8" t="s">
        <v>6883</v>
      </c>
    </row>
    <row r="2934" customFormat="false" ht="23.25" hidden="false" customHeight="true" outlineLevel="0" collapsed="false">
      <c r="A2934" s="10" t="s">
        <v>6890</v>
      </c>
      <c r="B2934" s="10" t="s">
        <v>45</v>
      </c>
      <c r="C2934" s="8" t="s">
        <v>6881</v>
      </c>
      <c r="D2934" s="8" t="s">
        <v>6891</v>
      </c>
      <c r="E2934" s="11" t="n">
        <v>131</v>
      </c>
      <c r="F2934" s="8" t="str">
        <f aca="false">IFERROR(INDEX(Section_Master!$D$2:$D$477,MATCH($E2934,Section_Master!$A$2:$A$477,0))&amp;"","")</f>
        <v>Imprisonment up to 3 months, or fine up to Rs 1,000, or both</v>
      </c>
      <c r="G2934" s="10" t="str">
        <f aca="false">IFERROR(INDEX(Section_Master!$E$2:$E$477,MATCH($E2934,Section_Master!$A$2:$A$477,0))&amp;"","")</f>
        <v>No</v>
      </c>
      <c r="H2934" s="10" t="str">
        <f aca="false">IFERROR(INDEX(Section_Master!$F$2:$F$477,MATCH($E2934,Section_Master!$A$2:$A$477,0))&amp;"","")</f>
        <v>Yes</v>
      </c>
      <c r="I2934" s="10" t="str">
        <f aca="false">IFERROR(INDEX(Section_Master!$G$2:$G$477,MATCH($E2934,Section_Master!$A$2:$A$477,0))&amp;"","")</f>
        <v>Yes</v>
      </c>
      <c r="J2934" s="10" t="s">
        <v>61</v>
      </c>
      <c r="K2934" s="8" t="s">
        <v>6883</v>
      </c>
    </row>
    <row r="2935" customFormat="false" ht="23.25" hidden="false" customHeight="true" outlineLevel="0" collapsed="false">
      <c r="A2935" s="10" t="s">
        <v>6892</v>
      </c>
      <c r="B2935" s="10" t="s">
        <v>45</v>
      </c>
      <c r="C2935" s="8" t="s">
        <v>6881</v>
      </c>
      <c r="D2935" s="8" t="s">
        <v>6893</v>
      </c>
      <c r="E2935" s="11" t="n">
        <v>131</v>
      </c>
      <c r="F2935" s="8" t="str">
        <f aca="false">IFERROR(INDEX(Section_Master!$D$2:$D$477,MATCH($E2935,Section_Master!$A$2:$A$477,0))&amp;"","")</f>
        <v>Imprisonment up to 3 months, or fine up to Rs 1,000, or both</v>
      </c>
      <c r="G2935" s="10" t="str">
        <f aca="false">IFERROR(INDEX(Section_Master!$E$2:$E$477,MATCH($E2935,Section_Master!$A$2:$A$477,0))&amp;"","")</f>
        <v>No</v>
      </c>
      <c r="H2935" s="10" t="str">
        <f aca="false">IFERROR(INDEX(Section_Master!$F$2:$F$477,MATCH($E2935,Section_Master!$A$2:$A$477,0))&amp;"","")</f>
        <v>Yes</v>
      </c>
      <c r="I2935" s="10" t="str">
        <f aca="false">IFERROR(INDEX(Section_Master!$G$2:$G$477,MATCH($E2935,Section_Master!$A$2:$A$477,0))&amp;"","")</f>
        <v>Yes</v>
      </c>
      <c r="J2935" s="10" t="s">
        <v>64</v>
      </c>
      <c r="K2935" s="8" t="s">
        <v>6883</v>
      </c>
    </row>
    <row r="2936" customFormat="false" ht="34.5" hidden="false" customHeight="true" outlineLevel="0" collapsed="false">
      <c r="A2936" s="10" t="s">
        <v>6894</v>
      </c>
      <c r="B2936" s="10" t="s">
        <v>45</v>
      </c>
      <c r="C2936" s="8" t="s">
        <v>6895</v>
      </c>
      <c r="D2936" s="8" t="s">
        <v>6896</v>
      </c>
      <c r="E2936" s="11" t="n">
        <v>132</v>
      </c>
      <c r="F2936" s="8" t="str">
        <f aca="false">IFERROR(INDEX(Section_Master!$D$2:$D$477,MATCH($E2936,Section_Master!$A$2:$A$477,0))&amp;"","")</f>
        <v>Imprisonment up to 2 years, or fine, or both</v>
      </c>
      <c r="G2936" s="10" t="str">
        <f aca="false">IFERROR(INDEX(Section_Master!$E$2:$E$477,MATCH($E2936,Section_Master!$A$2:$A$477,0))&amp;"","")</f>
        <v>Yes</v>
      </c>
      <c r="H2936" s="10" t="str">
        <f aca="false">IFERROR(INDEX(Section_Master!$F$2:$F$477,MATCH($E2936,Section_Master!$A$2:$A$477,0))&amp;"","")</f>
        <v>No</v>
      </c>
      <c r="I2936" s="10" t="str">
        <f aca="false">IFERROR(INDEX(Section_Master!$G$2:$G$477,MATCH($E2936,Section_Master!$A$2:$A$477,0))&amp;"","")</f>
        <v>No</v>
      </c>
      <c r="J2936" s="10" t="s">
        <v>48</v>
      </c>
      <c r="K2936" s="8" t="s">
        <v>6897</v>
      </c>
    </row>
    <row r="2937" customFormat="false" ht="34.5" hidden="false" customHeight="true" outlineLevel="0" collapsed="false">
      <c r="A2937" s="10" t="s">
        <v>6898</v>
      </c>
      <c r="B2937" s="10" t="s">
        <v>45</v>
      </c>
      <c r="C2937" s="8" t="s">
        <v>6895</v>
      </c>
      <c r="D2937" s="8" t="s">
        <v>6899</v>
      </c>
      <c r="E2937" s="11" t="n">
        <v>132</v>
      </c>
      <c r="F2937" s="8" t="str">
        <f aca="false">IFERROR(INDEX(Section_Master!$D$2:$D$477,MATCH($E2937,Section_Master!$A$2:$A$477,0))&amp;"","")</f>
        <v>Imprisonment up to 2 years, or fine, or both</v>
      </c>
      <c r="G2937" s="10" t="str">
        <f aca="false">IFERROR(INDEX(Section_Master!$E$2:$E$477,MATCH($E2937,Section_Master!$A$2:$A$477,0))&amp;"","")</f>
        <v>Yes</v>
      </c>
      <c r="H2937" s="10" t="str">
        <f aca="false">IFERROR(INDEX(Section_Master!$F$2:$F$477,MATCH($E2937,Section_Master!$A$2:$A$477,0))&amp;"","")</f>
        <v>No</v>
      </c>
      <c r="I2937" s="10" t="str">
        <f aca="false">IFERROR(INDEX(Section_Master!$G$2:$G$477,MATCH($E2937,Section_Master!$A$2:$A$477,0))&amp;"","")</f>
        <v>No</v>
      </c>
      <c r="J2937" s="10" t="s">
        <v>52</v>
      </c>
      <c r="K2937" s="8" t="s">
        <v>6897</v>
      </c>
    </row>
    <row r="2938" customFormat="false" ht="34.5" hidden="false" customHeight="true" outlineLevel="0" collapsed="false">
      <c r="A2938" s="10" t="s">
        <v>6900</v>
      </c>
      <c r="B2938" s="10" t="s">
        <v>45</v>
      </c>
      <c r="C2938" s="8" t="s">
        <v>6895</v>
      </c>
      <c r="D2938" s="8" t="s">
        <v>6901</v>
      </c>
      <c r="E2938" s="11" t="n">
        <v>132</v>
      </c>
      <c r="F2938" s="8" t="str">
        <f aca="false">IFERROR(INDEX(Section_Master!$D$2:$D$477,MATCH($E2938,Section_Master!$A$2:$A$477,0))&amp;"","")</f>
        <v>Imprisonment up to 2 years, or fine, or both</v>
      </c>
      <c r="G2938" s="10" t="str">
        <f aca="false">IFERROR(INDEX(Section_Master!$E$2:$E$477,MATCH($E2938,Section_Master!$A$2:$A$477,0))&amp;"","")</f>
        <v>Yes</v>
      </c>
      <c r="H2938" s="10" t="str">
        <f aca="false">IFERROR(INDEX(Section_Master!$F$2:$F$477,MATCH($E2938,Section_Master!$A$2:$A$477,0))&amp;"","")</f>
        <v>No</v>
      </c>
      <c r="I2938" s="10" t="str">
        <f aca="false">IFERROR(INDEX(Section_Master!$G$2:$G$477,MATCH($E2938,Section_Master!$A$2:$A$477,0))&amp;"","")</f>
        <v>No</v>
      </c>
      <c r="J2938" s="10" t="s">
        <v>55</v>
      </c>
      <c r="K2938" s="8" t="s">
        <v>6897</v>
      </c>
    </row>
    <row r="2939" customFormat="false" ht="23.25" hidden="false" customHeight="true" outlineLevel="0" collapsed="false">
      <c r="A2939" s="10" t="s">
        <v>6902</v>
      </c>
      <c r="B2939" s="10" t="s">
        <v>45</v>
      </c>
      <c r="C2939" s="8" t="s">
        <v>6895</v>
      </c>
      <c r="D2939" s="8" t="s">
        <v>6903</v>
      </c>
      <c r="E2939" s="11" t="n">
        <v>132</v>
      </c>
      <c r="F2939" s="8" t="str">
        <f aca="false">IFERROR(INDEX(Section_Master!$D$2:$D$477,MATCH($E2939,Section_Master!$A$2:$A$477,0))&amp;"","")</f>
        <v>Imprisonment up to 2 years, or fine, or both</v>
      </c>
      <c r="G2939" s="10" t="str">
        <f aca="false">IFERROR(INDEX(Section_Master!$E$2:$E$477,MATCH($E2939,Section_Master!$A$2:$A$477,0))&amp;"","")</f>
        <v>Yes</v>
      </c>
      <c r="H2939" s="10" t="str">
        <f aca="false">IFERROR(INDEX(Section_Master!$F$2:$F$477,MATCH($E2939,Section_Master!$A$2:$A$477,0))&amp;"","")</f>
        <v>No</v>
      </c>
      <c r="I2939" s="10" t="str">
        <f aca="false">IFERROR(INDEX(Section_Master!$G$2:$G$477,MATCH($E2939,Section_Master!$A$2:$A$477,0))&amp;"","")</f>
        <v>No</v>
      </c>
      <c r="J2939" s="10" t="s">
        <v>58</v>
      </c>
      <c r="K2939" s="8" t="s">
        <v>6897</v>
      </c>
    </row>
    <row r="2940" customFormat="false" ht="23.25" hidden="false" customHeight="true" outlineLevel="0" collapsed="false">
      <c r="A2940" s="10" t="s">
        <v>6904</v>
      </c>
      <c r="B2940" s="10" t="s">
        <v>45</v>
      </c>
      <c r="C2940" s="8" t="s">
        <v>6895</v>
      </c>
      <c r="D2940" s="8" t="s">
        <v>6905</v>
      </c>
      <c r="E2940" s="11" t="n">
        <v>132</v>
      </c>
      <c r="F2940" s="8" t="str">
        <f aca="false">IFERROR(INDEX(Section_Master!$D$2:$D$477,MATCH($E2940,Section_Master!$A$2:$A$477,0))&amp;"","")</f>
        <v>Imprisonment up to 2 years, or fine, or both</v>
      </c>
      <c r="G2940" s="10" t="str">
        <f aca="false">IFERROR(INDEX(Section_Master!$E$2:$E$477,MATCH($E2940,Section_Master!$A$2:$A$477,0))&amp;"","")</f>
        <v>Yes</v>
      </c>
      <c r="H2940" s="10" t="str">
        <f aca="false">IFERROR(INDEX(Section_Master!$F$2:$F$477,MATCH($E2940,Section_Master!$A$2:$A$477,0))&amp;"","")</f>
        <v>No</v>
      </c>
      <c r="I2940" s="10" t="str">
        <f aca="false">IFERROR(INDEX(Section_Master!$G$2:$G$477,MATCH($E2940,Section_Master!$A$2:$A$477,0))&amp;"","")</f>
        <v>No</v>
      </c>
      <c r="J2940" s="10" t="s">
        <v>61</v>
      </c>
      <c r="K2940" s="8" t="s">
        <v>6897</v>
      </c>
    </row>
    <row r="2941" customFormat="false" ht="23.25" hidden="false" customHeight="true" outlineLevel="0" collapsed="false">
      <c r="A2941" s="10" t="s">
        <v>6906</v>
      </c>
      <c r="B2941" s="10" t="s">
        <v>45</v>
      </c>
      <c r="C2941" s="8" t="s">
        <v>6895</v>
      </c>
      <c r="D2941" s="8" t="s">
        <v>6907</v>
      </c>
      <c r="E2941" s="11" t="n">
        <v>132</v>
      </c>
      <c r="F2941" s="8" t="str">
        <f aca="false">IFERROR(INDEX(Section_Master!$D$2:$D$477,MATCH($E2941,Section_Master!$A$2:$A$477,0))&amp;"","")</f>
        <v>Imprisonment up to 2 years, or fine, or both</v>
      </c>
      <c r="G2941" s="10" t="str">
        <f aca="false">IFERROR(INDEX(Section_Master!$E$2:$E$477,MATCH($E2941,Section_Master!$A$2:$A$477,0))&amp;"","")</f>
        <v>Yes</v>
      </c>
      <c r="H2941" s="10" t="str">
        <f aca="false">IFERROR(INDEX(Section_Master!$F$2:$F$477,MATCH($E2941,Section_Master!$A$2:$A$477,0))&amp;"","")</f>
        <v>No</v>
      </c>
      <c r="I2941" s="10" t="str">
        <f aca="false">IFERROR(INDEX(Section_Master!$G$2:$G$477,MATCH($E2941,Section_Master!$A$2:$A$477,0))&amp;"","")</f>
        <v>No</v>
      </c>
      <c r="J2941" s="10" t="s">
        <v>64</v>
      </c>
      <c r="K2941" s="8" t="s">
        <v>6897</v>
      </c>
    </row>
    <row r="2942" customFormat="false" ht="23.25" hidden="false" customHeight="true" outlineLevel="0" collapsed="false">
      <c r="A2942" s="10" t="s">
        <v>6908</v>
      </c>
      <c r="B2942" s="10" t="s">
        <v>45</v>
      </c>
      <c r="C2942" s="8" t="s">
        <v>6909</v>
      </c>
      <c r="D2942" s="8" t="s">
        <v>6910</v>
      </c>
      <c r="E2942" s="11" t="n">
        <v>133</v>
      </c>
      <c r="F2942" s="8" t="str">
        <f aca="false">IFERROR(INDEX(Section_Master!$D$2:$D$477,MATCH($E2942,Section_Master!$A$2:$A$477,0))&amp;"","")</f>
        <v>Imprisonment up to 2 years, or fine, or both</v>
      </c>
      <c r="G2942" s="10" t="str">
        <f aca="false">IFERROR(INDEX(Section_Master!$E$2:$E$477,MATCH($E2942,Section_Master!$A$2:$A$477,0))&amp;"","")</f>
        <v>No</v>
      </c>
      <c r="H2942" s="10" t="str">
        <f aca="false">IFERROR(INDEX(Section_Master!$F$2:$F$477,MATCH($E2942,Section_Master!$A$2:$A$477,0))&amp;"","")</f>
        <v>Yes</v>
      </c>
      <c r="I2942" s="10" t="str">
        <f aca="false">IFERROR(INDEX(Section_Master!$G$2:$G$477,MATCH($E2942,Section_Master!$A$2:$A$477,0))&amp;"","")</f>
        <v>Yes</v>
      </c>
      <c r="J2942" s="10" t="s">
        <v>48</v>
      </c>
      <c r="K2942" s="8" t="s">
        <v>6911</v>
      </c>
    </row>
    <row r="2943" customFormat="false" ht="34.5" hidden="false" customHeight="true" outlineLevel="0" collapsed="false">
      <c r="A2943" s="10" t="s">
        <v>6912</v>
      </c>
      <c r="B2943" s="10" t="s">
        <v>45</v>
      </c>
      <c r="C2943" s="8" t="s">
        <v>6909</v>
      </c>
      <c r="D2943" s="8" t="s">
        <v>6913</v>
      </c>
      <c r="E2943" s="11" t="n">
        <v>133</v>
      </c>
      <c r="F2943" s="8" t="str">
        <f aca="false">IFERROR(INDEX(Section_Master!$D$2:$D$477,MATCH($E2943,Section_Master!$A$2:$A$477,0))&amp;"","")</f>
        <v>Imprisonment up to 2 years, or fine, or both</v>
      </c>
      <c r="G2943" s="10" t="str">
        <f aca="false">IFERROR(INDEX(Section_Master!$E$2:$E$477,MATCH($E2943,Section_Master!$A$2:$A$477,0))&amp;"","")</f>
        <v>No</v>
      </c>
      <c r="H2943" s="10" t="str">
        <f aca="false">IFERROR(INDEX(Section_Master!$F$2:$F$477,MATCH($E2943,Section_Master!$A$2:$A$477,0))&amp;"","")</f>
        <v>Yes</v>
      </c>
      <c r="I2943" s="10" t="str">
        <f aca="false">IFERROR(INDEX(Section_Master!$G$2:$G$477,MATCH($E2943,Section_Master!$A$2:$A$477,0))&amp;"","")</f>
        <v>Yes</v>
      </c>
      <c r="J2943" s="10" t="s">
        <v>52</v>
      </c>
      <c r="K2943" s="8" t="s">
        <v>6911</v>
      </c>
    </row>
    <row r="2944" customFormat="false" ht="34.5" hidden="false" customHeight="true" outlineLevel="0" collapsed="false">
      <c r="A2944" s="10" t="s">
        <v>6914</v>
      </c>
      <c r="B2944" s="10" t="s">
        <v>45</v>
      </c>
      <c r="C2944" s="8" t="s">
        <v>6909</v>
      </c>
      <c r="D2944" s="8" t="s">
        <v>6915</v>
      </c>
      <c r="E2944" s="11" t="n">
        <v>133</v>
      </c>
      <c r="F2944" s="8" t="str">
        <f aca="false">IFERROR(INDEX(Section_Master!$D$2:$D$477,MATCH($E2944,Section_Master!$A$2:$A$477,0))&amp;"","")</f>
        <v>Imprisonment up to 2 years, or fine, or both</v>
      </c>
      <c r="G2944" s="10" t="str">
        <f aca="false">IFERROR(INDEX(Section_Master!$E$2:$E$477,MATCH($E2944,Section_Master!$A$2:$A$477,0))&amp;"","")</f>
        <v>No</v>
      </c>
      <c r="H2944" s="10" t="str">
        <f aca="false">IFERROR(INDEX(Section_Master!$F$2:$F$477,MATCH($E2944,Section_Master!$A$2:$A$477,0))&amp;"","")</f>
        <v>Yes</v>
      </c>
      <c r="I2944" s="10" t="str">
        <f aca="false">IFERROR(INDEX(Section_Master!$G$2:$G$477,MATCH($E2944,Section_Master!$A$2:$A$477,0))&amp;"","")</f>
        <v>Yes</v>
      </c>
      <c r="J2944" s="10" t="s">
        <v>55</v>
      </c>
      <c r="K2944" s="8" t="s">
        <v>6911</v>
      </c>
    </row>
    <row r="2945" customFormat="false" ht="23.25" hidden="false" customHeight="true" outlineLevel="0" collapsed="false">
      <c r="A2945" s="10" t="s">
        <v>6916</v>
      </c>
      <c r="B2945" s="10" t="s">
        <v>45</v>
      </c>
      <c r="C2945" s="8" t="s">
        <v>6909</v>
      </c>
      <c r="D2945" s="8" t="s">
        <v>6917</v>
      </c>
      <c r="E2945" s="11" t="n">
        <v>133</v>
      </c>
      <c r="F2945" s="8" t="str">
        <f aca="false">IFERROR(INDEX(Section_Master!$D$2:$D$477,MATCH($E2945,Section_Master!$A$2:$A$477,0))&amp;"","")</f>
        <v>Imprisonment up to 2 years, or fine, or both</v>
      </c>
      <c r="G2945" s="10" t="str">
        <f aca="false">IFERROR(INDEX(Section_Master!$E$2:$E$477,MATCH($E2945,Section_Master!$A$2:$A$477,0))&amp;"","")</f>
        <v>No</v>
      </c>
      <c r="H2945" s="10" t="str">
        <f aca="false">IFERROR(INDEX(Section_Master!$F$2:$F$477,MATCH($E2945,Section_Master!$A$2:$A$477,0))&amp;"","")</f>
        <v>Yes</v>
      </c>
      <c r="I2945" s="10" t="str">
        <f aca="false">IFERROR(INDEX(Section_Master!$G$2:$G$477,MATCH($E2945,Section_Master!$A$2:$A$477,0))&amp;"","")</f>
        <v>Yes</v>
      </c>
      <c r="J2945" s="10" t="s">
        <v>58</v>
      </c>
      <c r="K2945" s="8" t="s">
        <v>6911</v>
      </c>
    </row>
    <row r="2946" customFormat="false" ht="23.25" hidden="false" customHeight="true" outlineLevel="0" collapsed="false">
      <c r="A2946" s="10" t="s">
        <v>6918</v>
      </c>
      <c r="B2946" s="10" t="s">
        <v>45</v>
      </c>
      <c r="C2946" s="8" t="s">
        <v>6909</v>
      </c>
      <c r="D2946" s="8" t="s">
        <v>6919</v>
      </c>
      <c r="E2946" s="11" t="n">
        <v>133</v>
      </c>
      <c r="F2946" s="8" t="str">
        <f aca="false">IFERROR(INDEX(Section_Master!$D$2:$D$477,MATCH($E2946,Section_Master!$A$2:$A$477,0))&amp;"","")</f>
        <v>Imprisonment up to 2 years, or fine, or both</v>
      </c>
      <c r="G2946" s="10" t="str">
        <f aca="false">IFERROR(INDEX(Section_Master!$E$2:$E$477,MATCH($E2946,Section_Master!$A$2:$A$477,0))&amp;"","")</f>
        <v>No</v>
      </c>
      <c r="H2946" s="10" t="str">
        <f aca="false">IFERROR(INDEX(Section_Master!$F$2:$F$477,MATCH($E2946,Section_Master!$A$2:$A$477,0))&amp;"","")</f>
        <v>Yes</v>
      </c>
      <c r="I2946" s="10" t="str">
        <f aca="false">IFERROR(INDEX(Section_Master!$G$2:$G$477,MATCH($E2946,Section_Master!$A$2:$A$477,0))&amp;"","")</f>
        <v>Yes</v>
      </c>
      <c r="J2946" s="10" t="s">
        <v>61</v>
      </c>
      <c r="K2946" s="8" t="s">
        <v>6911</v>
      </c>
    </row>
    <row r="2947" customFormat="false" ht="34.5" hidden="false" customHeight="true" outlineLevel="0" collapsed="false">
      <c r="A2947" s="10" t="s">
        <v>6920</v>
      </c>
      <c r="B2947" s="10" t="s">
        <v>45</v>
      </c>
      <c r="C2947" s="8" t="s">
        <v>6909</v>
      </c>
      <c r="D2947" s="8" t="s">
        <v>6921</v>
      </c>
      <c r="E2947" s="11" t="n">
        <v>133</v>
      </c>
      <c r="F2947" s="8" t="str">
        <f aca="false">IFERROR(INDEX(Section_Master!$D$2:$D$477,MATCH($E2947,Section_Master!$A$2:$A$477,0))&amp;"","")</f>
        <v>Imprisonment up to 2 years, or fine, or both</v>
      </c>
      <c r="G2947" s="10" t="str">
        <f aca="false">IFERROR(INDEX(Section_Master!$E$2:$E$477,MATCH($E2947,Section_Master!$A$2:$A$477,0))&amp;"","")</f>
        <v>No</v>
      </c>
      <c r="H2947" s="10" t="str">
        <f aca="false">IFERROR(INDEX(Section_Master!$F$2:$F$477,MATCH($E2947,Section_Master!$A$2:$A$477,0))&amp;"","")</f>
        <v>Yes</v>
      </c>
      <c r="I2947" s="10" t="str">
        <f aca="false">IFERROR(INDEX(Section_Master!$G$2:$G$477,MATCH($E2947,Section_Master!$A$2:$A$477,0))&amp;"","")</f>
        <v>Yes</v>
      </c>
      <c r="J2947" s="10" t="s">
        <v>64</v>
      </c>
      <c r="K2947" s="8" t="s">
        <v>6911</v>
      </c>
    </row>
    <row r="2948" customFormat="false" ht="34.5" hidden="false" customHeight="true" outlineLevel="0" collapsed="false">
      <c r="A2948" s="10" t="s">
        <v>6922</v>
      </c>
      <c r="B2948" s="10" t="s">
        <v>45</v>
      </c>
      <c r="C2948" s="8" t="s">
        <v>6923</v>
      </c>
      <c r="D2948" s="8" t="s">
        <v>6924</v>
      </c>
      <c r="E2948" s="11" t="n">
        <v>134</v>
      </c>
      <c r="F2948" s="8" t="str">
        <f aca="false">IFERROR(INDEX(Section_Master!$D$2:$D$477,MATCH($E2948,Section_Master!$A$2:$A$477,0))&amp;"","")</f>
        <v>Imprisonment up to 2 years, or fine, or both</v>
      </c>
      <c r="G2948" s="10" t="str">
        <f aca="false">IFERROR(INDEX(Section_Master!$E$2:$E$477,MATCH($E2948,Section_Master!$A$2:$A$477,0))&amp;"","")</f>
        <v>No</v>
      </c>
      <c r="H2948" s="10" t="str">
        <f aca="false">IFERROR(INDEX(Section_Master!$F$2:$F$477,MATCH($E2948,Section_Master!$A$2:$A$477,0))&amp;"","")</f>
        <v>Yes</v>
      </c>
      <c r="I2948" s="10" t="str">
        <f aca="false">IFERROR(INDEX(Section_Master!$G$2:$G$477,MATCH($E2948,Section_Master!$A$2:$A$477,0))&amp;"","")</f>
        <v>With court permission</v>
      </c>
      <c r="J2948" s="10" t="s">
        <v>48</v>
      </c>
      <c r="K2948" s="8" t="s">
        <v>6925</v>
      </c>
    </row>
    <row r="2949" customFormat="false" ht="34.5" hidden="false" customHeight="true" outlineLevel="0" collapsed="false">
      <c r="A2949" s="10" t="s">
        <v>6926</v>
      </c>
      <c r="B2949" s="10" t="s">
        <v>45</v>
      </c>
      <c r="C2949" s="8" t="s">
        <v>6923</v>
      </c>
      <c r="D2949" s="8" t="s">
        <v>6927</v>
      </c>
      <c r="E2949" s="11" t="n">
        <v>134</v>
      </c>
      <c r="F2949" s="8" t="str">
        <f aca="false">IFERROR(INDEX(Section_Master!$D$2:$D$477,MATCH($E2949,Section_Master!$A$2:$A$477,0))&amp;"","")</f>
        <v>Imprisonment up to 2 years, or fine, or both</v>
      </c>
      <c r="G2949" s="10" t="str">
        <f aca="false">IFERROR(INDEX(Section_Master!$E$2:$E$477,MATCH($E2949,Section_Master!$A$2:$A$477,0))&amp;"","")</f>
        <v>No</v>
      </c>
      <c r="H2949" s="10" t="str">
        <f aca="false">IFERROR(INDEX(Section_Master!$F$2:$F$477,MATCH($E2949,Section_Master!$A$2:$A$477,0))&amp;"","")</f>
        <v>Yes</v>
      </c>
      <c r="I2949" s="10" t="str">
        <f aca="false">IFERROR(INDEX(Section_Master!$G$2:$G$477,MATCH($E2949,Section_Master!$A$2:$A$477,0))&amp;"","")</f>
        <v>With court permission</v>
      </c>
      <c r="J2949" s="10" t="s">
        <v>52</v>
      </c>
      <c r="K2949" s="8" t="s">
        <v>6925</v>
      </c>
    </row>
    <row r="2950" customFormat="false" ht="34.5" hidden="false" customHeight="true" outlineLevel="0" collapsed="false">
      <c r="A2950" s="10" t="s">
        <v>6928</v>
      </c>
      <c r="B2950" s="10" t="s">
        <v>45</v>
      </c>
      <c r="C2950" s="8" t="s">
        <v>6923</v>
      </c>
      <c r="D2950" s="8" t="s">
        <v>6929</v>
      </c>
      <c r="E2950" s="11" t="n">
        <v>134</v>
      </c>
      <c r="F2950" s="8" t="str">
        <f aca="false">IFERROR(INDEX(Section_Master!$D$2:$D$477,MATCH($E2950,Section_Master!$A$2:$A$477,0))&amp;"","")</f>
        <v>Imprisonment up to 2 years, or fine, or both</v>
      </c>
      <c r="G2950" s="10" t="str">
        <f aca="false">IFERROR(INDEX(Section_Master!$E$2:$E$477,MATCH($E2950,Section_Master!$A$2:$A$477,0))&amp;"","")</f>
        <v>No</v>
      </c>
      <c r="H2950" s="10" t="str">
        <f aca="false">IFERROR(INDEX(Section_Master!$F$2:$F$477,MATCH($E2950,Section_Master!$A$2:$A$477,0))&amp;"","")</f>
        <v>Yes</v>
      </c>
      <c r="I2950" s="10" t="str">
        <f aca="false">IFERROR(INDEX(Section_Master!$G$2:$G$477,MATCH($E2950,Section_Master!$A$2:$A$477,0))&amp;"","")</f>
        <v>With court permission</v>
      </c>
      <c r="J2950" s="10" t="s">
        <v>55</v>
      </c>
      <c r="K2950" s="8" t="s">
        <v>6925</v>
      </c>
    </row>
    <row r="2951" customFormat="false" ht="23.25" hidden="false" customHeight="true" outlineLevel="0" collapsed="false">
      <c r="A2951" s="10" t="s">
        <v>6930</v>
      </c>
      <c r="B2951" s="10" t="s">
        <v>45</v>
      </c>
      <c r="C2951" s="8" t="s">
        <v>6923</v>
      </c>
      <c r="D2951" s="8" t="s">
        <v>6931</v>
      </c>
      <c r="E2951" s="11" t="n">
        <v>134</v>
      </c>
      <c r="F2951" s="8" t="str">
        <f aca="false">IFERROR(INDEX(Section_Master!$D$2:$D$477,MATCH($E2951,Section_Master!$A$2:$A$477,0))&amp;"","")</f>
        <v>Imprisonment up to 2 years, or fine, or both</v>
      </c>
      <c r="G2951" s="10" t="str">
        <f aca="false">IFERROR(INDEX(Section_Master!$E$2:$E$477,MATCH($E2951,Section_Master!$A$2:$A$477,0))&amp;"","")</f>
        <v>No</v>
      </c>
      <c r="H2951" s="10" t="str">
        <f aca="false">IFERROR(INDEX(Section_Master!$F$2:$F$477,MATCH($E2951,Section_Master!$A$2:$A$477,0))&amp;"","")</f>
        <v>Yes</v>
      </c>
      <c r="I2951" s="10" t="str">
        <f aca="false">IFERROR(INDEX(Section_Master!$G$2:$G$477,MATCH($E2951,Section_Master!$A$2:$A$477,0))&amp;"","")</f>
        <v>With court permission</v>
      </c>
      <c r="J2951" s="10" t="s">
        <v>58</v>
      </c>
      <c r="K2951" s="8" t="s">
        <v>6925</v>
      </c>
    </row>
    <row r="2952" customFormat="false" ht="23.25" hidden="false" customHeight="true" outlineLevel="0" collapsed="false">
      <c r="A2952" s="10" t="s">
        <v>6932</v>
      </c>
      <c r="B2952" s="10" t="s">
        <v>45</v>
      </c>
      <c r="C2952" s="8" t="s">
        <v>6923</v>
      </c>
      <c r="D2952" s="8" t="s">
        <v>6933</v>
      </c>
      <c r="E2952" s="11" t="n">
        <v>134</v>
      </c>
      <c r="F2952" s="8" t="str">
        <f aca="false">IFERROR(INDEX(Section_Master!$D$2:$D$477,MATCH($E2952,Section_Master!$A$2:$A$477,0))&amp;"","")</f>
        <v>Imprisonment up to 2 years, or fine, or both</v>
      </c>
      <c r="G2952" s="10" t="str">
        <f aca="false">IFERROR(INDEX(Section_Master!$E$2:$E$477,MATCH($E2952,Section_Master!$A$2:$A$477,0))&amp;"","")</f>
        <v>No</v>
      </c>
      <c r="H2952" s="10" t="str">
        <f aca="false">IFERROR(INDEX(Section_Master!$F$2:$F$477,MATCH($E2952,Section_Master!$A$2:$A$477,0))&amp;"","")</f>
        <v>Yes</v>
      </c>
      <c r="I2952" s="10" t="str">
        <f aca="false">IFERROR(INDEX(Section_Master!$G$2:$G$477,MATCH($E2952,Section_Master!$A$2:$A$477,0))&amp;"","")</f>
        <v>With court permission</v>
      </c>
      <c r="J2952" s="10" t="s">
        <v>61</v>
      </c>
      <c r="K2952" s="8" t="s">
        <v>6925</v>
      </c>
    </row>
    <row r="2953" customFormat="false" ht="34.5" hidden="false" customHeight="true" outlineLevel="0" collapsed="false">
      <c r="A2953" s="10" t="s">
        <v>6934</v>
      </c>
      <c r="B2953" s="10" t="s">
        <v>45</v>
      </c>
      <c r="C2953" s="8" t="s">
        <v>6923</v>
      </c>
      <c r="D2953" s="8" t="s">
        <v>6935</v>
      </c>
      <c r="E2953" s="11" t="n">
        <v>134</v>
      </c>
      <c r="F2953" s="8" t="str">
        <f aca="false">IFERROR(INDEX(Section_Master!$D$2:$D$477,MATCH($E2953,Section_Master!$A$2:$A$477,0))&amp;"","")</f>
        <v>Imprisonment up to 2 years, or fine, or both</v>
      </c>
      <c r="G2953" s="10" t="str">
        <f aca="false">IFERROR(INDEX(Section_Master!$E$2:$E$477,MATCH($E2953,Section_Master!$A$2:$A$477,0))&amp;"","")</f>
        <v>No</v>
      </c>
      <c r="H2953" s="10" t="str">
        <f aca="false">IFERROR(INDEX(Section_Master!$F$2:$F$477,MATCH($E2953,Section_Master!$A$2:$A$477,0))&amp;"","")</f>
        <v>Yes</v>
      </c>
      <c r="I2953" s="10" t="str">
        <f aca="false">IFERROR(INDEX(Section_Master!$G$2:$G$477,MATCH($E2953,Section_Master!$A$2:$A$477,0))&amp;"","")</f>
        <v>With court permission</v>
      </c>
      <c r="J2953" s="10" t="s">
        <v>64</v>
      </c>
      <c r="K2953" s="8" t="s">
        <v>6925</v>
      </c>
    </row>
    <row r="2954" customFormat="false" ht="34.5" hidden="false" customHeight="true" outlineLevel="0" collapsed="false">
      <c r="A2954" s="10" t="s">
        <v>6936</v>
      </c>
      <c r="B2954" s="10" t="s">
        <v>45</v>
      </c>
      <c r="C2954" s="8" t="s">
        <v>6937</v>
      </c>
      <c r="D2954" s="8" t="s">
        <v>6938</v>
      </c>
      <c r="E2954" s="11" t="n">
        <v>135</v>
      </c>
      <c r="F2954" s="8" t="str">
        <f aca="false">IFERROR(INDEX(Section_Master!$D$2:$D$477,MATCH($E2954,Section_Master!$A$2:$A$477,0))&amp;"","")</f>
        <v>Imprisonment up to 1 year, or fine, or both</v>
      </c>
      <c r="G2954" s="10" t="str">
        <f aca="false">IFERROR(INDEX(Section_Master!$E$2:$E$477,MATCH($E2954,Section_Master!$A$2:$A$477,0))&amp;"","")</f>
        <v>No</v>
      </c>
      <c r="H2954" s="10" t="str">
        <f aca="false">IFERROR(INDEX(Section_Master!$F$2:$F$477,MATCH($E2954,Section_Master!$A$2:$A$477,0))&amp;"","")</f>
        <v>Yes</v>
      </c>
      <c r="I2954" s="10" t="str">
        <f aca="false">IFERROR(INDEX(Section_Master!$G$2:$G$477,MATCH($E2954,Section_Master!$A$2:$A$477,0))&amp;"","")</f>
        <v>Yes</v>
      </c>
      <c r="J2954" s="10" t="s">
        <v>48</v>
      </c>
      <c r="K2954" s="8" t="s">
        <v>6939</v>
      </c>
    </row>
    <row r="2955" customFormat="false" ht="34.5" hidden="false" customHeight="true" outlineLevel="0" collapsed="false">
      <c r="A2955" s="10" t="s">
        <v>6940</v>
      </c>
      <c r="B2955" s="10" t="s">
        <v>45</v>
      </c>
      <c r="C2955" s="8" t="s">
        <v>6937</v>
      </c>
      <c r="D2955" s="8" t="s">
        <v>6941</v>
      </c>
      <c r="E2955" s="11" t="n">
        <v>135</v>
      </c>
      <c r="F2955" s="8" t="str">
        <f aca="false">IFERROR(INDEX(Section_Master!$D$2:$D$477,MATCH($E2955,Section_Master!$A$2:$A$477,0))&amp;"","")</f>
        <v>Imprisonment up to 1 year, or fine, or both</v>
      </c>
      <c r="G2955" s="10" t="str">
        <f aca="false">IFERROR(INDEX(Section_Master!$E$2:$E$477,MATCH($E2955,Section_Master!$A$2:$A$477,0))&amp;"","")</f>
        <v>No</v>
      </c>
      <c r="H2955" s="10" t="str">
        <f aca="false">IFERROR(INDEX(Section_Master!$F$2:$F$477,MATCH($E2955,Section_Master!$A$2:$A$477,0))&amp;"","")</f>
        <v>Yes</v>
      </c>
      <c r="I2955" s="10" t="str">
        <f aca="false">IFERROR(INDEX(Section_Master!$G$2:$G$477,MATCH($E2955,Section_Master!$A$2:$A$477,0))&amp;"","")</f>
        <v>Yes</v>
      </c>
      <c r="J2955" s="10" t="s">
        <v>52</v>
      </c>
      <c r="K2955" s="8" t="s">
        <v>6939</v>
      </c>
    </row>
    <row r="2956" customFormat="false" ht="34.5" hidden="false" customHeight="true" outlineLevel="0" collapsed="false">
      <c r="A2956" s="10" t="s">
        <v>6942</v>
      </c>
      <c r="B2956" s="10" t="s">
        <v>45</v>
      </c>
      <c r="C2956" s="8" t="s">
        <v>6937</v>
      </c>
      <c r="D2956" s="8" t="s">
        <v>6943</v>
      </c>
      <c r="E2956" s="11" t="n">
        <v>135</v>
      </c>
      <c r="F2956" s="8" t="str">
        <f aca="false">IFERROR(INDEX(Section_Master!$D$2:$D$477,MATCH($E2956,Section_Master!$A$2:$A$477,0))&amp;"","")</f>
        <v>Imprisonment up to 1 year, or fine, or both</v>
      </c>
      <c r="G2956" s="10" t="str">
        <f aca="false">IFERROR(INDEX(Section_Master!$E$2:$E$477,MATCH($E2956,Section_Master!$A$2:$A$477,0))&amp;"","")</f>
        <v>No</v>
      </c>
      <c r="H2956" s="10" t="str">
        <f aca="false">IFERROR(INDEX(Section_Master!$F$2:$F$477,MATCH($E2956,Section_Master!$A$2:$A$477,0))&amp;"","")</f>
        <v>Yes</v>
      </c>
      <c r="I2956" s="10" t="str">
        <f aca="false">IFERROR(INDEX(Section_Master!$G$2:$G$477,MATCH($E2956,Section_Master!$A$2:$A$477,0))&amp;"","")</f>
        <v>Yes</v>
      </c>
      <c r="J2956" s="10" t="s">
        <v>55</v>
      </c>
      <c r="K2956" s="8" t="s">
        <v>6939</v>
      </c>
    </row>
    <row r="2957" customFormat="false" ht="34.5" hidden="false" customHeight="true" outlineLevel="0" collapsed="false">
      <c r="A2957" s="10" t="s">
        <v>6944</v>
      </c>
      <c r="B2957" s="10" t="s">
        <v>45</v>
      </c>
      <c r="C2957" s="8" t="s">
        <v>6937</v>
      </c>
      <c r="D2957" s="8" t="s">
        <v>6945</v>
      </c>
      <c r="E2957" s="11" t="n">
        <v>135</v>
      </c>
      <c r="F2957" s="8" t="str">
        <f aca="false">IFERROR(INDEX(Section_Master!$D$2:$D$477,MATCH($E2957,Section_Master!$A$2:$A$477,0))&amp;"","")</f>
        <v>Imprisonment up to 1 year, or fine, or both</v>
      </c>
      <c r="G2957" s="10" t="str">
        <f aca="false">IFERROR(INDEX(Section_Master!$E$2:$E$477,MATCH($E2957,Section_Master!$A$2:$A$477,0))&amp;"","")</f>
        <v>No</v>
      </c>
      <c r="H2957" s="10" t="str">
        <f aca="false">IFERROR(INDEX(Section_Master!$F$2:$F$477,MATCH($E2957,Section_Master!$A$2:$A$477,0))&amp;"","")</f>
        <v>Yes</v>
      </c>
      <c r="I2957" s="10" t="str">
        <f aca="false">IFERROR(INDEX(Section_Master!$G$2:$G$477,MATCH($E2957,Section_Master!$A$2:$A$477,0))&amp;"","")</f>
        <v>Yes</v>
      </c>
      <c r="J2957" s="10" t="s">
        <v>58</v>
      </c>
      <c r="K2957" s="8" t="s">
        <v>6939</v>
      </c>
    </row>
    <row r="2958" customFormat="false" ht="34.5" hidden="false" customHeight="true" outlineLevel="0" collapsed="false">
      <c r="A2958" s="10" t="s">
        <v>6946</v>
      </c>
      <c r="B2958" s="10" t="s">
        <v>45</v>
      </c>
      <c r="C2958" s="8" t="s">
        <v>6937</v>
      </c>
      <c r="D2958" s="8" t="s">
        <v>6947</v>
      </c>
      <c r="E2958" s="11" t="n">
        <v>135</v>
      </c>
      <c r="F2958" s="8" t="str">
        <f aca="false">IFERROR(INDEX(Section_Master!$D$2:$D$477,MATCH($E2958,Section_Master!$A$2:$A$477,0))&amp;"","")</f>
        <v>Imprisonment up to 1 year, or fine, or both</v>
      </c>
      <c r="G2958" s="10" t="str">
        <f aca="false">IFERROR(INDEX(Section_Master!$E$2:$E$477,MATCH($E2958,Section_Master!$A$2:$A$477,0))&amp;"","")</f>
        <v>No</v>
      </c>
      <c r="H2958" s="10" t="str">
        <f aca="false">IFERROR(INDEX(Section_Master!$F$2:$F$477,MATCH($E2958,Section_Master!$A$2:$A$477,0))&amp;"","")</f>
        <v>Yes</v>
      </c>
      <c r="I2958" s="10" t="str">
        <f aca="false">IFERROR(INDEX(Section_Master!$G$2:$G$477,MATCH($E2958,Section_Master!$A$2:$A$477,0))&amp;"","")</f>
        <v>Yes</v>
      </c>
      <c r="J2958" s="10" t="s">
        <v>61</v>
      </c>
      <c r="K2958" s="8" t="s">
        <v>6939</v>
      </c>
    </row>
    <row r="2959" customFormat="false" ht="23.25" hidden="false" customHeight="true" outlineLevel="0" collapsed="false">
      <c r="A2959" s="10" t="s">
        <v>6948</v>
      </c>
      <c r="B2959" s="10" t="s">
        <v>45</v>
      </c>
      <c r="C2959" s="8" t="s">
        <v>6937</v>
      </c>
      <c r="D2959" s="8" t="s">
        <v>6949</v>
      </c>
      <c r="E2959" s="11" t="n">
        <v>135</v>
      </c>
      <c r="F2959" s="8" t="str">
        <f aca="false">IFERROR(INDEX(Section_Master!$D$2:$D$477,MATCH($E2959,Section_Master!$A$2:$A$477,0))&amp;"","")</f>
        <v>Imprisonment up to 1 year, or fine, or both</v>
      </c>
      <c r="G2959" s="10" t="str">
        <f aca="false">IFERROR(INDEX(Section_Master!$E$2:$E$477,MATCH($E2959,Section_Master!$A$2:$A$477,0))&amp;"","")</f>
        <v>No</v>
      </c>
      <c r="H2959" s="10" t="str">
        <f aca="false">IFERROR(INDEX(Section_Master!$F$2:$F$477,MATCH($E2959,Section_Master!$A$2:$A$477,0))&amp;"","")</f>
        <v>Yes</v>
      </c>
      <c r="I2959" s="10" t="str">
        <f aca="false">IFERROR(INDEX(Section_Master!$G$2:$G$477,MATCH($E2959,Section_Master!$A$2:$A$477,0))&amp;"","")</f>
        <v>Yes</v>
      </c>
      <c r="J2959" s="10" t="s">
        <v>64</v>
      </c>
      <c r="K2959" s="8" t="s">
        <v>6939</v>
      </c>
    </row>
    <row r="2960" customFormat="false" ht="34.5" hidden="false" customHeight="true" outlineLevel="0" collapsed="false">
      <c r="A2960" s="10" t="s">
        <v>6950</v>
      </c>
      <c r="B2960" s="10" t="s">
        <v>45</v>
      </c>
      <c r="C2960" s="8" t="s">
        <v>6951</v>
      </c>
      <c r="D2960" s="8" t="s">
        <v>6952</v>
      </c>
      <c r="E2960" s="11" t="n">
        <v>136</v>
      </c>
      <c r="F2960" s="8" t="str">
        <f aca="false">IFERROR(INDEX(Section_Master!$D$2:$D$477,MATCH($E2960,Section_Master!$A$2:$A$477,0))&amp;"","")</f>
        <v>Imprisonment up to 1 month, or fine, or both</v>
      </c>
      <c r="G2960" s="10" t="str">
        <f aca="false">IFERROR(INDEX(Section_Master!$E$2:$E$477,MATCH($E2960,Section_Master!$A$2:$A$477,0))&amp;"","")</f>
        <v>No</v>
      </c>
      <c r="H2960" s="10" t="str">
        <f aca="false">IFERROR(INDEX(Section_Master!$F$2:$F$477,MATCH($E2960,Section_Master!$A$2:$A$477,0))&amp;"","")</f>
        <v>Yes</v>
      </c>
      <c r="I2960" s="10" t="str">
        <f aca="false">IFERROR(INDEX(Section_Master!$G$2:$G$477,MATCH($E2960,Section_Master!$A$2:$A$477,0))&amp;"","")</f>
        <v>Yes</v>
      </c>
      <c r="J2960" s="10" t="s">
        <v>48</v>
      </c>
      <c r="K2960" s="8" t="s">
        <v>6953</v>
      </c>
    </row>
    <row r="2961" customFormat="false" ht="34.5" hidden="false" customHeight="true" outlineLevel="0" collapsed="false">
      <c r="A2961" s="10" t="s">
        <v>6954</v>
      </c>
      <c r="B2961" s="10" t="s">
        <v>45</v>
      </c>
      <c r="C2961" s="8" t="s">
        <v>6951</v>
      </c>
      <c r="D2961" s="8" t="s">
        <v>6955</v>
      </c>
      <c r="E2961" s="11" t="n">
        <v>136</v>
      </c>
      <c r="F2961" s="8" t="str">
        <f aca="false">IFERROR(INDEX(Section_Master!$D$2:$D$477,MATCH($E2961,Section_Master!$A$2:$A$477,0))&amp;"","")</f>
        <v>Imprisonment up to 1 month, or fine, or both</v>
      </c>
      <c r="G2961" s="10" t="str">
        <f aca="false">IFERROR(INDEX(Section_Master!$E$2:$E$477,MATCH($E2961,Section_Master!$A$2:$A$477,0))&amp;"","")</f>
        <v>No</v>
      </c>
      <c r="H2961" s="10" t="str">
        <f aca="false">IFERROR(INDEX(Section_Master!$F$2:$F$477,MATCH($E2961,Section_Master!$A$2:$A$477,0))&amp;"","")</f>
        <v>Yes</v>
      </c>
      <c r="I2961" s="10" t="str">
        <f aca="false">IFERROR(INDEX(Section_Master!$G$2:$G$477,MATCH($E2961,Section_Master!$A$2:$A$477,0))&amp;"","")</f>
        <v>Yes</v>
      </c>
      <c r="J2961" s="10" t="s">
        <v>52</v>
      </c>
      <c r="K2961" s="8" t="s">
        <v>6953</v>
      </c>
    </row>
    <row r="2962" customFormat="false" ht="34.5" hidden="false" customHeight="true" outlineLevel="0" collapsed="false">
      <c r="A2962" s="10" t="s">
        <v>6956</v>
      </c>
      <c r="B2962" s="10" t="s">
        <v>45</v>
      </c>
      <c r="C2962" s="8" t="s">
        <v>6951</v>
      </c>
      <c r="D2962" s="8" t="s">
        <v>6957</v>
      </c>
      <c r="E2962" s="11" t="n">
        <v>136</v>
      </c>
      <c r="F2962" s="8" t="str">
        <f aca="false">IFERROR(INDEX(Section_Master!$D$2:$D$477,MATCH($E2962,Section_Master!$A$2:$A$477,0))&amp;"","")</f>
        <v>Imprisonment up to 1 month, or fine, or both</v>
      </c>
      <c r="G2962" s="10" t="str">
        <f aca="false">IFERROR(INDEX(Section_Master!$E$2:$E$477,MATCH($E2962,Section_Master!$A$2:$A$477,0))&amp;"","")</f>
        <v>No</v>
      </c>
      <c r="H2962" s="10" t="str">
        <f aca="false">IFERROR(INDEX(Section_Master!$F$2:$F$477,MATCH($E2962,Section_Master!$A$2:$A$477,0))&amp;"","")</f>
        <v>Yes</v>
      </c>
      <c r="I2962" s="10" t="str">
        <f aca="false">IFERROR(INDEX(Section_Master!$G$2:$G$477,MATCH($E2962,Section_Master!$A$2:$A$477,0))&amp;"","")</f>
        <v>Yes</v>
      </c>
      <c r="J2962" s="10" t="s">
        <v>55</v>
      </c>
      <c r="K2962" s="8" t="s">
        <v>6953</v>
      </c>
    </row>
    <row r="2963" customFormat="false" ht="23.25" hidden="false" customHeight="true" outlineLevel="0" collapsed="false">
      <c r="A2963" s="10" t="s">
        <v>6958</v>
      </c>
      <c r="B2963" s="10" t="s">
        <v>45</v>
      </c>
      <c r="C2963" s="8" t="s">
        <v>6951</v>
      </c>
      <c r="D2963" s="8" t="s">
        <v>6959</v>
      </c>
      <c r="E2963" s="11" t="n">
        <v>136</v>
      </c>
      <c r="F2963" s="8" t="str">
        <f aca="false">IFERROR(INDEX(Section_Master!$D$2:$D$477,MATCH($E2963,Section_Master!$A$2:$A$477,0))&amp;"","")</f>
        <v>Imprisonment up to 1 month, or fine, or both</v>
      </c>
      <c r="G2963" s="10" t="str">
        <f aca="false">IFERROR(INDEX(Section_Master!$E$2:$E$477,MATCH($E2963,Section_Master!$A$2:$A$477,0))&amp;"","")</f>
        <v>No</v>
      </c>
      <c r="H2963" s="10" t="str">
        <f aca="false">IFERROR(INDEX(Section_Master!$F$2:$F$477,MATCH($E2963,Section_Master!$A$2:$A$477,0))&amp;"","")</f>
        <v>Yes</v>
      </c>
      <c r="I2963" s="10" t="str">
        <f aca="false">IFERROR(INDEX(Section_Master!$G$2:$G$477,MATCH($E2963,Section_Master!$A$2:$A$477,0))&amp;"","")</f>
        <v>Yes</v>
      </c>
      <c r="J2963" s="10" t="s">
        <v>58</v>
      </c>
      <c r="K2963" s="8" t="s">
        <v>6953</v>
      </c>
    </row>
    <row r="2964" customFormat="false" ht="23.25" hidden="false" customHeight="true" outlineLevel="0" collapsed="false">
      <c r="A2964" s="10" t="s">
        <v>6960</v>
      </c>
      <c r="B2964" s="10" t="s">
        <v>45</v>
      </c>
      <c r="C2964" s="8" t="s">
        <v>6951</v>
      </c>
      <c r="D2964" s="8" t="s">
        <v>6961</v>
      </c>
      <c r="E2964" s="11" t="n">
        <v>136</v>
      </c>
      <c r="F2964" s="8" t="str">
        <f aca="false">IFERROR(INDEX(Section_Master!$D$2:$D$477,MATCH($E2964,Section_Master!$A$2:$A$477,0))&amp;"","")</f>
        <v>Imprisonment up to 1 month, or fine, or both</v>
      </c>
      <c r="G2964" s="10" t="str">
        <f aca="false">IFERROR(INDEX(Section_Master!$E$2:$E$477,MATCH($E2964,Section_Master!$A$2:$A$477,0))&amp;"","")</f>
        <v>No</v>
      </c>
      <c r="H2964" s="10" t="str">
        <f aca="false">IFERROR(INDEX(Section_Master!$F$2:$F$477,MATCH($E2964,Section_Master!$A$2:$A$477,0))&amp;"","")</f>
        <v>Yes</v>
      </c>
      <c r="I2964" s="10" t="str">
        <f aca="false">IFERROR(INDEX(Section_Master!$G$2:$G$477,MATCH($E2964,Section_Master!$A$2:$A$477,0))&amp;"","")</f>
        <v>Yes</v>
      </c>
      <c r="J2964" s="10" t="s">
        <v>61</v>
      </c>
      <c r="K2964" s="8" t="s">
        <v>6953</v>
      </c>
    </row>
    <row r="2965" customFormat="false" ht="34.5" hidden="false" customHeight="true" outlineLevel="0" collapsed="false">
      <c r="A2965" s="10" t="s">
        <v>6962</v>
      </c>
      <c r="B2965" s="10" t="s">
        <v>45</v>
      </c>
      <c r="C2965" s="8" t="s">
        <v>6951</v>
      </c>
      <c r="D2965" s="8" t="s">
        <v>6963</v>
      </c>
      <c r="E2965" s="11" t="n">
        <v>136</v>
      </c>
      <c r="F2965" s="8" t="str">
        <f aca="false">IFERROR(INDEX(Section_Master!$D$2:$D$477,MATCH($E2965,Section_Master!$A$2:$A$477,0))&amp;"","")</f>
        <v>Imprisonment up to 1 month, or fine, or both</v>
      </c>
      <c r="G2965" s="10" t="str">
        <f aca="false">IFERROR(INDEX(Section_Master!$E$2:$E$477,MATCH($E2965,Section_Master!$A$2:$A$477,0))&amp;"","")</f>
        <v>No</v>
      </c>
      <c r="H2965" s="10" t="str">
        <f aca="false">IFERROR(INDEX(Section_Master!$F$2:$F$477,MATCH($E2965,Section_Master!$A$2:$A$477,0))&amp;"","")</f>
        <v>Yes</v>
      </c>
      <c r="I2965" s="10" t="str">
        <f aca="false">IFERROR(INDEX(Section_Master!$G$2:$G$477,MATCH($E2965,Section_Master!$A$2:$A$477,0))&amp;"","")</f>
        <v>Yes</v>
      </c>
      <c r="J2965" s="10" t="s">
        <v>64</v>
      </c>
      <c r="K2965" s="8" t="s">
        <v>6953</v>
      </c>
    </row>
    <row r="2966" customFormat="false" ht="34.5" hidden="false" customHeight="true" outlineLevel="0" collapsed="false">
      <c r="A2966" s="10" t="s">
        <v>6964</v>
      </c>
      <c r="B2966" s="10" t="s">
        <v>45</v>
      </c>
      <c r="C2966" s="8" t="s">
        <v>6965</v>
      </c>
      <c r="D2966" s="8" t="s">
        <v>6966</v>
      </c>
      <c r="E2966" s="11" t="n">
        <v>137</v>
      </c>
      <c r="F2966" s="8" t="str">
        <f aca="false">IFERROR(INDEX(Section_Master!$D$2:$D$477,MATCH($E2966,Section_Master!$A$2:$A$477,0))&amp;"","")</f>
        <v>Imprisonment up to 7 years and fine [s.137(2)]</v>
      </c>
      <c r="G2966" s="10" t="str">
        <f aca="false">IFERROR(INDEX(Section_Master!$E$2:$E$477,MATCH($E2966,Section_Master!$A$2:$A$477,0))&amp;"","")</f>
        <v>Yes</v>
      </c>
      <c r="H2966" s="10" t="str">
        <f aca="false">IFERROR(INDEX(Section_Master!$F$2:$F$477,MATCH($E2966,Section_Master!$A$2:$A$477,0))&amp;"","")</f>
        <v>No</v>
      </c>
      <c r="I2966" s="10" t="str">
        <f aca="false">IFERROR(INDEX(Section_Master!$G$2:$G$477,MATCH($E2966,Section_Master!$A$2:$A$477,0))&amp;"","")</f>
        <v>No</v>
      </c>
      <c r="J2966" s="10" t="s">
        <v>48</v>
      </c>
      <c r="K2966" s="8" t="s">
        <v>6967</v>
      </c>
    </row>
    <row r="2967" customFormat="false" ht="34.5" hidden="false" customHeight="true" outlineLevel="0" collapsed="false">
      <c r="A2967" s="10" t="s">
        <v>6968</v>
      </c>
      <c r="B2967" s="10" t="s">
        <v>45</v>
      </c>
      <c r="C2967" s="8" t="s">
        <v>6965</v>
      </c>
      <c r="D2967" s="8" t="s">
        <v>6969</v>
      </c>
      <c r="E2967" s="11" t="n">
        <v>137</v>
      </c>
      <c r="F2967" s="8" t="str">
        <f aca="false">IFERROR(INDEX(Section_Master!$D$2:$D$477,MATCH($E2967,Section_Master!$A$2:$A$477,0))&amp;"","")</f>
        <v>Imprisonment up to 7 years and fine [s.137(2)]</v>
      </c>
      <c r="G2967" s="10" t="str">
        <f aca="false">IFERROR(INDEX(Section_Master!$E$2:$E$477,MATCH($E2967,Section_Master!$A$2:$A$477,0))&amp;"","")</f>
        <v>Yes</v>
      </c>
      <c r="H2967" s="10" t="str">
        <f aca="false">IFERROR(INDEX(Section_Master!$F$2:$F$477,MATCH($E2967,Section_Master!$A$2:$A$477,0))&amp;"","")</f>
        <v>No</v>
      </c>
      <c r="I2967" s="10" t="str">
        <f aca="false">IFERROR(INDEX(Section_Master!$G$2:$G$477,MATCH($E2967,Section_Master!$A$2:$A$477,0))&amp;"","")</f>
        <v>No</v>
      </c>
      <c r="J2967" s="10" t="s">
        <v>52</v>
      </c>
      <c r="K2967" s="8" t="s">
        <v>6967</v>
      </c>
    </row>
    <row r="2968" customFormat="false" ht="34.5" hidden="false" customHeight="true" outlineLevel="0" collapsed="false">
      <c r="A2968" s="10" t="s">
        <v>6970</v>
      </c>
      <c r="B2968" s="10" t="s">
        <v>45</v>
      </c>
      <c r="C2968" s="8" t="s">
        <v>6965</v>
      </c>
      <c r="D2968" s="8" t="s">
        <v>6971</v>
      </c>
      <c r="E2968" s="11" t="n">
        <v>137</v>
      </c>
      <c r="F2968" s="8" t="str">
        <f aca="false">IFERROR(INDEX(Section_Master!$D$2:$D$477,MATCH($E2968,Section_Master!$A$2:$A$477,0))&amp;"","")</f>
        <v>Imprisonment up to 7 years and fine [s.137(2)]</v>
      </c>
      <c r="G2968" s="10" t="str">
        <f aca="false">IFERROR(INDEX(Section_Master!$E$2:$E$477,MATCH($E2968,Section_Master!$A$2:$A$477,0))&amp;"","")</f>
        <v>Yes</v>
      </c>
      <c r="H2968" s="10" t="str">
        <f aca="false">IFERROR(INDEX(Section_Master!$F$2:$F$477,MATCH($E2968,Section_Master!$A$2:$A$477,0))&amp;"","")</f>
        <v>No</v>
      </c>
      <c r="I2968" s="10" t="str">
        <f aca="false">IFERROR(INDEX(Section_Master!$G$2:$G$477,MATCH($E2968,Section_Master!$A$2:$A$477,0))&amp;"","")</f>
        <v>No</v>
      </c>
      <c r="J2968" s="10" t="s">
        <v>55</v>
      </c>
      <c r="K2968" s="8" t="s">
        <v>6967</v>
      </c>
    </row>
    <row r="2969" customFormat="false" ht="23.25" hidden="false" customHeight="true" outlineLevel="0" collapsed="false">
      <c r="A2969" s="10" t="s">
        <v>6972</v>
      </c>
      <c r="B2969" s="10" t="s">
        <v>45</v>
      </c>
      <c r="C2969" s="8" t="s">
        <v>6965</v>
      </c>
      <c r="D2969" s="8" t="s">
        <v>6973</v>
      </c>
      <c r="E2969" s="11" t="n">
        <v>137</v>
      </c>
      <c r="F2969" s="8" t="str">
        <f aca="false">IFERROR(INDEX(Section_Master!$D$2:$D$477,MATCH($E2969,Section_Master!$A$2:$A$477,0))&amp;"","")</f>
        <v>Imprisonment up to 7 years and fine [s.137(2)]</v>
      </c>
      <c r="G2969" s="10" t="str">
        <f aca="false">IFERROR(INDEX(Section_Master!$E$2:$E$477,MATCH($E2969,Section_Master!$A$2:$A$477,0))&amp;"","")</f>
        <v>Yes</v>
      </c>
      <c r="H2969" s="10" t="str">
        <f aca="false">IFERROR(INDEX(Section_Master!$F$2:$F$477,MATCH($E2969,Section_Master!$A$2:$A$477,0))&amp;"","")</f>
        <v>No</v>
      </c>
      <c r="I2969" s="10" t="str">
        <f aca="false">IFERROR(INDEX(Section_Master!$G$2:$G$477,MATCH($E2969,Section_Master!$A$2:$A$477,0))&amp;"","")</f>
        <v>No</v>
      </c>
      <c r="J2969" s="10" t="s">
        <v>58</v>
      </c>
      <c r="K2969" s="8" t="s">
        <v>6967</v>
      </c>
    </row>
    <row r="2970" customFormat="false" ht="23.25" hidden="false" customHeight="true" outlineLevel="0" collapsed="false">
      <c r="A2970" s="10" t="s">
        <v>6974</v>
      </c>
      <c r="B2970" s="10" t="s">
        <v>45</v>
      </c>
      <c r="C2970" s="8" t="s">
        <v>6965</v>
      </c>
      <c r="D2970" s="8" t="s">
        <v>6975</v>
      </c>
      <c r="E2970" s="11" t="n">
        <v>137</v>
      </c>
      <c r="F2970" s="8" t="str">
        <f aca="false">IFERROR(INDEX(Section_Master!$D$2:$D$477,MATCH($E2970,Section_Master!$A$2:$A$477,0))&amp;"","")</f>
        <v>Imprisonment up to 7 years and fine [s.137(2)]</v>
      </c>
      <c r="G2970" s="10" t="str">
        <f aca="false">IFERROR(INDEX(Section_Master!$E$2:$E$477,MATCH($E2970,Section_Master!$A$2:$A$477,0))&amp;"","")</f>
        <v>Yes</v>
      </c>
      <c r="H2970" s="10" t="str">
        <f aca="false">IFERROR(INDEX(Section_Master!$F$2:$F$477,MATCH($E2970,Section_Master!$A$2:$A$477,0))&amp;"","")</f>
        <v>No</v>
      </c>
      <c r="I2970" s="10" t="str">
        <f aca="false">IFERROR(INDEX(Section_Master!$G$2:$G$477,MATCH($E2970,Section_Master!$A$2:$A$477,0))&amp;"","")</f>
        <v>No</v>
      </c>
      <c r="J2970" s="10" t="s">
        <v>61</v>
      </c>
      <c r="K2970" s="8" t="s">
        <v>6967</v>
      </c>
    </row>
    <row r="2971" customFormat="false" ht="23.25" hidden="false" customHeight="true" outlineLevel="0" collapsed="false">
      <c r="A2971" s="10" t="s">
        <v>6976</v>
      </c>
      <c r="B2971" s="10" t="s">
        <v>45</v>
      </c>
      <c r="C2971" s="8" t="s">
        <v>6965</v>
      </c>
      <c r="D2971" s="8" t="s">
        <v>6977</v>
      </c>
      <c r="E2971" s="11" t="n">
        <v>137</v>
      </c>
      <c r="F2971" s="8" t="str">
        <f aca="false">IFERROR(INDEX(Section_Master!$D$2:$D$477,MATCH($E2971,Section_Master!$A$2:$A$477,0))&amp;"","")</f>
        <v>Imprisonment up to 7 years and fine [s.137(2)]</v>
      </c>
      <c r="G2971" s="10" t="str">
        <f aca="false">IFERROR(INDEX(Section_Master!$E$2:$E$477,MATCH($E2971,Section_Master!$A$2:$A$477,0))&amp;"","")</f>
        <v>Yes</v>
      </c>
      <c r="H2971" s="10" t="str">
        <f aca="false">IFERROR(INDEX(Section_Master!$F$2:$F$477,MATCH($E2971,Section_Master!$A$2:$A$477,0))&amp;"","")</f>
        <v>No</v>
      </c>
      <c r="I2971" s="10" t="str">
        <f aca="false">IFERROR(INDEX(Section_Master!$G$2:$G$477,MATCH($E2971,Section_Master!$A$2:$A$477,0))&amp;"","")</f>
        <v>No</v>
      </c>
      <c r="J2971" s="10" t="s">
        <v>64</v>
      </c>
      <c r="K2971" s="8" t="s">
        <v>6967</v>
      </c>
    </row>
    <row r="2972" customFormat="false" ht="34.5" hidden="false" customHeight="true" outlineLevel="0" collapsed="false">
      <c r="A2972" s="10" t="s">
        <v>6978</v>
      </c>
      <c r="B2972" s="10" t="s">
        <v>45</v>
      </c>
      <c r="C2972" s="8" t="s">
        <v>6979</v>
      </c>
      <c r="D2972" s="8" t="s">
        <v>6980</v>
      </c>
      <c r="E2972" s="11" t="n">
        <v>138</v>
      </c>
      <c r="F2972" s="8" t="str">
        <f aca="false">IFERROR(INDEX(Section_Master!$D$2:$D$477,MATCH($E2972,Section_Master!$A$2:$A$477,0))&amp;"","")</f>
        <v>Not applicable - no offence or penalty defined here (definition, exception or general provision)</v>
      </c>
      <c r="G2972" s="10" t="str">
        <f aca="false">IFERROR(INDEX(Section_Master!$E$2:$E$477,MATCH($E2972,Section_Master!$A$2:$A$477,0))&amp;"","")</f>
        <v>N/A</v>
      </c>
      <c r="H2972" s="10" t="str">
        <f aca="false">IFERROR(INDEX(Section_Master!$F$2:$F$477,MATCH($E2972,Section_Master!$A$2:$A$477,0))&amp;"","")</f>
        <v>N/A</v>
      </c>
      <c r="I2972" s="10" t="str">
        <f aca="false">IFERROR(INDEX(Section_Master!$G$2:$G$477,MATCH($E2972,Section_Master!$A$2:$A$477,0))&amp;"","")</f>
        <v>N/A</v>
      </c>
      <c r="J2972" s="10" t="s">
        <v>48</v>
      </c>
      <c r="K2972" s="8" t="s">
        <v>6981</v>
      </c>
    </row>
    <row r="2973" customFormat="false" ht="34.5" hidden="false" customHeight="true" outlineLevel="0" collapsed="false">
      <c r="A2973" s="10" t="s">
        <v>6982</v>
      </c>
      <c r="B2973" s="10" t="s">
        <v>45</v>
      </c>
      <c r="C2973" s="8" t="s">
        <v>6979</v>
      </c>
      <c r="D2973" s="8" t="s">
        <v>6983</v>
      </c>
      <c r="E2973" s="11" t="n">
        <v>138</v>
      </c>
      <c r="F2973" s="8" t="str">
        <f aca="false">IFERROR(INDEX(Section_Master!$D$2:$D$477,MATCH($E2973,Section_Master!$A$2:$A$477,0))&amp;"","")</f>
        <v>Not applicable - no offence or penalty defined here (definition, exception or general provision)</v>
      </c>
      <c r="G2973" s="10" t="str">
        <f aca="false">IFERROR(INDEX(Section_Master!$E$2:$E$477,MATCH($E2973,Section_Master!$A$2:$A$477,0))&amp;"","")</f>
        <v>N/A</v>
      </c>
      <c r="H2973" s="10" t="str">
        <f aca="false">IFERROR(INDEX(Section_Master!$F$2:$F$477,MATCH($E2973,Section_Master!$A$2:$A$477,0))&amp;"","")</f>
        <v>N/A</v>
      </c>
      <c r="I2973" s="10" t="str">
        <f aca="false">IFERROR(INDEX(Section_Master!$G$2:$G$477,MATCH($E2973,Section_Master!$A$2:$A$477,0))&amp;"","")</f>
        <v>N/A</v>
      </c>
      <c r="J2973" s="10" t="s">
        <v>52</v>
      </c>
      <c r="K2973" s="8" t="s">
        <v>6981</v>
      </c>
    </row>
    <row r="2974" customFormat="false" ht="34.5" hidden="false" customHeight="true" outlineLevel="0" collapsed="false">
      <c r="A2974" s="10" t="s">
        <v>6984</v>
      </c>
      <c r="B2974" s="10" t="s">
        <v>45</v>
      </c>
      <c r="C2974" s="8" t="s">
        <v>6979</v>
      </c>
      <c r="D2974" s="8" t="s">
        <v>6985</v>
      </c>
      <c r="E2974" s="11" t="n">
        <v>138</v>
      </c>
      <c r="F2974" s="8" t="str">
        <f aca="false">IFERROR(INDEX(Section_Master!$D$2:$D$477,MATCH($E2974,Section_Master!$A$2:$A$477,0))&amp;"","")</f>
        <v>Not applicable - no offence or penalty defined here (definition, exception or general provision)</v>
      </c>
      <c r="G2974" s="10" t="str">
        <f aca="false">IFERROR(INDEX(Section_Master!$E$2:$E$477,MATCH($E2974,Section_Master!$A$2:$A$477,0))&amp;"","")</f>
        <v>N/A</v>
      </c>
      <c r="H2974" s="10" t="str">
        <f aca="false">IFERROR(INDEX(Section_Master!$F$2:$F$477,MATCH($E2974,Section_Master!$A$2:$A$477,0))&amp;"","")</f>
        <v>N/A</v>
      </c>
      <c r="I2974" s="10" t="str">
        <f aca="false">IFERROR(INDEX(Section_Master!$G$2:$G$477,MATCH($E2974,Section_Master!$A$2:$A$477,0))&amp;"","")</f>
        <v>N/A</v>
      </c>
      <c r="J2974" s="10" t="s">
        <v>55</v>
      </c>
      <c r="K2974" s="8" t="s">
        <v>6981</v>
      </c>
    </row>
    <row r="2975" customFormat="false" ht="23.25" hidden="false" customHeight="true" outlineLevel="0" collapsed="false">
      <c r="A2975" s="10" t="s">
        <v>6986</v>
      </c>
      <c r="B2975" s="10" t="s">
        <v>45</v>
      </c>
      <c r="C2975" s="8" t="s">
        <v>6979</v>
      </c>
      <c r="D2975" s="8" t="s">
        <v>6987</v>
      </c>
      <c r="E2975" s="11" t="n">
        <v>138</v>
      </c>
      <c r="F2975" s="8" t="str">
        <f aca="false">IFERROR(INDEX(Section_Master!$D$2:$D$477,MATCH($E2975,Section_Master!$A$2:$A$477,0))&amp;"","")</f>
        <v>Not applicable - no offence or penalty defined here (definition, exception or general provision)</v>
      </c>
      <c r="G2975" s="10" t="str">
        <f aca="false">IFERROR(INDEX(Section_Master!$E$2:$E$477,MATCH($E2975,Section_Master!$A$2:$A$477,0))&amp;"","")</f>
        <v>N/A</v>
      </c>
      <c r="H2975" s="10" t="str">
        <f aca="false">IFERROR(INDEX(Section_Master!$F$2:$F$477,MATCH($E2975,Section_Master!$A$2:$A$477,0))&amp;"","")</f>
        <v>N/A</v>
      </c>
      <c r="I2975" s="10" t="str">
        <f aca="false">IFERROR(INDEX(Section_Master!$G$2:$G$477,MATCH($E2975,Section_Master!$A$2:$A$477,0))&amp;"","")</f>
        <v>N/A</v>
      </c>
      <c r="J2975" s="10" t="s">
        <v>58</v>
      </c>
      <c r="K2975" s="8" t="s">
        <v>6981</v>
      </c>
    </row>
    <row r="2976" customFormat="false" ht="23.25" hidden="false" customHeight="true" outlineLevel="0" collapsed="false">
      <c r="A2976" s="10" t="s">
        <v>6988</v>
      </c>
      <c r="B2976" s="10" t="s">
        <v>45</v>
      </c>
      <c r="C2976" s="8" t="s">
        <v>6979</v>
      </c>
      <c r="D2976" s="8" t="s">
        <v>6989</v>
      </c>
      <c r="E2976" s="11" t="n">
        <v>138</v>
      </c>
      <c r="F2976" s="8" t="str">
        <f aca="false">IFERROR(INDEX(Section_Master!$D$2:$D$477,MATCH($E2976,Section_Master!$A$2:$A$477,0))&amp;"","")</f>
        <v>Not applicable - no offence or penalty defined here (definition, exception or general provision)</v>
      </c>
      <c r="G2976" s="10" t="str">
        <f aca="false">IFERROR(INDEX(Section_Master!$E$2:$E$477,MATCH($E2976,Section_Master!$A$2:$A$477,0))&amp;"","")</f>
        <v>N/A</v>
      </c>
      <c r="H2976" s="10" t="str">
        <f aca="false">IFERROR(INDEX(Section_Master!$F$2:$F$477,MATCH($E2976,Section_Master!$A$2:$A$477,0))&amp;"","")</f>
        <v>N/A</v>
      </c>
      <c r="I2976" s="10" t="str">
        <f aca="false">IFERROR(INDEX(Section_Master!$G$2:$G$477,MATCH($E2976,Section_Master!$A$2:$A$477,0))&amp;"","")</f>
        <v>N/A</v>
      </c>
      <c r="J2976" s="10" t="s">
        <v>61</v>
      </c>
      <c r="K2976" s="8" t="s">
        <v>6981</v>
      </c>
    </row>
    <row r="2977" customFormat="false" ht="34.5" hidden="false" customHeight="true" outlineLevel="0" collapsed="false">
      <c r="A2977" s="10" t="s">
        <v>6990</v>
      </c>
      <c r="B2977" s="10" t="s">
        <v>45</v>
      </c>
      <c r="C2977" s="8" t="s">
        <v>6979</v>
      </c>
      <c r="D2977" s="8" t="s">
        <v>6991</v>
      </c>
      <c r="E2977" s="11" t="n">
        <v>138</v>
      </c>
      <c r="F2977" s="8" t="str">
        <f aca="false">IFERROR(INDEX(Section_Master!$D$2:$D$477,MATCH($E2977,Section_Master!$A$2:$A$477,0))&amp;"","")</f>
        <v>Not applicable - no offence or penalty defined here (definition, exception or general provision)</v>
      </c>
      <c r="G2977" s="10" t="str">
        <f aca="false">IFERROR(INDEX(Section_Master!$E$2:$E$477,MATCH($E2977,Section_Master!$A$2:$A$477,0))&amp;"","")</f>
        <v>N/A</v>
      </c>
      <c r="H2977" s="10" t="str">
        <f aca="false">IFERROR(INDEX(Section_Master!$F$2:$F$477,MATCH($E2977,Section_Master!$A$2:$A$477,0))&amp;"","")</f>
        <v>N/A</v>
      </c>
      <c r="I2977" s="10" t="str">
        <f aca="false">IFERROR(INDEX(Section_Master!$G$2:$G$477,MATCH($E2977,Section_Master!$A$2:$A$477,0))&amp;"","")</f>
        <v>N/A</v>
      </c>
      <c r="J2977" s="10" t="s">
        <v>64</v>
      </c>
      <c r="K2977" s="8" t="s">
        <v>6981</v>
      </c>
    </row>
    <row r="2978" customFormat="false" ht="34.5" hidden="false" customHeight="true" outlineLevel="0" collapsed="false">
      <c r="A2978" s="10" t="s">
        <v>6992</v>
      </c>
      <c r="B2978" s="10" t="s">
        <v>45</v>
      </c>
      <c r="C2978" s="8" t="s">
        <v>6993</v>
      </c>
      <c r="D2978" s="8" t="s">
        <v>6994</v>
      </c>
      <c r="E2978" s="11" t="n">
        <v>139</v>
      </c>
      <c r="F2978" s="8" t="str">
        <f aca="false">IFERROR(INDEX(Section_Master!$D$2:$D$477,MATCH($E2978,Section_Master!$A$2:$A$477,0))&amp;"","")</f>
        <v>Rigorous imprisonment 10 years to life and fine (kidnapping); not less than 20 years to life (maiming) [s.139]</v>
      </c>
      <c r="G2978" s="10" t="str">
        <f aca="false">IFERROR(INDEX(Section_Master!$E$2:$E$477,MATCH($E2978,Section_Master!$A$2:$A$477,0))&amp;"","")</f>
        <v>Yes</v>
      </c>
      <c r="H2978" s="10" t="str">
        <f aca="false">IFERROR(INDEX(Section_Master!$F$2:$F$477,MATCH($E2978,Section_Master!$A$2:$A$477,0))&amp;"","")</f>
        <v>No</v>
      </c>
      <c r="I2978" s="10" t="str">
        <f aca="false">IFERROR(INDEX(Section_Master!$G$2:$G$477,MATCH($E2978,Section_Master!$A$2:$A$477,0))&amp;"","")</f>
        <v>No</v>
      </c>
      <c r="J2978" s="10" t="s">
        <v>48</v>
      </c>
      <c r="K2978" s="8" t="s">
        <v>6995</v>
      </c>
    </row>
    <row r="2979" customFormat="false" ht="23.25" hidden="false" customHeight="true" outlineLevel="0" collapsed="false">
      <c r="A2979" s="10" t="s">
        <v>6996</v>
      </c>
      <c r="B2979" s="10" t="s">
        <v>45</v>
      </c>
      <c r="C2979" s="8" t="s">
        <v>6993</v>
      </c>
      <c r="D2979" s="8" t="s">
        <v>6997</v>
      </c>
      <c r="E2979" s="11" t="n">
        <v>139</v>
      </c>
      <c r="F2979" s="8" t="str">
        <f aca="false">IFERROR(INDEX(Section_Master!$D$2:$D$477,MATCH($E2979,Section_Master!$A$2:$A$477,0))&amp;"","")</f>
        <v>Rigorous imprisonment 10 years to life and fine (kidnapping); not less than 20 years to life (maiming) [s.139]</v>
      </c>
      <c r="G2979" s="10" t="str">
        <f aca="false">IFERROR(INDEX(Section_Master!$E$2:$E$477,MATCH($E2979,Section_Master!$A$2:$A$477,0))&amp;"","")</f>
        <v>Yes</v>
      </c>
      <c r="H2979" s="10" t="str">
        <f aca="false">IFERROR(INDEX(Section_Master!$F$2:$F$477,MATCH($E2979,Section_Master!$A$2:$A$477,0))&amp;"","")</f>
        <v>No</v>
      </c>
      <c r="I2979" s="10" t="str">
        <f aca="false">IFERROR(INDEX(Section_Master!$G$2:$G$477,MATCH($E2979,Section_Master!$A$2:$A$477,0))&amp;"","")</f>
        <v>No</v>
      </c>
      <c r="J2979" s="10" t="s">
        <v>52</v>
      </c>
      <c r="K2979" s="8" t="s">
        <v>6995</v>
      </c>
    </row>
    <row r="2980" customFormat="false" ht="23.25" hidden="false" customHeight="true" outlineLevel="0" collapsed="false">
      <c r="A2980" s="10" t="s">
        <v>6998</v>
      </c>
      <c r="B2980" s="10" t="s">
        <v>45</v>
      </c>
      <c r="C2980" s="8" t="s">
        <v>6993</v>
      </c>
      <c r="D2980" s="8" t="s">
        <v>6999</v>
      </c>
      <c r="E2980" s="11" t="n">
        <v>139</v>
      </c>
      <c r="F2980" s="8" t="str">
        <f aca="false">IFERROR(INDEX(Section_Master!$D$2:$D$477,MATCH($E2980,Section_Master!$A$2:$A$477,0))&amp;"","")</f>
        <v>Rigorous imprisonment 10 years to life and fine (kidnapping); not less than 20 years to life (maiming) [s.139]</v>
      </c>
      <c r="G2980" s="10" t="str">
        <f aca="false">IFERROR(INDEX(Section_Master!$E$2:$E$477,MATCH($E2980,Section_Master!$A$2:$A$477,0))&amp;"","")</f>
        <v>Yes</v>
      </c>
      <c r="H2980" s="10" t="str">
        <f aca="false">IFERROR(INDEX(Section_Master!$F$2:$F$477,MATCH($E2980,Section_Master!$A$2:$A$477,0))&amp;"","")</f>
        <v>No</v>
      </c>
      <c r="I2980" s="10" t="str">
        <f aca="false">IFERROR(INDEX(Section_Master!$G$2:$G$477,MATCH($E2980,Section_Master!$A$2:$A$477,0))&amp;"","")</f>
        <v>No</v>
      </c>
      <c r="J2980" s="10" t="s">
        <v>55</v>
      </c>
      <c r="K2980" s="8" t="s">
        <v>6995</v>
      </c>
    </row>
    <row r="2981" customFormat="false" ht="23.25" hidden="false" customHeight="true" outlineLevel="0" collapsed="false">
      <c r="A2981" s="10" t="s">
        <v>7000</v>
      </c>
      <c r="B2981" s="10" t="s">
        <v>45</v>
      </c>
      <c r="C2981" s="8" t="s">
        <v>6993</v>
      </c>
      <c r="D2981" s="8" t="s">
        <v>7001</v>
      </c>
      <c r="E2981" s="11" t="n">
        <v>139</v>
      </c>
      <c r="F2981" s="8" t="str">
        <f aca="false">IFERROR(INDEX(Section_Master!$D$2:$D$477,MATCH($E2981,Section_Master!$A$2:$A$477,0))&amp;"","")</f>
        <v>Rigorous imprisonment 10 years to life and fine (kidnapping); not less than 20 years to life (maiming) [s.139]</v>
      </c>
      <c r="G2981" s="10" t="str">
        <f aca="false">IFERROR(INDEX(Section_Master!$E$2:$E$477,MATCH($E2981,Section_Master!$A$2:$A$477,0))&amp;"","")</f>
        <v>Yes</v>
      </c>
      <c r="H2981" s="10" t="str">
        <f aca="false">IFERROR(INDEX(Section_Master!$F$2:$F$477,MATCH($E2981,Section_Master!$A$2:$A$477,0))&amp;"","")</f>
        <v>No</v>
      </c>
      <c r="I2981" s="10" t="str">
        <f aca="false">IFERROR(INDEX(Section_Master!$G$2:$G$477,MATCH($E2981,Section_Master!$A$2:$A$477,0))&amp;"","")</f>
        <v>No</v>
      </c>
      <c r="J2981" s="10" t="s">
        <v>58</v>
      </c>
      <c r="K2981" s="8" t="s">
        <v>6995</v>
      </c>
    </row>
    <row r="2982" customFormat="false" ht="23.25" hidden="false" customHeight="true" outlineLevel="0" collapsed="false">
      <c r="A2982" s="10" t="s">
        <v>7002</v>
      </c>
      <c r="B2982" s="10" t="s">
        <v>45</v>
      </c>
      <c r="C2982" s="8" t="s">
        <v>6993</v>
      </c>
      <c r="D2982" s="8" t="s">
        <v>7003</v>
      </c>
      <c r="E2982" s="11" t="n">
        <v>139</v>
      </c>
      <c r="F2982" s="8" t="str">
        <f aca="false">IFERROR(INDEX(Section_Master!$D$2:$D$477,MATCH($E2982,Section_Master!$A$2:$A$477,0))&amp;"","")</f>
        <v>Rigorous imprisonment 10 years to life and fine (kidnapping); not less than 20 years to life (maiming) [s.139]</v>
      </c>
      <c r="G2982" s="10" t="str">
        <f aca="false">IFERROR(INDEX(Section_Master!$E$2:$E$477,MATCH($E2982,Section_Master!$A$2:$A$477,0))&amp;"","")</f>
        <v>Yes</v>
      </c>
      <c r="H2982" s="10" t="str">
        <f aca="false">IFERROR(INDEX(Section_Master!$F$2:$F$477,MATCH($E2982,Section_Master!$A$2:$A$477,0))&amp;"","")</f>
        <v>No</v>
      </c>
      <c r="I2982" s="10" t="str">
        <f aca="false">IFERROR(INDEX(Section_Master!$G$2:$G$477,MATCH($E2982,Section_Master!$A$2:$A$477,0))&amp;"","")</f>
        <v>No</v>
      </c>
      <c r="J2982" s="10" t="s">
        <v>61</v>
      </c>
      <c r="K2982" s="8" t="s">
        <v>6995</v>
      </c>
    </row>
    <row r="2983" customFormat="false" ht="34.5" hidden="false" customHeight="true" outlineLevel="0" collapsed="false">
      <c r="A2983" s="10" t="s">
        <v>7004</v>
      </c>
      <c r="B2983" s="10" t="s">
        <v>45</v>
      </c>
      <c r="C2983" s="8" t="s">
        <v>6993</v>
      </c>
      <c r="D2983" s="8" t="s">
        <v>7005</v>
      </c>
      <c r="E2983" s="11" t="n">
        <v>139</v>
      </c>
      <c r="F2983" s="8" t="str">
        <f aca="false">IFERROR(INDEX(Section_Master!$D$2:$D$477,MATCH($E2983,Section_Master!$A$2:$A$477,0))&amp;"","")</f>
        <v>Rigorous imprisonment 10 years to life and fine (kidnapping); not less than 20 years to life (maiming) [s.139]</v>
      </c>
      <c r="G2983" s="10" t="str">
        <f aca="false">IFERROR(INDEX(Section_Master!$E$2:$E$477,MATCH($E2983,Section_Master!$A$2:$A$477,0))&amp;"","")</f>
        <v>Yes</v>
      </c>
      <c r="H2983" s="10" t="str">
        <f aca="false">IFERROR(INDEX(Section_Master!$F$2:$F$477,MATCH($E2983,Section_Master!$A$2:$A$477,0))&amp;"","")</f>
        <v>No</v>
      </c>
      <c r="I2983" s="10" t="str">
        <f aca="false">IFERROR(INDEX(Section_Master!$G$2:$G$477,MATCH($E2983,Section_Master!$A$2:$A$477,0))&amp;"","")</f>
        <v>No</v>
      </c>
      <c r="J2983" s="10" t="s">
        <v>64</v>
      </c>
      <c r="K2983" s="8" t="s">
        <v>6995</v>
      </c>
    </row>
    <row r="2984" customFormat="false" ht="34.5" hidden="false" customHeight="true" outlineLevel="0" collapsed="false">
      <c r="A2984" s="10" t="s">
        <v>7006</v>
      </c>
      <c r="B2984" s="10" t="s">
        <v>45</v>
      </c>
      <c r="C2984" s="8" t="s">
        <v>7007</v>
      </c>
      <c r="D2984" s="8" t="s">
        <v>7008</v>
      </c>
      <c r="E2984" s="11" t="n">
        <v>140</v>
      </c>
      <c r="F2984" s="8" t="str">
        <f aca="false">IFERROR(INDEX(Section_Master!$D$2:$D$477,MATCH($E2984,Section_Master!$A$2:$A$477,0))&amp;"","")</f>
        <v>Imprisonment for life or up to 10 years and fine [s.140(1)]; death or life imprisonment and fine for ransom [s.140(2)]</v>
      </c>
      <c r="G2984" s="10" t="str">
        <f aca="false">IFERROR(INDEX(Section_Master!$E$2:$E$477,MATCH($E2984,Section_Master!$A$2:$A$477,0))&amp;"","")</f>
        <v>Yes</v>
      </c>
      <c r="H2984" s="10" t="str">
        <f aca="false">IFERROR(INDEX(Section_Master!$F$2:$F$477,MATCH($E2984,Section_Master!$A$2:$A$477,0))&amp;"","")</f>
        <v>No</v>
      </c>
      <c r="I2984" s="10" t="str">
        <f aca="false">IFERROR(INDEX(Section_Master!$G$2:$G$477,MATCH($E2984,Section_Master!$A$2:$A$477,0))&amp;"","")</f>
        <v>No</v>
      </c>
      <c r="J2984" s="10" t="s">
        <v>48</v>
      </c>
      <c r="K2984" s="8" t="s">
        <v>7009</v>
      </c>
    </row>
    <row r="2985" customFormat="false" ht="34.5" hidden="false" customHeight="true" outlineLevel="0" collapsed="false">
      <c r="A2985" s="10" t="s">
        <v>7010</v>
      </c>
      <c r="B2985" s="10" t="s">
        <v>45</v>
      </c>
      <c r="C2985" s="8" t="s">
        <v>7007</v>
      </c>
      <c r="D2985" s="8" t="s">
        <v>7011</v>
      </c>
      <c r="E2985" s="11" t="n">
        <v>140</v>
      </c>
      <c r="F2985" s="8" t="str">
        <f aca="false">IFERROR(INDEX(Section_Master!$D$2:$D$477,MATCH($E2985,Section_Master!$A$2:$A$477,0))&amp;"","")</f>
        <v>Imprisonment for life or up to 10 years and fine [s.140(1)]; death or life imprisonment and fine for ransom [s.140(2)]</v>
      </c>
      <c r="G2985" s="10" t="str">
        <f aca="false">IFERROR(INDEX(Section_Master!$E$2:$E$477,MATCH($E2985,Section_Master!$A$2:$A$477,0))&amp;"","")</f>
        <v>Yes</v>
      </c>
      <c r="H2985" s="10" t="str">
        <f aca="false">IFERROR(INDEX(Section_Master!$F$2:$F$477,MATCH($E2985,Section_Master!$A$2:$A$477,0))&amp;"","")</f>
        <v>No</v>
      </c>
      <c r="I2985" s="10" t="str">
        <f aca="false">IFERROR(INDEX(Section_Master!$G$2:$G$477,MATCH($E2985,Section_Master!$A$2:$A$477,0))&amp;"","")</f>
        <v>No</v>
      </c>
      <c r="J2985" s="10" t="s">
        <v>52</v>
      </c>
      <c r="K2985" s="8" t="s">
        <v>7009</v>
      </c>
    </row>
    <row r="2986" customFormat="false" ht="34.5" hidden="false" customHeight="true" outlineLevel="0" collapsed="false">
      <c r="A2986" s="10" t="s">
        <v>7012</v>
      </c>
      <c r="B2986" s="10" t="s">
        <v>45</v>
      </c>
      <c r="C2986" s="8" t="s">
        <v>7007</v>
      </c>
      <c r="D2986" s="8" t="s">
        <v>7013</v>
      </c>
      <c r="E2986" s="11" t="n">
        <v>140</v>
      </c>
      <c r="F2986" s="8" t="str">
        <f aca="false">IFERROR(INDEX(Section_Master!$D$2:$D$477,MATCH($E2986,Section_Master!$A$2:$A$477,0))&amp;"","")</f>
        <v>Imprisonment for life or up to 10 years and fine [s.140(1)]; death or life imprisonment and fine for ransom [s.140(2)]</v>
      </c>
      <c r="G2986" s="10" t="str">
        <f aca="false">IFERROR(INDEX(Section_Master!$E$2:$E$477,MATCH($E2986,Section_Master!$A$2:$A$477,0))&amp;"","")</f>
        <v>Yes</v>
      </c>
      <c r="H2986" s="10" t="str">
        <f aca="false">IFERROR(INDEX(Section_Master!$F$2:$F$477,MATCH($E2986,Section_Master!$A$2:$A$477,0))&amp;"","")</f>
        <v>No</v>
      </c>
      <c r="I2986" s="10" t="str">
        <f aca="false">IFERROR(INDEX(Section_Master!$G$2:$G$477,MATCH($E2986,Section_Master!$A$2:$A$477,0))&amp;"","")</f>
        <v>No</v>
      </c>
      <c r="J2986" s="10" t="s">
        <v>55</v>
      </c>
      <c r="K2986" s="8" t="s">
        <v>7009</v>
      </c>
    </row>
    <row r="2987" customFormat="false" ht="23.25" hidden="false" customHeight="true" outlineLevel="0" collapsed="false">
      <c r="A2987" s="10" t="s">
        <v>7014</v>
      </c>
      <c r="B2987" s="10" t="s">
        <v>45</v>
      </c>
      <c r="C2987" s="8" t="s">
        <v>7007</v>
      </c>
      <c r="D2987" s="8" t="s">
        <v>7015</v>
      </c>
      <c r="E2987" s="11" t="n">
        <v>140</v>
      </c>
      <c r="F2987" s="8" t="str">
        <f aca="false">IFERROR(INDEX(Section_Master!$D$2:$D$477,MATCH($E2987,Section_Master!$A$2:$A$477,0))&amp;"","")</f>
        <v>Imprisonment for life or up to 10 years and fine [s.140(1)]; death or life imprisonment and fine for ransom [s.140(2)]</v>
      </c>
      <c r="G2987" s="10" t="str">
        <f aca="false">IFERROR(INDEX(Section_Master!$E$2:$E$477,MATCH($E2987,Section_Master!$A$2:$A$477,0))&amp;"","")</f>
        <v>Yes</v>
      </c>
      <c r="H2987" s="10" t="str">
        <f aca="false">IFERROR(INDEX(Section_Master!$F$2:$F$477,MATCH($E2987,Section_Master!$A$2:$A$477,0))&amp;"","")</f>
        <v>No</v>
      </c>
      <c r="I2987" s="10" t="str">
        <f aca="false">IFERROR(INDEX(Section_Master!$G$2:$G$477,MATCH($E2987,Section_Master!$A$2:$A$477,0))&amp;"","")</f>
        <v>No</v>
      </c>
      <c r="J2987" s="10" t="s">
        <v>58</v>
      </c>
      <c r="K2987" s="8" t="s">
        <v>7009</v>
      </c>
    </row>
    <row r="2988" customFormat="false" ht="34.5" hidden="false" customHeight="true" outlineLevel="0" collapsed="false">
      <c r="A2988" s="10" t="s">
        <v>7016</v>
      </c>
      <c r="B2988" s="10" t="s">
        <v>45</v>
      </c>
      <c r="C2988" s="8" t="s">
        <v>7007</v>
      </c>
      <c r="D2988" s="8" t="s">
        <v>7017</v>
      </c>
      <c r="E2988" s="11" t="n">
        <v>140</v>
      </c>
      <c r="F2988" s="8" t="str">
        <f aca="false">IFERROR(INDEX(Section_Master!$D$2:$D$477,MATCH($E2988,Section_Master!$A$2:$A$477,0))&amp;"","")</f>
        <v>Imprisonment for life or up to 10 years and fine [s.140(1)]; death or life imprisonment and fine for ransom [s.140(2)]</v>
      </c>
      <c r="G2988" s="10" t="str">
        <f aca="false">IFERROR(INDEX(Section_Master!$E$2:$E$477,MATCH($E2988,Section_Master!$A$2:$A$477,0))&amp;"","")</f>
        <v>Yes</v>
      </c>
      <c r="H2988" s="10" t="str">
        <f aca="false">IFERROR(INDEX(Section_Master!$F$2:$F$477,MATCH($E2988,Section_Master!$A$2:$A$477,0))&amp;"","")</f>
        <v>No</v>
      </c>
      <c r="I2988" s="10" t="str">
        <f aca="false">IFERROR(INDEX(Section_Master!$G$2:$G$477,MATCH($E2988,Section_Master!$A$2:$A$477,0))&amp;"","")</f>
        <v>No</v>
      </c>
      <c r="J2988" s="10" t="s">
        <v>61</v>
      </c>
      <c r="K2988" s="8" t="s">
        <v>7009</v>
      </c>
    </row>
    <row r="2989" customFormat="false" ht="34.5" hidden="false" customHeight="true" outlineLevel="0" collapsed="false">
      <c r="A2989" s="10" t="s">
        <v>7018</v>
      </c>
      <c r="B2989" s="10" t="s">
        <v>45</v>
      </c>
      <c r="C2989" s="8" t="s">
        <v>7007</v>
      </c>
      <c r="D2989" s="8" t="s">
        <v>7019</v>
      </c>
      <c r="E2989" s="11" t="n">
        <v>140</v>
      </c>
      <c r="F2989" s="8" t="str">
        <f aca="false">IFERROR(INDEX(Section_Master!$D$2:$D$477,MATCH($E2989,Section_Master!$A$2:$A$477,0))&amp;"","")</f>
        <v>Imprisonment for life or up to 10 years and fine [s.140(1)]; death or life imprisonment and fine for ransom [s.140(2)]</v>
      </c>
      <c r="G2989" s="10" t="str">
        <f aca="false">IFERROR(INDEX(Section_Master!$E$2:$E$477,MATCH($E2989,Section_Master!$A$2:$A$477,0))&amp;"","")</f>
        <v>Yes</v>
      </c>
      <c r="H2989" s="10" t="str">
        <f aca="false">IFERROR(INDEX(Section_Master!$F$2:$F$477,MATCH($E2989,Section_Master!$A$2:$A$477,0))&amp;"","")</f>
        <v>No</v>
      </c>
      <c r="I2989" s="10" t="str">
        <f aca="false">IFERROR(INDEX(Section_Master!$G$2:$G$477,MATCH($E2989,Section_Master!$A$2:$A$477,0))&amp;"","")</f>
        <v>No</v>
      </c>
      <c r="J2989" s="10" t="s">
        <v>64</v>
      </c>
      <c r="K2989" s="8" t="s">
        <v>7009</v>
      </c>
    </row>
    <row r="2990" customFormat="false" ht="34.5" hidden="false" customHeight="true" outlineLevel="0" collapsed="false">
      <c r="A2990" s="10" t="s">
        <v>7020</v>
      </c>
      <c r="B2990" s="10" t="s">
        <v>45</v>
      </c>
      <c r="C2990" s="8" t="s">
        <v>7021</v>
      </c>
      <c r="D2990" s="8" t="s">
        <v>7022</v>
      </c>
      <c r="E2990" s="11" t="n">
        <v>141</v>
      </c>
      <c r="F2990" s="8" t="str">
        <f aca="false">IFERROR(INDEX(Section_Master!$D$2:$D$477,MATCH($E2990,Section_Master!$A$2:$A$477,0))&amp;"","")</f>
        <v>Imprisonment up to 10 years and fine</v>
      </c>
      <c r="G2990" s="10" t="str">
        <f aca="false">IFERROR(INDEX(Section_Master!$E$2:$E$477,MATCH($E2990,Section_Master!$A$2:$A$477,0))&amp;"","")</f>
        <v>Yes</v>
      </c>
      <c r="H2990" s="10" t="str">
        <f aca="false">IFERROR(INDEX(Section_Master!$F$2:$F$477,MATCH($E2990,Section_Master!$A$2:$A$477,0))&amp;"","")</f>
        <v>No</v>
      </c>
      <c r="I2990" s="10" t="str">
        <f aca="false">IFERROR(INDEX(Section_Master!$G$2:$G$477,MATCH($E2990,Section_Master!$A$2:$A$477,0))&amp;"","")</f>
        <v>No</v>
      </c>
      <c r="J2990" s="10" t="s">
        <v>48</v>
      </c>
      <c r="K2990" s="8" t="s">
        <v>7023</v>
      </c>
    </row>
    <row r="2991" customFormat="false" ht="34.5" hidden="false" customHeight="true" outlineLevel="0" collapsed="false">
      <c r="A2991" s="10" t="s">
        <v>7024</v>
      </c>
      <c r="B2991" s="10" t="s">
        <v>45</v>
      </c>
      <c r="C2991" s="8" t="s">
        <v>7021</v>
      </c>
      <c r="D2991" s="8" t="s">
        <v>7025</v>
      </c>
      <c r="E2991" s="11" t="n">
        <v>141</v>
      </c>
      <c r="F2991" s="8" t="str">
        <f aca="false">IFERROR(INDEX(Section_Master!$D$2:$D$477,MATCH($E2991,Section_Master!$A$2:$A$477,0))&amp;"","")</f>
        <v>Imprisonment up to 10 years and fine</v>
      </c>
      <c r="G2991" s="10" t="str">
        <f aca="false">IFERROR(INDEX(Section_Master!$E$2:$E$477,MATCH($E2991,Section_Master!$A$2:$A$477,0))&amp;"","")</f>
        <v>Yes</v>
      </c>
      <c r="H2991" s="10" t="str">
        <f aca="false">IFERROR(INDEX(Section_Master!$F$2:$F$477,MATCH($E2991,Section_Master!$A$2:$A$477,0))&amp;"","")</f>
        <v>No</v>
      </c>
      <c r="I2991" s="10" t="str">
        <f aca="false">IFERROR(INDEX(Section_Master!$G$2:$G$477,MATCH($E2991,Section_Master!$A$2:$A$477,0))&amp;"","")</f>
        <v>No</v>
      </c>
      <c r="J2991" s="10" t="s">
        <v>52</v>
      </c>
      <c r="K2991" s="8" t="s">
        <v>7023</v>
      </c>
    </row>
    <row r="2992" customFormat="false" ht="34.5" hidden="false" customHeight="true" outlineLevel="0" collapsed="false">
      <c r="A2992" s="10" t="s">
        <v>7026</v>
      </c>
      <c r="B2992" s="10" t="s">
        <v>45</v>
      </c>
      <c r="C2992" s="8" t="s">
        <v>7021</v>
      </c>
      <c r="D2992" s="8" t="s">
        <v>7027</v>
      </c>
      <c r="E2992" s="11" t="n">
        <v>141</v>
      </c>
      <c r="F2992" s="8" t="str">
        <f aca="false">IFERROR(INDEX(Section_Master!$D$2:$D$477,MATCH($E2992,Section_Master!$A$2:$A$477,0))&amp;"","")</f>
        <v>Imprisonment up to 10 years and fine</v>
      </c>
      <c r="G2992" s="10" t="str">
        <f aca="false">IFERROR(INDEX(Section_Master!$E$2:$E$477,MATCH($E2992,Section_Master!$A$2:$A$477,0))&amp;"","")</f>
        <v>Yes</v>
      </c>
      <c r="H2992" s="10" t="str">
        <f aca="false">IFERROR(INDEX(Section_Master!$F$2:$F$477,MATCH($E2992,Section_Master!$A$2:$A$477,0))&amp;"","")</f>
        <v>No</v>
      </c>
      <c r="I2992" s="10" t="str">
        <f aca="false">IFERROR(INDEX(Section_Master!$G$2:$G$477,MATCH($E2992,Section_Master!$A$2:$A$477,0))&amp;"","")</f>
        <v>No</v>
      </c>
      <c r="J2992" s="10" t="s">
        <v>55</v>
      </c>
      <c r="K2992" s="8" t="s">
        <v>7023</v>
      </c>
    </row>
    <row r="2993" customFormat="false" ht="23.25" hidden="false" customHeight="true" outlineLevel="0" collapsed="false">
      <c r="A2993" s="10" t="s">
        <v>7028</v>
      </c>
      <c r="B2993" s="10" t="s">
        <v>45</v>
      </c>
      <c r="C2993" s="8" t="s">
        <v>7021</v>
      </c>
      <c r="D2993" s="8" t="s">
        <v>7029</v>
      </c>
      <c r="E2993" s="11" t="n">
        <v>141</v>
      </c>
      <c r="F2993" s="8" t="str">
        <f aca="false">IFERROR(INDEX(Section_Master!$D$2:$D$477,MATCH($E2993,Section_Master!$A$2:$A$477,0))&amp;"","")</f>
        <v>Imprisonment up to 10 years and fine</v>
      </c>
      <c r="G2993" s="10" t="str">
        <f aca="false">IFERROR(INDEX(Section_Master!$E$2:$E$477,MATCH($E2993,Section_Master!$A$2:$A$477,0))&amp;"","")</f>
        <v>Yes</v>
      </c>
      <c r="H2993" s="10" t="str">
        <f aca="false">IFERROR(INDEX(Section_Master!$F$2:$F$477,MATCH($E2993,Section_Master!$A$2:$A$477,0))&amp;"","")</f>
        <v>No</v>
      </c>
      <c r="I2993" s="10" t="str">
        <f aca="false">IFERROR(INDEX(Section_Master!$G$2:$G$477,MATCH($E2993,Section_Master!$A$2:$A$477,0))&amp;"","")</f>
        <v>No</v>
      </c>
      <c r="J2993" s="10" t="s">
        <v>58</v>
      </c>
      <c r="K2993" s="8" t="s">
        <v>7023</v>
      </c>
    </row>
    <row r="2994" customFormat="false" ht="34.5" hidden="false" customHeight="true" outlineLevel="0" collapsed="false">
      <c r="A2994" s="10" t="s">
        <v>7030</v>
      </c>
      <c r="B2994" s="10" t="s">
        <v>45</v>
      </c>
      <c r="C2994" s="8" t="s">
        <v>7021</v>
      </c>
      <c r="D2994" s="8" t="s">
        <v>7031</v>
      </c>
      <c r="E2994" s="11" t="n">
        <v>141</v>
      </c>
      <c r="F2994" s="8" t="str">
        <f aca="false">IFERROR(INDEX(Section_Master!$D$2:$D$477,MATCH($E2994,Section_Master!$A$2:$A$477,0))&amp;"","")</f>
        <v>Imprisonment up to 10 years and fine</v>
      </c>
      <c r="G2994" s="10" t="str">
        <f aca="false">IFERROR(INDEX(Section_Master!$E$2:$E$477,MATCH($E2994,Section_Master!$A$2:$A$477,0))&amp;"","")</f>
        <v>Yes</v>
      </c>
      <c r="H2994" s="10" t="str">
        <f aca="false">IFERROR(INDEX(Section_Master!$F$2:$F$477,MATCH($E2994,Section_Master!$A$2:$A$477,0))&amp;"","")</f>
        <v>No</v>
      </c>
      <c r="I2994" s="10" t="str">
        <f aca="false">IFERROR(INDEX(Section_Master!$G$2:$G$477,MATCH($E2994,Section_Master!$A$2:$A$477,0))&amp;"","")</f>
        <v>No</v>
      </c>
      <c r="J2994" s="10" t="s">
        <v>61</v>
      </c>
      <c r="K2994" s="8" t="s">
        <v>7023</v>
      </c>
    </row>
    <row r="2995" customFormat="false" ht="34.5" hidden="false" customHeight="true" outlineLevel="0" collapsed="false">
      <c r="A2995" s="10" t="s">
        <v>7032</v>
      </c>
      <c r="B2995" s="10" t="s">
        <v>45</v>
      </c>
      <c r="C2995" s="8" t="s">
        <v>7021</v>
      </c>
      <c r="D2995" s="8" t="s">
        <v>7033</v>
      </c>
      <c r="E2995" s="11" t="n">
        <v>141</v>
      </c>
      <c r="F2995" s="8" t="str">
        <f aca="false">IFERROR(INDEX(Section_Master!$D$2:$D$477,MATCH($E2995,Section_Master!$A$2:$A$477,0))&amp;"","")</f>
        <v>Imprisonment up to 10 years and fine</v>
      </c>
      <c r="G2995" s="10" t="str">
        <f aca="false">IFERROR(INDEX(Section_Master!$E$2:$E$477,MATCH($E2995,Section_Master!$A$2:$A$477,0))&amp;"","")</f>
        <v>Yes</v>
      </c>
      <c r="H2995" s="10" t="str">
        <f aca="false">IFERROR(INDEX(Section_Master!$F$2:$F$477,MATCH($E2995,Section_Master!$A$2:$A$477,0))&amp;"","")</f>
        <v>No</v>
      </c>
      <c r="I2995" s="10" t="str">
        <f aca="false">IFERROR(INDEX(Section_Master!$G$2:$G$477,MATCH($E2995,Section_Master!$A$2:$A$477,0))&amp;"","")</f>
        <v>No</v>
      </c>
      <c r="J2995" s="10" t="s">
        <v>64</v>
      </c>
      <c r="K2995" s="8" t="s">
        <v>7023</v>
      </c>
    </row>
    <row r="2996" customFormat="false" ht="34.5" hidden="false" customHeight="true" outlineLevel="0" collapsed="false">
      <c r="A2996" s="10" t="s">
        <v>7034</v>
      </c>
      <c r="B2996" s="10" t="s">
        <v>45</v>
      </c>
      <c r="C2996" s="8" t="s">
        <v>7035</v>
      </c>
      <c r="D2996" s="8" t="s">
        <v>7036</v>
      </c>
      <c r="E2996" s="11" t="n">
        <v>142</v>
      </c>
      <c r="F2996" s="8" t="str">
        <f aca="false">IFERROR(INDEX(Section_Master!$D$2:$D$477,MATCH($E2996,Section_Master!$A$2:$A$477,0))&amp;"","")</f>
        <v>Same punishment as for the kidnapping or abduction concealed</v>
      </c>
      <c r="G2996" s="10" t="str">
        <f aca="false">IFERROR(INDEX(Section_Master!$E$2:$E$477,MATCH($E2996,Section_Master!$A$2:$A$477,0))&amp;"","")</f>
        <v>Yes</v>
      </c>
      <c r="H2996" s="10" t="str">
        <f aca="false">IFERROR(INDEX(Section_Master!$F$2:$F$477,MATCH($E2996,Section_Master!$A$2:$A$477,0))&amp;"","")</f>
        <v>No</v>
      </c>
      <c r="I2996" s="10" t="str">
        <f aca="false">IFERROR(INDEX(Section_Master!$G$2:$G$477,MATCH($E2996,Section_Master!$A$2:$A$477,0))&amp;"","")</f>
        <v>No</v>
      </c>
      <c r="J2996" s="10" t="s">
        <v>48</v>
      </c>
      <c r="K2996" s="8" t="s">
        <v>7037</v>
      </c>
    </row>
    <row r="2997" customFormat="false" ht="34.5" hidden="false" customHeight="true" outlineLevel="0" collapsed="false">
      <c r="A2997" s="10" t="s">
        <v>7038</v>
      </c>
      <c r="B2997" s="10" t="s">
        <v>45</v>
      </c>
      <c r="C2997" s="8" t="s">
        <v>7035</v>
      </c>
      <c r="D2997" s="8" t="s">
        <v>7039</v>
      </c>
      <c r="E2997" s="11" t="n">
        <v>142</v>
      </c>
      <c r="F2997" s="8" t="str">
        <f aca="false">IFERROR(INDEX(Section_Master!$D$2:$D$477,MATCH($E2997,Section_Master!$A$2:$A$477,0))&amp;"","")</f>
        <v>Same punishment as for the kidnapping or abduction concealed</v>
      </c>
      <c r="G2997" s="10" t="str">
        <f aca="false">IFERROR(INDEX(Section_Master!$E$2:$E$477,MATCH($E2997,Section_Master!$A$2:$A$477,0))&amp;"","")</f>
        <v>Yes</v>
      </c>
      <c r="H2997" s="10" t="str">
        <f aca="false">IFERROR(INDEX(Section_Master!$F$2:$F$477,MATCH($E2997,Section_Master!$A$2:$A$477,0))&amp;"","")</f>
        <v>No</v>
      </c>
      <c r="I2997" s="10" t="str">
        <f aca="false">IFERROR(INDEX(Section_Master!$G$2:$G$477,MATCH($E2997,Section_Master!$A$2:$A$477,0))&amp;"","")</f>
        <v>No</v>
      </c>
      <c r="J2997" s="10" t="s">
        <v>52</v>
      </c>
      <c r="K2997" s="8" t="s">
        <v>7037</v>
      </c>
    </row>
    <row r="2998" customFormat="false" ht="23.25" hidden="false" customHeight="true" outlineLevel="0" collapsed="false">
      <c r="A2998" s="10" t="s">
        <v>7040</v>
      </c>
      <c r="B2998" s="10" t="s">
        <v>45</v>
      </c>
      <c r="C2998" s="8" t="s">
        <v>7035</v>
      </c>
      <c r="D2998" s="8" t="s">
        <v>7041</v>
      </c>
      <c r="E2998" s="11" t="n">
        <v>142</v>
      </c>
      <c r="F2998" s="8" t="str">
        <f aca="false">IFERROR(INDEX(Section_Master!$D$2:$D$477,MATCH($E2998,Section_Master!$A$2:$A$477,0))&amp;"","")</f>
        <v>Same punishment as for the kidnapping or abduction concealed</v>
      </c>
      <c r="G2998" s="10" t="str">
        <f aca="false">IFERROR(INDEX(Section_Master!$E$2:$E$477,MATCH($E2998,Section_Master!$A$2:$A$477,0))&amp;"","")</f>
        <v>Yes</v>
      </c>
      <c r="H2998" s="10" t="str">
        <f aca="false">IFERROR(INDEX(Section_Master!$F$2:$F$477,MATCH($E2998,Section_Master!$A$2:$A$477,0))&amp;"","")</f>
        <v>No</v>
      </c>
      <c r="I2998" s="10" t="str">
        <f aca="false">IFERROR(INDEX(Section_Master!$G$2:$G$477,MATCH($E2998,Section_Master!$A$2:$A$477,0))&amp;"","")</f>
        <v>No</v>
      </c>
      <c r="J2998" s="10" t="s">
        <v>55</v>
      </c>
      <c r="K2998" s="8" t="s">
        <v>7037</v>
      </c>
    </row>
    <row r="2999" customFormat="false" ht="23.25" hidden="false" customHeight="true" outlineLevel="0" collapsed="false">
      <c r="A2999" s="10" t="s">
        <v>7042</v>
      </c>
      <c r="B2999" s="10" t="s">
        <v>45</v>
      </c>
      <c r="C2999" s="8" t="s">
        <v>7035</v>
      </c>
      <c r="D2999" s="8" t="s">
        <v>7043</v>
      </c>
      <c r="E2999" s="11" t="n">
        <v>142</v>
      </c>
      <c r="F2999" s="8" t="str">
        <f aca="false">IFERROR(INDEX(Section_Master!$D$2:$D$477,MATCH($E2999,Section_Master!$A$2:$A$477,0))&amp;"","")</f>
        <v>Same punishment as for the kidnapping or abduction concealed</v>
      </c>
      <c r="G2999" s="10" t="str">
        <f aca="false">IFERROR(INDEX(Section_Master!$E$2:$E$477,MATCH($E2999,Section_Master!$A$2:$A$477,0))&amp;"","")</f>
        <v>Yes</v>
      </c>
      <c r="H2999" s="10" t="str">
        <f aca="false">IFERROR(INDEX(Section_Master!$F$2:$F$477,MATCH($E2999,Section_Master!$A$2:$A$477,0))&amp;"","")</f>
        <v>No</v>
      </c>
      <c r="I2999" s="10" t="str">
        <f aca="false">IFERROR(INDEX(Section_Master!$G$2:$G$477,MATCH($E2999,Section_Master!$A$2:$A$477,0))&amp;"","")</f>
        <v>No</v>
      </c>
      <c r="J2999" s="10" t="s">
        <v>58</v>
      </c>
      <c r="K2999" s="8" t="s">
        <v>7037</v>
      </c>
    </row>
    <row r="3000" customFormat="false" ht="34.5" hidden="false" customHeight="true" outlineLevel="0" collapsed="false">
      <c r="A3000" s="10" t="s">
        <v>7044</v>
      </c>
      <c r="B3000" s="10" t="s">
        <v>45</v>
      </c>
      <c r="C3000" s="8" t="s">
        <v>7035</v>
      </c>
      <c r="D3000" s="8" t="s">
        <v>7045</v>
      </c>
      <c r="E3000" s="11" t="n">
        <v>142</v>
      </c>
      <c r="F3000" s="8" t="str">
        <f aca="false">IFERROR(INDEX(Section_Master!$D$2:$D$477,MATCH($E3000,Section_Master!$A$2:$A$477,0))&amp;"","")</f>
        <v>Same punishment as for the kidnapping or abduction concealed</v>
      </c>
      <c r="G3000" s="10" t="str">
        <f aca="false">IFERROR(INDEX(Section_Master!$E$2:$E$477,MATCH($E3000,Section_Master!$A$2:$A$477,0))&amp;"","")</f>
        <v>Yes</v>
      </c>
      <c r="H3000" s="10" t="str">
        <f aca="false">IFERROR(INDEX(Section_Master!$F$2:$F$477,MATCH($E3000,Section_Master!$A$2:$A$477,0))&amp;"","")</f>
        <v>No</v>
      </c>
      <c r="I3000" s="10" t="str">
        <f aca="false">IFERROR(INDEX(Section_Master!$G$2:$G$477,MATCH($E3000,Section_Master!$A$2:$A$477,0))&amp;"","")</f>
        <v>No</v>
      </c>
      <c r="J3000" s="10" t="s">
        <v>61</v>
      </c>
      <c r="K3000" s="8" t="s">
        <v>7037</v>
      </c>
    </row>
    <row r="3001" customFormat="false" ht="34.5" hidden="false" customHeight="true" outlineLevel="0" collapsed="false">
      <c r="A3001" s="10" t="s">
        <v>7046</v>
      </c>
      <c r="B3001" s="10" t="s">
        <v>45</v>
      </c>
      <c r="C3001" s="8" t="s">
        <v>7035</v>
      </c>
      <c r="D3001" s="8" t="s">
        <v>7047</v>
      </c>
      <c r="E3001" s="11" t="n">
        <v>142</v>
      </c>
      <c r="F3001" s="8" t="str">
        <f aca="false">IFERROR(INDEX(Section_Master!$D$2:$D$477,MATCH($E3001,Section_Master!$A$2:$A$477,0))&amp;"","")</f>
        <v>Same punishment as for the kidnapping or abduction concealed</v>
      </c>
      <c r="G3001" s="10" t="str">
        <f aca="false">IFERROR(INDEX(Section_Master!$E$2:$E$477,MATCH($E3001,Section_Master!$A$2:$A$477,0))&amp;"","")</f>
        <v>Yes</v>
      </c>
      <c r="H3001" s="10" t="str">
        <f aca="false">IFERROR(INDEX(Section_Master!$F$2:$F$477,MATCH($E3001,Section_Master!$A$2:$A$477,0))&amp;"","")</f>
        <v>No</v>
      </c>
      <c r="I3001" s="10" t="str">
        <f aca="false">IFERROR(INDEX(Section_Master!$G$2:$G$477,MATCH($E3001,Section_Master!$A$2:$A$477,0))&amp;"","")</f>
        <v>No</v>
      </c>
      <c r="J3001" s="10" t="s">
        <v>64</v>
      </c>
      <c r="K3001" s="8" t="s">
        <v>7037</v>
      </c>
    </row>
    <row r="3002" customFormat="false" ht="34.5" hidden="false" customHeight="true" outlineLevel="0" collapsed="false">
      <c r="A3002" s="10" t="s">
        <v>7048</v>
      </c>
      <c r="B3002" s="10" t="s">
        <v>45</v>
      </c>
      <c r="C3002" s="8" t="s">
        <v>7049</v>
      </c>
      <c r="D3002" s="8" t="s">
        <v>7050</v>
      </c>
      <c r="E3002" s="11" t="n">
        <v>143</v>
      </c>
      <c r="F3002" s="8" t="str">
        <f aca="false">IFERROR(INDEX(Section_Master!$D$2:$D$477,MATCH($E3002,Section_Master!$A$2:$A$477,0))&amp;"","")</f>
        <v>Rigorous imprisonment 7 to 10 years and fine; more serious terms (up to life) for multiple or minor victims [s.143]</v>
      </c>
      <c r="G3002" s="10" t="str">
        <f aca="false">IFERROR(INDEX(Section_Master!$E$2:$E$477,MATCH($E3002,Section_Master!$A$2:$A$477,0))&amp;"","")</f>
        <v>Yes</v>
      </c>
      <c r="H3002" s="10" t="str">
        <f aca="false">IFERROR(INDEX(Section_Master!$F$2:$F$477,MATCH($E3002,Section_Master!$A$2:$A$477,0))&amp;"","")</f>
        <v>No</v>
      </c>
      <c r="I3002" s="10" t="str">
        <f aca="false">IFERROR(INDEX(Section_Master!$G$2:$G$477,MATCH($E3002,Section_Master!$A$2:$A$477,0))&amp;"","")</f>
        <v>No</v>
      </c>
      <c r="J3002" s="10" t="s">
        <v>48</v>
      </c>
      <c r="K3002" s="8" t="s">
        <v>7051</v>
      </c>
    </row>
    <row r="3003" customFormat="false" ht="34.5" hidden="false" customHeight="true" outlineLevel="0" collapsed="false">
      <c r="A3003" s="10" t="s">
        <v>7052</v>
      </c>
      <c r="B3003" s="10" t="s">
        <v>45</v>
      </c>
      <c r="C3003" s="8" t="s">
        <v>7049</v>
      </c>
      <c r="D3003" s="8" t="s">
        <v>7053</v>
      </c>
      <c r="E3003" s="11" t="n">
        <v>143</v>
      </c>
      <c r="F3003" s="8" t="str">
        <f aca="false">IFERROR(INDEX(Section_Master!$D$2:$D$477,MATCH($E3003,Section_Master!$A$2:$A$477,0))&amp;"","")</f>
        <v>Rigorous imprisonment 7 to 10 years and fine; more serious terms (up to life) for multiple or minor victims [s.143]</v>
      </c>
      <c r="G3003" s="10" t="str">
        <f aca="false">IFERROR(INDEX(Section_Master!$E$2:$E$477,MATCH($E3003,Section_Master!$A$2:$A$477,0))&amp;"","")</f>
        <v>Yes</v>
      </c>
      <c r="H3003" s="10" t="str">
        <f aca="false">IFERROR(INDEX(Section_Master!$F$2:$F$477,MATCH($E3003,Section_Master!$A$2:$A$477,0))&amp;"","")</f>
        <v>No</v>
      </c>
      <c r="I3003" s="10" t="str">
        <f aca="false">IFERROR(INDEX(Section_Master!$G$2:$G$477,MATCH($E3003,Section_Master!$A$2:$A$477,0))&amp;"","")</f>
        <v>No</v>
      </c>
      <c r="J3003" s="10" t="s">
        <v>52</v>
      </c>
      <c r="K3003" s="8" t="s">
        <v>7051</v>
      </c>
    </row>
    <row r="3004" customFormat="false" ht="34.5" hidden="false" customHeight="true" outlineLevel="0" collapsed="false">
      <c r="A3004" s="10" t="s">
        <v>7054</v>
      </c>
      <c r="B3004" s="10" t="s">
        <v>45</v>
      </c>
      <c r="C3004" s="8" t="s">
        <v>7049</v>
      </c>
      <c r="D3004" s="8" t="s">
        <v>7055</v>
      </c>
      <c r="E3004" s="11" t="n">
        <v>143</v>
      </c>
      <c r="F3004" s="8" t="str">
        <f aca="false">IFERROR(INDEX(Section_Master!$D$2:$D$477,MATCH($E3004,Section_Master!$A$2:$A$477,0))&amp;"","")</f>
        <v>Rigorous imprisonment 7 to 10 years and fine; more serious terms (up to life) for multiple or minor victims [s.143]</v>
      </c>
      <c r="G3004" s="10" t="str">
        <f aca="false">IFERROR(INDEX(Section_Master!$E$2:$E$477,MATCH($E3004,Section_Master!$A$2:$A$477,0))&amp;"","")</f>
        <v>Yes</v>
      </c>
      <c r="H3004" s="10" t="str">
        <f aca="false">IFERROR(INDEX(Section_Master!$F$2:$F$477,MATCH($E3004,Section_Master!$A$2:$A$477,0))&amp;"","")</f>
        <v>No</v>
      </c>
      <c r="I3004" s="10" t="str">
        <f aca="false">IFERROR(INDEX(Section_Master!$G$2:$G$477,MATCH($E3004,Section_Master!$A$2:$A$477,0))&amp;"","")</f>
        <v>No</v>
      </c>
      <c r="J3004" s="10" t="s">
        <v>55</v>
      </c>
      <c r="K3004" s="8" t="s">
        <v>7051</v>
      </c>
    </row>
    <row r="3005" customFormat="false" ht="23.25" hidden="false" customHeight="true" outlineLevel="0" collapsed="false">
      <c r="A3005" s="10" t="s">
        <v>7056</v>
      </c>
      <c r="B3005" s="10" t="s">
        <v>45</v>
      </c>
      <c r="C3005" s="8" t="s">
        <v>7049</v>
      </c>
      <c r="D3005" s="8" t="s">
        <v>7057</v>
      </c>
      <c r="E3005" s="11" t="n">
        <v>143</v>
      </c>
      <c r="F3005" s="8" t="str">
        <f aca="false">IFERROR(INDEX(Section_Master!$D$2:$D$477,MATCH($E3005,Section_Master!$A$2:$A$477,0))&amp;"","")</f>
        <v>Rigorous imprisonment 7 to 10 years and fine; more serious terms (up to life) for multiple or minor victims [s.143]</v>
      </c>
      <c r="G3005" s="10" t="str">
        <f aca="false">IFERROR(INDEX(Section_Master!$E$2:$E$477,MATCH($E3005,Section_Master!$A$2:$A$477,0))&amp;"","")</f>
        <v>Yes</v>
      </c>
      <c r="H3005" s="10" t="str">
        <f aca="false">IFERROR(INDEX(Section_Master!$F$2:$F$477,MATCH($E3005,Section_Master!$A$2:$A$477,0))&amp;"","")</f>
        <v>No</v>
      </c>
      <c r="I3005" s="10" t="str">
        <f aca="false">IFERROR(INDEX(Section_Master!$G$2:$G$477,MATCH($E3005,Section_Master!$A$2:$A$477,0))&amp;"","")</f>
        <v>No</v>
      </c>
      <c r="J3005" s="10" t="s">
        <v>58</v>
      </c>
      <c r="K3005" s="8" t="s">
        <v>7051</v>
      </c>
    </row>
    <row r="3006" customFormat="false" ht="23.25" hidden="false" customHeight="true" outlineLevel="0" collapsed="false">
      <c r="A3006" s="10" t="s">
        <v>7058</v>
      </c>
      <c r="B3006" s="10" t="s">
        <v>45</v>
      </c>
      <c r="C3006" s="8" t="s">
        <v>7049</v>
      </c>
      <c r="D3006" s="8" t="s">
        <v>7059</v>
      </c>
      <c r="E3006" s="11" t="n">
        <v>143</v>
      </c>
      <c r="F3006" s="8" t="str">
        <f aca="false">IFERROR(INDEX(Section_Master!$D$2:$D$477,MATCH($E3006,Section_Master!$A$2:$A$477,0))&amp;"","")</f>
        <v>Rigorous imprisonment 7 to 10 years and fine; more serious terms (up to life) for multiple or minor victims [s.143]</v>
      </c>
      <c r="G3006" s="10" t="str">
        <f aca="false">IFERROR(INDEX(Section_Master!$E$2:$E$477,MATCH($E3006,Section_Master!$A$2:$A$477,0))&amp;"","")</f>
        <v>Yes</v>
      </c>
      <c r="H3006" s="10" t="str">
        <f aca="false">IFERROR(INDEX(Section_Master!$F$2:$F$477,MATCH($E3006,Section_Master!$A$2:$A$477,0))&amp;"","")</f>
        <v>No</v>
      </c>
      <c r="I3006" s="10" t="str">
        <f aca="false">IFERROR(INDEX(Section_Master!$G$2:$G$477,MATCH($E3006,Section_Master!$A$2:$A$477,0))&amp;"","")</f>
        <v>No</v>
      </c>
      <c r="J3006" s="10" t="s">
        <v>61</v>
      </c>
      <c r="K3006" s="8" t="s">
        <v>7051</v>
      </c>
    </row>
    <row r="3007" customFormat="false" ht="34.5" hidden="false" customHeight="true" outlineLevel="0" collapsed="false">
      <c r="A3007" s="10" t="s">
        <v>7060</v>
      </c>
      <c r="B3007" s="10" t="s">
        <v>45</v>
      </c>
      <c r="C3007" s="8" t="s">
        <v>7049</v>
      </c>
      <c r="D3007" s="8" t="s">
        <v>7061</v>
      </c>
      <c r="E3007" s="11" t="n">
        <v>143</v>
      </c>
      <c r="F3007" s="8" t="str">
        <f aca="false">IFERROR(INDEX(Section_Master!$D$2:$D$477,MATCH($E3007,Section_Master!$A$2:$A$477,0))&amp;"","")</f>
        <v>Rigorous imprisonment 7 to 10 years and fine; more serious terms (up to life) for multiple or minor victims [s.143]</v>
      </c>
      <c r="G3007" s="10" t="str">
        <f aca="false">IFERROR(INDEX(Section_Master!$E$2:$E$477,MATCH($E3007,Section_Master!$A$2:$A$477,0))&amp;"","")</f>
        <v>Yes</v>
      </c>
      <c r="H3007" s="10" t="str">
        <f aca="false">IFERROR(INDEX(Section_Master!$F$2:$F$477,MATCH($E3007,Section_Master!$A$2:$A$477,0))&amp;"","")</f>
        <v>No</v>
      </c>
      <c r="I3007" s="10" t="str">
        <f aca="false">IFERROR(INDEX(Section_Master!$G$2:$G$477,MATCH($E3007,Section_Master!$A$2:$A$477,0))&amp;"","")</f>
        <v>No</v>
      </c>
      <c r="J3007" s="10" t="s">
        <v>64</v>
      </c>
      <c r="K3007" s="8" t="s">
        <v>7051</v>
      </c>
    </row>
    <row r="3008" customFormat="false" ht="34.5" hidden="false" customHeight="true" outlineLevel="0" collapsed="false">
      <c r="A3008" s="10" t="s">
        <v>7062</v>
      </c>
      <c r="B3008" s="10" t="s">
        <v>45</v>
      </c>
      <c r="C3008" s="8" t="s">
        <v>7063</v>
      </c>
      <c r="D3008" s="8" t="s">
        <v>7064</v>
      </c>
      <c r="E3008" s="11" t="n">
        <v>144</v>
      </c>
      <c r="F3008" s="8" t="str">
        <f aca="false">IFERROR(INDEX(Section_Master!$D$2:$D$477,MATCH($E3008,Section_Master!$A$2:$A$477,0))&amp;"","")</f>
        <v>Rigorous imprisonment 5 to 7 years and fine; 5 to 10 years if victim is a minor [s.144]</v>
      </c>
      <c r="G3008" s="10" t="str">
        <f aca="false">IFERROR(INDEX(Section_Master!$E$2:$E$477,MATCH($E3008,Section_Master!$A$2:$A$477,0))&amp;"","")</f>
        <v>Yes</v>
      </c>
      <c r="H3008" s="10" t="str">
        <f aca="false">IFERROR(INDEX(Section_Master!$F$2:$F$477,MATCH($E3008,Section_Master!$A$2:$A$477,0))&amp;"","")</f>
        <v>No</v>
      </c>
      <c r="I3008" s="10" t="str">
        <f aca="false">IFERROR(INDEX(Section_Master!$G$2:$G$477,MATCH($E3008,Section_Master!$A$2:$A$477,0))&amp;"","")</f>
        <v>No</v>
      </c>
      <c r="J3008" s="10" t="s">
        <v>48</v>
      </c>
      <c r="K3008" s="8" t="s">
        <v>7065</v>
      </c>
    </row>
    <row r="3009" customFormat="false" ht="34.5" hidden="false" customHeight="true" outlineLevel="0" collapsed="false">
      <c r="A3009" s="10" t="s">
        <v>7066</v>
      </c>
      <c r="B3009" s="10" t="s">
        <v>45</v>
      </c>
      <c r="C3009" s="8" t="s">
        <v>7063</v>
      </c>
      <c r="D3009" s="8" t="s">
        <v>7067</v>
      </c>
      <c r="E3009" s="11" t="n">
        <v>144</v>
      </c>
      <c r="F3009" s="8" t="str">
        <f aca="false">IFERROR(INDEX(Section_Master!$D$2:$D$477,MATCH($E3009,Section_Master!$A$2:$A$477,0))&amp;"","")</f>
        <v>Rigorous imprisonment 5 to 7 years and fine; 5 to 10 years if victim is a minor [s.144]</v>
      </c>
      <c r="G3009" s="10" t="str">
        <f aca="false">IFERROR(INDEX(Section_Master!$E$2:$E$477,MATCH($E3009,Section_Master!$A$2:$A$477,0))&amp;"","")</f>
        <v>Yes</v>
      </c>
      <c r="H3009" s="10" t="str">
        <f aca="false">IFERROR(INDEX(Section_Master!$F$2:$F$477,MATCH($E3009,Section_Master!$A$2:$A$477,0))&amp;"","")</f>
        <v>No</v>
      </c>
      <c r="I3009" s="10" t="str">
        <f aca="false">IFERROR(INDEX(Section_Master!$G$2:$G$477,MATCH($E3009,Section_Master!$A$2:$A$477,0))&amp;"","")</f>
        <v>No</v>
      </c>
      <c r="J3009" s="10" t="s">
        <v>52</v>
      </c>
      <c r="K3009" s="8" t="s">
        <v>7065</v>
      </c>
    </row>
    <row r="3010" customFormat="false" ht="34.5" hidden="false" customHeight="true" outlineLevel="0" collapsed="false">
      <c r="A3010" s="10" t="s">
        <v>7068</v>
      </c>
      <c r="B3010" s="10" t="s">
        <v>45</v>
      </c>
      <c r="C3010" s="8" t="s">
        <v>7063</v>
      </c>
      <c r="D3010" s="8" t="s">
        <v>7069</v>
      </c>
      <c r="E3010" s="11" t="n">
        <v>144</v>
      </c>
      <c r="F3010" s="8" t="str">
        <f aca="false">IFERROR(INDEX(Section_Master!$D$2:$D$477,MATCH($E3010,Section_Master!$A$2:$A$477,0))&amp;"","")</f>
        <v>Rigorous imprisonment 5 to 7 years and fine; 5 to 10 years if victim is a minor [s.144]</v>
      </c>
      <c r="G3010" s="10" t="str">
        <f aca="false">IFERROR(INDEX(Section_Master!$E$2:$E$477,MATCH($E3010,Section_Master!$A$2:$A$477,0))&amp;"","")</f>
        <v>Yes</v>
      </c>
      <c r="H3010" s="10" t="str">
        <f aca="false">IFERROR(INDEX(Section_Master!$F$2:$F$477,MATCH($E3010,Section_Master!$A$2:$A$477,0))&amp;"","")</f>
        <v>No</v>
      </c>
      <c r="I3010" s="10" t="str">
        <f aca="false">IFERROR(INDEX(Section_Master!$G$2:$G$477,MATCH($E3010,Section_Master!$A$2:$A$477,0))&amp;"","")</f>
        <v>No</v>
      </c>
      <c r="J3010" s="10" t="s">
        <v>55</v>
      </c>
      <c r="K3010" s="8" t="s">
        <v>7065</v>
      </c>
    </row>
    <row r="3011" customFormat="false" ht="23.25" hidden="false" customHeight="true" outlineLevel="0" collapsed="false">
      <c r="A3011" s="10" t="s">
        <v>7070</v>
      </c>
      <c r="B3011" s="10" t="s">
        <v>45</v>
      </c>
      <c r="C3011" s="8" t="s">
        <v>7063</v>
      </c>
      <c r="D3011" s="8" t="s">
        <v>7071</v>
      </c>
      <c r="E3011" s="11" t="n">
        <v>144</v>
      </c>
      <c r="F3011" s="8" t="str">
        <f aca="false">IFERROR(INDEX(Section_Master!$D$2:$D$477,MATCH($E3011,Section_Master!$A$2:$A$477,0))&amp;"","")</f>
        <v>Rigorous imprisonment 5 to 7 years and fine; 5 to 10 years if victim is a minor [s.144]</v>
      </c>
      <c r="G3011" s="10" t="str">
        <f aca="false">IFERROR(INDEX(Section_Master!$E$2:$E$477,MATCH($E3011,Section_Master!$A$2:$A$477,0))&amp;"","")</f>
        <v>Yes</v>
      </c>
      <c r="H3011" s="10" t="str">
        <f aca="false">IFERROR(INDEX(Section_Master!$F$2:$F$477,MATCH($E3011,Section_Master!$A$2:$A$477,0))&amp;"","")</f>
        <v>No</v>
      </c>
      <c r="I3011" s="10" t="str">
        <f aca="false">IFERROR(INDEX(Section_Master!$G$2:$G$477,MATCH($E3011,Section_Master!$A$2:$A$477,0))&amp;"","")</f>
        <v>No</v>
      </c>
      <c r="J3011" s="10" t="s">
        <v>58</v>
      </c>
      <c r="K3011" s="8" t="s">
        <v>7065</v>
      </c>
    </row>
    <row r="3012" customFormat="false" ht="34.5" hidden="false" customHeight="true" outlineLevel="0" collapsed="false">
      <c r="A3012" s="10" t="s">
        <v>7072</v>
      </c>
      <c r="B3012" s="10" t="s">
        <v>45</v>
      </c>
      <c r="C3012" s="8" t="s">
        <v>7063</v>
      </c>
      <c r="D3012" s="8" t="s">
        <v>7073</v>
      </c>
      <c r="E3012" s="11" t="n">
        <v>144</v>
      </c>
      <c r="F3012" s="8" t="str">
        <f aca="false">IFERROR(INDEX(Section_Master!$D$2:$D$477,MATCH($E3012,Section_Master!$A$2:$A$477,0))&amp;"","")</f>
        <v>Rigorous imprisonment 5 to 7 years and fine; 5 to 10 years if victim is a minor [s.144]</v>
      </c>
      <c r="G3012" s="10" t="str">
        <f aca="false">IFERROR(INDEX(Section_Master!$E$2:$E$477,MATCH($E3012,Section_Master!$A$2:$A$477,0))&amp;"","")</f>
        <v>Yes</v>
      </c>
      <c r="H3012" s="10" t="str">
        <f aca="false">IFERROR(INDEX(Section_Master!$F$2:$F$477,MATCH($E3012,Section_Master!$A$2:$A$477,0))&amp;"","")</f>
        <v>No</v>
      </c>
      <c r="I3012" s="10" t="str">
        <f aca="false">IFERROR(INDEX(Section_Master!$G$2:$G$477,MATCH($E3012,Section_Master!$A$2:$A$477,0))&amp;"","")</f>
        <v>No</v>
      </c>
      <c r="J3012" s="10" t="s">
        <v>61</v>
      </c>
      <c r="K3012" s="8" t="s">
        <v>7065</v>
      </c>
    </row>
    <row r="3013" customFormat="false" ht="34.5" hidden="false" customHeight="true" outlineLevel="0" collapsed="false">
      <c r="A3013" s="10" t="s">
        <v>7074</v>
      </c>
      <c r="B3013" s="10" t="s">
        <v>45</v>
      </c>
      <c r="C3013" s="8" t="s">
        <v>7063</v>
      </c>
      <c r="D3013" s="8" t="s">
        <v>7075</v>
      </c>
      <c r="E3013" s="11" t="n">
        <v>144</v>
      </c>
      <c r="F3013" s="8" t="str">
        <f aca="false">IFERROR(INDEX(Section_Master!$D$2:$D$477,MATCH($E3013,Section_Master!$A$2:$A$477,0))&amp;"","")</f>
        <v>Rigorous imprisonment 5 to 7 years and fine; 5 to 10 years if victim is a minor [s.144]</v>
      </c>
      <c r="G3013" s="10" t="str">
        <f aca="false">IFERROR(INDEX(Section_Master!$E$2:$E$477,MATCH($E3013,Section_Master!$A$2:$A$477,0))&amp;"","")</f>
        <v>Yes</v>
      </c>
      <c r="H3013" s="10" t="str">
        <f aca="false">IFERROR(INDEX(Section_Master!$F$2:$F$477,MATCH($E3013,Section_Master!$A$2:$A$477,0))&amp;"","")</f>
        <v>No</v>
      </c>
      <c r="I3013" s="10" t="str">
        <f aca="false">IFERROR(INDEX(Section_Master!$G$2:$G$477,MATCH($E3013,Section_Master!$A$2:$A$477,0))&amp;"","")</f>
        <v>No</v>
      </c>
      <c r="J3013" s="10" t="s">
        <v>64</v>
      </c>
      <c r="K3013" s="8" t="s">
        <v>7065</v>
      </c>
    </row>
    <row r="3014" customFormat="false" ht="23.25" hidden="false" customHeight="true" outlineLevel="0" collapsed="false">
      <c r="A3014" s="10" t="s">
        <v>7076</v>
      </c>
      <c r="B3014" s="10" t="s">
        <v>45</v>
      </c>
      <c r="C3014" s="8" t="s">
        <v>7077</v>
      </c>
      <c r="D3014" s="8" t="s">
        <v>7078</v>
      </c>
      <c r="E3014" s="11" t="n">
        <v>145</v>
      </c>
      <c r="F3014" s="8" t="str">
        <f aca="false">IFERROR(INDEX(Section_Master!$D$2:$D$477,MATCH($E3014,Section_Master!$A$2:$A$477,0))&amp;"","")</f>
        <v>Imprisonment for life, or up to 10 years, and fine</v>
      </c>
      <c r="G3014" s="10" t="str">
        <f aca="false">IFERROR(INDEX(Section_Master!$E$2:$E$477,MATCH($E3014,Section_Master!$A$2:$A$477,0))&amp;"","")</f>
        <v>Yes</v>
      </c>
      <c r="H3014" s="10" t="str">
        <f aca="false">IFERROR(INDEX(Section_Master!$F$2:$F$477,MATCH($E3014,Section_Master!$A$2:$A$477,0))&amp;"","")</f>
        <v>No</v>
      </c>
      <c r="I3014" s="10" t="str">
        <f aca="false">IFERROR(INDEX(Section_Master!$G$2:$G$477,MATCH($E3014,Section_Master!$A$2:$A$477,0))&amp;"","")</f>
        <v>No</v>
      </c>
      <c r="J3014" s="10" t="s">
        <v>48</v>
      </c>
      <c r="K3014" s="8" t="s">
        <v>7079</v>
      </c>
    </row>
    <row r="3015" customFormat="false" ht="34.5" hidden="false" customHeight="true" outlineLevel="0" collapsed="false">
      <c r="A3015" s="10" t="s">
        <v>7080</v>
      </c>
      <c r="B3015" s="10" t="s">
        <v>45</v>
      </c>
      <c r="C3015" s="8" t="s">
        <v>7077</v>
      </c>
      <c r="D3015" s="8" t="s">
        <v>7081</v>
      </c>
      <c r="E3015" s="11" t="n">
        <v>145</v>
      </c>
      <c r="F3015" s="8" t="str">
        <f aca="false">IFERROR(INDEX(Section_Master!$D$2:$D$477,MATCH($E3015,Section_Master!$A$2:$A$477,0))&amp;"","")</f>
        <v>Imprisonment for life, or up to 10 years, and fine</v>
      </c>
      <c r="G3015" s="10" t="str">
        <f aca="false">IFERROR(INDEX(Section_Master!$E$2:$E$477,MATCH($E3015,Section_Master!$A$2:$A$477,0))&amp;"","")</f>
        <v>Yes</v>
      </c>
      <c r="H3015" s="10" t="str">
        <f aca="false">IFERROR(INDEX(Section_Master!$F$2:$F$477,MATCH($E3015,Section_Master!$A$2:$A$477,0))&amp;"","")</f>
        <v>No</v>
      </c>
      <c r="I3015" s="10" t="str">
        <f aca="false">IFERROR(INDEX(Section_Master!$G$2:$G$477,MATCH($E3015,Section_Master!$A$2:$A$477,0))&amp;"","")</f>
        <v>No</v>
      </c>
      <c r="J3015" s="10" t="s">
        <v>52</v>
      </c>
      <c r="K3015" s="8" t="s">
        <v>7079</v>
      </c>
    </row>
    <row r="3016" customFormat="false" ht="34.5" hidden="false" customHeight="true" outlineLevel="0" collapsed="false">
      <c r="A3016" s="10" t="s">
        <v>7082</v>
      </c>
      <c r="B3016" s="10" t="s">
        <v>45</v>
      </c>
      <c r="C3016" s="8" t="s">
        <v>7077</v>
      </c>
      <c r="D3016" s="8" t="s">
        <v>7083</v>
      </c>
      <c r="E3016" s="11" t="n">
        <v>145</v>
      </c>
      <c r="F3016" s="8" t="str">
        <f aca="false">IFERROR(INDEX(Section_Master!$D$2:$D$477,MATCH($E3016,Section_Master!$A$2:$A$477,0))&amp;"","")</f>
        <v>Imprisonment for life, or up to 10 years, and fine</v>
      </c>
      <c r="G3016" s="10" t="str">
        <f aca="false">IFERROR(INDEX(Section_Master!$E$2:$E$477,MATCH($E3016,Section_Master!$A$2:$A$477,0))&amp;"","")</f>
        <v>Yes</v>
      </c>
      <c r="H3016" s="10" t="str">
        <f aca="false">IFERROR(INDEX(Section_Master!$F$2:$F$477,MATCH($E3016,Section_Master!$A$2:$A$477,0))&amp;"","")</f>
        <v>No</v>
      </c>
      <c r="I3016" s="10" t="str">
        <f aca="false">IFERROR(INDEX(Section_Master!$G$2:$G$477,MATCH($E3016,Section_Master!$A$2:$A$477,0))&amp;"","")</f>
        <v>No</v>
      </c>
      <c r="J3016" s="10" t="s">
        <v>55</v>
      </c>
      <c r="K3016" s="8" t="s">
        <v>7079</v>
      </c>
    </row>
    <row r="3017" customFormat="false" ht="23.25" hidden="false" customHeight="true" outlineLevel="0" collapsed="false">
      <c r="A3017" s="10" t="s">
        <v>7084</v>
      </c>
      <c r="B3017" s="10" t="s">
        <v>45</v>
      </c>
      <c r="C3017" s="8" t="s">
        <v>7077</v>
      </c>
      <c r="D3017" s="8" t="s">
        <v>7085</v>
      </c>
      <c r="E3017" s="11" t="n">
        <v>145</v>
      </c>
      <c r="F3017" s="8" t="str">
        <f aca="false">IFERROR(INDEX(Section_Master!$D$2:$D$477,MATCH($E3017,Section_Master!$A$2:$A$477,0))&amp;"","")</f>
        <v>Imprisonment for life, or up to 10 years, and fine</v>
      </c>
      <c r="G3017" s="10" t="str">
        <f aca="false">IFERROR(INDEX(Section_Master!$E$2:$E$477,MATCH($E3017,Section_Master!$A$2:$A$477,0))&amp;"","")</f>
        <v>Yes</v>
      </c>
      <c r="H3017" s="10" t="str">
        <f aca="false">IFERROR(INDEX(Section_Master!$F$2:$F$477,MATCH($E3017,Section_Master!$A$2:$A$477,0))&amp;"","")</f>
        <v>No</v>
      </c>
      <c r="I3017" s="10" t="str">
        <f aca="false">IFERROR(INDEX(Section_Master!$G$2:$G$477,MATCH($E3017,Section_Master!$A$2:$A$477,0))&amp;"","")</f>
        <v>No</v>
      </c>
      <c r="J3017" s="10" t="s">
        <v>58</v>
      </c>
      <c r="K3017" s="8" t="s">
        <v>7079</v>
      </c>
    </row>
    <row r="3018" customFormat="false" ht="23.25" hidden="false" customHeight="true" outlineLevel="0" collapsed="false">
      <c r="A3018" s="10" t="s">
        <v>7086</v>
      </c>
      <c r="B3018" s="10" t="s">
        <v>45</v>
      </c>
      <c r="C3018" s="8" t="s">
        <v>7077</v>
      </c>
      <c r="D3018" s="8" t="s">
        <v>7087</v>
      </c>
      <c r="E3018" s="11" t="n">
        <v>145</v>
      </c>
      <c r="F3018" s="8" t="str">
        <f aca="false">IFERROR(INDEX(Section_Master!$D$2:$D$477,MATCH($E3018,Section_Master!$A$2:$A$477,0))&amp;"","")</f>
        <v>Imprisonment for life, or up to 10 years, and fine</v>
      </c>
      <c r="G3018" s="10" t="str">
        <f aca="false">IFERROR(INDEX(Section_Master!$E$2:$E$477,MATCH($E3018,Section_Master!$A$2:$A$477,0))&amp;"","")</f>
        <v>Yes</v>
      </c>
      <c r="H3018" s="10" t="str">
        <f aca="false">IFERROR(INDEX(Section_Master!$F$2:$F$477,MATCH($E3018,Section_Master!$A$2:$A$477,0))&amp;"","")</f>
        <v>No</v>
      </c>
      <c r="I3018" s="10" t="str">
        <f aca="false">IFERROR(INDEX(Section_Master!$G$2:$G$477,MATCH($E3018,Section_Master!$A$2:$A$477,0))&amp;"","")</f>
        <v>No</v>
      </c>
      <c r="J3018" s="10" t="s">
        <v>61</v>
      </c>
      <c r="K3018" s="8" t="s">
        <v>7079</v>
      </c>
    </row>
    <row r="3019" customFormat="false" ht="34.5" hidden="false" customHeight="true" outlineLevel="0" collapsed="false">
      <c r="A3019" s="10" t="s">
        <v>7088</v>
      </c>
      <c r="B3019" s="10" t="s">
        <v>45</v>
      </c>
      <c r="C3019" s="8" t="s">
        <v>7077</v>
      </c>
      <c r="D3019" s="8" t="s">
        <v>7089</v>
      </c>
      <c r="E3019" s="11" t="n">
        <v>145</v>
      </c>
      <c r="F3019" s="8" t="str">
        <f aca="false">IFERROR(INDEX(Section_Master!$D$2:$D$477,MATCH($E3019,Section_Master!$A$2:$A$477,0))&amp;"","")</f>
        <v>Imprisonment for life, or up to 10 years, and fine</v>
      </c>
      <c r="G3019" s="10" t="str">
        <f aca="false">IFERROR(INDEX(Section_Master!$E$2:$E$477,MATCH($E3019,Section_Master!$A$2:$A$477,0))&amp;"","")</f>
        <v>Yes</v>
      </c>
      <c r="H3019" s="10" t="str">
        <f aca="false">IFERROR(INDEX(Section_Master!$F$2:$F$477,MATCH($E3019,Section_Master!$A$2:$A$477,0))&amp;"","")</f>
        <v>No</v>
      </c>
      <c r="I3019" s="10" t="str">
        <f aca="false">IFERROR(INDEX(Section_Master!$G$2:$G$477,MATCH($E3019,Section_Master!$A$2:$A$477,0))&amp;"","")</f>
        <v>No</v>
      </c>
      <c r="J3019" s="10" t="s">
        <v>64</v>
      </c>
      <c r="K3019" s="8" t="s">
        <v>7079</v>
      </c>
    </row>
    <row r="3020" customFormat="false" ht="34.5" hidden="false" customHeight="true" outlineLevel="0" collapsed="false">
      <c r="A3020" s="10" t="s">
        <v>7090</v>
      </c>
      <c r="B3020" s="10" t="s">
        <v>45</v>
      </c>
      <c r="C3020" s="8" t="s">
        <v>7091</v>
      </c>
      <c r="D3020" s="8" t="s">
        <v>7092</v>
      </c>
      <c r="E3020" s="11" t="n">
        <v>146</v>
      </c>
      <c r="F3020" s="8" t="str">
        <f aca="false">IFERROR(INDEX(Section_Master!$D$2:$D$477,MATCH($E3020,Section_Master!$A$2:$A$477,0))&amp;"","")</f>
        <v>Imprisonment up to 1 year, or fine, or both</v>
      </c>
      <c r="G3020" s="10" t="str">
        <f aca="false">IFERROR(INDEX(Section_Master!$E$2:$E$477,MATCH($E3020,Section_Master!$A$2:$A$477,0))&amp;"","")</f>
        <v>No</v>
      </c>
      <c r="H3020" s="10" t="str">
        <f aca="false">IFERROR(INDEX(Section_Master!$F$2:$F$477,MATCH($E3020,Section_Master!$A$2:$A$477,0))&amp;"","")</f>
        <v>Yes</v>
      </c>
      <c r="I3020" s="10" t="str">
        <f aca="false">IFERROR(INDEX(Section_Master!$G$2:$G$477,MATCH($E3020,Section_Master!$A$2:$A$477,0))&amp;"","")</f>
        <v>Yes</v>
      </c>
      <c r="J3020" s="10" t="s">
        <v>48</v>
      </c>
      <c r="K3020" s="8" t="s">
        <v>7093</v>
      </c>
    </row>
    <row r="3021" customFormat="false" ht="34.5" hidden="false" customHeight="true" outlineLevel="0" collapsed="false">
      <c r="A3021" s="10" t="s">
        <v>7094</v>
      </c>
      <c r="B3021" s="10" t="s">
        <v>45</v>
      </c>
      <c r="C3021" s="8" t="s">
        <v>7091</v>
      </c>
      <c r="D3021" s="8" t="s">
        <v>7095</v>
      </c>
      <c r="E3021" s="11" t="n">
        <v>146</v>
      </c>
      <c r="F3021" s="8" t="str">
        <f aca="false">IFERROR(INDEX(Section_Master!$D$2:$D$477,MATCH($E3021,Section_Master!$A$2:$A$477,0))&amp;"","")</f>
        <v>Imprisonment up to 1 year, or fine, or both</v>
      </c>
      <c r="G3021" s="10" t="str">
        <f aca="false">IFERROR(INDEX(Section_Master!$E$2:$E$477,MATCH($E3021,Section_Master!$A$2:$A$477,0))&amp;"","")</f>
        <v>No</v>
      </c>
      <c r="H3021" s="10" t="str">
        <f aca="false">IFERROR(INDEX(Section_Master!$F$2:$F$477,MATCH($E3021,Section_Master!$A$2:$A$477,0))&amp;"","")</f>
        <v>Yes</v>
      </c>
      <c r="I3021" s="10" t="str">
        <f aca="false">IFERROR(INDEX(Section_Master!$G$2:$G$477,MATCH($E3021,Section_Master!$A$2:$A$477,0))&amp;"","")</f>
        <v>Yes</v>
      </c>
      <c r="J3021" s="10" t="s">
        <v>52</v>
      </c>
      <c r="K3021" s="8" t="s">
        <v>7093</v>
      </c>
    </row>
    <row r="3022" customFormat="false" ht="23.25" hidden="false" customHeight="true" outlineLevel="0" collapsed="false">
      <c r="A3022" s="10" t="s">
        <v>7096</v>
      </c>
      <c r="B3022" s="10" t="s">
        <v>45</v>
      </c>
      <c r="C3022" s="8" t="s">
        <v>7091</v>
      </c>
      <c r="D3022" s="8" t="s">
        <v>7097</v>
      </c>
      <c r="E3022" s="11" t="n">
        <v>146</v>
      </c>
      <c r="F3022" s="8" t="str">
        <f aca="false">IFERROR(INDEX(Section_Master!$D$2:$D$477,MATCH($E3022,Section_Master!$A$2:$A$477,0))&amp;"","")</f>
        <v>Imprisonment up to 1 year, or fine, or both</v>
      </c>
      <c r="G3022" s="10" t="str">
        <f aca="false">IFERROR(INDEX(Section_Master!$E$2:$E$477,MATCH($E3022,Section_Master!$A$2:$A$477,0))&amp;"","")</f>
        <v>No</v>
      </c>
      <c r="H3022" s="10" t="str">
        <f aca="false">IFERROR(INDEX(Section_Master!$F$2:$F$477,MATCH($E3022,Section_Master!$A$2:$A$477,0))&amp;"","")</f>
        <v>Yes</v>
      </c>
      <c r="I3022" s="10" t="str">
        <f aca="false">IFERROR(INDEX(Section_Master!$G$2:$G$477,MATCH($E3022,Section_Master!$A$2:$A$477,0))&amp;"","")</f>
        <v>Yes</v>
      </c>
      <c r="J3022" s="10" t="s">
        <v>55</v>
      </c>
      <c r="K3022" s="8" t="s">
        <v>7093</v>
      </c>
    </row>
    <row r="3023" customFormat="false" ht="23.25" hidden="false" customHeight="true" outlineLevel="0" collapsed="false">
      <c r="A3023" s="10" t="s">
        <v>7098</v>
      </c>
      <c r="B3023" s="10" t="s">
        <v>45</v>
      </c>
      <c r="C3023" s="8" t="s">
        <v>7091</v>
      </c>
      <c r="D3023" s="8" t="s">
        <v>7099</v>
      </c>
      <c r="E3023" s="11" t="n">
        <v>146</v>
      </c>
      <c r="F3023" s="8" t="str">
        <f aca="false">IFERROR(INDEX(Section_Master!$D$2:$D$477,MATCH($E3023,Section_Master!$A$2:$A$477,0))&amp;"","")</f>
        <v>Imprisonment up to 1 year, or fine, or both</v>
      </c>
      <c r="G3023" s="10" t="str">
        <f aca="false">IFERROR(INDEX(Section_Master!$E$2:$E$477,MATCH($E3023,Section_Master!$A$2:$A$477,0))&amp;"","")</f>
        <v>No</v>
      </c>
      <c r="H3023" s="10" t="str">
        <f aca="false">IFERROR(INDEX(Section_Master!$F$2:$F$477,MATCH($E3023,Section_Master!$A$2:$A$477,0))&amp;"","")</f>
        <v>Yes</v>
      </c>
      <c r="I3023" s="10" t="str">
        <f aca="false">IFERROR(INDEX(Section_Master!$G$2:$G$477,MATCH($E3023,Section_Master!$A$2:$A$477,0))&amp;"","")</f>
        <v>Yes</v>
      </c>
      <c r="J3023" s="10" t="s">
        <v>58</v>
      </c>
      <c r="K3023" s="8" t="s">
        <v>7093</v>
      </c>
    </row>
    <row r="3024" customFormat="false" ht="23.25" hidden="false" customHeight="true" outlineLevel="0" collapsed="false">
      <c r="A3024" s="10" t="s">
        <v>7100</v>
      </c>
      <c r="B3024" s="10" t="s">
        <v>45</v>
      </c>
      <c r="C3024" s="8" t="s">
        <v>7091</v>
      </c>
      <c r="D3024" s="8" t="s">
        <v>7101</v>
      </c>
      <c r="E3024" s="11" t="n">
        <v>146</v>
      </c>
      <c r="F3024" s="8" t="str">
        <f aca="false">IFERROR(INDEX(Section_Master!$D$2:$D$477,MATCH($E3024,Section_Master!$A$2:$A$477,0))&amp;"","")</f>
        <v>Imprisonment up to 1 year, or fine, or both</v>
      </c>
      <c r="G3024" s="10" t="str">
        <f aca="false">IFERROR(INDEX(Section_Master!$E$2:$E$477,MATCH($E3024,Section_Master!$A$2:$A$477,0))&amp;"","")</f>
        <v>No</v>
      </c>
      <c r="H3024" s="10" t="str">
        <f aca="false">IFERROR(INDEX(Section_Master!$F$2:$F$477,MATCH($E3024,Section_Master!$A$2:$A$477,0))&amp;"","")</f>
        <v>Yes</v>
      </c>
      <c r="I3024" s="10" t="str">
        <f aca="false">IFERROR(INDEX(Section_Master!$G$2:$G$477,MATCH($E3024,Section_Master!$A$2:$A$477,0))&amp;"","")</f>
        <v>Yes</v>
      </c>
      <c r="J3024" s="10" t="s">
        <v>61</v>
      </c>
      <c r="K3024" s="8" t="s">
        <v>7093</v>
      </c>
    </row>
    <row r="3025" customFormat="false" ht="34.5" hidden="false" customHeight="true" outlineLevel="0" collapsed="false">
      <c r="A3025" s="10" t="s">
        <v>7102</v>
      </c>
      <c r="B3025" s="10" t="s">
        <v>45</v>
      </c>
      <c r="C3025" s="8" t="s">
        <v>7091</v>
      </c>
      <c r="D3025" s="8" t="s">
        <v>7103</v>
      </c>
      <c r="E3025" s="11" t="n">
        <v>146</v>
      </c>
      <c r="F3025" s="8" t="str">
        <f aca="false">IFERROR(INDEX(Section_Master!$D$2:$D$477,MATCH($E3025,Section_Master!$A$2:$A$477,0))&amp;"","")</f>
        <v>Imprisonment up to 1 year, or fine, or both</v>
      </c>
      <c r="G3025" s="10" t="str">
        <f aca="false">IFERROR(INDEX(Section_Master!$E$2:$E$477,MATCH($E3025,Section_Master!$A$2:$A$477,0))&amp;"","")</f>
        <v>No</v>
      </c>
      <c r="H3025" s="10" t="str">
        <f aca="false">IFERROR(INDEX(Section_Master!$F$2:$F$477,MATCH($E3025,Section_Master!$A$2:$A$477,0))&amp;"","")</f>
        <v>Yes</v>
      </c>
      <c r="I3025" s="10" t="str">
        <f aca="false">IFERROR(INDEX(Section_Master!$G$2:$G$477,MATCH($E3025,Section_Master!$A$2:$A$477,0))&amp;"","")</f>
        <v>Yes</v>
      </c>
      <c r="J3025" s="10" t="s">
        <v>64</v>
      </c>
      <c r="K3025" s="8" t="s">
        <v>7093</v>
      </c>
    </row>
    <row r="3026" customFormat="false" ht="23.25" hidden="false" customHeight="true" outlineLevel="0" collapsed="false">
      <c r="A3026" s="10" t="s">
        <v>7104</v>
      </c>
      <c r="B3026" s="10" t="s">
        <v>45</v>
      </c>
      <c r="C3026" s="8" t="s">
        <v>7105</v>
      </c>
      <c r="D3026" s="8" t="s">
        <v>7106</v>
      </c>
      <c r="E3026" s="11" t="n">
        <v>147</v>
      </c>
      <c r="F3026" s="8" t="str">
        <f aca="false">IFERROR(INDEX(Section_Master!$D$2:$D$477,MATCH($E3026,Section_Master!$A$2:$A$477,0))&amp;"","")</f>
        <v>Death or imprisonment for life, and fine</v>
      </c>
      <c r="G3026" s="10" t="str">
        <f aca="false">IFERROR(INDEX(Section_Master!$E$2:$E$477,MATCH($E3026,Section_Master!$A$2:$A$477,0))&amp;"","")</f>
        <v>Yes</v>
      </c>
      <c r="H3026" s="10" t="str">
        <f aca="false">IFERROR(INDEX(Section_Master!$F$2:$F$477,MATCH($E3026,Section_Master!$A$2:$A$477,0))&amp;"","")</f>
        <v>No</v>
      </c>
      <c r="I3026" s="10" t="str">
        <f aca="false">IFERROR(INDEX(Section_Master!$G$2:$G$477,MATCH($E3026,Section_Master!$A$2:$A$477,0))&amp;"","")</f>
        <v>No</v>
      </c>
      <c r="J3026" s="10" t="s">
        <v>48</v>
      </c>
      <c r="K3026" s="8" t="s">
        <v>7107</v>
      </c>
    </row>
    <row r="3027" customFormat="false" ht="34.5" hidden="false" customHeight="true" outlineLevel="0" collapsed="false">
      <c r="A3027" s="10" t="s">
        <v>7108</v>
      </c>
      <c r="B3027" s="10" t="s">
        <v>45</v>
      </c>
      <c r="C3027" s="8" t="s">
        <v>7105</v>
      </c>
      <c r="D3027" s="8" t="s">
        <v>7109</v>
      </c>
      <c r="E3027" s="11" t="n">
        <v>147</v>
      </c>
      <c r="F3027" s="8" t="str">
        <f aca="false">IFERROR(INDEX(Section_Master!$D$2:$D$477,MATCH($E3027,Section_Master!$A$2:$A$477,0))&amp;"","")</f>
        <v>Death or imprisonment for life, and fine</v>
      </c>
      <c r="G3027" s="10" t="str">
        <f aca="false">IFERROR(INDEX(Section_Master!$E$2:$E$477,MATCH($E3027,Section_Master!$A$2:$A$477,0))&amp;"","")</f>
        <v>Yes</v>
      </c>
      <c r="H3027" s="10" t="str">
        <f aca="false">IFERROR(INDEX(Section_Master!$F$2:$F$477,MATCH($E3027,Section_Master!$A$2:$A$477,0))&amp;"","")</f>
        <v>No</v>
      </c>
      <c r="I3027" s="10" t="str">
        <f aca="false">IFERROR(INDEX(Section_Master!$G$2:$G$477,MATCH($E3027,Section_Master!$A$2:$A$477,0))&amp;"","")</f>
        <v>No</v>
      </c>
      <c r="J3027" s="10" t="s">
        <v>52</v>
      </c>
      <c r="K3027" s="8" t="s">
        <v>7107</v>
      </c>
    </row>
    <row r="3028" customFormat="false" ht="34.5" hidden="false" customHeight="true" outlineLevel="0" collapsed="false">
      <c r="A3028" s="10" t="s">
        <v>7110</v>
      </c>
      <c r="B3028" s="10" t="s">
        <v>45</v>
      </c>
      <c r="C3028" s="8" t="s">
        <v>7105</v>
      </c>
      <c r="D3028" s="8" t="s">
        <v>7111</v>
      </c>
      <c r="E3028" s="11" t="n">
        <v>147</v>
      </c>
      <c r="F3028" s="8" t="str">
        <f aca="false">IFERROR(INDEX(Section_Master!$D$2:$D$477,MATCH($E3028,Section_Master!$A$2:$A$477,0))&amp;"","")</f>
        <v>Death or imprisonment for life, and fine</v>
      </c>
      <c r="G3028" s="10" t="str">
        <f aca="false">IFERROR(INDEX(Section_Master!$E$2:$E$477,MATCH($E3028,Section_Master!$A$2:$A$477,0))&amp;"","")</f>
        <v>Yes</v>
      </c>
      <c r="H3028" s="10" t="str">
        <f aca="false">IFERROR(INDEX(Section_Master!$F$2:$F$477,MATCH($E3028,Section_Master!$A$2:$A$477,0))&amp;"","")</f>
        <v>No</v>
      </c>
      <c r="I3028" s="10" t="str">
        <f aca="false">IFERROR(INDEX(Section_Master!$G$2:$G$477,MATCH($E3028,Section_Master!$A$2:$A$477,0))&amp;"","")</f>
        <v>No</v>
      </c>
      <c r="J3028" s="10" t="s">
        <v>55</v>
      </c>
      <c r="K3028" s="8" t="s">
        <v>7107</v>
      </c>
    </row>
    <row r="3029" customFormat="false" ht="23.25" hidden="false" customHeight="true" outlineLevel="0" collapsed="false">
      <c r="A3029" s="10" t="s">
        <v>7112</v>
      </c>
      <c r="B3029" s="10" t="s">
        <v>45</v>
      </c>
      <c r="C3029" s="8" t="s">
        <v>7105</v>
      </c>
      <c r="D3029" s="8" t="s">
        <v>7113</v>
      </c>
      <c r="E3029" s="11" t="n">
        <v>147</v>
      </c>
      <c r="F3029" s="8" t="str">
        <f aca="false">IFERROR(INDEX(Section_Master!$D$2:$D$477,MATCH($E3029,Section_Master!$A$2:$A$477,0))&amp;"","")</f>
        <v>Death or imprisonment for life, and fine</v>
      </c>
      <c r="G3029" s="10" t="str">
        <f aca="false">IFERROR(INDEX(Section_Master!$E$2:$E$477,MATCH($E3029,Section_Master!$A$2:$A$477,0))&amp;"","")</f>
        <v>Yes</v>
      </c>
      <c r="H3029" s="10" t="str">
        <f aca="false">IFERROR(INDEX(Section_Master!$F$2:$F$477,MATCH($E3029,Section_Master!$A$2:$A$477,0))&amp;"","")</f>
        <v>No</v>
      </c>
      <c r="I3029" s="10" t="str">
        <f aca="false">IFERROR(INDEX(Section_Master!$G$2:$G$477,MATCH($E3029,Section_Master!$A$2:$A$477,0))&amp;"","")</f>
        <v>No</v>
      </c>
      <c r="J3029" s="10" t="s">
        <v>58</v>
      </c>
      <c r="K3029" s="8" t="s">
        <v>7107</v>
      </c>
    </row>
    <row r="3030" customFormat="false" ht="23.25" hidden="false" customHeight="true" outlineLevel="0" collapsed="false">
      <c r="A3030" s="10" t="s">
        <v>7114</v>
      </c>
      <c r="B3030" s="10" t="s">
        <v>45</v>
      </c>
      <c r="C3030" s="8" t="s">
        <v>7105</v>
      </c>
      <c r="D3030" s="8" t="s">
        <v>7115</v>
      </c>
      <c r="E3030" s="11" t="n">
        <v>147</v>
      </c>
      <c r="F3030" s="8" t="str">
        <f aca="false">IFERROR(INDEX(Section_Master!$D$2:$D$477,MATCH($E3030,Section_Master!$A$2:$A$477,0))&amp;"","")</f>
        <v>Death or imprisonment for life, and fine</v>
      </c>
      <c r="G3030" s="10" t="str">
        <f aca="false">IFERROR(INDEX(Section_Master!$E$2:$E$477,MATCH($E3030,Section_Master!$A$2:$A$477,0))&amp;"","")</f>
        <v>Yes</v>
      </c>
      <c r="H3030" s="10" t="str">
        <f aca="false">IFERROR(INDEX(Section_Master!$F$2:$F$477,MATCH($E3030,Section_Master!$A$2:$A$477,0))&amp;"","")</f>
        <v>No</v>
      </c>
      <c r="I3030" s="10" t="str">
        <f aca="false">IFERROR(INDEX(Section_Master!$G$2:$G$477,MATCH($E3030,Section_Master!$A$2:$A$477,0))&amp;"","")</f>
        <v>No</v>
      </c>
      <c r="J3030" s="10" t="s">
        <v>61</v>
      </c>
      <c r="K3030" s="8" t="s">
        <v>7107</v>
      </c>
    </row>
    <row r="3031" customFormat="false" ht="34.5" hidden="false" customHeight="true" outlineLevel="0" collapsed="false">
      <c r="A3031" s="10" t="s">
        <v>7116</v>
      </c>
      <c r="B3031" s="10" t="s">
        <v>45</v>
      </c>
      <c r="C3031" s="8" t="s">
        <v>7105</v>
      </c>
      <c r="D3031" s="8" t="s">
        <v>7117</v>
      </c>
      <c r="E3031" s="11" t="n">
        <v>147</v>
      </c>
      <c r="F3031" s="8" t="str">
        <f aca="false">IFERROR(INDEX(Section_Master!$D$2:$D$477,MATCH($E3031,Section_Master!$A$2:$A$477,0))&amp;"","")</f>
        <v>Death or imprisonment for life, and fine</v>
      </c>
      <c r="G3031" s="10" t="str">
        <f aca="false">IFERROR(INDEX(Section_Master!$E$2:$E$477,MATCH($E3031,Section_Master!$A$2:$A$477,0))&amp;"","")</f>
        <v>Yes</v>
      </c>
      <c r="H3031" s="10" t="str">
        <f aca="false">IFERROR(INDEX(Section_Master!$F$2:$F$477,MATCH($E3031,Section_Master!$A$2:$A$477,0))&amp;"","")</f>
        <v>No</v>
      </c>
      <c r="I3031" s="10" t="str">
        <f aca="false">IFERROR(INDEX(Section_Master!$G$2:$G$477,MATCH($E3031,Section_Master!$A$2:$A$477,0))&amp;"","")</f>
        <v>No</v>
      </c>
      <c r="J3031" s="10" t="s">
        <v>64</v>
      </c>
      <c r="K3031" s="8" t="s">
        <v>7107</v>
      </c>
    </row>
    <row r="3032" customFormat="false" ht="23.25" hidden="false" customHeight="true" outlineLevel="0" collapsed="false">
      <c r="A3032" s="10" t="s">
        <v>7118</v>
      </c>
      <c r="B3032" s="10" t="s">
        <v>45</v>
      </c>
      <c r="C3032" s="8" t="s">
        <v>7119</v>
      </c>
      <c r="D3032" s="8" t="s">
        <v>7120</v>
      </c>
      <c r="E3032" s="11" t="n">
        <v>148</v>
      </c>
      <c r="F3032" s="8" t="str">
        <f aca="false">IFERROR(INDEX(Section_Master!$D$2:$D$477,MATCH($E3032,Section_Master!$A$2:$A$477,0))&amp;"","")</f>
        <v>Imprisonment for life, or up to 10 years, and fine</v>
      </c>
      <c r="G3032" s="10" t="str">
        <f aca="false">IFERROR(INDEX(Section_Master!$E$2:$E$477,MATCH($E3032,Section_Master!$A$2:$A$477,0))&amp;"","")</f>
        <v>Yes</v>
      </c>
      <c r="H3032" s="10" t="str">
        <f aca="false">IFERROR(INDEX(Section_Master!$F$2:$F$477,MATCH($E3032,Section_Master!$A$2:$A$477,0))&amp;"","")</f>
        <v>No</v>
      </c>
      <c r="I3032" s="10" t="str">
        <f aca="false">IFERROR(INDEX(Section_Master!$G$2:$G$477,MATCH($E3032,Section_Master!$A$2:$A$477,0))&amp;"","")</f>
        <v>No</v>
      </c>
      <c r="J3032" s="10" t="s">
        <v>48</v>
      </c>
      <c r="K3032" s="8" t="s">
        <v>7121</v>
      </c>
    </row>
    <row r="3033" customFormat="false" ht="34.5" hidden="false" customHeight="true" outlineLevel="0" collapsed="false">
      <c r="A3033" s="10" t="s">
        <v>7122</v>
      </c>
      <c r="B3033" s="10" t="s">
        <v>45</v>
      </c>
      <c r="C3033" s="8" t="s">
        <v>7119</v>
      </c>
      <c r="D3033" s="8" t="s">
        <v>7123</v>
      </c>
      <c r="E3033" s="11" t="n">
        <v>148</v>
      </c>
      <c r="F3033" s="8" t="str">
        <f aca="false">IFERROR(INDEX(Section_Master!$D$2:$D$477,MATCH($E3033,Section_Master!$A$2:$A$477,0))&amp;"","")</f>
        <v>Imprisonment for life, or up to 10 years, and fine</v>
      </c>
      <c r="G3033" s="10" t="str">
        <f aca="false">IFERROR(INDEX(Section_Master!$E$2:$E$477,MATCH($E3033,Section_Master!$A$2:$A$477,0))&amp;"","")</f>
        <v>Yes</v>
      </c>
      <c r="H3033" s="10" t="str">
        <f aca="false">IFERROR(INDEX(Section_Master!$F$2:$F$477,MATCH($E3033,Section_Master!$A$2:$A$477,0))&amp;"","")</f>
        <v>No</v>
      </c>
      <c r="I3033" s="10" t="str">
        <f aca="false">IFERROR(INDEX(Section_Master!$G$2:$G$477,MATCH($E3033,Section_Master!$A$2:$A$477,0))&amp;"","")</f>
        <v>No</v>
      </c>
      <c r="J3033" s="10" t="s">
        <v>52</v>
      </c>
      <c r="K3033" s="8" t="s">
        <v>7121</v>
      </c>
    </row>
    <row r="3034" customFormat="false" ht="34.5" hidden="false" customHeight="true" outlineLevel="0" collapsed="false">
      <c r="A3034" s="10" t="s">
        <v>7124</v>
      </c>
      <c r="B3034" s="10" t="s">
        <v>45</v>
      </c>
      <c r="C3034" s="8" t="s">
        <v>7119</v>
      </c>
      <c r="D3034" s="8" t="s">
        <v>7125</v>
      </c>
      <c r="E3034" s="11" t="n">
        <v>148</v>
      </c>
      <c r="F3034" s="8" t="str">
        <f aca="false">IFERROR(INDEX(Section_Master!$D$2:$D$477,MATCH($E3034,Section_Master!$A$2:$A$477,0))&amp;"","")</f>
        <v>Imprisonment for life, or up to 10 years, and fine</v>
      </c>
      <c r="G3034" s="10" t="str">
        <f aca="false">IFERROR(INDEX(Section_Master!$E$2:$E$477,MATCH($E3034,Section_Master!$A$2:$A$477,0))&amp;"","")</f>
        <v>Yes</v>
      </c>
      <c r="H3034" s="10" t="str">
        <f aca="false">IFERROR(INDEX(Section_Master!$F$2:$F$477,MATCH($E3034,Section_Master!$A$2:$A$477,0))&amp;"","")</f>
        <v>No</v>
      </c>
      <c r="I3034" s="10" t="str">
        <f aca="false">IFERROR(INDEX(Section_Master!$G$2:$G$477,MATCH($E3034,Section_Master!$A$2:$A$477,0))&amp;"","")</f>
        <v>No</v>
      </c>
      <c r="J3034" s="10" t="s">
        <v>55</v>
      </c>
      <c r="K3034" s="8" t="s">
        <v>7121</v>
      </c>
    </row>
    <row r="3035" customFormat="false" ht="23.25" hidden="false" customHeight="true" outlineLevel="0" collapsed="false">
      <c r="A3035" s="10" t="s">
        <v>7126</v>
      </c>
      <c r="B3035" s="10" t="s">
        <v>45</v>
      </c>
      <c r="C3035" s="8" t="s">
        <v>7119</v>
      </c>
      <c r="D3035" s="8" t="s">
        <v>7127</v>
      </c>
      <c r="E3035" s="11" t="n">
        <v>148</v>
      </c>
      <c r="F3035" s="8" t="str">
        <f aca="false">IFERROR(INDEX(Section_Master!$D$2:$D$477,MATCH($E3035,Section_Master!$A$2:$A$477,0))&amp;"","")</f>
        <v>Imprisonment for life, or up to 10 years, and fine</v>
      </c>
      <c r="G3035" s="10" t="str">
        <f aca="false">IFERROR(INDEX(Section_Master!$E$2:$E$477,MATCH($E3035,Section_Master!$A$2:$A$477,0))&amp;"","")</f>
        <v>Yes</v>
      </c>
      <c r="H3035" s="10" t="str">
        <f aca="false">IFERROR(INDEX(Section_Master!$F$2:$F$477,MATCH($E3035,Section_Master!$A$2:$A$477,0))&amp;"","")</f>
        <v>No</v>
      </c>
      <c r="I3035" s="10" t="str">
        <f aca="false">IFERROR(INDEX(Section_Master!$G$2:$G$477,MATCH($E3035,Section_Master!$A$2:$A$477,0))&amp;"","")</f>
        <v>No</v>
      </c>
      <c r="J3035" s="10" t="s">
        <v>58</v>
      </c>
      <c r="K3035" s="8" t="s">
        <v>7121</v>
      </c>
    </row>
    <row r="3036" customFormat="false" ht="23.25" hidden="false" customHeight="true" outlineLevel="0" collapsed="false">
      <c r="A3036" s="10" t="s">
        <v>7128</v>
      </c>
      <c r="B3036" s="10" t="s">
        <v>45</v>
      </c>
      <c r="C3036" s="8" t="s">
        <v>7119</v>
      </c>
      <c r="D3036" s="8" t="s">
        <v>7129</v>
      </c>
      <c r="E3036" s="11" t="n">
        <v>148</v>
      </c>
      <c r="F3036" s="8" t="str">
        <f aca="false">IFERROR(INDEX(Section_Master!$D$2:$D$477,MATCH($E3036,Section_Master!$A$2:$A$477,0))&amp;"","")</f>
        <v>Imprisonment for life, or up to 10 years, and fine</v>
      </c>
      <c r="G3036" s="10" t="str">
        <f aca="false">IFERROR(INDEX(Section_Master!$E$2:$E$477,MATCH($E3036,Section_Master!$A$2:$A$477,0))&amp;"","")</f>
        <v>Yes</v>
      </c>
      <c r="H3036" s="10" t="str">
        <f aca="false">IFERROR(INDEX(Section_Master!$F$2:$F$477,MATCH($E3036,Section_Master!$A$2:$A$477,0))&amp;"","")</f>
        <v>No</v>
      </c>
      <c r="I3036" s="10" t="str">
        <f aca="false">IFERROR(INDEX(Section_Master!$G$2:$G$477,MATCH($E3036,Section_Master!$A$2:$A$477,0))&amp;"","")</f>
        <v>No</v>
      </c>
      <c r="J3036" s="10" t="s">
        <v>61</v>
      </c>
      <c r="K3036" s="8" t="s">
        <v>7121</v>
      </c>
    </row>
    <row r="3037" customFormat="false" ht="34.5" hidden="false" customHeight="true" outlineLevel="0" collapsed="false">
      <c r="A3037" s="10" t="s">
        <v>7130</v>
      </c>
      <c r="B3037" s="10" t="s">
        <v>45</v>
      </c>
      <c r="C3037" s="8" t="s">
        <v>7119</v>
      </c>
      <c r="D3037" s="8" t="s">
        <v>7131</v>
      </c>
      <c r="E3037" s="11" t="n">
        <v>148</v>
      </c>
      <c r="F3037" s="8" t="str">
        <f aca="false">IFERROR(INDEX(Section_Master!$D$2:$D$477,MATCH($E3037,Section_Master!$A$2:$A$477,0))&amp;"","")</f>
        <v>Imprisonment for life, or up to 10 years, and fine</v>
      </c>
      <c r="G3037" s="10" t="str">
        <f aca="false">IFERROR(INDEX(Section_Master!$E$2:$E$477,MATCH($E3037,Section_Master!$A$2:$A$477,0))&amp;"","")</f>
        <v>Yes</v>
      </c>
      <c r="H3037" s="10" t="str">
        <f aca="false">IFERROR(INDEX(Section_Master!$F$2:$F$477,MATCH($E3037,Section_Master!$A$2:$A$477,0))&amp;"","")</f>
        <v>No</v>
      </c>
      <c r="I3037" s="10" t="str">
        <f aca="false">IFERROR(INDEX(Section_Master!$G$2:$G$477,MATCH($E3037,Section_Master!$A$2:$A$477,0))&amp;"","")</f>
        <v>No</v>
      </c>
      <c r="J3037" s="10" t="s">
        <v>64</v>
      </c>
      <c r="K3037" s="8" t="s">
        <v>7121</v>
      </c>
    </row>
    <row r="3038" customFormat="false" ht="34.5" hidden="false" customHeight="true" outlineLevel="0" collapsed="false">
      <c r="A3038" s="10" t="s">
        <v>7132</v>
      </c>
      <c r="B3038" s="10" t="s">
        <v>45</v>
      </c>
      <c r="C3038" s="8" t="s">
        <v>7133</v>
      </c>
      <c r="D3038" s="8" t="s">
        <v>7134</v>
      </c>
      <c r="E3038" s="11" t="n">
        <v>149</v>
      </c>
      <c r="F3038" s="8" t="str">
        <f aca="false">IFERROR(INDEX(Section_Master!$D$2:$D$477,MATCH($E3038,Section_Master!$A$2:$A$477,0))&amp;"","")</f>
        <v>Imprisonment for life, or up to 10 years, and fine</v>
      </c>
      <c r="G3038" s="10" t="str">
        <f aca="false">IFERROR(INDEX(Section_Master!$E$2:$E$477,MATCH($E3038,Section_Master!$A$2:$A$477,0))&amp;"","")</f>
        <v>Yes</v>
      </c>
      <c r="H3038" s="10" t="str">
        <f aca="false">IFERROR(INDEX(Section_Master!$F$2:$F$477,MATCH($E3038,Section_Master!$A$2:$A$477,0))&amp;"","")</f>
        <v>No</v>
      </c>
      <c r="I3038" s="10" t="str">
        <f aca="false">IFERROR(INDEX(Section_Master!$G$2:$G$477,MATCH($E3038,Section_Master!$A$2:$A$477,0))&amp;"","")</f>
        <v>No</v>
      </c>
      <c r="J3038" s="10" t="s">
        <v>48</v>
      </c>
      <c r="K3038" s="8" t="s">
        <v>7135</v>
      </c>
    </row>
    <row r="3039" customFormat="false" ht="34.5" hidden="false" customHeight="true" outlineLevel="0" collapsed="false">
      <c r="A3039" s="10" t="s">
        <v>7136</v>
      </c>
      <c r="B3039" s="10" t="s">
        <v>45</v>
      </c>
      <c r="C3039" s="8" t="s">
        <v>7133</v>
      </c>
      <c r="D3039" s="8" t="s">
        <v>7137</v>
      </c>
      <c r="E3039" s="11" t="n">
        <v>149</v>
      </c>
      <c r="F3039" s="8" t="str">
        <f aca="false">IFERROR(INDEX(Section_Master!$D$2:$D$477,MATCH($E3039,Section_Master!$A$2:$A$477,0))&amp;"","")</f>
        <v>Imprisonment for life, or up to 10 years, and fine</v>
      </c>
      <c r="G3039" s="10" t="str">
        <f aca="false">IFERROR(INDEX(Section_Master!$E$2:$E$477,MATCH($E3039,Section_Master!$A$2:$A$477,0))&amp;"","")</f>
        <v>Yes</v>
      </c>
      <c r="H3039" s="10" t="str">
        <f aca="false">IFERROR(INDEX(Section_Master!$F$2:$F$477,MATCH($E3039,Section_Master!$A$2:$A$477,0))&amp;"","")</f>
        <v>No</v>
      </c>
      <c r="I3039" s="10" t="str">
        <f aca="false">IFERROR(INDEX(Section_Master!$G$2:$G$477,MATCH($E3039,Section_Master!$A$2:$A$477,0))&amp;"","")</f>
        <v>No</v>
      </c>
      <c r="J3039" s="10" t="s">
        <v>52</v>
      </c>
      <c r="K3039" s="8" t="s">
        <v>7135</v>
      </c>
    </row>
    <row r="3040" customFormat="false" ht="34.5" hidden="false" customHeight="true" outlineLevel="0" collapsed="false">
      <c r="A3040" s="10" t="s">
        <v>7138</v>
      </c>
      <c r="B3040" s="10" t="s">
        <v>45</v>
      </c>
      <c r="C3040" s="8" t="s">
        <v>7133</v>
      </c>
      <c r="D3040" s="8" t="s">
        <v>7139</v>
      </c>
      <c r="E3040" s="11" t="n">
        <v>149</v>
      </c>
      <c r="F3040" s="8" t="str">
        <f aca="false">IFERROR(INDEX(Section_Master!$D$2:$D$477,MATCH($E3040,Section_Master!$A$2:$A$477,0))&amp;"","")</f>
        <v>Imprisonment for life, or up to 10 years, and fine</v>
      </c>
      <c r="G3040" s="10" t="str">
        <f aca="false">IFERROR(INDEX(Section_Master!$E$2:$E$477,MATCH($E3040,Section_Master!$A$2:$A$477,0))&amp;"","")</f>
        <v>Yes</v>
      </c>
      <c r="H3040" s="10" t="str">
        <f aca="false">IFERROR(INDEX(Section_Master!$F$2:$F$477,MATCH($E3040,Section_Master!$A$2:$A$477,0))&amp;"","")</f>
        <v>No</v>
      </c>
      <c r="I3040" s="10" t="str">
        <f aca="false">IFERROR(INDEX(Section_Master!$G$2:$G$477,MATCH($E3040,Section_Master!$A$2:$A$477,0))&amp;"","")</f>
        <v>No</v>
      </c>
      <c r="J3040" s="10" t="s">
        <v>55</v>
      </c>
      <c r="K3040" s="8" t="s">
        <v>7135</v>
      </c>
    </row>
    <row r="3041" customFormat="false" ht="23.25" hidden="false" customHeight="true" outlineLevel="0" collapsed="false">
      <c r="A3041" s="10" t="s">
        <v>7140</v>
      </c>
      <c r="B3041" s="10" t="s">
        <v>45</v>
      </c>
      <c r="C3041" s="8" t="s">
        <v>7133</v>
      </c>
      <c r="D3041" s="8" t="s">
        <v>7141</v>
      </c>
      <c r="E3041" s="11" t="n">
        <v>149</v>
      </c>
      <c r="F3041" s="8" t="str">
        <f aca="false">IFERROR(INDEX(Section_Master!$D$2:$D$477,MATCH($E3041,Section_Master!$A$2:$A$477,0))&amp;"","")</f>
        <v>Imprisonment for life, or up to 10 years, and fine</v>
      </c>
      <c r="G3041" s="10" t="str">
        <f aca="false">IFERROR(INDEX(Section_Master!$E$2:$E$477,MATCH($E3041,Section_Master!$A$2:$A$477,0))&amp;"","")</f>
        <v>Yes</v>
      </c>
      <c r="H3041" s="10" t="str">
        <f aca="false">IFERROR(INDEX(Section_Master!$F$2:$F$477,MATCH($E3041,Section_Master!$A$2:$A$477,0))&amp;"","")</f>
        <v>No</v>
      </c>
      <c r="I3041" s="10" t="str">
        <f aca="false">IFERROR(INDEX(Section_Master!$G$2:$G$477,MATCH($E3041,Section_Master!$A$2:$A$477,0))&amp;"","")</f>
        <v>No</v>
      </c>
      <c r="J3041" s="10" t="s">
        <v>58</v>
      </c>
      <c r="K3041" s="8" t="s">
        <v>7135</v>
      </c>
    </row>
    <row r="3042" customFormat="false" ht="23.25" hidden="false" customHeight="true" outlineLevel="0" collapsed="false">
      <c r="A3042" s="10" t="s">
        <v>7142</v>
      </c>
      <c r="B3042" s="10" t="s">
        <v>45</v>
      </c>
      <c r="C3042" s="8" t="s">
        <v>7133</v>
      </c>
      <c r="D3042" s="8" t="s">
        <v>7143</v>
      </c>
      <c r="E3042" s="11" t="n">
        <v>149</v>
      </c>
      <c r="F3042" s="8" t="str">
        <f aca="false">IFERROR(INDEX(Section_Master!$D$2:$D$477,MATCH($E3042,Section_Master!$A$2:$A$477,0))&amp;"","")</f>
        <v>Imprisonment for life, or up to 10 years, and fine</v>
      </c>
      <c r="G3042" s="10" t="str">
        <f aca="false">IFERROR(INDEX(Section_Master!$E$2:$E$477,MATCH($E3042,Section_Master!$A$2:$A$477,0))&amp;"","")</f>
        <v>Yes</v>
      </c>
      <c r="H3042" s="10" t="str">
        <f aca="false">IFERROR(INDEX(Section_Master!$F$2:$F$477,MATCH($E3042,Section_Master!$A$2:$A$477,0))&amp;"","")</f>
        <v>No</v>
      </c>
      <c r="I3042" s="10" t="str">
        <f aca="false">IFERROR(INDEX(Section_Master!$G$2:$G$477,MATCH($E3042,Section_Master!$A$2:$A$477,0))&amp;"","")</f>
        <v>No</v>
      </c>
      <c r="J3042" s="10" t="s">
        <v>61</v>
      </c>
      <c r="K3042" s="8" t="s">
        <v>7135</v>
      </c>
    </row>
    <row r="3043" customFormat="false" ht="34.5" hidden="false" customHeight="true" outlineLevel="0" collapsed="false">
      <c r="A3043" s="10" t="s">
        <v>7144</v>
      </c>
      <c r="B3043" s="10" t="s">
        <v>45</v>
      </c>
      <c r="C3043" s="8" t="s">
        <v>7133</v>
      </c>
      <c r="D3043" s="8" t="s">
        <v>7145</v>
      </c>
      <c r="E3043" s="11" t="n">
        <v>149</v>
      </c>
      <c r="F3043" s="8" t="str">
        <f aca="false">IFERROR(INDEX(Section_Master!$D$2:$D$477,MATCH($E3043,Section_Master!$A$2:$A$477,0))&amp;"","")</f>
        <v>Imprisonment for life, or up to 10 years, and fine</v>
      </c>
      <c r="G3043" s="10" t="str">
        <f aca="false">IFERROR(INDEX(Section_Master!$E$2:$E$477,MATCH($E3043,Section_Master!$A$2:$A$477,0))&amp;"","")</f>
        <v>Yes</v>
      </c>
      <c r="H3043" s="10" t="str">
        <f aca="false">IFERROR(INDEX(Section_Master!$F$2:$F$477,MATCH($E3043,Section_Master!$A$2:$A$477,0))&amp;"","")</f>
        <v>No</v>
      </c>
      <c r="I3043" s="10" t="str">
        <f aca="false">IFERROR(INDEX(Section_Master!$G$2:$G$477,MATCH($E3043,Section_Master!$A$2:$A$477,0))&amp;"","")</f>
        <v>No</v>
      </c>
      <c r="J3043" s="10" t="s">
        <v>64</v>
      </c>
      <c r="K3043" s="8" t="s">
        <v>7135</v>
      </c>
    </row>
    <row r="3044" customFormat="false" ht="34.5" hidden="false" customHeight="true" outlineLevel="0" collapsed="false">
      <c r="A3044" s="10" t="s">
        <v>7146</v>
      </c>
      <c r="B3044" s="10" t="s">
        <v>45</v>
      </c>
      <c r="C3044" s="8" t="s">
        <v>7147</v>
      </c>
      <c r="D3044" s="8" t="s">
        <v>7148</v>
      </c>
      <c r="E3044" s="11" t="n">
        <v>150</v>
      </c>
      <c r="F3044" s="8" t="str">
        <f aca="false">IFERROR(INDEX(Section_Master!$D$2:$D$477,MATCH($E3044,Section_Master!$A$2:$A$477,0))&amp;"","")</f>
        <v>Imprisonment up to 10 years and fine</v>
      </c>
      <c r="G3044" s="10" t="str">
        <f aca="false">IFERROR(INDEX(Section_Master!$E$2:$E$477,MATCH($E3044,Section_Master!$A$2:$A$477,0))&amp;"","")</f>
        <v>Yes</v>
      </c>
      <c r="H3044" s="10" t="str">
        <f aca="false">IFERROR(INDEX(Section_Master!$F$2:$F$477,MATCH($E3044,Section_Master!$A$2:$A$477,0))&amp;"","")</f>
        <v>No</v>
      </c>
      <c r="I3044" s="10" t="str">
        <f aca="false">IFERROR(INDEX(Section_Master!$G$2:$G$477,MATCH($E3044,Section_Master!$A$2:$A$477,0))&amp;"","")</f>
        <v>No</v>
      </c>
      <c r="J3044" s="10" t="s">
        <v>48</v>
      </c>
      <c r="K3044" s="8" t="s">
        <v>7149</v>
      </c>
    </row>
    <row r="3045" customFormat="false" ht="34.5" hidden="false" customHeight="true" outlineLevel="0" collapsed="false">
      <c r="A3045" s="10" t="s">
        <v>7150</v>
      </c>
      <c r="B3045" s="10" t="s">
        <v>45</v>
      </c>
      <c r="C3045" s="8" t="s">
        <v>7147</v>
      </c>
      <c r="D3045" s="8" t="s">
        <v>7151</v>
      </c>
      <c r="E3045" s="11" t="n">
        <v>150</v>
      </c>
      <c r="F3045" s="8" t="str">
        <f aca="false">IFERROR(INDEX(Section_Master!$D$2:$D$477,MATCH($E3045,Section_Master!$A$2:$A$477,0))&amp;"","")</f>
        <v>Imprisonment up to 10 years and fine</v>
      </c>
      <c r="G3045" s="10" t="str">
        <f aca="false">IFERROR(INDEX(Section_Master!$E$2:$E$477,MATCH($E3045,Section_Master!$A$2:$A$477,0))&amp;"","")</f>
        <v>Yes</v>
      </c>
      <c r="H3045" s="10" t="str">
        <f aca="false">IFERROR(INDEX(Section_Master!$F$2:$F$477,MATCH($E3045,Section_Master!$A$2:$A$477,0))&amp;"","")</f>
        <v>No</v>
      </c>
      <c r="I3045" s="10" t="str">
        <f aca="false">IFERROR(INDEX(Section_Master!$G$2:$G$477,MATCH($E3045,Section_Master!$A$2:$A$477,0))&amp;"","")</f>
        <v>No</v>
      </c>
      <c r="J3045" s="10" t="s">
        <v>52</v>
      </c>
      <c r="K3045" s="8" t="s">
        <v>7149</v>
      </c>
    </row>
    <row r="3046" customFormat="false" ht="34.5" hidden="false" customHeight="true" outlineLevel="0" collapsed="false">
      <c r="A3046" s="10" t="s">
        <v>7152</v>
      </c>
      <c r="B3046" s="10" t="s">
        <v>45</v>
      </c>
      <c r="C3046" s="8" t="s">
        <v>7147</v>
      </c>
      <c r="D3046" s="8" t="s">
        <v>7153</v>
      </c>
      <c r="E3046" s="11" t="n">
        <v>150</v>
      </c>
      <c r="F3046" s="8" t="str">
        <f aca="false">IFERROR(INDEX(Section_Master!$D$2:$D$477,MATCH($E3046,Section_Master!$A$2:$A$477,0))&amp;"","")</f>
        <v>Imprisonment up to 10 years and fine</v>
      </c>
      <c r="G3046" s="10" t="str">
        <f aca="false">IFERROR(INDEX(Section_Master!$E$2:$E$477,MATCH($E3046,Section_Master!$A$2:$A$477,0))&amp;"","")</f>
        <v>Yes</v>
      </c>
      <c r="H3046" s="10" t="str">
        <f aca="false">IFERROR(INDEX(Section_Master!$F$2:$F$477,MATCH($E3046,Section_Master!$A$2:$A$477,0))&amp;"","")</f>
        <v>No</v>
      </c>
      <c r="I3046" s="10" t="str">
        <f aca="false">IFERROR(INDEX(Section_Master!$G$2:$G$477,MATCH($E3046,Section_Master!$A$2:$A$477,0))&amp;"","")</f>
        <v>No</v>
      </c>
      <c r="J3046" s="10" t="s">
        <v>55</v>
      </c>
      <c r="K3046" s="8" t="s">
        <v>7149</v>
      </c>
    </row>
    <row r="3047" customFormat="false" ht="23.25" hidden="false" customHeight="true" outlineLevel="0" collapsed="false">
      <c r="A3047" s="10" t="s">
        <v>7154</v>
      </c>
      <c r="B3047" s="10" t="s">
        <v>45</v>
      </c>
      <c r="C3047" s="8" t="s">
        <v>7147</v>
      </c>
      <c r="D3047" s="8" t="s">
        <v>7155</v>
      </c>
      <c r="E3047" s="11" t="n">
        <v>150</v>
      </c>
      <c r="F3047" s="8" t="str">
        <f aca="false">IFERROR(INDEX(Section_Master!$D$2:$D$477,MATCH($E3047,Section_Master!$A$2:$A$477,0))&amp;"","")</f>
        <v>Imprisonment up to 10 years and fine</v>
      </c>
      <c r="G3047" s="10" t="str">
        <f aca="false">IFERROR(INDEX(Section_Master!$E$2:$E$477,MATCH($E3047,Section_Master!$A$2:$A$477,0))&amp;"","")</f>
        <v>Yes</v>
      </c>
      <c r="H3047" s="10" t="str">
        <f aca="false">IFERROR(INDEX(Section_Master!$F$2:$F$477,MATCH($E3047,Section_Master!$A$2:$A$477,0))&amp;"","")</f>
        <v>No</v>
      </c>
      <c r="I3047" s="10" t="str">
        <f aca="false">IFERROR(INDEX(Section_Master!$G$2:$G$477,MATCH($E3047,Section_Master!$A$2:$A$477,0))&amp;"","")</f>
        <v>No</v>
      </c>
      <c r="J3047" s="10" t="s">
        <v>58</v>
      </c>
      <c r="K3047" s="8" t="s">
        <v>7149</v>
      </c>
    </row>
    <row r="3048" customFormat="false" ht="23.25" hidden="false" customHeight="true" outlineLevel="0" collapsed="false">
      <c r="A3048" s="10" t="s">
        <v>7156</v>
      </c>
      <c r="B3048" s="10" t="s">
        <v>45</v>
      </c>
      <c r="C3048" s="8" t="s">
        <v>7147</v>
      </c>
      <c r="D3048" s="8" t="s">
        <v>7157</v>
      </c>
      <c r="E3048" s="11" t="n">
        <v>150</v>
      </c>
      <c r="F3048" s="8" t="str">
        <f aca="false">IFERROR(INDEX(Section_Master!$D$2:$D$477,MATCH($E3048,Section_Master!$A$2:$A$477,0))&amp;"","")</f>
        <v>Imprisonment up to 10 years and fine</v>
      </c>
      <c r="G3048" s="10" t="str">
        <f aca="false">IFERROR(INDEX(Section_Master!$E$2:$E$477,MATCH($E3048,Section_Master!$A$2:$A$477,0))&amp;"","")</f>
        <v>Yes</v>
      </c>
      <c r="H3048" s="10" t="str">
        <f aca="false">IFERROR(INDEX(Section_Master!$F$2:$F$477,MATCH($E3048,Section_Master!$A$2:$A$477,0))&amp;"","")</f>
        <v>No</v>
      </c>
      <c r="I3048" s="10" t="str">
        <f aca="false">IFERROR(INDEX(Section_Master!$G$2:$G$477,MATCH($E3048,Section_Master!$A$2:$A$477,0))&amp;"","")</f>
        <v>No</v>
      </c>
      <c r="J3048" s="10" t="s">
        <v>61</v>
      </c>
      <c r="K3048" s="8" t="s">
        <v>7149</v>
      </c>
    </row>
    <row r="3049" customFormat="false" ht="34.5" hidden="false" customHeight="true" outlineLevel="0" collapsed="false">
      <c r="A3049" s="10" t="s">
        <v>7158</v>
      </c>
      <c r="B3049" s="10" t="s">
        <v>45</v>
      </c>
      <c r="C3049" s="8" t="s">
        <v>7147</v>
      </c>
      <c r="D3049" s="8" t="s">
        <v>7159</v>
      </c>
      <c r="E3049" s="11" t="n">
        <v>150</v>
      </c>
      <c r="F3049" s="8" t="str">
        <f aca="false">IFERROR(INDEX(Section_Master!$D$2:$D$477,MATCH($E3049,Section_Master!$A$2:$A$477,0))&amp;"","")</f>
        <v>Imprisonment up to 10 years and fine</v>
      </c>
      <c r="G3049" s="10" t="str">
        <f aca="false">IFERROR(INDEX(Section_Master!$E$2:$E$477,MATCH($E3049,Section_Master!$A$2:$A$477,0))&amp;"","")</f>
        <v>Yes</v>
      </c>
      <c r="H3049" s="10" t="str">
        <f aca="false">IFERROR(INDEX(Section_Master!$F$2:$F$477,MATCH($E3049,Section_Master!$A$2:$A$477,0))&amp;"","")</f>
        <v>No</v>
      </c>
      <c r="I3049" s="10" t="str">
        <f aca="false">IFERROR(INDEX(Section_Master!$G$2:$G$477,MATCH($E3049,Section_Master!$A$2:$A$477,0))&amp;"","")</f>
        <v>No</v>
      </c>
      <c r="J3049" s="10" t="s">
        <v>64</v>
      </c>
      <c r="K3049" s="8" t="s">
        <v>7149</v>
      </c>
    </row>
    <row r="3050" customFormat="false" ht="34.5" hidden="false" customHeight="true" outlineLevel="0" collapsed="false">
      <c r="A3050" s="10" t="s">
        <v>7160</v>
      </c>
      <c r="B3050" s="10" t="s">
        <v>45</v>
      </c>
      <c r="C3050" s="8" t="s">
        <v>7161</v>
      </c>
      <c r="D3050" s="8" t="s">
        <v>7162</v>
      </c>
      <c r="E3050" s="11" t="n">
        <v>151</v>
      </c>
      <c r="F3050" s="8" t="str">
        <f aca="false">IFERROR(INDEX(Section_Master!$D$2:$D$477,MATCH($E3050,Section_Master!$A$2:$A$477,0))&amp;"","")</f>
        <v>Imprisonment up to 7 years and fine</v>
      </c>
      <c r="G3050" s="10" t="str">
        <f aca="false">IFERROR(INDEX(Section_Master!$E$2:$E$477,MATCH($E3050,Section_Master!$A$2:$A$477,0))&amp;"","")</f>
        <v>Yes</v>
      </c>
      <c r="H3050" s="10" t="str">
        <f aca="false">IFERROR(INDEX(Section_Master!$F$2:$F$477,MATCH($E3050,Section_Master!$A$2:$A$477,0))&amp;"","")</f>
        <v>No</v>
      </c>
      <c r="I3050" s="10" t="str">
        <f aca="false">IFERROR(INDEX(Section_Master!$G$2:$G$477,MATCH($E3050,Section_Master!$A$2:$A$477,0))&amp;"","")</f>
        <v>No</v>
      </c>
      <c r="J3050" s="10" t="s">
        <v>48</v>
      </c>
      <c r="K3050" s="8" t="s">
        <v>7163</v>
      </c>
    </row>
    <row r="3051" customFormat="false" ht="34.5" hidden="false" customHeight="true" outlineLevel="0" collapsed="false">
      <c r="A3051" s="10" t="s">
        <v>7164</v>
      </c>
      <c r="B3051" s="10" t="s">
        <v>45</v>
      </c>
      <c r="C3051" s="8" t="s">
        <v>7161</v>
      </c>
      <c r="D3051" s="8" t="s">
        <v>7165</v>
      </c>
      <c r="E3051" s="11" t="n">
        <v>151</v>
      </c>
      <c r="F3051" s="8" t="str">
        <f aca="false">IFERROR(INDEX(Section_Master!$D$2:$D$477,MATCH($E3051,Section_Master!$A$2:$A$477,0))&amp;"","")</f>
        <v>Imprisonment up to 7 years and fine</v>
      </c>
      <c r="G3051" s="10" t="str">
        <f aca="false">IFERROR(INDEX(Section_Master!$E$2:$E$477,MATCH($E3051,Section_Master!$A$2:$A$477,0))&amp;"","")</f>
        <v>Yes</v>
      </c>
      <c r="H3051" s="10" t="str">
        <f aca="false">IFERROR(INDEX(Section_Master!$F$2:$F$477,MATCH($E3051,Section_Master!$A$2:$A$477,0))&amp;"","")</f>
        <v>No</v>
      </c>
      <c r="I3051" s="10" t="str">
        <f aca="false">IFERROR(INDEX(Section_Master!$G$2:$G$477,MATCH($E3051,Section_Master!$A$2:$A$477,0))&amp;"","")</f>
        <v>No</v>
      </c>
      <c r="J3051" s="10" t="s">
        <v>52</v>
      </c>
      <c r="K3051" s="8" t="s">
        <v>7163</v>
      </c>
    </row>
    <row r="3052" customFormat="false" ht="23.25" hidden="false" customHeight="true" outlineLevel="0" collapsed="false">
      <c r="A3052" s="10" t="s">
        <v>7166</v>
      </c>
      <c r="B3052" s="10" t="s">
        <v>45</v>
      </c>
      <c r="C3052" s="8" t="s">
        <v>7161</v>
      </c>
      <c r="D3052" s="8" t="s">
        <v>7167</v>
      </c>
      <c r="E3052" s="11" t="n">
        <v>151</v>
      </c>
      <c r="F3052" s="8" t="str">
        <f aca="false">IFERROR(INDEX(Section_Master!$D$2:$D$477,MATCH($E3052,Section_Master!$A$2:$A$477,0))&amp;"","")</f>
        <v>Imprisonment up to 7 years and fine</v>
      </c>
      <c r="G3052" s="10" t="str">
        <f aca="false">IFERROR(INDEX(Section_Master!$E$2:$E$477,MATCH($E3052,Section_Master!$A$2:$A$477,0))&amp;"","")</f>
        <v>Yes</v>
      </c>
      <c r="H3052" s="10" t="str">
        <f aca="false">IFERROR(INDEX(Section_Master!$F$2:$F$477,MATCH($E3052,Section_Master!$A$2:$A$477,0))&amp;"","")</f>
        <v>No</v>
      </c>
      <c r="I3052" s="10" t="str">
        <f aca="false">IFERROR(INDEX(Section_Master!$G$2:$G$477,MATCH($E3052,Section_Master!$A$2:$A$477,0))&amp;"","")</f>
        <v>No</v>
      </c>
      <c r="J3052" s="10" t="s">
        <v>55</v>
      </c>
      <c r="K3052" s="8" t="s">
        <v>7163</v>
      </c>
    </row>
    <row r="3053" customFormat="false" ht="23.25" hidden="false" customHeight="true" outlineLevel="0" collapsed="false">
      <c r="A3053" s="10" t="s">
        <v>7168</v>
      </c>
      <c r="B3053" s="10" t="s">
        <v>45</v>
      </c>
      <c r="C3053" s="8" t="s">
        <v>7161</v>
      </c>
      <c r="D3053" s="8" t="s">
        <v>7169</v>
      </c>
      <c r="E3053" s="11" t="n">
        <v>151</v>
      </c>
      <c r="F3053" s="8" t="str">
        <f aca="false">IFERROR(INDEX(Section_Master!$D$2:$D$477,MATCH($E3053,Section_Master!$A$2:$A$477,0))&amp;"","")</f>
        <v>Imprisonment up to 7 years and fine</v>
      </c>
      <c r="G3053" s="10" t="str">
        <f aca="false">IFERROR(INDEX(Section_Master!$E$2:$E$477,MATCH($E3053,Section_Master!$A$2:$A$477,0))&amp;"","")</f>
        <v>Yes</v>
      </c>
      <c r="H3053" s="10" t="str">
        <f aca="false">IFERROR(INDEX(Section_Master!$F$2:$F$477,MATCH($E3053,Section_Master!$A$2:$A$477,0))&amp;"","")</f>
        <v>No</v>
      </c>
      <c r="I3053" s="10" t="str">
        <f aca="false">IFERROR(INDEX(Section_Master!$G$2:$G$477,MATCH($E3053,Section_Master!$A$2:$A$477,0))&amp;"","")</f>
        <v>No</v>
      </c>
      <c r="J3053" s="10" t="s">
        <v>58</v>
      </c>
      <c r="K3053" s="8" t="s">
        <v>7163</v>
      </c>
    </row>
    <row r="3054" customFormat="false" ht="23.25" hidden="false" customHeight="true" outlineLevel="0" collapsed="false">
      <c r="A3054" s="10" t="s">
        <v>7170</v>
      </c>
      <c r="B3054" s="10" t="s">
        <v>45</v>
      </c>
      <c r="C3054" s="8" t="s">
        <v>7161</v>
      </c>
      <c r="D3054" s="8" t="s">
        <v>7171</v>
      </c>
      <c r="E3054" s="11" t="n">
        <v>151</v>
      </c>
      <c r="F3054" s="8" t="str">
        <f aca="false">IFERROR(INDEX(Section_Master!$D$2:$D$477,MATCH($E3054,Section_Master!$A$2:$A$477,0))&amp;"","")</f>
        <v>Imprisonment up to 7 years and fine</v>
      </c>
      <c r="G3054" s="10" t="str">
        <f aca="false">IFERROR(INDEX(Section_Master!$E$2:$E$477,MATCH($E3054,Section_Master!$A$2:$A$477,0))&amp;"","")</f>
        <v>Yes</v>
      </c>
      <c r="H3054" s="10" t="str">
        <f aca="false">IFERROR(INDEX(Section_Master!$F$2:$F$477,MATCH($E3054,Section_Master!$A$2:$A$477,0))&amp;"","")</f>
        <v>No</v>
      </c>
      <c r="I3054" s="10" t="str">
        <f aca="false">IFERROR(INDEX(Section_Master!$G$2:$G$477,MATCH($E3054,Section_Master!$A$2:$A$477,0))&amp;"","")</f>
        <v>No</v>
      </c>
      <c r="J3054" s="10" t="s">
        <v>61</v>
      </c>
      <c r="K3054" s="8" t="s">
        <v>7163</v>
      </c>
    </row>
    <row r="3055" customFormat="false" ht="34.5" hidden="false" customHeight="true" outlineLevel="0" collapsed="false">
      <c r="A3055" s="10" t="s">
        <v>7172</v>
      </c>
      <c r="B3055" s="10" t="s">
        <v>45</v>
      </c>
      <c r="C3055" s="8" t="s">
        <v>7161</v>
      </c>
      <c r="D3055" s="8" t="s">
        <v>7173</v>
      </c>
      <c r="E3055" s="11" t="n">
        <v>151</v>
      </c>
      <c r="F3055" s="8" t="str">
        <f aca="false">IFERROR(INDEX(Section_Master!$D$2:$D$477,MATCH($E3055,Section_Master!$A$2:$A$477,0))&amp;"","")</f>
        <v>Imprisonment up to 7 years and fine</v>
      </c>
      <c r="G3055" s="10" t="str">
        <f aca="false">IFERROR(INDEX(Section_Master!$E$2:$E$477,MATCH($E3055,Section_Master!$A$2:$A$477,0))&amp;"","")</f>
        <v>Yes</v>
      </c>
      <c r="H3055" s="10" t="str">
        <f aca="false">IFERROR(INDEX(Section_Master!$F$2:$F$477,MATCH($E3055,Section_Master!$A$2:$A$477,0))&amp;"","")</f>
        <v>No</v>
      </c>
      <c r="I3055" s="10" t="str">
        <f aca="false">IFERROR(INDEX(Section_Master!$G$2:$G$477,MATCH($E3055,Section_Master!$A$2:$A$477,0))&amp;"","")</f>
        <v>No</v>
      </c>
      <c r="J3055" s="10" t="s">
        <v>64</v>
      </c>
      <c r="K3055" s="8" t="s">
        <v>7163</v>
      </c>
    </row>
    <row r="3056" customFormat="false" ht="34.5" hidden="false" customHeight="true" outlineLevel="0" collapsed="false">
      <c r="A3056" s="10" t="s">
        <v>7174</v>
      </c>
      <c r="B3056" s="10" t="s">
        <v>45</v>
      </c>
      <c r="C3056" s="8" t="s">
        <v>7175</v>
      </c>
      <c r="D3056" s="8" t="s">
        <v>7176</v>
      </c>
      <c r="E3056" s="11" t="n">
        <v>152</v>
      </c>
      <c r="F3056" s="8" t="str">
        <f aca="false">IFERROR(INDEX(Section_Master!$D$2:$D$477,MATCH($E3056,Section_Master!$A$2:$A$477,0))&amp;"","")</f>
        <v>Imprisonment for life, or up to 7 years, and fine</v>
      </c>
      <c r="G3056" s="10" t="str">
        <f aca="false">IFERROR(INDEX(Section_Master!$E$2:$E$477,MATCH($E3056,Section_Master!$A$2:$A$477,0))&amp;"","")</f>
        <v>Yes</v>
      </c>
      <c r="H3056" s="10" t="str">
        <f aca="false">IFERROR(INDEX(Section_Master!$F$2:$F$477,MATCH($E3056,Section_Master!$A$2:$A$477,0))&amp;"","")</f>
        <v>No</v>
      </c>
      <c r="I3056" s="10" t="str">
        <f aca="false">IFERROR(INDEX(Section_Master!$G$2:$G$477,MATCH($E3056,Section_Master!$A$2:$A$477,0))&amp;"","")</f>
        <v>No</v>
      </c>
      <c r="J3056" s="10" t="s">
        <v>48</v>
      </c>
      <c r="K3056" s="8" t="s">
        <v>7177</v>
      </c>
    </row>
    <row r="3057" customFormat="false" ht="34.5" hidden="false" customHeight="true" outlineLevel="0" collapsed="false">
      <c r="A3057" s="10" t="s">
        <v>7178</v>
      </c>
      <c r="B3057" s="10" t="s">
        <v>45</v>
      </c>
      <c r="C3057" s="8" t="s">
        <v>7175</v>
      </c>
      <c r="D3057" s="8" t="s">
        <v>7179</v>
      </c>
      <c r="E3057" s="11" t="n">
        <v>152</v>
      </c>
      <c r="F3057" s="8" t="str">
        <f aca="false">IFERROR(INDEX(Section_Master!$D$2:$D$477,MATCH($E3057,Section_Master!$A$2:$A$477,0))&amp;"","")</f>
        <v>Imprisonment for life, or up to 7 years, and fine</v>
      </c>
      <c r="G3057" s="10" t="str">
        <f aca="false">IFERROR(INDEX(Section_Master!$E$2:$E$477,MATCH($E3057,Section_Master!$A$2:$A$477,0))&amp;"","")</f>
        <v>Yes</v>
      </c>
      <c r="H3057" s="10" t="str">
        <f aca="false">IFERROR(INDEX(Section_Master!$F$2:$F$477,MATCH($E3057,Section_Master!$A$2:$A$477,0))&amp;"","")</f>
        <v>No</v>
      </c>
      <c r="I3057" s="10" t="str">
        <f aca="false">IFERROR(INDEX(Section_Master!$G$2:$G$477,MATCH($E3057,Section_Master!$A$2:$A$477,0))&amp;"","")</f>
        <v>No</v>
      </c>
      <c r="J3057" s="10" t="s">
        <v>52</v>
      </c>
      <c r="K3057" s="8" t="s">
        <v>7177</v>
      </c>
    </row>
    <row r="3058" customFormat="false" ht="34.5" hidden="false" customHeight="true" outlineLevel="0" collapsed="false">
      <c r="A3058" s="10" t="s">
        <v>7180</v>
      </c>
      <c r="B3058" s="10" t="s">
        <v>45</v>
      </c>
      <c r="C3058" s="8" t="s">
        <v>7175</v>
      </c>
      <c r="D3058" s="8" t="s">
        <v>7181</v>
      </c>
      <c r="E3058" s="11" t="n">
        <v>152</v>
      </c>
      <c r="F3058" s="8" t="str">
        <f aca="false">IFERROR(INDEX(Section_Master!$D$2:$D$477,MATCH($E3058,Section_Master!$A$2:$A$477,0))&amp;"","")</f>
        <v>Imprisonment for life, or up to 7 years, and fine</v>
      </c>
      <c r="G3058" s="10" t="str">
        <f aca="false">IFERROR(INDEX(Section_Master!$E$2:$E$477,MATCH($E3058,Section_Master!$A$2:$A$477,0))&amp;"","")</f>
        <v>Yes</v>
      </c>
      <c r="H3058" s="10" t="str">
        <f aca="false">IFERROR(INDEX(Section_Master!$F$2:$F$477,MATCH($E3058,Section_Master!$A$2:$A$477,0))&amp;"","")</f>
        <v>No</v>
      </c>
      <c r="I3058" s="10" t="str">
        <f aca="false">IFERROR(INDEX(Section_Master!$G$2:$G$477,MATCH($E3058,Section_Master!$A$2:$A$477,0))&amp;"","")</f>
        <v>No</v>
      </c>
      <c r="J3058" s="10" t="s">
        <v>55</v>
      </c>
      <c r="K3058" s="8" t="s">
        <v>7177</v>
      </c>
    </row>
    <row r="3059" customFormat="false" ht="34.5" hidden="false" customHeight="true" outlineLevel="0" collapsed="false">
      <c r="A3059" s="10" t="s">
        <v>7182</v>
      </c>
      <c r="B3059" s="10" t="s">
        <v>45</v>
      </c>
      <c r="C3059" s="8" t="s">
        <v>7175</v>
      </c>
      <c r="D3059" s="8" t="s">
        <v>7183</v>
      </c>
      <c r="E3059" s="11" t="n">
        <v>152</v>
      </c>
      <c r="F3059" s="8" t="str">
        <f aca="false">IFERROR(INDEX(Section_Master!$D$2:$D$477,MATCH($E3059,Section_Master!$A$2:$A$477,0))&amp;"","")</f>
        <v>Imprisonment for life, or up to 7 years, and fine</v>
      </c>
      <c r="G3059" s="10" t="str">
        <f aca="false">IFERROR(INDEX(Section_Master!$E$2:$E$477,MATCH($E3059,Section_Master!$A$2:$A$477,0))&amp;"","")</f>
        <v>Yes</v>
      </c>
      <c r="H3059" s="10" t="str">
        <f aca="false">IFERROR(INDEX(Section_Master!$F$2:$F$477,MATCH($E3059,Section_Master!$A$2:$A$477,0))&amp;"","")</f>
        <v>No</v>
      </c>
      <c r="I3059" s="10" t="str">
        <f aca="false">IFERROR(INDEX(Section_Master!$G$2:$G$477,MATCH($E3059,Section_Master!$A$2:$A$477,0))&amp;"","")</f>
        <v>No</v>
      </c>
      <c r="J3059" s="10" t="s">
        <v>58</v>
      </c>
      <c r="K3059" s="8" t="s">
        <v>7177</v>
      </c>
    </row>
    <row r="3060" customFormat="false" ht="23.25" hidden="false" customHeight="true" outlineLevel="0" collapsed="false">
      <c r="A3060" s="10" t="s">
        <v>7184</v>
      </c>
      <c r="B3060" s="10" t="s">
        <v>45</v>
      </c>
      <c r="C3060" s="8" t="s">
        <v>7175</v>
      </c>
      <c r="D3060" s="8" t="s">
        <v>7185</v>
      </c>
      <c r="E3060" s="11" t="n">
        <v>152</v>
      </c>
      <c r="F3060" s="8" t="str">
        <f aca="false">IFERROR(INDEX(Section_Master!$D$2:$D$477,MATCH($E3060,Section_Master!$A$2:$A$477,0))&amp;"","")</f>
        <v>Imprisonment for life, or up to 7 years, and fine</v>
      </c>
      <c r="G3060" s="10" t="str">
        <f aca="false">IFERROR(INDEX(Section_Master!$E$2:$E$477,MATCH($E3060,Section_Master!$A$2:$A$477,0))&amp;"","")</f>
        <v>Yes</v>
      </c>
      <c r="H3060" s="10" t="str">
        <f aca="false">IFERROR(INDEX(Section_Master!$F$2:$F$477,MATCH($E3060,Section_Master!$A$2:$A$477,0))&amp;"","")</f>
        <v>No</v>
      </c>
      <c r="I3060" s="10" t="str">
        <f aca="false">IFERROR(INDEX(Section_Master!$G$2:$G$477,MATCH($E3060,Section_Master!$A$2:$A$477,0))&amp;"","")</f>
        <v>No</v>
      </c>
      <c r="J3060" s="10" t="s">
        <v>61</v>
      </c>
      <c r="K3060" s="8" t="s">
        <v>7177</v>
      </c>
    </row>
    <row r="3061" customFormat="false" ht="34.5" hidden="false" customHeight="true" outlineLevel="0" collapsed="false">
      <c r="A3061" s="10" t="s">
        <v>7186</v>
      </c>
      <c r="B3061" s="10" t="s">
        <v>45</v>
      </c>
      <c r="C3061" s="8" t="s">
        <v>7175</v>
      </c>
      <c r="D3061" s="8" t="s">
        <v>7187</v>
      </c>
      <c r="E3061" s="11" t="n">
        <v>152</v>
      </c>
      <c r="F3061" s="8" t="str">
        <f aca="false">IFERROR(INDEX(Section_Master!$D$2:$D$477,MATCH($E3061,Section_Master!$A$2:$A$477,0))&amp;"","")</f>
        <v>Imprisonment for life, or up to 7 years, and fine</v>
      </c>
      <c r="G3061" s="10" t="str">
        <f aca="false">IFERROR(INDEX(Section_Master!$E$2:$E$477,MATCH($E3061,Section_Master!$A$2:$A$477,0))&amp;"","")</f>
        <v>Yes</v>
      </c>
      <c r="H3061" s="10" t="str">
        <f aca="false">IFERROR(INDEX(Section_Master!$F$2:$F$477,MATCH($E3061,Section_Master!$A$2:$A$477,0))&amp;"","")</f>
        <v>No</v>
      </c>
      <c r="I3061" s="10" t="str">
        <f aca="false">IFERROR(INDEX(Section_Master!$G$2:$G$477,MATCH($E3061,Section_Master!$A$2:$A$477,0))&amp;"","")</f>
        <v>No</v>
      </c>
      <c r="J3061" s="10" t="s">
        <v>64</v>
      </c>
      <c r="K3061" s="8" t="s">
        <v>7177</v>
      </c>
    </row>
    <row r="3062" customFormat="false" ht="34.5" hidden="false" customHeight="true" outlineLevel="0" collapsed="false">
      <c r="A3062" s="10" t="s">
        <v>7188</v>
      </c>
      <c r="B3062" s="10" t="s">
        <v>45</v>
      </c>
      <c r="C3062" s="8" t="s">
        <v>7189</v>
      </c>
      <c r="D3062" s="8" t="s">
        <v>7190</v>
      </c>
      <c r="E3062" s="11" t="n">
        <v>153</v>
      </c>
      <c r="F3062" s="8" t="str">
        <f aca="false">IFERROR(INDEX(Section_Master!$D$2:$D$477,MATCH($E3062,Section_Master!$A$2:$A$477,0))&amp;"","")</f>
        <v>Imprisonment for life, or up to 7 years, and fine</v>
      </c>
      <c r="G3062" s="10" t="str">
        <f aca="false">IFERROR(INDEX(Section_Master!$E$2:$E$477,MATCH($E3062,Section_Master!$A$2:$A$477,0))&amp;"","")</f>
        <v>Yes</v>
      </c>
      <c r="H3062" s="10" t="str">
        <f aca="false">IFERROR(INDEX(Section_Master!$F$2:$F$477,MATCH($E3062,Section_Master!$A$2:$A$477,0))&amp;"","")</f>
        <v>No</v>
      </c>
      <c r="I3062" s="10" t="str">
        <f aca="false">IFERROR(INDEX(Section_Master!$G$2:$G$477,MATCH($E3062,Section_Master!$A$2:$A$477,0))&amp;"","")</f>
        <v>No</v>
      </c>
      <c r="J3062" s="10" t="s">
        <v>48</v>
      </c>
      <c r="K3062" s="8" t="s">
        <v>7191</v>
      </c>
    </row>
    <row r="3063" customFormat="false" ht="23.25" hidden="false" customHeight="true" outlineLevel="0" collapsed="false">
      <c r="A3063" s="10" t="s">
        <v>7192</v>
      </c>
      <c r="B3063" s="10" t="s">
        <v>45</v>
      </c>
      <c r="C3063" s="8" t="s">
        <v>7189</v>
      </c>
      <c r="D3063" s="8" t="s">
        <v>7193</v>
      </c>
      <c r="E3063" s="11" t="n">
        <v>153</v>
      </c>
      <c r="F3063" s="8" t="str">
        <f aca="false">IFERROR(INDEX(Section_Master!$D$2:$D$477,MATCH($E3063,Section_Master!$A$2:$A$477,0))&amp;"","")</f>
        <v>Imprisonment for life, or up to 7 years, and fine</v>
      </c>
      <c r="G3063" s="10" t="str">
        <f aca="false">IFERROR(INDEX(Section_Master!$E$2:$E$477,MATCH($E3063,Section_Master!$A$2:$A$477,0))&amp;"","")</f>
        <v>Yes</v>
      </c>
      <c r="H3063" s="10" t="str">
        <f aca="false">IFERROR(INDEX(Section_Master!$F$2:$F$477,MATCH($E3063,Section_Master!$A$2:$A$477,0))&amp;"","")</f>
        <v>No</v>
      </c>
      <c r="I3063" s="10" t="str">
        <f aca="false">IFERROR(INDEX(Section_Master!$G$2:$G$477,MATCH($E3063,Section_Master!$A$2:$A$477,0))&amp;"","")</f>
        <v>No</v>
      </c>
      <c r="J3063" s="10" t="s">
        <v>52</v>
      </c>
      <c r="K3063" s="8" t="s">
        <v>7191</v>
      </c>
    </row>
    <row r="3064" customFormat="false" ht="34.5" hidden="false" customHeight="true" outlineLevel="0" collapsed="false">
      <c r="A3064" s="10" t="s">
        <v>7194</v>
      </c>
      <c r="B3064" s="10" t="s">
        <v>45</v>
      </c>
      <c r="C3064" s="8" t="s">
        <v>7189</v>
      </c>
      <c r="D3064" s="8" t="s">
        <v>7195</v>
      </c>
      <c r="E3064" s="11" t="n">
        <v>153</v>
      </c>
      <c r="F3064" s="8" t="str">
        <f aca="false">IFERROR(INDEX(Section_Master!$D$2:$D$477,MATCH($E3064,Section_Master!$A$2:$A$477,0))&amp;"","")</f>
        <v>Imprisonment for life, or up to 7 years, and fine</v>
      </c>
      <c r="G3064" s="10" t="str">
        <f aca="false">IFERROR(INDEX(Section_Master!$E$2:$E$477,MATCH($E3064,Section_Master!$A$2:$A$477,0))&amp;"","")</f>
        <v>Yes</v>
      </c>
      <c r="H3064" s="10" t="str">
        <f aca="false">IFERROR(INDEX(Section_Master!$F$2:$F$477,MATCH($E3064,Section_Master!$A$2:$A$477,0))&amp;"","")</f>
        <v>No</v>
      </c>
      <c r="I3064" s="10" t="str">
        <f aca="false">IFERROR(INDEX(Section_Master!$G$2:$G$477,MATCH($E3064,Section_Master!$A$2:$A$477,0))&amp;"","")</f>
        <v>No</v>
      </c>
      <c r="J3064" s="10" t="s">
        <v>55</v>
      </c>
      <c r="K3064" s="8" t="s">
        <v>7191</v>
      </c>
    </row>
    <row r="3065" customFormat="false" ht="23.25" hidden="false" customHeight="true" outlineLevel="0" collapsed="false">
      <c r="A3065" s="10" t="s">
        <v>7196</v>
      </c>
      <c r="B3065" s="10" t="s">
        <v>45</v>
      </c>
      <c r="C3065" s="8" t="s">
        <v>7189</v>
      </c>
      <c r="D3065" s="8" t="s">
        <v>7197</v>
      </c>
      <c r="E3065" s="11" t="n">
        <v>153</v>
      </c>
      <c r="F3065" s="8" t="str">
        <f aca="false">IFERROR(INDEX(Section_Master!$D$2:$D$477,MATCH($E3065,Section_Master!$A$2:$A$477,0))&amp;"","")</f>
        <v>Imprisonment for life, or up to 7 years, and fine</v>
      </c>
      <c r="G3065" s="10" t="str">
        <f aca="false">IFERROR(INDEX(Section_Master!$E$2:$E$477,MATCH($E3065,Section_Master!$A$2:$A$477,0))&amp;"","")</f>
        <v>Yes</v>
      </c>
      <c r="H3065" s="10" t="str">
        <f aca="false">IFERROR(INDEX(Section_Master!$F$2:$F$477,MATCH($E3065,Section_Master!$A$2:$A$477,0))&amp;"","")</f>
        <v>No</v>
      </c>
      <c r="I3065" s="10" t="str">
        <f aca="false">IFERROR(INDEX(Section_Master!$G$2:$G$477,MATCH($E3065,Section_Master!$A$2:$A$477,0))&amp;"","")</f>
        <v>No</v>
      </c>
      <c r="J3065" s="10" t="s">
        <v>58</v>
      </c>
      <c r="K3065" s="8" t="s">
        <v>7191</v>
      </c>
    </row>
    <row r="3066" customFormat="false" ht="23.25" hidden="false" customHeight="true" outlineLevel="0" collapsed="false">
      <c r="A3066" s="10" t="s">
        <v>7198</v>
      </c>
      <c r="B3066" s="10" t="s">
        <v>45</v>
      </c>
      <c r="C3066" s="8" t="s">
        <v>7189</v>
      </c>
      <c r="D3066" s="8" t="s">
        <v>7199</v>
      </c>
      <c r="E3066" s="11" t="n">
        <v>153</v>
      </c>
      <c r="F3066" s="8" t="str">
        <f aca="false">IFERROR(INDEX(Section_Master!$D$2:$D$477,MATCH($E3066,Section_Master!$A$2:$A$477,0))&amp;"","")</f>
        <v>Imprisonment for life, or up to 7 years, and fine</v>
      </c>
      <c r="G3066" s="10" t="str">
        <f aca="false">IFERROR(INDEX(Section_Master!$E$2:$E$477,MATCH($E3066,Section_Master!$A$2:$A$477,0))&amp;"","")</f>
        <v>Yes</v>
      </c>
      <c r="H3066" s="10" t="str">
        <f aca="false">IFERROR(INDEX(Section_Master!$F$2:$F$477,MATCH($E3066,Section_Master!$A$2:$A$477,0))&amp;"","")</f>
        <v>No</v>
      </c>
      <c r="I3066" s="10" t="str">
        <f aca="false">IFERROR(INDEX(Section_Master!$G$2:$G$477,MATCH($E3066,Section_Master!$A$2:$A$477,0))&amp;"","")</f>
        <v>No</v>
      </c>
      <c r="J3066" s="10" t="s">
        <v>61</v>
      </c>
      <c r="K3066" s="8" t="s">
        <v>7191</v>
      </c>
    </row>
    <row r="3067" customFormat="false" ht="34.5" hidden="false" customHeight="true" outlineLevel="0" collapsed="false">
      <c r="A3067" s="10" t="s">
        <v>7200</v>
      </c>
      <c r="B3067" s="10" t="s">
        <v>45</v>
      </c>
      <c r="C3067" s="8" t="s">
        <v>7189</v>
      </c>
      <c r="D3067" s="8" t="s">
        <v>7201</v>
      </c>
      <c r="E3067" s="11" t="n">
        <v>153</v>
      </c>
      <c r="F3067" s="8" t="str">
        <f aca="false">IFERROR(INDEX(Section_Master!$D$2:$D$477,MATCH($E3067,Section_Master!$A$2:$A$477,0))&amp;"","")</f>
        <v>Imprisonment for life, or up to 7 years, and fine</v>
      </c>
      <c r="G3067" s="10" t="str">
        <f aca="false">IFERROR(INDEX(Section_Master!$E$2:$E$477,MATCH($E3067,Section_Master!$A$2:$A$477,0))&amp;"","")</f>
        <v>Yes</v>
      </c>
      <c r="H3067" s="10" t="str">
        <f aca="false">IFERROR(INDEX(Section_Master!$F$2:$F$477,MATCH($E3067,Section_Master!$A$2:$A$477,0))&amp;"","")</f>
        <v>No</v>
      </c>
      <c r="I3067" s="10" t="str">
        <f aca="false">IFERROR(INDEX(Section_Master!$G$2:$G$477,MATCH($E3067,Section_Master!$A$2:$A$477,0))&amp;"","")</f>
        <v>No</v>
      </c>
      <c r="J3067" s="10" t="s">
        <v>64</v>
      </c>
      <c r="K3067" s="8" t="s">
        <v>7191</v>
      </c>
    </row>
    <row r="3068" customFormat="false" ht="34.5" hidden="false" customHeight="true" outlineLevel="0" collapsed="false">
      <c r="A3068" s="10" t="s">
        <v>7202</v>
      </c>
      <c r="B3068" s="10" t="s">
        <v>45</v>
      </c>
      <c r="C3068" s="8" t="s">
        <v>7203</v>
      </c>
      <c r="D3068" s="8" t="s">
        <v>7204</v>
      </c>
      <c r="E3068" s="11" t="n">
        <v>154</v>
      </c>
      <c r="F3068" s="8" t="str">
        <f aca="false">IFERROR(INDEX(Section_Master!$D$2:$D$477,MATCH($E3068,Section_Master!$A$2:$A$477,0))&amp;"","")</f>
        <v>Imprisonment up to 7 years, fine and forfeiture of property</v>
      </c>
      <c r="G3068" s="10" t="str">
        <f aca="false">IFERROR(INDEX(Section_Master!$E$2:$E$477,MATCH($E3068,Section_Master!$A$2:$A$477,0))&amp;"","")</f>
        <v>Yes</v>
      </c>
      <c r="H3068" s="10" t="str">
        <f aca="false">IFERROR(INDEX(Section_Master!$F$2:$F$477,MATCH($E3068,Section_Master!$A$2:$A$477,0))&amp;"","")</f>
        <v>No</v>
      </c>
      <c r="I3068" s="10" t="str">
        <f aca="false">IFERROR(INDEX(Section_Master!$G$2:$G$477,MATCH($E3068,Section_Master!$A$2:$A$477,0))&amp;"","")</f>
        <v>No</v>
      </c>
      <c r="J3068" s="10" t="s">
        <v>48</v>
      </c>
      <c r="K3068" s="8" t="s">
        <v>7205</v>
      </c>
    </row>
    <row r="3069" customFormat="false" ht="34.5" hidden="false" customHeight="true" outlineLevel="0" collapsed="false">
      <c r="A3069" s="10" t="s">
        <v>7206</v>
      </c>
      <c r="B3069" s="10" t="s">
        <v>45</v>
      </c>
      <c r="C3069" s="8" t="s">
        <v>7203</v>
      </c>
      <c r="D3069" s="8" t="s">
        <v>7207</v>
      </c>
      <c r="E3069" s="11" t="n">
        <v>154</v>
      </c>
      <c r="F3069" s="8" t="str">
        <f aca="false">IFERROR(INDEX(Section_Master!$D$2:$D$477,MATCH($E3069,Section_Master!$A$2:$A$477,0))&amp;"","")</f>
        <v>Imprisonment up to 7 years, fine and forfeiture of property</v>
      </c>
      <c r="G3069" s="10" t="str">
        <f aca="false">IFERROR(INDEX(Section_Master!$E$2:$E$477,MATCH($E3069,Section_Master!$A$2:$A$477,0))&amp;"","")</f>
        <v>Yes</v>
      </c>
      <c r="H3069" s="10" t="str">
        <f aca="false">IFERROR(INDEX(Section_Master!$F$2:$F$477,MATCH($E3069,Section_Master!$A$2:$A$477,0))&amp;"","")</f>
        <v>No</v>
      </c>
      <c r="I3069" s="10" t="str">
        <f aca="false">IFERROR(INDEX(Section_Master!$G$2:$G$477,MATCH($E3069,Section_Master!$A$2:$A$477,0))&amp;"","")</f>
        <v>No</v>
      </c>
      <c r="J3069" s="10" t="s">
        <v>52</v>
      </c>
      <c r="K3069" s="8" t="s">
        <v>7205</v>
      </c>
    </row>
    <row r="3070" customFormat="false" ht="23.25" hidden="false" customHeight="true" outlineLevel="0" collapsed="false">
      <c r="A3070" s="10" t="s">
        <v>7208</v>
      </c>
      <c r="B3070" s="10" t="s">
        <v>45</v>
      </c>
      <c r="C3070" s="8" t="s">
        <v>7203</v>
      </c>
      <c r="D3070" s="8" t="s">
        <v>7209</v>
      </c>
      <c r="E3070" s="11" t="n">
        <v>154</v>
      </c>
      <c r="F3070" s="8" t="str">
        <f aca="false">IFERROR(INDEX(Section_Master!$D$2:$D$477,MATCH($E3070,Section_Master!$A$2:$A$477,0))&amp;"","")</f>
        <v>Imprisonment up to 7 years, fine and forfeiture of property</v>
      </c>
      <c r="G3070" s="10" t="str">
        <f aca="false">IFERROR(INDEX(Section_Master!$E$2:$E$477,MATCH($E3070,Section_Master!$A$2:$A$477,0))&amp;"","")</f>
        <v>Yes</v>
      </c>
      <c r="H3070" s="10" t="str">
        <f aca="false">IFERROR(INDEX(Section_Master!$F$2:$F$477,MATCH($E3070,Section_Master!$A$2:$A$477,0))&amp;"","")</f>
        <v>No</v>
      </c>
      <c r="I3070" s="10" t="str">
        <f aca="false">IFERROR(INDEX(Section_Master!$G$2:$G$477,MATCH($E3070,Section_Master!$A$2:$A$477,0))&amp;"","")</f>
        <v>No</v>
      </c>
      <c r="J3070" s="10" t="s">
        <v>55</v>
      </c>
      <c r="K3070" s="8" t="s">
        <v>7205</v>
      </c>
    </row>
    <row r="3071" customFormat="false" ht="23.25" hidden="false" customHeight="true" outlineLevel="0" collapsed="false">
      <c r="A3071" s="10" t="s">
        <v>7210</v>
      </c>
      <c r="B3071" s="10" t="s">
        <v>45</v>
      </c>
      <c r="C3071" s="8" t="s">
        <v>7203</v>
      </c>
      <c r="D3071" s="8" t="s">
        <v>7211</v>
      </c>
      <c r="E3071" s="11" t="n">
        <v>154</v>
      </c>
      <c r="F3071" s="8" t="str">
        <f aca="false">IFERROR(INDEX(Section_Master!$D$2:$D$477,MATCH($E3071,Section_Master!$A$2:$A$477,0))&amp;"","")</f>
        <v>Imprisonment up to 7 years, fine and forfeiture of property</v>
      </c>
      <c r="G3071" s="10" t="str">
        <f aca="false">IFERROR(INDEX(Section_Master!$E$2:$E$477,MATCH($E3071,Section_Master!$A$2:$A$477,0))&amp;"","")</f>
        <v>Yes</v>
      </c>
      <c r="H3071" s="10" t="str">
        <f aca="false">IFERROR(INDEX(Section_Master!$F$2:$F$477,MATCH($E3071,Section_Master!$A$2:$A$477,0))&amp;"","")</f>
        <v>No</v>
      </c>
      <c r="I3071" s="10" t="str">
        <f aca="false">IFERROR(INDEX(Section_Master!$G$2:$G$477,MATCH($E3071,Section_Master!$A$2:$A$477,0))&amp;"","")</f>
        <v>No</v>
      </c>
      <c r="J3071" s="10" t="s">
        <v>58</v>
      </c>
      <c r="K3071" s="8" t="s">
        <v>7205</v>
      </c>
    </row>
    <row r="3072" customFormat="false" ht="23.25" hidden="false" customHeight="true" outlineLevel="0" collapsed="false">
      <c r="A3072" s="10" t="s">
        <v>7212</v>
      </c>
      <c r="B3072" s="10" t="s">
        <v>45</v>
      </c>
      <c r="C3072" s="8" t="s">
        <v>7203</v>
      </c>
      <c r="D3072" s="8" t="s">
        <v>7213</v>
      </c>
      <c r="E3072" s="11" t="n">
        <v>154</v>
      </c>
      <c r="F3072" s="8" t="str">
        <f aca="false">IFERROR(INDEX(Section_Master!$D$2:$D$477,MATCH($E3072,Section_Master!$A$2:$A$477,0))&amp;"","")</f>
        <v>Imprisonment up to 7 years, fine and forfeiture of property</v>
      </c>
      <c r="G3072" s="10" t="str">
        <f aca="false">IFERROR(INDEX(Section_Master!$E$2:$E$477,MATCH($E3072,Section_Master!$A$2:$A$477,0))&amp;"","")</f>
        <v>Yes</v>
      </c>
      <c r="H3072" s="10" t="str">
        <f aca="false">IFERROR(INDEX(Section_Master!$F$2:$F$477,MATCH($E3072,Section_Master!$A$2:$A$477,0))&amp;"","")</f>
        <v>No</v>
      </c>
      <c r="I3072" s="10" t="str">
        <f aca="false">IFERROR(INDEX(Section_Master!$G$2:$G$477,MATCH($E3072,Section_Master!$A$2:$A$477,0))&amp;"","")</f>
        <v>No</v>
      </c>
      <c r="J3072" s="10" t="s">
        <v>61</v>
      </c>
      <c r="K3072" s="8" t="s">
        <v>7205</v>
      </c>
    </row>
    <row r="3073" customFormat="false" ht="34.5" hidden="false" customHeight="true" outlineLevel="0" collapsed="false">
      <c r="A3073" s="10" t="s">
        <v>7214</v>
      </c>
      <c r="B3073" s="10" t="s">
        <v>45</v>
      </c>
      <c r="C3073" s="8" t="s">
        <v>7203</v>
      </c>
      <c r="D3073" s="8" t="s">
        <v>7215</v>
      </c>
      <c r="E3073" s="11" t="n">
        <v>154</v>
      </c>
      <c r="F3073" s="8" t="str">
        <f aca="false">IFERROR(INDEX(Section_Master!$D$2:$D$477,MATCH($E3073,Section_Master!$A$2:$A$477,0))&amp;"","")</f>
        <v>Imprisonment up to 7 years, fine and forfeiture of property</v>
      </c>
      <c r="G3073" s="10" t="str">
        <f aca="false">IFERROR(INDEX(Section_Master!$E$2:$E$477,MATCH($E3073,Section_Master!$A$2:$A$477,0))&amp;"","")</f>
        <v>Yes</v>
      </c>
      <c r="H3073" s="10" t="str">
        <f aca="false">IFERROR(INDEX(Section_Master!$F$2:$F$477,MATCH($E3073,Section_Master!$A$2:$A$477,0))&amp;"","")</f>
        <v>No</v>
      </c>
      <c r="I3073" s="10" t="str">
        <f aca="false">IFERROR(INDEX(Section_Master!$G$2:$G$477,MATCH($E3073,Section_Master!$A$2:$A$477,0))&amp;"","")</f>
        <v>No</v>
      </c>
      <c r="J3073" s="10" t="s">
        <v>64</v>
      </c>
      <c r="K3073" s="8" t="s">
        <v>7205</v>
      </c>
    </row>
    <row r="3074" customFormat="false" ht="34.5" hidden="false" customHeight="true" outlineLevel="0" collapsed="false">
      <c r="A3074" s="10" t="s">
        <v>7216</v>
      </c>
      <c r="B3074" s="10" t="s">
        <v>45</v>
      </c>
      <c r="C3074" s="8" t="s">
        <v>7217</v>
      </c>
      <c r="D3074" s="8" t="s">
        <v>7218</v>
      </c>
      <c r="E3074" s="11" t="n">
        <v>155</v>
      </c>
      <c r="F3074" s="8" t="str">
        <f aca="false">IFERROR(INDEX(Section_Master!$D$2:$D$477,MATCH($E3074,Section_Master!$A$2:$A$477,0))&amp;"","")</f>
        <v>Imprisonment up to 7 years, fine and forfeiture of property</v>
      </c>
      <c r="G3074" s="10" t="str">
        <f aca="false">IFERROR(INDEX(Section_Master!$E$2:$E$477,MATCH($E3074,Section_Master!$A$2:$A$477,0))&amp;"","")</f>
        <v>Yes</v>
      </c>
      <c r="H3074" s="10" t="str">
        <f aca="false">IFERROR(INDEX(Section_Master!$F$2:$F$477,MATCH($E3074,Section_Master!$A$2:$A$477,0))&amp;"","")</f>
        <v>No</v>
      </c>
      <c r="I3074" s="10" t="str">
        <f aca="false">IFERROR(INDEX(Section_Master!$G$2:$G$477,MATCH($E3074,Section_Master!$A$2:$A$477,0))&amp;"","")</f>
        <v>No</v>
      </c>
      <c r="J3074" s="10" t="s">
        <v>48</v>
      </c>
      <c r="K3074" s="8" t="s">
        <v>7219</v>
      </c>
    </row>
    <row r="3075" customFormat="false" ht="34.5" hidden="false" customHeight="true" outlineLevel="0" collapsed="false">
      <c r="A3075" s="10" t="s">
        <v>7220</v>
      </c>
      <c r="B3075" s="10" t="s">
        <v>45</v>
      </c>
      <c r="C3075" s="8" t="s">
        <v>7217</v>
      </c>
      <c r="D3075" s="8" t="s">
        <v>7221</v>
      </c>
      <c r="E3075" s="11" t="n">
        <v>155</v>
      </c>
      <c r="F3075" s="8" t="str">
        <f aca="false">IFERROR(INDEX(Section_Master!$D$2:$D$477,MATCH($E3075,Section_Master!$A$2:$A$477,0))&amp;"","")</f>
        <v>Imprisonment up to 7 years, fine and forfeiture of property</v>
      </c>
      <c r="G3075" s="10" t="str">
        <f aca="false">IFERROR(INDEX(Section_Master!$E$2:$E$477,MATCH($E3075,Section_Master!$A$2:$A$477,0))&amp;"","")</f>
        <v>Yes</v>
      </c>
      <c r="H3075" s="10" t="str">
        <f aca="false">IFERROR(INDEX(Section_Master!$F$2:$F$477,MATCH($E3075,Section_Master!$A$2:$A$477,0))&amp;"","")</f>
        <v>No</v>
      </c>
      <c r="I3075" s="10" t="str">
        <f aca="false">IFERROR(INDEX(Section_Master!$G$2:$G$477,MATCH($E3075,Section_Master!$A$2:$A$477,0))&amp;"","")</f>
        <v>No</v>
      </c>
      <c r="J3075" s="10" t="s">
        <v>52</v>
      </c>
      <c r="K3075" s="8" t="s">
        <v>7219</v>
      </c>
    </row>
    <row r="3076" customFormat="false" ht="34.5" hidden="false" customHeight="true" outlineLevel="0" collapsed="false">
      <c r="A3076" s="10" t="s">
        <v>7222</v>
      </c>
      <c r="B3076" s="10" t="s">
        <v>45</v>
      </c>
      <c r="C3076" s="8" t="s">
        <v>7217</v>
      </c>
      <c r="D3076" s="8" t="s">
        <v>7223</v>
      </c>
      <c r="E3076" s="11" t="n">
        <v>155</v>
      </c>
      <c r="F3076" s="8" t="str">
        <f aca="false">IFERROR(INDEX(Section_Master!$D$2:$D$477,MATCH($E3076,Section_Master!$A$2:$A$477,0))&amp;"","")</f>
        <v>Imprisonment up to 7 years, fine and forfeiture of property</v>
      </c>
      <c r="G3076" s="10" t="str">
        <f aca="false">IFERROR(INDEX(Section_Master!$E$2:$E$477,MATCH($E3076,Section_Master!$A$2:$A$477,0))&amp;"","")</f>
        <v>Yes</v>
      </c>
      <c r="H3076" s="10" t="str">
        <f aca="false">IFERROR(INDEX(Section_Master!$F$2:$F$477,MATCH($E3076,Section_Master!$A$2:$A$477,0))&amp;"","")</f>
        <v>No</v>
      </c>
      <c r="I3076" s="10" t="str">
        <f aca="false">IFERROR(INDEX(Section_Master!$G$2:$G$477,MATCH($E3076,Section_Master!$A$2:$A$477,0))&amp;"","")</f>
        <v>No</v>
      </c>
      <c r="J3076" s="10" t="s">
        <v>55</v>
      </c>
      <c r="K3076" s="8" t="s">
        <v>7219</v>
      </c>
    </row>
    <row r="3077" customFormat="false" ht="23.25" hidden="false" customHeight="true" outlineLevel="0" collapsed="false">
      <c r="A3077" s="10" t="s">
        <v>7224</v>
      </c>
      <c r="B3077" s="10" t="s">
        <v>45</v>
      </c>
      <c r="C3077" s="8" t="s">
        <v>7217</v>
      </c>
      <c r="D3077" s="8" t="s">
        <v>7225</v>
      </c>
      <c r="E3077" s="11" t="n">
        <v>155</v>
      </c>
      <c r="F3077" s="8" t="str">
        <f aca="false">IFERROR(INDEX(Section_Master!$D$2:$D$477,MATCH($E3077,Section_Master!$A$2:$A$477,0))&amp;"","")</f>
        <v>Imprisonment up to 7 years, fine and forfeiture of property</v>
      </c>
      <c r="G3077" s="10" t="str">
        <f aca="false">IFERROR(INDEX(Section_Master!$E$2:$E$477,MATCH($E3077,Section_Master!$A$2:$A$477,0))&amp;"","")</f>
        <v>Yes</v>
      </c>
      <c r="H3077" s="10" t="str">
        <f aca="false">IFERROR(INDEX(Section_Master!$F$2:$F$477,MATCH($E3077,Section_Master!$A$2:$A$477,0))&amp;"","")</f>
        <v>No</v>
      </c>
      <c r="I3077" s="10" t="str">
        <f aca="false">IFERROR(INDEX(Section_Master!$G$2:$G$477,MATCH($E3077,Section_Master!$A$2:$A$477,0))&amp;"","")</f>
        <v>No</v>
      </c>
      <c r="J3077" s="10" t="s">
        <v>58</v>
      </c>
      <c r="K3077" s="8" t="s">
        <v>7219</v>
      </c>
    </row>
    <row r="3078" customFormat="false" ht="34.5" hidden="false" customHeight="true" outlineLevel="0" collapsed="false">
      <c r="A3078" s="10" t="s">
        <v>7226</v>
      </c>
      <c r="B3078" s="10" t="s">
        <v>45</v>
      </c>
      <c r="C3078" s="8" t="s">
        <v>7217</v>
      </c>
      <c r="D3078" s="8" t="s">
        <v>7227</v>
      </c>
      <c r="E3078" s="11" t="n">
        <v>155</v>
      </c>
      <c r="F3078" s="8" t="str">
        <f aca="false">IFERROR(INDEX(Section_Master!$D$2:$D$477,MATCH($E3078,Section_Master!$A$2:$A$477,0))&amp;"","")</f>
        <v>Imprisonment up to 7 years, fine and forfeiture of property</v>
      </c>
      <c r="G3078" s="10" t="str">
        <f aca="false">IFERROR(INDEX(Section_Master!$E$2:$E$477,MATCH($E3078,Section_Master!$A$2:$A$477,0))&amp;"","")</f>
        <v>Yes</v>
      </c>
      <c r="H3078" s="10" t="str">
        <f aca="false">IFERROR(INDEX(Section_Master!$F$2:$F$477,MATCH($E3078,Section_Master!$A$2:$A$477,0))&amp;"","")</f>
        <v>No</v>
      </c>
      <c r="I3078" s="10" t="str">
        <f aca="false">IFERROR(INDEX(Section_Master!$G$2:$G$477,MATCH($E3078,Section_Master!$A$2:$A$477,0))&amp;"","")</f>
        <v>No</v>
      </c>
      <c r="J3078" s="10" t="s">
        <v>61</v>
      </c>
      <c r="K3078" s="8" t="s">
        <v>7219</v>
      </c>
    </row>
    <row r="3079" customFormat="false" ht="34.5" hidden="false" customHeight="true" outlineLevel="0" collapsed="false">
      <c r="A3079" s="10" t="s">
        <v>7228</v>
      </c>
      <c r="B3079" s="10" t="s">
        <v>45</v>
      </c>
      <c r="C3079" s="8" t="s">
        <v>7217</v>
      </c>
      <c r="D3079" s="8" t="s">
        <v>7229</v>
      </c>
      <c r="E3079" s="11" t="n">
        <v>155</v>
      </c>
      <c r="F3079" s="8" t="str">
        <f aca="false">IFERROR(INDEX(Section_Master!$D$2:$D$477,MATCH($E3079,Section_Master!$A$2:$A$477,0))&amp;"","")</f>
        <v>Imprisonment up to 7 years, fine and forfeiture of property</v>
      </c>
      <c r="G3079" s="10" t="str">
        <f aca="false">IFERROR(INDEX(Section_Master!$E$2:$E$477,MATCH($E3079,Section_Master!$A$2:$A$477,0))&amp;"","")</f>
        <v>Yes</v>
      </c>
      <c r="H3079" s="10" t="str">
        <f aca="false">IFERROR(INDEX(Section_Master!$F$2:$F$477,MATCH($E3079,Section_Master!$A$2:$A$477,0))&amp;"","")</f>
        <v>No</v>
      </c>
      <c r="I3079" s="10" t="str">
        <f aca="false">IFERROR(INDEX(Section_Master!$G$2:$G$477,MATCH($E3079,Section_Master!$A$2:$A$477,0))&amp;"","")</f>
        <v>No</v>
      </c>
      <c r="J3079" s="10" t="s">
        <v>64</v>
      </c>
      <c r="K3079" s="8" t="s">
        <v>7219</v>
      </c>
    </row>
    <row r="3080" customFormat="false" ht="34.5" hidden="false" customHeight="true" outlineLevel="0" collapsed="false">
      <c r="A3080" s="10" t="s">
        <v>7230</v>
      </c>
      <c r="B3080" s="10" t="s">
        <v>45</v>
      </c>
      <c r="C3080" s="8" t="s">
        <v>7231</v>
      </c>
      <c r="D3080" s="8" t="s">
        <v>7232</v>
      </c>
      <c r="E3080" s="11" t="n">
        <v>156</v>
      </c>
      <c r="F3080" s="8" t="str">
        <f aca="false">IFERROR(INDEX(Section_Master!$D$2:$D$477,MATCH($E3080,Section_Master!$A$2:$A$477,0))&amp;"","")</f>
        <v>Imprisonment for life, or up to 10 years, and fine</v>
      </c>
      <c r="G3080" s="10" t="str">
        <f aca="false">IFERROR(INDEX(Section_Master!$E$2:$E$477,MATCH($E3080,Section_Master!$A$2:$A$477,0))&amp;"","")</f>
        <v>Yes</v>
      </c>
      <c r="H3080" s="10" t="str">
        <f aca="false">IFERROR(INDEX(Section_Master!$F$2:$F$477,MATCH($E3080,Section_Master!$A$2:$A$477,0))&amp;"","")</f>
        <v>No</v>
      </c>
      <c r="I3080" s="10" t="str">
        <f aca="false">IFERROR(INDEX(Section_Master!$G$2:$G$477,MATCH($E3080,Section_Master!$A$2:$A$477,0))&amp;"","")</f>
        <v>No</v>
      </c>
      <c r="J3080" s="10" t="s">
        <v>48</v>
      </c>
      <c r="K3080" s="8" t="s">
        <v>7233</v>
      </c>
    </row>
    <row r="3081" customFormat="false" ht="34.5" hidden="false" customHeight="true" outlineLevel="0" collapsed="false">
      <c r="A3081" s="10" t="s">
        <v>7234</v>
      </c>
      <c r="B3081" s="10" t="s">
        <v>45</v>
      </c>
      <c r="C3081" s="8" t="s">
        <v>7231</v>
      </c>
      <c r="D3081" s="8" t="s">
        <v>7235</v>
      </c>
      <c r="E3081" s="11" t="n">
        <v>156</v>
      </c>
      <c r="F3081" s="8" t="str">
        <f aca="false">IFERROR(INDEX(Section_Master!$D$2:$D$477,MATCH($E3081,Section_Master!$A$2:$A$477,0))&amp;"","")</f>
        <v>Imprisonment for life, or up to 10 years, and fine</v>
      </c>
      <c r="G3081" s="10" t="str">
        <f aca="false">IFERROR(INDEX(Section_Master!$E$2:$E$477,MATCH($E3081,Section_Master!$A$2:$A$477,0))&amp;"","")</f>
        <v>Yes</v>
      </c>
      <c r="H3081" s="10" t="str">
        <f aca="false">IFERROR(INDEX(Section_Master!$F$2:$F$477,MATCH($E3081,Section_Master!$A$2:$A$477,0))&amp;"","")</f>
        <v>No</v>
      </c>
      <c r="I3081" s="10" t="str">
        <f aca="false">IFERROR(INDEX(Section_Master!$G$2:$G$477,MATCH($E3081,Section_Master!$A$2:$A$477,0))&amp;"","")</f>
        <v>No</v>
      </c>
      <c r="J3081" s="10" t="s">
        <v>52</v>
      </c>
      <c r="K3081" s="8" t="s">
        <v>7233</v>
      </c>
    </row>
    <row r="3082" customFormat="false" ht="23.25" hidden="false" customHeight="true" outlineLevel="0" collapsed="false">
      <c r="A3082" s="10" t="s">
        <v>7236</v>
      </c>
      <c r="B3082" s="10" t="s">
        <v>45</v>
      </c>
      <c r="C3082" s="8" t="s">
        <v>7231</v>
      </c>
      <c r="D3082" s="8" t="s">
        <v>7237</v>
      </c>
      <c r="E3082" s="11" t="n">
        <v>156</v>
      </c>
      <c r="F3082" s="8" t="str">
        <f aca="false">IFERROR(INDEX(Section_Master!$D$2:$D$477,MATCH($E3082,Section_Master!$A$2:$A$477,0))&amp;"","")</f>
        <v>Imprisonment for life, or up to 10 years, and fine</v>
      </c>
      <c r="G3082" s="10" t="str">
        <f aca="false">IFERROR(INDEX(Section_Master!$E$2:$E$477,MATCH($E3082,Section_Master!$A$2:$A$477,0))&amp;"","")</f>
        <v>Yes</v>
      </c>
      <c r="H3082" s="10" t="str">
        <f aca="false">IFERROR(INDEX(Section_Master!$F$2:$F$477,MATCH($E3082,Section_Master!$A$2:$A$477,0))&amp;"","")</f>
        <v>No</v>
      </c>
      <c r="I3082" s="10" t="str">
        <f aca="false">IFERROR(INDEX(Section_Master!$G$2:$G$477,MATCH($E3082,Section_Master!$A$2:$A$477,0))&amp;"","")</f>
        <v>No</v>
      </c>
      <c r="J3082" s="10" t="s">
        <v>55</v>
      </c>
      <c r="K3082" s="8" t="s">
        <v>7233</v>
      </c>
    </row>
    <row r="3083" customFormat="false" ht="23.25" hidden="false" customHeight="true" outlineLevel="0" collapsed="false">
      <c r="A3083" s="10" t="s">
        <v>7238</v>
      </c>
      <c r="B3083" s="10" t="s">
        <v>45</v>
      </c>
      <c r="C3083" s="8" t="s">
        <v>7231</v>
      </c>
      <c r="D3083" s="8" t="s">
        <v>7239</v>
      </c>
      <c r="E3083" s="11" t="n">
        <v>156</v>
      </c>
      <c r="F3083" s="8" t="str">
        <f aca="false">IFERROR(INDEX(Section_Master!$D$2:$D$477,MATCH($E3083,Section_Master!$A$2:$A$477,0))&amp;"","")</f>
        <v>Imprisonment for life, or up to 10 years, and fine</v>
      </c>
      <c r="G3083" s="10" t="str">
        <f aca="false">IFERROR(INDEX(Section_Master!$E$2:$E$477,MATCH($E3083,Section_Master!$A$2:$A$477,0))&amp;"","")</f>
        <v>Yes</v>
      </c>
      <c r="H3083" s="10" t="str">
        <f aca="false">IFERROR(INDEX(Section_Master!$F$2:$F$477,MATCH($E3083,Section_Master!$A$2:$A$477,0))&amp;"","")</f>
        <v>No</v>
      </c>
      <c r="I3083" s="10" t="str">
        <f aca="false">IFERROR(INDEX(Section_Master!$G$2:$G$477,MATCH($E3083,Section_Master!$A$2:$A$477,0))&amp;"","")</f>
        <v>No</v>
      </c>
      <c r="J3083" s="10" t="s">
        <v>58</v>
      </c>
      <c r="K3083" s="8" t="s">
        <v>7233</v>
      </c>
    </row>
    <row r="3084" customFormat="false" ht="34.5" hidden="false" customHeight="true" outlineLevel="0" collapsed="false">
      <c r="A3084" s="10" t="s">
        <v>7240</v>
      </c>
      <c r="B3084" s="10" t="s">
        <v>45</v>
      </c>
      <c r="C3084" s="8" t="s">
        <v>7231</v>
      </c>
      <c r="D3084" s="8" t="s">
        <v>7241</v>
      </c>
      <c r="E3084" s="11" t="n">
        <v>156</v>
      </c>
      <c r="F3084" s="8" t="str">
        <f aca="false">IFERROR(INDEX(Section_Master!$D$2:$D$477,MATCH($E3084,Section_Master!$A$2:$A$477,0))&amp;"","")</f>
        <v>Imprisonment for life, or up to 10 years, and fine</v>
      </c>
      <c r="G3084" s="10" t="str">
        <f aca="false">IFERROR(INDEX(Section_Master!$E$2:$E$477,MATCH($E3084,Section_Master!$A$2:$A$477,0))&amp;"","")</f>
        <v>Yes</v>
      </c>
      <c r="H3084" s="10" t="str">
        <f aca="false">IFERROR(INDEX(Section_Master!$F$2:$F$477,MATCH($E3084,Section_Master!$A$2:$A$477,0))&amp;"","")</f>
        <v>No</v>
      </c>
      <c r="I3084" s="10" t="str">
        <f aca="false">IFERROR(INDEX(Section_Master!$G$2:$G$477,MATCH($E3084,Section_Master!$A$2:$A$477,0))&amp;"","")</f>
        <v>No</v>
      </c>
      <c r="J3084" s="10" t="s">
        <v>61</v>
      </c>
      <c r="K3084" s="8" t="s">
        <v>7233</v>
      </c>
    </row>
    <row r="3085" customFormat="false" ht="34.5" hidden="false" customHeight="true" outlineLevel="0" collapsed="false">
      <c r="A3085" s="10" t="s">
        <v>7242</v>
      </c>
      <c r="B3085" s="10" t="s">
        <v>45</v>
      </c>
      <c r="C3085" s="8" t="s">
        <v>7231</v>
      </c>
      <c r="D3085" s="8" t="s">
        <v>7243</v>
      </c>
      <c r="E3085" s="11" t="n">
        <v>156</v>
      </c>
      <c r="F3085" s="8" t="str">
        <f aca="false">IFERROR(INDEX(Section_Master!$D$2:$D$477,MATCH($E3085,Section_Master!$A$2:$A$477,0))&amp;"","")</f>
        <v>Imprisonment for life, or up to 10 years, and fine</v>
      </c>
      <c r="G3085" s="10" t="str">
        <f aca="false">IFERROR(INDEX(Section_Master!$E$2:$E$477,MATCH($E3085,Section_Master!$A$2:$A$477,0))&amp;"","")</f>
        <v>Yes</v>
      </c>
      <c r="H3085" s="10" t="str">
        <f aca="false">IFERROR(INDEX(Section_Master!$F$2:$F$477,MATCH($E3085,Section_Master!$A$2:$A$477,0))&amp;"","")</f>
        <v>No</v>
      </c>
      <c r="I3085" s="10" t="str">
        <f aca="false">IFERROR(INDEX(Section_Master!$G$2:$G$477,MATCH($E3085,Section_Master!$A$2:$A$477,0))&amp;"","")</f>
        <v>No</v>
      </c>
      <c r="J3085" s="10" t="s">
        <v>64</v>
      </c>
      <c r="K3085" s="8" t="s">
        <v>7233</v>
      </c>
    </row>
    <row r="3086" customFormat="false" ht="34.5" hidden="false" customHeight="true" outlineLevel="0" collapsed="false">
      <c r="A3086" s="10" t="s">
        <v>7244</v>
      </c>
      <c r="B3086" s="10" t="s">
        <v>45</v>
      </c>
      <c r="C3086" s="8" t="s">
        <v>7245</v>
      </c>
      <c r="D3086" s="8" t="s">
        <v>7246</v>
      </c>
      <c r="E3086" s="11" t="n">
        <v>157</v>
      </c>
      <c r="F3086" s="8" t="str">
        <f aca="false">IFERROR(INDEX(Section_Master!$D$2:$D$477,MATCH($E3086,Section_Master!$A$2:$A$477,0))&amp;"","")</f>
        <v>Simple imprisonment up to 3 years and fine</v>
      </c>
      <c r="G3086" s="10" t="str">
        <f aca="false">IFERROR(INDEX(Section_Master!$E$2:$E$477,MATCH($E3086,Section_Master!$A$2:$A$477,0))&amp;"","")</f>
        <v>Yes</v>
      </c>
      <c r="H3086" s="10" t="str">
        <f aca="false">IFERROR(INDEX(Section_Master!$F$2:$F$477,MATCH($E3086,Section_Master!$A$2:$A$477,0))&amp;"","")</f>
        <v>No</v>
      </c>
      <c r="I3086" s="10" t="str">
        <f aca="false">IFERROR(INDEX(Section_Master!$G$2:$G$477,MATCH($E3086,Section_Master!$A$2:$A$477,0))&amp;"","")</f>
        <v>No</v>
      </c>
      <c r="J3086" s="10" t="s">
        <v>48</v>
      </c>
      <c r="K3086" s="8" t="s">
        <v>7247</v>
      </c>
    </row>
    <row r="3087" customFormat="false" ht="34.5" hidden="false" customHeight="true" outlineLevel="0" collapsed="false">
      <c r="A3087" s="10" t="s">
        <v>7248</v>
      </c>
      <c r="B3087" s="10" t="s">
        <v>45</v>
      </c>
      <c r="C3087" s="8" t="s">
        <v>7245</v>
      </c>
      <c r="D3087" s="8" t="s">
        <v>7249</v>
      </c>
      <c r="E3087" s="11" t="n">
        <v>157</v>
      </c>
      <c r="F3087" s="8" t="str">
        <f aca="false">IFERROR(INDEX(Section_Master!$D$2:$D$477,MATCH($E3087,Section_Master!$A$2:$A$477,0))&amp;"","")</f>
        <v>Simple imprisonment up to 3 years and fine</v>
      </c>
      <c r="G3087" s="10" t="str">
        <f aca="false">IFERROR(INDEX(Section_Master!$E$2:$E$477,MATCH($E3087,Section_Master!$A$2:$A$477,0))&amp;"","")</f>
        <v>Yes</v>
      </c>
      <c r="H3087" s="10" t="str">
        <f aca="false">IFERROR(INDEX(Section_Master!$F$2:$F$477,MATCH($E3087,Section_Master!$A$2:$A$477,0))&amp;"","")</f>
        <v>No</v>
      </c>
      <c r="I3087" s="10" t="str">
        <f aca="false">IFERROR(INDEX(Section_Master!$G$2:$G$477,MATCH($E3087,Section_Master!$A$2:$A$477,0))&amp;"","")</f>
        <v>No</v>
      </c>
      <c r="J3087" s="10" t="s">
        <v>52</v>
      </c>
      <c r="K3087" s="8" t="s">
        <v>7247</v>
      </c>
    </row>
    <row r="3088" customFormat="false" ht="34.5" hidden="false" customHeight="true" outlineLevel="0" collapsed="false">
      <c r="A3088" s="10" t="s">
        <v>7250</v>
      </c>
      <c r="B3088" s="10" t="s">
        <v>45</v>
      </c>
      <c r="C3088" s="8" t="s">
        <v>7245</v>
      </c>
      <c r="D3088" s="8" t="s">
        <v>7251</v>
      </c>
      <c r="E3088" s="11" t="n">
        <v>157</v>
      </c>
      <c r="F3088" s="8" t="str">
        <f aca="false">IFERROR(INDEX(Section_Master!$D$2:$D$477,MATCH($E3088,Section_Master!$A$2:$A$477,0))&amp;"","")</f>
        <v>Simple imprisonment up to 3 years and fine</v>
      </c>
      <c r="G3088" s="10" t="str">
        <f aca="false">IFERROR(INDEX(Section_Master!$E$2:$E$477,MATCH($E3088,Section_Master!$A$2:$A$477,0))&amp;"","")</f>
        <v>Yes</v>
      </c>
      <c r="H3088" s="10" t="str">
        <f aca="false">IFERROR(INDEX(Section_Master!$F$2:$F$477,MATCH($E3088,Section_Master!$A$2:$A$477,0))&amp;"","")</f>
        <v>No</v>
      </c>
      <c r="I3088" s="10" t="str">
        <f aca="false">IFERROR(INDEX(Section_Master!$G$2:$G$477,MATCH($E3088,Section_Master!$A$2:$A$477,0))&amp;"","")</f>
        <v>No</v>
      </c>
      <c r="J3088" s="10" t="s">
        <v>55</v>
      </c>
      <c r="K3088" s="8" t="s">
        <v>7247</v>
      </c>
    </row>
    <row r="3089" customFormat="false" ht="34.5" hidden="false" customHeight="true" outlineLevel="0" collapsed="false">
      <c r="A3089" s="10" t="s">
        <v>7252</v>
      </c>
      <c r="B3089" s="10" t="s">
        <v>45</v>
      </c>
      <c r="C3089" s="8" t="s">
        <v>7245</v>
      </c>
      <c r="D3089" s="8" t="s">
        <v>7253</v>
      </c>
      <c r="E3089" s="11" t="n">
        <v>157</v>
      </c>
      <c r="F3089" s="8" t="str">
        <f aca="false">IFERROR(INDEX(Section_Master!$D$2:$D$477,MATCH($E3089,Section_Master!$A$2:$A$477,0))&amp;"","")</f>
        <v>Simple imprisonment up to 3 years and fine</v>
      </c>
      <c r="G3089" s="10" t="str">
        <f aca="false">IFERROR(INDEX(Section_Master!$E$2:$E$477,MATCH($E3089,Section_Master!$A$2:$A$477,0))&amp;"","")</f>
        <v>Yes</v>
      </c>
      <c r="H3089" s="10" t="str">
        <f aca="false">IFERROR(INDEX(Section_Master!$F$2:$F$477,MATCH($E3089,Section_Master!$A$2:$A$477,0))&amp;"","")</f>
        <v>No</v>
      </c>
      <c r="I3089" s="10" t="str">
        <f aca="false">IFERROR(INDEX(Section_Master!$G$2:$G$477,MATCH($E3089,Section_Master!$A$2:$A$477,0))&amp;"","")</f>
        <v>No</v>
      </c>
      <c r="J3089" s="10" t="s">
        <v>58</v>
      </c>
      <c r="K3089" s="8" t="s">
        <v>7247</v>
      </c>
    </row>
    <row r="3090" customFormat="false" ht="34.5" hidden="false" customHeight="true" outlineLevel="0" collapsed="false">
      <c r="A3090" s="10" t="s">
        <v>7254</v>
      </c>
      <c r="B3090" s="10" t="s">
        <v>45</v>
      </c>
      <c r="C3090" s="8" t="s">
        <v>7245</v>
      </c>
      <c r="D3090" s="8" t="s">
        <v>7255</v>
      </c>
      <c r="E3090" s="11" t="n">
        <v>157</v>
      </c>
      <c r="F3090" s="8" t="str">
        <f aca="false">IFERROR(INDEX(Section_Master!$D$2:$D$477,MATCH($E3090,Section_Master!$A$2:$A$477,0))&amp;"","")</f>
        <v>Simple imprisonment up to 3 years and fine</v>
      </c>
      <c r="G3090" s="10" t="str">
        <f aca="false">IFERROR(INDEX(Section_Master!$E$2:$E$477,MATCH($E3090,Section_Master!$A$2:$A$477,0))&amp;"","")</f>
        <v>Yes</v>
      </c>
      <c r="H3090" s="10" t="str">
        <f aca="false">IFERROR(INDEX(Section_Master!$F$2:$F$477,MATCH($E3090,Section_Master!$A$2:$A$477,0))&amp;"","")</f>
        <v>No</v>
      </c>
      <c r="I3090" s="10" t="str">
        <f aca="false">IFERROR(INDEX(Section_Master!$G$2:$G$477,MATCH($E3090,Section_Master!$A$2:$A$477,0))&amp;"","")</f>
        <v>No</v>
      </c>
      <c r="J3090" s="10" t="s">
        <v>61</v>
      </c>
      <c r="K3090" s="8" t="s">
        <v>7247</v>
      </c>
    </row>
    <row r="3091" customFormat="false" ht="34.5" hidden="false" customHeight="true" outlineLevel="0" collapsed="false">
      <c r="A3091" s="10" t="s">
        <v>7256</v>
      </c>
      <c r="B3091" s="10" t="s">
        <v>45</v>
      </c>
      <c r="C3091" s="8" t="s">
        <v>7245</v>
      </c>
      <c r="D3091" s="8" t="s">
        <v>7257</v>
      </c>
      <c r="E3091" s="11" t="n">
        <v>157</v>
      </c>
      <c r="F3091" s="8" t="str">
        <f aca="false">IFERROR(INDEX(Section_Master!$D$2:$D$477,MATCH($E3091,Section_Master!$A$2:$A$477,0))&amp;"","")</f>
        <v>Simple imprisonment up to 3 years and fine</v>
      </c>
      <c r="G3091" s="10" t="str">
        <f aca="false">IFERROR(INDEX(Section_Master!$E$2:$E$477,MATCH($E3091,Section_Master!$A$2:$A$477,0))&amp;"","")</f>
        <v>Yes</v>
      </c>
      <c r="H3091" s="10" t="str">
        <f aca="false">IFERROR(INDEX(Section_Master!$F$2:$F$477,MATCH($E3091,Section_Master!$A$2:$A$477,0))&amp;"","")</f>
        <v>No</v>
      </c>
      <c r="I3091" s="10" t="str">
        <f aca="false">IFERROR(INDEX(Section_Master!$G$2:$G$477,MATCH($E3091,Section_Master!$A$2:$A$477,0))&amp;"","")</f>
        <v>No</v>
      </c>
      <c r="J3091" s="10" t="s">
        <v>64</v>
      </c>
      <c r="K3091" s="8" t="s">
        <v>7247</v>
      </c>
    </row>
    <row r="3092" customFormat="false" ht="34.5" hidden="false" customHeight="true" outlineLevel="0" collapsed="false">
      <c r="A3092" s="10" t="s">
        <v>7258</v>
      </c>
      <c r="B3092" s="10" t="s">
        <v>45</v>
      </c>
      <c r="C3092" s="8" t="s">
        <v>7259</v>
      </c>
      <c r="D3092" s="8" t="s">
        <v>7260</v>
      </c>
      <c r="E3092" s="11" t="n">
        <v>158</v>
      </c>
      <c r="F3092" s="8" t="str">
        <f aca="false">IFERROR(INDEX(Section_Master!$D$2:$D$477,MATCH($E3092,Section_Master!$A$2:$A$477,0))&amp;"","")</f>
        <v>Imprisonment for life, or up to 10 years, and fine</v>
      </c>
      <c r="G3092" s="10" t="str">
        <f aca="false">IFERROR(INDEX(Section_Master!$E$2:$E$477,MATCH($E3092,Section_Master!$A$2:$A$477,0))&amp;"","")</f>
        <v>Yes</v>
      </c>
      <c r="H3092" s="10" t="str">
        <f aca="false">IFERROR(INDEX(Section_Master!$F$2:$F$477,MATCH($E3092,Section_Master!$A$2:$A$477,0))&amp;"","")</f>
        <v>No</v>
      </c>
      <c r="I3092" s="10" t="str">
        <f aca="false">IFERROR(INDEX(Section_Master!$G$2:$G$477,MATCH($E3092,Section_Master!$A$2:$A$477,0))&amp;"","")</f>
        <v>No</v>
      </c>
      <c r="J3092" s="10" t="s">
        <v>48</v>
      </c>
      <c r="K3092" s="8" t="s">
        <v>7261</v>
      </c>
    </row>
    <row r="3093" customFormat="false" ht="34.5" hidden="false" customHeight="true" outlineLevel="0" collapsed="false">
      <c r="A3093" s="10" t="s">
        <v>7262</v>
      </c>
      <c r="B3093" s="10" t="s">
        <v>45</v>
      </c>
      <c r="C3093" s="8" t="s">
        <v>7259</v>
      </c>
      <c r="D3093" s="8" t="s">
        <v>7263</v>
      </c>
      <c r="E3093" s="11" t="n">
        <v>158</v>
      </c>
      <c r="F3093" s="8" t="str">
        <f aca="false">IFERROR(INDEX(Section_Master!$D$2:$D$477,MATCH($E3093,Section_Master!$A$2:$A$477,0))&amp;"","")</f>
        <v>Imprisonment for life, or up to 10 years, and fine</v>
      </c>
      <c r="G3093" s="10" t="str">
        <f aca="false">IFERROR(INDEX(Section_Master!$E$2:$E$477,MATCH($E3093,Section_Master!$A$2:$A$477,0))&amp;"","")</f>
        <v>Yes</v>
      </c>
      <c r="H3093" s="10" t="str">
        <f aca="false">IFERROR(INDEX(Section_Master!$F$2:$F$477,MATCH($E3093,Section_Master!$A$2:$A$477,0))&amp;"","")</f>
        <v>No</v>
      </c>
      <c r="I3093" s="10" t="str">
        <f aca="false">IFERROR(INDEX(Section_Master!$G$2:$G$477,MATCH($E3093,Section_Master!$A$2:$A$477,0))&amp;"","")</f>
        <v>No</v>
      </c>
      <c r="J3093" s="10" t="s">
        <v>52</v>
      </c>
      <c r="K3093" s="8" t="s">
        <v>7261</v>
      </c>
    </row>
    <row r="3094" customFormat="false" ht="34.5" hidden="false" customHeight="true" outlineLevel="0" collapsed="false">
      <c r="A3094" s="10" t="s">
        <v>7264</v>
      </c>
      <c r="B3094" s="10" t="s">
        <v>45</v>
      </c>
      <c r="C3094" s="8" t="s">
        <v>7259</v>
      </c>
      <c r="D3094" s="8" t="s">
        <v>7265</v>
      </c>
      <c r="E3094" s="11" t="n">
        <v>158</v>
      </c>
      <c r="F3094" s="8" t="str">
        <f aca="false">IFERROR(INDEX(Section_Master!$D$2:$D$477,MATCH($E3094,Section_Master!$A$2:$A$477,0))&amp;"","")</f>
        <v>Imprisonment for life, or up to 10 years, and fine</v>
      </c>
      <c r="G3094" s="10" t="str">
        <f aca="false">IFERROR(INDEX(Section_Master!$E$2:$E$477,MATCH($E3094,Section_Master!$A$2:$A$477,0))&amp;"","")</f>
        <v>Yes</v>
      </c>
      <c r="H3094" s="10" t="str">
        <f aca="false">IFERROR(INDEX(Section_Master!$F$2:$F$477,MATCH($E3094,Section_Master!$A$2:$A$477,0))&amp;"","")</f>
        <v>No</v>
      </c>
      <c r="I3094" s="10" t="str">
        <f aca="false">IFERROR(INDEX(Section_Master!$G$2:$G$477,MATCH($E3094,Section_Master!$A$2:$A$477,0))&amp;"","")</f>
        <v>No</v>
      </c>
      <c r="J3094" s="10" t="s">
        <v>55</v>
      </c>
      <c r="K3094" s="8" t="s">
        <v>7261</v>
      </c>
    </row>
    <row r="3095" customFormat="false" ht="34.5" hidden="false" customHeight="true" outlineLevel="0" collapsed="false">
      <c r="A3095" s="10" t="s">
        <v>7266</v>
      </c>
      <c r="B3095" s="10" t="s">
        <v>45</v>
      </c>
      <c r="C3095" s="8" t="s">
        <v>7259</v>
      </c>
      <c r="D3095" s="8" t="s">
        <v>7267</v>
      </c>
      <c r="E3095" s="11" t="n">
        <v>158</v>
      </c>
      <c r="F3095" s="8" t="str">
        <f aca="false">IFERROR(INDEX(Section_Master!$D$2:$D$477,MATCH($E3095,Section_Master!$A$2:$A$477,0))&amp;"","")</f>
        <v>Imprisonment for life, or up to 10 years, and fine</v>
      </c>
      <c r="G3095" s="10" t="str">
        <f aca="false">IFERROR(INDEX(Section_Master!$E$2:$E$477,MATCH($E3095,Section_Master!$A$2:$A$477,0))&amp;"","")</f>
        <v>Yes</v>
      </c>
      <c r="H3095" s="10" t="str">
        <f aca="false">IFERROR(INDEX(Section_Master!$F$2:$F$477,MATCH($E3095,Section_Master!$A$2:$A$477,0))&amp;"","")</f>
        <v>No</v>
      </c>
      <c r="I3095" s="10" t="str">
        <f aca="false">IFERROR(INDEX(Section_Master!$G$2:$G$477,MATCH($E3095,Section_Master!$A$2:$A$477,0))&amp;"","")</f>
        <v>No</v>
      </c>
      <c r="J3095" s="10" t="s">
        <v>58</v>
      </c>
      <c r="K3095" s="8" t="s">
        <v>7261</v>
      </c>
    </row>
    <row r="3096" customFormat="false" ht="34.5" hidden="false" customHeight="true" outlineLevel="0" collapsed="false">
      <c r="A3096" s="10" t="s">
        <v>7268</v>
      </c>
      <c r="B3096" s="10" t="s">
        <v>45</v>
      </c>
      <c r="C3096" s="8" t="s">
        <v>7259</v>
      </c>
      <c r="D3096" s="8" t="s">
        <v>7269</v>
      </c>
      <c r="E3096" s="11" t="n">
        <v>158</v>
      </c>
      <c r="F3096" s="8" t="str">
        <f aca="false">IFERROR(INDEX(Section_Master!$D$2:$D$477,MATCH($E3096,Section_Master!$A$2:$A$477,0))&amp;"","")</f>
        <v>Imprisonment for life, or up to 10 years, and fine</v>
      </c>
      <c r="G3096" s="10" t="str">
        <f aca="false">IFERROR(INDEX(Section_Master!$E$2:$E$477,MATCH($E3096,Section_Master!$A$2:$A$477,0))&amp;"","")</f>
        <v>Yes</v>
      </c>
      <c r="H3096" s="10" t="str">
        <f aca="false">IFERROR(INDEX(Section_Master!$F$2:$F$477,MATCH($E3096,Section_Master!$A$2:$A$477,0))&amp;"","")</f>
        <v>No</v>
      </c>
      <c r="I3096" s="10" t="str">
        <f aca="false">IFERROR(INDEX(Section_Master!$G$2:$G$477,MATCH($E3096,Section_Master!$A$2:$A$477,0))&amp;"","")</f>
        <v>No</v>
      </c>
      <c r="J3096" s="10" t="s">
        <v>61</v>
      </c>
      <c r="K3096" s="8" t="s">
        <v>7261</v>
      </c>
    </row>
    <row r="3097" customFormat="false" ht="34.5" hidden="false" customHeight="true" outlineLevel="0" collapsed="false">
      <c r="A3097" s="10" t="s">
        <v>7270</v>
      </c>
      <c r="B3097" s="10" t="s">
        <v>45</v>
      </c>
      <c r="C3097" s="8" t="s">
        <v>7259</v>
      </c>
      <c r="D3097" s="8" t="s">
        <v>7271</v>
      </c>
      <c r="E3097" s="11" t="n">
        <v>158</v>
      </c>
      <c r="F3097" s="8" t="str">
        <f aca="false">IFERROR(INDEX(Section_Master!$D$2:$D$477,MATCH($E3097,Section_Master!$A$2:$A$477,0))&amp;"","")</f>
        <v>Imprisonment for life, or up to 10 years, and fine</v>
      </c>
      <c r="G3097" s="10" t="str">
        <f aca="false">IFERROR(INDEX(Section_Master!$E$2:$E$477,MATCH($E3097,Section_Master!$A$2:$A$477,0))&amp;"","")</f>
        <v>Yes</v>
      </c>
      <c r="H3097" s="10" t="str">
        <f aca="false">IFERROR(INDEX(Section_Master!$F$2:$F$477,MATCH($E3097,Section_Master!$A$2:$A$477,0))&amp;"","")</f>
        <v>No</v>
      </c>
      <c r="I3097" s="10" t="str">
        <f aca="false">IFERROR(INDEX(Section_Master!$G$2:$G$477,MATCH($E3097,Section_Master!$A$2:$A$477,0))&amp;"","")</f>
        <v>No</v>
      </c>
      <c r="J3097" s="10" t="s">
        <v>64</v>
      </c>
      <c r="K3097" s="8" t="s">
        <v>7261</v>
      </c>
    </row>
    <row r="3098" customFormat="false" ht="34.5" hidden="false" customHeight="true" outlineLevel="0" collapsed="false">
      <c r="A3098" s="10" t="s">
        <v>7272</v>
      </c>
      <c r="B3098" s="10" t="s">
        <v>45</v>
      </c>
      <c r="C3098" s="8" t="s">
        <v>7273</v>
      </c>
      <c r="D3098" s="8" t="s">
        <v>7274</v>
      </c>
      <c r="E3098" s="11" t="n">
        <v>159</v>
      </c>
      <c r="F3098" s="8" t="str">
        <f aca="false">IFERROR(INDEX(Section_Master!$D$2:$D$477,MATCH($E3098,Section_Master!$A$2:$A$477,0))&amp;"","")</f>
        <v>Imprisonment for life, or up to 10 years, and fine</v>
      </c>
      <c r="G3098" s="10" t="str">
        <f aca="false">IFERROR(INDEX(Section_Master!$E$2:$E$477,MATCH($E3098,Section_Master!$A$2:$A$477,0))&amp;"","")</f>
        <v>Yes</v>
      </c>
      <c r="H3098" s="10" t="str">
        <f aca="false">IFERROR(INDEX(Section_Master!$F$2:$F$477,MATCH($E3098,Section_Master!$A$2:$A$477,0))&amp;"","")</f>
        <v>No</v>
      </c>
      <c r="I3098" s="10" t="str">
        <f aca="false">IFERROR(INDEX(Section_Master!$G$2:$G$477,MATCH($E3098,Section_Master!$A$2:$A$477,0))&amp;"","")</f>
        <v>No</v>
      </c>
      <c r="J3098" s="10" t="s">
        <v>48</v>
      </c>
      <c r="K3098" s="8" t="s">
        <v>7275</v>
      </c>
    </row>
    <row r="3099" customFormat="false" ht="34.5" hidden="false" customHeight="true" outlineLevel="0" collapsed="false">
      <c r="A3099" s="10" t="s">
        <v>7276</v>
      </c>
      <c r="B3099" s="10" t="s">
        <v>45</v>
      </c>
      <c r="C3099" s="8" t="s">
        <v>7273</v>
      </c>
      <c r="D3099" s="8" t="s">
        <v>7277</v>
      </c>
      <c r="E3099" s="11" t="n">
        <v>159</v>
      </c>
      <c r="F3099" s="8" t="str">
        <f aca="false">IFERROR(INDEX(Section_Master!$D$2:$D$477,MATCH($E3099,Section_Master!$A$2:$A$477,0))&amp;"","")</f>
        <v>Imprisonment for life, or up to 10 years, and fine</v>
      </c>
      <c r="G3099" s="10" t="str">
        <f aca="false">IFERROR(INDEX(Section_Master!$E$2:$E$477,MATCH($E3099,Section_Master!$A$2:$A$477,0))&amp;"","")</f>
        <v>Yes</v>
      </c>
      <c r="H3099" s="10" t="str">
        <f aca="false">IFERROR(INDEX(Section_Master!$F$2:$F$477,MATCH($E3099,Section_Master!$A$2:$A$477,0))&amp;"","")</f>
        <v>No</v>
      </c>
      <c r="I3099" s="10" t="str">
        <f aca="false">IFERROR(INDEX(Section_Master!$G$2:$G$477,MATCH($E3099,Section_Master!$A$2:$A$477,0))&amp;"","")</f>
        <v>No</v>
      </c>
      <c r="J3099" s="10" t="s">
        <v>52</v>
      </c>
      <c r="K3099" s="8" t="s">
        <v>7275</v>
      </c>
    </row>
    <row r="3100" customFormat="false" ht="23.25" hidden="false" customHeight="true" outlineLevel="0" collapsed="false">
      <c r="A3100" s="10" t="s">
        <v>7278</v>
      </c>
      <c r="B3100" s="10" t="s">
        <v>45</v>
      </c>
      <c r="C3100" s="8" t="s">
        <v>7273</v>
      </c>
      <c r="D3100" s="8" t="s">
        <v>7279</v>
      </c>
      <c r="E3100" s="11" t="n">
        <v>159</v>
      </c>
      <c r="F3100" s="8" t="str">
        <f aca="false">IFERROR(INDEX(Section_Master!$D$2:$D$477,MATCH($E3100,Section_Master!$A$2:$A$477,0))&amp;"","")</f>
        <v>Imprisonment for life, or up to 10 years, and fine</v>
      </c>
      <c r="G3100" s="10" t="str">
        <f aca="false">IFERROR(INDEX(Section_Master!$E$2:$E$477,MATCH($E3100,Section_Master!$A$2:$A$477,0))&amp;"","")</f>
        <v>Yes</v>
      </c>
      <c r="H3100" s="10" t="str">
        <f aca="false">IFERROR(INDEX(Section_Master!$F$2:$F$477,MATCH($E3100,Section_Master!$A$2:$A$477,0))&amp;"","")</f>
        <v>No</v>
      </c>
      <c r="I3100" s="10" t="str">
        <f aca="false">IFERROR(INDEX(Section_Master!$G$2:$G$477,MATCH($E3100,Section_Master!$A$2:$A$477,0))&amp;"","")</f>
        <v>No</v>
      </c>
      <c r="J3100" s="10" t="s">
        <v>55</v>
      </c>
      <c r="K3100" s="8" t="s">
        <v>7275</v>
      </c>
    </row>
    <row r="3101" customFormat="false" ht="23.25" hidden="false" customHeight="true" outlineLevel="0" collapsed="false">
      <c r="A3101" s="10" t="s">
        <v>7280</v>
      </c>
      <c r="B3101" s="10" t="s">
        <v>45</v>
      </c>
      <c r="C3101" s="8" t="s">
        <v>7273</v>
      </c>
      <c r="D3101" s="8" t="s">
        <v>7281</v>
      </c>
      <c r="E3101" s="11" t="n">
        <v>159</v>
      </c>
      <c r="F3101" s="8" t="str">
        <f aca="false">IFERROR(INDEX(Section_Master!$D$2:$D$477,MATCH($E3101,Section_Master!$A$2:$A$477,0))&amp;"","")</f>
        <v>Imprisonment for life, or up to 10 years, and fine</v>
      </c>
      <c r="G3101" s="10" t="str">
        <f aca="false">IFERROR(INDEX(Section_Master!$E$2:$E$477,MATCH($E3101,Section_Master!$A$2:$A$477,0))&amp;"","")</f>
        <v>Yes</v>
      </c>
      <c r="H3101" s="10" t="str">
        <f aca="false">IFERROR(INDEX(Section_Master!$F$2:$F$477,MATCH($E3101,Section_Master!$A$2:$A$477,0))&amp;"","")</f>
        <v>No</v>
      </c>
      <c r="I3101" s="10" t="str">
        <f aca="false">IFERROR(INDEX(Section_Master!$G$2:$G$477,MATCH($E3101,Section_Master!$A$2:$A$477,0))&amp;"","")</f>
        <v>No</v>
      </c>
      <c r="J3101" s="10" t="s">
        <v>58</v>
      </c>
      <c r="K3101" s="8" t="s">
        <v>7275</v>
      </c>
    </row>
    <row r="3102" customFormat="false" ht="23.25" hidden="false" customHeight="true" outlineLevel="0" collapsed="false">
      <c r="A3102" s="10" t="s">
        <v>7282</v>
      </c>
      <c r="B3102" s="10" t="s">
        <v>45</v>
      </c>
      <c r="C3102" s="8" t="s">
        <v>7273</v>
      </c>
      <c r="D3102" s="8" t="s">
        <v>7283</v>
      </c>
      <c r="E3102" s="11" t="n">
        <v>159</v>
      </c>
      <c r="F3102" s="8" t="str">
        <f aca="false">IFERROR(INDEX(Section_Master!$D$2:$D$477,MATCH($E3102,Section_Master!$A$2:$A$477,0))&amp;"","")</f>
        <v>Imprisonment for life, or up to 10 years, and fine</v>
      </c>
      <c r="G3102" s="10" t="str">
        <f aca="false">IFERROR(INDEX(Section_Master!$E$2:$E$477,MATCH($E3102,Section_Master!$A$2:$A$477,0))&amp;"","")</f>
        <v>Yes</v>
      </c>
      <c r="H3102" s="10" t="str">
        <f aca="false">IFERROR(INDEX(Section_Master!$F$2:$F$477,MATCH($E3102,Section_Master!$A$2:$A$477,0))&amp;"","")</f>
        <v>No</v>
      </c>
      <c r="I3102" s="10" t="str">
        <f aca="false">IFERROR(INDEX(Section_Master!$G$2:$G$477,MATCH($E3102,Section_Master!$A$2:$A$477,0))&amp;"","")</f>
        <v>No</v>
      </c>
      <c r="J3102" s="10" t="s">
        <v>61</v>
      </c>
      <c r="K3102" s="8" t="s">
        <v>7275</v>
      </c>
    </row>
    <row r="3103" customFormat="false" ht="34.5" hidden="false" customHeight="true" outlineLevel="0" collapsed="false">
      <c r="A3103" s="10" t="s">
        <v>7284</v>
      </c>
      <c r="B3103" s="10" t="s">
        <v>45</v>
      </c>
      <c r="C3103" s="8" t="s">
        <v>7273</v>
      </c>
      <c r="D3103" s="8" t="s">
        <v>7285</v>
      </c>
      <c r="E3103" s="11" t="n">
        <v>159</v>
      </c>
      <c r="F3103" s="8" t="str">
        <f aca="false">IFERROR(INDEX(Section_Master!$D$2:$D$477,MATCH($E3103,Section_Master!$A$2:$A$477,0))&amp;"","")</f>
        <v>Imprisonment for life, or up to 10 years, and fine</v>
      </c>
      <c r="G3103" s="10" t="str">
        <f aca="false">IFERROR(INDEX(Section_Master!$E$2:$E$477,MATCH($E3103,Section_Master!$A$2:$A$477,0))&amp;"","")</f>
        <v>Yes</v>
      </c>
      <c r="H3103" s="10" t="str">
        <f aca="false">IFERROR(INDEX(Section_Master!$F$2:$F$477,MATCH($E3103,Section_Master!$A$2:$A$477,0))&amp;"","")</f>
        <v>No</v>
      </c>
      <c r="I3103" s="10" t="str">
        <f aca="false">IFERROR(INDEX(Section_Master!$G$2:$G$477,MATCH($E3103,Section_Master!$A$2:$A$477,0))&amp;"","")</f>
        <v>No</v>
      </c>
      <c r="J3103" s="10" t="s">
        <v>64</v>
      </c>
      <c r="K3103" s="8" t="s">
        <v>7275</v>
      </c>
    </row>
    <row r="3104" customFormat="false" ht="34.5" hidden="false" customHeight="true" outlineLevel="0" collapsed="false">
      <c r="A3104" s="10" t="s">
        <v>7286</v>
      </c>
      <c r="B3104" s="10" t="s">
        <v>45</v>
      </c>
      <c r="C3104" s="8" t="s">
        <v>7287</v>
      </c>
      <c r="D3104" s="8" t="s">
        <v>7288</v>
      </c>
      <c r="E3104" s="11" t="n">
        <v>160</v>
      </c>
      <c r="F3104" s="8" t="str">
        <f aca="false">IFERROR(INDEX(Section_Master!$D$2:$D$477,MATCH($E3104,Section_Master!$A$2:$A$477,0))&amp;"","")</f>
        <v>Death, or life imprisonment, or up to 10 years, and fine</v>
      </c>
      <c r="G3104" s="10" t="str">
        <f aca="false">IFERROR(INDEX(Section_Master!$E$2:$E$477,MATCH($E3104,Section_Master!$A$2:$A$477,0))&amp;"","")</f>
        <v>Yes</v>
      </c>
      <c r="H3104" s="10" t="str">
        <f aca="false">IFERROR(INDEX(Section_Master!$F$2:$F$477,MATCH($E3104,Section_Master!$A$2:$A$477,0))&amp;"","")</f>
        <v>No</v>
      </c>
      <c r="I3104" s="10" t="str">
        <f aca="false">IFERROR(INDEX(Section_Master!$G$2:$G$477,MATCH($E3104,Section_Master!$A$2:$A$477,0))&amp;"","")</f>
        <v>No</v>
      </c>
      <c r="J3104" s="10" t="s">
        <v>48</v>
      </c>
      <c r="K3104" s="8" t="s">
        <v>7289</v>
      </c>
    </row>
    <row r="3105" customFormat="false" ht="34.5" hidden="false" customHeight="true" outlineLevel="0" collapsed="false">
      <c r="A3105" s="10" t="s">
        <v>7290</v>
      </c>
      <c r="B3105" s="10" t="s">
        <v>45</v>
      </c>
      <c r="C3105" s="8" t="s">
        <v>7287</v>
      </c>
      <c r="D3105" s="8" t="s">
        <v>7291</v>
      </c>
      <c r="E3105" s="11" t="n">
        <v>160</v>
      </c>
      <c r="F3105" s="8" t="str">
        <f aca="false">IFERROR(INDEX(Section_Master!$D$2:$D$477,MATCH($E3105,Section_Master!$A$2:$A$477,0))&amp;"","")</f>
        <v>Death, or life imprisonment, or up to 10 years, and fine</v>
      </c>
      <c r="G3105" s="10" t="str">
        <f aca="false">IFERROR(INDEX(Section_Master!$E$2:$E$477,MATCH($E3105,Section_Master!$A$2:$A$477,0))&amp;"","")</f>
        <v>Yes</v>
      </c>
      <c r="H3105" s="10" t="str">
        <f aca="false">IFERROR(INDEX(Section_Master!$F$2:$F$477,MATCH($E3105,Section_Master!$A$2:$A$477,0))&amp;"","")</f>
        <v>No</v>
      </c>
      <c r="I3105" s="10" t="str">
        <f aca="false">IFERROR(INDEX(Section_Master!$G$2:$G$477,MATCH($E3105,Section_Master!$A$2:$A$477,0))&amp;"","")</f>
        <v>No</v>
      </c>
      <c r="J3105" s="10" t="s">
        <v>52</v>
      </c>
      <c r="K3105" s="8" t="s">
        <v>7289</v>
      </c>
    </row>
    <row r="3106" customFormat="false" ht="34.5" hidden="false" customHeight="true" outlineLevel="0" collapsed="false">
      <c r="A3106" s="10" t="s">
        <v>7292</v>
      </c>
      <c r="B3106" s="10" t="s">
        <v>45</v>
      </c>
      <c r="C3106" s="8" t="s">
        <v>7287</v>
      </c>
      <c r="D3106" s="8" t="s">
        <v>7293</v>
      </c>
      <c r="E3106" s="11" t="n">
        <v>160</v>
      </c>
      <c r="F3106" s="8" t="str">
        <f aca="false">IFERROR(INDEX(Section_Master!$D$2:$D$477,MATCH($E3106,Section_Master!$A$2:$A$477,0))&amp;"","")</f>
        <v>Death, or life imprisonment, or up to 10 years, and fine</v>
      </c>
      <c r="G3106" s="10" t="str">
        <f aca="false">IFERROR(INDEX(Section_Master!$E$2:$E$477,MATCH($E3106,Section_Master!$A$2:$A$477,0))&amp;"","")</f>
        <v>Yes</v>
      </c>
      <c r="H3106" s="10" t="str">
        <f aca="false">IFERROR(INDEX(Section_Master!$F$2:$F$477,MATCH($E3106,Section_Master!$A$2:$A$477,0))&amp;"","")</f>
        <v>No</v>
      </c>
      <c r="I3106" s="10" t="str">
        <f aca="false">IFERROR(INDEX(Section_Master!$G$2:$G$477,MATCH($E3106,Section_Master!$A$2:$A$477,0))&amp;"","")</f>
        <v>No</v>
      </c>
      <c r="J3106" s="10" t="s">
        <v>55</v>
      </c>
      <c r="K3106" s="8" t="s">
        <v>7289</v>
      </c>
    </row>
    <row r="3107" customFormat="false" ht="34.5" hidden="false" customHeight="true" outlineLevel="0" collapsed="false">
      <c r="A3107" s="10" t="s">
        <v>7294</v>
      </c>
      <c r="B3107" s="10" t="s">
        <v>45</v>
      </c>
      <c r="C3107" s="8" t="s">
        <v>7287</v>
      </c>
      <c r="D3107" s="8" t="s">
        <v>7295</v>
      </c>
      <c r="E3107" s="11" t="n">
        <v>160</v>
      </c>
      <c r="F3107" s="8" t="str">
        <f aca="false">IFERROR(INDEX(Section_Master!$D$2:$D$477,MATCH($E3107,Section_Master!$A$2:$A$477,0))&amp;"","")</f>
        <v>Death, or life imprisonment, or up to 10 years, and fine</v>
      </c>
      <c r="G3107" s="10" t="str">
        <f aca="false">IFERROR(INDEX(Section_Master!$E$2:$E$477,MATCH($E3107,Section_Master!$A$2:$A$477,0))&amp;"","")</f>
        <v>Yes</v>
      </c>
      <c r="H3107" s="10" t="str">
        <f aca="false">IFERROR(INDEX(Section_Master!$F$2:$F$477,MATCH($E3107,Section_Master!$A$2:$A$477,0))&amp;"","")</f>
        <v>No</v>
      </c>
      <c r="I3107" s="10" t="str">
        <f aca="false">IFERROR(INDEX(Section_Master!$G$2:$G$477,MATCH($E3107,Section_Master!$A$2:$A$477,0))&amp;"","")</f>
        <v>No</v>
      </c>
      <c r="J3107" s="10" t="s">
        <v>58</v>
      </c>
      <c r="K3107" s="8" t="s">
        <v>7289</v>
      </c>
    </row>
    <row r="3108" customFormat="false" ht="34.5" hidden="false" customHeight="true" outlineLevel="0" collapsed="false">
      <c r="A3108" s="10" t="s">
        <v>7296</v>
      </c>
      <c r="B3108" s="10" t="s">
        <v>45</v>
      </c>
      <c r="C3108" s="8" t="s">
        <v>7287</v>
      </c>
      <c r="D3108" s="8" t="s">
        <v>7297</v>
      </c>
      <c r="E3108" s="11" t="n">
        <v>160</v>
      </c>
      <c r="F3108" s="8" t="str">
        <f aca="false">IFERROR(INDEX(Section_Master!$D$2:$D$477,MATCH($E3108,Section_Master!$A$2:$A$477,0))&amp;"","")</f>
        <v>Death, or life imprisonment, or up to 10 years, and fine</v>
      </c>
      <c r="G3108" s="10" t="str">
        <f aca="false">IFERROR(INDEX(Section_Master!$E$2:$E$477,MATCH($E3108,Section_Master!$A$2:$A$477,0))&amp;"","")</f>
        <v>Yes</v>
      </c>
      <c r="H3108" s="10" t="str">
        <f aca="false">IFERROR(INDEX(Section_Master!$F$2:$F$477,MATCH($E3108,Section_Master!$A$2:$A$477,0))&amp;"","")</f>
        <v>No</v>
      </c>
      <c r="I3108" s="10" t="str">
        <f aca="false">IFERROR(INDEX(Section_Master!$G$2:$G$477,MATCH($E3108,Section_Master!$A$2:$A$477,0))&amp;"","")</f>
        <v>No</v>
      </c>
      <c r="J3108" s="10" t="s">
        <v>61</v>
      </c>
      <c r="K3108" s="8" t="s">
        <v>7289</v>
      </c>
    </row>
    <row r="3109" customFormat="false" ht="34.5" hidden="false" customHeight="true" outlineLevel="0" collapsed="false">
      <c r="A3109" s="10" t="s">
        <v>7298</v>
      </c>
      <c r="B3109" s="10" t="s">
        <v>45</v>
      </c>
      <c r="C3109" s="8" t="s">
        <v>7287</v>
      </c>
      <c r="D3109" s="8" t="s">
        <v>7299</v>
      </c>
      <c r="E3109" s="11" t="n">
        <v>160</v>
      </c>
      <c r="F3109" s="8" t="str">
        <f aca="false">IFERROR(INDEX(Section_Master!$D$2:$D$477,MATCH($E3109,Section_Master!$A$2:$A$477,0))&amp;"","")</f>
        <v>Death, or life imprisonment, or up to 10 years, and fine</v>
      </c>
      <c r="G3109" s="10" t="str">
        <f aca="false">IFERROR(INDEX(Section_Master!$E$2:$E$477,MATCH($E3109,Section_Master!$A$2:$A$477,0))&amp;"","")</f>
        <v>Yes</v>
      </c>
      <c r="H3109" s="10" t="str">
        <f aca="false">IFERROR(INDEX(Section_Master!$F$2:$F$477,MATCH($E3109,Section_Master!$A$2:$A$477,0))&amp;"","")</f>
        <v>No</v>
      </c>
      <c r="I3109" s="10" t="str">
        <f aca="false">IFERROR(INDEX(Section_Master!$G$2:$G$477,MATCH($E3109,Section_Master!$A$2:$A$477,0))&amp;"","")</f>
        <v>No</v>
      </c>
      <c r="J3109" s="10" t="s">
        <v>64</v>
      </c>
      <c r="K3109" s="8" t="s">
        <v>7289</v>
      </c>
    </row>
    <row r="3110" customFormat="false" ht="34.5" hidden="false" customHeight="true" outlineLevel="0" collapsed="false">
      <c r="A3110" s="10" t="s">
        <v>7300</v>
      </c>
      <c r="B3110" s="10" t="s">
        <v>45</v>
      </c>
      <c r="C3110" s="8" t="s">
        <v>7301</v>
      </c>
      <c r="D3110" s="8" t="s">
        <v>7302</v>
      </c>
      <c r="E3110" s="11" t="n">
        <v>161</v>
      </c>
      <c r="F3110" s="8" t="str">
        <f aca="false">IFERROR(INDEX(Section_Master!$D$2:$D$477,MATCH($E3110,Section_Master!$A$2:$A$477,0))&amp;"","")</f>
        <v>Imprisonment up to 3 years and fine</v>
      </c>
      <c r="G3110" s="10" t="str">
        <f aca="false">IFERROR(INDEX(Section_Master!$E$2:$E$477,MATCH($E3110,Section_Master!$A$2:$A$477,0))&amp;"","")</f>
        <v>Yes</v>
      </c>
      <c r="H3110" s="10" t="str">
        <f aca="false">IFERROR(INDEX(Section_Master!$F$2:$F$477,MATCH($E3110,Section_Master!$A$2:$A$477,0))&amp;"","")</f>
        <v>No</v>
      </c>
      <c r="I3110" s="10" t="str">
        <f aca="false">IFERROR(INDEX(Section_Master!$G$2:$G$477,MATCH($E3110,Section_Master!$A$2:$A$477,0))&amp;"","")</f>
        <v>No</v>
      </c>
      <c r="J3110" s="10" t="s">
        <v>48</v>
      </c>
      <c r="K3110" s="8" t="s">
        <v>7303</v>
      </c>
    </row>
    <row r="3111" customFormat="false" ht="34.5" hidden="false" customHeight="true" outlineLevel="0" collapsed="false">
      <c r="A3111" s="10" t="s">
        <v>7304</v>
      </c>
      <c r="B3111" s="10" t="s">
        <v>45</v>
      </c>
      <c r="C3111" s="8" t="s">
        <v>7301</v>
      </c>
      <c r="D3111" s="8" t="s">
        <v>7305</v>
      </c>
      <c r="E3111" s="11" t="n">
        <v>161</v>
      </c>
      <c r="F3111" s="8" t="str">
        <f aca="false">IFERROR(INDEX(Section_Master!$D$2:$D$477,MATCH($E3111,Section_Master!$A$2:$A$477,0))&amp;"","")</f>
        <v>Imprisonment up to 3 years and fine</v>
      </c>
      <c r="G3111" s="10" t="str">
        <f aca="false">IFERROR(INDEX(Section_Master!$E$2:$E$477,MATCH($E3111,Section_Master!$A$2:$A$477,0))&amp;"","")</f>
        <v>Yes</v>
      </c>
      <c r="H3111" s="10" t="str">
        <f aca="false">IFERROR(INDEX(Section_Master!$F$2:$F$477,MATCH($E3111,Section_Master!$A$2:$A$477,0))&amp;"","")</f>
        <v>No</v>
      </c>
      <c r="I3111" s="10" t="str">
        <f aca="false">IFERROR(INDEX(Section_Master!$G$2:$G$477,MATCH($E3111,Section_Master!$A$2:$A$477,0))&amp;"","")</f>
        <v>No</v>
      </c>
      <c r="J3111" s="10" t="s">
        <v>52</v>
      </c>
      <c r="K3111" s="8" t="s">
        <v>7303</v>
      </c>
    </row>
    <row r="3112" customFormat="false" ht="34.5" hidden="false" customHeight="true" outlineLevel="0" collapsed="false">
      <c r="A3112" s="10" t="s">
        <v>7306</v>
      </c>
      <c r="B3112" s="10" t="s">
        <v>45</v>
      </c>
      <c r="C3112" s="8" t="s">
        <v>7301</v>
      </c>
      <c r="D3112" s="8" t="s">
        <v>7307</v>
      </c>
      <c r="E3112" s="11" t="n">
        <v>161</v>
      </c>
      <c r="F3112" s="8" t="str">
        <f aca="false">IFERROR(INDEX(Section_Master!$D$2:$D$477,MATCH($E3112,Section_Master!$A$2:$A$477,0))&amp;"","")</f>
        <v>Imprisonment up to 3 years and fine</v>
      </c>
      <c r="G3112" s="10" t="str">
        <f aca="false">IFERROR(INDEX(Section_Master!$E$2:$E$477,MATCH($E3112,Section_Master!$A$2:$A$477,0))&amp;"","")</f>
        <v>Yes</v>
      </c>
      <c r="H3112" s="10" t="str">
        <f aca="false">IFERROR(INDEX(Section_Master!$F$2:$F$477,MATCH($E3112,Section_Master!$A$2:$A$477,0))&amp;"","")</f>
        <v>No</v>
      </c>
      <c r="I3112" s="10" t="str">
        <f aca="false">IFERROR(INDEX(Section_Master!$G$2:$G$477,MATCH($E3112,Section_Master!$A$2:$A$477,0))&amp;"","")</f>
        <v>No</v>
      </c>
      <c r="J3112" s="10" t="s">
        <v>55</v>
      </c>
      <c r="K3112" s="8" t="s">
        <v>7303</v>
      </c>
    </row>
    <row r="3113" customFormat="false" ht="23.25" hidden="false" customHeight="true" outlineLevel="0" collapsed="false">
      <c r="A3113" s="10" t="s">
        <v>7308</v>
      </c>
      <c r="B3113" s="10" t="s">
        <v>45</v>
      </c>
      <c r="C3113" s="8" t="s">
        <v>7301</v>
      </c>
      <c r="D3113" s="8" t="s">
        <v>7309</v>
      </c>
      <c r="E3113" s="11" t="n">
        <v>161</v>
      </c>
      <c r="F3113" s="8" t="str">
        <f aca="false">IFERROR(INDEX(Section_Master!$D$2:$D$477,MATCH($E3113,Section_Master!$A$2:$A$477,0))&amp;"","")</f>
        <v>Imprisonment up to 3 years and fine</v>
      </c>
      <c r="G3113" s="10" t="str">
        <f aca="false">IFERROR(INDEX(Section_Master!$E$2:$E$477,MATCH($E3113,Section_Master!$A$2:$A$477,0))&amp;"","")</f>
        <v>Yes</v>
      </c>
      <c r="H3113" s="10" t="str">
        <f aca="false">IFERROR(INDEX(Section_Master!$F$2:$F$477,MATCH($E3113,Section_Master!$A$2:$A$477,0))&amp;"","")</f>
        <v>No</v>
      </c>
      <c r="I3113" s="10" t="str">
        <f aca="false">IFERROR(INDEX(Section_Master!$G$2:$G$477,MATCH($E3113,Section_Master!$A$2:$A$477,0))&amp;"","")</f>
        <v>No</v>
      </c>
      <c r="J3113" s="10" t="s">
        <v>58</v>
      </c>
      <c r="K3113" s="8" t="s">
        <v>7303</v>
      </c>
    </row>
    <row r="3114" customFormat="false" ht="23.25" hidden="false" customHeight="true" outlineLevel="0" collapsed="false">
      <c r="A3114" s="10" t="s">
        <v>7310</v>
      </c>
      <c r="B3114" s="10" t="s">
        <v>45</v>
      </c>
      <c r="C3114" s="8" t="s">
        <v>7301</v>
      </c>
      <c r="D3114" s="8" t="s">
        <v>7311</v>
      </c>
      <c r="E3114" s="11" t="n">
        <v>161</v>
      </c>
      <c r="F3114" s="8" t="str">
        <f aca="false">IFERROR(INDEX(Section_Master!$D$2:$D$477,MATCH($E3114,Section_Master!$A$2:$A$477,0))&amp;"","")</f>
        <v>Imprisonment up to 3 years and fine</v>
      </c>
      <c r="G3114" s="10" t="str">
        <f aca="false">IFERROR(INDEX(Section_Master!$E$2:$E$477,MATCH($E3114,Section_Master!$A$2:$A$477,0))&amp;"","")</f>
        <v>Yes</v>
      </c>
      <c r="H3114" s="10" t="str">
        <f aca="false">IFERROR(INDEX(Section_Master!$F$2:$F$477,MATCH($E3114,Section_Master!$A$2:$A$477,0))&amp;"","")</f>
        <v>No</v>
      </c>
      <c r="I3114" s="10" t="str">
        <f aca="false">IFERROR(INDEX(Section_Master!$G$2:$G$477,MATCH($E3114,Section_Master!$A$2:$A$477,0))&amp;"","")</f>
        <v>No</v>
      </c>
      <c r="J3114" s="10" t="s">
        <v>61</v>
      </c>
      <c r="K3114" s="8" t="s">
        <v>7303</v>
      </c>
    </row>
    <row r="3115" customFormat="false" ht="34.5" hidden="false" customHeight="true" outlineLevel="0" collapsed="false">
      <c r="A3115" s="10" t="s">
        <v>7312</v>
      </c>
      <c r="B3115" s="10" t="s">
        <v>45</v>
      </c>
      <c r="C3115" s="8" t="s">
        <v>7301</v>
      </c>
      <c r="D3115" s="8" t="s">
        <v>7313</v>
      </c>
      <c r="E3115" s="11" t="n">
        <v>161</v>
      </c>
      <c r="F3115" s="8" t="str">
        <f aca="false">IFERROR(INDEX(Section_Master!$D$2:$D$477,MATCH($E3115,Section_Master!$A$2:$A$477,0))&amp;"","")</f>
        <v>Imprisonment up to 3 years and fine</v>
      </c>
      <c r="G3115" s="10" t="str">
        <f aca="false">IFERROR(INDEX(Section_Master!$E$2:$E$477,MATCH($E3115,Section_Master!$A$2:$A$477,0))&amp;"","")</f>
        <v>Yes</v>
      </c>
      <c r="H3115" s="10" t="str">
        <f aca="false">IFERROR(INDEX(Section_Master!$F$2:$F$477,MATCH($E3115,Section_Master!$A$2:$A$477,0))&amp;"","")</f>
        <v>No</v>
      </c>
      <c r="I3115" s="10" t="str">
        <f aca="false">IFERROR(INDEX(Section_Master!$G$2:$G$477,MATCH($E3115,Section_Master!$A$2:$A$477,0))&amp;"","")</f>
        <v>No</v>
      </c>
      <c r="J3115" s="10" t="s">
        <v>64</v>
      </c>
      <c r="K3115" s="8" t="s">
        <v>7303</v>
      </c>
    </row>
    <row r="3116" customFormat="false" ht="23.25" hidden="false" customHeight="true" outlineLevel="0" collapsed="false">
      <c r="A3116" s="10" t="s">
        <v>7314</v>
      </c>
      <c r="B3116" s="10" t="s">
        <v>45</v>
      </c>
      <c r="C3116" s="8" t="s">
        <v>7315</v>
      </c>
      <c r="D3116" s="8" t="s">
        <v>7316</v>
      </c>
      <c r="E3116" s="11" t="n">
        <v>162</v>
      </c>
      <c r="F3116" s="8" t="str">
        <f aca="false">IFERROR(INDEX(Section_Master!$D$2:$D$477,MATCH($E3116,Section_Master!$A$2:$A$477,0))&amp;"","")</f>
        <v>Imprisonment up to 7 years and fine</v>
      </c>
      <c r="G3116" s="10" t="str">
        <f aca="false">IFERROR(INDEX(Section_Master!$E$2:$E$477,MATCH($E3116,Section_Master!$A$2:$A$477,0))&amp;"","")</f>
        <v>Yes</v>
      </c>
      <c r="H3116" s="10" t="str">
        <f aca="false">IFERROR(INDEX(Section_Master!$F$2:$F$477,MATCH($E3116,Section_Master!$A$2:$A$477,0))&amp;"","")</f>
        <v>No</v>
      </c>
      <c r="I3116" s="10" t="str">
        <f aca="false">IFERROR(INDEX(Section_Master!$G$2:$G$477,MATCH($E3116,Section_Master!$A$2:$A$477,0))&amp;"","")</f>
        <v>No</v>
      </c>
      <c r="J3116" s="10" t="s">
        <v>48</v>
      </c>
      <c r="K3116" s="8" t="s">
        <v>7317</v>
      </c>
    </row>
    <row r="3117" customFormat="false" ht="34.5" hidden="false" customHeight="true" outlineLevel="0" collapsed="false">
      <c r="A3117" s="10" t="s">
        <v>7318</v>
      </c>
      <c r="B3117" s="10" t="s">
        <v>45</v>
      </c>
      <c r="C3117" s="8" t="s">
        <v>7315</v>
      </c>
      <c r="D3117" s="8" t="s">
        <v>7319</v>
      </c>
      <c r="E3117" s="11" t="n">
        <v>162</v>
      </c>
      <c r="F3117" s="8" t="str">
        <f aca="false">IFERROR(INDEX(Section_Master!$D$2:$D$477,MATCH($E3117,Section_Master!$A$2:$A$477,0))&amp;"","")</f>
        <v>Imprisonment up to 7 years and fine</v>
      </c>
      <c r="G3117" s="10" t="str">
        <f aca="false">IFERROR(INDEX(Section_Master!$E$2:$E$477,MATCH($E3117,Section_Master!$A$2:$A$477,0))&amp;"","")</f>
        <v>Yes</v>
      </c>
      <c r="H3117" s="10" t="str">
        <f aca="false">IFERROR(INDEX(Section_Master!$F$2:$F$477,MATCH($E3117,Section_Master!$A$2:$A$477,0))&amp;"","")</f>
        <v>No</v>
      </c>
      <c r="I3117" s="10" t="str">
        <f aca="false">IFERROR(INDEX(Section_Master!$G$2:$G$477,MATCH($E3117,Section_Master!$A$2:$A$477,0))&amp;"","")</f>
        <v>No</v>
      </c>
      <c r="J3117" s="10" t="s">
        <v>52</v>
      </c>
      <c r="K3117" s="8" t="s">
        <v>7317</v>
      </c>
    </row>
    <row r="3118" customFormat="false" ht="23.25" hidden="false" customHeight="true" outlineLevel="0" collapsed="false">
      <c r="A3118" s="10" t="s">
        <v>7320</v>
      </c>
      <c r="B3118" s="10" t="s">
        <v>45</v>
      </c>
      <c r="C3118" s="8" t="s">
        <v>7315</v>
      </c>
      <c r="D3118" s="8" t="s">
        <v>7321</v>
      </c>
      <c r="E3118" s="11" t="n">
        <v>162</v>
      </c>
      <c r="F3118" s="8" t="str">
        <f aca="false">IFERROR(INDEX(Section_Master!$D$2:$D$477,MATCH($E3118,Section_Master!$A$2:$A$477,0))&amp;"","")</f>
        <v>Imprisonment up to 7 years and fine</v>
      </c>
      <c r="G3118" s="10" t="str">
        <f aca="false">IFERROR(INDEX(Section_Master!$E$2:$E$477,MATCH($E3118,Section_Master!$A$2:$A$477,0))&amp;"","")</f>
        <v>Yes</v>
      </c>
      <c r="H3118" s="10" t="str">
        <f aca="false">IFERROR(INDEX(Section_Master!$F$2:$F$477,MATCH($E3118,Section_Master!$A$2:$A$477,0))&amp;"","")</f>
        <v>No</v>
      </c>
      <c r="I3118" s="10" t="str">
        <f aca="false">IFERROR(INDEX(Section_Master!$G$2:$G$477,MATCH($E3118,Section_Master!$A$2:$A$477,0))&amp;"","")</f>
        <v>No</v>
      </c>
      <c r="J3118" s="10" t="s">
        <v>55</v>
      </c>
      <c r="K3118" s="8" t="s">
        <v>7317</v>
      </c>
    </row>
    <row r="3119" customFormat="false" ht="23.25" hidden="false" customHeight="true" outlineLevel="0" collapsed="false">
      <c r="A3119" s="10" t="s">
        <v>7322</v>
      </c>
      <c r="B3119" s="10" t="s">
        <v>45</v>
      </c>
      <c r="C3119" s="8" t="s">
        <v>7315</v>
      </c>
      <c r="D3119" s="8" t="s">
        <v>7323</v>
      </c>
      <c r="E3119" s="11" t="n">
        <v>162</v>
      </c>
      <c r="F3119" s="8" t="str">
        <f aca="false">IFERROR(INDEX(Section_Master!$D$2:$D$477,MATCH($E3119,Section_Master!$A$2:$A$477,0))&amp;"","")</f>
        <v>Imprisonment up to 7 years and fine</v>
      </c>
      <c r="G3119" s="10" t="str">
        <f aca="false">IFERROR(INDEX(Section_Master!$E$2:$E$477,MATCH($E3119,Section_Master!$A$2:$A$477,0))&amp;"","")</f>
        <v>Yes</v>
      </c>
      <c r="H3119" s="10" t="str">
        <f aca="false">IFERROR(INDEX(Section_Master!$F$2:$F$477,MATCH($E3119,Section_Master!$A$2:$A$477,0))&amp;"","")</f>
        <v>No</v>
      </c>
      <c r="I3119" s="10" t="str">
        <f aca="false">IFERROR(INDEX(Section_Master!$G$2:$G$477,MATCH($E3119,Section_Master!$A$2:$A$477,0))&amp;"","")</f>
        <v>No</v>
      </c>
      <c r="J3119" s="10" t="s">
        <v>58</v>
      </c>
      <c r="K3119" s="8" t="s">
        <v>7317</v>
      </c>
    </row>
    <row r="3120" customFormat="false" ht="34.5" hidden="false" customHeight="true" outlineLevel="0" collapsed="false">
      <c r="A3120" s="10" t="s">
        <v>7324</v>
      </c>
      <c r="B3120" s="10" t="s">
        <v>45</v>
      </c>
      <c r="C3120" s="8" t="s">
        <v>7315</v>
      </c>
      <c r="D3120" s="8" t="s">
        <v>7325</v>
      </c>
      <c r="E3120" s="11" t="n">
        <v>162</v>
      </c>
      <c r="F3120" s="8" t="str">
        <f aca="false">IFERROR(INDEX(Section_Master!$D$2:$D$477,MATCH($E3120,Section_Master!$A$2:$A$477,0))&amp;"","")</f>
        <v>Imprisonment up to 7 years and fine</v>
      </c>
      <c r="G3120" s="10" t="str">
        <f aca="false">IFERROR(INDEX(Section_Master!$E$2:$E$477,MATCH($E3120,Section_Master!$A$2:$A$477,0))&amp;"","")</f>
        <v>Yes</v>
      </c>
      <c r="H3120" s="10" t="str">
        <f aca="false">IFERROR(INDEX(Section_Master!$F$2:$F$477,MATCH($E3120,Section_Master!$A$2:$A$477,0))&amp;"","")</f>
        <v>No</v>
      </c>
      <c r="I3120" s="10" t="str">
        <f aca="false">IFERROR(INDEX(Section_Master!$G$2:$G$477,MATCH($E3120,Section_Master!$A$2:$A$477,0))&amp;"","")</f>
        <v>No</v>
      </c>
      <c r="J3120" s="10" t="s">
        <v>61</v>
      </c>
      <c r="K3120" s="8" t="s">
        <v>7317</v>
      </c>
    </row>
    <row r="3121" customFormat="false" ht="34.5" hidden="false" customHeight="true" outlineLevel="0" collapsed="false">
      <c r="A3121" s="10" t="s">
        <v>7326</v>
      </c>
      <c r="B3121" s="10" t="s">
        <v>45</v>
      </c>
      <c r="C3121" s="8" t="s">
        <v>7315</v>
      </c>
      <c r="D3121" s="8" t="s">
        <v>7327</v>
      </c>
      <c r="E3121" s="11" t="n">
        <v>162</v>
      </c>
      <c r="F3121" s="8" t="str">
        <f aca="false">IFERROR(INDEX(Section_Master!$D$2:$D$477,MATCH($E3121,Section_Master!$A$2:$A$477,0))&amp;"","")</f>
        <v>Imprisonment up to 7 years and fine</v>
      </c>
      <c r="G3121" s="10" t="str">
        <f aca="false">IFERROR(INDEX(Section_Master!$E$2:$E$477,MATCH($E3121,Section_Master!$A$2:$A$477,0))&amp;"","")</f>
        <v>Yes</v>
      </c>
      <c r="H3121" s="10" t="str">
        <f aca="false">IFERROR(INDEX(Section_Master!$F$2:$F$477,MATCH($E3121,Section_Master!$A$2:$A$477,0))&amp;"","")</f>
        <v>No</v>
      </c>
      <c r="I3121" s="10" t="str">
        <f aca="false">IFERROR(INDEX(Section_Master!$G$2:$G$477,MATCH($E3121,Section_Master!$A$2:$A$477,0))&amp;"","")</f>
        <v>No</v>
      </c>
      <c r="J3121" s="10" t="s">
        <v>64</v>
      </c>
      <c r="K3121" s="8" t="s">
        <v>7317</v>
      </c>
    </row>
    <row r="3122" customFormat="false" ht="34.5" hidden="false" customHeight="true" outlineLevel="0" collapsed="false">
      <c r="A3122" s="10" t="s">
        <v>7328</v>
      </c>
      <c r="B3122" s="10" t="s">
        <v>45</v>
      </c>
      <c r="C3122" s="8" t="s">
        <v>7329</v>
      </c>
      <c r="D3122" s="8" t="s">
        <v>7330</v>
      </c>
      <c r="E3122" s="11" t="n">
        <v>163</v>
      </c>
      <c r="F3122" s="8" t="str">
        <f aca="false">IFERROR(INDEX(Section_Master!$D$2:$D$477,MATCH($E3122,Section_Master!$A$2:$A$477,0))&amp;"","")</f>
        <v>Imprisonment up to 2 years, or fine, or both</v>
      </c>
      <c r="G3122" s="10" t="str">
        <f aca="false">IFERROR(INDEX(Section_Master!$E$2:$E$477,MATCH($E3122,Section_Master!$A$2:$A$477,0))&amp;"","")</f>
        <v>Yes</v>
      </c>
      <c r="H3122" s="10" t="str">
        <f aca="false">IFERROR(INDEX(Section_Master!$F$2:$F$477,MATCH($E3122,Section_Master!$A$2:$A$477,0))&amp;"","")</f>
        <v>Yes</v>
      </c>
      <c r="I3122" s="10" t="str">
        <f aca="false">IFERROR(INDEX(Section_Master!$G$2:$G$477,MATCH($E3122,Section_Master!$A$2:$A$477,0))&amp;"","")</f>
        <v>No</v>
      </c>
      <c r="J3122" s="10" t="s">
        <v>48</v>
      </c>
      <c r="K3122" s="8" t="s">
        <v>7331</v>
      </c>
    </row>
    <row r="3123" customFormat="false" ht="34.5" hidden="false" customHeight="true" outlineLevel="0" collapsed="false">
      <c r="A3123" s="10" t="s">
        <v>7332</v>
      </c>
      <c r="B3123" s="10" t="s">
        <v>45</v>
      </c>
      <c r="C3123" s="8" t="s">
        <v>7329</v>
      </c>
      <c r="D3123" s="8" t="s">
        <v>7333</v>
      </c>
      <c r="E3123" s="11" t="n">
        <v>163</v>
      </c>
      <c r="F3123" s="8" t="str">
        <f aca="false">IFERROR(INDEX(Section_Master!$D$2:$D$477,MATCH($E3123,Section_Master!$A$2:$A$477,0))&amp;"","")</f>
        <v>Imprisonment up to 2 years, or fine, or both</v>
      </c>
      <c r="G3123" s="10" t="str">
        <f aca="false">IFERROR(INDEX(Section_Master!$E$2:$E$477,MATCH($E3123,Section_Master!$A$2:$A$477,0))&amp;"","")</f>
        <v>Yes</v>
      </c>
      <c r="H3123" s="10" t="str">
        <f aca="false">IFERROR(INDEX(Section_Master!$F$2:$F$477,MATCH($E3123,Section_Master!$A$2:$A$477,0))&amp;"","")</f>
        <v>Yes</v>
      </c>
      <c r="I3123" s="10" t="str">
        <f aca="false">IFERROR(INDEX(Section_Master!$G$2:$G$477,MATCH($E3123,Section_Master!$A$2:$A$477,0))&amp;"","")</f>
        <v>No</v>
      </c>
      <c r="J3123" s="10" t="s">
        <v>52</v>
      </c>
      <c r="K3123" s="8" t="s">
        <v>7331</v>
      </c>
    </row>
    <row r="3124" customFormat="false" ht="34.5" hidden="false" customHeight="true" outlineLevel="0" collapsed="false">
      <c r="A3124" s="10" t="s">
        <v>7334</v>
      </c>
      <c r="B3124" s="10" t="s">
        <v>45</v>
      </c>
      <c r="C3124" s="8" t="s">
        <v>7329</v>
      </c>
      <c r="D3124" s="8" t="s">
        <v>7335</v>
      </c>
      <c r="E3124" s="11" t="n">
        <v>163</v>
      </c>
      <c r="F3124" s="8" t="str">
        <f aca="false">IFERROR(INDEX(Section_Master!$D$2:$D$477,MATCH($E3124,Section_Master!$A$2:$A$477,0))&amp;"","")</f>
        <v>Imprisonment up to 2 years, or fine, or both</v>
      </c>
      <c r="G3124" s="10" t="str">
        <f aca="false">IFERROR(INDEX(Section_Master!$E$2:$E$477,MATCH($E3124,Section_Master!$A$2:$A$477,0))&amp;"","")</f>
        <v>Yes</v>
      </c>
      <c r="H3124" s="10" t="str">
        <f aca="false">IFERROR(INDEX(Section_Master!$F$2:$F$477,MATCH($E3124,Section_Master!$A$2:$A$477,0))&amp;"","")</f>
        <v>Yes</v>
      </c>
      <c r="I3124" s="10" t="str">
        <f aca="false">IFERROR(INDEX(Section_Master!$G$2:$G$477,MATCH($E3124,Section_Master!$A$2:$A$477,0))&amp;"","")</f>
        <v>No</v>
      </c>
      <c r="J3124" s="10" t="s">
        <v>55</v>
      </c>
      <c r="K3124" s="8" t="s">
        <v>7331</v>
      </c>
    </row>
    <row r="3125" customFormat="false" ht="23.25" hidden="false" customHeight="true" outlineLevel="0" collapsed="false">
      <c r="A3125" s="10" t="s">
        <v>7336</v>
      </c>
      <c r="B3125" s="10" t="s">
        <v>45</v>
      </c>
      <c r="C3125" s="8" t="s">
        <v>7329</v>
      </c>
      <c r="D3125" s="8" t="s">
        <v>7337</v>
      </c>
      <c r="E3125" s="11" t="n">
        <v>163</v>
      </c>
      <c r="F3125" s="8" t="str">
        <f aca="false">IFERROR(INDEX(Section_Master!$D$2:$D$477,MATCH($E3125,Section_Master!$A$2:$A$477,0))&amp;"","")</f>
        <v>Imprisonment up to 2 years, or fine, or both</v>
      </c>
      <c r="G3125" s="10" t="str">
        <f aca="false">IFERROR(INDEX(Section_Master!$E$2:$E$477,MATCH($E3125,Section_Master!$A$2:$A$477,0))&amp;"","")</f>
        <v>Yes</v>
      </c>
      <c r="H3125" s="10" t="str">
        <f aca="false">IFERROR(INDEX(Section_Master!$F$2:$F$477,MATCH($E3125,Section_Master!$A$2:$A$477,0))&amp;"","")</f>
        <v>Yes</v>
      </c>
      <c r="I3125" s="10" t="str">
        <f aca="false">IFERROR(INDEX(Section_Master!$G$2:$G$477,MATCH($E3125,Section_Master!$A$2:$A$477,0))&amp;"","")</f>
        <v>No</v>
      </c>
      <c r="J3125" s="10" t="s">
        <v>58</v>
      </c>
      <c r="K3125" s="8" t="s">
        <v>7331</v>
      </c>
    </row>
    <row r="3126" customFormat="false" ht="34.5" hidden="false" customHeight="true" outlineLevel="0" collapsed="false">
      <c r="A3126" s="10" t="s">
        <v>7338</v>
      </c>
      <c r="B3126" s="10" t="s">
        <v>45</v>
      </c>
      <c r="C3126" s="8" t="s">
        <v>7329</v>
      </c>
      <c r="D3126" s="8" t="s">
        <v>7339</v>
      </c>
      <c r="E3126" s="11" t="n">
        <v>163</v>
      </c>
      <c r="F3126" s="8" t="str">
        <f aca="false">IFERROR(INDEX(Section_Master!$D$2:$D$477,MATCH($E3126,Section_Master!$A$2:$A$477,0))&amp;"","")</f>
        <v>Imprisonment up to 2 years, or fine, or both</v>
      </c>
      <c r="G3126" s="10" t="str">
        <f aca="false">IFERROR(INDEX(Section_Master!$E$2:$E$477,MATCH($E3126,Section_Master!$A$2:$A$477,0))&amp;"","")</f>
        <v>Yes</v>
      </c>
      <c r="H3126" s="10" t="str">
        <f aca="false">IFERROR(INDEX(Section_Master!$F$2:$F$477,MATCH($E3126,Section_Master!$A$2:$A$477,0))&amp;"","")</f>
        <v>Yes</v>
      </c>
      <c r="I3126" s="10" t="str">
        <f aca="false">IFERROR(INDEX(Section_Master!$G$2:$G$477,MATCH($E3126,Section_Master!$A$2:$A$477,0))&amp;"","")</f>
        <v>No</v>
      </c>
      <c r="J3126" s="10" t="s">
        <v>61</v>
      </c>
      <c r="K3126" s="8" t="s">
        <v>7331</v>
      </c>
    </row>
    <row r="3127" customFormat="false" ht="34.5" hidden="false" customHeight="true" outlineLevel="0" collapsed="false">
      <c r="A3127" s="10" t="s">
        <v>7340</v>
      </c>
      <c r="B3127" s="10" t="s">
        <v>45</v>
      </c>
      <c r="C3127" s="8" t="s">
        <v>7329</v>
      </c>
      <c r="D3127" s="8" t="s">
        <v>7341</v>
      </c>
      <c r="E3127" s="11" t="n">
        <v>163</v>
      </c>
      <c r="F3127" s="8" t="str">
        <f aca="false">IFERROR(INDEX(Section_Master!$D$2:$D$477,MATCH($E3127,Section_Master!$A$2:$A$477,0))&amp;"","")</f>
        <v>Imprisonment up to 2 years, or fine, or both</v>
      </c>
      <c r="G3127" s="10" t="str">
        <f aca="false">IFERROR(INDEX(Section_Master!$E$2:$E$477,MATCH($E3127,Section_Master!$A$2:$A$477,0))&amp;"","")</f>
        <v>Yes</v>
      </c>
      <c r="H3127" s="10" t="str">
        <f aca="false">IFERROR(INDEX(Section_Master!$F$2:$F$477,MATCH($E3127,Section_Master!$A$2:$A$477,0))&amp;"","")</f>
        <v>Yes</v>
      </c>
      <c r="I3127" s="10" t="str">
        <f aca="false">IFERROR(INDEX(Section_Master!$G$2:$G$477,MATCH($E3127,Section_Master!$A$2:$A$477,0))&amp;"","")</f>
        <v>No</v>
      </c>
      <c r="J3127" s="10" t="s">
        <v>64</v>
      </c>
      <c r="K3127" s="8" t="s">
        <v>7331</v>
      </c>
    </row>
    <row r="3128" customFormat="false" ht="34.5" hidden="false" customHeight="true" outlineLevel="0" collapsed="false">
      <c r="A3128" s="10" t="s">
        <v>7342</v>
      </c>
      <c r="B3128" s="10" t="s">
        <v>45</v>
      </c>
      <c r="C3128" s="8" t="s">
        <v>7343</v>
      </c>
      <c r="D3128" s="8" t="s">
        <v>7344</v>
      </c>
      <c r="E3128" s="11" t="n">
        <v>164</v>
      </c>
      <c r="F3128" s="8" t="str">
        <f aca="false">IFERROR(INDEX(Section_Master!$D$2:$D$477,MATCH($E3128,Section_Master!$A$2:$A$477,0))&amp;"","")</f>
        <v>Imprisonment up to 2 years, or fine, or both</v>
      </c>
      <c r="G3128" s="10" t="str">
        <f aca="false">IFERROR(INDEX(Section_Master!$E$2:$E$477,MATCH($E3128,Section_Master!$A$2:$A$477,0))&amp;"","")</f>
        <v>Yes</v>
      </c>
      <c r="H3128" s="10" t="str">
        <f aca="false">IFERROR(INDEX(Section_Master!$F$2:$F$477,MATCH($E3128,Section_Master!$A$2:$A$477,0))&amp;"","")</f>
        <v>Yes</v>
      </c>
      <c r="I3128" s="10" t="str">
        <f aca="false">IFERROR(INDEX(Section_Master!$G$2:$G$477,MATCH($E3128,Section_Master!$A$2:$A$477,0))&amp;"","")</f>
        <v>No</v>
      </c>
      <c r="J3128" s="10" t="s">
        <v>48</v>
      </c>
      <c r="K3128" s="8" t="s">
        <v>7345</v>
      </c>
    </row>
    <row r="3129" customFormat="false" ht="34.5" hidden="false" customHeight="true" outlineLevel="0" collapsed="false">
      <c r="A3129" s="10" t="s">
        <v>7346</v>
      </c>
      <c r="B3129" s="10" t="s">
        <v>45</v>
      </c>
      <c r="C3129" s="8" t="s">
        <v>7343</v>
      </c>
      <c r="D3129" s="8" t="s">
        <v>7347</v>
      </c>
      <c r="E3129" s="11" t="n">
        <v>164</v>
      </c>
      <c r="F3129" s="8" t="str">
        <f aca="false">IFERROR(INDEX(Section_Master!$D$2:$D$477,MATCH($E3129,Section_Master!$A$2:$A$477,0))&amp;"","")</f>
        <v>Imprisonment up to 2 years, or fine, or both</v>
      </c>
      <c r="G3129" s="10" t="str">
        <f aca="false">IFERROR(INDEX(Section_Master!$E$2:$E$477,MATCH($E3129,Section_Master!$A$2:$A$477,0))&amp;"","")</f>
        <v>Yes</v>
      </c>
      <c r="H3129" s="10" t="str">
        <f aca="false">IFERROR(INDEX(Section_Master!$F$2:$F$477,MATCH($E3129,Section_Master!$A$2:$A$477,0))&amp;"","")</f>
        <v>Yes</v>
      </c>
      <c r="I3129" s="10" t="str">
        <f aca="false">IFERROR(INDEX(Section_Master!$G$2:$G$477,MATCH($E3129,Section_Master!$A$2:$A$477,0))&amp;"","")</f>
        <v>No</v>
      </c>
      <c r="J3129" s="10" t="s">
        <v>52</v>
      </c>
      <c r="K3129" s="8" t="s">
        <v>7345</v>
      </c>
    </row>
    <row r="3130" customFormat="false" ht="34.5" hidden="false" customHeight="true" outlineLevel="0" collapsed="false">
      <c r="A3130" s="10" t="s">
        <v>7348</v>
      </c>
      <c r="B3130" s="10" t="s">
        <v>45</v>
      </c>
      <c r="C3130" s="8" t="s">
        <v>7343</v>
      </c>
      <c r="D3130" s="8" t="s">
        <v>7349</v>
      </c>
      <c r="E3130" s="11" t="n">
        <v>164</v>
      </c>
      <c r="F3130" s="8" t="str">
        <f aca="false">IFERROR(INDEX(Section_Master!$D$2:$D$477,MATCH($E3130,Section_Master!$A$2:$A$477,0))&amp;"","")</f>
        <v>Imprisonment up to 2 years, or fine, or both</v>
      </c>
      <c r="G3130" s="10" t="str">
        <f aca="false">IFERROR(INDEX(Section_Master!$E$2:$E$477,MATCH($E3130,Section_Master!$A$2:$A$477,0))&amp;"","")</f>
        <v>Yes</v>
      </c>
      <c r="H3130" s="10" t="str">
        <f aca="false">IFERROR(INDEX(Section_Master!$F$2:$F$477,MATCH($E3130,Section_Master!$A$2:$A$477,0))&amp;"","")</f>
        <v>Yes</v>
      </c>
      <c r="I3130" s="10" t="str">
        <f aca="false">IFERROR(INDEX(Section_Master!$G$2:$G$477,MATCH($E3130,Section_Master!$A$2:$A$477,0))&amp;"","")</f>
        <v>No</v>
      </c>
      <c r="J3130" s="10" t="s">
        <v>55</v>
      </c>
      <c r="K3130" s="8" t="s">
        <v>7345</v>
      </c>
    </row>
    <row r="3131" customFormat="false" ht="34.5" hidden="false" customHeight="true" outlineLevel="0" collapsed="false">
      <c r="A3131" s="10" t="s">
        <v>7350</v>
      </c>
      <c r="B3131" s="10" t="s">
        <v>45</v>
      </c>
      <c r="C3131" s="8" t="s">
        <v>7343</v>
      </c>
      <c r="D3131" s="8" t="s">
        <v>7351</v>
      </c>
      <c r="E3131" s="11" t="n">
        <v>164</v>
      </c>
      <c r="F3131" s="8" t="str">
        <f aca="false">IFERROR(INDEX(Section_Master!$D$2:$D$477,MATCH($E3131,Section_Master!$A$2:$A$477,0))&amp;"","")</f>
        <v>Imprisonment up to 2 years, or fine, or both</v>
      </c>
      <c r="G3131" s="10" t="str">
        <f aca="false">IFERROR(INDEX(Section_Master!$E$2:$E$477,MATCH($E3131,Section_Master!$A$2:$A$477,0))&amp;"","")</f>
        <v>Yes</v>
      </c>
      <c r="H3131" s="10" t="str">
        <f aca="false">IFERROR(INDEX(Section_Master!$F$2:$F$477,MATCH($E3131,Section_Master!$A$2:$A$477,0))&amp;"","")</f>
        <v>Yes</v>
      </c>
      <c r="I3131" s="10" t="str">
        <f aca="false">IFERROR(INDEX(Section_Master!$G$2:$G$477,MATCH($E3131,Section_Master!$A$2:$A$477,0))&amp;"","")</f>
        <v>No</v>
      </c>
      <c r="J3131" s="10" t="s">
        <v>58</v>
      </c>
      <c r="K3131" s="8" t="s">
        <v>7345</v>
      </c>
    </row>
    <row r="3132" customFormat="false" ht="34.5" hidden="false" customHeight="true" outlineLevel="0" collapsed="false">
      <c r="A3132" s="10" t="s">
        <v>7352</v>
      </c>
      <c r="B3132" s="10" t="s">
        <v>45</v>
      </c>
      <c r="C3132" s="8" t="s">
        <v>7343</v>
      </c>
      <c r="D3132" s="8" t="s">
        <v>7353</v>
      </c>
      <c r="E3132" s="11" t="n">
        <v>164</v>
      </c>
      <c r="F3132" s="8" t="str">
        <f aca="false">IFERROR(INDEX(Section_Master!$D$2:$D$477,MATCH($E3132,Section_Master!$A$2:$A$477,0))&amp;"","")</f>
        <v>Imprisonment up to 2 years, or fine, or both</v>
      </c>
      <c r="G3132" s="10" t="str">
        <f aca="false">IFERROR(INDEX(Section_Master!$E$2:$E$477,MATCH($E3132,Section_Master!$A$2:$A$477,0))&amp;"","")</f>
        <v>Yes</v>
      </c>
      <c r="H3132" s="10" t="str">
        <f aca="false">IFERROR(INDEX(Section_Master!$F$2:$F$477,MATCH($E3132,Section_Master!$A$2:$A$477,0))&amp;"","")</f>
        <v>Yes</v>
      </c>
      <c r="I3132" s="10" t="str">
        <f aca="false">IFERROR(INDEX(Section_Master!$G$2:$G$477,MATCH($E3132,Section_Master!$A$2:$A$477,0))&amp;"","")</f>
        <v>No</v>
      </c>
      <c r="J3132" s="10" t="s">
        <v>61</v>
      </c>
      <c r="K3132" s="8" t="s">
        <v>7345</v>
      </c>
    </row>
    <row r="3133" customFormat="false" ht="34.5" hidden="false" customHeight="true" outlineLevel="0" collapsed="false">
      <c r="A3133" s="10" t="s">
        <v>7354</v>
      </c>
      <c r="B3133" s="10" t="s">
        <v>45</v>
      </c>
      <c r="C3133" s="8" t="s">
        <v>7343</v>
      </c>
      <c r="D3133" s="8" t="s">
        <v>7355</v>
      </c>
      <c r="E3133" s="11" t="n">
        <v>164</v>
      </c>
      <c r="F3133" s="8" t="str">
        <f aca="false">IFERROR(INDEX(Section_Master!$D$2:$D$477,MATCH($E3133,Section_Master!$A$2:$A$477,0))&amp;"","")</f>
        <v>Imprisonment up to 2 years, or fine, or both</v>
      </c>
      <c r="G3133" s="10" t="str">
        <f aca="false">IFERROR(INDEX(Section_Master!$E$2:$E$477,MATCH($E3133,Section_Master!$A$2:$A$477,0))&amp;"","")</f>
        <v>Yes</v>
      </c>
      <c r="H3133" s="10" t="str">
        <f aca="false">IFERROR(INDEX(Section_Master!$F$2:$F$477,MATCH($E3133,Section_Master!$A$2:$A$477,0))&amp;"","")</f>
        <v>Yes</v>
      </c>
      <c r="I3133" s="10" t="str">
        <f aca="false">IFERROR(INDEX(Section_Master!$G$2:$G$477,MATCH($E3133,Section_Master!$A$2:$A$477,0))&amp;"","")</f>
        <v>No</v>
      </c>
      <c r="J3133" s="10" t="s">
        <v>64</v>
      </c>
      <c r="K3133" s="8" t="s">
        <v>7345</v>
      </c>
    </row>
    <row r="3134" customFormat="false" ht="23.25" hidden="false" customHeight="true" outlineLevel="0" collapsed="false">
      <c r="A3134" s="10" t="s">
        <v>7356</v>
      </c>
      <c r="B3134" s="10" t="s">
        <v>45</v>
      </c>
      <c r="C3134" s="8" t="s">
        <v>7357</v>
      </c>
      <c r="D3134" s="8" t="s">
        <v>7358</v>
      </c>
      <c r="E3134" s="11" t="n">
        <v>165</v>
      </c>
      <c r="F3134" s="8" t="str">
        <f aca="false">IFERROR(INDEX(Section_Master!$D$2:$D$477,MATCH($E3134,Section_Master!$A$2:$A$477,0))&amp;"","")</f>
        <v>Fine</v>
      </c>
      <c r="G3134" s="10" t="str">
        <f aca="false">IFERROR(INDEX(Section_Master!$E$2:$E$477,MATCH($E3134,Section_Master!$A$2:$A$477,0))&amp;"","")</f>
        <v>No</v>
      </c>
      <c r="H3134" s="10" t="str">
        <f aca="false">IFERROR(INDEX(Section_Master!$F$2:$F$477,MATCH($E3134,Section_Master!$A$2:$A$477,0))&amp;"","")</f>
        <v>Yes</v>
      </c>
      <c r="I3134" s="10" t="str">
        <f aca="false">IFERROR(INDEX(Section_Master!$G$2:$G$477,MATCH($E3134,Section_Master!$A$2:$A$477,0))&amp;"","")</f>
        <v>No</v>
      </c>
      <c r="J3134" s="10" t="s">
        <v>48</v>
      </c>
      <c r="K3134" s="8" t="s">
        <v>7359</v>
      </c>
    </row>
    <row r="3135" customFormat="false" ht="34.5" hidden="false" customHeight="true" outlineLevel="0" collapsed="false">
      <c r="A3135" s="10" t="s">
        <v>7360</v>
      </c>
      <c r="B3135" s="10" t="s">
        <v>45</v>
      </c>
      <c r="C3135" s="8" t="s">
        <v>7357</v>
      </c>
      <c r="D3135" s="8" t="s">
        <v>7361</v>
      </c>
      <c r="E3135" s="11" t="n">
        <v>165</v>
      </c>
      <c r="F3135" s="8" t="str">
        <f aca="false">IFERROR(INDEX(Section_Master!$D$2:$D$477,MATCH($E3135,Section_Master!$A$2:$A$477,0))&amp;"","")</f>
        <v>Fine</v>
      </c>
      <c r="G3135" s="10" t="str">
        <f aca="false">IFERROR(INDEX(Section_Master!$E$2:$E$477,MATCH($E3135,Section_Master!$A$2:$A$477,0))&amp;"","")</f>
        <v>No</v>
      </c>
      <c r="H3135" s="10" t="str">
        <f aca="false">IFERROR(INDEX(Section_Master!$F$2:$F$477,MATCH($E3135,Section_Master!$A$2:$A$477,0))&amp;"","")</f>
        <v>Yes</v>
      </c>
      <c r="I3135" s="10" t="str">
        <f aca="false">IFERROR(INDEX(Section_Master!$G$2:$G$477,MATCH($E3135,Section_Master!$A$2:$A$477,0))&amp;"","")</f>
        <v>No</v>
      </c>
      <c r="J3135" s="10" t="s">
        <v>52</v>
      </c>
      <c r="K3135" s="8" t="s">
        <v>7359</v>
      </c>
    </row>
    <row r="3136" customFormat="false" ht="34.5" hidden="false" customHeight="true" outlineLevel="0" collapsed="false">
      <c r="A3136" s="10" t="s">
        <v>7362</v>
      </c>
      <c r="B3136" s="10" t="s">
        <v>45</v>
      </c>
      <c r="C3136" s="8" t="s">
        <v>7357</v>
      </c>
      <c r="D3136" s="8" t="s">
        <v>7363</v>
      </c>
      <c r="E3136" s="11" t="n">
        <v>165</v>
      </c>
      <c r="F3136" s="8" t="str">
        <f aca="false">IFERROR(INDEX(Section_Master!$D$2:$D$477,MATCH($E3136,Section_Master!$A$2:$A$477,0))&amp;"","")</f>
        <v>Fine</v>
      </c>
      <c r="G3136" s="10" t="str">
        <f aca="false">IFERROR(INDEX(Section_Master!$E$2:$E$477,MATCH($E3136,Section_Master!$A$2:$A$477,0))&amp;"","")</f>
        <v>No</v>
      </c>
      <c r="H3136" s="10" t="str">
        <f aca="false">IFERROR(INDEX(Section_Master!$F$2:$F$477,MATCH($E3136,Section_Master!$A$2:$A$477,0))&amp;"","")</f>
        <v>Yes</v>
      </c>
      <c r="I3136" s="10" t="str">
        <f aca="false">IFERROR(INDEX(Section_Master!$G$2:$G$477,MATCH($E3136,Section_Master!$A$2:$A$477,0))&amp;"","")</f>
        <v>No</v>
      </c>
      <c r="J3136" s="10" t="s">
        <v>55</v>
      </c>
      <c r="K3136" s="8" t="s">
        <v>7359</v>
      </c>
    </row>
    <row r="3137" customFormat="false" ht="34.5" hidden="false" customHeight="true" outlineLevel="0" collapsed="false">
      <c r="A3137" s="10" t="s">
        <v>7364</v>
      </c>
      <c r="B3137" s="10" t="s">
        <v>45</v>
      </c>
      <c r="C3137" s="8" t="s">
        <v>7357</v>
      </c>
      <c r="D3137" s="8" t="s">
        <v>7365</v>
      </c>
      <c r="E3137" s="11" t="n">
        <v>165</v>
      </c>
      <c r="F3137" s="8" t="str">
        <f aca="false">IFERROR(INDEX(Section_Master!$D$2:$D$477,MATCH($E3137,Section_Master!$A$2:$A$477,0))&amp;"","")</f>
        <v>Fine</v>
      </c>
      <c r="G3137" s="10" t="str">
        <f aca="false">IFERROR(INDEX(Section_Master!$E$2:$E$477,MATCH($E3137,Section_Master!$A$2:$A$477,0))&amp;"","")</f>
        <v>No</v>
      </c>
      <c r="H3137" s="10" t="str">
        <f aca="false">IFERROR(INDEX(Section_Master!$F$2:$F$477,MATCH($E3137,Section_Master!$A$2:$A$477,0))&amp;"","")</f>
        <v>Yes</v>
      </c>
      <c r="I3137" s="10" t="str">
        <f aca="false">IFERROR(INDEX(Section_Master!$G$2:$G$477,MATCH($E3137,Section_Master!$A$2:$A$477,0))&amp;"","")</f>
        <v>No</v>
      </c>
      <c r="J3137" s="10" t="s">
        <v>58</v>
      </c>
      <c r="K3137" s="8" t="s">
        <v>7359</v>
      </c>
    </row>
    <row r="3138" customFormat="false" ht="34.5" hidden="false" customHeight="true" outlineLevel="0" collapsed="false">
      <c r="A3138" s="10" t="s">
        <v>7366</v>
      </c>
      <c r="B3138" s="10" t="s">
        <v>45</v>
      </c>
      <c r="C3138" s="8" t="s">
        <v>7357</v>
      </c>
      <c r="D3138" s="8" t="s">
        <v>7367</v>
      </c>
      <c r="E3138" s="11" t="n">
        <v>165</v>
      </c>
      <c r="F3138" s="8" t="str">
        <f aca="false">IFERROR(INDEX(Section_Master!$D$2:$D$477,MATCH($E3138,Section_Master!$A$2:$A$477,0))&amp;"","")</f>
        <v>Fine</v>
      </c>
      <c r="G3138" s="10" t="str">
        <f aca="false">IFERROR(INDEX(Section_Master!$E$2:$E$477,MATCH($E3138,Section_Master!$A$2:$A$477,0))&amp;"","")</f>
        <v>No</v>
      </c>
      <c r="H3138" s="10" t="str">
        <f aca="false">IFERROR(INDEX(Section_Master!$F$2:$F$477,MATCH($E3138,Section_Master!$A$2:$A$477,0))&amp;"","")</f>
        <v>Yes</v>
      </c>
      <c r="I3138" s="10" t="str">
        <f aca="false">IFERROR(INDEX(Section_Master!$G$2:$G$477,MATCH($E3138,Section_Master!$A$2:$A$477,0))&amp;"","")</f>
        <v>No</v>
      </c>
      <c r="J3138" s="10" t="s">
        <v>61</v>
      </c>
      <c r="K3138" s="8" t="s">
        <v>7359</v>
      </c>
    </row>
    <row r="3139" customFormat="false" ht="34.5" hidden="false" customHeight="true" outlineLevel="0" collapsed="false">
      <c r="A3139" s="10" t="s">
        <v>7368</v>
      </c>
      <c r="B3139" s="10" t="s">
        <v>45</v>
      </c>
      <c r="C3139" s="8" t="s">
        <v>7357</v>
      </c>
      <c r="D3139" s="8" t="s">
        <v>7369</v>
      </c>
      <c r="E3139" s="11" t="n">
        <v>165</v>
      </c>
      <c r="F3139" s="8" t="str">
        <f aca="false">IFERROR(INDEX(Section_Master!$D$2:$D$477,MATCH($E3139,Section_Master!$A$2:$A$477,0))&amp;"","")</f>
        <v>Fine</v>
      </c>
      <c r="G3139" s="10" t="str">
        <f aca="false">IFERROR(INDEX(Section_Master!$E$2:$E$477,MATCH($E3139,Section_Master!$A$2:$A$477,0))&amp;"","")</f>
        <v>No</v>
      </c>
      <c r="H3139" s="10" t="str">
        <f aca="false">IFERROR(INDEX(Section_Master!$F$2:$F$477,MATCH($E3139,Section_Master!$A$2:$A$477,0))&amp;"","")</f>
        <v>Yes</v>
      </c>
      <c r="I3139" s="10" t="str">
        <f aca="false">IFERROR(INDEX(Section_Master!$G$2:$G$477,MATCH($E3139,Section_Master!$A$2:$A$477,0))&amp;"","")</f>
        <v>No</v>
      </c>
      <c r="J3139" s="10" t="s">
        <v>64</v>
      </c>
      <c r="K3139" s="8" t="s">
        <v>7359</v>
      </c>
    </row>
    <row r="3140" customFormat="false" ht="34.5" hidden="false" customHeight="true" outlineLevel="0" collapsed="false">
      <c r="A3140" s="10" t="s">
        <v>7370</v>
      </c>
      <c r="B3140" s="10" t="s">
        <v>45</v>
      </c>
      <c r="C3140" s="8" t="s">
        <v>7371</v>
      </c>
      <c r="D3140" s="8" t="s">
        <v>7372</v>
      </c>
      <c r="E3140" s="11" t="n">
        <v>166</v>
      </c>
      <c r="F3140" s="8" t="str">
        <f aca="false">IFERROR(INDEX(Section_Master!$D$2:$D$477,MATCH($E3140,Section_Master!$A$2:$A$477,0))&amp;"","")</f>
        <v>Imprisonment up to 6 months, or fine, or both</v>
      </c>
      <c r="G3140" s="10" t="str">
        <f aca="false">IFERROR(INDEX(Section_Master!$E$2:$E$477,MATCH($E3140,Section_Master!$A$2:$A$477,0))&amp;"","")</f>
        <v>Yes</v>
      </c>
      <c r="H3140" s="10" t="str">
        <f aca="false">IFERROR(INDEX(Section_Master!$F$2:$F$477,MATCH($E3140,Section_Master!$A$2:$A$477,0))&amp;"","")</f>
        <v>Yes</v>
      </c>
      <c r="I3140" s="10" t="str">
        <f aca="false">IFERROR(INDEX(Section_Master!$G$2:$G$477,MATCH($E3140,Section_Master!$A$2:$A$477,0))&amp;"","")</f>
        <v>No</v>
      </c>
      <c r="J3140" s="10" t="s">
        <v>48</v>
      </c>
      <c r="K3140" s="8" t="s">
        <v>7373</v>
      </c>
    </row>
    <row r="3141" customFormat="false" ht="34.5" hidden="false" customHeight="true" outlineLevel="0" collapsed="false">
      <c r="A3141" s="10" t="s">
        <v>7374</v>
      </c>
      <c r="B3141" s="10" t="s">
        <v>45</v>
      </c>
      <c r="C3141" s="8" t="s">
        <v>7371</v>
      </c>
      <c r="D3141" s="8" t="s">
        <v>7375</v>
      </c>
      <c r="E3141" s="11" t="n">
        <v>166</v>
      </c>
      <c r="F3141" s="8" t="str">
        <f aca="false">IFERROR(INDEX(Section_Master!$D$2:$D$477,MATCH($E3141,Section_Master!$A$2:$A$477,0))&amp;"","")</f>
        <v>Imprisonment up to 6 months, or fine, or both</v>
      </c>
      <c r="G3141" s="10" t="str">
        <f aca="false">IFERROR(INDEX(Section_Master!$E$2:$E$477,MATCH($E3141,Section_Master!$A$2:$A$477,0))&amp;"","")</f>
        <v>Yes</v>
      </c>
      <c r="H3141" s="10" t="str">
        <f aca="false">IFERROR(INDEX(Section_Master!$F$2:$F$477,MATCH($E3141,Section_Master!$A$2:$A$477,0))&amp;"","")</f>
        <v>Yes</v>
      </c>
      <c r="I3141" s="10" t="str">
        <f aca="false">IFERROR(INDEX(Section_Master!$G$2:$G$477,MATCH($E3141,Section_Master!$A$2:$A$477,0))&amp;"","")</f>
        <v>No</v>
      </c>
      <c r="J3141" s="10" t="s">
        <v>52</v>
      </c>
      <c r="K3141" s="8" t="s">
        <v>7373</v>
      </c>
    </row>
    <row r="3142" customFormat="false" ht="34.5" hidden="false" customHeight="true" outlineLevel="0" collapsed="false">
      <c r="A3142" s="10" t="s">
        <v>7376</v>
      </c>
      <c r="B3142" s="10" t="s">
        <v>45</v>
      </c>
      <c r="C3142" s="8" t="s">
        <v>7371</v>
      </c>
      <c r="D3142" s="8" t="s">
        <v>7377</v>
      </c>
      <c r="E3142" s="11" t="n">
        <v>166</v>
      </c>
      <c r="F3142" s="8" t="str">
        <f aca="false">IFERROR(INDEX(Section_Master!$D$2:$D$477,MATCH($E3142,Section_Master!$A$2:$A$477,0))&amp;"","")</f>
        <v>Imprisonment up to 6 months, or fine, or both</v>
      </c>
      <c r="G3142" s="10" t="str">
        <f aca="false">IFERROR(INDEX(Section_Master!$E$2:$E$477,MATCH($E3142,Section_Master!$A$2:$A$477,0))&amp;"","")</f>
        <v>Yes</v>
      </c>
      <c r="H3142" s="10" t="str">
        <f aca="false">IFERROR(INDEX(Section_Master!$F$2:$F$477,MATCH($E3142,Section_Master!$A$2:$A$477,0))&amp;"","")</f>
        <v>Yes</v>
      </c>
      <c r="I3142" s="10" t="str">
        <f aca="false">IFERROR(INDEX(Section_Master!$G$2:$G$477,MATCH($E3142,Section_Master!$A$2:$A$477,0))&amp;"","")</f>
        <v>No</v>
      </c>
      <c r="J3142" s="10" t="s">
        <v>55</v>
      </c>
      <c r="K3142" s="8" t="s">
        <v>7373</v>
      </c>
    </row>
    <row r="3143" customFormat="false" ht="23.25" hidden="false" customHeight="true" outlineLevel="0" collapsed="false">
      <c r="A3143" s="10" t="s">
        <v>7378</v>
      </c>
      <c r="B3143" s="10" t="s">
        <v>45</v>
      </c>
      <c r="C3143" s="8" t="s">
        <v>7371</v>
      </c>
      <c r="D3143" s="8" t="s">
        <v>7379</v>
      </c>
      <c r="E3143" s="11" t="n">
        <v>166</v>
      </c>
      <c r="F3143" s="8" t="str">
        <f aca="false">IFERROR(INDEX(Section_Master!$D$2:$D$477,MATCH($E3143,Section_Master!$A$2:$A$477,0))&amp;"","")</f>
        <v>Imprisonment up to 6 months, or fine, or both</v>
      </c>
      <c r="G3143" s="10" t="str">
        <f aca="false">IFERROR(INDEX(Section_Master!$E$2:$E$477,MATCH($E3143,Section_Master!$A$2:$A$477,0))&amp;"","")</f>
        <v>Yes</v>
      </c>
      <c r="H3143" s="10" t="str">
        <f aca="false">IFERROR(INDEX(Section_Master!$F$2:$F$477,MATCH($E3143,Section_Master!$A$2:$A$477,0))&amp;"","")</f>
        <v>Yes</v>
      </c>
      <c r="I3143" s="10" t="str">
        <f aca="false">IFERROR(INDEX(Section_Master!$G$2:$G$477,MATCH($E3143,Section_Master!$A$2:$A$477,0))&amp;"","")</f>
        <v>No</v>
      </c>
      <c r="J3143" s="10" t="s">
        <v>58</v>
      </c>
      <c r="K3143" s="8" t="s">
        <v>7373</v>
      </c>
    </row>
    <row r="3144" customFormat="false" ht="34.5" hidden="false" customHeight="true" outlineLevel="0" collapsed="false">
      <c r="A3144" s="10" t="s">
        <v>7380</v>
      </c>
      <c r="B3144" s="10" t="s">
        <v>45</v>
      </c>
      <c r="C3144" s="8" t="s">
        <v>7371</v>
      </c>
      <c r="D3144" s="8" t="s">
        <v>7381</v>
      </c>
      <c r="E3144" s="11" t="n">
        <v>166</v>
      </c>
      <c r="F3144" s="8" t="str">
        <f aca="false">IFERROR(INDEX(Section_Master!$D$2:$D$477,MATCH($E3144,Section_Master!$A$2:$A$477,0))&amp;"","")</f>
        <v>Imprisonment up to 6 months, or fine, or both</v>
      </c>
      <c r="G3144" s="10" t="str">
        <f aca="false">IFERROR(INDEX(Section_Master!$E$2:$E$477,MATCH($E3144,Section_Master!$A$2:$A$477,0))&amp;"","")</f>
        <v>Yes</v>
      </c>
      <c r="H3144" s="10" t="str">
        <f aca="false">IFERROR(INDEX(Section_Master!$F$2:$F$477,MATCH($E3144,Section_Master!$A$2:$A$477,0))&amp;"","")</f>
        <v>Yes</v>
      </c>
      <c r="I3144" s="10" t="str">
        <f aca="false">IFERROR(INDEX(Section_Master!$G$2:$G$477,MATCH($E3144,Section_Master!$A$2:$A$477,0))&amp;"","")</f>
        <v>No</v>
      </c>
      <c r="J3144" s="10" t="s">
        <v>61</v>
      </c>
      <c r="K3144" s="8" t="s">
        <v>7373</v>
      </c>
    </row>
    <row r="3145" customFormat="false" ht="34.5" hidden="false" customHeight="true" outlineLevel="0" collapsed="false">
      <c r="A3145" s="10" t="s">
        <v>7382</v>
      </c>
      <c r="B3145" s="10" t="s">
        <v>45</v>
      </c>
      <c r="C3145" s="8" t="s">
        <v>7371</v>
      </c>
      <c r="D3145" s="8" t="s">
        <v>7383</v>
      </c>
      <c r="E3145" s="11" t="n">
        <v>166</v>
      </c>
      <c r="F3145" s="8" t="str">
        <f aca="false">IFERROR(INDEX(Section_Master!$D$2:$D$477,MATCH($E3145,Section_Master!$A$2:$A$477,0))&amp;"","")</f>
        <v>Imprisonment up to 6 months, or fine, or both</v>
      </c>
      <c r="G3145" s="10" t="str">
        <f aca="false">IFERROR(INDEX(Section_Master!$E$2:$E$477,MATCH($E3145,Section_Master!$A$2:$A$477,0))&amp;"","")</f>
        <v>Yes</v>
      </c>
      <c r="H3145" s="10" t="str">
        <f aca="false">IFERROR(INDEX(Section_Master!$F$2:$F$477,MATCH($E3145,Section_Master!$A$2:$A$477,0))&amp;"","")</f>
        <v>Yes</v>
      </c>
      <c r="I3145" s="10" t="str">
        <f aca="false">IFERROR(INDEX(Section_Master!$G$2:$G$477,MATCH($E3145,Section_Master!$A$2:$A$477,0))&amp;"","")</f>
        <v>No</v>
      </c>
      <c r="J3145" s="10" t="s">
        <v>64</v>
      </c>
      <c r="K3145" s="8" t="s">
        <v>7373</v>
      </c>
    </row>
    <row r="3146" customFormat="false" ht="34.5" hidden="false" customHeight="true" outlineLevel="0" collapsed="false">
      <c r="A3146" s="10" t="s">
        <v>7384</v>
      </c>
      <c r="B3146" s="10" t="s">
        <v>45</v>
      </c>
      <c r="C3146" s="8" t="s">
        <v>7385</v>
      </c>
      <c r="D3146" s="8" t="s">
        <v>7386</v>
      </c>
      <c r="E3146" s="11" t="n">
        <v>167</v>
      </c>
      <c r="F3146" s="8" t="str">
        <f aca="false">IFERROR(INDEX(Section_Master!$D$2:$D$477,MATCH($E3146,Section_Master!$A$2:$A$477,0))&amp;"","")</f>
        <v>Not applicable - no offence or penalty defined here (definition, exception or general provision)</v>
      </c>
      <c r="G3146" s="10" t="str">
        <f aca="false">IFERROR(INDEX(Section_Master!$E$2:$E$477,MATCH($E3146,Section_Master!$A$2:$A$477,0))&amp;"","")</f>
        <v>N/A</v>
      </c>
      <c r="H3146" s="10" t="str">
        <f aca="false">IFERROR(INDEX(Section_Master!$F$2:$F$477,MATCH($E3146,Section_Master!$A$2:$A$477,0))&amp;"","")</f>
        <v>N/A</v>
      </c>
      <c r="I3146" s="10" t="str">
        <f aca="false">IFERROR(INDEX(Section_Master!$G$2:$G$477,MATCH($E3146,Section_Master!$A$2:$A$477,0))&amp;"","")</f>
        <v>N/A</v>
      </c>
      <c r="J3146" s="10" t="s">
        <v>48</v>
      </c>
      <c r="K3146" s="8" t="s">
        <v>7387</v>
      </c>
    </row>
    <row r="3147" customFormat="false" ht="34.5" hidden="false" customHeight="true" outlineLevel="0" collapsed="false">
      <c r="A3147" s="10" t="s">
        <v>7388</v>
      </c>
      <c r="B3147" s="10" t="s">
        <v>45</v>
      </c>
      <c r="C3147" s="8" t="s">
        <v>7385</v>
      </c>
      <c r="D3147" s="8" t="s">
        <v>7389</v>
      </c>
      <c r="E3147" s="11" t="n">
        <v>167</v>
      </c>
      <c r="F3147" s="8" t="str">
        <f aca="false">IFERROR(INDEX(Section_Master!$D$2:$D$477,MATCH($E3147,Section_Master!$A$2:$A$477,0))&amp;"","")</f>
        <v>Not applicable - no offence or penalty defined here (definition, exception or general provision)</v>
      </c>
      <c r="G3147" s="10" t="str">
        <f aca="false">IFERROR(INDEX(Section_Master!$E$2:$E$477,MATCH($E3147,Section_Master!$A$2:$A$477,0))&amp;"","")</f>
        <v>N/A</v>
      </c>
      <c r="H3147" s="10" t="str">
        <f aca="false">IFERROR(INDEX(Section_Master!$F$2:$F$477,MATCH($E3147,Section_Master!$A$2:$A$477,0))&amp;"","")</f>
        <v>N/A</v>
      </c>
      <c r="I3147" s="10" t="str">
        <f aca="false">IFERROR(INDEX(Section_Master!$G$2:$G$477,MATCH($E3147,Section_Master!$A$2:$A$477,0))&amp;"","")</f>
        <v>N/A</v>
      </c>
      <c r="J3147" s="10" t="s">
        <v>52</v>
      </c>
      <c r="K3147" s="8" t="s">
        <v>7387</v>
      </c>
    </row>
    <row r="3148" customFormat="false" ht="23.25" hidden="false" customHeight="true" outlineLevel="0" collapsed="false">
      <c r="A3148" s="10" t="s">
        <v>7390</v>
      </c>
      <c r="B3148" s="10" t="s">
        <v>45</v>
      </c>
      <c r="C3148" s="8" t="s">
        <v>7385</v>
      </c>
      <c r="D3148" s="8" t="s">
        <v>7391</v>
      </c>
      <c r="E3148" s="11" t="n">
        <v>167</v>
      </c>
      <c r="F3148" s="8" t="str">
        <f aca="false">IFERROR(INDEX(Section_Master!$D$2:$D$477,MATCH($E3148,Section_Master!$A$2:$A$477,0))&amp;"","")</f>
        <v>Not applicable - no offence or penalty defined here (definition, exception or general provision)</v>
      </c>
      <c r="G3148" s="10" t="str">
        <f aca="false">IFERROR(INDEX(Section_Master!$E$2:$E$477,MATCH($E3148,Section_Master!$A$2:$A$477,0))&amp;"","")</f>
        <v>N/A</v>
      </c>
      <c r="H3148" s="10" t="str">
        <f aca="false">IFERROR(INDEX(Section_Master!$F$2:$F$477,MATCH($E3148,Section_Master!$A$2:$A$477,0))&amp;"","")</f>
        <v>N/A</v>
      </c>
      <c r="I3148" s="10" t="str">
        <f aca="false">IFERROR(INDEX(Section_Master!$G$2:$G$477,MATCH($E3148,Section_Master!$A$2:$A$477,0))&amp;"","")</f>
        <v>N/A</v>
      </c>
      <c r="J3148" s="10" t="s">
        <v>55</v>
      </c>
      <c r="K3148" s="8" t="s">
        <v>7387</v>
      </c>
    </row>
    <row r="3149" customFormat="false" ht="23.25" hidden="false" customHeight="true" outlineLevel="0" collapsed="false">
      <c r="A3149" s="10" t="s">
        <v>7392</v>
      </c>
      <c r="B3149" s="10" t="s">
        <v>45</v>
      </c>
      <c r="C3149" s="8" t="s">
        <v>7385</v>
      </c>
      <c r="D3149" s="8" t="s">
        <v>7393</v>
      </c>
      <c r="E3149" s="11" t="n">
        <v>167</v>
      </c>
      <c r="F3149" s="8" t="str">
        <f aca="false">IFERROR(INDEX(Section_Master!$D$2:$D$477,MATCH($E3149,Section_Master!$A$2:$A$477,0))&amp;"","")</f>
        <v>Not applicable - no offence or penalty defined here (definition, exception or general provision)</v>
      </c>
      <c r="G3149" s="10" t="str">
        <f aca="false">IFERROR(INDEX(Section_Master!$E$2:$E$477,MATCH($E3149,Section_Master!$A$2:$A$477,0))&amp;"","")</f>
        <v>N/A</v>
      </c>
      <c r="H3149" s="10" t="str">
        <f aca="false">IFERROR(INDEX(Section_Master!$F$2:$F$477,MATCH($E3149,Section_Master!$A$2:$A$477,0))&amp;"","")</f>
        <v>N/A</v>
      </c>
      <c r="I3149" s="10" t="str">
        <f aca="false">IFERROR(INDEX(Section_Master!$G$2:$G$477,MATCH($E3149,Section_Master!$A$2:$A$477,0))&amp;"","")</f>
        <v>N/A</v>
      </c>
      <c r="J3149" s="10" t="s">
        <v>58</v>
      </c>
      <c r="K3149" s="8" t="s">
        <v>7387</v>
      </c>
    </row>
    <row r="3150" customFormat="false" ht="23.25" hidden="false" customHeight="true" outlineLevel="0" collapsed="false">
      <c r="A3150" s="10" t="s">
        <v>7394</v>
      </c>
      <c r="B3150" s="10" t="s">
        <v>45</v>
      </c>
      <c r="C3150" s="8" t="s">
        <v>7385</v>
      </c>
      <c r="D3150" s="8" t="s">
        <v>7395</v>
      </c>
      <c r="E3150" s="11" t="n">
        <v>167</v>
      </c>
      <c r="F3150" s="8" t="str">
        <f aca="false">IFERROR(INDEX(Section_Master!$D$2:$D$477,MATCH($E3150,Section_Master!$A$2:$A$477,0))&amp;"","")</f>
        <v>Not applicable - no offence or penalty defined here (definition, exception or general provision)</v>
      </c>
      <c r="G3150" s="10" t="str">
        <f aca="false">IFERROR(INDEX(Section_Master!$E$2:$E$477,MATCH($E3150,Section_Master!$A$2:$A$477,0))&amp;"","")</f>
        <v>N/A</v>
      </c>
      <c r="H3150" s="10" t="str">
        <f aca="false">IFERROR(INDEX(Section_Master!$F$2:$F$477,MATCH($E3150,Section_Master!$A$2:$A$477,0))&amp;"","")</f>
        <v>N/A</v>
      </c>
      <c r="I3150" s="10" t="str">
        <f aca="false">IFERROR(INDEX(Section_Master!$G$2:$G$477,MATCH($E3150,Section_Master!$A$2:$A$477,0))&amp;"","")</f>
        <v>N/A</v>
      </c>
      <c r="J3150" s="10" t="s">
        <v>61</v>
      </c>
      <c r="K3150" s="8" t="s">
        <v>7387</v>
      </c>
    </row>
    <row r="3151" customFormat="false" ht="34.5" hidden="false" customHeight="true" outlineLevel="0" collapsed="false">
      <c r="A3151" s="10" t="s">
        <v>7396</v>
      </c>
      <c r="B3151" s="10" t="s">
        <v>45</v>
      </c>
      <c r="C3151" s="8" t="s">
        <v>7385</v>
      </c>
      <c r="D3151" s="8" t="s">
        <v>7397</v>
      </c>
      <c r="E3151" s="11" t="n">
        <v>167</v>
      </c>
      <c r="F3151" s="8" t="str">
        <f aca="false">IFERROR(INDEX(Section_Master!$D$2:$D$477,MATCH($E3151,Section_Master!$A$2:$A$477,0))&amp;"","")</f>
        <v>Not applicable - no offence or penalty defined here (definition, exception or general provision)</v>
      </c>
      <c r="G3151" s="10" t="str">
        <f aca="false">IFERROR(INDEX(Section_Master!$E$2:$E$477,MATCH($E3151,Section_Master!$A$2:$A$477,0))&amp;"","")</f>
        <v>N/A</v>
      </c>
      <c r="H3151" s="10" t="str">
        <f aca="false">IFERROR(INDEX(Section_Master!$F$2:$F$477,MATCH($E3151,Section_Master!$A$2:$A$477,0))&amp;"","")</f>
        <v>N/A</v>
      </c>
      <c r="I3151" s="10" t="str">
        <f aca="false">IFERROR(INDEX(Section_Master!$G$2:$G$477,MATCH($E3151,Section_Master!$A$2:$A$477,0))&amp;"","")</f>
        <v>N/A</v>
      </c>
      <c r="J3151" s="10" t="s">
        <v>64</v>
      </c>
      <c r="K3151" s="8" t="s">
        <v>7387</v>
      </c>
    </row>
    <row r="3152" customFormat="false" ht="23.25" hidden="false" customHeight="true" outlineLevel="0" collapsed="false">
      <c r="A3152" s="10" t="s">
        <v>7398</v>
      </c>
      <c r="B3152" s="10" t="s">
        <v>45</v>
      </c>
      <c r="C3152" s="8" t="s">
        <v>7399</v>
      </c>
      <c r="D3152" s="8" t="s">
        <v>7400</v>
      </c>
      <c r="E3152" s="11" t="n">
        <v>168</v>
      </c>
      <c r="F3152" s="8" t="str">
        <f aca="false">IFERROR(INDEX(Section_Master!$D$2:$D$477,MATCH($E3152,Section_Master!$A$2:$A$477,0))&amp;"","")</f>
        <v>Imprisonment up to 3 months, or fine, or both</v>
      </c>
      <c r="G3152" s="10" t="str">
        <f aca="false">IFERROR(INDEX(Section_Master!$E$2:$E$477,MATCH($E3152,Section_Master!$A$2:$A$477,0))&amp;"","")</f>
        <v>Yes</v>
      </c>
      <c r="H3152" s="10" t="str">
        <f aca="false">IFERROR(INDEX(Section_Master!$F$2:$F$477,MATCH($E3152,Section_Master!$A$2:$A$477,0))&amp;"","")</f>
        <v>Yes</v>
      </c>
      <c r="I3152" s="10" t="str">
        <f aca="false">IFERROR(INDEX(Section_Master!$G$2:$G$477,MATCH($E3152,Section_Master!$A$2:$A$477,0))&amp;"","")</f>
        <v>No</v>
      </c>
      <c r="J3152" s="10" t="s">
        <v>48</v>
      </c>
      <c r="K3152" s="8" t="s">
        <v>7401</v>
      </c>
    </row>
    <row r="3153" customFormat="false" ht="34.5" hidden="false" customHeight="true" outlineLevel="0" collapsed="false">
      <c r="A3153" s="10" t="s">
        <v>7402</v>
      </c>
      <c r="B3153" s="10" t="s">
        <v>45</v>
      </c>
      <c r="C3153" s="8" t="s">
        <v>7399</v>
      </c>
      <c r="D3153" s="8" t="s">
        <v>7403</v>
      </c>
      <c r="E3153" s="11" t="n">
        <v>168</v>
      </c>
      <c r="F3153" s="8" t="str">
        <f aca="false">IFERROR(INDEX(Section_Master!$D$2:$D$477,MATCH($E3153,Section_Master!$A$2:$A$477,0))&amp;"","")</f>
        <v>Imprisonment up to 3 months, or fine, or both</v>
      </c>
      <c r="G3153" s="10" t="str">
        <f aca="false">IFERROR(INDEX(Section_Master!$E$2:$E$477,MATCH($E3153,Section_Master!$A$2:$A$477,0))&amp;"","")</f>
        <v>Yes</v>
      </c>
      <c r="H3153" s="10" t="str">
        <f aca="false">IFERROR(INDEX(Section_Master!$F$2:$F$477,MATCH($E3153,Section_Master!$A$2:$A$477,0))&amp;"","")</f>
        <v>Yes</v>
      </c>
      <c r="I3153" s="10" t="str">
        <f aca="false">IFERROR(INDEX(Section_Master!$G$2:$G$477,MATCH($E3153,Section_Master!$A$2:$A$477,0))&amp;"","")</f>
        <v>No</v>
      </c>
      <c r="J3153" s="10" t="s">
        <v>52</v>
      </c>
      <c r="K3153" s="8" t="s">
        <v>7401</v>
      </c>
    </row>
    <row r="3154" customFormat="false" ht="23.25" hidden="false" customHeight="true" outlineLevel="0" collapsed="false">
      <c r="A3154" s="10" t="s">
        <v>7404</v>
      </c>
      <c r="B3154" s="10" t="s">
        <v>45</v>
      </c>
      <c r="C3154" s="8" t="s">
        <v>7399</v>
      </c>
      <c r="D3154" s="8" t="s">
        <v>7405</v>
      </c>
      <c r="E3154" s="11" t="n">
        <v>168</v>
      </c>
      <c r="F3154" s="8" t="str">
        <f aca="false">IFERROR(INDEX(Section_Master!$D$2:$D$477,MATCH($E3154,Section_Master!$A$2:$A$477,0))&amp;"","")</f>
        <v>Imprisonment up to 3 months, or fine, or both</v>
      </c>
      <c r="G3154" s="10" t="str">
        <f aca="false">IFERROR(INDEX(Section_Master!$E$2:$E$477,MATCH($E3154,Section_Master!$A$2:$A$477,0))&amp;"","")</f>
        <v>Yes</v>
      </c>
      <c r="H3154" s="10" t="str">
        <f aca="false">IFERROR(INDEX(Section_Master!$F$2:$F$477,MATCH($E3154,Section_Master!$A$2:$A$477,0))&amp;"","")</f>
        <v>Yes</v>
      </c>
      <c r="I3154" s="10" t="str">
        <f aca="false">IFERROR(INDEX(Section_Master!$G$2:$G$477,MATCH($E3154,Section_Master!$A$2:$A$477,0))&amp;"","")</f>
        <v>No</v>
      </c>
      <c r="J3154" s="10" t="s">
        <v>55</v>
      </c>
      <c r="K3154" s="8" t="s">
        <v>7401</v>
      </c>
    </row>
    <row r="3155" customFormat="false" ht="23.25" hidden="false" customHeight="true" outlineLevel="0" collapsed="false">
      <c r="A3155" s="10" t="s">
        <v>7406</v>
      </c>
      <c r="B3155" s="10" t="s">
        <v>45</v>
      </c>
      <c r="C3155" s="8" t="s">
        <v>7399</v>
      </c>
      <c r="D3155" s="8" t="s">
        <v>7407</v>
      </c>
      <c r="E3155" s="11" t="n">
        <v>168</v>
      </c>
      <c r="F3155" s="8" t="str">
        <f aca="false">IFERROR(INDEX(Section_Master!$D$2:$D$477,MATCH($E3155,Section_Master!$A$2:$A$477,0))&amp;"","")</f>
        <v>Imprisonment up to 3 months, or fine, or both</v>
      </c>
      <c r="G3155" s="10" t="str">
        <f aca="false">IFERROR(INDEX(Section_Master!$E$2:$E$477,MATCH($E3155,Section_Master!$A$2:$A$477,0))&amp;"","")</f>
        <v>Yes</v>
      </c>
      <c r="H3155" s="10" t="str">
        <f aca="false">IFERROR(INDEX(Section_Master!$F$2:$F$477,MATCH($E3155,Section_Master!$A$2:$A$477,0))&amp;"","")</f>
        <v>Yes</v>
      </c>
      <c r="I3155" s="10" t="str">
        <f aca="false">IFERROR(INDEX(Section_Master!$G$2:$G$477,MATCH($E3155,Section_Master!$A$2:$A$477,0))&amp;"","")</f>
        <v>No</v>
      </c>
      <c r="J3155" s="10" t="s">
        <v>58</v>
      </c>
      <c r="K3155" s="8" t="s">
        <v>7401</v>
      </c>
    </row>
    <row r="3156" customFormat="false" ht="23.25" hidden="false" customHeight="true" outlineLevel="0" collapsed="false">
      <c r="A3156" s="10" t="s">
        <v>7408</v>
      </c>
      <c r="B3156" s="10" t="s">
        <v>45</v>
      </c>
      <c r="C3156" s="8" t="s">
        <v>7399</v>
      </c>
      <c r="D3156" s="8" t="s">
        <v>7409</v>
      </c>
      <c r="E3156" s="11" t="n">
        <v>168</v>
      </c>
      <c r="F3156" s="8" t="str">
        <f aca="false">IFERROR(INDEX(Section_Master!$D$2:$D$477,MATCH($E3156,Section_Master!$A$2:$A$477,0))&amp;"","")</f>
        <v>Imprisonment up to 3 months, or fine, or both</v>
      </c>
      <c r="G3156" s="10" t="str">
        <f aca="false">IFERROR(INDEX(Section_Master!$E$2:$E$477,MATCH($E3156,Section_Master!$A$2:$A$477,0))&amp;"","")</f>
        <v>Yes</v>
      </c>
      <c r="H3156" s="10" t="str">
        <f aca="false">IFERROR(INDEX(Section_Master!$F$2:$F$477,MATCH($E3156,Section_Master!$A$2:$A$477,0))&amp;"","")</f>
        <v>Yes</v>
      </c>
      <c r="I3156" s="10" t="str">
        <f aca="false">IFERROR(INDEX(Section_Master!$G$2:$G$477,MATCH($E3156,Section_Master!$A$2:$A$477,0))&amp;"","")</f>
        <v>No</v>
      </c>
      <c r="J3156" s="10" t="s">
        <v>61</v>
      </c>
      <c r="K3156" s="8" t="s">
        <v>7401</v>
      </c>
    </row>
    <row r="3157" customFormat="false" ht="34.5" hidden="false" customHeight="true" outlineLevel="0" collapsed="false">
      <c r="A3157" s="10" t="s">
        <v>7410</v>
      </c>
      <c r="B3157" s="10" t="s">
        <v>45</v>
      </c>
      <c r="C3157" s="8" t="s">
        <v>7399</v>
      </c>
      <c r="D3157" s="8" t="s">
        <v>7411</v>
      </c>
      <c r="E3157" s="11" t="n">
        <v>168</v>
      </c>
      <c r="F3157" s="8" t="str">
        <f aca="false">IFERROR(INDEX(Section_Master!$D$2:$D$477,MATCH($E3157,Section_Master!$A$2:$A$477,0))&amp;"","")</f>
        <v>Imprisonment up to 3 months, or fine, or both</v>
      </c>
      <c r="G3157" s="10" t="str">
        <f aca="false">IFERROR(INDEX(Section_Master!$E$2:$E$477,MATCH($E3157,Section_Master!$A$2:$A$477,0))&amp;"","")</f>
        <v>Yes</v>
      </c>
      <c r="H3157" s="10" t="str">
        <f aca="false">IFERROR(INDEX(Section_Master!$F$2:$F$477,MATCH($E3157,Section_Master!$A$2:$A$477,0))&amp;"","")</f>
        <v>Yes</v>
      </c>
      <c r="I3157" s="10" t="str">
        <f aca="false">IFERROR(INDEX(Section_Master!$G$2:$G$477,MATCH($E3157,Section_Master!$A$2:$A$477,0))&amp;"","")</f>
        <v>No</v>
      </c>
      <c r="J3157" s="10" t="s">
        <v>64</v>
      </c>
      <c r="K3157" s="8" t="s">
        <v>7401</v>
      </c>
    </row>
    <row r="3158" customFormat="false" ht="23.25" hidden="false" customHeight="true" outlineLevel="0" collapsed="false">
      <c r="A3158" s="10" t="s">
        <v>7412</v>
      </c>
      <c r="B3158" s="10" t="s">
        <v>45</v>
      </c>
      <c r="C3158" s="8" t="s">
        <v>7413</v>
      </c>
      <c r="D3158" s="8" t="s">
        <v>7414</v>
      </c>
      <c r="E3158" s="11" t="n">
        <v>169</v>
      </c>
      <c r="F3158" s="8" t="str">
        <f aca="false">IFERROR(INDEX(Section_Master!$D$2:$D$477,MATCH($E3158,Section_Master!$A$2:$A$477,0))&amp;"","")</f>
        <v>Not applicable - no offence or penalty defined here (definition, exception or general provision)</v>
      </c>
      <c r="G3158" s="10" t="str">
        <f aca="false">IFERROR(INDEX(Section_Master!$E$2:$E$477,MATCH($E3158,Section_Master!$A$2:$A$477,0))&amp;"","")</f>
        <v>N/A</v>
      </c>
      <c r="H3158" s="10" t="str">
        <f aca="false">IFERROR(INDEX(Section_Master!$F$2:$F$477,MATCH($E3158,Section_Master!$A$2:$A$477,0))&amp;"","")</f>
        <v>N/A</v>
      </c>
      <c r="I3158" s="10" t="str">
        <f aca="false">IFERROR(INDEX(Section_Master!$G$2:$G$477,MATCH($E3158,Section_Master!$A$2:$A$477,0))&amp;"","")</f>
        <v>N/A</v>
      </c>
      <c r="J3158" s="10" t="s">
        <v>48</v>
      </c>
      <c r="K3158" s="8" t="s">
        <v>7415</v>
      </c>
    </row>
    <row r="3159" customFormat="false" ht="34.5" hidden="false" customHeight="true" outlineLevel="0" collapsed="false">
      <c r="A3159" s="10" t="s">
        <v>7416</v>
      </c>
      <c r="B3159" s="10" t="s">
        <v>45</v>
      </c>
      <c r="C3159" s="8" t="s">
        <v>7413</v>
      </c>
      <c r="D3159" s="8" t="s">
        <v>7417</v>
      </c>
      <c r="E3159" s="11" t="n">
        <v>169</v>
      </c>
      <c r="F3159" s="8" t="str">
        <f aca="false">IFERROR(INDEX(Section_Master!$D$2:$D$477,MATCH($E3159,Section_Master!$A$2:$A$477,0))&amp;"","")</f>
        <v>Not applicable - no offence or penalty defined here (definition, exception or general provision)</v>
      </c>
      <c r="G3159" s="10" t="str">
        <f aca="false">IFERROR(INDEX(Section_Master!$E$2:$E$477,MATCH($E3159,Section_Master!$A$2:$A$477,0))&amp;"","")</f>
        <v>N/A</v>
      </c>
      <c r="H3159" s="10" t="str">
        <f aca="false">IFERROR(INDEX(Section_Master!$F$2:$F$477,MATCH($E3159,Section_Master!$A$2:$A$477,0))&amp;"","")</f>
        <v>N/A</v>
      </c>
      <c r="I3159" s="10" t="str">
        <f aca="false">IFERROR(INDEX(Section_Master!$G$2:$G$477,MATCH($E3159,Section_Master!$A$2:$A$477,0))&amp;"","")</f>
        <v>N/A</v>
      </c>
      <c r="J3159" s="10" t="s">
        <v>52</v>
      </c>
      <c r="K3159" s="8" t="s">
        <v>7415</v>
      </c>
    </row>
    <row r="3160" customFormat="false" ht="34.5" hidden="false" customHeight="true" outlineLevel="0" collapsed="false">
      <c r="A3160" s="10" t="s">
        <v>7418</v>
      </c>
      <c r="B3160" s="10" t="s">
        <v>45</v>
      </c>
      <c r="C3160" s="8" t="s">
        <v>7413</v>
      </c>
      <c r="D3160" s="8" t="s">
        <v>7419</v>
      </c>
      <c r="E3160" s="11" t="n">
        <v>169</v>
      </c>
      <c r="F3160" s="8" t="str">
        <f aca="false">IFERROR(INDEX(Section_Master!$D$2:$D$477,MATCH($E3160,Section_Master!$A$2:$A$477,0))&amp;"","")</f>
        <v>Not applicable - no offence or penalty defined here (definition, exception or general provision)</v>
      </c>
      <c r="G3160" s="10" t="str">
        <f aca="false">IFERROR(INDEX(Section_Master!$E$2:$E$477,MATCH($E3160,Section_Master!$A$2:$A$477,0))&amp;"","")</f>
        <v>N/A</v>
      </c>
      <c r="H3160" s="10" t="str">
        <f aca="false">IFERROR(INDEX(Section_Master!$F$2:$F$477,MATCH($E3160,Section_Master!$A$2:$A$477,0))&amp;"","")</f>
        <v>N/A</v>
      </c>
      <c r="I3160" s="10" t="str">
        <f aca="false">IFERROR(INDEX(Section_Master!$G$2:$G$477,MATCH($E3160,Section_Master!$A$2:$A$477,0))&amp;"","")</f>
        <v>N/A</v>
      </c>
      <c r="J3160" s="10" t="s">
        <v>55</v>
      </c>
      <c r="K3160" s="8" t="s">
        <v>7415</v>
      </c>
    </row>
    <row r="3161" customFormat="false" ht="23.25" hidden="false" customHeight="true" outlineLevel="0" collapsed="false">
      <c r="A3161" s="10" t="s">
        <v>7420</v>
      </c>
      <c r="B3161" s="10" t="s">
        <v>45</v>
      </c>
      <c r="C3161" s="8" t="s">
        <v>7413</v>
      </c>
      <c r="D3161" s="8" t="s">
        <v>7421</v>
      </c>
      <c r="E3161" s="11" t="n">
        <v>169</v>
      </c>
      <c r="F3161" s="8" t="str">
        <f aca="false">IFERROR(INDEX(Section_Master!$D$2:$D$477,MATCH($E3161,Section_Master!$A$2:$A$477,0))&amp;"","")</f>
        <v>Not applicable - no offence or penalty defined here (definition, exception or general provision)</v>
      </c>
      <c r="G3161" s="10" t="str">
        <f aca="false">IFERROR(INDEX(Section_Master!$E$2:$E$477,MATCH($E3161,Section_Master!$A$2:$A$477,0))&amp;"","")</f>
        <v>N/A</v>
      </c>
      <c r="H3161" s="10" t="str">
        <f aca="false">IFERROR(INDEX(Section_Master!$F$2:$F$477,MATCH($E3161,Section_Master!$A$2:$A$477,0))&amp;"","")</f>
        <v>N/A</v>
      </c>
      <c r="I3161" s="10" t="str">
        <f aca="false">IFERROR(INDEX(Section_Master!$G$2:$G$477,MATCH($E3161,Section_Master!$A$2:$A$477,0))&amp;"","")</f>
        <v>N/A</v>
      </c>
      <c r="J3161" s="10" t="s">
        <v>58</v>
      </c>
      <c r="K3161" s="8" t="s">
        <v>7415</v>
      </c>
    </row>
    <row r="3162" customFormat="false" ht="23.25" hidden="false" customHeight="true" outlineLevel="0" collapsed="false">
      <c r="A3162" s="10" t="s">
        <v>7422</v>
      </c>
      <c r="B3162" s="10" t="s">
        <v>45</v>
      </c>
      <c r="C3162" s="8" t="s">
        <v>7413</v>
      </c>
      <c r="D3162" s="8" t="s">
        <v>7423</v>
      </c>
      <c r="E3162" s="11" t="n">
        <v>169</v>
      </c>
      <c r="F3162" s="8" t="str">
        <f aca="false">IFERROR(INDEX(Section_Master!$D$2:$D$477,MATCH($E3162,Section_Master!$A$2:$A$477,0))&amp;"","")</f>
        <v>Not applicable - no offence or penalty defined here (definition, exception or general provision)</v>
      </c>
      <c r="G3162" s="10" t="str">
        <f aca="false">IFERROR(INDEX(Section_Master!$E$2:$E$477,MATCH($E3162,Section_Master!$A$2:$A$477,0))&amp;"","")</f>
        <v>N/A</v>
      </c>
      <c r="H3162" s="10" t="str">
        <f aca="false">IFERROR(INDEX(Section_Master!$F$2:$F$477,MATCH($E3162,Section_Master!$A$2:$A$477,0))&amp;"","")</f>
        <v>N/A</v>
      </c>
      <c r="I3162" s="10" t="str">
        <f aca="false">IFERROR(INDEX(Section_Master!$G$2:$G$477,MATCH($E3162,Section_Master!$A$2:$A$477,0))&amp;"","")</f>
        <v>N/A</v>
      </c>
      <c r="J3162" s="10" t="s">
        <v>61</v>
      </c>
      <c r="K3162" s="8" t="s">
        <v>7415</v>
      </c>
    </row>
    <row r="3163" customFormat="false" ht="34.5" hidden="false" customHeight="true" outlineLevel="0" collapsed="false">
      <c r="A3163" s="10" t="s">
        <v>7424</v>
      </c>
      <c r="B3163" s="10" t="s">
        <v>45</v>
      </c>
      <c r="C3163" s="8" t="s">
        <v>7413</v>
      </c>
      <c r="D3163" s="8" t="s">
        <v>7425</v>
      </c>
      <c r="E3163" s="11" t="n">
        <v>169</v>
      </c>
      <c r="F3163" s="8" t="str">
        <f aca="false">IFERROR(INDEX(Section_Master!$D$2:$D$477,MATCH($E3163,Section_Master!$A$2:$A$477,0))&amp;"","")</f>
        <v>Not applicable - no offence or penalty defined here (definition, exception or general provision)</v>
      </c>
      <c r="G3163" s="10" t="str">
        <f aca="false">IFERROR(INDEX(Section_Master!$E$2:$E$477,MATCH($E3163,Section_Master!$A$2:$A$477,0))&amp;"","")</f>
        <v>N/A</v>
      </c>
      <c r="H3163" s="10" t="str">
        <f aca="false">IFERROR(INDEX(Section_Master!$F$2:$F$477,MATCH($E3163,Section_Master!$A$2:$A$477,0))&amp;"","")</f>
        <v>N/A</v>
      </c>
      <c r="I3163" s="10" t="str">
        <f aca="false">IFERROR(INDEX(Section_Master!$G$2:$G$477,MATCH($E3163,Section_Master!$A$2:$A$477,0))&amp;"","")</f>
        <v>N/A</v>
      </c>
      <c r="J3163" s="10" t="s">
        <v>64</v>
      </c>
      <c r="K3163" s="8" t="s">
        <v>7415</v>
      </c>
    </row>
    <row r="3164" customFormat="false" ht="34.5" hidden="false" customHeight="true" outlineLevel="0" collapsed="false">
      <c r="A3164" s="10" t="s">
        <v>7426</v>
      </c>
      <c r="B3164" s="10" t="s">
        <v>45</v>
      </c>
      <c r="C3164" s="8" t="s">
        <v>7427</v>
      </c>
      <c r="D3164" s="8" t="s">
        <v>7428</v>
      </c>
      <c r="E3164" s="11" t="n">
        <v>170</v>
      </c>
      <c r="F3164" s="8" t="str">
        <f aca="false">IFERROR(INDEX(Section_Master!$D$2:$D$477,MATCH($E3164,Section_Master!$A$2:$A$477,0))&amp;"","")</f>
        <v>Not applicable - no offence or penalty defined here (definition, exception or general provision)</v>
      </c>
      <c r="G3164" s="10" t="str">
        <f aca="false">IFERROR(INDEX(Section_Master!$E$2:$E$477,MATCH($E3164,Section_Master!$A$2:$A$477,0))&amp;"","")</f>
        <v>N/A</v>
      </c>
      <c r="H3164" s="10" t="str">
        <f aca="false">IFERROR(INDEX(Section_Master!$F$2:$F$477,MATCH($E3164,Section_Master!$A$2:$A$477,0))&amp;"","")</f>
        <v>N/A</v>
      </c>
      <c r="I3164" s="10" t="str">
        <f aca="false">IFERROR(INDEX(Section_Master!$G$2:$G$477,MATCH($E3164,Section_Master!$A$2:$A$477,0))&amp;"","")</f>
        <v>N/A</v>
      </c>
      <c r="J3164" s="10" t="s">
        <v>48</v>
      </c>
      <c r="K3164" s="8" t="s">
        <v>7429</v>
      </c>
    </row>
    <row r="3165" customFormat="false" ht="34.5" hidden="false" customHeight="true" outlineLevel="0" collapsed="false">
      <c r="A3165" s="10" t="s">
        <v>7430</v>
      </c>
      <c r="B3165" s="10" t="s">
        <v>45</v>
      </c>
      <c r="C3165" s="8" t="s">
        <v>7427</v>
      </c>
      <c r="D3165" s="8" t="s">
        <v>7431</v>
      </c>
      <c r="E3165" s="11" t="n">
        <v>170</v>
      </c>
      <c r="F3165" s="8" t="str">
        <f aca="false">IFERROR(INDEX(Section_Master!$D$2:$D$477,MATCH($E3165,Section_Master!$A$2:$A$477,0))&amp;"","")</f>
        <v>Not applicable - no offence or penalty defined here (definition, exception or general provision)</v>
      </c>
      <c r="G3165" s="10" t="str">
        <f aca="false">IFERROR(INDEX(Section_Master!$E$2:$E$477,MATCH($E3165,Section_Master!$A$2:$A$477,0))&amp;"","")</f>
        <v>N/A</v>
      </c>
      <c r="H3165" s="10" t="str">
        <f aca="false">IFERROR(INDEX(Section_Master!$F$2:$F$477,MATCH($E3165,Section_Master!$A$2:$A$477,0))&amp;"","")</f>
        <v>N/A</v>
      </c>
      <c r="I3165" s="10" t="str">
        <f aca="false">IFERROR(INDEX(Section_Master!$G$2:$G$477,MATCH($E3165,Section_Master!$A$2:$A$477,0))&amp;"","")</f>
        <v>N/A</v>
      </c>
      <c r="J3165" s="10" t="s">
        <v>52</v>
      </c>
      <c r="K3165" s="8" t="s">
        <v>7429</v>
      </c>
    </row>
    <row r="3166" customFormat="false" ht="34.5" hidden="false" customHeight="true" outlineLevel="0" collapsed="false">
      <c r="A3166" s="10" t="s">
        <v>7432</v>
      </c>
      <c r="B3166" s="10" t="s">
        <v>45</v>
      </c>
      <c r="C3166" s="8" t="s">
        <v>7427</v>
      </c>
      <c r="D3166" s="8" t="s">
        <v>7433</v>
      </c>
      <c r="E3166" s="11" t="n">
        <v>170</v>
      </c>
      <c r="F3166" s="8" t="str">
        <f aca="false">IFERROR(INDEX(Section_Master!$D$2:$D$477,MATCH($E3166,Section_Master!$A$2:$A$477,0))&amp;"","")</f>
        <v>Not applicable - no offence or penalty defined here (definition, exception or general provision)</v>
      </c>
      <c r="G3166" s="10" t="str">
        <f aca="false">IFERROR(INDEX(Section_Master!$E$2:$E$477,MATCH($E3166,Section_Master!$A$2:$A$477,0))&amp;"","")</f>
        <v>N/A</v>
      </c>
      <c r="H3166" s="10" t="str">
        <f aca="false">IFERROR(INDEX(Section_Master!$F$2:$F$477,MATCH($E3166,Section_Master!$A$2:$A$477,0))&amp;"","")</f>
        <v>N/A</v>
      </c>
      <c r="I3166" s="10" t="str">
        <f aca="false">IFERROR(INDEX(Section_Master!$G$2:$G$477,MATCH($E3166,Section_Master!$A$2:$A$477,0))&amp;"","")</f>
        <v>N/A</v>
      </c>
      <c r="J3166" s="10" t="s">
        <v>55</v>
      </c>
      <c r="K3166" s="8" t="s">
        <v>7429</v>
      </c>
    </row>
    <row r="3167" customFormat="false" ht="23.25" hidden="false" customHeight="true" outlineLevel="0" collapsed="false">
      <c r="A3167" s="10" t="s">
        <v>7434</v>
      </c>
      <c r="B3167" s="10" t="s">
        <v>45</v>
      </c>
      <c r="C3167" s="8" t="s">
        <v>7427</v>
      </c>
      <c r="D3167" s="8" t="s">
        <v>7435</v>
      </c>
      <c r="E3167" s="11" t="n">
        <v>170</v>
      </c>
      <c r="F3167" s="8" t="str">
        <f aca="false">IFERROR(INDEX(Section_Master!$D$2:$D$477,MATCH($E3167,Section_Master!$A$2:$A$477,0))&amp;"","")</f>
        <v>Not applicable - no offence or penalty defined here (definition, exception or general provision)</v>
      </c>
      <c r="G3167" s="10" t="str">
        <f aca="false">IFERROR(INDEX(Section_Master!$E$2:$E$477,MATCH($E3167,Section_Master!$A$2:$A$477,0))&amp;"","")</f>
        <v>N/A</v>
      </c>
      <c r="H3167" s="10" t="str">
        <f aca="false">IFERROR(INDEX(Section_Master!$F$2:$F$477,MATCH($E3167,Section_Master!$A$2:$A$477,0))&amp;"","")</f>
        <v>N/A</v>
      </c>
      <c r="I3167" s="10" t="str">
        <f aca="false">IFERROR(INDEX(Section_Master!$G$2:$G$477,MATCH($E3167,Section_Master!$A$2:$A$477,0))&amp;"","")</f>
        <v>N/A</v>
      </c>
      <c r="J3167" s="10" t="s">
        <v>58</v>
      </c>
      <c r="K3167" s="8" t="s">
        <v>7429</v>
      </c>
    </row>
    <row r="3168" customFormat="false" ht="23.25" hidden="false" customHeight="true" outlineLevel="0" collapsed="false">
      <c r="A3168" s="10" t="s">
        <v>7436</v>
      </c>
      <c r="B3168" s="10" t="s">
        <v>45</v>
      </c>
      <c r="C3168" s="8" t="s">
        <v>7427</v>
      </c>
      <c r="D3168" s="8" t="s">
        <v>7437</v>
      </c>
      <c r="E3168" s="11" t="n">
        <v>170</v>
      </c>
      <c r="F3168" s="8" t="str">
        <f aca="false">IFERROR(INDEX(Section_Master!$D$2:$D$477,MATCH($E3168,Section_Master!$A$2:$A$477,0))&amp;"","")</f>
        <v>Not applicable - no offence or penalty defined here (definition, exception or general provision)</v>
      </c>
      <c r="G3168" s="10" t="str">
        <f aca="false">IFERROR(INDEX(Section_Master!$E$2:$E$477,MATCH($E3168,Section_Master!$A$2:$A$477,0))&amp;"","")</f>
        <v>N/A</v>
      </c>
      <c r="H3168" s="10" t="str">
        <f aca="false">IFERROR(INDEX(Section_Master!$F$2:$F$477,MATCH($E3168,Section_Master!$A$2:$A$477,0))&amp;"","")</f>
        <v>N/A</v>
      </c>
      <c r="I3168" s="10" t="str">
        <f aca="false">IFERROR(INDEX(Section_Master!$G$2:$G$477,MATCH($E3168,Section_Master!$A$2:$A$477,0))&amp;"","")</f>
        <v>N/A</v>
      </c>
      <c r="J3168" s="10" t="s">
        <v>61</v>
      </c>
      <c r="K3168" s="8" t="s">
        <v>7429</v>
      </c>
    </row>
    <row r="3169" customFormat="false" ht="34.5" hidden="false" customHeight="true" outlineLevel="0" collapsed="false">
      <c r="A3169" s="10" t="s">
        <v>7438</v>
      </c>
      <c r="B3169" s="10" t="s">
        <v>45</v>
      </c>
      <c r="C3169" s="8" t="s">
        <v>7427</v>
      </c>
      <c r="D3169" s="8" t="s">
        <v>7439</v>
      </c>
      <c r="E3169" s="11" t="n">
        <v>170</v>
      </c>
      <c r="F3169" s="8" t="str">
        <f aca="false">IFERROR(INDEX(Section_Master!$D$2:$D$477,MATCH($E3169,Section_Master!$A$2:$A$477,0))&amp;"","")</f>
        <v>Not applicable - no offence or penalty defined here (definition, exception or general provision)</v>
      </c>
      <c r="G3169" s="10" t="str">
        <f aca="false">IFERROR(INDEX(Section_Master!$E$2:$E$477,MATCH($E3169,Section_Master!$A$2:$A$477,0))&amp;"","")</f>
        <v>N/A</v>
      </c>
      <c r="H3169" s="10" t="str">
        <f aca="false">IFERROR(INDEX(Section_Master!$F$2:$F$477,MATCH($E3169,Section_Master!$A$2:$A$477,0))&amp;"","")</f>
        <v>N/A</v>
      </c>
      <c r="I3169" s="10" t="str">
        <f aca="false">IFERROR(INDEX(Section_Master!$G$2:$G$477,MATCH($E3169,Section_Master!$A$2:$A$477,0))&amp;"","")</f>
        <v>N/A</v>
      </c>
      <c r="J3169" s="10" t="s">
        <v>64</v>
      </c>
      <c r="K3169" s="8" t="s">
        <v>7429</v>
      </c>
    </row>
    <row r="3170" customFormat="false" ht="23.25" hidden="false" customHeight="true" outlineLevel="0" collapsed="false">
      <c r="A3170" s="10" t="s">
        <v>7440</v>
      </c>
      <c r="B3170" s="10" t="s">
        <v>45</v>
      </c>
      <c r="C3170" s="8" t="s">
        <v>7441</v>
      </c>
      <c r="D3170" s="8" t="s">
        <v>7442</v>
      </c>
      <c r="E3170" s="11" t="n">
        <v>171</v>
      </c>
      <c r="F3170" s="8" t="str">
        <f aca="false">IFERROR(INDEX(Section_Master!$D$2:$D$477,MATCH($E3170,Section_Master!$A$2:$A$477,0))&amp;"","")</f>
        <v>Not applicable - no offence or penalty defined here (definition, exception or general provision)</v>
      </c>
      <c r="G3170" s="10" t="str">
        <f aca="false">IFERROR(INDEX(Section_Master!$E$2:$E$477,MATCH($E3170,Section_Master!$A$2:$A$477,0))&amp;"","")</f>
        <v>N/A</v>
      </c>
      <c r="H3170" s="10" t="str">
        <f aca="false">IFERROR(INDEX(Section_Master!$F$2:$F$477,MATCH($E3170,Section_Master!$A$2:$A$477,0))&amp;"","")</f>
        <v>N/A</v>
      </c>
      <c r="I3170" s="10" t="str">
        <f aca="false">IFERROR(INDEX(Section_Master!$G$2:$G$477,MATCH($E3170,Section_Master!$A$2:$A$477,0))&amp;"","")</f>
        <v>N/A</v>
      </c>
      <c r="J3170" s="10" t="s">
        <v>48</v>
      </c>
      <c r="K3170" s="8" t="s">
        <v>7443</v>
      </c>
    </row>
    <row r="3171" customFormat="false" ht="34.5" hidden="false" customHeight="true" outlineLevel="0" collapsed="false">
      <c r="A3171" s="10" t="s">
        <v>7444</v>
      </c>
      <c r="B3171" s="10" t="s">
        <v>45</v>
      </c>
      <c r="C3171" s="8" t="s">
        <v>7441</v>
      </c>
      <c r="D3171" s="8" t="s">
        <v>7445</v>
      </c>
      <c r="E3171" s="11" t="n">
        <v>171</v>
      </c>
      <c r="F3171" s="8" t="str">
        <f aca="false">IFERROR(INDEX(Section_Master!$D$2:$D$477,MATCH($E3171,Section_Master!$A$2:$A$477,0))&amp;"","")</f>
        <v>Not applicable - no offence or penalty defined here (definition, exception or general provision)</v>
      </c>
      <c r="G3171" s="10" t="str">
        <f aca="false">IFERROR(INDEX(Section_Master!$E$2:$E$477,MATCH($E3171,Section_Master!$A$2:$A$477,0))&amp;"","")</f>
        <v>N/A</v>
      </c>
      <c r="H3171" s="10" t="str">
        <f aca="false">IFERROR(INDEX(Section_Master!$F$2:$F$477,MATCH($E3171,Section_Master!$A$2:$A$477,0))&amp;"","")</f>
        <v>N/A</v>
      </c>
      <c r="I3171" s="10" t="str">
        <f aca="false">IFERROR(INDEX(Section_Master!$G$2:$G$477,MATCH($E3171,Section_Master!$A$2:$A$477,0))&amp;"","")</f>
        <v>N/A</v>
      </c>
      <c r="J3171" s="10" t="s">
        <v>52</v>
      </c>
      <c r="K3171" s="8" t="s">
        <v>7443</v>
      </c>
    </row>
    <row r="3172" customFormat="false" ht="34.5" hidden="false" customHeight="true" outlineLevel="0" collapsed="false">
      <c r="A3172" s="10" t="s">
        <v>7446</v>
      </c>
      <c r="B3172" s="10" t="s">
        <v>45</v>
      </c>
      <c r="C3172" s="8" t="s">
        <v>7441</v>
      </c>
      <c r="D3172" s="8" t="s">
        <v>7447</v>
      </c>
      <c r="E3172" s="11" t="n">
        <v>171</v>
      </c>
      <c r="F3172" s="8" t="str">
        <f aca="false">IFERROR(INDEX(Section_Master!$D$2:$D$477,MATCH($E3172,Section_Master!$A$2:$A$477,0))&amp;"","")</f>
        <v>Not applicable - no offence or penalty defined here (definition, exception or general provision)</v>
      </c>
      <c r="G3172" s="10" t="str">
        <f aca="false">IFERROR(INDEX(Section_Master!$E$2:$E$477,MATCH($E3172,Section_Master!$A$2:$A$477,0))&amp;"","")</f>
        <v>N/A</v>
      </c>
      <c r="H3172" s="10" t="str">
        <f aca="false">IFERROR(INDEX(Section_Master!$F$2:$F$477,MATCH($E3172,Section_Master!$A$2:$A$477,0))&amp;"","")</f>
        <v>N/A</v>
      </c>
      <c r="I3172" s="10" t="str">
        <f aca="false">IFERROR(INDEX(Section_Master!$G$2:$G$477,MATCH($E3172,Section_Master!$A$2:$A$477,0))&amp;"","")</f>
        <v>N/A</v>
      </c>
      <c r="J3172" s="10" t="s">
        <v>55</v>
      </c>
      <c r="K3172" s="8" t="s">
        <v>7443</v>
      </c>
    </row>
    <row r="3173" customFormat="false" ht="23.25" hidden="false" customHeight="true" outlineLevel="0" collapsed="false">
      <c r="A3173" s="10" t="s">
        <v>7448</v>
      </c>
      <c r="B3173" s="10" t="s">
        <v>45</v>
      </c>
      <c r="C3173" s="8" t="s">
        <v>7441</v>
      </c>
      <c r="D3173" s="8" t="s">
        <v>7449</v>
      </c>
      <c r="E3173" s="11" t="n">
        <v>171</v>
      </c>
      <c r="F3173" s="8" t="str">
        <f aca="false">IFERROR(INDEX(Section_Master!$D$2:$D$477,MATCH($E3173,Section_Master!$A$2:$A$477,0))&amp;"","")</f>
        <v>Not applicable - no offence or penalty defined here (definition, exception or general provision)</v>
      </c>
      <c r="G3173" s="10" t="str">
        <f aca="false">IFERROR(INDEX(Section_Master!$E$2:$E$477,MATCH($E3173,Section_Master!$A$2:$A$477,0))&amp;"","")</f>
        <v>N/A</v>
      </c>
      <c r="H3173" s="10" t="str">
        <f aca="false">IFERROR(INDEX(Section_Master!$F$2:$F$477,MATCH($E3173,Section_Master!$A$2:$A$477,0))&amp;"","")</f>
        <v>N/A</v>
      </c>
      <c r="I3173" s="10" t="str">
        <f aca="false">IFERROR(INDEX(Section_Master!$G$2:$G$477,MATCH($E3173,Section_Master!$A$2:$A$477,0))&amp;"","")</f>
        <v>N/A</v>
      </c>
      <c r="J3173" s="10" t="s">
        <v>58</v>
      </c>
      <c r="K3173" s="8" t="s">
        <v>7443</v>
      </c>
    </row>
    <row r="3174" customFormat="false" ht="23.25" hidden="false" customHeight="true" outlineLevel="0" collapsed="false">
      <c r="A3174" s="10" t="s">
        <v>7450</v>
      </c>
      <c r="B3174" s="10" t="s">
        <v>45</v>
      </c>
      <c r="C3174" s="8" t="s">
        <v>7441</v>
      </c>
      <c r="D3174" s="8" t="s">
        <v>7451</v>
      </c>
      <c r="E3174" s="11" t="n">
        <v>171</v>
      </c>
      <c r="F3174" s="8" t="str">
        <f aca="false">IFERROR(INDEX(Section_Master!$D$2:$D$477,MATCH($E3174,Section_Master!$A$2:$A$477,0))&amp;"","")</f>
        <v>Not applicable - no offence or penalty defined here (definition, exception or general provision)</v>
      </c>
      <c r="G3174" s="10" t="str">
        <f aca="false">IFERROR(INDEX(Section_Master!$E$2:$E$477,MATCH($E3174,Section_Master!$A$2:$A$477,0))&amp;"","")</f>
        <v>N/A</v>
      </c>
      <c r="H3174" s="10" t="str">
        <f aca="false">IFERROR(INDEX(Section_Master!$F$2:$F$477,MATCH($E3174,Section_Master!$A$2:$A$477,0))&amp;"","")</f>
        <v>N/A</v>
      </c>
      <c r="I3174" s="10" t="str">
        <f aca="false">IFERROR(INDEX(Section_Master!$G$2:$G$477,MATCH($E3174,Section_Master!$A$2:$A$477,0))&amp;"","")</f>
        <v>N/A</v>
      </c>
      <c r="J3174" s="10" t="s">
        <v>61</v>
      </c>
      <c r="K3174" s="8" t="s">
        <v>7443</v>
      </c>
    </row>
    <row r="3175" customFormat="false" ht="34.5" hidden="false" customHeight="true" outlineLevel="0" collapsed="false">
      <c r="A3175" s="10" t="s">
        <v>7452</v>
      </c>
      <c r="B3175" s="10" t="s">
        <v>45</v>
      </c>
      <c r="C3175" s="8" t="s">
        <v>7441</v>
      </c>
      <c r="D3175" s="8" t="s">
        <v>7453</v>
      </c>
      <c r="E3175" s="11" t="n">
        <v>171</v>
      </c>
      <c r="F3175" s="8" t="str">
        <f aca="false">IFERROR(INDEX(Section_Master!$D$2:$D$477,MATCH($E3175,Section_Master!$A$2:$A$477,0))&amp;"","")</f>
        <v>Not applicable - no offence or penalty defined here (definition, exception or general provision)</v>
      </c>
      <c r="G3175" s="10" t="str">
        <f aca="false">IFERROR(INDEX(Section_Master!$E$2:$E$477,MATCH($E3175,Section_Master!$A$2:$A$477,0))&amp;"","")</f>
        <v>N/A</v>
      </c>
      <c r="H3175" s="10" t="str">
        <f aca="false">IFERROR(INDEX(Section_Master!$F$2:$F$477,MATCH($E3175,Section_Master!$A$2:$A$477,0))&amp;"","")</f>
        <v>N/A</v>
      </c>
      <c r="I3175" s="10" t="str">
        <f aca="false">IFERROR(INDEX(Section_Master!$G$2:$G$477,MATCH($E3175,Section_Master!$A$2:$A$477,0))&amp;"","")</f>
        <v>N/A</v>
      </c>
      <c r="J3175" s="10" t="s">
        <v>64</v>
      </c>
      <c r="K3175" s="8" t="s">
        <v>7443</v>
      </c>
    </row>
    <row r="3176" customFormat="false" ht="23.25" hidden="false" customHeight="true" outlineLevel="0" collapsed="false">
      <c r="A3176" s="10" t="s">
        <v>7454</v>
      </c>
      <c r="B3176" s="10" t="s">
        <v>45</v>
      </c>
      <c r="C3176" s="8" t="s">
        <v>7455</v>
      </c>
      <c r="D3176" s="8" t="s">
        <v>7456</v>
      </c>
      <c r="E3176" s="11" t="n">
        <v>172</v>
      </c>
      <c r="F3176" s="8" t="str">
        <f aca="false">IFERROR(INDEX(Section_Master!$D$2:$D$477,MATCH($E3176,Section_Master!$A$2:$A$477,0))&amp;"","")</f>
        <v>Not applicable - no offence or penalty defined here (definition, exception or general provision)</v>
      </c>
      <c r="G3176" s="10" t="str">
        <f aca="false">IFERROR(INDEX(Section_Master!$E$2:$E$477,MATCH($E3176,Section_Master!$A$2:$A$477,0))&amp;"","")</f>
        <v>N/A</v>
      </c>
      <c r="H3176" s="10" t="str">
        <f aca="false">IFERROR(INDEX(Section_Master!$F$2:$F$477,MATCH($E3176,Section_Master!$A$2:$A$477,0))&amp;"","")</f>
        <v>N/A</v>
      </c>
      <c r="I3176" s="10" t="str">
        <f aca="false">IFERROR(INDEX(Section_Master!$G$2:$G$477,MATCH($E3176,Section_Master!$A$2:$A$477,0))&amp;"","")</f>
        <v>N/A</v>
      </c>
      <c r="J3176" s="10" t="s">
        <v>48</v>
      </c>
      <c r="K3176" s="8" t="s">
        <v>7457</v>
      </c>
    </row>
    <row r="3177" customFormat="false" ht="34.5" hidden="false" customHeight="true" outlineLevel="0" collapsed="false">
      <c r="A3177" s="10" t="s">
        <v>7458</v>
      </c>
      <c r="B3177" s="10" t="s">
        <v>45</v>
      </c>
      <c r="C3177" s="8" t="s">
        <v>7455</v>
      </c>
      <c r="D3177" s="8" t="s">
        <v>7459</v>
      </c>
      <c r="E3177" s="11" t="n">
        <v>172</v>
      </c>
      <c r="F3177" s="8" t="str">
        <f aca="false">IFERROR(INDEX(Section_Master!$D$2:$D$477,MATCH($E3177,Section_Master!$A$2:$A$477,0))&amp;"","")</f>
        <v>Not applicable - no offence or penalty defined here (definition, exception or general provision)</v>
      </c>
      <c r="G3177" s="10" t="str">
        <f aca="false">IFERROR(INDEX(Section_Master!$E$2:$E$477,MATCH($E3177,Section_Master!$A$2:$A$477,0))&amp;"","")</f>
        <v>N/A</v>
      </c>
      <c r="H3177" s="10" t="str">
        <f aca="false">IFERROR(INDEX(Section_Master!$F$2:$F$477,MATCH($E3177,Section_Master!$A$2:$A$477,0))&amp;"","")</f>
        <v>N/A</v>
      </c>
      <c r="I3177" s="10" t="str">
        <f aca="false">IFERROR(INDEX(Section_Master!$G$2:$G$477,MATCH($E3177,Section_Master!$A$2:$A$477,0))&amp;"","")</f>
        <v>N/A</v>
      </c>
      <c r="J3177" s="10" t="s">
        <v>52</v>
      </c>
      <c r="K3177" s="8" t="s">
        <v>7457</v>
      </c>
    </row>
    <row r="3178" customFormat="false" ht="34.5" hidden="false" customHeight="true" outlineLevel="0" collapsed="false">
      <c r="A3178" s="10" t="s">
        <v>7460</v>
      </c>
      <c r="B3178" s="10" t="s">
        <v>45</v>
      </c>
      <c r="C3178" s="8" t="s">
        <v>7455</v>
      </c>
      <c r="D3178" s="8" t="s">
        <v>7461</v>
      </c>
      <c r="E3178" s="11" t="n">
        <v>172</v>
      </c>
      <c r="F3178" s="8" t="str">
        <f aca="false">IFERROR(INDEX(Section_Master!$D$2:$D$477,MATCH($E3178,Section_Master!$A$2:$A$477,0))&amp;"","")</f>
        <v>Not applicable - no offence or penalty defined here (definition, exception or general provision)</v>
      </c>
      <c r="G3178" s="10" t="str">
        <f aca="false">IFERROR(INDEX(Section_Master!$E$2:$E$477,MATCH($E3178,Section_Master!$A$2:$A$477,0))&amp;"","")</f>
        <v>N/A</v>
      </c>
      <c r="H3178" s="10" t="str">
        <f aca="false">IFERROR(INDEX(Section_Master!$F$2:$F$477,MATCH($E3178,Section_Master!$A$2:$A$477,0))&amp;"","")</f>
        <v>N/A</v>
      </c>
      <c r="I3178" s="10" t="str">
        <f aca="false">IFERROR(INDEX(Section_Master!$G$2:$G$477,MATCH($E3178,Section_Master!$A$2:$A$477,0))&amp;"","")</f>
        <v>N/A</v>
      </c>
      <c r="J3178" s="10" t="s">
        <v>55</v>
      </c>
      <c r="K3178" s="8" t="s">
        <v>7457</v>
      </c>
    </row>
    <row r="3179" customFormat="false" ht="23.25" hidden="false" customHeight="true" outlineLevel="0" collapsed="false">
      <c r="A3179" s="10" t="s">
        <v>7462</v>
      </c>
      <c r="B3179" s="10" t="s">
        <v>45</v>
      </c>
      <c r="C3179" s="8" t="s">
        <v>7455</v>
      </c>
      <c r="D3179" s="8" t="s">
        <v>7463</v>
      </c>
      <c r="E3179" s="11" t="n">
        <v>172</v>
      </c>
      <c r="F3179" s="8" t="str">
        <f aca="false">IFERROR(INDEX(Section_Master!$D$2:$D$477,MATCH($E3179,Section_Master!$A$2:$A$477,0))&amp;"","")</f>
        <v>Not applicable - no offence or penalty defined here (definition, exception or general provision)</v>
      </c>
      <c r="G3179" s="10" t="str">
        <f aca="false">IFERROR(INDEX(Section_Master!$E$2:$E$477,MATCH($E3179,Section_Master!$A$2:$A$477,0))&amp;"","")</f>
        <v>N/A</v>
      </c>
      <c r="H3179" s="10" t="str">
        <f aca="false">IFERROR(INDEX(Section_Master!$F$2:$F$477,MATCH($E3179,Section_Master!$A$2:$A$477,0))&amp;"","")</f>
        <v>N/A</v>
      </c>
      <c r="I3179" s="10" t="str">
        <f aca="false">IFERROR(INDEX(Section_Master!$G$2:$G$477,MATCH($E3179,Section_Master!$A$2:$A$477,0))&amp;"","")</f>
        <v>N/A</v>
      </c>
      <c r="J3179" s="10" t="s">
        <v>58</v>
      </c>
      <c r="K3179" s="8" t="s">
        <v>7457</v>
      </c>
    </row>
    <row r="3180" customFormat="false" ht="23.25" hidden="false" customHeight="true" outlineLevel="0" collapsed="false">
      <c r="A3180" s="10" t="s">
        <v>7464</v>
      </c>
      <c r="B3180" s="10" t="s">
        <v>45</v>
      </c>
      <c r="C3180" s="8" t="s">
        <v>7455</v>
      </c>
      <c r="D3180" s="8" t="s">
        <v>7465</v>
      </c>
      <c r="E3180" s="11" t="n">
        <v>172</v>
      </c>
      <c r="F3180" s="8" t="str">
        <f aca="false">IFERROR(INDEX(Section_Master!$D$2:$D$477,MATCH($E3180,Section_Master!$A$2:$A$477,0))&amp;"","")</f>
        <v>Not applicable - no offence or penalty defined here (definition, exception or general provision)</v>
      </c>
      <c r="G3180" s="10" t="str">
        <f aca="false">IFERROR(INDEX(Section_Master!$E$2:$E$477,MATCH($E3180,Section_Master!$A$2:$A$477,0))&amp;"","")</f>
        <v>N/A</v>
      </c>
      <c r="H3180" s="10" t="str">
        <f aca="false">IFERROR(INDEX(Section_Master!$F$2:$F$477,MATCH($E3180,Section_Master!$A$2:$A$477,0))&amp;"","")</f>
        <v>N/A</v>
      </c>
      <c r="I3180" s="10" t="str">
        <f aca="false">IFERROR(INDEX(Section_Master!$G$2:$G$477,MATCH($E3180,Section_Master!$A$2:$A$477,0))&amp;"","")</f>
        <v>N/A</v>
      </c>
      <c r="J3180" s="10" t="s">
        <v>61</v>
      </c>
      <c r="K3180" s="8" t="s">
        <v>7457</v>
      </c>
    </row>
    <row r="3181" customFormat="false" ht="34.5" hidden="false" customHeight="true" outlineLevel="0" collapsed="false">
      <c r="A3181" s="10" t="s">
        <v>7466</v>
      </c>
      <c r="B3181" s="10" t="s">
        <v>45</v>
      </c>
      <c r="C3181" s="8" t="s">
        <v>7455</v>
      </c>
      <c r="D3181" s="8" t="s">
        <v>7467</v>
      </c>
      <c r="E3181" s="11" t="n">
        <v>172</v>
      </c>
      <c r="F3181" s="8" t="str">
        <f aca="false">IFERROR(INDEX(Section_Master!$D$2:$D$477,MATCH($E3181,Section_Master!$A$2:$A$477,0))&amp;"","")</f>
        <v>Not applicable - no offence or penalty defined here (definition, exception or general provision)</v>
      </c>
      <c r="G3181" s="10" t="str">
        <f aca="false">IFERROR(INDEX(Section_Master!$E$2:$E$477,MATCH($E3181,Section_Master!$A$2:$A$477,0))&amp;"","")</f>
        <v>N/A</v>
      </c>
      <c r="H3181" s="10" t="str">
        <f aca="false">IFERROR(INDEX(Section_Master!$F$2:$F$477,MATCH($E3181,Section_Master!$A$2:$A$477,0))&amp;"","")</f>
        <v>N/A</v>
      </c>
      <c r="I3181" s="10" t="str">
        <f aca="false">IFERROR(INDEX(Section_Master!$G$2:$G$477,MATCH($E3181,Section_Master!$A$2:$A$477,0))&amp;"","")</f>
        <v>N/A</v>
      </c>
      <c r="J3181" s="10" t="s">
        <v>64</v>
      </c>
      <c r="K3181" s="8" t="s">
        <v>7457</v>
      </c>
    </row>
    <row r="3182" customFormat="false" ht="34.5" hidden="false" customHeight="true" outlineLevel="0" collapsed="false">
      <c r="A3182" s="10" t="s">
        <v>7468</v>
      </c>
      <c r="B3182" s="10" t="s">
        <v>45</v>
      </c>
      <c r="C3182" s="8" t="s">
        <v>7469</v>
      </c>
      <c r="D3182" s="8" t="s">
        <v>7470</v>
      </c>
      <c r="E3182" s="11" t="n">
        <v>173</v>
      </c>
      <c r="F3182" s="8" t="str">
        <f aca="false">IFERROR(INDEX(Section_Master!$D$2:$D$477,MATCH($E3182,Section_Master!$A$2:$A$477,0))&amp;"","")</f>
        <v>Imprisonment up to 1 year, or fine, or both; fine only for treating [s.173]</v>
      </c>
      <c r="G3182" s="10" t="str">
        <f aca="false">IFERROR(INDEX(Section_Master!$E$2:$E$477,MATCH($E3182,Section_Master!$A$2:$A$477,0))&amp;"","")</f>
        <v>No</v>
      </c>
      <c r="H3182" s="10" t="str">
        <f aca="false">IFERROR(INDEX(Section_Master!$F$2:$F$477,MATCH($E3182,Section_Master!$A$2:$A$477,0))&amp;"","")</f>
        <v>Yes</v>
      </c>
      <c r="I3182" s="10" t="str">
        <f aca="false">IFERROR(INDEX(Section_Master!$G$2:$G$477,MATCH($E3182,Section_Master!$A$2:$A$477,0))&amp;"","")</f>
        <v>No</v>
      </c>
      <c r="J3182" s="10" t="s">
        <v>48</v>
      </c>
      <c r="K3182" s="8" t="s">
        <v>7471</v>
      </c>
    </row>
    <row r="3183" customFormat="false" ht="34.5" hidden="false" customHeight="true" outlineLevel="0" collapsed="false">
      <c r="A3183" s="10" t="s">
        <v>7472</v>
      </c>
      <c r="B3183" s="10" t="s">
        <v>45</v>
      </c>
      <c r="C3183" s="8" t="s">
        <v>7469</v>
      </c>
      <c r="D3183" s="8" t="s">
        <v>7473</v>
      </c>
      <c r="E3183" s="11" t="n">
        <v>173</v>
      </c>
      <c r="F3183" s="8" t="str">
        <f aca="false">IFERROR(INDEX(Section_Master!$D$2:$D$477,MATCH($E3183,Section_Master!$A$2:$A$477,0))&amp;"","")</f>
        <v>Imprisonment up to 1 year, or fine, or both; fine only for treating [s.173]</v>
      </c>
      <c r="G3183" s="10" t="str">
        <f aca="false">IFERROR(INDEX(Section_Master!$E$2:$E$477,MATCH($E3183,Section_Master!$A$2:$A$477,0))&amp;"","")</f>
        <v>No</v>
      </c>
      <c r="H3183" s="10" t="str">
        <f aca="false">IFERROR(INDEX(Section_Master!$F$2:$F$477,MATCH($E3183,Section_Master!$A$2:$A$477,0))&amp;"","")</f>
        <v>Yes</v>
      </c>
      <c r="I3183" s="10" t="str">
        <f aca="false">IFERROR(INDEX(Section_Master!$G$2:$G$477,MATCH($E3183,Section_Master!$A$2:$A$477,0))&amp;"","")</f>
        <v>No</v>
      </c>
      <c r="J3183" s="10" t="s">
        <v>52</v>
      </c>
      <c r="K3183" s="8" t="s">
        <v>7471</v>
      </c>
    </row>
    <row r="3184" customFormat="false" ht="23.25" hidden="false" customHeight="true" outlineLevel="0" collapsed="false">
      <c r="A3184" s="10" t="s">
        <v>7474</v>
      </c>
      <c r="B3184" s="10" t="s">
        <v>45</v>
      </c>
      <c r="C3184" s="8" t="s">
        <v>7469</v>
      </c>
      <c r="D3184" s="8" t="s">
        <v>7475</v>
      </c>
      <c r="E3184" s="11" t="n">
        <v>173</v>
      </c>
      <c r="F3184" s="8" t="str">
        <f aca="false">IFERROR(INDEX(Section_Master!$D$2:$D$477,MATCH($E3184,Section_Master!$A$2:$A$477,0))&amp;"","")</f>
        <v>Imprisonment up to 1 year, or fine, or both; fine only for treating [s.173]</v>
      </c>
      <c r="G3184" s="10" t="str">
        <f aca="false">IFERROR(INDEX(Section_Master!$E$2:$E$477,MATCH($E3184,Section_Master!$A$2:$A$477,0))&amp;"","")</f>
        <v>No</v>
      </c>
      <c r="H3184" s="10" t="str">
        <f aca="false">IFERROR(INDEX(Section_Master!$F$2:$F$477,MATCH($E3184,Section_Master!$A$2:$A$477,0))&amp;"","")</f>
        <v>Yes</v>
      </c>
      <c r="I3184" s="10" t="str">
        <f aca="false">IFERROR(INDEX(Section_Master!$G$2:$G$477,MATCH($E3184,Section_Master!$A$2:$A$477,0))&amp;"","")</f>
        <v>No</v>
      </c>
      <c r="J3184" s="10" t="s">
        <v>55</v>
      </c>
      <c r="K3184" s="8" t="s">
        <v>7471</v>
      </c>
    </row>
    <row r="3185" customFormat="false" ht="34.5" hidden="false" customHeight="true" outlineLevel="0" collapsed="false">
      <c r="A3185" s="10" t="s">
        <v>7476</v>
      </c>
      <c r="B3185" s="10" t="s">
        <v>45</v>
      </c>
      <c r="C3185" s="8" t="s">
        <v>7469</v>
      </c>
      <c r="D3185" s="8" t="s">
        <v>7477</v>
      </c>
      <c r="E3185" s="11" t="n">
        <v>173</v>
      </c>
      <c r="F3185" s="8" t="str">
        <f aca="false">IFERROR(INDEX(Section_Master!$D$2:$D$477,MATCH($E3185,Section_Master!$A$2:$A$477,0))&amp;"","")</f>
        <v>Imprisonment up to 1 year, or fine, or both; fine only for treating [s.173]</v>
      </c>
      <c r="G3185" s="10" t="str">
        <f aca="false">IFERROR(INDEX(Section_Master!$E$2:$E$477,MATCH($E3185,Section_Master!$A$2:$A$477,0))&amp;"","")</f>
        <v>No</v>
      </c>
      <c r="H3185" s="10" t="str">
        <f aca="false">IFERROR(INDEX(Section_Master!$F$2:$F$477,MATCH($E3185,Section_Master!$A$2:$A$477,0))&amp;"","")</f>
        <v>Yes</v>
      </c>
      <c r="I3185" s="10" t="str">
        <f aca="false">IFERROR(INDEX(Section_Master!$G$2:$G$477,MATCH($E3185,Section_Master!$A$2:$A$477,0))&amp;"","")</f>
        <v>No</v>
      </c>
      <c r="J3185" s="10" t="s">
        <v>58</v>
      </c>
      <c r="K3185" s="8" t="s">
        <v>7471</v>
      </c>
    </row>
    <row r="3186" customFormat="false" ht="23.25" hidden="false" customHeight="true" outlineLevel="0" collapsed="false">
      <c r="A3186" s="10" t="s">
        <v>7478</v>
      </c>
      <c r="B3186" s="10" t="s">
        <v>45</v>
      </c>
      <c r="C3186" s="8" t="s">
        <v>7469</v>
      </c>
      <c r="D3186" s="8" t="s">
        <v>7479</v>
      </c>
      <c r="E3186" s="11" t="n">
        <v>173</v>
      </c>
      <c r="F3186" s="8" t="str">
        <f aca="false">IFERROR(INDEX(Section_Master!$D$2:$D$477,MATCH($E3186,Section_Master!$A$2:$A$477,0))&amp;"","")</f>
        <v>Imprisonment up to 1 year, or fine, or both; fine only for treating [s.173]</v>
      </c>
      <c r="G3186" s="10" t="str">
        <f aca="false">IFERROR(INDEX(Section_Master!$E$2:$E$477,MATCH($E3186,Section_Master!$A$2:$A$477,0))&amp;"","")</f>
        <v>No</v>
      </c>
      <c r="H3186" s="10" t="str">
        <f aca="false">IFERROR(INDEX(Section_Master!$F$2:$F$477,MATCH($E3186,Section_Master!$A$2:$A$477,0))&amp;"","")</f>
        <v>Yes</v>
      </c>
      <c r="I3186" s="10" t="str">
        <f aca="false">IFERROR(INDEX(Section_Master!$G$2:$G$477,MATCH($E3186,Section_Master!$A$2:$A$477,0))&amp;"","")</f>
        <v>No</v>
      </c>
      <c r="J3186" s="10" t="s">
        <v>61</v>
      </c>
      <c r="K3186" s="8" t="s">
        <v>7471</v>
      </c>
    </row>
    <row r="3187" customFormat="false" ht="34.5" hidden="false" customHeight="true" outlineLevel="0" collapsed="false">
      <c r="A3187" s="10" t="s">
        <v>7480</v>
      </c>
      <c r="B3187" s="10" t="s">
        <v>45</v>
      </c>
      <c r="C3187" s="8" t="s">
        <v>7469</v>
      </c>
      <c r="D3187" s="8" t="s">
        <v>7481</v>
      </c>
      <c r="E3187" s="11" t="n">
        <v>173</v>
      </c>
      <c r="F3187" s="8" t="str">
        <f aca="false">IFERROR(INDEX(Section_Master!$D$2:$D$477,MATCH($E3187,Section_Master!$A$2:$A$477,0))&amp;"","")</f>
        <v>Imprisonment up to 1 year, or fine, or both; fine only for treating [s.173]</v>
      </c>
      <c r="G3187" s="10" t="str">
        <f aca="false">IFERROR(INDEX(Section_Master!$E$2:$E$477,MATCH($E3187,Section_Master!$A$2:$A$477,0))&amp;"","")</f>
        <v>No</v>
      </c>
      <c r="H3187" s="10" t="str">
        <f aca="false">IFERROR(INDEX(Section_Master!$F$2:$F$477,MATCH($E3187,Section_Master!$A$2:$A$477,0))&amp;"","")</f>
        <v>Yes</v>
      </c>
      <c r="I3187" s="10" t="str">
        <f aca="false">IFERROR(INDEX(Section_Master!$G$2:$G$477,MATCH($E3187,Section_Master!$A$2:$A$477,0))&amp;"","")</f>
        <v>No</v>
      </c>
      <c r="J3187" s="10" t="s">
        <v>64</v>
      </c>
      <c r="K3187" s="8" t="s">
        <v>7471</v>
      </c>
    </row>
    <row r="3188" customFormat="false" ht="34.5" hidden="false" customHeight="true" outlineLevel="0" collapsed="false">
      <c r="A3188" s="10" t="s">
        <v>7482</v>
      </c>
      <c r="B3188" s="10" t="s">
        <v>45</v>
      </c>
      <c r="C3188" s="8" t="s">
        <v>7483</v>
      </c>
      <c r="D3188" s="8" t="s">
        <v>7484</v>
      </c>
      <c r="E3188" s="11" t="n">
        <v>174</v>
      </c>
      <c r="F3188" s="8" t="str">
        <f aca="false">IFERROR(INDEX(Section_Master!$D$2:$D$477,MATCH($E3188,Section_Master!$A$2:$A$477,0))&amp;"","")</f>
        <v>Imprisonment up to 1 year, or fine, or both; up to 2 years for personation [s.174]</v>
      </c>
      <c r="G3188" s="10" t="str">
        <f aca="false">IFERROR(INDEX(Section_Master!$E$2:$E$477,MATCH($E3188,Section_Master!$A$2:$A$477,0))&amp;"","")</f>
        <v>No</v>
      </c>
      <c r="H3188" s="10" t="str">
        <f aca="false">IFERROR(INDEX(Section_Master!$F$2:$F$477,MATCH($E3188,Section_Master!$A$2:$A$477,0))&amp;"","")</f>
        <v>Yes</v>
      </c>
      <c r="I3188" s="10" t="str">
        <f aca="false">IFERROR(INDEX(Section_Master!$G$2:$G$477,MATCH($E3188,Section_Master!$A$2:$A$477,0))&amp;"","")</f>
        <v>No</v>
      </c>
      <c r="J3188" s="10" t="s">
        <v>48</v>
      </c>
      <c r="K3188" s="8" t="s">
        <v>7485</v>
      </c>
    </row>
    <row r="3189" customFormat="false" ht="34.5" hidden="false" customHeight="true" outlineLevel="0" collapsed="false">
      <c r="A3189" s="10" t="s">
        <v>7486</v>
      </c>
      <c r="B3189" s="10" t="s">
        <v>45</v>
      </c>
      <c r="C3189" s="8" t="s">
        <v>7483</v>
      </c>
      <c r="D3189" s="8" t="s">
        <v>7487</v>
      </c>
      <c r="E3189" s="11" t="n">
        <v>174</v>
      </c>
      <c r="F3189" s="8" t="str">
        <f aca="false">IFERROR(INDEX(Section_Master!$D$2:$D$477,MATCH($E3189,Section_Master!$A$2:$A$477,0))&amp;"","")</f>
        <v>Imprisonment up to 1 year, or fine, or both; up to 2 years for personation [s.174]</v>
      </c>
      <c r="G3189" s="10" t="str">
        <f aca="false">IFERROR(INDEX(Section_Master!$E$2:$E$477,MATCH($E3189,Section_Master!$A$2:$A$477,0))&amp;"","")</f>
        <v>No</v>
      </c>
      <c r="H3189" s="10" t="str">
        <f aca="false">IFERROR(INDEX(Section_Master!$F$2:$F$477,MATCH($E3189,Section_Master!$A$2:$A$477,0))&amp;"","")</f>
        <v>Yes</v>
      </c>
      <c r="I3189" s="10" t="str">
        <f aca="false">IFERROR(INDEX(Section_Master!$G$2:$G$477,MATCH($E3189,Section_Master!$A$2:$A$477,0))&amp;"","")</f>
        <v>No</v>
      </c>
      <c r="J3189" s="10" t="s">
        <v>52</v>
      </c>
      <c r="K3189" s="8" t="s">
        <v>7485</v>
      </c>
    </row>
    <row r="3190" customFormat="false" ht="34.5" hidden="false" customHeight="true" outlineLevel="0" collapsed="false">
      <c r="A3190" s="10" t="s">
        <v>7488</v>
      </c>
      <c r="B3190" s="10" t="s">
        <v>45</v>
      </c>
      <c r="C3190" s="8" t="s">
        <v>7483</v>
      </c>
      <c r="D3190" s="8" t="s">
        <v>7489</v>
      </c>
      <c r="E3190" s="11" t="n">
        <v>174</v>
      </c>
      <c r="F3190" s="8" t="str">
        <f aca="false">IFERROR(INDEX(Section_Master!$D$2:$D$477,MATCH($E3190,Section_Master!$A$2:$A$477,0))&amp;"","")</f>
        <v>Imprisonment up to 1 year, or fine, or both; up to 2 years for personation [s.174]</v>
      </c>
      <c r="G3190" s="10" t="str">
        <f aca="false">IFERROR(INDEX(Section_Master!$E$2:$E$477,MATCH($E3190,Section_Master!$A$2:$A$477,0))&amp;"","")</f>
        <v>No</v>
      </c>
      <c r="H3190" s="10" t="str">
        <f aca="false">IFERROR(INDEX(Section_Master!$F$2:$F$477,MATCH($E3190,Section_Master!$A$2:$A$477,0))&amp;"","")</f>
        <v>Yes</v>
      </c>
      <c r="I3190" s="10" t="str">
        <f aca="false">IFERROR(INDEX(Section_Master!$G$2:$G$477,MATCH($E3190,Section_Master!$A$2:$A$477,0))&amp;"","")</f>
        <v>No</v>
      </c>
      <c r="J3190" s="10" t="s">
        <v>55</v>
      </c>
      <c r="K3190" s="8" t="s">
        <v>7485</v>
      </c>
    </row>
    <row r="3191" customFormat="false" ht="23.25" hidden="false" customHeight="true" outlineLevel="0" collapsed="false">
      <c r="A3191" s="10" t="s">
        <v>7490</v>
      </c>
      <c r="B3191" s="10" t="s">
        <v>45</v>
      </c>
      <c r="C3191" s="8" t="s">
        <v>7483</v>
      </c>
      <c r="D3191" s="8" t="s">
        <v>7491</v>
      </c>
      <c r="E3191" s="11" t="n">
        <v>174</v>
      </c>
      <c r="F3191" s="8" t="str">
        <f aca="false">IFERROR(INDEX(Section_Master!$D$2:$D$477,MATCH($E3191,Section_Master!$A$2:$A$477,0))&amp;"","")</f>
        <v>Imprisonment up to 1 year, or fine, or both; up to 2 years for personation [s.174]</v>
      </c>
      <c r="G3191" s="10" t="str">
        <f aca="false">IFERROR(INDEX(Section_Master!$E$2:$E$477,MATCH($E3191,Section_Master!$A$2:$A$477,0))&amp;"","")</f>
        <v>No</v>
      </c>
      <c r="H3191" s="10" t="str">
        <f aca="false">IFERROR(INDEX(Section_Master!$F$2:$F$477,MATCH($E3191,Section_Master!$A$2:$A$477,0))&amp;"","")</f>
        <v>Yes</v>
      </c>
      <c r="I3191" s="10" t="str">
        <f aca="false">IFERROR(INDEX(Section_Master!$G$2:$G$477,MATCH($E3191,Section_Master!$A$2:$A$477,0))&amp;"","")</f>
        <v>No</v>
      </c>
      <c r="J3191" s="10" t="s">
        <v>58</v>
      </c>
      <c r="K3191" s="8" t="s">
        <v>7485</v>
      </c>
    </row>
    <row r="3192" customFormat="false" ht="23.25" hidden="false" customHeight="true" outlineLevel="0" collapsed="false">
      <c r="A3192" s="10" t="s">
        <v>7492</v>
      </c>
      <c r="B3192" s="10" t="s">
        <v>45</v>
      </c>
      <c r="C3192" s="8" t="s">
        <v>7483</v>
      </c>
      <c r="D3192" s="8" t="s">
        <v>7493</v>
      </c>
      <c r="E3192" s="11" t="n">
        <v>174</v>
      </c>
      <c r="F3192" s="8" t="str">
        <f aca="false">IFERROR(INDEX(Section_Master!$D$2:$D$477,MATCH($E3192,Section_Master!$A$2:$A$477,0))&amp;"","")</f>
        <v>Imprisonment up to 1 year, or fine, or both; up to 2 years for personation [s.174]</v>
      </c>
      <c r="G3192" s="10" t="str">
        <f aca="false">IFERROR(INDEX(Section_Master!$E$2:$E$477,MATCH($E3192,Section_Master!$A$2:$A$477,0))&amp;"","")</f>
        <v>No</v>
      </c>
      <c r="H3192" s="10" t="str">
        <f aca="false">IFERROR(INDEX(Section_Master!$F$2:$F$477,MATCH($E3192,Section_Master!$A$2:$A$477,0))&amp;"","")</f>
        <v>Yes</v>
      </c>
      <c r="I3192" s="10" t="str">
        <f aca="false">IFERROR(INDEX(Section_Master!$G$2:$G$477,MATCH($E3192,Section_Master!$A$2:$A$477,0))&amp;"","")</f>
        <v>No</v>
      </c>
      <c r="J3192" s="10" t="s">
        <v>61</v>
      </c>
      <c r="K3192" s="8" t="s">
        <v>7485</v>
      </c>
    </row>
    <row r="3193" customFormat="false" ht="34.5" hidden="false" customHeight="true" outlineLevel="0" collapsed="false">
      <c r="A3193" s="10" t="s">
        <v>7494</v>
      </c>
      <c r="B3193" s="10" t="s">
        <v>45</v>
      </c>
      <c r="C3193" s="8" t="s">
        <v>7483</v>
      </c>
      <c r="D3193" s="8" t="s">
        <v>7495</v>
      </c>
      <c r="E3193" s="11" t="n">
        <v>174</v>
      </c>
      <c r="F3193" s="8" t="str">
        <f aca="false">IFERROR(INDEX(Section_Master!$D$2:$D$477,MATCH($E3193,Section_Master!$A$2:$A$477,0))&amp;"","")</f>
        <v>Imprisonment up to 1 year, or fine, or both; up to 2 years for personation [s.174]</v>
      </c>
      <c r="G3193" s="10" t="str">
        <f aca="false">IFERROR(INDEX(Section_Master!$E$2:$E$477,MATCH($E3193,Section_Master!$A$2:$A$477,0))&amp;"","")</f>
        <v>No</v>
      </c>
      <c r="H3193" s="10" t="str">
        <f aca="false">IFERROR(INDEX(Section_Master!$F$2:$F$477,MATCH($E3193,Section_Master!$A$2:$A$477,0))&amp;"","")</f>
        <v>Yes</v>
      </c>
      <c r="I3193" s="10" t="str">
        <f aca="false">IFERROR(INDEX(Section_Master!$G$2:$G$477,MATCH($E3193,Section_Master!$A$2:$A$477,0))&amp;"","")</f>
        <v>No</v>
      </c>
      <c r="J3193" s="10" t="s">
        <v>64</v>
      </c>
      <c r="K3193" s="8" t="s">
        <v>7485</v>
      </c>
    </row>
    <row r="3194" customFormat="false" ht="23.25" hidden="false" customHeight="true" outlineLevel="0" collapsed="false">
      <c r="A3194" s="10" t="s">
        <v>7496</v>
      </c>
      <c r="B3194" s="10" t="s">
        <v>45</v>
      </c>
      <c r="C3194" s="8" t="s">
        <v>7497</v>
      </c>
      <c r="D3194" s="8" t="s">
        <v>7498</v>
      </c>
      <c r="E3194" s="11" t="n">
        <v>175</v>
      </c>
      <c r="F3194" s="8" t="str">
        <f aca="false">IFERROR(INDEX(Section_Master!$D$2:$D$477,MATCH($E3194,Section_Master!$A$2:$A$477,0))&amp;"","")</f>
        <v>Fine</v>
      </c>
      <c r="G3194" s="10" t="str">
        <f aca="false">IFERROR(INDEX(Section_Master!$E$2:$E$477,MATCH($E3194,Section_Master!$A$2:$A$477,0))&amp;"","")</f>
        <v>No</v>
      </c>
      <c r="H3194" s="10" t="str">
        <f aca="false">IFERROR(INDEX(Section_Master!$F$2:$F$477,MATCH($E3194,Section_Master!$A$2:$A$477,0))&amp;"","")</f>
        <v>Yes</v>
      </c>
      <c r="I3194" s="10" t="str">
        <f aca="false">IFERROR(INDEX(Section_Master!$G$2:$G$477,MATCH($E3194,Section_Master!$A$2:$A$477,0))&amp;"","")</f>
        <v>No</v>
      </c>
      <c r="J3194" s="10" t="s">
        <v>48</v>
      </c>
      <c r="K3194" s="8" t="s">
        <v>7499</v>
      </c>
    </row>
    <row r="3195" customFormat="false" ht="34.5" hidden="false" customHeight="true" outlineLevel="0" collapsed="false">
      <c r="A3195" s="10" t="s">
        <v>7500</v>
      </c>
      <c r="B3195" s="10" t="s">
        <v>45</v>
      </c>
      <c r="C3195" s="8" t="s">
        <v>7497</v>
      </c>
      <c r="D3195" s="8" t="s">
        <v>7501</v>
      </c>
      <c r="E3195" s="11" t="n">
        <v>175</v>
      </c>
      <c r="F3195" s="8" t="str">
        <f aca="false">IFERROR(INDEX(Section_Master!$D$2:$D$477,MATCH($E3195,Section_Master!$A$2:$A$477,0))&amp;"","")</f>
        <v>Fine</v>
      </c>
      <c r="G3195" s="10" t="str">
        <f aca="false">IFERROR(INDEX(Section_Master!$E$2:$E$477,MATCH($E3195,Section_Master!$A$2:$A$477,0))&amp;"","")</f>
        <v>No</v>
      </c>
      <c r="H3195" s="10" t="str">
        <f aca="false">IFERROR(INDEX(Section_Master!$F$2:$F$477,MATCH($E3195,Section_Master!$A$2:$A$477,0))&amp;"","")</f>
        <v>Yes</v>
      </c>
      <c r="I3195" s="10" t="str">
        <f aca="false">IFERROR(INDEX(Section_Master!$G$2:$G$477,MATCH($E3195,Section_Master!$A$2:$A$477,0))&amp;"","")</f>
        <v>No</v>
      </c>
      <c r="J3195" s="10" t="s">
        <v>52</v>
      </c>
      <c r="K3195" s="8" t="s">
        <v>7499</v>
      </c>
    </row>
    <row r="3196" customFormat="false" ht="34.5" hidden="false" customHeight="true" outlineLevel="0" collapsed="false">
      <c r="A3196" s="10" t="s">
        <v>7502</v>
      </c>
      <c r="B3196" s="10" t="s">
        <v>45</v>
      </c>
      <c r="C3196" s="8" t="s">
        <v>7497</v>
      </c>
      <c r="D3196" s="8" t="s">
        <v>7503</v>
      </c>
      <c r="E3196" s="11" t="n">
        <v>175</v>
      </c>
      <c r="F3196" s="8" t="str">
        <f aca="false">IFERROR(INDEX(Section_Master!$D$2:$D$477,MATCH($E3196,Section_Master!$A$2:$A$477,0))&amp;"","")</f>
        <v>Fine</v>
      </c>
      <c r="G3196" s="10" t="str">
        <f aca="false">IFERROR(INDEX(Section_Master!$E$2:$E$477,MATCH($E3196,Section_Master!$A$2:$A$477,0))&amp;"","")</f>
        <v>No</v>
      </c>
      <c r="H3196" s="10" t="str">
        <f aca="false">IFERROR(INDEX(Section_Master!$F$2:$F$477,MATCH($E3196,Section_Master!$A$2:$A$477,0))&amp;"","")</f>
        <v>Yes</v>
      </c>
      <c r="I3196" s="10" t="str">
        <f aca="false">IFERROR(INDEX(Section_Master!$G$2:$G$477,MATCH($E3196,Section_Master!$A$2:$A$477,0))&amp;"","")</f>
        <v>No</v>
      </c>
      <c r="J3196" s="10" t="s">
        <v>55</v>
      </c>
      <c r="K3196" s="8" t="s">
        <v>7499</v>
      </c>
    </row>
    <row r="3197" customFormat="false" ht="34.5" hidden="false" customHeight="true" outlineLevel="0" collapsed="false">
      <c r="A3197" s="10" t="s">
        <v>7504</v>
      </c>
      <c r="B3197" s="10" t="s">
        <v>45</v>
      </c>
      <c r="C3197" s="8" t="s">
        <v>7497</v>
      </c>
      <c r="D3197" s="8" t="s">
        <v>7505</v>
      </c>
      <c r="E3197" s="11" t="n">
        <v>175</v>
      </c>
      <c r="F3197" s="8" t="str">
        <f aca="false">IFERROR(INDEX(Section_Master!$D$2:$D$477,MATCH($E3197,Section_Master!$A$2:$A$477,0))&amp;"","")</f>
        <v>Fine</v>
      </c>
      <c r="G3197" s="10" t="str">
        <f aca="false">IFERROR(INDEX(Section_Master!$E$2:$E$477,MATCH($E3197,Section_Master!$A$2:$A$477,0))&amp;"","")</f>
        <v>No</v>
      </c>
      <c r="H3197" s="10" t="str">
        <f aca="false">IFERROR(INDEX(Section_Master!$F$2:$F$477,MATCH($E3197,Section_Master!$A$2:$A$477,0))&amp;"","")</f>
        <v>Yes</v>
      </c>
      <c r="I3197" s="10" t="str">
        <f aca="false">IFERROR(INDEX(Section_Master!$G$2:$G$477,MATCH($E3197,Section_Master!$A$2:$A$477,0))&amp;"","")</f>
        <v>No</v>
      </c>
      <c r="J3197" s="10" t="s">
        <v>58</v>
      </c>
      <c r="K3197" s="8" t="s">
        <v>7499</v>
      </c>
    </row>
    <row r="3198" customFormat="false" ht="34.5" hidden="false" customHeight="true" outlineLevel="0" collapsed="false">
      <c r="A3198" s="10" t="s">
        <v>7506</v>
      </c>
      <c r="B3198" s="10" t="s">
        <v>45</v>
      </c>
      <c r="C3198" s="8" t="s">
        <v>7497</v>
      </c>
      <c r="D3198" s="8" t="s">
        <v>7507</v>
      </c>
      <c r="E3198" s="11" t="n">
        <v>175</v>
      </c>
      <c r="F3198" s="8" t="str">
        <f aca="false">IFERROR(INDEX(Section_Master!$D$2:$D$477,MATCH($E3198,Section_Master!$A$2:$A$477,0))&amp;"","")</f>
        <v>Fine</v>
      </c>
      <c r="G3198" s="10" t="str">
        <f aca="false">IFERROR(INDEX(Section_Master!$E$2:$E$477,MATCH($E3198,Section_Master!$A$2:$A$477,0))&amp;"","")</f>
        <v>No</v>
      </c>
      <c r="H3198" s="10" t="str">
        <f aca="false">IFERROR(INDEX(Section_Master!$F$2:$F$477,MATCH($E3198,Section_Master!$A$2:$A$477,0))&amp;"","")</f>
        <v>Yes</v>
      </c>
      <c r="I3198" s="10" t="str">
        <f aca="false">IFERROR(INDEX(Section_Master!$G$2:$G$477,MATCH($E3198,Section_Master!$A$2:$A$477,0))&amp;"","")</f>
        <v>No</v>
      </c>
      <c r="J3198" s="10" t="s">
        <v>61</v>
      </c>
      <c r="K3198" s="8" t="s">
        <v>7499</v>
      </c>
    </row>
    <row r="3199" customFormat="false" ht="34.5" hidden="false" customHeight="true" outlineLevel="0" collapsed="false">
      <c r="A3199" s="10" t="s">
        <v>7508</v>
      </c>
      <c r="B3199" s="10" t="s">
        <v>45</v>
      </c>
      <c r="C3199" s="8" t="s">
        <v>7497</v>
      </c>
      <c r="D3199" s="8" t="s">
        <v>7509</v>
      </c>
      <c r="E3199" s="11" t="n">
        <v>175</v>
      </c>
      <c r="F3199" s="8" t="str">
        <f aca="false">IFERROR(INDEX(Section_Master!$D$2:$D$477,MATCH($E3199,Section_Master!$A$2:$A$477,0))&amp;"","")</f>
        <v>Fine</v>
      </c>
      <c r="G3199" s="10" t="str">
        <f aca="false">IFERROR(INDEX(Section_Master!$E$2:$E$477,MATCH($E3199,Section_Master!$A$2:$A$477,0))&amp;"","")</f>
        <v>No</v>
      </c>
      <c r="H3199" s="10" t="str">
        <f aca="false">IFERROR(INDEX(Section_Master!$F$2:$F$477,MATCH($E3199,Section_Master!$A$2:$A$477,0))&amp;"","")</f>
        <v>Yes</v>
      </c>
      <c r="I3199" s="10" t="str">
        <f aca="false">IFERROR(INDEX(Section_Master!$G$2:$G$477,MATCH($E3199,Section_Master!$A$2:$A$477,0))&amp;"","")</f>
        <v>No</v>
      </c>
      <c r="J3199" s="10" t="s">
        <v>64</v>
      </c>
      <c r="K3199" s="8" t="s">
        <v>7499</v>
      </c>
    </row>
    <row r="3200" customFormat="false" ht="34.5" hidden="false" customHeight="true" outlineLevel="0" collapsed="false">
      <c r="A3200" s="10" t="s">
        <v>7510</v>
      </c>
      <c r="B3200" s="10" t="s">
        <v>45</v>
      </c>
      <c r="C3200" s="8" t="s">
        <v>7511</v>
      </c>
      <c r="D3200" s="8" t="s">
        <v>7512</v>
      </c>
      <c r="E3200" s="11" t="n">
        <v>176</v>
      </c>
      <c r="F3200" s="8" t="str">
        <f aca="false">IFERROR(INDEX(Section_Master!$D$2:$D$477,MATCH($E3200,Section_Master!$A$2:$A$477,0))&amp;"","")</f>
        <v>Fine</v>
      </c>
      <c r="G3200" s="10" t="str">
        <f aca="false">IFERROR(INDEX(Section_Master!$E$2:$E$477,MATCH($E3200,Section_Master!$A$2:$A$477,0))&amp;"","")</f>
        <v>No</v>
      </c>
      <c r="H3200" s="10" t="str">
        <f aca="false">IFERROR(INDEX(Section_Master!$F$2:$F$477,MATCH($E3200,Section_Master!$A$2:$A$477,0))&amp;"","")</f>
        <v>Yes</v>
      </c>
      <c r="I3200" s="10" t="str">
        <f aca="false">IFERROR(INDEX(Section_Master!$G$2:$G$477,MATCH($E3200,Section_Master!$A$2:$A$477,0))&amp;"","")</f>
        <v>No</v>
      </c>
      <c r="J3200" s="10" t="s">
        <v>48</v>
      </c>
      <c r="K3200" s="8" t="s">
        <v>7513</v>
      </c>
    </row>
    <row r="3201" customFormat="false" ht="34.5" hidden="false" customHeight="true" outlineLevel="0" collapsed="false">
      <c r="A3201" s="10" t="s">
        <v>7514</v>
      </c>
      <c r="B3201" s="10" t="s">
        <v>45</v>
      </c>
      <c r="C3201" s="8" t="s">
        <v>7511</v>
      </c>
      <c r="D3201" s="8" t="s">
        <v>7515</v>
      </c>
      <c r="E3201" s="11" t="n">
        <v>176</v>
      </c>
      <c r="F3201" s="8" t="str">
        <f aca="false">IFERROR(INDEX(Section_Master!$D$2:$D$477,MATCH($E3201,Section_Master!$A$2:$A$477,0))&amp;"","")</f>
        <v>Fine</v>
      </c>
      <c r="G3201" s="10" t="str">
        <f aca="false">IFERROR(INDEX(Section_Master!$E$2:$E$477,MATCH($E3201,Section_Master!$A$2:$A$477,0))&amp;"","")</f>
        <v>No</v>
      </c>
      <c r="H3201" s="10" t="str">
        <f aca="false">IFERROR(INDEX(Section_Master!$F$2:$F$477,MATCH($E3201,Section_Master!$A$2:$A$477,0))&amp;"","")</f>
        <v>Yes</v>
      </c>
      <c r="I3201" s="10" t="str">
        <f aca="false">IFERROR(INDEX(Section_Master!$G$2:$G$477,MATCH($E3201,Section_Master!$A$2:$A$477,0))&amp;"","")</f>
        <v>No</v>
      </c>
      <c r="J3201" s="10" t="s">
        <v>52</v>
      </c>
      <c r="K3201" s="8" t="s">
        <v>7513</v>
      </c>
    </row>
    <row r="3202" customFormat="false" ht="34.5" hidden="false" customHeight="true" outlineLevel="0" collapsed="false">
      <c r="A3202" s="10" t="s">
        <v>7516</v>
      </c>
      <c r="B3202" s="10" t="s">
        <v>45</v>
      </c>
      <c r="C3202" s="8" t="s">
        <v>7511</v>
      </c>
      <c r="D3202" s="8" t="s">
        <v>7517</v>
      </c>
      <c r="E3202" s="11" t="n">
        <v>176</v>
      </c>
      <c r="F3202" s="8" t="str">
        <f aca="false">IFERROR(INDEX(Section_Master!$D$2:$D$477,MATCH($E3202,Section_Master!$A$2:$A$477,0))&amp;"","")</f>
        <v>Fine</v>
      </c>
      <c r="G3202" s="10" t="str">
        <f aca="false">IFERROR(INDEX(Section_Master!$E$2:$E$477,MATCH($E3202,Section_Master!$A$2:$A$477,0))&amp;"","")</f>
        <v>No</v>
      </c>
      <c r="H3202" s="10" t="str">
        <f aca="false">IFERROR(INDEX(Section_Master!$F$2:$F$477,MATCH($E3202,Section_Master!$A$2:$A$477,0))&amp;"","")</f>
        <v>Yes</v>
      </c>
      <c r="I3202" s="10" t="str">
        <f aca="false">IFERROR(INDEX(Section_Master!$G$2:$G$477,MATCH($E3202,Section_Master!$A$2:$A$477,0))&amp;"","")</f>
        <v>No</v>
      </c>
      <c r="J3202" s="10" t="s">
        <v>55</v>
      </c>
      <c r="K3202" s="8" t="s">
        <v>7513</v>
      </c>
    </row>
    <row r="3203" customFormat="false" ht="23.25" hidden="false" customHeight="true" outlineLevel="0" collapsed="false">
      <c r="A3203" s="10" t="s">
        <v>7518</v>
      </c>
      <c r="B3203" s="10" t="s">
        <v>45</v>
      </c>
      <c r="C3203" s="8" t="s">
        <v>7511</v>
      </c>
      <c r="D3203" s="8" t="s">
        <v>7519</v>
      </c>
      <c r="E3203" s="11" t="n">
        <v>176</v>
      </c>
      <c r="F3203" s="8" t="str">
        <f aca="false">IFERROR(INDEX(Section_Master!$D$2:$D$477,MATCH($E3203,Section_Master!$A$2:$A$477,0))&amp;"","")</f>
        <v>Fine</v>
      </c>
      <c r="G3203" s="10" t="str">
        <f aca="false">IFERROR(INDEX(Section_Master!$E$2:$E$477,MATCH($E3203,Section_Master!$A$2:$A$477,0))&amp;"","")</f>
        <v>No</v>
      </c>
      <c r="H3203" s="10" t="str">
        <f aca="false">IFERROR(INDEX(Section_Master!$F$2:$F$477,MATCH($E3203,Section_Master!$A$2:$A$477,0))&amp;"","")</f>
        <v>Yes</v>
      </c>
      <c r="I3203" s="10" t="str">
        <f aca="false">IFERROR(INDEX(Section_Master!$G$2:$G$477,MATCH($E3203,Section_Master!$A$2:$A$477,0))&amp;"","")</f>
        <v>No</v>
      </c>
      <c r="J3203" s="10" t="s">
        <v>58</v>
      </c>
      <c r="K3203" s="8" t="s">
        <v>7513</v>
      </c>
    </row>
    <row r="3204" customFormat="false" ht="34.5" hidden="false" customHeight="true" outlineLevel="0" collapsed="false">
      <c r="A3204" s="10" t="s">
        <v>7520</v>
      </c>
      <c r="B3204" s="10" t="s">
        <v>45</v>
      </c>
      <c r="C3204" s="8" t="s">
        <v>7511</v>
      </c>
      <c r="D3204" s="8" t="s">
        <v>7521</v>
      </c>
      <c r="E3204" s="11" t="n">
        <v>176</v>
      </c>
      <c r="F3204" s="8" t="str">
        <f aca="false">IFERROR(INDEX(Section_Master!$D$2:$D$477,MATCH($E3204,Section_Master!$A$2:$A$477,0))&amp;"","")</f>
        <v>Fine</v>
      </c>
      <c r="G3204" s="10" t="str">
        <f aca="false">IFERROR(INDEX(Section_Master!$E$2:$E$477,MATCH($E3204,Section_Master!$A$2:$A$477,0))&amp;"","")</f>
        <v>No</v>
      </c>
      <c r="H3204" s="10" t="str">
        <f aca="false">IFERROR(INDEX(Section_Master!$F$2:$F$477,MATCH($E3204,Section_Master!$A$2:$A$477,0))&amp;"","")</f>
        <v>Yes</v>
      </c>
      <c r="I3204" s="10" t="str">
        <f aca="false">IFERROR(INDEX(Section_Master!$G$2:$G$477,MATCH($E3204,Section_Master!$A$2:$A$477,0))&amp;"","")</f>
        <v>No</v>
      </c>
      <c r="J3204" s="10" t="s">
        <v>61</v>
      </c>
      <c r="K3204" s="8" t="s">
        <v>7513</v>
      </c>
    </row>
    <row r="3205" customFormat="false" ht="34.5" hidden="false" customHeight="true" outlineLevel="0" collapsed="false">
      <c r="A3205" s="10" t="s">
        <v>7522</v>
      </c>
      <c r="B3205" s="10" t="s">
        <v>45</v>
      </c>
      <c r="C3205" s="8" t="s">
        <v>7511</v>
      </c>
      <c r="D3205" s="8" t="s">
        <v>7523</v>
      </c>
      <c r="E3205" s="11" t="n">
        <v>176</v>
      </c>
      <c r="F3205" s="8" t="str">
        <f aca="false">IFERROR(INDEX(Section_Master!$D$2:$D$477,MATCH($E3205,Section_Master!$A$2:$A$477,0))&amp;"","")</f>
        <v>Fine</v>
      </c>
      <c r="G3205" s="10" t="str">
        <f aca="false">IFERROR(INDEX(Section_Master!$E$2:$E$477,MATCH($E3205,Section_Master!$A$2:$A$477,0))&amp;"","")</f>
        <v>No</v>
      </c>
      <c r="H3205" s="10" t="str">
        <f aca="false">IFERROR(INDEX(Section_Master!$F$2:$F$477,MATCH($E3205,Section_Master!$A$2:$A$477,0))&amp;"","")</f>
        <v>Yes</v>
      </c>
      <c r="I3205" s="10" t="str">
        <f aca="false">IFERROR(INDEX(Section_Master!$G$2:$G$477,MATCH($E3205,Section_Master!$A$2:$A$477,0))&amp;"","")</f>
        <v>No</v>
      </c>
      <c r="J3205" s="10" t="s">
        <v>64</v>
      </c>
      <c r="K3205" s="8" t="s">
        <v>7513</v>
      </c>
    </row>
    <row r="3206" customFormat="false" ht="34.5" hidden="false" customHeight="true" outlineLevel="0" collapsed="false">
      <c r="A3206" s="10" t="s">
        <v>7524</v>
      </c>
      <c r="B3206" s="10" t="s">
        <v>45</v>
      </c>
      <c r="C3206" s="8" t="s">
        <v>7525</v>
      </c>
      <c r="D3206" s="8" t="s">
        <v>7526</v>
      </c>
      <c r="E3206" s="11" t="n">
        <v>177</v>
      </c>
      <c r="F3206" s="8" t="str">
        <f aca="false">IFERROR(INDEX(Section_Master!$D$2:$D$477,MATCH($E3206,Section_Master!$A$2:$A$477,0))&amp;"","")</f>
        <v>Fine</v>
      </c>
      <c r="G3206" s="10" t="str">
        <f aca="false">IFERROR(INDEX(Section_Master!$E$2:$E$477,MATCH($E3206,Section_Master!$A$2:$A$477,0))&amp;"","")</f>
        <v>No</v>
      </c>
      <c r="H3206" s="10" t="str">
        <f aca="false">IFERROR(INDEX(Section_Master!$F$2:$F$477,MATCH($E3206,Section_Master!$A$2:$A$477,0))&amp;"","")</f>
        <v>Yes</v>
      </c>
      <c r="I3206" s="10" t="str">
        <f aca="false">IFERROR(INDEX(Section_Master!$G$2:$G$477,MATCH($E3206,Section_Master!$A$2:$A$477,0))&amp;"","")</f>
        <v>No</v>
      </c>
      <c r="J3206" s="10" t="s">
        <v>48</v>
      </c>
      <c r="K3206" s="8" t="s">
        <v>7527</v>
      </c>
    </row>
    <row r="3207" customFormat="false" ht="34.5" hidden="false" customHeight="true" outlineLevel="0" collapsed="false">
      <c r="A3207" s="10" t="s">
        <v>7528</v>
      </c>
      <c r="B3207" s="10" t="s">
        <v>45</v>
      </c>
      <c r="C3207" s="8" t="s">
        <v>7525</v>
      </c>
      <c r="D3207" s="8" t="s">
        <v>7529</v>
      </c>
      <c r="E3207" s="11" t="n">
        <v>177</v>
      </c>
      <c r="F3207" s="8" t="str">
        <f aca="false">IFERROR(INDEX(Section_Master!$D$2:$D$477,MATCH($E3207,Section_Master!$A$2:$A$477,0))&amp;"","")</f>
        <v>Fine</v>
      </c>
      <c r="G3207" s="10" t="str">
        <f aca="false">IFERROR(INDEX(Section_Master!$E$2:$E$477,MATCH($E3207,Section_Master!$A$2:$A$477,0))&amp;"","")</f>
        <v>No</v>
      </c>
      <c r="H3207" s="10" t="str">
        <f aca="false">IFERROR(INDEX(Section_Master!$F$2:$F$477,MATCH($E3207,Section_Master!$A$2:$A$477,0))&amp;"","")</f>
        <v>Yes</v>
      </c>
      <c r="I3207" s="10" t="str">
        <f aca="false">IFERROR(INDEX(Section_Master!$G$2:$G$477,MATCH($E3207,Section_Master!$A$2:$A$477,0))&amp;"","")</f>
        <v>No</v>
      </c>
      <c r="J3207" s="10" t="s">
        <v>52</v>
      </c>
      <c r="K3207" s="8" t="s">
        <v>7527</v>
      </c>
    </row>
    <row r="3208" customFormat="false" ht="34.5" hidden="false" customHeight="true" outlineLevel="0" collapsed="false">
      <c r="A3208" s="10" t="s">
        <v>7530</v>
      </c>
      <c r="B3208" s="10" t="s">
        <v>45</v>
      </c>
      <c r="C3208" s="8" t="s">
        <v>7525</v>
      </c>
      <c r="D3208" s="8" t="s">
        <v>7531</v>
      </c>
      <c r="E3208" s="11" t="n">
        <v>177</v>
      </c>
      <c r="F3208" s="8" t="str">
        <f aca="false">IFERROR(INDEX(Section_Master!$D$2:$D$477,MATCH($E3208,Section_Master!$A$2:$A$477,0))&amp;"","")</f>
        <v>Fine</v>
      </c>
      <c r="G3208" s="10" t="str">
        <f aca="false">IFERROR(INDEX(Section_Master!$E$2:$E$477,MATCH($E3208,Section_Master!$A$2:$A$477,0))&amp;"","")</f>
        <v>No</v>
      </c>
      <c r="H3208" s="10" t="str">
        <f aca="false">IFERROR(INDEX(Section_Master!$F$2:$F$477,MATCH($E3208,Section_Master!$A$2:$A$477,0))&amp;"","")</f>
        <v>Yes</v>
      </c>
      <c r="I3208" s="10" t="str">
        <f aca="false">IFERROR(INDEX(Section_Master!$G$2:$G$477,MATCH($E3208,Section_Master!$A$2:$A$477,0))&amp;"","")</f>
        <v>No</v>
      </c>
      <c r="J3208" s="10" t="s">
        <v>55</v>
      </c>
      <c r="K3208" s="8" t="s">
        <v>7527</v>
      </c>
    </row>
    <row r="3209" customFormat="false" ht="23.25" hidden="false" customHeight="true" outlineLevel="0" collapsed="false">
      <c r="A3209" s="10" t="s">
        <v>7532</v>
      </c>
      <c r="B3209" s="10" t="s">
        <v>45</v>
      </c>
      <c r="C3209" s="8" t="s">
        <v>7525</v>
      </c>
      <c r="D3209" s="8" t="s">
        <v>7533</v>
      </c>
      <c r="E3209" s="11" t="n">
        <v>177</v>
      </c>
      <c r="F3209" s="8" t="str">
        <f aca="false">IFERROR(INDEX(Section_Master!$D$2:$D$477,MATCH($E3209,Section_Master!$A$2:$A$477,0))&amp;"","")</f>
        <v>Fine</v>
      </c>
      <c r="G3209" s="10" t="str">
        <f aca="false">IFERROR(INDEX(Section_Master!$E$2:$E$477,MATCH($E3209,Section_Master!$A$2:$A$477,0))&amp;"","")</f>
        <v>No</v>
      </c>
      <c r="H3209" s="10" t="str">
        <f aca="false">IFERROR(INDEX(Section_Master!$F$2:$F$477,MATCH($E3209,Section_Master!$A$2:$A$477,0))&amp;"","")</f>
        <v>Yes</v>
      </c>
      <c r="I3209" s="10" t="str">
        <f aca="false">IFERROR(INDEX(Section_Master!$G$2:$G$477,MATCH($E3209,Section_Master!$A$2:$A$477,0))&amp;"","")</f>
        <v>No</v>
      </c>
      <c r="J3209" s="10" t="s">
        <v>58</v>
      </c>
      <c r="K3209" s="8" t="s">
        <v>7527</v>
      </c>
    </row>
    <row r="3210" customFormat="false" ht="23.25" hidden="false" customHeight="true" outlineLevel="0" collapsed="false">
      <c r="A3210" s="10" t="s">
        <v>7534</v>
      </c>
      <c r="B3210" s="10" t="s">
        <v>45</v>
      </c>
      <c r="C3210" s="8" t="s">
        <v>7525</v>
      </c>
      <c r="D3210" s="8" t="s">
        <v>7535</v>
      </c>
      <c r="E3210" s="11" t="n">
        <v>177</v>
      </c>
      <c r="F3210" s="8" t="str">
        <f aca="false">IFERROR(INDEX(Section_Master!$D$2:$D$477,MATCH($E3210,Section_Master!$A$2:$A$477,0))&amp;"","")</f>
        <v>Fine</v>
      </c>
      <c r="G3210" s="10" t="str">
        <f aca="false">IFERROR(INDEX(Section_Master!$E$2:$E$477,MATCH($E3210,Section_Master!$A$2:$A$477,0))&amp;"","")</f>
        <v>No</v>
      </c>
      <c r="H3210" s="10" t="str">
        <f aca="false">IFERROR(INDEX(Section_Master!$F$2:$F$477,MATCH($E3210,Section_Master!$A$2:$A$477,0))&amp;"","")</f>
        <v>Yes</v>
      </c>
      <c r="I3210" s="10" t="str">
        <f aca="false">IFERROR(INDEX(Section_Master!$G$2:$G$477,MATCH($E3210,Section_Master!$A$2:$A$477,0))&amp;"","")</f>
        <v>No</v>
      </c>
      <c r="J3210" s="10" t="s">
        <v>61</v>
      </c>
      <c r="K3210" s="8" t="s">
        <v>7527</v>
      </c>
    </row>
    <row r="3211" customFormat="false" ht="34.5" hidden="false" customHeight="true" outlineLevel="0" collapsed="false">
      <c r="A3211" s="10" t="s">
        <v>7536</v>
      </c>
      <c r="B3211" s="10" t="s">
        <v>45</v>
      </c>
      <c r="C3211" s="8" t="s">
        <v>7525</v>
      </c>
      <c r="D3211" s="8" t="s">
        <v>7537</v>
      </c>
      <c r="E3211" s="11" t="n">
        <v>177</v>
      </c>
      <c r="F3211" s="8" t="str">
        <f aca="false">IFERROR(INDEX(Section_Master!$D$2:$D$477,MATCH($E3211,Section_Master!$A$2:$A$477,0))&amp;"","")</f>
        <v>Fine</v>
      </c>
      <c r="G3211" s="10" t="str">
        <f aca="false">IFERROR(INDEX(Section_Master!$E$2:$E$477,MATCH($E3211,Section_Master!$A$2:$A$477,0))&amp;"","")</f>
        <v>No</v>
      </c>
      <c r="H3211" s="10" t="str">
        <f aca="false">IFERROR(INDEX(Section_Master!$F$2:$F$477,MATCH($E3211,Section_Master!$A$2:$A$477,0))&amp;"","")</f>
        <v>Yes</v>
      </c>
      <c r="I3211" s="10" t="str">
        <f aca="false">IFERROR(INDEX(Section_Master!$G$2:$G$477,MATCH($E3211,Section_Master!$A$2:$A$477,0))&amp;"","")</f>
        <v>No</v>
      </c>
      <c r="J3211" s="10" t="s">
        <v>64</v>
      </c>
      <c r="K3211" s="8" t="s">
        <v>7527</v>
      </c>
    </row>
    <row r="3212" customFormat="false" ht="34.5" hidden="false" customHeight="true" outlineLevel="0" collapsed="false">
      <c r="A3212" s="10" t="s">
        <v>7538</v>
      </c>
      <c r="B3212" s="10" t="s">
        <v>45</v>
      </c>
      <c r="C3212" s="8" t="s">
        <v>7539</v>
      </c>
      <c r="D3212" s="8" t="s">
        <v>7540</v>
      </c>
      <c r="E3212" s="11" t="n">
        <v>178</v>
      </c>
      <c r="F3212" s="8" t="str">
        <f aca="false">IFERROR(INDEX(Section_Master!$D$2:$D$477,MATCH($E3212,Section_Master!$A$2:$A$477,0))&amp;"","")</f>
        <v>Imprisonment for life, or up to 10 years, and fine (currency notes/bank notes); up to 7 years and fine (coin, stamps) [s.178]</v>
      </c>
      <c r="G3212" s="10" t="str">
        <f aca="false">IFERROR(INDEX(Section_Master!$E$2:$E$477,MATCH($E3212,Section_Master!$A$2:$A$477,0))&amp;"","")</f>
        <v>Yes</v>
      </c>
      <c r="H3212" s="10" t="str">
        <f aca="false">IFERROR(INDEX(Section_Master!$F$2:$F$477,MATCH($E3212,Section_Master!$A$2:$A$477,0))&amp;"","")</f>
        <v>No</v>
      </c>
      <c r="I3212" s="10" t="str">
        <f aca="false">IFERROR(INDEX(Section_Master!$G$2:$G$477,MATCH($E3212,Section_Master!$A$2:$A$477,0))&amp;"","")</f>
        <v>No</v>
      </c>
      <c r="J3212" s="10" t="s">
        <v>48</v>
      </c>
      <c r="K3212" s="8" t="s">
        <v>7541</v>
      </c>
    </row>
    <row r="3213" customFormat="false" ht="34.5" hidden="false" customHeight="true" outlineLevel="0" collapsed="false">
      <c r="A3213" s="10" t="s">
        <v>7542</v>
      </c>
      <c r="B3213" s="10" t="s">
        <v>45</v>
      </c>
      <c r="C3213" s="8" t="s">
        <v>7539</v>
      </c>
      <c r="D3213" s="8" t="s">
        <v>7543</v>
      </c>
      <c r="E3213" s="11" t="n">
        <v>178</v>
      </c>
      <c r="F3213" s="8" t="str">
        <f aca="false">IFERROR(INDEX(Section_Master!$D$2:$D$477,MATCH($E3213,Section_Master!$A$2:$A$477,0))&amp;"","")</f>
        <v>Imprisonment for life, or up to 10 years, and fine (currency notes/bank notes); up to 7 years and fine (coin, stamps) [s.178]</v>
      </c>
      <c r="G3213" s="10" t="str">
        <f aca="false">IFERROR(INDEX(Section_Master!$E$2:$E$477,MATCH($E3213,Section_Master!$A$2:$A$477,0))&amp;"","")</f>
        <v>Yes</v>
      </c>
      <c r="H3213" s="10" t="str">
        <f aca="false">IFERROR(INDEX(Section_Master!$F$2:$F$477,MATCH($E3213,Section_Master!$A$2:$A$477,0))&amp;"","")</f>
        <v>No</v>
      </c>
      <c r="I3213" s="10" t="str">
        <f aca="false">IFERROR(INDEX(Section_Master!$G$2:$G$477,MATCH($E3213,Section_Master!$A$2:$A$477,0))&amp;"","")</f>
        <v>No</v>
      </c>
      <c r="J3213" s="10" t="s">
        <v>52</v>
      </c>
      <c r="K3213" s="8" t="s">
        <v>7541</v>
      </c>
    </row>
    <row r="3214" customFormat="false" ht="23.25" hidden="false" customHeight="true" outlineLevel="0" collapsed="false">
      <c r="A3214" s="10" t="s">
        <v>7544</v>
      </c>
      <c r="B3214" s="10" t="s">
        <v>45</v>
      </c>
      <c r="C3214" s="8" t="s">
        <v>7539</v>
      </c>
      <c r="D3214" s="8" t="s">
        <v>7545</v>
      </c>
      <c r="E3214" s="11" t="n">
        <v>178</v>
      </c>
      <c r="F3214" s="8" t="str">
        <f aca="false">IFERROR(INDEX(Section_Master!$D$2:$D$477,MATCH($E3214,Section_Master!$A$2:$A$477,0))&amp;"","")</f>
        <v>Imprisonment for life, or up to 10 years, and fine (currency notes/bank notes); up to 7 years and fine (coin, stamps) [s.178]</v>
      </c>
      <c r="G3214" s="10" t="str">
        <f aca="false">IFERROR(INDEX(Section_Master!$E$2:$E$477,MATCH($E3214,Section_Master!$A$2:$A$477,0))&amp;"","")</f>
        <v>Yes</v>
      </c>
      <c r="H3214" s="10" t="str">
        <f aca="false">IFERROR(INDEX(Section_Master!$F$2:$F$477,MATCH($E3214,Section_Master!$A$2:$A$477,0))&amp;"","")</f>
        <v>No</v>
      </c>
      <c r="I3214" s="10" t="str">
        <f aca="false">IFERROR(INDEX(Section_Master!$G$2:$G$477,MATCH($E3214,Section_Master!$A$2:$A$477,0))&amp;"","")</f>
        <v>No</v>
      </c>
      <c r="J3214" s="10" t="s">
        <v>55</v>
      </c>
      <c r="K3214" s="8" t="s">
        <v>7541</v>
      </c>
    </row>
    <row r="3215" customFormat="false" ht="23.25" hidden="false" customHeight="true" outlineLevel="0" collapsed="false">
      <c r="A3215" s="10" t="s">
        <v>7546</v>
      </c>
      <c r="B3215" s="10" t="s">
        <v>45</v>
      </c>
      <c r="C3215" s="8" t="s">
        <v>7539</v>
      </c>
      <c r="D3215" s="8" t="s">
        <v>7547</v>
      </c>
      <c r="E3215" s="11" t="n">
        <v>178</v>
      </c>
      <c r="F3215" s="8" t="str">
        <f aca="false">IFERROR(INDEX(Section_Master!$D$2:$D$477,MATCH($E3215,Section_Master!$A$2:$A$477,0))&amp;"","")</f>
        <v>Imprisonment for life, or up to 10 years, and fine (currency notes/bank notes); up to 7 years and fine (coin, stamps) [s.178]</v>
      </c>
      <c r="G3215" s="10" t="str">
        <f aca="false">IFERROR(INDEX(Section_Master!$E$2:$E$477,MATCH($E3215,Section_Master!$A$2:$A$477,0))&amp;"","")</f>
        <v>Yes</v>
      </c>
      <c r="H3215" s="10" t="str">
        <f aca="false">IFERROR(INDEX(Section_Master!$F$2:$F$477,MATCH($E3215,Section_Master!$A$2:$A$477,0))&amp;"","")</f>
        <v>No</v>
      </c>
      <c r="I3215" s="10" t="str">
        <f aca="false">IFERROR(INDEX(Section_Master!$G$2:$G$477,MATCH($E3215,Section_Master!$A$2:$A$477,0))&amp;"","")</f>
        <v>No</v>
      </c>
      <c r="J3215" s="10" t="s">
        <v>58</v>
      </c>
      <c r="K3215" s="8" t="s">
        <v>7541</v>
      </c>
    </row>
    <row r="3216" customFormat="false" ht="23.25" hidden="false" customHeight="true" outlineLevel="0" collapsed="false">
      <c r="A3216" s="10" t="s">
        <v>7548</v>
      </c>
      <c r="B3216" s="10" t="s">
        <v>45</v>
      </c>
      <c r="C3216" s="8" t="s">
        <v>7539</v>
      </c>
      <c r="D3216" s="8" t="s">
        <v>7549</v>
      </c>
      <c r="E3216" s="11" t="n">
        <v>178</v>
      </c>
      <c r="F3216" s="8" t="str">
        <f aca="false">IFERROR(INDEX(Section_Master!$D$2:$D$477,MATCH($E3216,Section_Master!$A$2:$A$477,0))&amp;"","")</f>
        <v>Imprisonment for life, or up to 10 years, and fine (currency notes/bank notes); up to 7 years and fine (coin, stamps) [s.178]</v>
      </c>
      <c r="G3216" s="10" t="str">
        <f aca="false">IFERROR(INDEX(Section_Master!$E$2:$E$477,MATCH($E3216,Section_Master!$A$2:$A$477,0))&amp;"","")</f>
        <v>Yes</v>
      </c>
      <c r="H3216" s="10" t="str">
        <f aca="false">IFERROR(INDEX(Section_Master!$F$2:$F$477,MATCH($E3216,Section_Master!$A$2:$A$477,0))&amp;"","")</f>
        <v>No</v>
      </c>
      <c r="I3216" s="10" t="str">
        <f aca="false">IFERROR(INDEX(Section_Master!$G$2:$G$477,MATCH($E3216,Section_Master!$A$2:$A$477,0))&amp;"","")</f>
        <v>No</v>
      </c>
      <c r="J3216" s="10" t="s">
        <v>61</v>
      </c>
      <c r="K3216" s="8" t="s">
        <v>7541</v>
      </c>
    </row>
    <row r="3217" customFormat="false" ht="34.5" hidden="false" customHeight="true" outlineLevel="0" collapsed="false">
      <c r="A3217" s="10" t="s">
        <v>7550</v>
      </c>
      <c r="B3217" s="10" t="s">
        <v>45</v>
      </c>
      <c r="C3217" s="8" t="s">
        <v>7539</v>
      </c>
      <c r="D3217" s="8" t="s">
        <v>7551</v>
      </c>
      <c r="E3217" s="11" t="n">
        <v>178</v>
      </c>
      <c r="F3217" s="8" t="str">
        <f aca="false">IFERROR(INDEX(Section_Master!$D$2:$D$477,MATCH($E3217,Section_Master!$A$2:$A$477,0))&amp;"","")</f>
        <v>Imprisonment for life, or up to 10 years, and fine (currency notes/bank notes); up to 7 years and fine (coin, stamps) [s.178]</v>
      </c>
      <c r="G3217" s="10" t="str">
        <f aca="false">IFERROR(INDEX(Section_Master!$E$2:$E$477,MATCH($E3217,Section_Master!$A$2:$A$477,0))&amp;"","")</f>
        <v>Yes</v>
      </c>
      <c r="H3217" s="10" t="str">
        <f aca="false">IFERROR(INDEX(Section_Master!$F$2:$F$477,MATCH($E3217,Section_Master!$A$2:$A$477,0))&amp;"","")</f>
        <v>No</v>
      </c>
      <c r="I3217" s="10" t="str">
        <f aca="false">IFERROR(INDEX(Section_Master!$G$2:$G$477,MATCH($E3217,Section_Master!$A$2:$A$477,0))&amp;"","")</f>
        <v>No</v>
      </c>
      <c r="J3217" s="10" t="s">
        <v>64</v>
      </c>
      <c r="K3217" s="8" t="s">
        <v>7541</v>
      </c>
    </row>
    <row r="3218" customFormat="false" ht="23.25" hidden="false" customHeight="true" outlineLevel="0" collapsed="false">
      <c r="A3218" s="10" t="s">
        <v>7552</v>
      </c>
      <c r="B3218" s="10" t="s">
        <v>45</v>
      </c>
      <c r="C3218" s="8" t="s">
        <v>7553</v>
      </c>
      <c r="D3218" s="8" t="s">
        <v>7554</v>
      </c>
      <c r="E3218" s="11" t="n">
        <v>179</v>
      </c>
      <c r="F3218" s="8" t="str">
        <f aca="false">IFERROR(INDEX(Section_Master!$D$2:$D$477,MATCH($E3218,Section_Master!$A$2:$A$477,0))&amp;"","")</f>
        <v>Imprisonment for life, or up to 10 years, and fine</v>
      </c>
      <c r="G3218" s="10" t="str">
        <f aca="false">IFERROR(INDEX(Section_Master!$E$2:$E$477,MATCH($E3218,Section_Master!$A$2:$A$477,0))&amp;"","")</f>
        <v>Yes</v>
      </c>
      <c r="H3218" s="10" t="str">
        <f aca="false">IFERROR(INDEX(Section_Master!$F$2:$F$477,MATCH($E3218,Section_Master!$A$2:$A$477,0))&amp;"","")</f>
        <v>No</v>
      </c>
      <c r="I3218" s="10" t="str">
        <f aca="false">IFERROR(INDEX(Section_Master!$G$2:$G$477,MATCH($E3218,Section_Master!$A$2:$A$477,0))&amp;"","")</f>
        <v>No</v>
      </c>
      <c r="J3218" s="10" t="s">
        <v>48</v>
      </c>
      <c r="K3218" s="8" t="s">
        <v>7555</v>
      </c>
    </row>
    <row r="3219" customFormat="false" ht="34.5" hidden="false" customHeight="true" outlineLevel="0" collapsed="false">
      <c r="A3219" s="10" t="s">
        <v>7556</v>
      </c>
      <c r="B3219" s="10" t="s">
        <v>45</v>
      </c>
      <c r="C3219" s="8" t="s">
        <v>7553</v>
      </c>
      <c r="D3219" s="8" t="s">
        <v>7557</v>
      </c>
      <c r="E3219" s="11" t="n">
        <v>179</v>
      </c>
      <c r="F3219" s="8" t="str">
        <f aca="false">IFERROR(INDEX(Section_Master!$D$2:$D$477,MATCH($E3219,Section_Master!$A$2:$A$477,0))&amp;"","")</f>
        <v>Imprisonment for life, or up to 10 years, and fine</v>
      </c>
      <c r="G3219" s="10" t="str">
        <f aca="false">IFERROR(INDEX(Section_Master!$E$2:$E$477,MATCH($E3219,Section_Master!$A$2:$A$477,0))&amp;"","")</f>
        <v>Yes</v>
      </c>
      <c r="H3219" s="10" t="str">
        <f aca="false">IFERROR(INDEX(Section_Master!$F$2:$F$477,MATCH($E3219,Section_Master!$A$2:$A$477,0))&amp;"","")</f>
        <v>No</v>
      </c>
      <c r="I3219" s="10" t="str">
        <f aca="false">IFERROR(INDEX(Section_Master!$G$2:$G$477,MATCH($E3219,Section_Master!$A$2:$A$477,0))&amp;"","")</f>
        <v>No</v>
      </c>
      <c r="J3219" s="10" t="s">
        <v>52</v>
      </c>
      <c r="K3219" s="8" t="s">
        <v>7555</v>
      </c>
    </row>
    <row r="3220" customFormat="false" ht="34.5" hidden="false" customHeight="true" outlineLevel="0" collapsed="false">
      <c r="A3220" s="10" t="s">
        <v>7558</v>
      </c>
      <c r="B3220" s="10" t="s">
        <v>45</v>
      </c>
      <c r="C3220" s="8" t="s">
        <v>7553</v>
      </c>
      <c r="D3220" s="8" t="s">
        <v>7559</v>
      </c>
      <c r="E3220" s="11" t="n">
        <v>179</v>
      </c>
      <c r="F3220" s="8" t="str">
        <f aca="false">IFERROR(INDEX(Section_Master!$D$2:$D$477,MATCH($E3220,Section_Master!$A$2:$A$477,0))&amp;"","")</f>
        <v>Imprisonment for life, or up to 10 years, and fine</v>
      </c>
      <c r="G3220" s="10" t="str">
        <f aca="false">IFERROR(INDEX(Section_Master!$E$2:$E$477,MATCH($E3220,Section_Master!$A$2:$A$477,0))&amp;"","")</f>
        <v>Yes</v>
      </c>
      <c r="H3220" s="10" t="str">
        <f aca="false">IFERROR(INDEX(Section_Master!$F$2:$F$477,MATCH($E3220,Section_Master!$A$2:$A$477,0))&amp;"","")</f>
        <v>No</v>
      </c>
      <c r="I3220" s="10" t="str">
        <f aca="false">IFERROR(INDEX(Section_Master!$G$2:$G$477,MATCH($E3220,Section_Master!$A$2:$A$477,0))&amp;"","")</f>
        <v>No</v>
      </c>
      <c r="J3220" s="10" t="s">
        <v>55</v>
      </c>
      <c r="K3220" s="8" t="s">
        <v>7555</v>
      </c>
    </row>
    <row r="3221" customFormat="false" ht="23.25" hidden="false" customHeight="true" outlineLevel="0" collapsed="false">
      <c r="A3221" s="10" t="s">
        <v>7560</v>
      </c>
      <c r="B3221" s="10" t="s">
        <v>45</v>
      </c>
      <c r="C3221" s="8" t="s">
        <v>7553</v>
      </c>
      <c r="D3221" s="8" t="s">
        <v>7561</v>
      </c>
      <c r="E3221" s="11" t="n">
        <v>179</v>
      </c>
      <c r="F3221" s="8" t="str">
        <f aca="false">IFERROR(INDEX(Section_Master!$D$2:$D$477,MATCH($E3221,Section_Master!$A$2:$A$477,0))&amp;"","")</f>
        <v>Imprisonment for life, or up to 10 years, and fine</v>
      </c>
      <c r="G3221" s="10" t="str">
        <f aca="false">IFERROR(INDEX(Section_Master!$E$2:$E$477,MATCH($E3221,Section_Master!$A$2:$A$477,0))&amp;"","")</f>
        <v>Yes</v>
      </c>
      <c r="H3221" s="10" t="str">
        <f aca="false">IFERROR(INDEX(Section_Master!$F$2:$F$477,MATCH($E3221,Section_Master!$A$2:$A$477,0))&amp;"","")</f>
        <v>No</v>
      </c>
      <c r="I3221" s="10" t="str">
        <f aca="false">IFERROR(INDEX(Section_Master!$G$2:$G$477,MATCH($E3221,Section_Master!$A$2:$A$477,0))&amp;"","")</f>
        <v>No</v>
      </c>
      <c r="J3221" s="10" t="s">
        <v>58</v>
      </c>
      <c r="K3221" s="8" t="s">
        <v>7555</v>
      </c>
    </row>
    <row r="3222" customFormat="false" ht="23.25" hidden="false" customHeight="true" outlineLevel="0" collapsed="false">
      <c r="A3222" s="10" t="s">
        <v>7562</v>
      </c>
      <c r="B3222" s="10" t="s">
        <v>45</v>
      </c>
      <c r="C3222" s="8" t="s">
        <v>7553</v>
      </c>
      <c r="D3222" s="8" t="s">
        <v>7563</v>
      </c>
      <c r="E3222" s="11" t="n">
        <v>179</v>
      </c>
      <c r="F3222" s="8" t="str">
        <f aca="false">IFERROR(INDEX(Section_Master!$D$2:$D$477,MATCH($E3222,Section_Master!$A$2:$A$477,0))&amp;"","")</f>
        <v>Imprisonment for life, or up to 10 years, and fine</v>
      </c>
      <c r="G3222" s="10" t="str">
        <f aca="false">IFERROR(INDEX(Section_Master!$E$2:$E$477,MATCH($E3222,Section_Master!$A$2:$A$477,0))&amp;"","")</f>
        <v>Yes</v>
      </c>
      <c r="H3222" s="10" t="str">
        <f aca="false">IFERROR(INDEX(Section_Master!$F$2:$F$477,MATCH($E3222,Section_Master!$A$2:$A$477,0))&amp;"","")</f>
        <v>No</v>
      </c>
      <c r="I3222" s="10" t="str">
        <f aca="false">IFERROR(INDEX(Section_Master!$G$2:$G$477,MATCH($E3222,Section_Master!$A$2:$A$477,0))&amp;"","")</f>
        <v>No</v>
      </c>
      <c r="J3222" s="10" t="s">
        <v>61</v>
      </c>
      <c r="K3222" s="8" t="s">
        <v>7555</v>
      </c>
    </row>
    <row r="3223" customFormat="false" ht="34.5" hidden="false" customHeight="true" outlineLevel="0" collapsed="false">
      <c r="A3223" s="10" t="s">
        <v>7564</v>
      </c>
      <c r="B3223" s="10" t="s">
        <v>45</v>
      </c>
      <c r="C3223" s="8" t="s">
        <v>7553</v>
      </c>
      <c r="D3223" s="8" t="s">
        <v>7565</v>
      </c>
      <c r="E3223" s="11" t="n">
        <v>179</v>
      </c>
      <c r="F3223" s="8" t="str">
        <f aca="false">IFERROR(INDEX(Section_Master!$D$2:$D$477,MATCH($E3223,Section_Master!$A$2:$A$477,0))&amp;"","")</f>
        <v>Imprisonment for life, or up to 10 years, and fine</v>
      </c>
      <c r="G3223" s="10" t="str">
        <f aca="false">IFERROR(INDEX(Section_Master!$E$2:$E$477,MATCH($E3223,Section_Master!$A$2:$A$477,0))&amp;"","")</f>
        <v>Yes</v>
      </c>
      <c r="H3223" s="10" t="str">
        <f aca="false">IFERROR(INDEX(Section_Master!$F$2:$F$477,MATCH($E3223,Section_Master!$A$2:$A$477,0))&amp;"","")</f>
        <v>No</v>
      </c>
      <c r="I3223" s="10" t="str">
        <f aca="false">IFERROR(INDEX(Section_Master!$G$2:$G$477,MATCH($E3223,Section_Master!$A$2:$A$477,0))&amp;"","")</f>
        <v>No</v>
      </c>
      <c r="J3223" s="10" t="s">
        <v>64</v>
      </c>
      <c r="K3223" s="8" t="s">
        <v>7555</v>
      </c>
    </row>
    <row r="3224" customFormat="false" ht="23.25" hidden="false" customHeight="true" outlineLevel="0" collapsed="false">
      <c r="A3224" s="10" t="s">
        <v>7566</v>
      </c>
      <c r="B3224" s="10" t="s">
        <v>45</v>
      </c>
      <c r="C3224" s="8" t="s">
        <v>7567</v>
      </c>
      <c r="D3224" s="8" t="s">
        <v>7568</v>
      </c>
      <c r="E3224" s="11" t="n">
        <v>180</v>
      </c>
      <c r="F3224" s="8" t="str">
        <f aca="false">IFERROR(INDEX(Section_Master!$D$2:$D$477,MATCH($E3224,Section_Master!$A$2:$A$477,0))&amp;"","")</f>
        <v>Imprisonment up to 7 years, or fine, or both</v>
      </c>
      <c r="G3224" s="10" t="str">
        <f aca="false">IFERROR(INDEX(Section_Master!$E$2:$E$477,MATCH($E3224,Section_Master!$A$2:$A$477,0))&amp;"","")</f>
        <v>Yes</v>
      </c>
      <c r="H3224" s="10" t="str">
        <f aca="false">IFERROR(INDEX(Section_Master!$F$2:$F$477,MATCH($E3224,Section_Master!$A$2:$A$477,0))&amp;"","")</f>
        <v>No</v>
      </c>
      <c r="I3224" s="10" t="str">
        <f aca="false">IFERROR(INDEX(Section_Master!$G$2:$G$477,MATCH($E3224,Section_Master!$A$2:$A$477,0))&amp;"","")</f>
        <v>No</v>
      </c>
      <c r="J3224" s="10" t="s">
        <v>48</v>
      </c>
      <c r="K3224" s="8" t="s">
        <v>7569</v>
      </c>
    </row>
    <row r="3225" customFormat="false" ht="34.5" hidden="false" customHeight="true" outlineLevel="0" collapsed="false">
      <c r="A3225" s="10" t="s">
        <v>7570</v>
      </c>
      <c r="B3225" s="10" t="s">
        <v>45</v>
      </c>
      <c r="C3225" s="8" t="s">
        <v>7567</v>
      </c>
      <c r="D3225" s="8" t="s">
        <v>7571</v>
      </c>
      <c r="E3225" s="11" t="n">
        <v>180</v>
      </c>
      <c r="F3225" s="8" t="str">
        <f aca="false">IFERROR(INDEX(Section_Master!$D$2:$D$477,MATCH($E3225,Section_Master!$A$2:$A$477,0))&amp;"","")</f>
        <v>Imprisonment up to 7 years, or fine, or both</v>
      </c>
      <c r="G3225" s="10" t="str">
        <f aca="false">IFERROR(INDEX(Section_Master!$E$2:$E$477,MATCH($E3225,Section_Master!$A$2:$A$477,0))&amp;"","")</f>
        <v>Yes</v>
      </c>
      <c r="H3225" s="10" t="str">
        <f aca="false">IFERROR(INDEX(Section_Master!$F$2:$F$477,MATCH($E3225,Section_Master!$A$2:$A$477,0))&amp;"","")</f>
        <v>No</v>
      </c>
      <c r="I3225" s="10" t="str">
        <f aca="false">IFERROR(INDEX(Section_Master!$G$2:$G$477,MATCH($E3225,Section_Master!$A$2:$A$477,0))&amp;"","")</f>
        <v>No</v>
      </c>
      <c r="J3225" s="10" t="s">
        <v>52</v>
      </c>
      <c r="K3225" s="8" t="s">
        <v>7569</v>
      </c>
    </row>
    <row r="3226" customFormat="false" ht="34.5" hidden="false" customHeight="true" outlineLevel="0" collapsed="false">
      <c r="A3226" s="10" t="s">
        <v>7572</v>
      </c>
      <c r="B3226" s="10" t="s">
        <v>45</v>
      </c>
      <c r="C3226" s="8" t="s">
        <v>7567</v>
      </c>
      <c r="D3226" s="8" t="s">
        <v>7573</v>
      </c>
      <c r="E3226" s="11" t="n">
        <v>180</v>
      </c>
      <c r="F3226" s="8" t="str">
        <f aca="false">IFERROR(INDEX(Section_Master!$D$2:$D$477,MATCH($E3226,Section_Master!$A$2:$A$477,0))&amp;"","")</f>
        <v>Imprisonment up to 7 years, or fine, or both</v>
      </c>
      <c r="G3226" s="10" t="str">
        <f aca="false">IFERROR(INDEX(Section_Master!$E$2:$E$477,MATCH($E3226,Section_Master!$A$2:$A$477,0))&amp;"","")</f>
        <v>Yes</v>
      </c>
      <c r="H3226" s="10" t="str">
        <f aca="false">IFERROR(INDEX(Section_Master!$F$2:$F$477,MATCH($E3226,Section_Master!$A$2:$A$477,0))&amp;"","")</f>
        <v>No</v>
      </c>
      <c r="I3226" s="10" t="str">
        <f aca="false">IFERROR(INDEX(Section_Master!$G$2:$G$477,MATCH($E3226,Section_Master!$A$2:$A$477,0))&amp;"","")</f>
        <v>No</v>
      </c>
      <c r="J3226" s="10" t="s">
        <v>55</v>
      </c>
      <c r="K3226" s="8" t="s">
        <v>7569</v>
      </c>
    </row>
    <row r="3227" customFormat="false" ht="23.25" hidden="false" customHeight="true" outlineLevel="0" collapsed="false">
      <c r="A3227" s="10" t="s">
        <v>7574</v>
      </c>
      <c r="B3227" s="10" t="s">
        <v>45</v>
      </c>
      <c r="C3227" s="8" t="s">
        <v>7567</v>
      </c>
      <c r="D3227" s="8" t="s">
        <v>7575</v>
      </c>
      <c r="E3227" s="11" t="n">
        <v>180</v>
      </c>
      <c r="F3227" s="8" t="str">
        <f aca="false">IFERROR(INDEX(Section_Master!$D$2:$D$477,MATCH($E3227,Section_Master!$A$2:$A$477,0))&amp;"","")</f>
        <v>Imprisonment up to 7 years, or fine, or both</v>
      </c>
      <c r="G3227" s="10" t="str">
        <f aca="false">IFERROR(INDEX(Section_Master!$E$2:$E$477,MATCH($E3227,Section_Master!$A$2:$A$477,0))&amp;"","")</f>
        <v>Yes</v>
      </c>
      <c r="H3227" s="10" t="str">
        <f aca="false">IFERROR(INDEX(Section_Master!$F$2:$F$477,MATCH($E3227,Section_Master!$A$2:$A$477,0))&amp;"","")</f>
        <v>No</v>
      </c>
      <c r="I3227" s="10" t="str">
        <f aca="false">IFERROR(INDEX(Section_Master!$G$2:$G$477,MATCH($E3227,Section_Master!$A$2:$A$477,0))&amp;"","")</f>
        <v>No</v>
      </c>
      <c r="J3227" s="10" t="s">
        <v>58</v>
      </c>
      <c r="K3227" s="8" t="s">
        <v>7569</v>
      </c>
    </row>
    <row r="3228" customFormat="false" ht="23.25" hidden="false" customHeight="true" outlineLevel="0" collapsed="false">
      <c r="A3228" s="10" t="s">
        <v>7576</v>
      </c>
      <c r="B3228" s="10" t="s">
        <v>45</v>
      </c>
      <c r="C3228" s="8" t="s">
        <v>7567</v>
      </c>
      <c r="D3228" s="8" t="s">
        <v>7577</v>
      </c>
      <c r="E3228" s="11" t="n">
        <v>180</v>
      </c>
      <c r="F3228" s="8" t="str">
        <f aca="false">IFERROR(INDEX(Section_Master!$D$2:$D$477,MATCH($E3228,Section_Master!$A$2:$A$477,0))&amp;"","")</f>
        <v>Imprisonment up to 7 years, or fine, or both</v>
      </c>
      <c r="G3228" s="10" t="str">
        <f aca="false">IFERROR(INDEX(Section_Master!$E$2:$E$477,MATCH($E3228,Section_Master!$A$2:$A$477,0))&amp;"","")</f>
        <v>Yes</v>
      </c>
      <c r="H3228" s="10" t="str">
        <f aca="false">IFERROR(INDEX(Section_Master!$F$2:$F$477,MATCH($E3228,Section_Master!$A$2:$A$477,0))&amp;"","")</f>
        <v>No</v>
      </c>
      <c r="I3228" s="10" t="str">
        <f aca="false">IFERROR(INDEX(Section_Master!$G$2:$G$477,MATCH($E3228,Section_Master!$A$2:$A$477,0))&amp;"","")</f>
        <v>No</v>
      </c>
      <c r="J3228" s="10" t="s">
        <v>61</v>
      </c>
      <c r="K3228" s="8" t="s">
        <v>7569</v>
      </c>
    </row>
    <row r="3229" customFormat="false" ht="34.5" hidden="false" customHeight="true" outlineLevel="0" collapsed="false">
      <c r="A3229" s="10" t="s">
        <v>7578</v>
      </c>
      <c r="B3229" s="10" t="s">
        <v>45</v>
      </c>
      <c r="C3229" s="8" t="s">
        <v>7567</v>
      </c>
      <c r="D3229" s="8" t="s">
        <v>7579</v>
      </c>
      <c r="E3229" s="11" t="n">
        <v>180</v>
      </c>
      <c r="F3229" s="8" t="str">
        <f aca="false">IFERROR(INDEX(Section_Master!$D$2:$D$477,MATCH($E3229,Section_Master!$A$2:$A$477,0))&amp;"","")</f>
        <v>Imprisonment up to 7 years, or fine, or both</v>
      </c>
      <c r="G3229" s="10" t="str">
        <f aca="false">IFERROR(INDEX(Section_Master!$E$2:$E$477,MATCH($E3229,Section_Master!$A$2:$A$477,0))&amp;"","")</f>
        <v>Yes</v>
      </c>
      <c r="H3229" s="10" t="str">
        <f aca="false">IFERROR(INDEX(Section_Master!$F$2:$F$477,MATCH($E3229,Section_Master!$A$2:$A$477,0))&amp;"","")</f>
        <v>No</v>
      </c>
      <c r="I3229" s="10" t="str">
        <f aca="false">IFERROR(INDEX(Section_Master!$G$2:$G$477,MATCH($E3229,Section_Master!$A$2:$A$477,0))&amp;"","")</f>
        <v>No</v>
      </c>
      <c r="J3229" s="10" t="s">
        <v>64</v>
      </c>
      <c r="K3229" s="8" t="s">
        <v>7569</v>
      </c>
    </row>
    <row r="3230" customFormat="false" ht="23.25" hidden="false" customHeight="true" outlineLevel="0" collapsed="false">
      <c r="A3230" s="10" t="s">
        <v>7580</v>
      </c>
      <c r="B3230" s="10" t="s">
        <v>45</v>
      </c>
      <c r="C3230" s="8" t="s">
        <v>7581</v>
      </c>
      <c r="D3230" s="8" t="s">
        <v>7582</v>
      </c>
      <c r="E3230" s="11" t="n">
        <v>181</v>
      </c>
      <c r="F3230" s="8" t="str">
        <f aca="false">IFERROR(INDEX(Section_Master!$D$2:$D$477,MATCH($E3230,Section_Master!$A$2:$A$477,0))&amp;"","")</f>
        <v>Imprisonment for life, or up to 10 years, and fine</v>
      </c>
      <c r="G3230" s="10" t="str">
        <f aca="false">IFERROR(INDEX(Section_Master!$E$2:$E$477,MATCH($E3230,Section_Master!$A$2:$A$477,0))&amp;"","")</f>
        <v>Yes</v>
      </c>
      <c r="H3230" s="10" t="str">
        <f aca="false">IFERROR(INDEX(Section_Master!$F$2:$F$477,MATCH($E3230,Section_Master!$A$2:$A$477,0))&amp;"","")</f>
        <v>No</v>
      </c>
      <c r="I3230" s="10" t="str">
        <f aca="false">IFERROR(INDEX(Section_Master!$G$2:$G$477,MATCH($E3230,Section_Master!$A$2:$A$477,0))&amp;"","")</f>
        <v>No</v>
      </c>
      <c r="J3230" s="10" t="s">
        <v>48</v>
      </c>
      <c r="K3230" s="8" t="s">
        <v>7583</v>
      </c>
    </row>
    <row r="3231" customFormat="false" ht="34.5" hidden="false" customHeight="true" outlineLevel="0" collapsed="false">
      <c r="A3231" s="10" t="s">
        <v>7584</v>
      </c>
      <c r="B3231" s="10" t="s">
        <v>45</v>
      </c>
      <c r="C3231" s="8" t="s">
        <v>7581</v>
      </c>
      <c r="D3231" s="8" t="s">
        <v>7585</v>
      </c>
      <c r="E3231" s="11" t="n">
        <v>181</v>
      </c>
      <c r="F3231" s="8" t="str">
        <f aca="false">IFERROR(INDEX(Section_Master!$D$2:$D$477,MATCH($E3231,Section_Master!$A$2:$A$477,0))&amp;"","")</f>
        <v>Imprisonment for life, or up to 10 years, and fine</v>
      </c>
      <c r="G3231" s="10" t="str">
        <f aca="false">IFERROR(INDEX(Section_Master!$E$2:$E$477,MATCH($E3231,Section_Master!$A$2:$A$477,0))&amp;"","")</f>
        <v>Yes</v>
      </c>
      <c r="H3231" s="10" t="str">
        <f aca="false">IFERROR(INDEX(Section_Master!$F$2:$F$477,MATCH($E3231,Section_Master!$A$2:$A$477,0))&amp;"","")</f>
        <v>No</v>
      </c>
      <c r="I3231" s="10" t="str">
        <f aca="false">IFERROR(INDEX(Section_Master!$G$2:$G$477,MATCH($E3231,Section_Master!$A$2:$A$477,0))&amp;"","")</f>
        <v>No</v>
      </c>
      <c r="J3231" s="10" t="s">
        <v>52</v>
      </c>
      <c r="K3231" s="8" t="s">
        <v>7583</v>
      </c>
    </row>
    <row r="3232" customFormat="false" ht="34.5" hidden="false" customHeight="true" outlineLevel="0" collapsed="false">
      <c r="A3232" s="10" t="s">
        <v>7586</v>
      </c>
      <c r="B3232" s="10" t="s">
        <v>45</v>
      </c>
      <c r="C3232" s="8" t="s">
        <v>7581</v>
      </c>
      <c r="D3232" s="8" t="s">
        <v>7587</v>
      </c>
      <c r="E3232" s="11" t="n">
        <v>181</v>
      </c>
      <c r="F3232" s="8" t="str">
        <f aca="false">IFERROR(INDEX(Section_Master!$D$2:$D$477,MATCH($E3232,Section_Master!$A$2:$A$477,0))&amp;"","")</f>
        <v>Imprisonment for life, or up to 10 years, and fine</v>
      </c>
      <c r="G3232" s="10" t="str">
        <f aca="false">IFERROR(INDEX(Section_Master!$E$2:$E$477,MATCH($E3232,Section_Master!$A$2:$A$477,0))&amp;"","")</f>
        <v>Yes</v>
      </c>
      <c r="H3232" s="10" t="str">
        <f aca="false">IFERROR(INDEX(Section_Master!$F$2:$F$477,MATCH($E3232,Section_Master!$A$2:$A$477,0))&amp;"","")</f>
        <v>No</v>
      </c>
      <c r="I3232" s="10" t="str">
        <f aca="false">IFERROR(INDEX(Section_Master!$G$2:$G$477,MATCH($E3232,Section_Master!$A$2:$A$477,0))&amp;"","")</f>
        <v>No</v>
      </c>
      <c r="J3232" s="10" t="s">
        <v>55</v>
      </c>
      <c r="K3232" s="8" t="s">
        <v>7583</v>
      </c>
    </row>
    <row r="3233" customFormat="false" ht="23.25" hidden="false" customHeight="true" outlineLevel="0" collapsed="false">
      <c r="A3233" s="10" t="s">
        <v>7588</v>
      </c>
      <c r="B3233" s="10" t="s">
        <v>45</v>
      </c>
      <c r="C3233" s="8" t="s">
        <v>7581</v>
      </c>
      <c r="D3233" s="8" t="s">
        <v>7589</v>
      </c>
      <c r="E3233" s="11" t="n">
        <v>181</v>
      </c>
      <c r="F3233" s="8" t="str">
        <f aca="false">IFERROR(INDEX(Section_Master!$D$2:$D$477,MATCH($E3233,Section_Master!$A$2:$A$477,0))&amp;"","")</f>
        <v>Imprisonment for life, or up to 10 years, and fine</v>
      </c>
      <c r="G3233" s="10" t="str">
        <f aca="false">IFERROR(INDEX(Section_Master!$E$2:$E$477,MATCH($E3233,Section_Master!$A$2:$A$477,0))&amp;"","")</f>
        <v>Yes</v>
      </c>
      <c r="H3233" s="10" t="str">
        <f aca="false">IFERROR(INDEX(Section_Master!$F$2:$F$477,MATCH($E3233,Section_Master!$A$2:$A$477,0))&amp;"","")</f>
        <v>No</v>
      </c>
      <c r="I3233" s="10" t="str">
        <f aca="false">IFERROR(INDEX(Section_Master!$G$2:$G$477,MATCH($E3233,Section_Master!$A$2:$A$477,0))&amp;"","")</f>
        <v>No</v>
      </c>
      <c r="J3233" s="10" t="s">
        <v>58</v>
      </c>
      <c r="K3233" s="8" t="s">
        <v>7583</v>
      </c>
    </row>
    <row r="3234" customFormat="false" ht="34.5" hidden="false" customHeight="true" outlineLevel="0" collapsed="false">
      <c r="A3234" s="10" t="s">
        <v>7590</v>
      </c>
      <c r="B3234" s="10" t="s">
        <v>45</v>
      </c>
      <c r="C3234" s="8" t="s">
        <v>7581</v>
      </c>
      <c r="D3234" s="8" t="s">
        <v>7591</v>
      </c>
      <c r="E3234" s="11" t="n">
        <v>181</v>
      </c>
      <c r="F3234" s="8" t="str">
        <f aca="false">IFERROR(INDEX(Section_Master!$D$2:$D$477,MATCH($E3234,Section_Master!$A$2:$A$477,0))&amp;"","")</f>
        <v>Imprisonment for life, or up to 10 years, and fine</v>
      </c>
      <c r="G3234" s="10" t="str">
        <f aca="false">IFERROR(INDEX(Section_Master!$E$2:$E$477,MATCH($E3234,Section_Master!$A$2:$A$477,0))&amp;"","")</f>
        <v>Yes</v>
      </c>
      <c r="H3234" s="10" t="str">
        <f aca="false">IFERROR(INDEX(Section_Master!$F$2:$F$477,MATCH($E3234,Section_Master!$A$2:$A$477,0))&amp;"","")</f>
        <v>No</v>
      </c>
      <c r="I3234" s="10" t="str">
        <f aca="false">IFERROR(INDEX(Section_Master!$G$2:$G$477,MATCH($E3234,Section_Master!$A$2:$A$477,0))&amp;"","")</f>
        <v>No</v>
      </c>
      <c r="J3234" s="10" t="s">
        <v>61</v>
      </c>
      <c r="K3234" s="8" t="s">
        <v>7583</v>
      </c>
    </row>
    <row r="3235" customFormat="false" ht="34.5" hidden="false" customHeight="true" outlineLevel="0" collapsed="false">
      <c r="A3235" s="10" t="s">
        <v>7592</v>
      </c>
      <c r="B3235" s="10" t="s">
        <v>45</v>
      </c>
      <c r="C3235" s="8" t="s">
        <v>7581</v>
      </c>
      <c r="D3235" s="8" t="s">
        <v>7593</v>
      </c>
      <c r="E3235" s="11" t="n">
        <v>181</v>
      </c>
      <c r="F3235" s="8" t="str">
        <f aca="false">IFERROR(INDEX(Section_Master!$D$2:$D$477,MATCH($E3235,Section_Master!$A$2:$A$477,0))&amp;"","")</f>
        <v>Imprisonment for life, or up to 10 years, and fine</v>
      </c>
      <c r="G3235" s="10" t="str">
        <f aca="false">IFERROR(INDEX(Section_Master!$E$2:$E$477,MATCH($E3235,Section_Master!$A$2:$A$477,0))&amp;"","")</f>
        <v>Yes</v>
      </c>
      <c r="H3235" s="10" t="str">
        <f aca="false">IFERROR(INDEX(Section_Master!$F$2:$F$477,MATCH($E3235,Section_Master!$A$2:$A$477,0))&amp;"","")</f>
        <v>No</v>
      </c>
      <c r="I3235" s="10" t="str">
        <f aca="false">IFERROR(INDEX(Section_Master!$G$2:$G$477,MATCH($E3235,Section_Master!$A$2:$A$477,0))&amp;"","")</f>
        <v>No</v>
      </c>
      <c r="J3235" s="10" t="s">
        <v>64</v>
      </c>
      <c r="K3235" s="8" t="s">
        <v>7583</v>
      </c>
    </row>
    <row r="3236" customFormat="false" ht="23.25" hidden="false" customHeight="true" outlineLevel="0" collapsed="false">
      <c r="A3236" s="10" t="s">
        <v>7594</v>
      </c>
      <c r="B3236" s="10" t="s">
        <v>45</v>
      </c>
      <c r="C3236" s="8" t="s">
        <v>7595</v>
      </c>
      <c r="D3236" s="8" t="s">
        <v>7596</v>
      </c>
      <c r="E3236" s="11" t="n">
        <v>182</v>
      </c>
      <c r="F3236" s="8" t="str">
        <f aca="false">IFERROR(INDEX(Section_Master!$D$2:$D$477,MATCH($E3236,Section_Master!$A$2:$A$477,0))&amp;"","")</f>
        <v>Fine</v>
      </c>
      <c r="G3236" s="10" t="str">
        <f aca="false">IFERROR(INDEX(Section_Master!$E$2:$E$477,MATCH($E3236,Section_Master!$A$2:$A$477,0))&amp;"","")</f>
        <v>No</v>
      </c>
      <c r="H3236" s="10" t="str">
        <f aca="false">IFERROR(INDEX(Section_Master!$F$2:$F$477,MATCH($E3236,Section_Master!$A$2:$A$477,0))&amp;"","")</f>
        <v>Yes</v>
      </c>
      <c r="I3236" s="10" t="str">
        <f aca="false">IFERROR(INDEX(Section_Master!$G$2:$G$477,MATCH($E3236,Section_Master!$A$2:$A$477,0))&amp;"","")</f>
        <v>No</v>
      </c>
      <c r="J3236" s="10" t="s">
        <v>48</v>
      </c>
      <c r="K3236" s="8" t="s">
        <v>7597</v>
      </c>
    </row>
    <row r="3237" customFormat="false" ht="34.5" hidden="false" customHeight="true" outlineLevel="0" collapsed="false">
      <c r="A3237" s="10" t="s">
        <v>7598</v>
      </c>
      <c r="B3237" s="10" t="s">
        <v>45</v>
      </c>
      <c r="C3237" s="8" t="s">
        <v>7595</v>
      </c>
      <c r="D3237" s="8" t="s">
        <v>7599</v>
      </c>
      <c r="E3237" s="11" t="n">
        <v>182</v>
      </c>
      <c r="F3237" s="8" t="str">
        <f aca="false">IFERROR(INDEX(Section_Master!$D$2:$D$477,MATCH($E3237,Section_Master!$A$2:$A$477,0))&amp;"","")</f>
        <v>Fine</v>
      </c>
      <c r="G3237" s="10" t="str">
        <f aca="false">IFERROR(INDEX(Section_Master!$E$2:$E$477,MATCH($E3237,Section_Master!$A$2:$A$477,0))&amp;"","")</f>
        <v>No</v>
      </c>
      <c r="H3237" s="10" t="str">
        <f aca="false">IFERROR(INDEX(Section_Master!$F$2:$F$477,MATCH($E3237,Section_Master!$A$2:$A$477,0))&amp;"","")</f>
        <v>Yes</v>
      </c>
      <c r="I3237" s="10" t="str">
        <f aca="false">IFERROR(INDEX(Section_Master!$G$2:$G$477,MATCH($E3237,Section_Master!$A$2:$A$477,0))&amp;"","")</f>
        <v>No</v>
      </c>
      <c r="J3237" s="10" t="s">
        <v>52</v>
      </c>
      <c r="K3237" s="8" t="s">
        <v>7597</v>
      </c>
    </row>
    <row r="3238" customFormat="false" ht="34.5" hidden="false" customHeight="true" outlineLevel="0" collapsed="false">
      <c r="A3238" s="10" t="s">
        <v>7600</v>
      </c>
      <c r="B3238" s="10" t="s">
        <v>45</v>
      </c>
      <c r="C3238" s="8" t="s">
        <v>7595</v>
      </c>
      <c r="D3238" s="8" t="s">
        <v>7601</v>
      </c>
      <c r="E3238" s="11" t="n">
        <v>182</v>
      </c>
      <c r="F3238" s="8" t="str">
        <f aca="false">IFERROR(INDEX(Section_Master!$D$2:$D$477,MATCH($E3238,Section_Master!$A$2:$A$477,0))&amp;"","")</f>
        <v>Fine</v>
      </c>
      <c r="G3238" s="10" t="str">
        <f aca="false">IFERROR(INDEX(Section_Master!$E$2:$E$477,MATCH($E3238,Section_Master!$A$2:$A$477,0))&amp;"","")</f>
        <v>No</v>
      </c>
      <c r="H3238" s="10" t="str">
        <f aca="false">IFERROR(INDEX(Section_Master!$F$2:$F$477,MATCH($E3238,Section_Master!$A$2:$A$477,0))&amp;"","")</f>
        <v>Yes</v>
      </c>
      <c r="I3238" s="10" t="str">
        <f aca="false">IFERROR(INDEX(Section_Master!$G$2:$G$477,MATCH($E3238,Section_Master!$A$2:$A$477,0))&amp;"","")</f>
        <v>No</v>
      </c>
      <c r="J3238" s="10" t="s">
        <v>55</v>
      </c>
      <c r="K3238" s="8" t="s">
        <v>7597</v>
      </c>
    </row>
    <row r="3239" customFormat="false" ht="23.25" hidden="false" customHeight="true" outlineLevel="0" collapsed="false">
      <c r="A3239" s="10" t="s">
        <v>7602</v>
      </c>
      <c r="B3239" s="10" t="s">
        <v>45</v>
      </c>
      <c r="C3239" s="8" t="s">
        <v>7595</v>
      </c>
      <c r="D3239" s="8" t="s">
        <v>7603</v>
      </c>
      <c r="E3239" s="11" t="n">
        <v>182</v>
      </c>
      <c r="F3239" s="8" t="str">
        <f aca="false">IFERROR(INDEX(Section_Master!$D$2:$D$477,MATCH($E3239,Section_Master!$A$2:$A$477,0))&amp;"","")</f>
        <v>Fine</v>
      </c>
      <c r="G3239" s="10" t="str">
        <f aca="false">IFERROR(INDEX(Section_Master!$E$2:$E$477,MATCH($E3239,Section_Master!$A$2:$A$477,0))&amp;"","")</f>
        <v>No</v>
      </c>
      <c r="H3239" s="10" t="str">
        <f aca="false">IFERROR(INDEX(Section_Master!$F$2:$F$477,MATCH($E3239,Section_Master!$A$2:$A$477,0))&amp;"","")</f>
        <v>Yes</v>
      </c>
      <c r="I3239" s="10" t="str">
        <f aca="false">IFERROR(INDEX(Section_Master!$G$2:$G$477,MATCH($E3239,Section_Master!$A$2:$A$477,0))&amp;"","")</f>
        <v>No</v>
      </c>
      <c r="J3239" s="10" t="s">
        <v>58</v>
      </c>
      <c r="K3239" s="8" t="s">
        <v>7597</v>
      </c>
    </row>
    <row r="3240" customFormat="false" ht="23.25" hidden="false" customHeight="true" outlineLevel="0" collapsed="false">
      <c r="A3240" s="10" t="s">
        <v>7604</v>
      </c>
      <c r="B3240" s="10" t="s">
        <v>45</v>
      </c>
      <c r="C3240" s="8" t="s">
        <v>7595</v>
      </c>
      <c r="D3240" s="8" t="s">
        <v>7605</v>
      </c>
      <c r="E3240" s="11" t="n">
        <v>182</v>
      </c>
      <c r="F3240" s="8" t="str">
        <f aca="false">IFERROR(INDEX(Section_Master!$D$2:$D$477,MATCH($E3240,Section_Master!$A$2:$A$477,0))&amp;"","")</f>
        <v>Fine</v>
      </c>
      <c r="G3240" s="10" t="str">
        <f aca="false">IFERROR(INDEX(Section_Master!$E$2:$E$477,MATCH($E3240,Section_Master!$A$2:$A$477,0))&amp;"","")</f>
        <v>No</v>
      </c>
      <c r="H3240" s="10" t="str">
        <f aca="false">IFERROR(INDEX(Section_Master!$F$2:$F$477,MATCH($E3240,Section_Master!$A$2:$A$477,0))&amp;"","")</f>
        <v>Yes</v>
      </c>
      <c r="I3240" s="10" t="str">
        <f aca="false">IFERROR(INDEX(Section_Master!$G$2:$G$477,MATCH($E3240,Section_Master!$A$2:$A$477,0))&amp;"","")</f>
        <v>No</v>
      </c>
      <c r="J3240" s="10" t="s">
        <v>61</v>
      </c>
      <c r="K3240" s="8" t="s">
        <v>7597</v>
      </c>
    </row>
    <row r="3241" customFormat="false" ht="34.5" hidden="false" customHeight="true" outlineLevel="0" collapsed="false">
      <c r="A3241" s="10" t="s">
        <v>7606</v>
      </c>
      <c r="B3241" s="10" t="s">
        <v>45</v>
      </c>
      <c r="C3241" s="8" t="s">
        <v>7595</v>
      </c>
      <c r="D3241" s="8" t="s">
        <v>7607</v>
      </c>
      <c r="E3241" s="11" t="n">
        <v>182</v>
      </c>
      <c r="F3241" s="8" t="str">
        <f aca="false">IFERROR(INDEX(Section_Master!$D$2:$D$477,MATCH($E3241,Section_Master!$A$2:$A$477,0))&amp;"","")</f>
        <v>Fine</v>
      </c>
      <c r="G3241" s="10" t="str">
        <f aca="false">IFERROR(INDEX(Section_Master!$E$2:$E$477,MATCH($E3241,Section_Master!$A$2:$A$477,0))&amp;"","")</f>
        <v>No</v>
      </c>
      <c r="H3241" s="10" t="str">
        <f aca="false">IFERROR(INDEX(Section_Master!$F$2:$F$477,MATCH($E3241,Section_Master!$A$2:$A$477,0))&amp;"","")</f>
        <v>Yes</v>
      </c>
      <c r="I3241" s="10" t="str">
        <f aca="false">IFERROR(INDEX(Section_Master!$G$2:$G$477,MATCH($E3241,Section_Master!$A$2:$A$477,0))&amp;"","")</f>
        <v>No</v>
      </c>
      <c r="J3241" s="10" t="s">
        <v>64</v>
      </c>
      <c r="K3241" s="8" t="s">
        <v>7597</v>
      </c>
    </row>
    <row r="3242" customFormat="false" ht="34.5" hidden="false" customHeight="true" outlineLevel="0" collapsed="false">
      <c r="A3242" s="10" t="s">
        <v>7608</v>
      </c>
      <c r="B3242" s="10" t="s">
        <v>45</v>
      </c>
      <c r="C3242" s="8" t="s">
        <v>7609</v>
      </c>
      <c r="D3242" s="8" t="s">
        <v>7610</v>
      </c>
      <c r="E3242" s="11" t="n">
        <v>183</v>
      </c>
      <c r="F3242" s="8" t="str">
        <f aca="false">IFERROR(INDEX(Section_Master!$D$2:$D$477,MATCH($E3242,Section_Master!$A$2:$A$477,0))&amp;"","")</f>
        <v>Imprisonment up to 3 years, or fine, or both</v>
      </c>
      <c r="G3242" s="10" t="str">
        <f aca="false">IFERROR(INDEX(Section_Master!$E$2:$E$477,MATCH($E3242,Section_Master!$A$2:$A$477,0))&amp;"","")</f>
        <v>No</v>
      </c>
      <c r="H3242" s="10" t="str">
        <f aca="false">IFERROR(INDEX(Section_Master!$F$2:$F$477,MATCH($E3242,Section_Master!$A$2:$A$477,0))&amp;"","")</f>
        <v>Yes</v>
      </c>
      <c r="I3242" s="10" t="str">
        <f aca="false">IFERROR(INDEX(Section_Master!$G$2:$G$477,MATCH($E3242,Section_Master!$A$2:$A$477,0))&amp;"","")</f>
        <v>No</v>
      </c>
      <c r="J3242" s="10" t="s">
        <v>48</v>
      </c>
      <c r="K3242" s="8" t="s">
        <v>7611</v>
      </c>
    </row>
    <row r="3243" customFormat="false" ht="45.75" hidden="false" customHeight="true" outlineLevel="0" collapsed="false">
      <c r="A3243" s="10" t="s">
        <v>7612</v>
      </c>
      <c r="B3243" s="10" t="s">
        <v>45</v>
      </c>
      <c r="C3243" s="8" t="s">
        <v>7609</v>
      </c>
      <c r="D3243" s="8" t="s">
        <v>7613</v>
      </c>
      <c r="E3243" s="11" t="n">
        <v>183</v>
      </c>
      <c r="F3243" s="8" t="str">
        <f aca="false">IFERROR(INDEX(Section_Master!$D$2:$D$477,MATCH($E3243,Section_Master!$A$2:$A$477,0))&amp;"","")</f>
        <v>Imprisonment up to 3 years, or fine, or both</v>
      </c>
      <c r="G3243" s="10" t="str">
        <f aca="false">IFERROR(INDEX(Section_Master!$E$2:$E$477,MATCH($E3243,Section_Master!$A$2:$A$477,0))&amp;"","")</f>
        <v>No</v>
      </c>
      <c r="H3243" s="10" t="str">
        <f aca="false">IFERROR(INDEX(Section_Master!$F$2:$F$477,MATCH($E3243,Section_Master!$A$2:$A$477,0))&amp;"","")</f>
        <v>Yes</v>
      </c>
      <c r="I3243" s="10" t="str">
        <f aca="false">IFERROR(INDEX(Section_Master!$G$2:$G$477,MATCH($E3243,Section_Master!$A$2:$A$477,0))&amp;"","")</f>
        <v>No</v>
      </c>
      <c r="J3243" s="10" t="s">
        <v>52</v>
      </c>
      <c r="K3243" s="8" t="s">
        <v>7611</v>
      </c>
    </row>
    <row r="3244" customFormat="false" ht="34.5" hidden="false" customHeight="true" outlineLevel="0" collapsed="false">
      <c r="A3244" s="10" t="s">
        <v>7614</v>
      </c>
      <c r="B3244" s="10" t="s">
        <v>45</v>
      </c>
      <c r="C3244" s="8" t="s">
        <v>7609</v>
      </c>
      <c r="D3244" s="8" t="s">
        <v>7615</v>
      </c>
      <c r="E3244" s="11" t="n">
        <v>183</v>
      </c>
      <c r="F3244" s="8" t="str">
        <f aca="false">IFERROR(INDEX(Section_Master!$D$2:$D$477,MATCH($E3244,Section_Master!$A$2:$A$477,0))&amp;"","")</f>
        <v>Imprisonment up to 3 years, or fine, or both</v>
      </c>
      <c r="G3244" s="10" t="str">
        <f aca="false">IFERROR(INDEX(Section_Master!$E$2:$E$477,MATCH($E3244,Section_Master!$A$2:$A$477,0))&amp;"","")</f>
        <v>No</v>
      </c>
      <c r="H3244" s="10" t="str">
        <f aca="false">IFERROR(INDEX(Section_Master!$F$2:$F$477,MATCH($E3244,Section_Master!$A$2:$A$477,0))&amp;"","")</f>
        <v>Yes</v>
      </c>
      <c r="I3244" s="10" t="str">
        <f aca="false">IFERROR(INDEX(Section_Master!$G$2:$G$477,MATCH($E3244,Section_Master!$A$2:$A$477,0))&amp;"","")</f>
        <v>No</v>
      </c>
      <c r="J3244" s="10" t="s">
        <v>55</v>
      </c>
      <c r="K3244" s="8" t="s">
        <v>7611</v>
      </c>
    </row>
    <row r="3245" customFormat="false" ht="23.25" hidden="false" customHeight="true" outlineLevel="0" collapsed="false">
      <c r="A3245" s="10" t="s">
        <v>7616</v>
      </c>
      <c r="B3245" s="10" t="s">
        <v>45</v>
      </c>
      <c r="C3245" s="8" t="s">
        <v>7609</v>
      </c>
      <c r="D3245" s="8" t="s">
        <v>7617</v>
      </c>
      <c r="E3245" s="11" t="n">
        <v>183</v>
      </c>
      <c r="F3245" s="8" t="str">
        <f aca="false">IFERROR(INDEX(Section_Master!$D$2:$D$477,MATCH($E3245,Section_Master!$A$2:$A$477,0))&amp;"","")</f>
        <v>Imprisonment up to 3 years, or fine, or both</v>
      </c>
      <c r="G3245" s="10" t="str">
        <f aca="false">IFERROR(INDEX(Section_Master!$E$2:$E$477,MATCH($E3245,Section_Master!$A$2:$A$477,0))&amp;"","")</f>
        <v>No</v>
      </c>
      <c r="H3245" s="10" t="str">
        <f aca="false">IFERROR(INDEX(Section_Master!$F$2:$F$477,MATCH($E3245,Section_Master!$A$2:$A$477,0))&amp;"","")</f>
        <v>Yes</v>
      </c>
      <c r="I3245" s="10" t="str">
        <f aca="false">IFERROR(INDEX(Section_Master!$G$2:$G$477,MATCH($E3245,Section_Master!$A$2:$A$477,0))&amp;"","")</f>
        <v>No</v>
      </c>
      <c r="J3245" s="10" t="s">
        <v>58</v>
      </c>
      <c r="K3245" s="8" t="s">
        <v>7611</v>
      </c>
    </row>
    <row r="3246" customFormat="false" ht="34.5" hidden="false" customHeight="true" outlineLevel="0" collapsed="false">
      <c r="A3246" s="10" t="s">
        <v>7618</v>
      </c>
      <c r="B3246" s="10" t="s">
        <v>45</v>
      </c>
      <c r="C3246" s="8" t="s">
        <v>7609</v>
      </c>
      <c r="D3246" s="8" t="s">
        <v>7619</v>
      </c>
      <c r="E3246" s="11" t="n">
        <v>183</v>
      </c>
      <c r="F3246" s="8" t="str">
        <f aca="false">IFERROR(INDEX(Section_Master!$D$2:$D$477,MATCH($E3246,Section_Master!$A$2:$A$477,0))&amp;"","")</f>
        <v>Imprisonment up to 3 years, or fine, or both</v>
      </c>
      <c r="G3246" s="10" t="str">
        <f aca="false">IFERROR(INDEX(Section_Master!$E$2:$E$477,MATCH($E3246,Section_Master!$A$2:$A$477,0))&amp;"","")</f>
        <v>No</v>
      </c>
      <c r="H3246" s="10" t="str">
        <f aca="false">IFERROR(INDEX(Section_Master!$F$2:$F$477,MATCH($E3246,Section_Master!$A$2:$A$477,0))&amp;"","")</f>
        <v>Yes</v>
      </c>
      <c r="I3246" s="10" t="str">
        <f aca="false">IFERROR(INDEX(Section_Master!$G$2:$G$477,MATCH($E3246,Section_Master!$A$2:$A$477,0))&amp;"","")</f>
        <v>No</v>
      </c>
      <c r="J3246" s="10" t="s">
        <v>61</v>
      </c>
      <c r="K3246" s="8" t="s">
        <v>7611</v>
      </c>
    </row>
    <row r="3247" customFormat="false" ht="45.75" hidden="false" customHeight="true" outlineLevel="0" collapsed="false">
      <c r="A3247" s="10" t="s">
        <v>7620</v>
      </c>
      <c r="B3247" s="10" t="s">
        <v>45</v>
      </c>
      <c r="C3247" s="8" t="s">
        <v>7609</v>
      </c>
      <c r="D3247" s="8" t="s">
        <v>7621</v>
      </c>
      <c r="E3247" s="11" t="n">
        <v>183</v>
      </c>
      <c r="F3247" s="8" t="str">
        <f aca="false">IFERROR(INDEX(Section_Master!$D$2:$D$477,MATCH($E3247,Section_Master!$A$2:$A$477,0))&amp;"","")</f>
        <v>Imprisonment up to 3 years, or fine, or both</v>
      </c>
      <c r="G3247" s="10" t="str">
        <f aca="false">IFERROR(INDEX(Section_Master!$E$2:$E$477,MATCH($E3247,Section_Master!$A$2:$A$477,0))&amp;"","")</f>
        <v>No</v>
      </c>
      <c r="H3247" s="10" t="str">
        <f aca="false">IFERROR(INDEX(Section_Master!$F$2:$F$477,MATCH($E3247,Section_Master!$A$2:$A$477,0))&amp;"","")</f>
        <v>Yes</v>
      </c>
      <c r="I3247" s="10" t="str">
        <f aca="false">IFERROR(INDEX(Section_Master!$G$2:$G$477,MATCH($E3247,Section_Master!$A$2:$A$477,0))&amp;"","")</f>
        <v>No</v>
      </c>
      <c r="J3247" s="10" t="s">
        <v>64</v>
      </c>
      <c r="K3247" s="8" t="s">
        <v>7611</v>
      </c>
    </row>
    <row r="3248" customFormat="false" ht="34.5" hidden="false" customHeight="true" outlineLevel="0" collapsed="false">
      <c r="A3248" s="10" t="s">
        <v>7622</v>
      </c>
      <c r="B3248" s="10" t="s">
        <v>45</v>
      </c>
      <c r="C3248" s="8" t="s">
        <v>7623</v>
      </c>
      <c r="D3248" s="8" t="s">
        <v>7624</v>
      </c>
      <c r="E3248" s="11" t="n">
        <v>184</v>
      </c>
      <c r="F3248" s="8" t="str">
        <f aca="false">IFERROR(INDEX(Section_Master!$D$2:$D$477,MATCH($E3248,Section_Master!$A$2:$A$477,0))&amp;"","")</f>
        <v>Imprisonment up to 2 years, or fine, or both</v>
      </c>
      <c r="G3248" s="10" t="str">
        <f aca="false">IFERROR(INDEX(Section_Master!$E$2:$E$477,MATCH($E3248,Section_Master!$A$2:$A$477,0))&amp;"","")</f>
        <v>No</v>
      </c>
      <c r="H3248" s="10" t="str">
        <f aca="false">IFERROR(INDEX(Section_Master!$F$2:$F$477,MATCH($E3248,Section_Master!$A$2:$A$477,0))&amp;"","")</f>
        <v>Yes</v>
      </c>
      <c r="I3248" s="10" t="str">
        <f aca="false">IFERROR(INDEX(Section_Master!$G$2:$G$477,MATCH($E3248,Section_Master!$A$2:$A$477,0))&amp;"","")</f>
        <v>No</v>
      </c>
      <c r="J3248" s="10" t="s">
        <v>48</v>
      </c>
      <c r="K3248" s="8" t="s">
        <v>7625</v>
      </c>
    </row>
    <row r="3249" customFormat="false" ht="34.5" hidden="false" customHeight="true" outlineLevel="0" collapsed="false">
      <c r="A3249" s="10" t="s">
        <v>7626</v>
      </c>
      <c r="B3249" s="10" t="s">
        <v>45</v>
      </c>
      <c r="C3249" s="8" t="s">
        <v>7623</v>
      </c>
      <c r="D3249" s="8" t="s">
        <v>7627</v>
      </c>
      <c r="E3249" s="11" t="n">
        <v>184</v>
      </c>
      <c r="F3249" s="8" t="str">
        <f aca="false">IFERROR(INDEX(Section_Master!$D$2:$D$477,MATCH($E3249,Section_Master!$A$2:$A$477,0))&amp;"","")</f>
        <v>Imprisonment up to 2 years, or fine, or both</v>
      </c>
      <c r="G3249" s="10" t="str">
        <f aca="false">IFERROR(INDEX(Section_Master!$E$2:$E$477,MATCH($E3249,Section_Master!$A$2:$A$477,0))&amp;"","")</f>
        <v>No</v>
      </c>
      <c r="H3249" s="10" t="str">
        <f aca="false">IFERROR(INDEX(Section_Master!$F$2:$F$477,MATCH($E3249,Section_Master!$A$2:$A$477,0))&amp;"","")</f>
        <v>Yes</v>
      </c>
      <c r="I3249" s="10" t="str">
        <f aca="false">IFERROR(INDEX(Section_Master!$G$2:$G$477,MATCH($E3249,Section_Master!$A$2:$A$477,0))&amp;"","")</f>
        <v>No</v>
      </c>
      <c r="J3249" s="10" t="s">
        <v>52</v>
      </c>
      <c r="K3249" s="8" t="s">
        <v>7625</v>
      </c>
    </row>
    <row r="3250" customFormat="false" ht="34.5" hidden="false" customHeight="true" outlineLevel="0" collapsed="false">
      <c r="A3250" s="10" t="s">
        <v>7628</v>
      </c>
      <c r="B3250" s="10" t="s">
        <v>45</v>
      </c>
      <c r="C3250" s="8" t="s">
        <v>7623</v>
      </c>
      <c r="D3250" s="8" t="s">
        <v>7629</v>
      </c>
      <c r="E3250" s="11" t="n">
        <v>184</v>
      </c>
      <c r="F3250" s="8" t="str">
        <f aca="false">IFERROR(INDEX(Section_Master!$D$2:$D$477,MATCH($E3250,Section_Master!$A$2:$A$477,0))&amp;"","")</f>
        <v>Imprisonment up to 2 years, or fine, or both</v>
      </c>
      <c r="G3250" s="10" t="str">
        <f aca="false">IFERROR(INDEX(Section_Master!$E$2:$E$477,MATCH($E3250,Section_Master!$A$2:$A$477,0))&amp;"","")</f>
        <v>No</v>
      </c>
      <c r="H3250" s="10" t="str">
        <f aca="false">IFERROR(INDEX(Section_Master!$F$2:$F$477,MATCH($E3250,Section_Master!$A$2:$A$477,0))&amp;"","")</f>
        <v>Yes</v>
      </c>
      <c r="I3250" s="10" t="str">
        <f aca="false">IFERROR(INDEX(Section_Master!$G$2:$G$477,MATCH($E3250,Section_Master!$A$2:$A$477,0))&amp;"","")</f>
        <v>No</v>
      </c>
      <c r="J3250" s="10" t="s">
        <v>55</v>
      </c>
      <c r="K3250" s="8" t="s">
        <v>7625</v>
      </c>
    </row>
    <row r="3251" customFormat="false" ht="23.25" hidden="false" customHeight="true" outlineLevel="0" collapsed="false">
      <c r="A3251" s="10" t="s">
        <v>7630</v>
      </c>
      <c r="B3251" s="10" t="s">
        <v>45</v>
      </c>
      <c r="C3251" s="8" t="s">
        <v>7623</v>
      </c>
      <c r="D3251" s="8" t="s">
        <v>7631</v>
      </c>
      <c r="E3251" s="11" t="n">
        <v>184</v>
      </c>
      <c r="F3251" s="8" t="str">
        <f aca="false">IFERROR(INDEX(Section_Master!$D$2:$D$477,MATCH($E3251,Section_Master!$A$2:$A$477,0))&amp;"","")</f>
        <v>Imprisonment up to 2 years, or fine, or both</v>
      </c>
      <c r="G3251" s="10" t="str">
        <f aca="false">IFERROR(INDEX(Section_Master!$E$2:$E$477,MATCH($E3251,Section_Master!$A$2:$A$477,0))&amp;"","")</f>
        <v>No</v>
      </c>
      <c r="H3251" s="10" t="str">
        <f aca="false">IFERROR(INDEX(Section_Master!$F$2:$F$477,MATCH($E3251,Section_Master!$A$2:$A$477,0))&amp;"","")</f>
        <v>Yes</v>
      </c>
      <c r="I3251" s="10" t="str">
        <f aca="false">IFERROR(INDEX(Section_Master!$G$2:$G$477,MATCH($E3251,Section_Master!$A$2:$A$477,0))&amp;"","")</f>
        <v>No</v>
      </c>
      <c r="J3251" s="10" t="s">
        <v>58</v>
      </c>
      <c r="K3251" s="8" t="s">
        <v>7625</v>
      </c>
    </row>
    <row r="3252" customFormat="false" ht="34.5" hidden="false" customHeight="true" outlineLevel="0" collapsed="false">
      <c r="A3252" s="10" t="s">
        <v>7632</v>
      </c>
      <c r="B3252" s="10" t="s">
        <v>45</v>
      </c>
      <c r="C3252" s="8" t="s">
        <v>7623</v>
      </c>
      <c r="D3252" s="8" t="s">
        <v>7633</v>
      </c>
      <c r="E3252" s="11" t="n">
        <v>184</v>
      </c>
      <c r="F3252" s="8" t="str">
        <f aca="false">IFERROR(INDEX(Section_Master!$D$2:$D$477,MATCH($E3252,Section_Master!$A$2:$A$477,0))&amp;"","")</f>
        <v>Imprisonment up to 2 years, or fine, or both</v>
      </c>
      <c r="G3252" s="10" t="str">
        <f aca="false">IFERROR(INDEX(Section_Master!$E$2:$E$477,MATCH($E3252,Section_Master!$A$2:$A$477,0))&amp;"","")</f>
        <v>No</v>
      </c>
      <c r="H3252" s="10" t="str">
        <f aca="false">IFERROR(INDEX(Section_Master!$F$2:$F$477,MATCH($E3252,Section_Master!$A$2:$A$477,0))&amp;"","")</f>
        <v>Yes</v>
      </c>
      <c r="I3252" s="10" t="str">
        <f aca="false">IFERROR(INDEX(Section_Master!$G$2:$G$477,MATCH($E3252,Section_Master!$A$2:$A$477,0))&amp;"","")</f>
        <v>No</v>
      </c>
      <c r="J3252" s="10" t="s">
        <v>61</v>
      </c>
      <c r="K3252" s="8" t="s">
        <v>7625</v>
      </c>
    </row>
    <row r="3253" customFormat="false" ht="34.5" hidden="false" customHeight="true" outlineLevel="0" collapsed="false">
      <c r="A3253" s="10" t="s">
        <v>7634</v>
      </c>
      <c r="B3253" s="10" t="s">
        <v>45</v>
      </c>
      <c r="C3253" s="8" t="s">
        <v>7623</v>
      </c>
      <c r="D3253" s="8" t="s">
        <v>7635</v>
      </c>
      <c r="E3253" s="11" t="n">
        <v>184</v>
      </c>
      <c r="F3253" s="8" t="str">
        <f aca="false">IFERROR(INDEX(Section_Master!$D$2:$D$477,MATCH($E3253,Section_Master!$A$2:$A$477,0))&amp;"","")</f>
        <v>Imprisonment up to 2 years, or fine, or both</v>
      </c>
      <c r="G3253" s="10" t="str">
        <f aca="false">IFERROR(INDEX(Section_Master!$E$2:$E$477,MATCH($E3253,Section_Master!$A$2:$A$477,0))&amp;"","")</f>
        <v>No</v>
      </c>
      <c r="H3253" s="10" t="str">
        <f aca="false">IFERROR(INDEX(Section_Master!$F$2:$F$477,MATCH($E3253,Section_Master!$A$2:$A$477,0))&amp;"","")</f>
        <v>Yes</v>
      </c>
      <c r="I3253" s="10" t="str">
        <f aca="false">IFERROR(INDEX(Section_Master!$G$2:$G$477,MATCH($E3253,Section_Master!$A$2:$A$477,0))&amp;"","")</f>
        <v>No</v>
      </c>
      <c r="J3253" s="10" t="s">
        <v>64</v>
      </c>
      <c r="K3253" s="8" t="s">
        <v>7625</v>
      </c>
    </row>
    <row r="3254" customFormat="false" ht="34.5" hidden="false" customHeight="true" outlineLevel="0" collapsed="false">
      <c r="A3254" s="10" t="s">
        <v>7636</v>
      </c>
      <c r="B3254" s="10" t="s">
        <v>45</v>
      </c>
      <c r="C3254" s="8" t="s">
        <v>7637</v>
      </c>
      <c r="D3254" s="8" t="s">
        <v>7638</v>
      </c>
      <c r="E3254" s="11" t="n">
        <v>185</v>
      </c>
      <c r="F3254" s="8" t="str">
        <f aca="false">IFERROR(INDEX(Section_Master!$D$2:$D$477,MATCH($E3254,Section_Master!$A$2:$A$477,0))&amp;"","")</f>
        <v>Imprisonment up to 6 months, or fine, or both</v>
      </c>
      <c r="G3254" s="10" t="str">
        <f aca="false">IFERROR(INDEX(Section_Master!$E$2:$E$477,MATCH($E3254,Section_Master!$A$2:$A$477,0))&amp;"","")</f>
        <v>No</v>
      </c>
      <c r="H3254" s="10" t="str">
        <f aca="false">IFERROR(INDEX(Section_Master!$F$2:$F$477,MATCH($E3254,Section_Master!$A$2:$A$477,0))&amp;"","")</f>
        <v>Yes</v>
      </c>
      <c r="I3254" s="10" t="str">
        <f aca="false">IFERROR(INDEX(Section_Master!$G$2:$G$477,MATCH($E3254,Section_Master!$A$2:$A$477,0))&amp;"","")</f>
        <v>No</v>
      </c>
      <c r="J3254" s="10" t="s">
        <v>48</v>
      </c>
      <c r="K3254" s="8" t="s">
        <v>7639</v>
      </c>
    </row>
    <row r="3255" customFormat="false" ht="34.5" hidden="false" customHeight="true" outlineLevel="0" collapsed="false">
      <c r="A3255" s="10" t="s">
        <v>7640</v>
      </c>
      <c r="B3255" s="10" t="s">
        <v>45</v>
      </c>
      <c r="C3255" s="8" t="s">
        <v>7637</v>
      </c>
      <c r="D3255" s="8" t="s">
        <v>7641</v>
      </c>
      <c r="E3255" s="11" t="n">
        <v>185</v>
      </c>
      <c r="F3255" s="8" t="str">
        <f aca="false">IFERROR(INDEX(Section_Master!$D$2:$D$477,MATCH($E3255,Section_Master!$A$2:$A$477,0))&amp;"","")</f>
        <v>Imprisonment up to 6 months, or fine, or both</v>
      </c>
      <c r="G3255" s="10" t="str">
        <f aca="false">IFERROR(INDEX(Section_Master!$E$2:$E$477,MATCH($E3255,Section_Master!$A$2:$A$477,0))&amp;"","")</f>
        <v>No</v>
      </c>
      <c r="H3255" s="10" t="str">
        <f aca="false">IFERROR(INDEX(Section_Master!$F$2:$F$477,MATCH($E3255,Section_Master!$A$2:$A$477,0))&amp;"","")</f>
        <v>Yes</v>
      </c>
      <c r="I3255" s="10" t="str">
        <f aca="false">IFERROR(INDEX(Section_Master!$G$2:$G$477,MATCH($E3255,Section_Master!$A$2:$A$477,0))&amp;"","")</f>
        <v>No</v>
      </c>
      <c r="J3255" s="10" t="s">
        <v>52</v>
      </c>
      <c r="K3255" s="8" t="s">
        <v>7639</v>
      </c>
    </row>
    <row r="3256" customFormat="false" ht="34.5" hidden="false" customHeight="true" outlineLevel="0" collapsed="false">
      <c r="A3256" s="10" t="s">
        <v>7642</v>
      </c>
      <c r="B3256" s="10" t="s">
        <v>45</v>
      </c>
      <c r="C3256" s="8" t="s">
        <v>7637</v>
      </c>
      <c r="D3256" s="8" t="s">
        <v>7643</v>
      </c>
      <c r="E3256" s="11" t="n">
        <v>185</v>
      </c>
      <c r="F3256" s="8" t="str">
        <f aca="false">IFERROR(INDEX(Section_Master!$D$2:$D$477,MATCH($E3256,Section_Master!$A$2:$A$477,0))&amp;"","")</f>
        <v>Imprisonment up to 6 months, or fine, or both</v>
      </c>
      <c r="G3256" s="10" t="str">
        <f aca="false">IFERROR(INDEX(Section_Master!$E$2:$E$477,MATCH($E3256,Section_Master!$A$2:$A$477,0))&amp;"","")</f>
        <v>No</v>
      </c>
      <c r="H3256" s="10" t="str">
        <f aca="false">IFERROR(INDEX(Section_Master!$F$2:$F$477,MATCH($E3256,Section_Master!$A$2:$A$477,0))&amp;"","")</f>
        <v>Yes</v>
      </c>
      <c r="I3256" s="10" t="str">
        <f aca="false">IFERROR(INDEX(Section_Master!$G$2:$G$477,MATCH($E3256,Section_Master!$A$2:$A$477,0))&amp;"","")</f>
        <v>No</v>
      </c>
      <c r="J3256" s="10" t="s">
        <v>55</v>
      </c>
      <c r="K3256" s="8" t="s">
        <v>7639</v>
      </c>
    </row>
    <row r="3257" customFormat="false" ht="23.25" hidden="false" customHeight="true" outlineLevel="0" collapsed="false">
      <c r="A3257" s="10" t="s">
        <v>7644</v>
      </c>
      <c r="B3257" s="10" t="s">
        <v>45</v>
      </c>
      <c r="C3257" s="8" t="s">
        <v>7637</v>
      </c>
      <c r="D3257" s="8" t="s">
        <v>7645</v>
      </c>
      <c r="E3257" s="11" t="n">
        <v>185</v>
      </c>
      <c r="F3257" s="8" t="str">
        <f aca="false">IFERROR(INDEX(Section_Master!$D$2:$D$477,MATCH($E3257,Section_Master!$A$2:$A$477,0))&amp;"","")</f>
        <v>Imprisonment up to 6 months, or fine, or both</v>
      </c>
      <c r="G3257" s="10" t="str">
        <f aca="false">IFERROR(INDEX(Section_Master!$E$2:$E$477,MATCH($E3257,Section_Master!$A$2:$A$477,0))&amp;"","")</f>
        <v>No</v>
      </c>
      <c r="H3257" s="10" t="str">
        <f aca="false">IFERROR(INDEX(Section_Master!$F$2:$F$477,MATCH($E3257,Section_Master!$A$2:$A$477,0))&amp;"","")</f>
        <v>Yes</v>
      </c>
      <c r="I3257" s="10" t="str">
        <f aca="false">IFERROR(INDEX(Section_Master!$G$2:$G$477,MATCH($E3257,Section_Master!$A$2:$A$477,0))&amp;"","")</f>
        <v>No</v>
      </c>
      <c r="J3257" s="10" t="s">
        <v>58</v>
      </c>
      <c r="K3257" s="8" t="s">
        <v>7639</v>
      </c>
    </row>
    <row r="3258" customFormat="false" ht="34.5" hidden="false" customHeight="true" outlineLevel="0" collapsed="false">
      <c r="A3258" s="10" t="s">
        <v>7646</v>
      </c>
      <c r="B3258" s="10" t="s">
        <v>45</v>
      </c>
      <c r="C3258" s="8" t="s">
        <v>7637</v>
      </c>
      <c r="D3258" s="8" t="s">
        <v>7647</v>
      </c>
      <c r="E3258" s="11" t="n">
        <v>185</v>
      </c>
      <c r="F3258" s="8" t="str">
        <f aca="false">IFERROR(INDEX(Section_Master!$D$2:$D$477,MATCH($E3258,Section_Master!$A$2:$A$477,0))&amp;"","")</f>
        <v>Imprisonment up to 6 months, or fine, or both</v>
      </c>
      <c r="G3258" s="10" t="str">
        <f aca="false">IFERROR(INDEX(Section_Master!$E$2:$E$477,MATCH($E3258,Section_Master!$A$2:$A$477,0))&amp;"","")</f>
        <v>No</v>
      </c>
      <c r="H3258" s="10" t="str">
        <f aca="false">IFERROR(INDEX(Section_Master!$F$2:$F$477,MATCH($E3258,Section_Master!$A$2:$A$477,0))&amp;"","")</f>
        <v>Yes</v>
      </c>
      <c r="I3258" s="10" t="str">
        <f aca="false">IFERROR(INDEX(Section_Master!$G$2:$G$477,MATCH($E3258,Section_Master!$A$2:$A$477,0))&amp;"","")</f>
        <v>No</v>
      </c>
      <c r="J3258" s="10" t="s">
        <v>61</v>
      </c>
      <c r="K3258" s="8" t="s">
        <v>7639</v>
      </c>
    </row>
    <row r="3259" customFormat="false" ht="34.5" hidden="false" customHeight="true" outlineLevel="0" collapsed="false">
      <c r="A3259" s="10" t="s">
        <v>7648</v>
      </c>
      <c r="B3259" s="10" t="s">
        <v>45</v>
      </c>
      <c r="C3259" s="8" t="s">
        <v>7637</v>
      </c>
      <c r="D3259" s="8" t="s">
        <v>7649</v>
      </c>
      <c r="E3259" s="11" t="n">
        <v>185</v>
      </c>
      <c r="F3259" s="8" t="str">
        <f aca="false">IFERROR(INDEX(Section_Master!$D$2:$D$477,MATCH($E3259,Section_Master!$A$2:$A$477,0))&amp;"","")</f>
        <v>Imprisonment up to 6 months, or fine, or both</v>
      </c>
      <c r="G3259" s="10" t="str">
        <f aca="false">IFERROR(INDEX(Section_Master!$E$2:$E$477,MATCH($E3259,Section_Master!$A$2:$A$477,0))&amp;"","")</f>
        <v>No</v>
      </c>
      <c r="H3259" s="10" t="str">
        <f aca="false">IFERROR(INDEX(Section_Master!$F$2:$F$477,MATCH($E3259,Section_Master!$A$2:$A$477,0))&amp;"","")</f>
        <v>Yes</v>
      </c>
      <c r="I3259" s="10" t="str">
        <f aca="false">IFERROR(INDEX(Section_Master!$G$2:$G$477,MATCH($E3259,Section_Master!$A$2:$A$477,0))&amp;"","")</f>
        <v>No</v>
      </c>
      <c r="J3259" s="10" t="s">
        <v>64</v>
      </c>
      <c r="K3259" s="8" t="s">
        <v>7639</v>
      </c>
    </row>
    <row r="3260" customFormat="false" ht="34.5" hidden="false" customHeight="true" outlineLevel="0" collapsed="false">
      <c r="A3260" s="10" t="s">
        <v>7650</v>
      </c>
      <c r="B3260" s="10" t="s">
        <v>45</v>
      </c>
      <c r="C3260" s="8" t="s">
        <v>7651</v>
      </c>
      <c r="D3260" s="8" t="s">
        <v>7652</v>
      </c>
      <c r="E3260" s="11" t="n">
        <v>186</v>
      </c>
      <c r="F3260" s="8" t="str">
        <f aca="false">IFERROR(INDEX(Section_Master!$D$2:$D$477,MATCH($E3260,Section_Master!$A$2:$A$477,0))&amp;"","")</f>
        <v>Fine</v>
      </c>
      <c r="G3260" s="10" t="str">
        <f aca="false">IFERROR(INDEX(Section_Master!$E$2:$E$477,MATCH($E3260,Section_Master!$A$2:$A$477,0))&amp;"","")</f>
        <v>No</v>
      </c>
      <c r="H3260" s="10" t="str">
        <f aca="false">IFERROR(INDEX(Section_Master!$F$2:$F$477,MATCH($E3260,Section_Master!$A$2:$A$477,0))&amp;"","")</f>
        <v>Yes</v>
      </c>
      <c r="I3260" s="10" t="str">
        <f aca="false">IFERROR(INDEX(Section_Master!$G$2:$G$477,MATCH($E3260,Section_Master!$A$2:$A$477,0))&amp;"","")</f>
        <v>No</v>
      </c>
      <c r="J3260" s="10" t="s">
        <v>48</v>
      </c>
      <c r="K3260" s="8" t="s">
        <v>7653</v>
      </c>
    </row>
    <row r="3261" customFormat="false" ht="34.5" hidden="false" customHeight="true" outlineLevel="0" collapsed="false">
      <c r="A3261" s="10" t="s">
        <v>7654</v>
      </c>
      <c r="B3261" s="10" t="s">
        <v>45</v>
      </c>
      <c r="C3261" s="8" t="s">
        <v>7651</v>
      </c>
      <c r="D3261" s="8" t="s">
        <v>7655</v>
      </c>
      <c r="E3261" s="11" t="n">
        <v>186</v>
      </c>
      <c r="F3261" s="8" t="str">
        <f aca="false">IFERROR(INDEX(Section_Master!$D$2:$D$477,MATCH($E3261,Section_Master!$A$2:$A$477,0))&amp;"","")</f>
        <v>Fine</v>
      </c>
      <c r="G3261" s="10" t="str">
        <f aca="false">IFERROR(INDEX(Section_Master!$E$2:$E$477,MATCH($E3261,Section_Master!$A$2:$A$477,0))&amp;"","")</f>
        <v>No</v>
      </c>
      <c r="H3261" s="10" t="str">
        <f aca="false">IFERROR(INDEX(Section_Master!$F$2:$F$477,MATCH($E3261,Section_Master!$A$2:$A$477,0))&amp;"","")</f>
        <v>Yes</v>
      </c>
      <c r="I3261" s="10" t="str">
        <f aca="false">IFERROR(INDEX(Section_Master!$G$2:$G$477,MATCH($E3261,Section_Master!$A$2:$A$477,0))&amp;"","")</f>
        <v>No</v>
      </c>
      <c r="J3261" s="10" t="s">
        <v>52</v>
      </c>
      <c r="K3261" s="8" t="s">
        <v>7653</v>
      </c>
    </row>
    <row r="3262" customFormat="false" ht="34.5" hidden="false" customHeight="true" outlineLevel="0" collapsed="false">
      <c r="A3262" s="10" t="s">
        <v>7656</v>
      </c>
      <c r="B3262" s="10" t="s">
        <v>45</v>
      </c>
      <c r="C3262" s="8" t="s">
        <v>7651</v>
      </c>
      <c r="D3262" s="8" t="s">
        <v>7657</v>
      </c>
      <c r="E3262" s="11" t="n">
        <v>186</v>
      </c>
      <c r="F3262" s="8" t="str">
        <f aca="false">IFERROR(INDEX(Section_Master!$D$2:$D$477,MATCH($E3262,Section_Master!$A$2:$A$477,0))&amp;"","")</f>
        <v>Fine</v>
      </c>
      <c r="G3262" s="10" t="str">
        <f aca="false">IFERROR(INDEX(Section_Master!$E$2:$E$477,MATCH($E3262,Section_Master!$A$2:$A$477,0))&amp;"","")</f>
        <v>No</v>
      </c>
      <c r="H3262" s="10" t="str">
        <f aca="false">IFERROR(INDEX(Section_Master!$F$2:$F$477,MATCH($E3262,Section_Master!$A$2:$A$477,0))&amp;"","")</f>
        <v>Yes</v>
      </c>
      <c r="I3262" s="10" t="str">
        <f aca="false">IFERROR(INDEX(Section_Master!$G$2:$G$477,MATCH($E3262,Section_Master!$A$2:$A$477,0))&amp;"","")</f>
        <v>No</v>
      </c>
      <c r="J3262" s="10" t="s">
        <v>55</v>
      </c>
      <c r="K3262" s="8" t="s">
        <v>7653</v>
      </c>
    </row>
    <row r="3263" customFormat="false" ht="34.5" hidden="false" customHeight="true" outlineLevel="0" collapsed="false">
      <c r="A3263" s="10" t="s">
        <v>7658</v>
      </c>
      <c r="B3263" s="10" t="s">
        <v>45</v>
      </c>
      <c r="C3263" s="8" t="s">
        <v>7651</v>
      </c>
      <c r="D3263" s="8" t="s">
        <v>7659</v>
      </c>
      <c r="E3263" s="11" t="n">
        <v>186</v>
      </c>
      <c r="F3263" s="8" t="str">
        <f aca="false">IFERROR(INDEX(Section_Master!$D$2:$D$477,MATCH($E3263,Section_Master!$A$2:$A$477,0))&amp;"","")</f>
        <v>Fine</v>
      </c>
      <c r="G3263" s="10" t="str">
        <f aca="false">IFERROR(INDEX(Section_Master!$E$2:$E$477,MATCH($E3263,Section_Master!$A$2:$A$477,0))&amp;"","")</f>
        <v>No</v>
      </c>
      <c r="H3263" s="10" t="str">
        <f aca="false">IFERROR(INDEX(Section_Master!$F$2:$F$477,MATCH($E3263,Section_Master!$A$2:$A$477,0))&amp;"","")</f>
        <v>Yes</v>
      </c>
      <c r="I3263" s="10" t="str">
        <f aca="false">IFERROR(INDEX(Section_Master!$G$2:$G$477,MATCH($E3263,Section_Master!$A$2:$A$477,0))&amp;"","")</f>
        <v>No</v>
      </c>
      <c r="J3263" s="10" t="s">
        <v>58</v>
      </c>
      <c r="K3263" s="8" t="s">
        <v>7653</v>
      </c>
    </row>
    <row r="3264" customFormat="false" ht="34.5" hidden="false" customHeight="true" outlineLevel="0" collapsed="false">
      <c r="A3264" s="10" t="s">
        <v>7660</v>
      </c>
      <c r="B3264" s="10" t="s">
        <v>45</v>
      </c>
      <c r="C3264" s="8" t="s">
        <v>7651</v>
      </c>
      <c r="D3264" s="8" t="s">
        <v>7661</v>
      </c>
      <c r="E3264" s="11" t="n">
        <v>186</v>
      </c>
      <c r="F3264" s="8" t="str">
        <f aca="false">IFERROR(INDEX(Section_Master!$D$2:$D$477,MATCH($E3264,Section_Master!$A$2:$A$477,0))&amp;"","")</f>
        <v>Fine</v>
      </c>
      <c r="G3264" s="10" t="str">
        <f aca="false">IFERROR(INDEX(Section_Master!$E$2:$E$477,MATCH($E3264,Section_Master!$A$2:$A$477,0))&amp;"","")</f>
        <v>No</v>
      </c>
      <c r="H3264" s="10" t="str">
        <f aca="false">IFERROR(INDEX(Section_Master!$F$2:$F$477,MATCH($E3264,Section_Master!$A$2:$A$477,0))&amp;"","")</f>
        <v>Yes</v>
      </c>
      <c r="I3264" s="10" t="str">
        <f aca="false">IFERROR(INDEX(Section_Master!$G$2:$G$477,MATCH($E3264,Section_Master!$A$2:$A$477,0))&amp;"","")</f>
        <v>No</v>
      </c>
      <c r="J3264" s="10" t="s">
        <v>61</v>
      </c>
      <c r="K3264" s="8" t="s">
        <v>7653</v>
      </c>
    </row>
    <row r="3265" customFormat="false" ht="34.5" hidden="false" customHeight="true" outlineLevel="0" collapsed="false">
      <c r="A3265" s="10" t="s">
        <v>7662</v>
      </c>
      <c r="B3265" s="10" t="s">
        <v>45</v>
      </c>
      <c r="C3265" s="8" t="s">
        <v>7651</v>
      </c>
      <c r="D3265" s="8" t="s">
        <v>7663</v>
      </c>
      <c r="E3265" s="11" t="n">
        <v>186</v>
      </c>
      <c r="F3265" s="8" t="str">
        <f aca="false">IFERROR(INDEX(Section_Master!$D$2:$D$477,MATCH($E3265,Section_Master!$A$2:$A$477,0))&amp;"","")</f>
        <v>Fine</v>
      </c>
      <c r="G3265" s="10" t="str">
        <f aca="false">IFERROR(INDEX(Section_Master!$E$2:$E$477,MATCH($E3265,Section_Master!$A$2:$A$477,0))&amp;"","")</f>
        <v>No</v>
      </c>
      <c r="H3265" s="10" t="str">
        <f aca="false">IFERROR(INDEX(Section_Master!$F$2:$F$477,MATCH($E3265,Section_Master!$A$2:$A$477,0))&amp;"","")</f>
        <v>Yes</v>
      </c>
      <c r="I3265" s="10" t="str">
        <f aca="false">IFERROR(INDEX(Section_Master!$G$2:$G$477,MATCH($E3265,Section_Master!$A$2:$A$477,0))&amp;"","")</f>
        <v>No</v>
      </c>
      <c r="J3265" s="10" t="s">
        <v>64</v>
      </c>
      <c r="K3265" s="8" t="s">
        <v>7653</v>
      </c>
    </row>
    <row r="3266" customFormat="false" ht="34.5" hidden="false" customHeight="true" outlineLevel="0" collapsed="false">
      <c r="A3266" s="10" t="s">
        <v>7664</v>
      </c>
      <c r="B3266" s="10" t="s">
        <v>45</v>
      </c>
      <c r="C3266" s="8" t="s">
        <v>7665</v>
      </c>
      <c r="D3266" s="8" t="s">
        <v>7666</v>
      </c>
      <c r="E3266" s="11" t="n">
        <v>187</v>
      </c>
      <c r="F3266" s="8" t="str">
        <f aca="false">IFERROR(INDEX(Section_Master!$D$2:$D$477,MATCH($E3266,Section_Master!$A$2:$A$477,0))&amp;"","")</f>
        <v>Imprisonment up to 7 years and fine</v>
      </c>
      <c r="G3266" s="10" t="str">
        <f aca="false">IFERROR(INDEX(Section_Master!$E$2:$E$477,MATCH($E3266,Section_Master!$A$2:$A$477,0))&amp;"","")</f>
        <v>Yes</v>
      </c>
      <c r="H3266" s="10" t="str">
        <f aca="false">IFERROR(INDEX(Section_Master!$F$2:$F$477,MATCH($E3266,Section_Master!$A$2:$A$477,0))&amp;"","")</f>
        <v>No</v>
      </c>
      <c r="I3266" s="10" t="str">
        <f aca="false">IFERROR(INDEX(Section_Master!$G$2:$G$477,MATCH($E3266,Section_Master!$A$2:$A$477,0))&amp;"","")</f>
        <v>No</v>
      </c>
      <c r="J3266" s="10" t="s">
        <v>48</v>
      </c>
      <c r="K3266" s="8" t="s">
        <v>7667</v>
      </c>
    </row>
    <row r="3267" customFormat="false" ht="34.5" hidden="false" customHeight="true" outlineLevel="0" collapsed="false">
      <c r="A3267" s="10" t="s">
        <v>7668</v>
      </c>
      <c r="B3267" s="10" t="s">
        <v>45</v>
      </c>
      <c r="C3267" s="8" t="s">
        <v>7665</v>
      </c>
      <c r="D3267" s="8" t="s">
        <v>7669</v>
      </c>
      <c r="E3267" s="11" t="n">
        <v>187</v>
      </c>
      <c r="F3267" s="8" t="str">
        <f aca="false">IFERROR(INDEX(Section_Master!$D$2:$D$477,MATCH($E3267,Section_Master!$A$2:$A$477,0))&amp;"","")</f>
        <v>Imprisonment up to 7 years and fine</v>
      </c>
      <c r="G3267" s="10" t="str">
        <f aca="false">IFERROR(INDEX(Section_Master!$E$2:$E$477,MATCH($E3267,Section_Master!$A$2:$A$477,0))&amp;"","")</f>
        <v>Yes</v>
      </c>
      <c r="H3267" s="10" t="str">
        <f aca="false">IFERROR(INDEX(Section_Master!$F$2:$F$477,MATCH($E3267,Section_Master!$A$2:$A$477,0))&amp;"","")</f>
        <v>No</v>
      </c>
      <c r="I3267" s="10" t="str">
        <f aca="false">IFERROR(INDEX(Section_Master!$G$2:$G$477,MATCH($E3267,Section_Master!$A$2:$A$477,0))&amp;"","")</f>
        <v>No</v>
      </c>
      <c r="J3267" s="10" t="s">
        <v>52</v>
      </c>
      <c r="K3267" s="8" t="s">
        <v>7667</v>
      </c>
    </row>
    <row r="3268" customFormat="false" ht="34.5" hidden="false" customHeight="true" outlineLevel="0" collapsed="false">
      <c r="A3268" s="10" t="s">
        <v>7670</v>
      </c>
      <c r="B3268" s="10" t="s">
        <v>45</v>
      </c>
      <c r="C3268" s="8" t="s">
        <v>7665</v>
      </c>
      <c r="D3268" s="8" t="s">
        <v>7671</v>
      </c>
      <c r="E3268" s="11" t="n">
        <v>187</v>
      </c>
      <c r="F3268" s="8" t="str">
        <f aca="false">IFERROR(INDEX(Section_Master!$D$2:$D$477,MATCH($E3268,Section_Master!$A$2:$A$477,0))&amp;"","")</f>
        <v>Imprisonment up to 7 years and fine</v>
      </c>
      <c r="G3268" s="10" t="str">
        <f aca="false">IFERROR(INDEX(Section_Master!$E$2:$E$477,MATCH($E3268,Section_Master!$A$2:$A$477,0))&amp;"","")</f>
        <v>Yes</v>
      </c>
      <c r="H3268" s="10" t="str">
        <f aca="false">IFERROR(INDEX(Section_Master!$F$2:$F$477,MATCH($E3268,Section_Master!$A$2:$A$477,0))&amp;"","")</f>
        <v>No</v>
      </c>
      <c r="I3268" s="10" t="str">
        <f aca="false">IFERROR(INDEX(Section_Master!$G$2:$G$477,MATCH($E3268,Section_Master!$A$2:$A$477,0))&amp;"","")</f>
        <v>No</v>
      </c>
      <c r="J3268" s="10" t="s">
        <v>55</v>
      </c>
      <c r="K3268" s="8" t="s">
        <v>7667</v>
      </c>
    </row>
    <row r="3269" customFormat="false" ht="23.25" hidden="false" customHeight="true" outlineLevel="0" collapsed="false">
      <c r="A3269" s="10" t="s">
        <v>7672</v>
      </c>
      <c r="B3269" s="10" t="s">
        <v>45</v>
      </c>
      <c r="C3269" s="8" t="s">
        <v>7665</v>
      </c>
      <c r="D3269" s="8" t="s">
        <v>7673</v>
      </c>
      <c r="E3269" s="11" t="n">
        <v>187</v>
      </c>
      <c r="F3269" s="8" t="str">
        <f aca="false">IFERROR(INDEX(Section_Master!$D$2:$D$477,MATCH($E3269,Section_Master!$A$2:$A$477,0))&amp;"","")</f>
        <v>Imprisonment up to 7 years and fine</v>
      </c>
      <c r="G3269" s="10" t="str">
        <f aca="false">IFERROR(INDEX(Section_Master!$E$2:$E$477,MATCH($E3269,Section_Master!$A$2:$A$477,0))&amp;"","")</f>
        <v>Yes</v>
      </c>
      <c r="H3269" s="10" t="str">
        <f aca="false">IFERROR(INDEX(Section_Master!$F$2:$F$477,MATCH($E3269,Section_Master!$A$2:$A$477,0))&amp;"","")</f>
        <v>No</v>
      </c>
      <c r="I3269" s="10" t="str">
        <f aca="false">IFERROR(INDEX(Section_Master!$G$2:$G$477,MATCH($E3269,Section_Master!$A$2:$A$477,0))&amp;"","")</f>
        <v>No</v>
      </c>
      <c r="J3269" s="10" t="s">
        <v>58</v>
      </c>
      <c r="K3269" s="8" t="s">
        <v>7667</v>
      </c>
    </row>
    <row r="3270" customFormat="false" ht="34.5" hidden="false" customHeight="true" outlineLevel="0" collapsed="false">
      <c r="A3270" s="10" t="s">
        <v>7674</v>
      </c>
      <c r="B3270" s="10" t="s">
        <v>45</v>
      </c>
      <c r="C3270" s="8" t="s">
        <v>7665</v>
      </c>
      <c r="D3270" s="8" t="s">
        <v>7675</v>
      </c>
      <c r="E3270" s="11" t="n">
        <v>187</v>
      </c>
      <c r="F3270" s="8" t="str">
        <f aca="false">IFERROR(INDEX(Section_Master!$D$2:$D$477,MATCH($E3270,Section_Master!$A$2:$A$477,0))&amp;"","")</f>
        <v>Imprisonment up to 7 years and fine</v>
      </c>
      <c r="G3270" s="10" t="str">
        <f aca="false">IFERROR(INDEX(Section_Master!$E$2:$E$477,MATCH($E3270,Section_Master!$A$2:$A$477,0))&amp;"","")</f>
        <v>Yes</v>
      </c>
      <c r="H3270" s="10" t="str">
        <f aca="false">IFERROR(INDEX(Section_Master!$F$2:$F$477,MATCH($E3270,Section_Master!$A$2:$A$477,0))&amp;"","")</f>
        <v>No</v>
      </c>
      <c r="I3270" s="10" t="str">
        <f aca="false">IFERROR(INDEX(Section_Master!$G$2:$G$477,MATCH($E3270,Section_Master!$A$2:$A$477,0))&amp;"","")</f>
        <v>No</v>
      </c>
      <c r="J3270" s="10" t="s">
        <v>61</v>
      </c>
      <c r="K3270" s="8" t="s">
        <v>7667</v>
      </c>
    </row>
    <row r="3271" customFormat="false" ht="34.5" hidden="false" customHeight="true" outlineLevel="0" collapsed="false">
      <c r="A3271" s="10" t="s">
        <v>7676</v>
      </c>
      <c r="B3271" s="10" t="s">
        <v>45</v>
      </c>
      <c r="C3271" s="8" t="s">
        <v>7665</v>
      </c>
      <c r="D3271" s="8" t="s">
        <v>7677</v>
      </c>
      <c r="E3271" s="11" t="n">
        <v>187</v>
      </c>
      <c r="F3271" s="8" t="str">
        <f aca="false">IFERROR(INDEX(Section_Master!$D$2:$D$477,MATCH($E3271,Section_Master!$A$2:$A$477,0))&amp;"","")</f>
        <v>Imprisonment up to 7 years and fine</v>
      </c>
      <c r="G3271" s="10" t="str">
        <f aca="false">IFERROR(INDEX(Section_Master!$E$2:$E$477,MATCH($E3271,Section_Master!$A$2:$A$477,0))&amp;"","")</f>
        <v>Yes</v>
      </c>
      <c r="H3271" s="10" t="str">
        <f aca="false">IFERROR(INDEX(Section_Master!$F$2:$F$477,MATCH($E3271,Section_Master!$A$2:$A$477,0))&amp;"","")</f>
        <v>No</v>
      </c>
      <c r="I3271" s="10" t="str">
        <f aca="false">IFERROR(INDEX(Section_Master!$G$2:$G$477,MATCH($E3271,Section_Master!$A$2:$A$477,0))&amp;"","")</f>
        <v>No</v>
      </c>
      <c r="J3271" s="10" t="s">
        <v>64</v>
      </c>
      <c r="K3271" s="8" t="s">
        <v>7667</v>
      </c>
    </row>
    <row r="3272" customFormat="false" ht="23.25" hidden="false" customHeight="true" outlineLevel="0" collapsed="false">
      <c r="A3272" s="10" t="s">
        <v>7678</v>
      </c>
      <c r="B3272" s="10" t="s">
        <v>45</v>
      </c>
      <c r="C3272" s="8" t="s">
        <v>7679</v>
      </c>
      <c r="D3272" s="8" t="s">
        <v>7680</v>
      </c>
      <c r="E3272" s="11" t="n">
        <v>188</v>
      </c>
      <c r="F3272" s="8" t="str">
        <f aca="false">IFERROR(INDEX(Section_Master!$D$2:$D$477,MATCH($E3272,Section_Master!$A$2:$A$477,0))&amp;"","")</f>
        <v>Imprisonment up to 7 years and fine</v>
      </c>
      <c r="G3272" s="10" t="str">
        <f aca="false">IFERROR(INDEX(Section_Master!$E$2:$E$477,MATCH($E3272,Section_Master!$A$2:$A$477,0))&amp;"","")</f>
        <v>Yes</v>
      </c>
      <c r="H3272" s="10" t="str">
        <f aca="false">IFERROR(INDEX(Section_Master!$F$2:$F$477,MATCH($E3272,Section_Master!$A$2:$A$477,0))&amp;"","")</f>
        <v>No</v>
      </c>
      <c r="I3272" s="10" t="str">
        <f aca="false">IFERROR(INDEX(Section_Master!$G$2:$G$477,MATCH($E3272,Section_Master!$A$2:$A$477,0))&amp;"","")</f>
        <v>No</v>
      </c>
      <c r="J3272" s="10" t="s">
        <v>48</v>
      </c>
      <c r="K3272" s="8" t="s">
        <v>7681</v>
      </c>
    </row>
    <row r="3273" customFormat="false" ht="34.5" hidden="false" customHeight="true" outlineLevel="0" collapsed="false">
      <c r="A3273" s="10" t="s">
        <v>7682</v>
      </c>
      <c r="B3273" s="10" t="s">
        <v>45</v>
      </c>
      <c r="C3273" s="8" t="s">
        <v>7679</v>
      </c>
      <c r="D3273" s="8" t="s">
        <v>7683</v>
      </c>
      <c r="E3273" s="11" t="n">
        <v>188</v>
      </c>
      <c r="F3273" s="8" t="str">
        <f aca="false">IFERROR(INDEX(Section_Master!$D$2:$D$477,MATCH($E3273,Section_Master!$A$2:$A$477,0))&amp;"","")</f>
        <v>Imprisonment up to 7 years and fine</v>
      </c>
      <c r="G3273" s="10" t="str">
        <f aca="false">IFERROR(INDEX(Section_Master!$E$2:$E$477,MATCH($E3273,Section_Master!$A$2:$A$477,0))&amp;"","")</f>
        <v>Yes</v>
      </c>
      <c r="H3273" s="10" t="str">
        <f aca="false">IFERROR(INDEX(Section_Master!$F$2:$F$477,MATCH($E3273,Section_Master!$A$2:$A$477,0))&amp;"","")</f>
        <v>No</v>
      </c>
      <c r="I3273" s="10" t="str">
        <f aca="false">IFERROR(INDEX(Section_Master!$G$2:$G$477,MATCH($E3273,Section_Master!$A$2:$A$477,0))&amp;"","")</f>
        <v>No</v>
      </c>
      <c r="J3273" s="10" t="s">
        <v>52</v>
      </c>
      <c r="K3273" s="8" t="s">
        <v>7681</v>
      </c>
    </row>
    <row r="3274" customFormat="false" ht="34.5" hidden="false" customHeight="true" outlineLevel="0" collapsed="false">
      <c r="A3274" s="10" t="s">
        <v>7684</v>
      </c>
      <c r="B3274" s="10" t="s">
        <v>45</v>
      </c>
      <c r="C3274" s="8" t="s">
        <v>7679</v>
      </c>
      <c r="D3274" s="8" t="s">
        <v>7685</v>
      </c>
      <c r="E3274" s="11" t="n">
        <v>188</v>
      </c>
      <c r="F3274" s="8" t="str">
        <f aca="false">IFERROR(INDEX(Section_Master!$D$2:$D$477,MATCH($E3274,Section_Master!$A$2:$A$477,0))&amp;"","")</f>
        <v>Imprisonment up to 7 years and fine</v>
      </c>
      <c r="G3274" s="10" t="str">
        <f aca="false">IFERROR(INDEX(Section_Master!$E$2:$E$477,MATCH($E3274,Section_Master!$A$2:$A$477,0))&amp;"","")</f>
        <v>Yes</v>
      </c>
      <c r="H3274" s="10" t="str">
        <f aca="false">IFERROR(INDEX(Section_Master!$F$2:$F$477,MATCH($E3274,Section_Master!$A$2:$A$477,0))&amp;"","")</f>
        <v>No</v>
      </c>
      <c r="I3274" s="10" t="str">
        <f aca="false">IFERROR(INDEX(Section_Master!$G$2:$G$477,MATCH($E3274,Section_Master!$A$2:$A$477,0))&amp;"","")</f>
        <v>No</v>
      </c>
      <c r="J3274" s="10" t="s">
        <v>55</v>
      </c>
      <c r="K3274" s="8" t="s">
        <v>7681</v>
      </c>
    </row>
    <row r="3275" customFormat="false" ht="23.25" hidden="false" customHeight="true" outlineLevel="0" collapsed="false">
      <c r="A3275" s="10" t="s">
        <v>7686</v>
      </c>
      <c r="B3275" s="10" t="s">
        <v>45</v>
      </c>
      <c r="C3275" s="8" t="s">
        <v>7679</v>
      </c>
      <c r="D3275" s="8" t="s">
        <v>7687</v>
      </c>
      <c r="E3275" s="11" t="n">
        <v>188</v>
      </c>
      <c r="F3275" s="8" t="str">
        <f aca="false">IFERROR(INDEX(Section_Master!$D$2:$D$477,MATCH($E3275,Section_Master!$A$2:$A$477,0))&amp;"","")</f>
        <v>Imprisonment up to 7 years and fine</v>
      </c>
      <c r="G3275" s="10" t="str">
        <f aca="false">IFERROR(INDEX(Section_Master!$E$2:$E$477,MATCH($E3275,Section_Master!$A$2:$A$477,0))&amp;"","")</f>
        <v>Yes</v>
      </c>
      <c r="H3275" s="10" t="str">
        <f aca="false">IFERROR(INDEX(Section_Master!$F$2:$F$477,MATCH($E3275,Section_Master!$A$2:$A$477,0))&amp;"","")</f>
        <v>No</v>
      </c>
      <c r="I3275" s="10" t="str">
        <f aca="false">IFERROR(INDEX(Section_Master!$G$2:$G$477,MATCH($E3275,Section_Master!$A$2:$A$477,0))&amp;"","")</f>
        <v>No</v>
      </c>
      <c r="J3275" s="10" t="s">
        <v>58</v>
      </c>
      <c r="K3275" s="8" t="s">
        <v>7681</v>
      </c>
    </row>
    <row r="3276" customFormat="false" ht="23.25" hidden="false" customHeight="true" outlineLevel="0" collapsed="false">
      <c r="A3276" s="10" t="s">
        <v>7688</v>
      </c>
      <c r="B3276" s="10" t="s">
        <v>45</v>
      </c>
      <c r="C3276" s="8" t="s">
        <v>7679</v>
      </c>
      <c r="D3276" s="8" t="s">
        <v>7689</v>
      </c>
      <c r="E3276" s="11" t="n">
        <v>188</v>
      </c>
      <c r="F3276" s="8" t="str">
        <f aca="false">IFERROR(INDEX(Section_Master!$D$2:$D$477,MATCH($E3276,Section_Master!$A$2:$A$477,0))&amp;"","")</f>
        <v>Imprisonment up to 7 years and fine</v>
      </c>
      <c r="G3276" s="10" t="str">
        <f aca="false">IFERROR(INDEX(Section_Master!$E$2:$E$477,MATCH($E3276,Section_Master!$A$2:$A$477,0))&amp;"","")</f>
        <v>Yes</v>
      </c>
      <c r="H3276" s="10" t="str">
        <f aca="false">IFERROR(INDEX(Section_Master!$F$2:$F$477,MATCH($E3276,Section_Master!$A$2:$A$477,0))&amp;"","")</f>
        <v>No</v>
      </c>
      <c r="I3276" s="10" t="str">
        <f aca="false">IFERROR(INDEX(Section_Master!$G$2:$G$477,MATCH($E3276,Section_Master!$A$2:$A$477,0))&amp;"","")</f>
        <v>No</v>
      </c>
      <c r="J3276" s="10" t="s">
        <v>61</v>
      </c>
      <c r="K3276" s="8" t="s">
        <v>7681</v>
      </c>
    </row>
    <row r="3277" customFormat="false" ht="34.5" hidden="false" customHeight="true" outlineLevel="0" collapsed="false">
      <c r="A3277" s="10" t="s">
        <v>7690</v>
      </c>
      <c r="B3277" s="10" t="s">
        <v>45</v>
      </c>
      <c r="C3277" s="8" t="s">
        <v>7679</v>
      </c>
      <c r="D3277" s="8" t="s">
        <v>7691</v>
      </c>
      <c r="E3277" s="11" t="n">
        <v>188</v>
      </c>
      <c r="F3277" s="8" t="str">
        <f aca="false">IFERROR(INDEX(Section_Master!$D$2:$D$477,MATCH($E3277,Section_Master!$A$2:$A$477,0))&amp;"","")</f>
        <v>Imprisonment up to 7 years and fine</v>
      </c>
      <c r="G3277" s="10" t="str">
        <f aca="false">IFERROR(INDEX(Section_Master!$E$2:$E$477,MATCH($E3277,Section_Master!$A$2:$A$477,0))&amp;"","")</f>
        <v>Yes</v>
      </c>
      <c r="H3277" s="10" t="str">
        <f aca="false">IFERROR(INDEX(Section_Master!$F$2:$F$477,MATCH($E3277,Section_Master!$A$2:$A$477,0))&amp;"","")</f>
        <v>No</v>
      </c>
      <c r="I3277" s="10" t="str">
        <f aca="false">IFERROR(INDEX(Section_Master!$G$2:$G$477,MATCH($E3277,Section_Master!$A$2:$A$477,0))&amp;"","")</f>
        <v>No</v>
      </c>
      <c r="J3277" s="10" t="s">
        <v>64</v>
      </c>
      <c r="K3277" s="8" t="s">
        <v>7681</v>
      </c>
    </row>
    <row r="3278" customFormat="false" ht="34.5" hidden="false" customHeight="true" outlineLevel="0" collapsed="false">
      <c r="A3278" s="10" t="s">
        <v>7692</v>
      </c>
      <c r="B3278" s="10" t="s">
        <v>45</v>
      </c>
      <c r="C3278" s="8" t="s">
        <v>7693</v>
      </c>
      <c r="D3278" s="8" t="s">
        <v>7694</v>
      </c>
      <c r="E3278" s="11" t="n">
        <v>189</v>
      </c>
      <c r="F3278" s="8" t="str">
        <f aca="false">IFERROR(INDEX(Section_Master!$D$2:$D$477,MATCH($E3278,Section_Master!$A$2:$A$477,0))&amp;"","")</f>
        <v>Imprisonment up to 6 months, or fine, or both [s.189(2)]</v>
      </c>
      <c r="G3278" s="10" t="str">
        <f aca="false">IFERROR(INDEX(Section_Master!$E$2:$E$477,MATCH($E3278,Section_Master!$A$2:$A$477,0))&amp;"","")</f>
        <v>Yes</v>
      </c>
      <c r="H3278" s="10" t="str">
        <f aca="false">IFERROR(INDEX(Section_Master!$F$2:$F$477,MATCH($E3278,Section_Master!$A$2:$A$477,0))&amp;"","")</f>
        <v>Yes</v>
      </c>
      <c r="I3278" s="10" t="str">
        <f aca="false">IFERROR(INDEX(Section_Master!$G$2:$G$477,MATCH($E3278,Section_Master!$A$2:$A$477,0))&amp;"","")</f>
        <v>No</v>
      </c>
      <c r="J3278" s="10" t="s">
        <v>48</v>
      </c>
      <c r="K3278" s="8" t="s">
        <v>7695</v>
      </c>
    </row>
    <row r="3279" customFormat="false" ht="34.5" hidden="false" customHeight="true" outlineLevel="0" collapsed="false">
      <c r="A3279" s="10" t="s">
        <v>7696</v>
      </c>
      <c r="B3279" s="10" t="s">
        <v>45</v>
      </c>
      <c r="C3279" s="8" t="s">
        <v>7693</v>
      </c>
      <c r="D3279" s="8" t="s">
        <v>7697</v>
      </c>
      <c r="E3279" s="11" t="n">
        <v>189</v>
      </c>
      <c r="F3279" s="8" t="str">
        <f aca="false">IFERROR(INDEX(Section_Master!$D$2:$D$477,MATCH($E3279,Section_Master!$A$2:$A$477,0))&amp;"","")</f>
        <v>Imprisonment up to 6 months, or fine, or both [s.189(2)]</v>
      </c>
      <c r="G3279" s="10" t="str">
        <f aca="false">IFERROR(INDEX(Section_Master!$E$2:$E$477,MATCH($E3279,Section_Master!$A$2:$A$477,0))&amp;"","")</f>
        <v>Yes</v>
      </c>
      <c r="H3279" s="10" t="str">
        <f aca="false">IFERROR(INDEX(Section_Master!$F$2:$F$477,MATCH($E3279,Section_Master!$A$2:$A$477,0))&amp;"","")</f>
        <v>Yes</v>
      </c>
      <c r="I3279" s="10" t="str">
        <f aca="false">IFERROR(INDEX(Section_Master!$G$2:$G$477,MATCH($E3279,Section_Master!$A$2:$A$477,0))&amp;"","")</f>
        <v>No</v>
      </c>
      <c r="J3279" s="10" t="s">
        <v>52</v>
      </c>
      <c r="K3279" s="8" t="s">
        <v>7695</v>
      </c>
    </row>
    <row r="3280" customFormat="false" ht="23.25" hidden="false" customHeight="true" outlineLevel="0" collapsed="false">
      <c r="A3280" s="10" t="s">
        <v>7698</v>
      </c>
      <c r="B3280" s="10" t="s">
        <v>45</v>
      </c>
      <c r="C3280" s="8" t="s">
        <v>7693</v>
      </c>
      <c r="D3280" s="8" t="s">
        <v>7699</v>
      </c>
      <c r="E3280" s="11" t="n">
        <v>189</v>
      </c>
      <c r="F3280" s="8" t="str">
        <f aca="false">IFERROR(INDEX(Section_Master!$D$2:$D$477,MATCH($E3280,Section_Master!$A$2:$A$477,0))&amp;"","")</f>
        <v>Imprisonment up to 6 months, or fine, or both [s.189(2)]</v>
      </c>
      <c r="G3280" s="10" t="str">
        <f aca="false">IFERROR(INDEX(Section_Master!$E$2:$E$477,MATCH($E3280,Section_Master!$A$2:$A$477,0))&amp;"","")</f>
        <v>Yes</v>
      </c>
      <c r="H3280" s="10" t="str">
        <f aca="false">IFERROR(INDEX(Section_Master!$F$2:$F$477,MATCH($E3280,Section_Master!$A$2:$A$477,0))&amp;"","")</f>
        <v>Yes</v>
      </c>
      <c r="I3280" s="10" t="str">
        <f aca="false">IFERROR(INDEX(Section_Master!$G$2:$G$477,MATCH($E3280,Section_Master!$A$2:$A$477,0))&amp;"","")</f>
        <v>No</v>
      </c>
      <c r="J3280" s="10" t="s">
        <v>55</v>
      </c>
      <c r="K3280" s="8" t="s">
        <v>7695</v>
      </c>
    </row>
    <row r="3281" customFormat="false" ht="23.25" hidden="false" customHeight="true" outlineLevel="0" collapsed="false">
      <c r="A3281" s="10" t="s">
        <v>7700</v>
      </c>
      <c r="B3281" s="10" t="s">
        <v>45</v>
      </c>
      <c r="C3281" s="8" t="s">
        <v>7693</v>
      </c>
      <c r="D3281" s="8" t="s">
        <v>7701</v>
      </c>
      <c r="E3281" s="11" t="n">
        <v>189</v>
      </c>
      <c r="F3281" s="8" t="str">
        <f aca="false">IFERROR(INDEX(Section_Master!$D$2:$D$477,MATCH($E3281,Section_Master!$A$2:$A$477,0))&amp;"","")</f>
        <v>Imprisonment up to 6 months, or fine, or both [s.189(2)]</v>
      </c>
      <c r="G3281" s="10" t="str">
        <f aca="false">IFERROR(INDEX(Section_Master!$E$2:$E$477,MATCH($E3281,Section_Master!$A$2:$A$477,0))&amp;"","")</f>
        <v>Yes</v>
      </c>
      <c r="H3281" s="10" t="str">
        <f aca="false">IFERROR(INDEX(Section_Master!$F$2:$F$477,MATCH($E3281,Section_Master!$A$2:$A$477,0))&amp;"","")</f>
        <v>Yes</v>
      </c>
      <c r="I3281" s="10" t="str">
        <f aca="false">IFERROR(INDEX(Section_Master!$G$2:$G$477,MATCH($E3281,Section_Master!$A$2:$A$477,0))&amp;"","")</f>
        <v>No</v>
      </c>
      <c r="J3281" s="10" t="s">
        <v>58</v>
      </c>
      <c r="K3281" s="8" t="s">
        <v>7695</v>
      </c>
    </row>
    <row r="3282" customFormat="false" ht="23.25" hidden="false" customHeight="true" outlineLevel="0" collapsed="false">
      <c r="A3282" s="10" t="s">
        <v>7702</v>
      </c>
      <c r="B3282" s="10" t="s">
        <v>45</v>
      </c>
      <c r="C3282" s="8" t="s">
        <v>7693</v>
      </c>
      <c r="D3282" s="8" t="s">
        <v>7703</v>
      </c>
      <c r="E3282" s="11" t="n">
        <v>189</v>
      </c>
      <c r="F3282" s="8" t="str">
        <f aca="false">IFERROR(INDEX(Section_Master!$D$2:$D$477,MATCH($E3282,Section_Master!$A$2:$A$477,0))&amp;"","")</f>
        <v>Imprisonment up to 6 months, or fine, or both [s.189(2)]</v>
      </c>
      <c r="G3282" s="10" t="str">
        <f aca="false">IFERROR(INDEX(Section_Master!$E$2:$E$477,MATCH($E3282,Section_Master!$A$2:$A$477,0))&amp;"","")</f>
        <v>Yes</v>
      </c>
      <c r="H3282" s="10" t="str">
        <f aca="false">IFERROR(INDEX(Section_Master!$F$2:$F$477,MATCH($E3282,Section_Master!$A$2:$A$477,0))&amp;"","")</f>
        <v>Yes</v>
      </c>
      <c r="I3282" s="10" t="str">
        <f aca="false">IFERROR(INDEX(Section_Master!$G$2:$G$477,MATCH($E3282,Section_Master!$A$2:$A$477,0))&amp;"","")</f>
        <v>No</v>
      </c>
      <c r="J3282" s="10" t="s">
        <v>61</v>
      </c>
      <c r="K3282" s="8" t="s">
        <v>7695</v>
      </c>
    </row>
    <row r="3283" customFormat="false" ht="34.5" hidden="false" customHeight="true" outlineLevel="0" collapsed="false">
      <c r="A3283" s="10" t="s">
        <v>7704</v>
      </c>
      <c r="B3283" s="10" t="s">
        <v>45</v>
      </c>
      <c r="C3283" s="8" t="s">
        <v>7693</v>
      </c>
      <c r="D3283" s="8" t="s">
        <v>7705</v>
      </c>
      <c r="E3283" s="11" t="n">
        <v>189</v>
      </c>
      <c r="F3283" s="8" t="str">
        <f aca="false">IFERROR(INDEX(Section_Master!$D$2:$D$477,MATCH($E3283,Section_Master!$A$2:$A$477,0))&amp;"","")</f>
        <v>Imprisonment up to 6 months, or fine, or both [s.189(2)]</v>
      </c>
      <c r="G3283" s="10" t="str">
        <f aca="false">IFERROR(INDEX(Section_Master!$E$2:$E$477,MATCH($E3283,Section_Master!$A$2:$A$477,0))&amp;"","")</f>
        <v>Yes</v>
      </c>
      <c r="H3283" s="10" t="str">
        <f aca="false">IFERROR(INDEX(Section_Master!$F$2:$F$477,MATCH($E3283,Section_Master!$A$2:$A$477,0))&amp;"","")</f>
        <v>Yes</v>
      </c>
      <c r="I3283" s="10" t="str">
        <f aca="false">IFERROR(INDEX(Section_Master!$G$2:$G$477,MATCH($E3283,Section_Master!$A$2:$A$477,0))&amp;"","")</f>
        <v>No</v>
      </c>
      <c r="J3283" s="10" t="s">
        <v>64</v>
      </c>
      <c r="K3283" s="8" t="s">
        <v>7695</v>
      </c>
    </row>
    <row r="3284" customFormat="false" ht="34.5" hidden="false" customHeight="true" outlineLevel="0" collapsed="false">
      <c r="A3284" s="10" t="s">
        <v>7706</v>
      </c>
      <c r="B3284" s="10" t="s">
        <v>45</v>
      </c>
      <c r="C3284" s="8" t="s">
        <v>7707</v>
      </c>
      <c r="D3284" s="8" t="s">
        <v>7708</v>
      </c>
      <c r="E3284" s="11" t="n">
        <v>190</v>
      </c>
      <c r="F3284" s="8" t="str">
        <f aca="false">IFERROR(INDEX(Section_Master!$D$2:$D$477,MATCH($E3284,Section_Master!$A$2:$A$477,0))&amp;"","")</f>
        <v>Same punishment as for the offence committed in prosecution of the common object</v>
      </c>
      <c r="G3284" s="10" t="str">
        <f aca="false">IFERROR(INDEX(Section_Master!$E$2:$E$477,MATCH($E3284,Section_Master!$A$2:$A$477,0))&amp;"","")</f>
        <v>Same as underlying offence</v>
      </c>
      <c r="H3284" s="10" t="str">
        <f aca="false">IFERROR(INDEX(Section_Master!$F$2:$F$477,MATCH($E3284,Section_Master!$A$2:$A$477,0))&amp;"","")</f>
        <v>Same as underlying offence</v>
      </c>
      <c r="I3284" s="10" t="str">
        <f aca="false">IFERROR(INDEX(Section_Master!$G$2:$G$477,MATCH($E3284,Section_Master!$A$2:$A$477,0))&amp;"","")</f>
        <v>Same as underlying offence</v>
      </c>
      <c r="J3284" s="10" t="s">
        <v>48</v>
      </c>
      <c r="K3284" s="8" t="s">
        <v>7709</v>
      </c>
    </row>
    <row r="3285" customFormat="false" ht="34.5" hidden="false" customHeight="true" outlineLevel="0" collapsed="false">
      <c r="A3285" s="10" t="s">
        <v>7710</v>
      </c>
      <c r="B3285" s="10" t="s">
        <v>45</v>
      </c>
      <c r="C3285" s="8" t="s">
        <v>7707</v>
      </c>
      <c r="D3285" s="8" t="s">
        <v>7711</v>
      </c>
      <c r="E3285" s="11" t="n">
        <v>190</v>
      </c>
      <c r="F3285" s="8" t="str">
        <f aca="false">IFERROR(INDEX(Section_Master!$D$2:$D$477,MATCH($E3285,Section_Master!$A$2:$A$477,0))&amp;"","")</f>
        <v>Same punishment as for the offence committed in prosecution of the common object</v>
      </c>
      <c r="G3285" s="10" t="str">
        <f aca="false">IFERROR(INDEX(Section_Master!$E$2:$E$477,MATCH($E3285,Section_Master!$A$2:$A$477,0))&amp;"","")</f>
        <v>Same as underlying offence</v>
      </c>
      <c r="H3285" s="10" t="str">
        <f aca="false">IFERROR(INDEX(Section_Master!$F$2:$F$477,MATCH($E3285,Section_Master!$A$2:$A$477,0))&amp;"","")</f>
        <v>Same as underlying offence</v>
      </c>
      <c r="I3285" s="10" t="str">
        <f aca="false">IFERROR(INDEX(Section_Master!$G$2:$G$477,MATCH($E3285,Section_Master!$A$2:$A$477,0))&amp;"","")</f>
        <v>Same as underlying offence</v>
      </c>
      <c r="J3285" s="10" t="s">
        <v>52</v>
      </c>
      <c r="K3285" s="8" t="s">
        <v>7709</v>
      </c>
    </row>
    <row r="3286" customFormat="false" ht="23.25" hidden="false" customHeight="true" outlineLevel="0" collapsed="false">
      <c r="A3286" s="10" t="s">
        <v>7712</v>
      </c>
      <c r="B3286" s="10" t="s">
        <v>45</v>
      </c>
      <c r="C3286" s="8" t="s">
        <v>7707</v>
      </c>
      <c r="D3286" s="8" t="s">
        <v>7713</v>
      </c>
      <c r="E3286" s="11" t="n">
        <v>190</v>
      </c>
      <c r="F3286" s="8" t="str">
        <f aca="false">IFERROR(INDEX(Section_Master!$D$2:$D$477,MATCH($E3286,Section_Master!$A$2:$A$477,0))&amp;"","")</f>
        <v>Same punishment as for the offence committed in prosecution of the common object</v>
      </c>
      <c r="G3286" s="10" t="str">
        <f aca="false">IFERROR(INDEX(Section_Master!$E$2:$E$477,MATCH($E3286,Section_Master!$A$2:$A$477,0))&amp;"","")</f>
        <v>Same as underlying offence</v>
      </c>
      <c r="H3286" s="10" t="str">
        <f aca="false">IFERROR(INDEX(Section_Master!$F$2:$F$477,MATCH($E3286,Section_Master!$A$2:$A$477,0))&amp;"","")</f>
        <v>Same as underlying offence</v>
      </c>
      <c r="I3286" s="10" t="str">
        <f aca="false">IFERROR(INDEX(Section_Master!$G$2:$G$477,MATCH($E3286,Section_Master!$A$2:$A$477,0))&amp;"","")</f>
        <v>Same as underlying offence</v>
      </c>
      <c r="J3286" s="10" t="s">
        <v>55</v>
      </c>
      <c r="K3286" s="8" t="s">
        <v>7709</v>
      </c>
    </row>
    <row r="3287" customFormat="false" ht="23.25" hidden="false" customHeight="true" outlineLevel="0" collapsed="false">
      <c r="A3287" s="10" t="s">
        <v>7714</v>
      </c>
      <c r="B3287" s="10" t="s">
        <v>45</v>
      </c>
      <c r="C3287" s="8" t="s">
        <v>7707</v>
      </c>
      <c r="D3287" s="8" t="s">
        <v>7715</v>
      </c>
      <c r="E3287" s="11" t="n">
        <v>190</v>
      </c>
      <c r="F3287" s="8" t="str">
        <f aca="false">IFERROR(INDEX(Section_Master!$D$2:$D$477,MATCH($E3287,Section_Master!$A$2:$A$477,0))&amp;"","")</f>
        <v>Same punishment as for the offence committed in prosecution of the common object</v>
      </c>
      <c r="G3287" s="10" t="str">
        <f aca="false">IFERROR(INDEX(Section_Master!$E$2:$E$477,MATCH($E3287,Section_Master!$A$2:$A$477,0))&amp;"","")</f>
        <v>Same as underlying offence</v>
      </c>
      <c r="H3287" s="10" t="str">
        <f aca="false">IFERROR(INDEX(Section_Master!$F$2:$F$477,MATCH($E3287,Section_Master!$A$2:$A$477,0))&amp;"","")</f>
        <v>Same as underlying offence</v>
      </c>
      <c r="I3287" s="10" t="str">
        <f aca="false">IFERROR(INDEX(Section_Master!$G$2:$G$477,MATCH($E3287,Section_Master!$A$2:$A$477,0))&amp;"","")</f>
        <v>Same as underlying offence</v>
      </c>
      <c r="J3287" s="10" t="s">
        <v>58</v>
      </c>
      <c r="K3287" s="8" t="s">
        <v>7709</v>
      </c>
    </row>
    <row r="3288" customFormat="false" ht="34.5" hidden="false" customHeight="true" outlineLevel="0" collapsed="false">
      <c r="A3288" s="10" t="s">
        <v>7716</v>
      </c>
      <c r="B3288" s="10" t="s">
        <v>45</v>
      </c>
      <c r="C3288" s="8" t="s">
        <v>7707</v>
      </c>
      <c r="D3288" s="8" t="s">
        <v>7717</v>
      </c>
      <c r="E3288" s="11" t="n">
        <v>190</v>
      </c>
      <c r="F3288" s="8" t="str">
        <f aca="false">IFERROR(INDEX(Section_Master!$D$2:$D$477,MATCH($E3288,Section_Master!$A$2:$A$477,0))&amp;"","")</f>
        <v>Same punishment as for the offence committed in prosecution of the common object</v>
      </c>
      <c r="G3288" s="10" t="str">
        <f aca="false">IFERROR(INDEX(Section_Master!$E$2:$E$477,MATCH($E3288,Section_Master!$A$2:$A$477,0))&amp;"","")</f>
        <v>Same as underlying offence</v>
      </c>
      <c r="H3288" s="10" t="str">
        <f aca="false">IFERROR(INDEX(Section_Master!$F$2:$F$477,MATCH($E3288,Section_Master!$A$2:$A$477,0))&amp;"","")</f>
        <v>Same as underlying offence</v>
      </c>
      <c r="I3288" s="10" t="str">
        <f aca="false">IFERROR(INDEX(Section_Master!$G$2:$G$477,MATCH($E3288,Section_Master!$A$2:$A$477,0))&amp;"","")</f>
        <v>Same as underlying offence</v>
      </c>
      <c r="J3288" s="10" t="s">
        <v>61</v>
      </c>
      <c r="K3288" s="8" t="s">
        <v>7709</v>
      </c>
    </row>
    <row r="3289" customFormat="false" ht="34.5" hidden="false" customHeight="true" outlineLevel="0" collapsed="false">
      <c r="A3289" s="10" t="s">
        <v>7718</v>
      </c>
      <c r="B3289" s="10" t="s">
        <v>45</v>
      </c>
      <c r="C3289" s="8" t="s">
        <v>7707</v>
      </c>
      <c r="D3289" s="8" t="s">
        <v>7719</v>
      </c>
      <c r="E3289" s="11" t="n">
        <v>190</v>
      </c>
      <c r="F3289" s="8" t="str">
        <f aca="false">IFERROR(INDEX(Section_Master!$D$2:$D$477,MATCH($E3289,Section_Master!$A$2:$A$477,0))&amp;"","")</f>
        <v>Same punishment as for the offence committed in prosecution of the common object</v>
      </c>
      <c r="G3289" s="10" t="str">
        <f aca="false">IFERROR(INDEX(Section_Master!$E$2:$E$477,MATCH($E3289,Section_Master!$A$2:$A$477,0))&amp;"","")</f>
        <v>Same as underlying offence</v>
      </c>
      <c r="H3289" s="10" t="str">
        <f aca="false">IFERROR(INDEX(Section_Master!$F$2:$F$477,MATCH($E3289,Section_Master!$A$2:$A$477,0))&amp;"","")</f>
        <v>Same as underlying offence</v>
      </c>
      <c r="I3289" s="10" t="str">
        <f aca="false">IFERROR(INDEX(Section_Master!$G$2:$G$477,MATCH($E3289,Section_Master!$A$2:$A$477,0))&amp;"","")</f>
        <v>Same as underlying offence</v>
      </c>
      <c r="J3289" s="10" t="s">
        <v>64</v>
      </c>
      <c r="K3289" s="8" t="s">
        <v>7709</v>
      </c>
    </row>
    <row r="3290" customFormat="false" ht="34.5" hidden="false" customHeight="true" outlineLevel="0" collapsed="false">
      <c r="A3290" s="10" t="s">
        <v>7720</v>
      </c>
      <c r="B3290" s="10" t="s">
        <v>45</v>
      </c>
      <c r="C3290" s="8" t="s">
        <v>7721</v>
      </c>
      <c r="D3290" s="8" t="s">
        <v>7722</v>
      </c>
      <c r="E3290" s="11" t="n">
        <v>191</v>
      </c>
      <c r="F3290" s="8" t="str">
        <f aca="false">IFERROR(INDEX(Section_Master!$D$2:$D$477,MATCH($E3290,Section_Master!$A$2:$A$477,0))&amp;"","")</f>
        <v>Imprisonment up to 2 years, or fine, or both [s.191(2)]</v>
      </c>
      <c r="G3290" s="10" t="str">
        <f aca="false">IFERROR(INDEX(Section_Master!$E$2:$E$477,MATCH($E3290,Section_Master!$A$2:$A$477,0))&amp;"","")</f>
        <v>Yes</v>
      </c>
      <c r="H3290" s="10" t="str">
        <f aca="false">IFERROR(INDEX(Section_Master!$F$2:$F$477,MATCH($E3290,Section_Master!$A$2:$A$477,0))&amp;"","")</f>
        <v>Yes</v>
      </c>
      <c r="I3290" s="10" t="str">
        <f aca="false">IFERROR(INDEX(Section_Master!$G$2:$G$477,MATCH($E3290,Section_Master!$A$2:$A$477,0))&amp;"","")</f>
        <v>No</v>
      </c>
      <c r="J3290" s="10" t="s">
        <v>48</v>
      </c>
      <c r="K3290" s="8" t="s">
        <v>7723</v>
      </c>
    </row>
    <row r="3291" customFormat="false" ht="34.5" hidden="false" customHeight="true" outlineLevel="0" collapsed="false">
      <c r="A3291" s="10" t="s">
        <v>7724</v>
      </c>
      <c r="B3291" s="10" t="s">
        <v>45</v>
      </c>
      <c r="C3291" s="8" t="s">
        <v>7721</v>
      </c>
      <c r="D3291" s="8" t="s">
        <v>7725</v>
      </c>
      <c r="E3291" s="11" t="n">
        <v>191</v>
      </c>
      <c r="F3291" s="8" t="str">
        <f aca="false">IFERROR(INDEX(Section_Master!$D$2:$D$477,MATCH($E3291,Section_Master!$A$2:$A$477,0))&amp;"","")</f>
        <v>Imprisonment up to 2 years, or fine, or both [s.191(2)]</v>
      </c>
      <c r="G3291" s="10" t="str">
        <f aca="false">IFERROR(INDEX(Section_Master!$E$2:$E$477,MATCH($E3291,Section_Master!$A$2:$A$477,0))&amp;"","")</f>
        <v>Yes</v>
      </c>
      <c r="H3291" s="10" t="str">
        <f aca="false">IFERROR(INDEX(Section_Master!$F$2:$F$477,MATCH($E3291,Section_Master!$A$2:$A$477,0))&amp;"","")</f>
        <v>Yes</v>
      </c>
      <c r="I3291" s="10" t="str">
        <f aca="false">IFERROR(INDEX(Section_Master!$G$2:$G$477,MATCH($E3291,Section_Master!$A$2:$A$477,0))&amp;"","")</f>
        <v>No</v>
      </c>
      <c r="J3291" s="10" t="s">
        <v>52</v>
      </c>
      <c r="K3291" s="8" t="s">
        <v>7723</v>
      </c>
    </row>
    <row r="3292" customFormat="false" ht="34.5" hidden="false" customHeight="true" outlineLevel="0" collapsed="false">
      <c r="A3292" s="10" t="s">
        <v>7726</v>
      </c>
      <c r="B3292" s="10" t="s">
        <v>45</v>
      </c>
      <c r="C3292" s="8" t="s">
        <v>7721</v>
      </c>
      <c r="D3292" s="8" t="s">
        <v>7727</v>
      </c>
      <c r="E3292" s="11" t="n">
        <v>191</v>
      </c>
      <c r="F3292" s="8" t="str">
        <f aca="false">IFERROR(INDEX(Section_Master!$D$2:$D$477,MATCH($E3292,Section_Master!$A$2:$A$477,0))&amp;"","")</f>
        <v>Imprisonment up to 2 years, or fine, or both [s.191(2)]</v>
      </c>
      <c r="G3292" s="10" t="str">
        <f aca="false">IFERROR(INDEX(Section_Master!$E$2:$E$477,MATCH($E3292,Section_Master!$A$2:$A$477,0))&amp;"","")</f>
        <v>Yes</v>
      </c>
      <c r="H3292" s="10" t="str">
        <f aca="false">IFERROR(INDEX(Section_Master!$F$2:$F$477,MATCH($E3292,Section_Master!$A$2:$A$477,0))&amp;"","")</f>
        <v>Yes</v>
      </c>
      <c r="I3292" s="10" t="str">
        <f aca="false">IFERROR(INDEX(Section_Master!$G$2:$G$477,MATCH($E3292,Section_Master!$A$2:$A$477,0))&amp;"","")</f>
        <v>No</v>
      </c>
      <c r="J3292" s="10" t="s">
        <v>55</v>
      </c>
      <c r="K3292" s="8" t="s">
        <v>7723</v>
      </c>
    </row>
    <row r="3293" customFormat="false" ht="34.5" hidden="false" customHeight="true" outlineLevel="0" collapsed="false">
      <c r="A3293" s="10" t="s">
        <v>7728</v>
      </c>
      <c r="B3293" s="10" t="s">
        <v>45</v>
      </c>
      <c r="C3293" s="8" t="s">
        <v>7721</v>
      </c>
      <c r="D3293" s="8" t="s">
        <v>7729</v>
      </c>
      <c r="E3293" s="11" t="n">
        <v>191</v>
      </c>
      <c r="F3293" s="8" t="str">
        <f aca="false">IFERROR(INDEX(Section_Master!$D$2:$D$477,MATCH($E3293,Section_Master!$A$2:$A$477,0))&amp;"","")</f>
        <v>Imprisonment up to 2 years, or fine, or both [s.191(2)]</v>
      </c>
      <c r="G3293" s="10" t="str">
        <f aca="false">IFERROR(INDEX(Section_Master!$E$2:$E$477,MATCH($E3293,Section_Master!$A$2:$A$477,0))&amp;"","")</f>
        <v>Yes</v>
      </c>
      <c r="H3293" s="10" t="str">
        <f aca="false">IFERROR(INDEX(Section_Master!$F$2:$F$477,MATCH($E3293,Section_Master!$A$2:$A$477,0))&amp;"","")</f>
        <v>Yes</v>
      </c>
      <c r="I3293" s="10" t="str">
        <f aca="false">IFERROR(INDEX(Section_Master!$G$2:$G$477,MATCH($E3293,Section_Master!$A$2:$A$477,0))&amp;"","")</f>
        <v>No</v>
      </c>
      <c r="J3293" s="10" t="s">
        <v>58</v>
      </c>
      <c r="K3293" s="8" t="s">
        <v>7723</v>
      </c>
    </row>
    <row r="3294" customFormat="false" ht="34.5" hidden="false" customHeight="true" outlineLevel="0" collapsed="false">
      <c r="A3294" s="10" t="s">
        <v>7730</v>
      </c>
      <c r="B3294" s="10" t="s">
        <v>45</v>
      </c>
      <c r="C3294" s="8" t="s">
        <v>7721</v>
      </c>
      <c r="D3294" s="8" t="s">
        <v>7731</v>
      </c>
      <c r="E3294" s="11" t="n">
        <v>191</v>
      </c>
      <c r="F3294" s="8" t="str">
        <f aca="false">IFERROR(INDEX(Section_Master!$D$2:$D$477,MATCH($E3294,Section_Master!$A$2:$A$477,0))&amp;"","")</f>
        <v>Imprisonment up to 2 years, or fine, or both [s.191(2)]</v>
      </c>
      <c r="G3294" s="10" t="str">
        <f aca="false">IFERROR(INDEX(Section_Master!$E$2:$E$477,MATCH($E3294,Section_Master!$A$2:$A$477,0))&amp;"","")</f>
        <v>Yes</v>
      </c>
      <c r="H3294" s="10" t="str">
        <f aca="false">IFERROR(INDEX(Section_Master!$F$2:$F$477,MATCH($E3294,Section_Master!$A$2:$A$477,0))&amp;"","")</f>
        <v>Yes</v>
      </c>
      <c r="I3294" s="10" t="str">
        <f aca="false">IFERROR(INDEX(Section_Master!$G$2:$G$477,MATCH($E3294,Section_Master!$A$2:$A$477,0))&amp;"","")</f>
        <v>No</v>
      </c>
      <c r="J3294" s="10" t="s">
        <v>61</v>
      </c>
      <c r="K3294" s="8" t="s">
        <v>7723</v>
      </c>
    </row>
    <row r="3295" customFormat="false" ht="34.5" hidden="false" customHeight="true" outlineLevel="0" collapsed="false">
      <c r="A3295" s="10" t="s">
        <v>7732</v>
      </c>
      <c r="B3295" s="10" t="s">
        <v>45</v>
      </c>
      <c r="C3295" s="8" t="s">
        <v>7721</v>
      </c>
      <c r="D3295" s="8" t="s">
        <v>7733</v>
      </c>
      <c r="E3295" s="11" t="n">
        <v>191</v>
      </c>
      <c r="F3295" s="8" t="str">
        <f aca="false">IFERROR(INDEX(Section_Master!$D$2:$D$477,MATCH($E3295,Section_Master!$A$2:$A$477,0))&amp;"","")</f>
        <v>Imprisonment up to 2 years, or fine, or both [s.191(2)]</v>
      </c>
      <c r="G3295" s="10" t="str">
        <f aca="false">IFERROR(INDEX(Section_Master!$E$2:$E$477,MATCH($E3295,Section_Master!$A$2:$A$477,0))&amp;"","")</f>
        <v>Yes</v>
      </c>
      <c r="H3295" s="10" t="str">
        <f aca="false">IFERROR(INDEX(Section_Master!$F$2:$F$477,MATCH($E3295,Section_Master!$A$2:$A$477,0))&amp;"","")</f>
        <v>Yes</v>
      </c>
      <c r="I3295" s="10" t="str">
        <f aca="false">IFERROR(INDEX(Section_Master!$G$2:$G$477,MATCH($E3295,Section_Master!$A$2:$A$477,0))&amp;"","")</f>
        <v>No</v>
      </c>
      <c r="J3295" s="10" t="s">
        <v>64</v>
      </c>
      <c r="K3295" s="8" t="s">
        <v>7723</v>
      </c>
    </row>
    <row r="3296" customFormat="false" ht="34.5" hidden="false" customHeight="true" outlineLevel="0" collapsed="false">
      <c r="A3296" s="10" t="s">
        <v>7734</v>
      </c>
      <c r="B3296" s="10" t="s">
        <v>45</v>
      </c>
      <c r="C3296" s="8" t="s">
        <v>7735</v>
      </c>
      <c r="D3296" s="8" t="s">
        <v>7736</v>
      </c>
      <c r="E3296" s="11" t="n">
        <v>192</v>
      </c>
      <c r="F3296" s="8" t="str">
        <f aca="false">IFERROR(INDEX(Section_Master!$D$2:$D$477,MATCH($E3296,Section_Master!$A$2:$A$477,0))&amp;"","")</f>
        <v>Imprisonment up to 1 year, or fine, or both if riot is committed; up to 6 months, or fine, or both if not [s.192]</v>
      </c>
      <c r="G3296" s="10" t="str">
        <f aca="false">IFERROR(INDEX(Section_Master!$E$2:$E$477,MATCH($E3296,Section_Master!$A$2:$A$477,0))&amp;"","")</f>
        <v>No</v>
      </c>
      <c r="H3296" s="10" t="str">
        <f aca="false">IFERROR(INDEX(Section_Master!$F$2:$F$477,MATCH($E3296,Section_Master!$A$2:$A$477,0))&amp;"","")</f>
        <v>Yes</v>
      </c>
      <c r="I3296" s="10" t="str">
        <f aca="false">IFERROR(INDEX(Section_Master!$G$2:$G$477,MATCH($E3296,Section_Master!$A$2:$A$477,0))&amp;"","")</f>
        <v>No</v>
      </c>
      <c r="J3296" s="10" t="s">
        <v>48</v>
      </c>
      <c r="K3296" s="8" t="s">
        <v>7737</v>
      </c>
    </row>
    <row r="3297" customFormat="false" ht="34.5" hidden="false" customHeight="true" outlineLevel="0" collapsed="false">
      <c r="A3297" s="10" t="s">
        <v>7738</v>
      </c>
      <c r="B3297" s="10" t="s">
        <v>45</v>
      </c>
      <c r="C3297" s="8" t="s">
        <v>7735</v>
      </c>
      <c r="D3297" s="8" t="s">
        <v>7739</v>
      </c>
      <c r="E3297" s="11" t="n">
        <v>192</v>
      </c>
      <c r="F3297" s="8" t="str">
        <f aca="false">IFERROR(INDEX(Section_Master!$D$2:$D$477,MATCH($E3297,Section_Master!$A$2:$A$477,0))&amp;"","")</f>
        <v>Imprisonment up to 1 year, or fine, or both if riot is committed; up to 6 months, or fine, or both if not [s.192]</v>
      </c>
      <c r="G3297" s="10" t="str">
        <f aca="false">IFERROR(INDEX(Section_Master!$E$2:$E$477,MATCH($E3297,Section_Master!$A$2:$A$477,0))&amp;"","")</f>
        <v>No</v>
      </c>
      <c r="H3297" s="10" t="str">
        <f aca="false">IFERROR(INDEX(Section_Master!$F$2:$F$477,MATCH($E3297,Section_Master!$A$2:$A$477,0))&amp;"","")</f>
        <v>Yes</v>
      </c>
      <c r="I3297" s="10" t="str">
        <f aca="false">IFERROR(INDEX(Section_Master!$G$2:$G$477,MATCH($E3297,Section_Master!$A$2:$A$477,0))&amp;"","")</f>
        <v>No</v>
      </c>
      <c r="J3297" s="10" t="s">
        <v>52</v>
      </c>
      <c r="K3297" s="8" t="s">
        <v>7737</v>
      </c>
    </row>
    <row r="3298" customFormat="false" ht="34.5" hidden="false" customHeight="true" outlineLevel="0" collapsed="false">
      <c r="A3298" s="10" t="s">
        <v>7740</v>
      </c>
      <c r="B3298" s="10" t="s">
        <v>45</v>
      </c>
      <c r="C3298" s="8" t="s">
        <v>7735</v>
      </c>
      <c r="D3298" s="8" t="s">
        <v>7741</v>
      </c>
      <c r="E3298" s="11" t="n">
        <v>192</v>
      </c>
      <c r="F3298" s="8" t="str">
        <f aca="false">IFERROR(INDEX(Section_Master!$D$2:$D$477,MATCH($E3298,Section_Master!$A$2:$A$477,0))&amp;"","")</f>
        <v>Imprisonment up to 1 year, or fine, or both if riot is committed; up to 6 months, or fine, or both if not [s.192]</v>
      </c>
      <c r="G3298" s="10" t="str">
        <f aca="false">IFERROR(INDEX(Section_Master!$E$2:$E$477,MATCH($E3298,Section_Master!$A$2:$A$477,0))&amp;"","")</f>
        <v>No</v>
      </c>
      <c r="H3298" s="10" t="str">
        <f aca="false">IFERROR(INDEX(Section_Master!$F$2:$F$477,MATCH($E3298,Section_Master!$A$2:$A$477,0))&amp;"","")</f>
        <v>Yes</v>
      </c>
      <c r="I3298" s="10" t="str">
        <f aca="false">IFERROR(INDEX(Section_Master!$G$2:$G$477,MATCH($E3298,Section_Master!$A$2:$A$477,0))&amp;"","")</f>
        <v>No</v>
      </c>
      <c r="J3298" s="10" t="s">
        <v>55</v>
      </c>
      <c r="K3298" s="8" t="s">
        <v>7737</v>
      </c>
    </row>
    <row r="3299" customFormat="false" ht="23.25" hidden="false" customHeight="true" outlineLevel="0" collapsed="false">
      <c r="A3299" s="10" t="s">
        <v>7742</v>
      </c>
      <c r="B3299" s="10" t="s">
        <v>45</v>
      </c>
      <c r="C3299" s="8" t="s">
        <v>7735</v>
      </c>
      <c r="D3299" s="8" t="s">
        <v>7743</v>
      </c>
      <c r="E3299" s="11" t="n">
        <v>192</v>
      </c>
      <c r="F3299" s="8" t="str">
        <f aca="false">IFERROR(INDEX(Section_Master!$D$2:$D$477,MATCH($E3299,Section_Master!$A$2:$A$477,0))&amp;"","")</f>
        <v>Imprisonment up to 1 year, or fine, or both if riot is committed; up to 6 months, or fine, or both if not [s.192]</v>
      </c>
      <c r="G3299" s="10" t="str">
        <f aca="false">IFERROR(INDEX(Section_Master!$E$2:$E$477,MATCH($E3299,Section_Master!$A$2:$A$477,0))&amp;"","")</f>
        <v>No</v>
      </c>
      <c r="H3299" s="10" t="str">
        <f aca="false">IFERROR(INDEX(Section_Master!$F$2:$F$477,MATCH($E3299,Section_Master!$A$2:$A$477,0))&amp;"","")</f>
        <v>Yes</v>
      </c>
      <c r="I3299" s="10" t="str">
        <f aca="false">IFERROR(INDEX(Section_Master!$G$2:$G$477,MATCH($E3299,Section_Master!$A$2:$A$477,0))&amp;"","")</f>
        <v>No</v>
      </c>
      <c r="J3299" s="10" t="s">
        <v>58</v>
      </c>
      <c r="K3299" s="8" t="s">
        <v>7737</v>
      </c>
    </row>
    <row r="3300" customFormat="false" ht="34.5" hidden="false" customHeight="true" outlineLevel="0" collapsed="false">
      <c r="A3300" s="10" t="s">
        <v>7744</v>
      </c>
      <c r="B3300" s="10" t="s">
        <v>45</v>
      </c>
      <c r="C3300" s="8" t="s">
        <v>7735</v>
      </c>
      <c r="D3300" s="8" t="s">
        <v>7745</v>
      </c>
      <c r="E3300" s="11" t="n">
        <v>192</v>
      </c>
      <c r="F3300" s="8" t="str">
        <f aca="false">IFERROR(INDEX(Section_Master!$D$2:$D$477,MATCH($E3300,Section_Master!$A$2:$A$477,0))&amp;"","")</f>
        <v>Imprisonment up to 1 year, or fine, or both if riot is committed; up to 6 months, or fine, or both if not [s.192]</v>
      </c>
      <c r="G3300" s="10" t="str">
        <f aca="false">IFERROR(INDEX(Section_Master!$E$2:$E$477,MATCH($E3300,Section_Master!$A$2:$A$477,0))&amp;"","")</f>
        <v>No</v>
      </c>
      <c r="H3300" s="10" t="str">
        <f aca="false">IFERROR(INDEX(Section_Master!$F$2:$F$477,MATCH($E3300,Section_Master!$A$2:$A$477,0))&amp;"","")</f>
        <v>Yes</v>
      </c>
      <c r="I3300" s="10" t="str">
        <f aca="false">IFERROR(INDEX(Section_Master!$G$2:$G$477,MATCH($E3300,Section_Master!$A$2:$A$477,0))&amp;"","")</f>
        <v>No</v>
      </c>
      <c r="J3300" s="10" t="s">
        <v>61</v>
      </c>
      <c r="K3300" s="8" t="s">
        <v>7737</v>
      </c>
    </row>
    <row r="3301" customFormat="false" ht="34.5" hidden="false" customHeight="true" outlineLevel="0" collapsed="false">
      <c r="A3301" s="10" t="s">
        <v>7746</v>
      </c>
      <c r="B3301" s="10" t="s">
        <v>45</v>
      </c>
      <c r="C3301" s="8" t="s">
        <v>7735</v>
      </c>
      <c r="D3301" s="8" t="s">
        <v>7747</v>
      </c>
      <c r="E3301" s="11" t="n">
        <v>192</v>
      </c>
      <c r="F3301" s="8" t="str">
        <f aca="false">IFERROR(INDEX(Section_Master!$D$2:$D$477,MATCH($E3301,Section_Master!$A$2:$A$477,0))&amp;"","")</f>
        <v>Imprisonment up to 1 year, or fine, or both if riot is committed; up to 6 months, or fine, or both if not [s.192]</v>
      </c>
      <c r="G3301" s="10" t="str">
        <f aca="false">IFERROR(INDEX(Section_Master!$E$2:$E$477,MATCH($E3301,Section_Master!$A$2:$A$477,0))&amp;"","")</f>
        <v>No</v>
      </c>
      <c r="H3301" s="10" t="str">
        <f aca="false">IFERROR(INDEX(Section_Master!$F$2:$F$477,MATCH($E3301,Section_Master!$A$2:$A$477,0))&amp;"","")</f>
        <v>Yes</v>
      </c>
      <c r="I3301" s="10" t="str">
        <f aca="false">IFERROR(INDEX(Section_Master!$G$2:$G$477,MATCH($E3301,Section_Master!$A$2:$A$477,0))&amp;"","")</f>
        <v>No</v>
      </c>
      <c r="J3301" s="10" t="s">
        <v>64</v>
      </c>
      <c r="K3301" s="8" t="s">
        <v>7737</v>
      </c>
    </row>
    <row r="3302" customFormat="false" ht="34.5" hidden="false" customHeight="true" outlineLevel="0" collapsed="false">
      <c r="A3302" s="10" t="s">
        <v>7748</v>
      </c>
      <c r="B3302" s="10" t="s">
        <v>45</v>
      </c>
      <c r="C3302" s="8" t="s">
        <v>7749</v>
      </c>
      <c r="D3302" s="8" t="s">
        <v>7750</v>
      </c>
      <c r="E3302" s="11" t="n">
        <v>193</v>
      </c>
      <c r="F3302" s="8" t="str">
        <f aca="false">IFERROR(INDEX(Section_Master!$D$2:$D$477,MATCH($E3302,Section_Master!$A$2:$A$477,0))&amp;"","")</f>
        <v>Fine</v>
      </c>
      <c r="G3302" s="10" t="str">
        <f aca="false">IFERROR(INDEX(Section_Master!$E$2:$E$477,MATCH($E3302,Section_Master!$A$2:$A$477,0))&amp;"","")</f>
        <v>No</v>
      </c>
      <c r="H3302" s="10" t="str">
        <f aca="false">IFERROR(INDEX(Section_Master!$F$2:$F$477,MATCH($E3302,Section_Master!$A$2:$A$477,0))&amp;"","")</f>
        <v>Yes</v>
      </c>
      <c r="I3302" s="10" t="str">
        <f aca="false">IFERROR(INDEX(Section_Master!$G$2:$G$477,MATCH($E3302,Section_Master!$A$2:$A$477,0))&amp;"","")</f>
        <v>No</v>
      </c>
      <c r="J3302" s="10" t="s">
        <v>48</v>
      </c>
      <c r="K3302" s="8" t="s">
        <v>7751</v>
      </c>
    </row>
    <row r="3303" customFormat="false" ht="45.75" hidden="false" customHeight="true" outlineLevel="0" collapsed="false">
      <c r="A3303" s="10" t="s">
        <v>7752</v>
      </c>
      <c r="B3303" s="10" t="s">
        <v>45</v>
      </c>
      <c r="C3303" s="8" t="s">
        <v>7749</v>
      </c>
      <c r="D3303" s="8" t="s">
        <v>7753</v>
      </c>
      <c r="E3303" s="11" t="n">
        <v>193</v>
      </c>
      <c r="F3303" s="8" t="str">
        <f aca="false">IFERROR(INDEX(Section_Master!$D$2:$D$477,MATCH($E3303,Section_Master!$A$2:$A$477,0))&amp;"","")</f>
        <v>Fine</v>
      </c>
      <c r="G3303" s="10" t="str">
        <f aca="false">IFERROR(INDEX(Section_Master!$E$2:$E$477,MATCH($E3303,Section_Master!$A$2:$A$477,0))&amp;"","")</f>
        <v>No</v>
      </c>
      <c r="H3303" s="10" t="str">
        <f aca="false">IFERROR(INDEX(Section_Master!$F$2:$F$477,MATCH($E3303,Section_Master!$A$2:$A$477,0))&amp;"","")</f>
        <v>Yes</v>
      </c>
      <c r="I3303" s="10" t="str">
        <f aca="false">IFERROR(INDEX(Section_Master!$G$2:$G$477,MATCH($E3303,Section_Master!$A$2:$A$477,0))&amp;"","")</f>
        <v>No</v>
      </c>
      <c r="J3303" s="10" t="s">
        <v>52</v>
      </c>
      <c r="K3303" s="8" t="s">
        <v>7751</v>
      </c>
    </row>
    <row r="3304" customFormat="false" ht="34.5" hidden="false" customHeight="true" outlineLevel="0" collapsed="false">
      <c r="A3304" s="10" t="s">
        <v>7754</v>
      </c>
      <c r="B3304" s="10" t="s">
        <v>45</v>
      </c>
      <c r="C3304" s="8" t="s">
        <v>7749</v>
      </c>
      <c r="D3304" s="8" t="s">
        <v>7755</v>
      </c>
      <c r="E3304" s="11" t="n">
        <v>193</v>
      </c>
      <c r="F3304" s="8" t="str">
        <f aca="false">IFERROR(INDEX(Section_Master!$D$2:$D$477,MATCH($E3304,Section_Master!$A$2:$A$477,0))&amp;"","")</f>
        <v>Fine</v>
      </c>
      <c r="G3304" s="10" t="str">
        <f aca="false">IFERROR(INDEX(Section_Master!$E$2:$E$477,MATCH($E3304,Section_Master!$A$2:$A$477,0))&amp;"","")</f>
        <v>No</v>
      </c>
      <c r="H3304" s="10" t="str">
        <f aca="false">IFERROR(INDEX(Section_Master!$F$2:$F$477,MATCH($E3304,Section_Master!$A$2:$A$477,0))&amp;"","")</f>
        <v>Yes</v>
      </c>
      <c r="I3304" s="10" t="str">
        <f aca="false">IFERROR(INDEX(Section_Master!$G$2:$G$477,MATCH($E3304,Section_Master!$A$2:$A$477,0))&amp;"","")</f>
        <v>No</v>
      </c>
      <c r="J3304" s="10" t="s">
        <v>55</v>
      </c>
      <c r="K3304" s="8" t="s">
        <v>7751</v>
      </c>
    </row>
    <row r="3305" customFormat="false" ht="23.25" hidden="false" customHeight="true" outlineLevel="0" collapsed="false">
      <c r="A3305" s="10" t="s">
        <v>7756</v>
      </c>
      <c r="B3305" s="10" t="s">
        <v>45</v>
      </c>
      <c r="C3305" s="8" t="s">
        <v>7749</v>
      </c>
      <c r="D3305" s="8" t="s">
        <v>7757</v>
      </c>
      <c r="E3305" s="11" t="n">
        <v>193</v>
      </c>
      <c r="F3305" s="8" t="str">
        <f aca="false">IFERROR(INDEX(Section_Master!$D$2:$D$477,MATCH($E3305,Section_Master!$A$2:$A$477,0))&amp;"","")</f>
        <v>Fine</v>
      </c>
      <c r="G3305" s="10" t="str">
        <f aca="false">IFERROR(INDEX(Section_Master!$E$2:$E$477,MATCH($E3305,Section_Master!$A$2:$A$477,0))&amp;"","")</f>
        <v>No</v>
      </c>
      <c r="H3305" s="10" t="str">
        <f aca="false">IFERROR(INDEX(Section_Master!$F$2:$F$477,MATCH($E3305,Section_Master!$A$2:$A$477,0))&amp;"","")</f>
        <v>Yes</v>
      </c>
      <c r="I3305" s="10" t="str">
        <f aca="false">IFERROR(INDEX(Section_Master!$G$2:$G$477,MATCH($E3305,Section_Master!$A$2:$A$477,0))&amp;"","")</f>
        <v>No</v>
      </c>
      <c r="J3305" s="10" t="s">
        <v>58</v>
      </c>
      <c r="K3305" s="8" t="s">
        <v>7751</v>
      </c>
    </row>
    <row r="3306" customFormat="false" ht="34.5" hidden="false" customHeight="true" outlineLevel="0" collapsed="false">
      <c r="A3306" s="10" t="s">
        <v>7758</v>
      </c>
      <c r="B3306" s="10" t="s">
        <v>45</v>
      </c>
      <c r="C3306" s="8" t="s">
        <v>7749</v>
      </c>
      <c r="D3306" s="8" t="s">
        <v>7759</v>
      </c>
      <c r="E3306" s="11" t="n">
        <v>193</v>
      </c>
      <c r="F3306" s="8" t="str">
        <f aca="false">IFERROR(INDEX(Section_Master!$D$2:$D$477,MATCH($E3306,Section_Master!$A$2:$A$477,0))&amp;"","")</f>
        <v>Fine</v>
      </c>
      <c r="G3306" s="10" t="str">
        <f aca="false">IFERROR(INDEX(Section_Master!$E$2:$E$477,MATCH($E3306,Section_Master!$A$2:$A$477,0))&amp;"","")</f>
        <v>No</v>
      </c>
      <c r="H3306" s="10" t="str">
        <f aca="false">IFERROR(INDEX(Section_Master!$F$2:$F$477,MATCH($E3306,Section_Master!$A$2:$A$477,0))&amp;"","")</f>
        <v>Yes</v>
      </c>
      <c r="I3306" s="10" t="str">
        <f aca="false">IFERROR(INDEX(Section_Master!$G$2:$G$477,MATCH($E3306,Section_Master!$A$2:$A$477,0))&amp;"","")</f>
        <v>No</v>
      </c>
      <c r="J3306" s="10" t="s">
        <v>61</v>
      </c>
      <c r="K3306" s="8" t="s">
        <v>7751</v>
      </c>
    </row>
    <row r="3307" customFormat="false" ht="34.5" hidden="false" customHeight="true" outlineLevel="0" collapsed="false">
      <c r="A3307" s="10" t="s">
        <v>7760</v>
      </c>
      <c r="B3307" s="10" t="s">
        <v>45</v>
      </c>
      <c r="C3307" s="8" t="s">
        <v>7749</v>
      </c>
      <c r="D3307" s="8" t="s">
        <v>7761</v>
      </c>
      <c r="E3307" s="11" t="n">
        <v>193</v>
      </c>
      <c r="F3307" s="8" t="str">
        <f aca="false">IFERROR(INDEX(Section_Master!$D$2:$D$477,MATCH($E3307,Section_Master!$A$2:$A$477,0))&amp;"","")</f>
        <v>Fine</v>
      </c>
      <c r="G3307" s="10" t="str">
        <f aca="false">IFERROR(INDEX(Section_Master!$E$2:$E$477,MATCH($E3307,Section_Master!$A$2:$A$477,0))&amp;"","")</f>
        <v>No</v>
      </c>
      <c r="H3307" s="10" t="str">
        <f aca="false">IFERROR(INDEX(Section_Master!$F$2:$F$477,MATCH($E3307,Section_Master!$A$2:$A$477,0))&amp;"","")</f>
        <v>Yes</v>
      </c>
      <c r="I3307" s="10" t="str">
        <f aca="false">IFERROR(INDEX(Section_Master!$G$2:$G$477,MATCH($E3307,Section_Master!$A$2:$A$477,0))&amp;"","")</f>
        <v>No</v>
      </c>
      <c r="J3307" s="10" t="s">
        <v>64</v>
      </c>
      <c r="K3307" s="8" t="s">
        <v>7751</v>
      </c>
    </row>
    <row r="3308" customFormat="false" ht="34.5" hidden="false" customHeight="true" outlineLevel="0" collapsed="false">
      <c r="A3308" s="10" t="s">
        <v>7762</v>
      </c>
      <c r="B3308" s="10" t="s">
        <v>45</v>
      </c>
      <c r="C3308" s="8" t="s">
        <v>7763</v>
      </c>
      <c r="D3308" s="8" t="s">
        <v>7764</v>
      </c>
      <c r="E3308" s="11" t="n">
        <v>194</v>
      </c>
      <c r="F3308" s="8" t="str">
        <f aca="false">IFERROR(INDEX(Section_Master!$D$2:$D$477,MATCH($E3308,Section_Master!$A$2:$A$477,0))&amp;"","")</f>
        <v>Imprisonment up to 1 month, or fine, or both</v>
      </c>
      <c r="G3308" s="10" t="str">
        <f aca="false">IFERROR(INDEX(Section_Master!$E$2:$E$477,MATCH($E3308,Section_Master!$A$2:$A$477,0))&amp;"","")</f>
        <v>Yes</v>
      </c>
      <c r="H3308" s="10" t="str">
        <f aca="false">IFERROR(INDEX(Section_Master!$F$2:$F$477,MATCH($E3308,Section_Master!$A$2:$A$477,0))&amp;"","")</f>
        <v>Yes</v>
      </c>
      <c r="I3308" s="10" t="str">
        <f aca="false">IFERROR(INDEX(Section_Master!$G$2:$G$477,MATCH($E3308,Section_Master!$A$2:$A$477,0))&amp;"","")</f>
        <v>No</v>
      </c>
      <c r="J3308" s="10" t="s">
        <v>48</v>
      </c>
      <c r="K3308" s="8" t="s">
        <v>7765</v>
      </c>
    </row>
    <row r="3309" customFormat="false" ht="34.5" hidden="false" customHeight="true" outlineLevel="0" collapsed="false">
      <c r="A3309" s="10" t="s">
        <v>7766</v>
      </c>
      <c r="B3309" s="10" t="s">
        <v>45</v>
      </c>
      <c r="C3309" s="8" t="s">
        <v>7763</v>
      </c>
      <c r="D3309" s="8" t="s">
        <v>7767</v>
      </c>
      <c r="E3309" s="11" t="n">
        <v>194</v>
      </c>
      <c r="F3309" s="8" t="str">
        <f aca="false">IFERROR(INDEX(Section_Master!$D$2:$D$477,MATCH($E3309,Section_Master!$A$2:$A$477,0))&amp;"","")</f>
        <v>Imprisonment up to 1 month, or fine, or both</v>
      </c>
      <c r="G3309" s="10" t="str">
        <f aca="false">IFERROR(INDEX(Section_Master!$E$2:$E$477,MATCH($E3309,Section_Master!$A$2:$A$477,0))&amp;"","")</f>
        <v>Yes</v>
      </c>
      <c r="H3309" s="10" t="str">
        <f aca="false">IFERROR(INDEX(Section_Master!$F$2:$F$477,MATCH($E3309,Section_Master!$A$2:$A$477,0))&amp;"","")</f>
        <v>Yes</v>
      </c>
      <c r="I3309" s="10" t="str">
        <f aca="false">IFERROR(INDEX(Section_Master!$G$2:$G$477,MATCH($E3309,Section_Master!$A$2:$A$477,0))&amp;"","")</f>
        <v>No</v>
      </c>
      <c r="J3309" s="10" t="s">
        <v>52</v>
      </c>
      <c r="K3309" s="8" t="s">
        <v>7765</v>
      </c>
    </row>
    <row r="3310" customFormat="false" ht="34.5" hidden="false" customHeight="true" outlineLevel="0" collapsed="false">
      <c r="A3310" s="10" t="s">
        <v>7768</v>
      </c>
      <c r="B3310" s="10" t="s">
        <v>45</v>
      </c>
      <c r="C3310" s="8" t="s">
        <v>7763</v>
      </c>
      <c r="D3310" s="8" t="s">
        <v>7769</v>
      </c>
      <c r="E3310" s="11" t="n">
        <v>194</v>
      </c>
      <c r="F3310" s="8" t="str">
        <f aca="false">IFERROR(INDEX(Section_Master!$D$2:$D$477,MATCH($E3310,Section_Master!$A$2:$A$477,0))&amp;"","")</f>
        <v>Imprisonment up to 1 month, or fine, or both</v>
      </c>
      <c r="G3310" s="10" t="str">
        <f aca="false">IFERROR(INDEX(Section_Master!$E$2:$E$477,MATCH($E3310,Section_Master!$A$2:$A$477,0))&amp;"","")</f>
        <v>Yes</v>
      </c>
      <c r="H3310" s="10" t="str">
        <f aca="false">IFERROR(INDEX(Section_Master!$F$2:$F$477,MATCH($E3310,Section_Master!$A$2:$A$477,0))&amp;"","")</f>
        <v>Yes</v>
      </c>
      <c r="I3310" s="10" t="str">
        <f aca="false">IFERROR(INDEX(Section_Master!$G$2:$G$477,MATCH($E3310,Section_Master!$A$2:$A$477,0))&amp;"","")</f>
        <v>No</v>
      </c>
      <c r="J3310" s="10" t="s">
        <v>55</v>
      </c>
      <c r="K3310" s="8" t="s">
        <v>7765</v>
      </c>
    </row>
    <row r="3311" customFormat="false" ht="23.25" hidden="false" customHeight="true" outlineLevel="0" collapsed="false">
      <c r="A3311" s="10" t="s">
        <v>7770</v>
      </c>
      <c r="B3311" s="10" t="s">
        <v>45</v>
      </c>
      <c r="C3311" s="8" t="s">
        <v>7763</v>
      </c>
      <c r="D3311" s="8" t="s">
        <v>7771</v>
      </c>
      <c r="E3311" s="11" t="n">
        <v>194</v>
      </c>
      <c r="F3311" s="8" t="str">
        <f aca="false">IFERROR(INDEX(Section_Master!$D$2:$D$477,MATCH($E3311,Section_Master!$A$2:$A$477,0))&amp;"","")</f>
        <v>Imprisonment up to 1 month, or fine, or both</v>
      </c>
      <c r="G3311" s="10" t="str">
        <f aca="false">IFERROR(INDEX(Section_Master!$E$2:$E$477,MATCH($E3311,Section_Master!$A$2:$A$477,0))&amp;"","")</f>
        <v>Yes</v>
      </c>
      <c r="H3311" s="10" t="str">
        <f aca="false">IFERROR(INDEX(Section_Master!$F$2:$F$477,MATCH($E3311,Section_Master!$A$2:$A$477,0))&amp;"","")</f>
        <v>Yes</v>
      </c>
      <c r="I3311" s="10" t="str">
        <f aca="false">IFERROR(INDEX(Section_Master!$G$2:$G$477,MATCH($E3311,Section_Master!$A$2:$A$477,0))&amp;"","")</f>
        <v>No</v>
      </c>
      <c r="J3311" s="10" t="s">
        <v>58</v>
      </c>
      <c r="K3311" s="8" t="s">
        <v>7765</v>
      </c>
    </row>
    <row r="3312" customFormat="false" ht="34.5" hidden="false" customHeight="true" outlineLevel="0" collapsed="false">
      <c r="A3312" s="10" t="s">
        <v>7772</v>
      </c>
      <c r="B3312" s="10" t="s">
        <v>45</v>
      </c>
      <c r="C3312" s="8" t="s">
        <v>7763</v>
      </c>
      <c r="D3312" s="8" t="s">
        <v>7773</v>
      </c>
      <c r="E3312" s="11" t="n">
        <v>194</v>
      </c>
      <c r="F3312" s="8" t="str">
        <f aca="false">IFERROR(INDEX(Section_Master!$D$2:$D$477,MATCH($E3312,Section_Master!$A$2:$A$477,0))&amp;"","")</f>
        <v>Imprisonment up to 1 month, or fine, or both</v>
      </c>
      <c r="G3312" s="10" t="str">
        <f aca="false">IFERROR(INDEX(Section_Master!$E$2:$E$477,MATCH($E3312,Section_Master!$A$2:$A$477,0))&amp;"","")</f>
        <v>Yes</v>
      </c>
      <c r="H3312" s="10" t="str">
        <f aca="false">IFERROR(INDEX(Section_Master!$F$2:$F$477,MATCH($E3312,Section_Master!$A$2:$A$477,0))&amp;"","")</f>
        <v>Yes</v>
      </c>
      <c r="I3312" s="10" t="str">
        <f aca="false">IFERROR(INDEX(Section_Master!$G$2:$G$477,MATCH($E3312,Section_Master!$A$2:$A$477,0))&amp;"","")</f>
        <v>No</v>
      </c>
      <c r="J3312" s="10" t="s">
        <v>61</v>
      </c>
      <c r="K3312" s="8" t="s">
        <v>7765</v>
      </c>
    </row>
    <row r="3313" customFormat="false" ht="34.5" hidden="false" customHeight="true" outlineLevel="0" collapsed="false">
      <c r="A3313" s="10" t="s">
        <v>7774</v>
      </c>
      <c r="B3313" s="10" t="s">
        <v>45</v>
      </c>
      <c r="C3313" s="8" t="s">
        <v>7763</v>
      </c>
      <c r="D3313" s="8" t="s">
        <v>7775</v>
      </c>
      <c r="E3313" s="11" t="n">
        <v>194</v>
      </c>
      <c r="F3313" s="8" t="str">
        <f aca="false">IFERROR(INDEX(Section_Master!$D$2:$D$477,MATCH($E3313,Section_Master!$A$2:$A$477,0))&amp;"","")</f>
        <v>Imprisonment up to 1 month, or fine, or both</v>
      </c>
      <c r="G3313" s="10" t="str">
        <f aca="false">IFERROR(INDEX(Section_Master!$E$2:$E$477,MATCH($E3313,Section_Master!$A$2:$A$477,0))&amp;"","")</f>
        <v>Yes</v>
      </c>
      <c r="H3313" s="10" t="str">
        <f aca="false">IFERROR(INDEX(Section_Master!$F$2:$F$477,MATCH($E3313,Section_Master!$A$2:$A$477,0))&amp;"","")</f>
        <v>Yes</v>
      </c>
      <c r="I3313" s="10" t="str">
        <f aca="false">IFERROR(INDEX(Section_Master!$G$2:$G$477,MATCH($E3313,Section_Master!$A$2:$A$477,0))&amp;"","")</f>
        <v>No</v>
      </c>
      <c r="J3313" s="10" t="s">
        <v>64</v>
      </c>
      <c r="K3313" s="8" t="s">
        <v>7765</v>
      </c>
    </row>
    <row r="3314" customFormat="false" ht="34.5" hidden="false" customHeight="true" outlineLevel="0" collapsed="false">
      <c r="A3314" s="10" t="s">
        <v>7776</v>
      </c>
      <c r="B3314" s="10" t="s">
        <v>45</v>
      </c>
      <c r="C3314" s="8" t="s">
        <v>7777</v>
      </c>
      <c r="D3314" s="8" t="s">
        <v>7778</v>
      </c>
      <c r="E3314" s="11" t="n">
        <v>195</v>
      </c>
      <c r="F3314" s="8" t="str">
        <f aca="false">IFERROR(INDEX(Section_Master!$D$2:$D$477,MATCH($E3314,Section_Master!$A$2:$A$477,0))&amp;"","")</f>
        <v>Imprisonment up to 3 years, or fine, or both</v>
      </c>
      <c r="G3314" s="10" t="str">
        <f aca="false">IFERROR(INDEX(Section_Master!$E$2:$E$477,MATCH($E3314,Section_Master!$A$2:$A$477,0))&amp;"","")</f>
        <v>Yes</v>
      </c>
      <c r="H3314" s="10" t="str">
        <f aca="false">IFERROR(INDEX(Section_Master!$F$2:$F$477,MATCH($E3314,Section_Master!$A$2:$A$477,0))&amp;"","")</f>
        <v>No</v>
      </c>
      <c r="I3314" s="10" t="str">
        <f aca="false">IFERROR(INDEX(Section_Master!$G$2:$G$477,MATCH($E3314,Section_Master!$A$2:$A$477,0))&amp;"","")</f>
        <v>No</v>
      </c>
      <c r="J3314" s="10" t="s">
        <v>48</v>
      </c>
      <c r="K3314" s="8" t="s">
        <v>7779</v>
      </c>
    </row>
    <row r="3315" customFormat="false" ht="34.5" hidden="false" customHeight="true" outlineLevel="0" collapsed="false">
      <c r="A3315" s="10" t="s">
        <v>7780</v>
      </c>
      <c r="B3315" s="10" t="s">
        <v>45</v>
      </c>
      <c r="C3315" s="8" t="s">
        <v>7777</v>
      </c>
      <c r="D3315" s="8" t="s">
        <v>7781</v>
      </c>
      <c r="E3315" s="11" t="n">
        <v>195</v>
      </c>
      <c r="F3315" s="8" t="str">
        <f aca="false">IFERROR(INDEX(Section_Master!$D$2:$D$477,MATCH($E3315,Section_Master!$A$2:$A$477,0))&amp;"","")</f>
        <v>Imprisonment up to 3 years, or fine, or both</v>
      </c>
      <c r="G3315" s="10" t="str">
        <f aca="false">IFERROR(INDEX(Section_Master!$E$2:$E$477,MATCH($E3315,Section_Master!$A$2:$A$477,0))&amp;"","")</f>
        <v>Yes</v>
      </c>
      <c r="H3315" s="10" t="str">
        <f aca="false">IFERROR(INDEX(Section_Master!$F$2:$F$477,MATCH($E3315,Section_Master!$A$2:$A$477,0))&amp;"","")</f>
        <v>No</v>
      </c>
      <c r="I3315" s="10" t="str">
        <f aca="false">IFERROR(INDEX(Section_Master!$G$2:$G$477,MATCH($E3315,Section_Master!$A$2:$A$477,0))&amp;"","")</f>
        <v>No</v>
      </c>
      <c r="J3315" s="10" t="s">
        <v>52</v>
      </c>
      <c r="K3315" s="8" t="s">
        <v>7779</v>
      </c>
    </row>
    <row r="3316" customFormat="false" ht="34.5" hidden="false" customHeight="true" outlineLevel="0" collapsed="false">
      <c r="A3316" s="10" t="s">
        <v>7782</v>
      </c>
      <c r="B3316" s="10" t="s">
        <v>45</v>
      </c>
      <c r="C3316" s="8" t="s">
        <v>7777</v>
      </c>
      <c r="D3316" s="8" t="s">
        <v>7783</v>
      </c>
      <c r="E3316" s="11" t="n">
        <v>195</v>
      </c>
      <c r="F3316" s="8" t="str">
        <f aca="false">IFERROR(INDEX(Section_Master!$D$2:$D$477,MATCH($E3316,Section_Master!$A$2:$A$477,0))&amp;"","")</f>
        <v>Imprisonment up to 3 years, or fine, or both</v>
      </c>
      <c r="G3316" s="10" t="str">
        <f aca="false">IFERROR(INDEX(Section_Master!$E$2:$E$477,MATCH($E3316,Section_Master!$A$2:$A$477,0))&amp;"","")</f>
        <v>Yes</v>
      </c>
      <c r="H3316" s="10" t="str">
        <f aca="false">IFERROR(INDEX(Section_Master!$F$2:$F$477,MATCH($E3316,Section_Master!$A$2:$A$477,0))&amp;"","")</f>
        <v>No</v>
      </c>
      <c r="I3316" s="10" t="str">
        <f aca="false">IFERROR(INDEX(Section_Master!$G$2:$G$477,MATCH($E3316,Section_Master!$A$2:$A$477,0))&amp;"","")</f>
        <v>No</v>
      </c>
      <c r="J3316" s="10" t="s">
        <v>55</v>
      </c>
      <c r="K3316" s="8" t="s">
        <v>7779</v>
      </c>
    </row>
    <row r="3317" customFormat="false" ht="23.25" hidden="false" customHeight="true" outlineLevel="0" collapsed="false">
      <c r="A3317" s="10" t="s">
        <v>7784</v>
      </c>
      <c r="B3317" s="10" t="s">
        <v>45</v>
      </c>
      <c r="C3317" s="8" t="s">
        <v>7777</v>
      </c>
      <c r="D3317" s="8" t="s">
        <v>7785</v>
      </c>
      <c r="E3317" s="11" t="n">
        <v>195</v>
      </c>
      <c r="F3317" s="8" t="str">
        <f aca="false">IFERROR(INDEX(Section_Master!$D$2:$D$477,MATCH($E3317,Section_Master!$A$2:$A$477,0))&amp;"","")</f>
        <v>Imprisonment up to 3 years, or fine, or both</v>
      </c>
      <c r="G3317" s="10" t="str">
        <f aca="false">IFERROR(INDEX(Section_Master!$E$2:$E$477,MATCH($E3317,Section_Master!$A$2:$A$477,0))&amp;"","")</f>
        <v>Yes</v>
      </c>
      <c r="H3317" s="10" t="str">
        <f aca="false">IFERROR(INDEX(Section_Master!$F$2:$F$477,MATCH($E3317,Section_Master!$A$2:$A$477,0))&amp;"","")</f>
        <v>No</v>
      </c>
      <c r="I3317" s="10" t="str">
        <f aca="false">IFERROR(INDEX(Section_Master!$G$2:$G$477,MATCH($E3317,Section_Master!$A$2:$A$477,0))&amp;"","")</f>
        <v>No</v>
      </c>
      <c r="J3317" s="10" t="s">
        <v>58</v>
      </c>
      <c r="K3317" s="8" t="s">
        <v>7779</v>
      </c>
    </row>
    <row r="3318" customFormat="false" ht="23.25" hidden="false" customHeight="true" outlineLevel="0" collapsed="false">
      <c r="A3318" s="10" t="s">
        <v>7786</v>
      </c>
      <c r="B3318" s="10" t="s">
        <v>45</v>
      </c>
      <c r="C3318" s="8" t="s">
        <v>7777</v>
      </c>
      <c r="D3318" s="8" t="s">
        <v>7787</v>
      </c>
      <c r="E3318" s="11" t="n">
        <v>195</v>
      </c>
      <c r="F3318" s="8" t="str">
        <f aca="false">IFERROR(INDEX(Section_Master!$D$2:$D$477,MATCH($E3318,Section_Master!$A$2:$A$477,0))&amp;"","")</f>
        <v>Imprisonment up to 3 years, or fine, or both</v>
      </c>
      <c r="G3318" s="10" t="str">
        <f aca="false">IFERROR(INDEX(Section_Master!$E$2:$E$477,MATCH($E3318,Section_Master!$A$2:$A$477,0))&amp;"","")</f>
        <v>Yes</v>
      </c>
      <c r="H3318" s="10" t="str">
        <f aca="false">IFERROR(INDEX(Section_Master!$F$2:$F$477,MATCH($E3318,Section_Master!$A$2:$A$477,0))&amp;"","")</f>
        <v>No</v>
      </c>
      <c r="I3318" s="10" t="str">
        <f aca="false">IFERROR(INDEX(Section_Master!$G$2:$G$477,MATCH($E3318,Section_Master!$A$2:$A$477,0))&amp;"","")</f>
        <v>No</v>
      </c>
      <c r="J3318" s="10" t="s">
        <v>61</v>
      </c>
      <c r="K3318" s="8" t="s">
        <v>7779</v>
      </c>
    </row>
    <row r="3319" customFormat="false" ht="34.5" hidden="false" customHeight="true" outlineLevel="0" collapsed="false">
      <c r="A3319" s="10" t="s">
        <v>7788</v>
      </c>
      <c r="B3319" s="10" t="s">
        <v>45</v>
      </c>
      <c r="C3319" s="8" t="s">
        <v>7777</v>
      </c>
      <c r="D3319" s="8" t="s">
        <v>7789</v>
      </c>
      <c r="E3319" s="11" t="n">
        <v>195</v>
      </c>
      <c r="F3319" s="8" t="str">
        <f aca="false">IFERROR(INDEX(Section_Master!$D$2:$D$477,MATCH($E3319,Section_Master!$A$2:$A$477,0))&amp;"","")</f>
        <v>Imprisonment up to 3 years, or fine, or both</v>
      </c>
      <c r="G3319" s="10" t="str">
        <f aca="false">IFERROR(INDEX(Section_Master!$E$2:$E$477,MATCH($E3319,Section_Master!$A$2:$A$477,0))&amp;"","")</f>
        <v>Yes</v>
      </c>
      <c r="H3319" s="10" t="str">
        <f aca="false">IFERROR(INDEX(Section_Master!$F$2:$F$477,MATCH($E3319,Section_Master!$A$2:$A$477,0))&amp;"","")</f>
        <v>No</v>
      </c>
      <c r="I3319" s="10" t="str">
        <f aca="false">IFERROR(INDEX(Section_Master!$G$2:$G$477,MATCH($E3319,Section_Master!$A$2:$A$477,0))&amp;"","")</f>
        <v>No</v>
      </c>
      <c r="J3319" s="10" t="s">
        <v>64</v>
      </c>
      <c r="K3319" s="8" t="s">
        <v>7779</v>
      </c>
    </row>
    <row r="3320" customFormat="false" ht="23.25" hidden="false" customHeight="true" outlineLevel="0" collapsed="false">
      <c r="A3320" s="10" t="s">
        <v>7790</v>
      </c>
      <c r="B3320" s="10" t="s">
        <v>45</v>
      </c>
      <c r="C3320" s="8" t="s">
        <v>7791</v>
      </c>
      <c r="D3320" s="8" t="s">
        <v>7792</v>
      </c>
      <c r="E3320" s="11" t="n">
        <v>196</v>
      </c>
      <c r="F3320" s="8" t="str">
        <f aca="false">IFERROR(INDEX(Section_Master!$D$2:$D$477,MATCH($E3320,Section_Master!$A$2:$A$477,0))&amp;"","")</f>
        <v>Imprisonment up to 3 years, or fine, or both; up to 5 years and fine if committed in a place of worship [s.196]</v>
      </c>
      <c r="G3320" s="10" t="str">
        <f aca="false">IFERROR(INDEX(Section_Master!$E$2:$E$477,MATCH($E3320,Section_Master!$A$2:$A$477,0))&amp;"","")</f>
        <v>Yes</v>
      </c>
      <c r="H3320" s="10" t="str">
        <f aca="false">IFERROR(INDEX(Section_Master!$F$2:$F$477,MATCH($E3320,Section_Master!$A$2:$A$477,0))&amp;"","")</f>
        <v>No</v>
      </c>
      <c r="I3320" s="10" t="str">
        <f aca="false">IFERROR(INDEX(Section_Master!$G$2:$G$477,MATCH($E3320,Section_Master!$A$2:$A$477,0))&amp;"","")</f>
        <v>No</v>
      </c>
      <c r="J3320" s="10" t="s">
        <v>48</v>
      </c>
      <c r="K3320" s="8" t="s">
        <v>7793</v>
      </c>
    </row>
    <row r="3321" customFormat="false" ht="34.5" hidden="false" customHeight="true" outlineLevel="0" collapsed="false">
      <c r="A3321" s="10" t="s">
        <v>7794</v>
      </c>
      <c r="B3321" s="10" t="s">
        <v>45</v>
      </c>
      <c r="C3321" s="8" t="s">
        <v>7791</v>
      </c>
      <c r="D3321" s="8" t="s">
        <v>7795</v>
      </c>
      <c r="E3321" s="11" t="n">
        <v>196</v>
      </c>
      <c r="F3321" s="8" t="str">
        <f aca="false">IFERROR(INDEX(Section_Master!$D$2:$D$477,MATCH($E3321,Section_Master!$A$2:$A$477,0))&amp;"","")</f>
        <v>Imprisonment up to 3 years, or fine, or both; up to 5 years and fine if committed in a place of worship [s.196]</v>
      </c>
      <c r="G3321" s="10" t="str">
        <f aca="false">IFERROR(INDEX(Section_Master!$E$2:$E$477,MATCH($E3321,Section_Master!$A$2:$A$477,0))&amp;"","")</f>
        <v>Yes</v>
      </c>
      <c r="H3321" s="10" t="str">
        <f aca="false">IFERROR(INDEX(Section_Master!$F$2:$F$477,MATCH($E3321,Section_Master!$A$2:$A$477,0))&amp;"","")</f>
        <v>No</v>
      </c>
      <c r="I3321" s="10" t="str">
        <f aca="false">IFERROR(INDEX(Section_Master!$G$2:$G$477,MATCH($E3321,Section_Master!$A$2:$A$477,0))&amp;"","")</f>
        <v>No</v>
      </c>
      <c r="J3321" s="10" t="s">
        <v>52</v>
      </c>
      <c r="K3321" s="8" t="s">
        <v>7793</v>
      </c>
    </row>
    <row r="3322" customFormat="false" ht="34.5" hidden="false" customHeight="true" outlineLevel="0" collapsed="false">
      <c r="A3322" s="10" t="s">
        <v>7796</v>
      </c>
      <c r="B3322" s="10" t="s">
        <v>45</v>
      </c>
      <c r="C3322" s="8" t="s">
        <v>7791</v>
      </c>
      <c r="D3322" s="8" t="s">
        <v>7797</v>
      </c>
      <c r="E3322" s="11" t="n">
        <v>196</v>
      </c>
      <c r="F3322" s="8" t="str">
        <f aca="false">IFERROR(INDEX(Section_Master!$D$2:$D$477,MATCH($E3322,Section_Master!$A$2:$A$477,0))&amp;"","")</f>
        <v>Imprisonment up to 3 years, or fine, or both; up to 5 years and fine if committed in a place of worship [s.196]</v>
      </c>
      <c r="G3322" s="10" t="str">
        <f aca="false">IFERROR(INDEX(Section_Master!$E$2:$E$477,MATCH($E3322,Section_Master!$A$2:$A$477,0))&amp;"","")</f>
        <v>Yes</v>
      </c>
      <c r="H3322" s="10" t="str">
        <f aca="false">IFERROR(INDEX(Section_Master!$F$2:$F$477,MATCH($E3322,Section_Master!$A$2:$A$477,0))&amp;"","")</f>
        <v>No</v>
      </c>
      <c r="I3322" s="10" t="str">
        <f aca="false">IFERROR(INDEX(Section_Master!$G$2:$G$477,MATCH($E3322,Section_Master!$A$2:$A$477,0))&amp;"","")</f>
        <v>No</v>
      </c>
      <c r="J3322" s="10" t="s">
        <v>55</v>
      </c>
      <c r="K3322" s="8" t="s">
        <v>7793</v>
      </c>
    </row>
    <row r="3323" customFormat="false" ht="34.5" hidden="false" customHeight="true" outlineLevel="0" collapsed="false">
      <c r="A3323" s="10" t="s">
        <v>7798</v>
      </c>
      <c r="B3323" s="10" t="s">
        <v>45</v>
      </c>
      <c r="C3323" s="8" t="s">
        <v>7791</v>
      </c>
      <c r="D3323" s="8" t="s">
        <v>7799</v>
      </c>
      <c r="E3323" s="11" t="n">
        <v>196</v>
      </c>
      <c r="F3323" s="8" t="str">
        <f aca="false">IFERROR(INDEX(Section_Master!$D$2:$D$477,MATCH($E3323,Section_Master!$A$2:$A$477,0))&amp;"","")</f>
        <v>Imprisonment up to 3 years, or fine, or both; up to 5 years and fine if committed in a place of worship [s.196]</v>
      </c>
      <c r="G3323" s="10" t="str">
        <f aca="false">IFERROR(INDEX(Section_Master!$E$2:$E$477,MATCH($E3323,Section_Master!$A$2:$A$477,0))&amp;"","")</f>
        <v>Yes</v>
      </c>
      <c r="H3323" s="10" t="str">
        <f aca="false">IFERROR(INDEX(Section_Master!$F$2:$F$477,MATCH($E3323,Section_Master!$A$2:$A$477,0))&amp;"","")</f>
        <v>No</v>
      </c>
      <c r="I3323" s="10" t="str">
        <f aca="false">IFERROR(INDEX(Section_Master!$G$2:$G$477,MATCH($E3323,Section_Master!$A$2:$A$477,0))&amp;"","")</f>
        <v>No</v>
      </c>
      <c r="J3323" s="10" t="s">
        <v>58</v>
      </c>
      <c r="K3323" s="8" t="s">
        <v>7793</v>
      </c>
    </row>
    <row r="3324" customFormat="false" ht="34.5" hidden="false" customHeight="true" outlineLevel="0" collapsed="false">
      <c r="A3324" s="10" t="s">
        <v>7800</v>
      </c>
      <c r="B3324" s="10" t="s">
        <v>45</v>
      </c>
      <c r="C3324" s="8" t="s">
        <v>7791</v>
      </c>
      <c r="D3324" s="8" t="s">
        <v>7801</v>
      </c>
      <c r="E3324" s="11" t="n">
        <v>196</v>
      </c>
      <c r="F3324" s="8" t="str">
        <f aca="false">IFERROR(INDEX(Section_Master!$D$2:$D$477,MATCH($E3324,Section_Master!$A$2:$A$477,0))&amp;"","")</f>
        <v>Imprisonment up to 3 years, or fine, or both; up to 5 years and fine if committed in a place of worship [s.196]</v>
      </c>
      <c r="G3324" s="10" t="str">
        <f aca="false">IFERROR(INDEX(Section_Master!$E$2:$E$477,MATCH($E3324,Section_Master!$A$2:$A$477,0))&amp;"","")</f>
        <v>Yes</v>
      </c>
      <c r="H3324" s="10" t="str">
        <f aca="false">IFERROR(INDEX(Section_Master!$F$2:$F$477,MATCH($E3324,Section_Master!$A$2:$A$477,0))&amp;"","")</f>
        <v>No</v>
      </c>
      <c r="I3324" s="10" t="str">
        <f aca="false">IFERROR(INDEX(Section_Master!$G$2:$G$477,MATCH($E3324,Section_Master!$A$2:$A$477,0))&amp;"","")</f>
        <v>No</v>
      </c>
      <c r="J3324" s="10" t="s">
        <v>61</v>
      </c>
      <c r="K3324" s="8" t="s">
        <v>7793</v>
      </c>
    </row>
    <row r="3325" customFormat="false" ht="34.5" hidden="false" customHeight="true" outlineLevel="0" collapsed="false">
      <c r="A3325" s="10" t="s">
        <v>7802</v>
      </c>
      <c r="B3325" s="10" t="s">
        <v>45</v>
      </c>
      <c r="C3325" s="8" t="s">
        <v>7791</v>
      </c>
      <c r="D3325" s="8" t="s">
        <v>7803</v>
      </c>
      <c r="E3325" s="11" t="n">
        <v>196</v>
      </c>
      <c r="F3325" s="8" t="str">
        <f aca="false">IFERROR(INDEX(Section_Master!$D$2:$D$477,MATCH($E3325,Section_Master!$A$2:$A$477,0))&amp;"","")</f>
        <v>Imprisonment up to 3 years, or fine, or both; up to 5 years and fine if committed in a place of worship [s.196]</v>
      </c>
      <c r="G3325" s="10" t="str">
        <f aca="false">IFERROR(INDEX(Section_Master!$E$2:$E$477,MATCH($E3325,Section_Master!$A$2:$A$477,0))&amp;"","")</f>
        <v>Yes</v>
      </c>
      <c r="H3325" s="10" t="str">
        <f aca="false">IFERROR(INDEX(Section_Master!$F$2:$F$477,MATCH($E3325,Section_Master!$A$2:$A$477,0))&amp;"","")</f>
        <v>No</v>
      </c>
      <c r="I3325" s="10" t="str">
        <f aca="false">IFERROR(INDEX(Section_Master!$G$2:$G$477,MATCH($E3325,Section_Master!$A$2:$A$477,0))&amp;"","")</f>
        <v>No</v>
      </c>
      <c r="J3325" s="10" t="s">
        <v>64</v>
      </c>
      <c r="K3325" s="8" t="s">
        <v>7793</v>
      </c>
    </row>
    <row r="3326" customFormat="false" ht="23.25" hidden="false" customHeight="true" outlineLevel="0" collapsed="false">
      <c r="A3326" s="10" t="s">
        <v>7804</v>
      </c>
      <c r="B3326" s="10" t="s">
        <v>45</v>
      </c>
      <c r="C3326" s="8" t="s">
        <v>7805</v>
      </c>
      <c r="D3326" s="8" t="s">
        <v>7806</v>
      </c>
      <c r="E3326" s="11" t="n">
        <v>197</v>
      </c>
      <c r="F3326" s="8" t="str">
        <f aca="false">IFERROR(INDEX(Section_Master!$D$2:$D$477,MATCH($E3326,Section_Master!$A$2:$A$477,0))&amp;"","")</f>
        <v>Imprisonment up to 3 years, or fine, or both; up to 5 years and fine if committed in a place of worship [s.197]</v>
      </c>
      <c r="G3326" s="10" t="str">
        <f aca="false">IFERROR(INDEX(Section_Master!$E$2:$E$477,MATCH($E3326,Section_Master!$A$2:$A$477,0))&amp;"","")</f>
        <v>Yes</v>
      </c>
      <c r="H3326" s="10" t="str">
        <f aca="false">IFERROR(INDEX(Section_Master!$F$2:$F$477,MATCH($E3326,Section_Master!$A$2:$A$477,0))&amp;"","")</f>
        <v>No</v>
      </c>
      <c r="I3326" s="10" t="str">
        <f aca="false">IFERROR(INDEX(Section_Master!$G$2:$G$477,MATCH($E3326,Section_Master!$A$2:$A$477,0))&amp;"","")</f>
        <v>No</v>
      </c>
      <c r="J3326" s="10" t="s">
        <v>48</v>
      </c>
      <c r="K3326" s="8" t="s">
        <v>7807</v>
      </c>
    </row>
    <row r="3327" customFormat="false" ht="34.5" hidden="false" customHeight="true" outlineLevel="0" collapsed="false">
      <c r="A3327" s="10" t="s">
        <v>7808</v>
      </c>
      <c r="B3327" s="10" t="s">
        <v>45</v>
      </c>
      <c r="C3327" s="8" t="s">
        <v>7805</v>
      </c>
      <c r="D3327" s="8" t="s">
        <v>7809</v>
      </c>
      <c r="E3327" s="11" t="n">
        <v>197</v>
      </c>
      <c r="F3327" s="8" t="str">
        <f aca="false">IFERROR(INDEX(Section_Master!$D$2:$D$477,MATCH($E3327,Section_Master!$A$2:$A$477,0))&amp;"","")</f>
        <v>Imprisonment up to 3 years, or fine, or both; up to 5 years and fine if committed in a place of worship [s.197]</v>
      </c>
      <c r="G3327" s="10" t="str">
        <f aca="false">IFERROR(INDEX(Section_Master!$E$2:$E$477,MATCH($E3327,Section_Master!$A$2:$A$477,0))&amp;"","")</f>
        <v>Yes</v>
      </c>
      <c r="H3327" s="10" t="str">
        <f aca="false">IFERROR(INDEX(Section_Master!$F$2:$F$477,MATCH($E3327,Section_Master!$A$2:$A$477,0))&amp;"","")</f>
        <v>No</v>
      </c>
      <c r="I3327" s="10" t="str">
        <f aca="false">IFERROR(INDEX(Section_Master!$G$2:$G$477,MATCH($E3327,Section_Master!$A$2:$A$477,0))&amp;"","")</f>
        <v>No</v>
      </c>
      <c r="J3327" s="10" t="s">
        <v>52</v>
      </c>
      <c r="K3327" s="8" t="s">
        <v>7807</v>
      </c>
    </row>
    <row r="3328" customFormat="false" ht="23.25" hidden="false" customHeight="true" outlineLevel="0" collapsed="false">
      <c r="A3328" s="10" t="s">
        <v>7810</v>
      </c>
      <c r="B3328" s="10" t="s">
        <v>45</v>
      </c>
      <c r="C3328" s="8" t="s">
        <v>7805</v>
      </c>
      <c r="D3328" s="8" t="s">
        <v>7811</v>
      </c>
      <c r="E3328" s="11" t="n">
        <v>197</v>
      </c>
      <c r="F3328" s="8" t="str">
        <f aca="false">IFERROR(INDEX(Section_Master!$D$2:$D$477,MATCH($E3328,Section_Master!$A$2:$A$477,0))&amp;"","")</f>
        <v>Imprisonment up to 3 years, or fine, or both; up to 5 years and fine if committed in a place of worship [s.197]</v>
      </c>
      <c r="G3328" s="10" t="str">
        <f aca="false">IFERROR(INDEX(Section_Master!$E$2:$E$477,MATCH($E3328,Section_Master!$A$2:$A$477,0))&amp;"","")</f>
        <v>Yes</v>
      </c>
      <c r="H3328" s="10" t="str">
        <f aca="false">IFERROR(INDEX(Section_Master!$F$2:$F$477,MATCH($E3328,Section_Master!$A$2:$A$477,0))&amp;"","")</f>
        <v>No</v>
      </c>
      <c r="I3328" s="10" t="str">
        <f aca="false">IFERROR(INDEX(Section_Master!$G$2:$G$477,MATCH($E3328,Section_Master!$A$2:$A$477,0))&amp;"","")</f>
        <v>No</v>
      </c>
      <c r="J3328" s="10" t="s">
        <v>55</v>
      </c>
      <c r="K3328" s="8" t="s">
        <v>7807</v>
      </c>
    </row>
    <row r="3329" customFormat="false" ht="23.25" hidden="false" customHeight="true" outlineLevel="0" collapsed="false">
      <c r="A3329" s="10" t="s">
        <v>7812</v>
      </c>
      <c r="B3329" s="10" t="s">
        <v>45</v>
      </c>
      <c r="C3329" s="8" t="s">
        <v>7805</v>
      </c>
      <c r="D3329" s="8" t="s">
        <v>7813</v>
      </c>
      <c r="E3329" s="11" t="n">
        <v>197</v>
      </c>
      <c r="F3329" s="8" t="str">
        <f aca="false">IFERROR(INDEX(Section_Master!$D$2:$D$477,MATCH($E3329,Section_Master!$A$2:$A$477,0))&amp;"","")</f>
        <v>Imprisonment up to 3 years, or fine, or both; up to 5 years and fine if committed in a place of worship [s.197]</v>
      </c>
      <c r="G3329" s="10" t="str">
        <f aca="false">IFERROR(INDEX(Section_Master!$E$2:$E$477,MATCH($E3329,Section_Master!$A$2:$A$477,0))&amp;"","")</f>
        <v>Yes</v>
      </c>
      <c r="H3329" s="10" t="str">
        <f aca="false">IFERROR(INDEX(Section_Master!$F$2:$F$477,MATCH($E3329,Section_Master!$A$2:$A$477,0))&amp;"","")</f>
        <v>No</v>
      </c>
      <c r="I3329" s="10" t="str">
        <f aca="false">IFERROR(INDEX(Section_Master!$G$2:$G$477,MATCH($E3329,Section_Master!$A$2:$A$477,0))&amp;"","")</f>
        <v>No</v>
      </c>
      <c r="J3329" s="10" t="s">
        <v>58</v>
      </c>
      <c r="K3329" s="8" t="s">
        <v>7807</v>
      </c>
    </row>
    <row r="3330" customFormat="false" ht="34.5" hidden="false" customHeight="true" outlineLevel="0" collapsed="false">
      <c r="A3330" s="10" t="s">
        <v>7814</v>
      </c>
      <c r="B3330" s="10" t="s">
        <v>45</v>
      </c>
      <c r="C3330" s="8" t="s">
        <v>7805</v>
      </c>
      <c r="D3330" s="8" t="s">
        <v>7815</v>
      </c>
      <c r="E3330" s="11" t="n">
        <v>197</v>
      </c>
      <c r="F3330" s="8" t="str">
        <f aca="false">IFERROR(INDEX(Section_Master!$D$2:$D$477,MATCH($E3330,Section_Master!$A$2:$A$477,0))&amp;"","")</f>
        <v>Imprisonment up to 3 years, or fine, or both; up to 5 years and fine if committed in a place of worship [s.197]</v>
      </c>
      <c r="G3330" s="10" t="str">
        <f aca="false">IFERROR(INDEX(Section_Master!$E$2:$E$477,MATCH($E3330,Section_Master!$A$2:$A$477,0))&amp;"","")</f>
        <v>Yes</v>
      </c>
      <c r="H3330" s="10" t="str">
        <f aca="false">IFERROR(INDEX(Section_Master!$F$2:$F$477,MATCH($E3330,Section_Master!$A$2:$A$477,0))&amp;"","")</f>
        <v>No</v>
      </c>
      <c r="I3330" s="10" t="str">
        <f aca="false">IFERROR(INDEX(Section_Master!$G$2:$G$477,MATCH($E3330,Section_Master!$A$2:$A$477,0))&amp;"","")</f>
        <v>No</v>
      </c>
      <c r="J3330" s="10" t="s">
        <v>61</v>
      </c>
      <c r="K3330" s="8" t="s">
        <v>7807</v>
      </c>
    </row>
    <row r="3331" customFormat="false" ht="34.5" hidden="false" customHeight="true" outlineLevel="0" collapsed="false">
      <c r="A3331" s="10" t="s">
        <v>7816</v>
      </c>
      <c r="B3331" s="10" t="s">
        <v>45</v>
      </c>
      <c r="C3331" s="8" t="s">
        <v>7805</v>
      </c>
      <c r="D3331" s="8" t="s">
        <v>7817</v>
      </c>
      <c r="E3331" s="11" t="n">
        <v>197</v>
      </c>
      <c r="F3331" s="8" t="str">
        <f aca="false">IFERROR(INDEX(Section_Master!$D$2:$D$477,MATCH($E3331,Section_Master!$A$2:$A$477,0))&amp;"","")</f>
        <v>Imprisonment up to 3 years, or fine, or both; up to 5 years and fine if committed in a place of worship [s.197]</v>
      </c>
      <c r="G3331" s="10" t="str">
        <f aca="false">IFERROR(INDEX(Section_Master!$E$2:$E$477,MATCH($E3331,Section_Master!$A$2:$A$477,0))&amp;"","")</f>
        <v>Yes</v>
      </c>
      <c r="H3331" s="10" t="str">
        <f aca="false">IFERROR(INDEX(Section_Master!$F$2:$F$477,MATCH($E3331,Section_Master!$A$2:$A$477,0))&amp;"","")</f>
        <v>No</v>
      </c>
      <c r="I3331" s="10" t="str">
        <f aca="false">IFERROR(INDEX(Section_Master!$G$2:$G$477,MATCH($E3331,Section_Master!$A$2:$A$477,0))&amp;"","")</f>
        <v>No</v>
      </c>
      <c r="J3331" s="10" t="s">
        <v>64</v>
      </c>
      <c r="K3331" s="8" t="s">
        <v>7807</v>
      </c>
    </row>
    <row r="3332" customFormat="false" ht="34.5" hidden="false" customHeight="true" outlineLevel="0" collapsed="false">
      <c r="A3332" s="10" t="s">
        <v>7818</v>
      </c>
      <c r="B3332" s="10" t="s">
        <v>45</v>
      </c>
      <c r="C3332" s="8" t="s">
        <v>7819</v>
      </c>
      <c r="D3332" s="8" t="s">
        <v>7820</v>
      </c>
      <c r="E3332" s="11" t="n">
        <v>198</v>
      </c>
      <c r="F3332" s="8" t="str">
        <f aca="false">IFERROR(INDEX(Section_Master!$D$2:$D$477,MATCH($E3332,Section_Master!$A$2:$A$477,0))&amp;"","")</f>
        <v>Simple imprisonment up to 1 year, or fine, or both</v>
      </c>
      <c r="G3332" s="10" t="str">
        <f aca="false">IFERROR(INDEX(Section_Master!$E$2:$E$477,MATCH($E3332,Section_Master!$A$2:$A$477,0))&amp;"","")</f>
        <v>No</v>
      </c>
      <c r="H3332" s="10" t="str">
        <f aca="false">IFERROR(INDEX(Section_Master!$F$2:$F$477,MATCH($E3332,Section_Master!$A$2:$A$477,0))&amp;"","")</f>
        <v>Yes</v>
      </c>
      <c r="I3332" s="10" t="str">
        <f aca="false">IFERROR(INDEX(Section_Master!$G$2:$G$477,MATCH($E3332,Section_Master!$A$2:$A$477,0))&amp;"","")</f>
        <v>No</v>
      </c>
      <c r="J3332" s="10" t="s">
        <v>48</v>
      </c>
      <c r="K3332" s="8" t="s">
        <v>7821</v>
      </c>
    </row>
    <row r="3333" customFormat="false" ht="34.5" hidden="false" customHeight="true" outlineLevel="0" collapsed="false">
      <c r="A3333" s="10" t="s">
        <v>7822</v>
      </c>
      <c r="B3333" s="10" t="s">
        <v>45</v>
      </c>
      <c r="C3333" s="8" t="s">
        <v>7819</v>
      </c>
      <c r="D3333" s="8" t="s">
        <v>7823</v>
      </c>
      <c r="E3333" s="11" t="n">
        <v>198</v>
      </c>
      <c r="F3333" s="8" t="str">
        <f aca="false">IFERROR(INDEX(Section_Master!$D$2:$D$477,MATCH($E3333,Section_Master!$A$2:$A$477,0))&amp;"","")</f>
        <v>Simple imprisonment up to 1 year, or fine, or both</v>
      </c>
      <c r="G3333" s="10" t="str">
        <f aca="false">IFERROR(INDEX(Section_Master!$E$2:$E$477,MATCH($E3333,Section_Master!$A$2:$A$477,0))&amp;"","")</f>
        <v>No</v>
      </c>
      <c r="H3333" s="10" t="str">
        <f aca="false">IFERROR(INDEX(Section_Master!$F$2:$F$477,MATCH($E3333,Section_Master!$A$2:$A$477,0))&amp;"","")</f>
        <v>Yes</v>
      </c>
      <c r="I3333" s="10" t="str">
        <f aca="false">IFERROR(INDEX(Section_Master!$G$2:$G$477,MATCH($E3333,Section_Master!$A$2:$A$477,0))&amp;"","")</f>
        <v>No</v>
      </c>
      <c r="J3333" s="10" t="s">
        <v>52</v>
      </c>
      <c r="K3333" s="8" t="s">
        <v>7821</v>
      </c>
    </row>
    <row r="3334" customFormat="false" ht="34.5" hidden="false" customHeight="true" outlineLevel="0" collapsed="false">
      <c r="A3334" s="10" t="s">
        <v>7824</v>
      </c>
      <c r="B3334" s="10" t="s">
        <v>45</v>
      </c>
      <c r="C3334" s="8" t="s">
        <v>7819</v>
      </c>
      <c r="D3334" s="8" t="s">
        <v>7825</v>
      </c>
      <c r="E3334" s="11" t="n">
        <v>198</v>
      </c>
      <c r="F3334" s="8" t="str">
        <f aca="false">IFERROR(INDEX(Section_Master!$D$2:$D$477,MATCH($E3334,Section_Master!$A$2:$A$477,0))&amp;"","")</f>
        <v>Simple imprisonment up to 1 year, or fine, or both</v>
      </c>
      <c r="G3334" s="10" t="str">
        <f aca="false">IFERROR(INDEX(Section_Master!$E$2:$E$477,MATCH($E3334,Section_Master!$A$2:$A$477,0))&amp;"","")</f>
        <v>No</v>
      </c>
      <c r="H3334" s="10" t="str">
        <f aca="false">IFERROR(INDEX(Section_Master!$F$2:$F$477,MATCH($E3334,Section_Master!$A$2:$A$477,0))&amp;"","")</f>
        <v>Yes</v>
      </c>
      <c r="I3334" s="10" t="str">
        <f aca="false">IFERROR(INDEX(Section_Master!$G$2:$G$477,MATCH($E3334,Section_Master!$A$2:$A$477,0))&amp;"","")</f>
        <v>No</v>
      </c>
      <c r="J3334" s="10" t="s">
        <v>55</v>
      </c>
      <c r="K3334" s="8" t="s">
        <v>7821</v>
      </c>
    </row>
    <row r="3335" customFormat="false" ht="23.25" hidden="false" customHeight="true" outlineLevel="0" collapsed="false">
      <c r="A3335" s="10" t="s">
        <v>7826</v>
      </c>
      <c r="B3335" s="10" t="s">
        <v>45</v>
      </c>
      <c r="C3335" s="8" t="s">
        <v>7819</v>
      </c>
      <c r="D3335" s="8" t="s">
        <v>7827</v>
      </c>
      <c r="E3335" s="11" t="n">
        <v>198</v>
      </c>
      <c r="F3335" s="8" t="str">
        <f aca="false">IFERROR(INDEX(Section_Master!$D$2:$D$477,MATCH($E3335,Section_Master!$A$2:$A$477,0))&amp;"","")</f>
        <v>Simple imprisonment up to 1 year, or fine, or both</v>
      </c>
      <c r="G3335" s="10" t="str">
        <f aca="false">IFERROR(INDEX(Section_Master!$E$2:$E$477,MATCH($E3335,Section_Master!$A$2:$A$477,0))&amp;"","")</f>
        <v>No</v>
      </c>
      <c r="H3335" s="10" t="str">
        <f aca="false">IFERROR(INDEX(Section_Master!$F$2:$F$477,MATCH($E3335,Section_Master!$A$2:$A$477,0))&amp;"","")</f>
        <v>Yes</v>
      </c>
      <c r="I3335" s="10" t="str">
        <f aca="false">IFERROR(INDEX(Section_Master!$G$2:$G$477,MATCH($E3335,Section_Master!$A$2:$A$477,0))&amp;"","")</f>
        <v>No</v>
      </c>
      <c r="J3335" s="10" t="s">
        <v>58</v>
      </c>
      <c r="K3335" s="8" t="s">
        <v>7821</v>
      </c>
    </row>
    <row r="3336" customFormat="false" ht="34.5" hidden="false" customHeight="true" outlineLevel="0" collapsed="false">
      <c r="A3336" s="10" t="s">
        <v>7828</v>
      </c>
      <c r="B3336" s="10" t="s">
        <v>45</v>
      </c>
      <c r="C3336" s="8" t="s">
        <v>7819</v>
      </c>
      <c r="D3336" s="8" t="s">
        <v>7829</v>
      </c>
      <c r="E3336" s="11" t="n">
        <v>198</v>
      </c>
      <c r="F3336" s="8" t="str">
        <f aca="false">IFERROR(INDEX(Section_Master!$D$2:$D$477,MATCH($E3336,Section_Master!$A$2:$A$477,0))&amp;"","")</f>
        <v>Simple imprisonment up to 1 year, or fine, or both</v>
      </c>
      <c r="G3336" s="10" t="str">
        <f aca="false">IFERROR(INDEX(Section_Master!$E$2:$E$477,MATCH($E3336,Section_Master!$A$2:$A$477,0))&amp;"","")</f>
        <v>No</v>
      </c>
      <c r="H3336" s="10" t="str">
        <f aca="false">IFERROR(INDEX(Section_Master!$F$2:$F$477,MATCH($E3336,Section_Master!$A$2:$A$477,0))&amp;"","")</f>
        <v>Yes</v>
      </c>
      <c r="I3336" s="10" t="str">
        <f aca="false">IFERROR(INDEX(Section_Master!$G$2:$G$477,MATCH($E3336,Section_Master!$A$2:$A$477,0))&amp;"","")</f>
        <v>No</v>
      </c>
      <c r="J3336" s="10" t="s">
        <v>61</v>
      </c>
      <c r="K3336" s="8" t="s">
        <v>7821</v>
      </c>
    </row>
    <row r="3337" customFormat="false" ht="34.5" hidden="false" customHeight="true" outlineLevel="0" collapsed="false">
      <c r="A3337" s="10" t="s">
        <v>7830</v>
      </c>
      <c r="B3337" s="10" t="s">
        <v>45</v>
      </c>
      <c r="C3337" s="8" t="s">
        <v>7819</v>
      </c>
      <c r="D3337" s="8" t="s">
        <v>7831</v>
      </c>
      <c r="E3337" s="11" t="n">
        <v>198</v>
      </c>
      <c r="F3337" s="8" t="str">
        <f aca="false">IFERROR(INDEX(Section_Master!$D$2:$D$477,MATCH($E3337,Section_Master!$A$2:$A$477,0))&amp;"","")</f>
        <v>Simple imprisonment up to 1 year, or fine, or both</v>
      </c>
      <c r="G3337" s="10" t="str">
        <f aca="false">IFERROR(INDEX(Section_Master!$E$2:$E$477,MATCH($E3337,Section_Master!$A$2:$A$477,0))&amp;"","")</f>
        <v>No</v>
      </c>
      <c r="H3337" s="10" t="str">
        <f aca="false">IFERROR(INDEX(Section_Master!$F$2:$F$477,MATCH($E3337,Section_Master!$A$2:$A$477,0))&amp;"","")</f>
        <v>Yes</v>
      </c>
      <c r="I3337" s="10" t="str">
        <f aca="false">IFERROR(INDEX(Section_Master!$G$2:$G$477,MATCH($E3337,Section_Master!$A$2:$A$477,0))&amp;"","")</f>
        <v>No</v>
      </c>
      <c r="J3337" s="10" t="s">
        <v>64</v>
      </c>
      <c r="K3337" s="8" t="s">
        <v>7821</v>
      </c>
    </row>
    <row r="3338" customFormat="false" ht="23.25" hidden="false" customHeight="true" outlineLevel="0" collapsed="false">
      <c r="A3338" s="10" t="s">
        <v>7832</v>
      </c>
      <c r="B3338" s="10" t="s">
        <v>45</v>
      </c>
      <c r="C3338" s="8" t="s">
        <v>7833</v>
      </c>
      <c r="D3338" s="8" t="s">
        <v>7834</v>
      </c>
      <c r="E3338" s="11" t="n">
        <v>199</v>
      </c>
      <c r="F3338" s="8" t="str">
        <f aca="false">IFERROR(INDEX(Section_Master!$D$2:$D$477,MATCH($E3338,Section_Master!$A$2:$A$477,0))&amp;"","")</f>
        <v>Rigorous imprisonment 6 months to 2 years and fine</v>
      </c>
      <c r="G3338" s="10" t="str">
        <f aca="false">IFERROR(INDEX(Section_Master!$E$2:$E$477,MATCH($E3338,Section_Master!$A$2:$A$477,0))&amp;"","")</f>
        <v>Yes</v>
      </c>
      <c r="H3338" s="10" t="str">
        <f aca="false">IFERROR(INDEX(Section_Master!$F$2:$F$477,MATCH($E3338,Section_Master!$A$2:$A$477,0))&amp;"","")</f>
        <v>Yes</v>
      </c>
      <c r="I3338" s="10" t="str">
        <f aca="false">IFERROR(INDEX(Section_Master!$G$2:$G$477,MATCH($E3338,Section_Master!$A$2:$A$477,0))&amp;"","")</f>
        <v>No</v>
      </c>
      <c r="J3338" s="10" t="s">
        <v>48</v>
      </c>
      <c r="K3338" s="8" t="s">
        <v>7835</v>
      </c>
    </row>
    <row r="3339" customFormat="false" ht="34.5" hidden="false" customHeight="true" outlineLevel="0" collapsed="false">
      <c r="A3339" s="10" t="s">
        <v>7836</v>
      </c>
      <c r="B3339" s="10" t="s">
        <v>45</v>
      </c>
      <c r="C3339" s="8" t="s">
        <v>7833</v>
      </c>
      <c r="D3339" s="8" t="s">
        <v>7837</v>
      </c>
      <c r="E3339" s="11" t="n">
        <v>199</v>
      </c>
      <c r="F3339" s="8" t="str">
        <f aca="false">IFERROR(INDEX(Section_Master!$D$2:$D$477,MATCH($E3339,Section_Master!$A$2:$A$477,0))&amp;"","")</f>
        <v>Rigorous imprisonment 6 months to 2 years and fine</v>
      </c>
      <c r="G3339" s="10" t="str">
        <f aca="false">IFERROR(INDEX(Section_Master!$E$2:$E$477,MATCH($E3339,Section_Master!$A$2:$A$477,0))&amp;"","")</f>
        <v>Yes</v>
      </c>
      <c r="H3339" s="10" t="str">
        <f aca="false">IFERROR(INDEX(Section_Master!$F$2:$F$477,MATCH($E3339,Section_Master!$A$2:$A$477,0))&amp;"","")</f>
        <v>Yes</v>
      </c>
      <c r="I3339" s="10" t="str">
        <f aca="false">IFERROR(INDEX(Section_Master!$G$2:$G$477,MATCH($E3339,Section_Master!$A$2:$A$477,0))&amp;"","")</f>
        <v>No</v>
      </c>
      <c r="J3339" s="10" t="s">
        <v>52</v>
      </c>
      <c r="K3339" s="8" t="s">
        <v>7835</v>
      </c>
    </row>
    <row r="3340" customFormat="false" ht="34.5" hidden="false" customHeight="true" outlineLevel="0" collapsed="false">
      <c r="A3340" s="10" t="s">
        <v>7838</v>
      </c>
      <c r="B3340" s="10" t="s">
        <v>45</v>
      </c>
      <c r="C3340" s="8" t="s">
        <v>7833</v>
      </c>
      <c r="D3340" s="8" t="s">
        <v>7839</v>
      </c>
      <c r="E3340" s="11" t="n">
        <v>199</v>
      </c>
      <c r="F3340" s="8" t="str">
        <f aca="false">IFERROR(INDEX(Section_Master!$D$2:$D$477,MATCH($E3340,Section_Master!$A$2:$A$477,0))&amp;"","")</f>
        <v>Rigorous imprisonment 6 months to 2 years and fine</v>
      </c>
      <c r="G3340" s="10" t="str">
        <f aca="false">IFERROR(INDEX(Section_Master!$E$2:$E$477,MATCH($E3340,Section_Master!$A$2:$A$477,0))&amp;"","")</f>
        <v>Yes</v>
      </c>
      <c r="H3340" s="10" t="str">
        <f aca="false">IFERROR(INDEX(Section_Master!$F$2:$F$477,MATCH($E3340,Section_Master!$A$2:$A$477,0))&amp;"","")</f>
        <v>Yes</v>
      </c>
      <c r="I3340" s="10" t="str">
        <f aca="false">IFERROR(INDEX(Section_Master!$G$2:$G$477,MATCH($E3340,Section_Master!$A$2:$A$477,0))&amp;"","")</f>
        <v>No</v>
      </c>
      <c r="J3340" s="10" t="s">
        <v>55</v>
      </c>
      <c r="K3340" s="8" t="s">
        <v>7835</v>
      </c>
    </row>
    <row r="3341" customFormat="false" ht="23.25" hidden="false" customHeight="true" outlineLevel="0" collapsed="false">
      <c r="A3341" s="10" t="s">
        <v>7840</v>
      </c>
      <c r="B3341" s="10" t="s">
        <v>45</v>
      </c>
      <c r="C3341" s="8" t="s">
        <v>7833</v>
      </c>
      <c r="D3341" s="8" t="s">
        <v>7841</v>
      </c>
      <c r="E3341" s="11" t="n">
        <v>199</v>
      </c>
      <c r="F3341" s="8" t="str">
        <f aca="false">IFERROR(INDEX(Section_Master!$D$2:$D$477,MATCH($E3341,Section_Master!$A$2:$A$477,0))&amp;"","")</f>
        <v>Rigorous imprisonment 6 months to 2 years and fine</v>
      </c>
      <c r="G3341" s="10" t="str">
        <f aca="false">IFERROR(INDEX(Section_Master!$E$2:$E$477,MATCH($E3341,Section_Master!$A$2:$A$477,0))&amp;"","")</f>
        <v>Yes</v>
      </c>
      <c r="H3341" s="10" t="str">
        <f aca="false">IFERROR(INDEX(Section_Master!$F$2:$F$477,MATCH($E3341,Section_Master!$A$2:$A$477,0))&amp;"","")</f>
        <v>Yes</v>
      </c>
      <c r="I3341" s="10" t="str">
        <f aca="false">IFERROR(INDEX(Section_Master!$G$2:$G$477,MATCH($E3341,Section_Master!$A$2:$A$477,0))&amp;"","")</f>
        <v>No</v>
      </c>
      <c r="J3341" s="10" t="s">
        <v>58</v>
      </c>
      <c r="K3341" s="8" t="s">
        <v>7835</v>
      </c>
    </row>
    <row r="3342" customFormat="false" ht="34.5" hidden="false" customHeight="true" outlineLevel="0" collapsed="false">
      <c r="A3342" s="10" t="s">
        <v>7842</v>
      </c>
      <c r="B3342" s="10" t="s">
        <v>45</v>
      </c>
      <c r="C3342" s="8" t="s">
        <v>7833</v>
      </c>
      <c r="D3342" s="8" t="s">
        <v>7843</v>
      </c>
      <c r="E3342" s="11" t="n">
        <v>199</v>
      </c>
      <c r="F3342" s="8" t="str">
        <f aca="false">IFERROR(INDEX(Section_Master!$D$2:$D$477,MATCH($E3342,Section_Master!$A$2:$A$477,0))&amp;"","")</f>
        <v>Rigorous imprisonment 6 months to 2 years and fine</v>
      </c>
      <c r="G3342" s="10" t="str">
        <f aca="false">IFERROR(INDEX(Section_Master!$E$2:$E$477,MATCH($E3342,Section_Master!$A$2:$A$477,0))&amp;"","")</f>
        <v>Yes</v>
      </c>
      <c r="H3342" s="10" t="str">
        <f aca="false">IFERROR(INDEX(Section_Master!$F$2:$F$477,MATCH($E3342,Section_Master!$A$2:$A$477,0))&amp;"","")</f>
        <v>Yes</v>
      </c>
      <c r="I3342" s="10" t="str">
        <f aca="false">IFERROR(INDEX(Section_Master!$G$2:$G$477,MATCH($E3342,Section_Master!$A$2:$A$477,0))&amp;"","")</f>
        <v>No</v>
      </c>
      <c r="J3342" s="10" t="s">
        <v>61</v>
      </c>
      <c r="K3342" s="8" t="s">
        <v>7835</v>
      </c>
    </row>
    <row r="3343" customFormat="false" ht="34.5" hidden="false" customHeight="true" outlineLevel="0" collapsed="false">
      <c r="A3343" s="10" t="s">
        <v>7844</v>
      </c>
      <c r="B3343" s="10" t="s">
        <v>45</v>
      </c>
      <c r="C3343" s="8" t="s">
        <v>7833</v>
      </c>
      <c r="D3343" s="8" t="s">
        <v>7845</v>
      </c>
      <c r="E3343" s="11" t="n">
        <v>199</v>
      </c>
      <c r="F3343" s="8" t="str">
        <f aca="false">IFERROR(INDEX(Section_Master!$D$2:$D$477,MATCH($E3343,Section_Master!$A$2:$A$477,0))&amp;"","")</f>
        <v>Rigorous imprisonment 6 months to 2 years and fine</v>
      </c>
      <c r="G3343" s="10" t="str">
        <f aca="false">IFERROR(INDEX(Section_Master!$E$2:$E$477,MATCH($E3343,Section_Master!$A$2:$A$477,0))&amp;"","")</f>
        <v>Yes</v>
      </c>
      <c r="H3343" s="10" t="str">
        <f aca="false">IFERROR(INDEX(Section_Master!$F$2:$F$477,MATCH($E3343,Section_Master!$A$2:$A$477,0))&amp;"","")</f>
        <v>Yes</v>
      </c>
      <c r="I3343" s="10" t="str">
        <f aca="false">IFERROR(INDEX(Section_Master!$G$2:$G$477,MATCH($E3343,Section_Master!$A$2:$A$477,0))&amp;"","")</f>
        <v>No</v>
      </c>
      <c r="J3343" s="10" t="s">
        <v>64</v>
      </c>
      <c r="K3343" s="8" t="s">
        <v>7835</v>
      </c>
    </row>
    <row r="3344" customFormat="false" ht="23.25" hidden="false" customHeight="true" outlineLevel="0" collapsed="false">
      <c r="A3344" s="10" t="s">
        <v>7846</v>
      </c>
      <c r="B3344" s="10" t="s">
        <v>45</v>
      </c>
      <c r="C3344" s="8" t="s">
        <v>7847</v>
      </c>
      <c r="D3344" s="8" t="s">
        <v>7848</v>
      </c>
      <c r="E3344" s="11" t="n">
        <v>200</v>
      </c>
      <c r="F3344" s="8" t="str">
        <f aca="false">IFERROR(INDEX(Section_Master!$D$2:$D$477,MATCH($E3344,Section_Master!$A$2:$A$477,0))&amp;"","")</f>
        <v>Imprisonment up to 1 year, or fine, or both</v>
      </c>
      <c r="G3344" s="10" t="str">
        <f aca="false">IFERROR(INDEX(Section_Master!$E$2:$E$477,MATCH($E3344,Section_Master!$A$2:$A$477,0))&amp;"","")</f>
        <v>No</v>
      </c>
      <c r="H3344" s="10" t="str">
        <f aca="false">IFERROR(INDEX(Section_Master!$F$2:$F$477,MATCH($E3344,Section_Master!$A$2:$A$477,0))&amp;"","")</f>
        <v>Yes</v>
      </c>
      <c r="I3344" s="10" t="str">
        <f aca="false">IFERROR(INDEX(Section_Master!$G$2:$G$477,MATCH($E3344,Section_Master!$A$2:$A$477,0))&amp;"","")</f>
        <v>No</v>
      </c>
      <c r="J3344" s="10" t="s">
        <v>48</v>
      </c>
      <c r="K3344" s="8" t="s">
        <v>7849</v>
      </c>
    </row>
    <row r="3345" customFormat="false" ht="34.5" hidden="false" customHeight="true" outlineLevel="0" collapsed="false">
      <c r="A3345" s="10" t="s">
        <v>7850</v>
      </c>
      <c r="B3345" s="10" t="s">
        <v>45</v>
      </c>
      <c r="C3345" s="8" t="s">
        <v>7847</v>
      </c>
      <c r="D3345" s="8" t="s">
        <v>7851</v>
      </c>
      <c r="E3345" s="11" t="n">
        <v>200</v>
      </c>
      <c r="F3345" s="8" t="str">
        <f aca="false">IFERROR(INDEX(Section_Master!$D$2:$D$477,MATCH($E3345,Section_Master!$A$2:$A$477,0))&amp;"","")</f>
        <v>Imprisonment up to 1 year, or fine, or both</v>
      </c>
      <c r="G3345" s="10" t="str">
        <f aca="false">IFERROR(INDEX(Section_Master!$E$2:$E$477,MATCH($E3345,Section_Master!$A$2:$A$477,0))&amp;"","")</f>
        <v>No</v>
      </c>
      <c r="H3345" s="10" t="str">
        <f aca="false">IFERROR(INDEX(Section_Master!$F$2:$F$477,MATCH($E3345,Section_Master!$A$2:$A$477,0))&amp;"","")</f>
        <v>Yes</v>
      </c>
      <c r="I3345" s="10" t="str">
        <f aca="false">IFERROR(INDEX(Section_Master!$G$2:$G$477,MATCH($E3345,Section_Master!$A$2:$A$477,0))&amp;"","")</f>
        <v>No</v>
      </c>
      <c r="J3345" s="10" t="s">
        <v>52</v>
      </c>
      <c r="K3345" s="8" t="s">
        <v>7849</v>
      </c>
    </row>
    <row r="3346" customFormat="false" ht="34.5" hidden="false" customHeight="true" outlineLevel="0" collapsed="false">
      <c r="A3346" s="10" t="s">
        <v>7852</v>
      </c>
      <c r="B3346" s="10" t="s">
        <v>45</v>
      </c>
      <c r="C3346" s="8" t="s">
        <v>7847</v>
      </c>
      <c r="D3346" s="8" t="s">
        <v>7853</v>
      </c>
      <c r="E3346" s="11" t="n">
        <v>200</v>
      </c>
      <c r="F3346" s="8" t="str">
        <f aca="false">IFERROR(INDEX(Section_Master!$D$2:$D$477,MATCH($E3346,Section_Master!$A$2:$A$477,0))&amp;"","")</f>
        <v>Imprisonment up to 1 year, or fine, or both</v>
      </c>
      <c r="G3346" s="10" t="str">
        <f aca="false">IFERROR(INDEX(Section_Master!$E$2:$E$477,MATCH($E3346,Section_Master!$A$2:$A$477,0))&amp;"","")</f>
        <v>No</v>
      </c>
      <c r="H3346" s="10" t="str">
        <f aca="false">IFERROR(INDEX(Section_Master!$F$2:$F$477,MATCH($E3346,Section_Master!$A$2:$A$477,0))&amp;"","")</f>
        <v>Yes</v>
      </c>
      <c r="I3346" s="10" t="str">
        <f aca="false">IFERROR(INDEX(Section_Master!$G$2:$G$477,MATCH($E3346,Section_Master!$A$2:$A$477,0))&amp;"","")</f>
        <v>No</v>
      </c>
      <c r="J3346" s="10" t="s">
        <v>55</v>
      </c>
      <c r="K3346" s="8" t="s">
        <v>7849</v>
      </c>
    </row>
    <row r="3347" customFormat="false" ht="23.25" hidden="false" customHeight="true" outlineLevel="0" collapsed="false">
      <c r="A3347" s="10" t="s">
        <v>7854</v>
      </c>
      <c r="B3347" s="10" t="s">
        <v>45</v>
      </c>
      <c r="C3347" s="8" t="s">
        <v>7847</v>
      </c>
      <c r="D3347" s="8" t="s">
        <v>7855</v>
      </c>
      <c r="E3347" s="11" t="n">
        <v>200</v>
      </c>
      <c r="F3347" s="8" t="str">
        <f aca="false">IFERROR(INDEX(Section_Master!$D$2:$D$477,MATCH($E3347,Section_Master!$A$2:$A$477,0))&amp;"","")</f>
        <v>Imprisonment up to 1 year, or fine, or both</v>
      </c>
      <c r="G3347" s="10" t="str">
        <f aca="false">IFERROR(INDEX(Section_Master!$E$2:$E$477,MATCH($E3347,Section_Master!$A$2:$A$477,0))&amp;"","")</f>
        <v>No</v>
      </c>
      <c r="H3347" s="10" t="str">
        <f aca="false">IFERROR(INDEX(Section_Master!$F$2:$F$477,MATCH($E3347,Section_Master!$A$2:$A$477,0))&amp;"","")</f>
        <v>Yes</v>
      </c>
      <c r="I3347" s="10" t="str">
        <f aca="false">IFERROR(INDEX(Section_Master!$G$2:$G$477,MATCH($E3347,Section_Master!$A$2:$A$477,0))&amp;"","")</f>
        <v>No</v>
      </c>
      <c r="J3347" s="10" t="s">
        <v>58</v>
      </c>
      <c r="K3347" s="8" t="s">
        <v>7849</v>
      </c>
    </row>
    <row r="3348" customFormat="false" ht="34.5" hidden="false" customHeight="true" outlineLevel="0" collapsed="false">
      <c r="A3348" s="10" t="s">
        <v>7856</v>
      </c>
      <c r="B3348" s="10" t="s">
        <v>45</v>
      </c>
      <c r="C3348" s="8" t="s">
        <v>7847</v>
      </c>
      <c r="D3348" s="8" t="s">
        <v>7857</v>
      </c>
      <c r="E3348" s="11" t="n">
        <v>200</v>
      </c>
      <c r="F3348" s="8" t="str">
        <f aca="false">IFERROR(INDEX(Section_Master!$D$2:$D$477,MATCH($E3348,Section_Master!$A$2:$A$477,0))&amp;"","")</f>
        <v>Imprisonment up to 1 year, or fine, or both</v>
      </c>
      <c r="G3348" s="10" t="str">
        <f aca="false">IFERROR(INDEX(Section_Master!$E$2:$E$477,MATCH($E3348,Section_Master!$A$2:$A$477,0))&amp;"","")</f>
        <v>No</v>
      </c>
      <c r="H3348" s="10" t="str">
        <f aca="false">IFERROR(INDEX(Section_Master!$F$2:$F$477,MATCH($E3348,Section_Master!$A$2:$A$477,0))&amp;"","")</f>
        <v>Yes</v>
      </c>
      <c r="I3348" s="10" t="str">
        <f aca="false">IFERROR(INDEX(Section_Master!$G$2:$G$477,MATCH($E3348,Section_Master!$A$2:$A$477,0))&amp;"","")</f>
        <v>No</v>
      </c>
      <c r="J3348" s="10" t="s">
        <v>61</v>
      </c>
      <c r="K3348" s="8" t="s">
        <v>7849</v>
      </c>
    </row>
    <row r="3349" customFormat="false" ht="34.5" hidden="false" customHeight="true" outlineLevel="0" collapsed="false">
      <c r="A3349" s="10" t="s">
        <v>7858</v>
      </c>
      <c r="B3349" s="10" t="s">
        <v>45</v>
      </c>
      <c r="C3349" s="8" t="s">
        <v>7847</v>
      </c>
      <c r="D3349" s="8" t="s">
        <v>7859</v>
      </c>
      <c r="E3349" s="11" t="n">
        <v>200</v>
      </c>
      <c r="F3349" s="8" t="str">
        <f aca="false">IFERROR(INDEX(Section_Master!$D$2:$D$477,MATCH($E3349,Section_Master!$A$2:$A$477,0))&amp;"","")</f>
        <v>Imprisonment up to 1 year, or fine, or both</v>
      </c>
      <c r="G3349" s="10" t="str">
        <f aca="false">IFERROR(INDEX(Section_Master!$E$2:$E$477,MATCH($E3349,Section_Master!$A$2:$A$477,0))&amp;"","")</f>
        <v>No</v>
      </c>
      <c r="H3349" s="10" t="str">
        <f aca="false">IFERROR(INDEX(Section_Master!$F$2:$F$477,MATCH($E3349,Section_Master!$A$2:$A$477,0))&amp;"","")</f>
        <v>Yes</v>
      </c>
      <c r="I3349" s="10" t="str">
        <f aca="false">IFERROR(INDEX(Section_Master!$G$2:$G$477,MATCH($E3349,Section_Master!$A$2:$A$477,0))&amp;"","")</f>
        <v>No</v>
      </c>
      <c r="J3349" s="10" t="s">
        <v>64</v>
      </c>
      <c r="K3349" s="8" t="s">
        <v>7849</v>
      </c>
    </row>
    <row r="3350" customFormat="false" ht="34.5" hidden="false" customHeight="true" outlineLevel="0" collapsed="false">
      <c r="A3350" s="10" t="s">
        <v>7860</v>
      </c>
      <c r="B3350" s="10" t="s">
        <v>45</v>
      </c>
      <c r="C3350" s="8" t="s">
        <v>7861</v>
      </c>
      <c r="D3350" s="8" t="s">
        <v>7862</v>
      </c>
      <c r="E3350" s="11" t="n">
        <v>201</v>
      </c>
      <c r="F3350" s="8" t="str">
        <f aca="false">IFERROR(INDEX(Section_Master!$D$2:$D$477,MATCH($E3350,Section_Master!$A$2:$A$477,0))&amp;"","")</f>
        <v>Imprisonment up to 3 years, or fine, or both</v>
      </c>
      <c r="G3350" s="10" t="str">
        <f aca="false">IFERROR(INDEX(Section_Master!$E$2:$E$477,MATCH($E3350,Section_Master!$A$2:$A$477,0))&amp;"","")</f>
        <v>No</v>
      </c>
      <c r="H3350" s="10" t="str">
        <f aca="false">IFERROR(INDEX(Section_Master!$F$2:$F$477,MATCH($E3350,Section_Master!$A$2:$A$477,0))&amp;"","")</f>
        <v>Yes</v>
      </c>
      <c r="I3350" s="10" t="str">
        <f aca="false">IFERROR(INDEX(Section_Master!$G$2:$G$477,MATCH($E3350,Section_Master!$A$2:$A$477,0))&amp;"","")</f>
        <v>No</v>
      </c>
      <c r="J3350" s="10" t="s">
        <v>48</v>
      </c>
      <c r="K3350" s="8" t="s">
        <v>7863</v>
      </c>
    </row>
    <row r="3351" customFormat="false" ht="34.5" hidden="false" customHeight="true" outlineLevel="0" collapsed="false">
      <c r="A3351" s="10" t="s">
        <v>7864</v>
      </c>
      <c r="B3351" s="10" t="s">
        <v>45</v>
      </c>
      <c r="C3351" s="8" t="s">
        <v>7861</v>
      </c>
      <c r="D3351" s="8" t="s">
        <v>7865</v>
      </c>
      <c r="E3351" s="11" t="n">
        <v>201</v>
      </c>
      <c r="F3351" s="8" t="str">
        <f aca="false">IFERROR(INDEX(Section_Master!$D$2:$D$477,MATCH($E3351,Section_Master!$A$2:$A$477,0))&amp;"","")</f>
        <v>Imprisonment up to 3 years, or fine, or both</v>
      </c>
      <c r="G3351" s="10" t="str">
        <f aca="false">IFERROR(INDEX(Section_Master!$E$2:$E$477,MATCH($E3351,Section_Master!$A$2:$A$477,0))&amp;"","")</f>
        <v>No</v>
      </c>
      <c r="H3351" s="10" t="str">
        <f aca="false">IFERROR(INDEX(Section_Master!$F$2:$F$477,MATCH($E3351,Section_Master!$A$2:$A$477,0))&amp;"","")</f>
        <v>Yes</v>
      </c>
      <c r="I3351" s="10" t="str">
        <f aca="false">IFERROR(INDEX(Section_Master!$G$2:$G$477,MATCH($E3351,Section_Master!$A$2:$A$477,0))&amp;"","")</f>
        <v>No</v>
      </c>
      <c r="J3351" s="10" t="s">
        <v>52</v>
      </c>
      <c r="K3351" s="8" t="s">
        <v>7863</v>
      </c>
    </row>
    <row r="3352" customFormat="false" ht="45.75" hidden="false" customHeight="true" outlineLevel="0" collapsed="false">
      <c r="A3352" s="10" t="s">
        <v>7866</v>
      </c>
      <c r="B3352" s="10" t="s">
        <v>45</v>
      </c>
      <c r="C3352" s="8" t="s">
        <v>7861</v>
      </c>
      <c r="D3352" s="8" t="s">
        <v>7867</v>
      </c>
      <c r="E3352" s="11" t="n">
        <v>201</v>
      </c>
      <c r="F3352" s="8" t="str">
        <f aca="false">IFERROR(INDEX(Section_Master!$D$2:$D$477,MATCH($E3352,Section_Master!$A$2:$A$477,0))&amp;"","")</f>
        <v>Imprisonment up to 3 years, or fine, or both</v>
      </c>
      <c r="G3352" s="10" t="str">
        <f aca="false">IFERROR(INDEX(Section_Master!$E$2:$E$477,MATCH($E3352,Section_Master!$A$2:$A$477,0))&amp;"","")</f>
        <v>No</v>
      </c>
      <c r="H3352" s="10" t="str">
        <f aca="false">IFERROR(INDEX(Section_Master!$F$2:$F$477,MATCH($E3352,Section_Master!$A$2:$A$477,0))&amp;"","")</f>
        <v>Yes</v>
      </c>
      <c r="I3352" s="10" t="str">
        <f aca="false">IFERROR(INDEX(Section_Master!$G$2:$G$477,MATCH($E3352,Section_Master!$A$2:$A$477,0))&amp;"","")</f>
        <v>No</v>
      </c>
      <c r="J3352" s="10" t="s">
        <v>55</v>
      </c>
      <c r="K3352" s="8" t="s">
        <v>7863</v>
      </c>
    </row>
    <row r="3353" customFormat="false" ht="23.25" hidden="false" customHeight="true" outlineLevel="0" collapsed="false">
      <c r="A3353" s="10" t="s">
        <v>7868</v>
      </c>
      <c r="B3353" s="10" t="s">
        <v>45</v>
      </c>
      <c r="C3353" s="8" t="s">
        <v>7861</v>
      </c>
      <c r="D3353" s="8" t="s">
        <v>7869</v>
      </c>
      <c r="E3353" s="11" t="n">
        <v>201</v>
      </c>
      <c r="F3353" s="8" t="str">
        <f aca="false">IFERROR(INDEX(Section_Master!$D$2:$D$477,MATCH($E3353,Section_Master!$A$2:$A$477,0))&amp;"","")</f>
        <v>Imprisonment up to 3 years, or fine, or both</v>
      </c>
      <c r="G3353" s="10" t="str">
        <f aca="false">IFERROR(INDEX(Section_Master!$E$2:$E$477,MATCH($E3353,Section_Master!$A$2:$A$477,0))&amp;"","")</f>
        <v>No</v>
      </c>
      <c r="H3353" s="10" t="str">
        <f aca="false">IFERROR(INDEX(Section_Master!$F$2:$F$477,MATCH($E3353,Section_Master!$A$2:$A$477,0))&amp;"","")</f>
        <v>Yes</v>
      </c>
      <c r="I3353" s="10" t="str">
        <f aca="false">IFERROR(INDEX(Section_Master!$G$2:$G$477,MATCH($E3353,Section_Master!$A$2:$A$477,0))&amp;"","")</f>
        <v>No</v>
      </c>
      <c r="J3353" s="10" t="s">
        <v>58</v>
      </c>
      <c r="K3353" s="8" t="s">
        <v>7863</v>
      </c>
    </row>
    <row r="3354" customFormat="false" ht="34.5" hidden="false" customHeight="true" outlineLevel="0" collapsed="false">
      <c r="A3354" s="10" t="s">
        <v>7870</v>
      </c>
      <c r="B3354" s="10" t="s">
        <v>45</v>
      </c>
      <c r="C3354" s="8" t="s">
        <v>7861</v>
      </c>
      <c r="D3354" s="8" t="s">
        <v>7871</v>
      </c>
      <c r="E3354" s="11" t="n">
        <v>201</v>
      </c>
      <c r="F3354" s="8" t="str">
        <f aca="false">IFERROR(INDEX(Section_Master!$D$2:$D$477,MATCH($E3354,Section_Master!$A$2:$A$477,0))&amp;"","")</f>
        <v>Imprisonment up to 3 years, or fine, or both</v>
      </c>
      <c r="G3354" s="10" t="str">
        <f aca="false">IFERROR(INDEX(Section_Master!$E$2:$E$477,MATCH($E3354,Section_Master!$A$2:$A$477,0))&amp;"","")</f>
        <v>No</v>
      </c>
      <c r="H3354" s="10" t="str">
        <f aca="false">IFERROR(INDEX(Section_Master!$F$2:$F$477,MATCH($E3354,Section_Master!$A$2:$A$477,0))&amp;"","")</f>
        <v>Yes</v>
      </c>
      <c r="I3354" s="10" t="str">
        <f aca="false">IFERROR(INDEX(Section_Master!$G$2:$G$477,MATCH($E3354,Section_Master!$A$2:$A$477,0))&amp;"","")</f>
        <v>No</v>
      </c>
      <c r="J3354" s="10" t="s">
        <v>61</v>
      </c>
      <c r="K3354" s="8" t="s">
        <v>7863</v>
      </c>
    </row>
    <row r="3355" customFormat="false" ht="34.5" hidden="false" customHeight="true" outlineLevel="0" collapsed="false">
      <c r="A3355" s="10" t="s">
        <v>7872</v>
      </c>
      <c r="B3355" s="10" t="s">
        <v>45</v>
      </c>
      <c r="C3355" s="8" t="s">
        <v>7861</v>
      </c>
      <c r="D3355" s="8" t="s">
        <v>7873</v>
      </c>
      <c r="E3355" s="11" t="n">
        <v>201</v>
      </c>
      <c r="F3355" s="8" t="str">
        <f aca="false">IFERROR(INDEX(Section_Master!$D$2:$D$477,MATCH($E3355,Section_Master!$A$2:$A$477,0))&amp;"","")</f>
        <v>Imprisonment up to 3 years, or fine, or both</v>
      </c>
      <c r="G3355" s="10" t="str">
        <f aca="false">IFERROR(INDEX(Section_Master!$E$2:$E$477,MATCH($E3355,Section_Master!$A$2:$A$477,0))&amp;"","")</f>
        <v>No</v>
      </c>
      <c r="H3355" s="10" t="str">
        <f aca="false">IFERROR(INDEX(Section_Master!$F$2:$F$477,MATCH($E3355,Section_Master!$A$2:$A$477,0))&amp;"","")</f>
        <v>Yes</v>
      </c>
      <c r="I3355" s="10" t="str">
        <f aca="false">IFERROR(INDEX(Section_Master!$G$2:$G$477,MATCH($E3355,Section_Master!$A$2:$A$477,0))&amp;"","")</f>
        <v>No</v>
      </c>
      <c r="J3355" s="10" t="s">
        <v>64</v>
      </c>
      <c r="K3355" s="8" t="s">
        <v>7863</v>
      </c>
    </row>
    <row r="3356" customFormat="false" ht="34.5" hidden="false" customHeight="true" outlineLevel="0" collapsed="false">
      <c r="A3356" s="10" t="s">
        <v>7874</v>
      </c>
      <c r="B3356" s="10" t="s">
        <v>45</v>
      </c>
      <c r="C3356" s="8" t="s">
        <v>7875</v>
      </c>
      <c r="D3356" s="8" t="s">
        <v>7876</v>
      </c>
      <c r="E3356" s="11" t="n">
        <v>202</v>
      </c>
      <c r="F3356" s="8" t="str">
        <f aca="false">IFERROR(INDEX(Section_Master!$D$2:$D$477,MATCH($E3356,Section_Master!$A$2:$A$477,0))&amp;"","")</f>
        <v>Simple imprisonment up to 1 year, or fine, or both</v>
      </c>
      <c r="G3356" s="10" t="str">
        <f aca="false">IFERROR(INDEX(Section_Master!$E$2:$E$477,MATCH($E3356,Section_Master!$A$2:$A$477,0))&amp;"","")</f>
        <v>No</v>
      </c>
      <c r="H3356" s="10" t="str">
        <f aca="false">IFERROR(INDEX(Section_Master!$F$2:$F$477,MATCH($E3356,Section_Master!$A$2:$A$477,0))&amp;"","")</f>
        <v>Yes</v>
      </c>
      <c r="I3356" s="10" t="str">
        <f aca="false">IFERROR(INDEX(Section_Master!$G$2:$G$477,MATCH($E3356,Section_Master!$A$2:$A$477,0))&amp;"","")</f>
        <v>No</v>
      </c>
      <c r="J3356" s="10" t="s">
        <v>48</v>
      </c>
      <c r="K3356" s="8" t="s">
        <v>7877</v>
      </c>
    </row>
    <row r="3357" customFormat="false" ht="34.5" hidden="false" customHeight="true" outlineLevel="0" collapsed="false">
      <c r="A3357" s="10" t="s">
        <v>7878</v>
      </c>
      <c r="B3357" s="10" t="s">
        <v>45</v>
      </c>
      <c r="C3357" s="8" t="s">
        <v>7875</v>
      </c>
      <c r="D3357" s="8" t="s">
        <v>7879</v>
      </c>
      <c r="E3357" s="11" t="n">
        <v>202</v>
      </c>
      <c r="F3357" s="8" t="str">
        <f aca="false">IFERROR(INDEX(Section_Master!$D$2:$D$477,MATCH($E3357,Section_Master!$A$2:$A$477,0))&amp;"","")</f>
        <v>Simple imprisonment up to 1 year, or fine, or both</v>
      </c>
      <c r="G3357" s="10" t="str">
        <f aca="false">IFERROR(INDEX(Section_Master!$E$2:$E$477,MATCH($E3357,Section_Master!$A$2:$A$477,0))&amp;"","")</f>
        <v>No</v>
      </c>
      <c r="H3357" s="10" t="str">
        <f aca="false">IFERROR(INDEX(Section_Master!$F$2:$F$477,MATCH($E3357,Section_Master!$A$2:$A$477,0))&amp;"","")</f>
        <v>Yes</v>
      </c>
      <c r="I3357" s="10" t="str">
        <f aca="false">IFERROR(INDEX(Section_Master!$G$2:$G$477,MATCH($E3357,Section_Master!$A$2:$A$477,0))&amp;"","")</f>
        <v>No</v>
      </c>
      <c r="J3357" s="10" t="s">
        <v>52</v>
      </c>
      <c r="K3357" s="8" t="s">
        <v>7877</v>
      </c>
    </row>
    <row r="3358" customFormat="false" ht="34.5" hidden="false" customHeight="true" outlineLevel="0" collapsed="false">
      <c r="A3358" s="10" t="s">
        <v>7880</v>
      </c>
      <c r="B3358" s="10" t="s">
        <v>45</v>
      </c>
      <c r="C3358" s="8" t="s">
        <v>7875</v>
      </c>
      <c r="D3358" s="8" t="s">
        <v>7881</v>
      </c>
      <c r="E3358" s="11" t="n">
        <v>202</v>
      </c>
      <c r="F3358" s="8" t="str">
        <f aca="false">IFERROR(INDEX(Section_Master!$D$2:$D$477,MATCH($E3358,Section_Master!$A$2:$A$477,0))&amp;"","")</f>
        <v>Simple imprisonment up to 1 year, or fine, or both</v>
      </c>
      <c r="G3358" s="10" t="str">
        <f aca="false">IFERROR(INDEX(Section_Master!$E$2:$E$477,MATCH($E3358,Section_Master!$A$2:$A$477,0))&amp;"","")</f>
        <v>No</v>
      </c>
      <c r="H3358" s="10" t="str">
        <f aca="false">IFERROR(INDEX(Section_Master!$F$2:$F$477,MATCH($E3358,Section_Master!$A$2:$A$477,0))&amp;"","")</f>
        <v>Yes</v>
      </c>
      <c r="I3358" s="10" t="str">
        <f aca="false">IFERROR(INDEX(Section_Master!$G$2:$G$477,MATCH($E3358,Section_Master!$A$2:$A$477,0))&amp;"","")</f>
        <v>No</v>
      </c>
      <c r="J3358" s="10" t="s">
        <v>55</v>
      </c>
      <c r="K3358" s="8" t="s">
        <v>7877</v>
      </c>
    </row>
    <row r="3359" customFormat="false" ht="23.25" hidden="false" customHeight="true" outlineLevel="0" collapsed="false">
      <c r="A3359" s="10" t="s">
        <v>7882</v>
      </c>
      <c r="B3359" s="10" t="s">
        <v>45</v>
      </c>
      <c r="C3359" s="8" t="s">
        <v>7875</v>
      </c>
      <c r="D3359" s="8" t="s">
        <v>7883</v>
      </c>
      <c r="E3359" s="11" t="n">
        <v>202</v>
      </c>
      <c r="F3359" s="8" t="str">
        <f aca="false">IFERROR(INDEX(Section_Master!$D$2:$D$477,MATCH($E3359,Section_Master!$A$2:$A$477,0))&amp;"","")</f>
        <v>Simple imprisonment up to 1 year, or fine, or both</v>
      </c>
      <c r="G3359" s="10" t="str">
        <f aca="false">IFERROR(INDEX(Section_Master!$E$2:$E$477,MATCH($E3359,Section_Master!$A$2:$A$477,0))&amp;"","")</f>
        <v>No</v>
      </c>
      <c r="H3359" s="10" t="str">
        <f aca="false">IFERROR(INDEX(Section_Master!$F$2:$F$477,MATCH($E3359,Section_Master!$A$2:$A$477,0))&amp;"","")</f>
        <v>Yes</v>
      </c>
      <c r="I3359" s="10" t="str">
        <f aca="false">IFERROR(INDEX(Section_Master!$G$2:$G$477,MATCH($E3359,Section_Master!$A$2:$A$477,0))&amp;"","")</f>
        <v>No</v>
      </c>
      <c r="J3359" s="10" t="s">
        <v>58</v>
      </c>
      <c r="K3359" s="8" t="s">
        <v>7877</v>
      </c>
    </row>
    <row r="3360" customFormat="false" ht="45.75" hidden="false" customHeight="true" outlineLevel="0" collapsed="false">
      <c r="A3360" s="10" t="s">
        <v>7884</v>
      </c>
      <c r="B3360" s="10" t="s">
        <v>45</v>
      </c>
      <c r="C3360" s="8" t="s">
        <v>7875</v>
      </c>
      <c r="D3360" s="8" t="s">
        <v>7885</v>
      </c>
      <c r="E3360" s="11" t="n">
        <v>202</v>
      </c>
      <c r="F3360" s="8" t="str">
        <f aca="false">IFERROR(INDEX(Section_Master!$D$2:$D$477,MATCH($E3360,Section_Master!$A$2:$A$477,0))&amp;"","")</f>
        <v>Simple imprisonment up to 1 year, or fine, or both</v>
      </c>
      <c r="G3360" s="10" t="str">
        <f aca="false">IFERROR(INDEX(Section_Master!$E$2:$E$477,MATCH($E3360,Section_Master!$A$2:$A$477,0))&amp;"","")</f>
        <v>No</v>
      </c>
      <c r="H3360" s="10" t="str">
        <f aca="false">IFERROR(INDEX(Section_Master!$F$2:$F$477,MATCH($E3360,Section_Master!$A$2:$A$477,0))&amp;"","")</f>
        <v>Yes</v>
      </c>
      <c r="I3360" s="10" t="str">
        <f aca="false">IFERROR(INDEX(Section_Master!$G$2:$G$477,MATCH($E3360,Section_Master!$A$2:$A$477,0))&amp;"","")</f>
        <v>No</v>
      </c>
      <c r="J3360" s="10" t="s">
        <v>61</v>
      </c>
      <c r="K3360" s="8" t="s">
        <v>7877</v>
      </c>
    </row>
    <row r="3361" customFormat="false" ht="45.75" hidden="false" customHeight="true" outlineLevel="0" collapsed="false">
      <c r="A3361" s="10" t="s">
        <v>7886</v>
      </c>
      <c r="B3361" s="10" t="s">
        <v>45</v>
      </c>
      <c r="C3361" s="8" t="s">
        <v>7875</v>
      </c>
      <c r="D3361" s="8" t="s">
        <v>7887</v>
      </c>
      <c r="E3361" s="11" t="n">
        <v>202</v>
      </c>
      <c r="F3361" s="8" t="str">
        <f aca="false">IFERROR(INDEX(Section_Master!$D$2:$D$477,MATCH($E3361,Section_Master!$A$2:$A$477,0))&amp;"","")</f>
        <v>Simple imprisonment up to 1 year, or fine, or both</v>
      </c>
      <c r="G3361" s="10" t="str">
        <f aca="false">IFERROR(INDEX(Section_Master!$E$2:$E$477,MATCH($E3361,Section_Master!$A$2:$A$477,0))&amp;"","")</f>
        <v>No</v>
      </c>
      <c r="H3361" s="10" t="str">
        <f aca="false">IFERROR(INDEX(Section_Master!$F$2:$F$477,MATCH($E3361,Section_Master!$A$2:$A$477,0))&amp;"","")</f>
        <v>Yes</v>
      </c>
      <c r="I3361" s="10" t="str">
        <f aca="false">IFERROR(INDEX(Section_Master!$G$2:$G$477,MATCH($E3361,Section_Master!$A$2:$A$477,0))&amp;"","")</f>
        <v>No</v>
      </c>
      <c r="J3361" s="10" t="s">
        <v>64</v>
      </c>
      <c r="K3361" s="8" t="s">
        <v>7877</v>
      </c>
    </row>
    <row r="3362" customFormat="false" ht="23.25" hidden="false" customHeight="true" outlineLevel="0" collapsed="false">
      <c r="A3362" s="10" t="s">
        <v>7888</v>
      </c>
      <c r="B3362" s="10" t="s">
        <v>45</v>
      </c>
      <c r="C3362" s="8" t="s">
        <v>7889</v>
      </c>
      <c r="D3362" s="8" t="s">
        <v>7890</v>
      </c>
      <c r="E3362" s="11" t="n">
        <v>203</v>
      </c>
      <c r="F3362" s="8" t="str">
        <f aca="false">IFERROR(INDEX(Section_Master!$D$2:$D$477,MATCH($E3362,Section_Master!$A$2:$A$477,0))&amp;"","")</f>
        <v>Simple imprisonment up to 2 years, or fine, or both; property confiscated</v>
      </c>
      <c r="G3362" s="10" t="str">
        <f aca="false">IFERROR(INDEX(Section_Master!$E$2:$E$477,MATCH($E3362,Section_Master!$A$2:$A$477,0))&amp;"","")</f>
        <v>No</v>
      </c>
      <c r="H3362" s="10" t="str">
        <f aca="false">IFERROR(INDEX(Section_Master!$F$2:$F$477,MATCH($E3362,Section_Master!$A$2:$A$477,0))&amp;"","")</f>
        <v>Yes</v>
      </c>
      <c r="I3362" s="10" t="str">
        <f aca="false">IFERROR(INDEX(Section_Master!$G$2:$G$477,MATCH($E3362,Section_Master!$A$2:$A$477,0))&amp;"","")</f>
        <v>No</v>
      </c>
      <c r="J3362" s="10" t="s">
        <v>48</v>
      </c>
      <c r="K3362" s="8" t="s">
        <v>7891</v>
      </c>
    </row>
    <row r="3363" customFormat="false" ht="34.5" hidden="false" customHeight="true" outlineLevel="0" collapsed="false">
      <c r="A3363" s="10" t="s">
        <v>7892</v>
      </c>
      <c r="B3363" s="10" t="s">
        <v>45</v>
      </c>
      <c r="C3363" s="8" t="s">
        <v>7889</v>
      </c>
      <c r="D3363" s="8" t="s">
        <v>7893</v>
      </c>
      <c r="E3363" s="11" t="n">
        <v>203</v>
      </c>
      <c r="F3363" s="8" t="str">
        <f aca="false">IFERROR(INDEX(Section_Master!$D$2:$D$477,MATCH($E3363,Section_Master!$A$2:$A$477,0))&amp;"","")</f>
        <v>Simple imprisonment up to 2 years, or fine, or both; property confiscated</v>
      </c>
      <c r="G3363" s="10" t="str">
        <f aca="false">IFERROR(INDEX(Section_Master!$E$2:$E$477,MATCH($E3363,Section_Master!$A$2:$A$477,0))&amp;"","")</f>
        <v>No</v>
      </c>
      <c r="H3363" s="10" t="str">
        <f aca="false">IFERROR(INDEX(Section_Master!$F$2:$F$477,MATCH($E3363,Section_Master!$A$2:$A$477,0))&amp;"","")</f>
        <v>Yes</v>
      </c>
      <c r="I3363" s="10" t="str">
        <f aca="false">IFERROR(INDEX(Section_Master!$G$2:$G$477,MATCH($E3363,Section_Master!$A$2:$A$477,0))&amp;"","")</f>
        <v>No</v>
      </c>
      <c r="J3363" s="10" t="s">
        <v>52</v>
      </c>
      <c r="K3363" s="8" t="s">
        <v>7891</v>
      </c>
    </row>
    <row r="3364" customFormat="false" ht="34.5" hidden="false" customHeight="true" outlineLevel="0" collapsed="false">
      <c r="A3364" s="10" t="s">
        <v>7894</v>
      </c>
      <c r="B3364" s="10" t="s">
        <v>45</v>
      </c>
      <c r="C3364" s="8" t="s">
        <v>7889</v>
      </c>
      <c r="D3364" s="8" t="s">
        <v>7895</v>
      </c>
      <c r="E3364" s="11" t="n">
        <v>203</v>
      </c>
      <c r="F3364" s="8" t="str">
        <f aca="false">IFERROR(INDEX(Section_Master!$D$2:$D$477,MATCH($E3364,Section_Master!$A$2:$A$477,0))&amp;"","")</f>
        <v>Simple imprisonment up to 2 years, or fine, or both; property confiscated</v>
      </c>
      <c r="G3364" s="10" t="str">
        <f aca="false">IFERROR(INDEX(Section_Master!$E$2:$E$477,MATCH($E3364,Section_Master!$A$2:$A$477,0))&amp;"","")</f>
        <v>No</v>
      </c>
      <c r="H3364" s="10" t="str">
        <f aca="false">IFERROR(INDEX(Section_Master!$F$2:$F$477,MATCH($E3364,Section_Master!$A$2:$A$477,0))&amp;"","")</f>
        <v>Yes</v>
      </c>
      <c r="I3364" s="10" t="str">
        <f aca="false">IFERROR(INDEX(Section_Master!$G$2:$G$477,MATCH($E3364,Section_Master!$A$2:$A$477,0))&amp;"","")</f>
        <v>No</v>
      </c>
      <c r="J3364" s="10" t="s">
        <v>55</v>
      </c>
      <c r="K3364" s="8" t="s">
        <v>7891</v>
      </c>
    </row>
    <row r="3365" customFormat="false" ht="23.25" hidden="false" customHeight="true" outlineLevel="0" collapsed="false">
      <c r="A3365" s="10" t="s">
        <v>7896</v>
      </c>
      <c r="B3365" s="10" t="s">
        <v>45</v>
      </c>
      <c r="C3365" s="8" t="s">
        <v>7889</v>
      </c>
      <c r="D3365" s="8" t="s">
        <v>7897</v>
      </c>
      <c r="E3365" s="11" t="n">
        <v>203</v>
      </c>
      <c r="F3365" s="8" t="str">
        <f aca="false">IFERROR(INDEX(Section_Master!$D$2:$D$477,MATCH($E3365,Section_Master!$A$2:$A$477,0))&amp;"","")</f>
        <v>Simple imprisonment up to 2 years, or fine, or both; property confiscated</v>
      </c>
      <c r="G3365" s="10" t="str">
        <f aca="false">IFERROR(INDEX(Section_Master!$E$2:$E$477,MATCH($E3365,Section_Master!$A$2:$A$477,0))&amp;"","")</f>
        <v>No</v>
      </c>
      <c r="H3365" s="10" t="str">
        <f aca="false">IFERROR(INDEX(Section_Master!$F$2:$F$477,MATCH($E3365,Section_Master!$A$2:$A$477,0))&amp;"","")</f>
        <v>Yes</v>
      </c>
      <c r="I3365" s="10" t="str">
        <f aca="false">IFERROR(INDEX(Section_Master!$G$2:$G$477,MATCH($E3365,Section_Master!$A$2:$A$477,0))&amp;"","")</f>
        <v>No</v>
      </c>
      <c r="J3365" s="10" t="s">
        <v>58</v>
      </c>
      <c r="K3365" s="8" t="s">
        <v>7891</v>
      </c>
    </row>
    <row r="3366" customFormat="false" ht="23.25" hidden="false" customHeight="true" outlineLevel="0" collapsed="false">
      <c r="A3366" s="10" t="s">
        <v>7898</v>
      </c>
      <c r="B3366" s="10" t="s">
        <v>45</v>
      </c>
      <c r="C3366" s="8" t="s">
        <v>7889</v>
      </c>
      <c r="D3366" s="8" t="s">
        <v>7899</v>
      </c>
      <c r="E3366" s="11" t="n">
        <v>203</v>
      </c>
      <c r="F3366" s="8" t="str">
        <f aca="false">IFERROR(INDEX(Section_Master!$D$2:$D$477,MATCH($E3366,Section_Master!$A$2:$A$477,0))&amp;"","")</f>
        <v>Simple imprisonment up to 2 years, or fine, or both; property confiscated</v>
      </c>
      <c r="G3366" s="10" t="str">
        <f aca="false">IFERROR(INDEX(Section_Master!$E$2:$E$477,MATCH($E3366,Section_Master!$A$2:$A$477,0))&amp;"","")</f>
        <v>No</v>
      </c>
      <c r="H3366" s="10" t="str">
        <f aca="false">IFERROR(INDEX(Section_Master!$F$2:$F$477,MATCH($E3366,Section_Master!$A$2:$A$477,0))&amp;"","")</f>
        <v>Yes</v>
      </c>
      <c r="I3366" s="10" t="str">
        <f aca="false">IFERROR(INDEX(Section_Master!$G$2:$G$477,MATCH($E3366,Section_Master!$A$2:$A$477,0))&amp;"","")</f>
        <v>No</v>
      </c>
      <c r="J3366" s="10" t="s">
        <v>61</v>
      </c>
      <c r="K3366" s="8" t="s">
        <v>7891</v>
      </c>
    </row>
    <row r="3367" customFormat="false" ht="34.5" hidden="false" customHeight="true" outlineLevel="0" collapsed="false">
      <c r="A3367" s="10" t="s">
        <v>7900</v>
      </c>
      <c r="B3367" s="10" t="s">
        <v>45</v>
      </c>
      <c r="C3367" s="8" t="s">
        <v>7889</v>
      </c>
      <c r="D3367" s="8" t="s">
        <v>7901</v>
      </c>
      <c r="E3367" s="11" t="n">
        <v>203</v>
      </c>
      <c r="F3367" s="8" t="str">
        <f aca="false">IFERROR(INDEX(Section_Master!$D$2:$D$477,MATCH($E3367,Section_Master!$A$2:$A$477,0))&amp;"","")</f>
        <v>Simple imprisonment up to 2 years, or fine, or both; property confiscated</v>
      </c>
      <c r="G3367" s="10" t="str">
        <f aca="false">IFERROR(INDEX(Section_Master!$E$2:$E$477,MATCH($E3367,Section_Master!$A$2:$A$477,0))&amp;"","")</f>
        <v>No</v>
      </c>
      <c r="H3367" s="10" t="str">
        <f aca="false">IFERROR(INDEX(Section_Master!$F$2:$F$477,MATCH($E3367,Section_Master!$A$2:$A$477,0))&amp;"","")</f>
        <v>Yes</v>
      </c>
      <c r="I3367" s="10" t="str">
        <f aca="false">IFERROR(INDEX(Section_Master!$G$2:$G$477,MATCH($E3367,Section_Master!$A$2:$A$477,0))&amp;"","")</f>
        <v>No</v>
      </c>
      <c r="J3367" s="10" t="s">
        <v>64</v>
      </c>
      <c r="K3367" s="8" t="s">
        <v>7891</v>
      </c>
    </row>
    <row r="3368" customFormat="false" ht="23.25" hidden="false" customHeight="true" outlineLevel="0" collapsed="false">
      <c r="A3368" s="10" t="s">
        <v>7902</v>
      </c>
      <c r="B3368" s="10" t="s">
        <v>45</v>
      </c>
      <c r="C3368" s="8" t="s">
        <v>7903</v>
      </c>
      <c r="D3368" s="8" t="s">
        <v>7904</v>
      </c>
      <c r="E3368" s="11" t="n">
        <v>204</v>
      </c>
      <c r="F3368" s="8" t="str">
        <f aca="false">IFERROR(INDEX(Section_Master!$D$2:$D$477,MATCH($E3368,Section_Master!$A$2:$A$477,0))&amp;"","")</f>
        <v>Imprisonment up to 2 years, or fine, or both</v>
      </c>
      <c r="G3368" s="10" t="str">
        <f aca="false">IFERROR(INDEX(Section_Master!$E$2:$E$477,MATCH($E3368,Section_Master!$A$2:$A$477,0))&amp;"","")</f>
        <v>Yes</v>
      </c>
      <c r="H3368" s="10" t="str">
        <f aca="false">IFERROR(INDEX(Section_Master!$F$2:$F$477,MATCH($E3368,Section_Master!$A$2:$A$477,0))&amp;"","")</f>
        <v>No</v>
      </c>
      <c r="I3368" s="10" t="str">
        <f aca="false">IFERROR(INDEX(Section_Master!$G$2:$G$477,MATCH($E3368,Section_Master!$A$2:$A$477,0))&amp;"","")</f>
        <v>No</v>
      </c>
      <c r="J3368" s="10" t="s">
        <v>48</v>
      </c>
      <c r="K3368" s="8" t="s">
        <v>7905</v>
      </c>
    </row>
    <row r="3369" customFormat="false" ht="34.5" hidden="false" customHeight="true" outlineLevel="0" collapsed="false">
      <c r="A3369" s="10" t="s">
        <v>7906</v>
      </c>
      <c r="B3369" s="10" t="s">
        <v>45</v>
      </c>
      <c r="C3369" s="8" t="s">
        <v>7903</v>
      </c>
      <c r="D3369" s="8" t="s">
        <v>7907</v>
      </c>
      <c r="E3369" s="11" t="n">
        <v>204</v>
      </c>
      <c r="F3369" s="8" t="str">
        <f aca="false">IFERROR(INDEX(Section_Master!$D$2:$D$477,MATCH($E3369,Section_Master!$A$2:$A$477,0))&amp;"","")</f>
        <v>Imprisonment up to 2 years, or fine, or both</v>
      </c>
      <c r="G3369" s="10" t="str">
        <f aca="false">IFERROR(INDEX(Section_Master!$E$2:$E$477,MATCH($E3369,Section_Master!$A$2:$A$477,0))&amp;"","")</f>
        <v>Yes</v>
      </c>
      <c r="H3369" s="10" t="str">
        <f aca="false">IFERROR(INDEX(Section_Master!$F$2:$F$477,MATCH($E3369,Section_Master!$A$2:$A$477,0))&amp;"","")</f>
        <v>No</v>
      </c>
      <c r="I3369" s="10" t="str">
        <f aca="false">IFERROR(INDEX(Section_Master!$G$2:$G$477,MATCH($E3369,Section_Master!$A$2:$A$477,0))&amp;"","")</f>
        <v>No</v>
      </c>
      <c r="J3369" s="10" t="s">
        <v>52</v>
      </c>
      <c r="K3369" s="8" t="s">
        <v>7905</v>
      </c>
    </row>
    <row r="3370" customFormat="false" ht="34.5" hidden="false" customHeight="true" outlineLevel="0" collapsed="false">
      <c r="A3370" s="10" t="s">
        <v>7908</v>
      </c>
      <c r="B3370" s="10" t="s">
        <v>45</v>
      </c>
      <c r="C3370" s="8" t="s">
        <v>7903</v>
      </c>
      <c r="D3370" s="8" t="s">
        <v>7909</v>
      </c>
      <c r="E3370" s="11" t="n">
        <v>204</v>
      </c>
      <c r="F3370" s="8" t="str">
        <f aca="false">IFERROR(INDEX(Section_Master!$D$2:$D$477,MATCH($E3370,Section_Master!$A$2:$A$477,0))&amp;"","")</f>
        <v>Imprisonment up to 2 years, or fine, or both</v>
      </c>
      <c r="G3370" s="10" t="str">
        <f aca="false">IFERROR(INDEX(Section_Master!$E$2:$E$477,MATCH($E3370,Section_Master!$A$2:$A$477,0))&amp;"","")</f>
        <v>Yes</v>
      </c>
      <c r="H3370" s="10" t="str">
        <f aca="false">IFERROR(INDEX(Section_Master!$F$2:$F$477,MATCH($E3370,Section_Master!$A$2:$A$477,0))&amp;"","")</f>
        <v>No</v>
      </c>
      <c r="I3370" s="10" t="str">
        <f aca="false">IFERROR(INDEX(Section_Master!$G$2:$G$477,MATCH($E3370,Section_Master!$A$2:$A$477,0))&amp;"","")</f>
        <v>No</v>
      </c>
      <c r="J3370" s="10" t="s">
        <v>55</v>
      </c>
      <c r="K3370" s="8" t="s">
        <v>7905</v>
      </c>
    </row>
    <row r="3371" customFormat="false" ht="23.25" hidden="false" customHeight="true" outlineLevel="0" collapsed="false">
      <c r="A3371" s="10" t="s">
        <v>7910</v>
      </c>
      <c r="B3371" s="10" t="s">
        <v>45</v>
      </c>
      <c r="C3371" s="8" t="s">
        <v>7903</v>
      </c>
      <c r="D3371" s="8" t="s">
        <v>7911</v>
      </c>
      <c r="E3371" s="11" t="n">
        <v>204</v>
      </c>
      <c r="F3371" s="8" t="str">
        <f aca="false">IFERROR(INDEX(Section_Master!$D$2:$D$477,MATCH($E3371,Section_Master!$A$2:$A$477,0))&amp;"","")</f>
        <v>Imprisonment up to 2 years, or fine, or both</v>
      </c>
      <c r="G3371" s="10" t="str">
        <f aca="false">IFERROR(INDEX(Section_Master!$E$2:$E$477,MATCH($E3371,Section_Master!$A$2:$A$477,0))&amp;"","")</f>
        <v>Yes</v>
      </c>
      <c r="H3371" s="10" t="str">
        <f aca="false">IFERROR(INDEX(Section_Master!$F$2:$F$477,MATCH($E3371,Section_Master!$A$2:$A$477,0))&amp;"","")</f>
        <v>No</v>
      </c>
      <c r="I3371" s="10" t="str">
        <f aca="false">IFERROR(INDEX(Section_Master!$G$2:$G$477,MATCH($E3371,Section_Master!$A$2:$A$477,0))&amp;"","")</f>
        <v>No</v>
      </c>
      <c r="J3371" s="10" t="s">
        <v>58</v>
      </c>
      <c r="K3371" s="8" t="s">
        <v>7905</v>
      </c>
    </row>
    <row r="3372" customFormat="false" ht="45.75" hidden="false" customHeight="true" outlineLevel="0" collapsed="false">
      <c r="A3372" s="10" t="s">
        <v>7912</v>
      </c>
      <c r="B3372" s="10" t="s">
        <v>45</v>
      </c>
      <c r="C3372" s="8" t="s">
        <v>7903</v>
      </c>
      <c r="D3372" s="8" t="s">
        <v>7913</v>
      </c>
      <c r="E3372" s="11" t="n">
        <v>204</v>
      </c>
      <c r="F3372" s="8" t="str">
        <f aca="false">IFERROR(INDEX(Section_Master!$D$2:$D$477,MATCH($E3372,Section_Master!$A$2:$A$477,0))&amp;"","")</f>
        <v>Imprisonment up to 2 years, or fine, or both</v>
      </c>
      <c r="G3372" s="10" t="str">
        <f aca="false">IFERROR(INDEX(Section_Master!$E$2:$E$477,MATCH($E3372,Section_Master!$A$2:$A$477,0))&amp;"","")</f>
        <v>Yes</v>
      </c>
      <c r="H3372" s="10" t="str">
        <f aca="false">IFERROR(INDEX(Section_Master!$F$2:$F$477,MATCH($E3372,Section_Master!$A$2:$A$477,0))&amp;"","")</f>
        <v>No</v>
      </c>
      <c r="I3372" s="10" t="str">
        <f aca="false">IFERROR(INDEX(Section_Master!$G$2:$G$477,MATCH($E3372,Section_Master!$A$2:$A$477,0))&amp;"","")</f>
        <v>No</v>
      </c>
      <c r="J3372" s="10" t="s">
        <v>61</v>
      </c>
      <c r="K3372" s="8" t="s">
        <v>7905</v>
      </c>
    </row>
    <row r="3373" customFormat="false" ht="34.5" hidden="false" customHeight="true" outlineLevel="0" collapsed="false">
      <c r="A3373" s="10" t="s">
        <v>7914</v>
      </c>
      <c r="B3373" s="10" t="s">
        <v>45</v>
      </c>
      <c r="C3373" s="8" t="s">
        <v>7903</v>
      </c>
      <c r="D3373" s="8" t="s">
        <v>7915</v>
      </c>
      <c r="E3373" s="11" t="n">
        <v>204</v>
      </c>
      <c r="F3373" s="8" t="str">
        <f aca="false">IFERROR(INDEX(Section_Master!$D$2:$D$477,MATCH($E3373,Section_Master!$A$2:$A$477,0))&amp;"","")</f>
        <v>Imprisonment up to 2 years, or fine, or both</v>
      </c>
      <c r="G3373" s="10" t="str">
        <f aca="false">IFERROR(INDEX(Section_Master!$E$2:$E$477,MATCH($E3373,Section_Master!$A$2:$A$477,0))&amp;"","")</f>
        <v>Yes</v>
      </c>
      <c r="H3373" s="10" t="str">
        <f aca="false">IFERROR(INDEX(Section_Master!$F$2:$F$477,MATCH($E3373,Section_Master!$A$2:$A$477,0))&amp;"","")</f>
        <v>No</v>
      </c>
      <c r="I3373" s="10" t="str">
        <f aca="false">IFERROR(INDEX(Section_Master!$G$2:$G$477,MATCH($E3373,Section_Master!$A$2:$A$477,0))&amp;"","")</f>
        <v>No</v>
      </c>
      <c r="J3373" s="10" t="s">
        <v>64</v>
      </c>
      <c r="K3373" s="8" t="s">
        <v>7905</v>
      </c>
    </row>
    <row r="3374" customFormat="false" ht="34.5" hidden="false" customHeight="true" outlineLevel="0" collapsed="false">
      <c r="A3374" s="10" t="s">
        <v>7916</v>
      </c>
      <c r="B3374" s="10" t="s">
        <v>45</v>
      </c>
      <c r="C3374" s="8" t="s">
        <v>7917</v>
      </c>
      <c r="D3374" s="8" t="s">
        <v>7918</v>
      </c>
      <c r="E3374" s="11" t="n">
        <v>205</v>
      </c>
      <c r="F3374" s="8" t="str">
        <f aca="false">IFERROR(INDEX(Section_Master!$D$2:$D$477,MATCH($E3374,Section_Master!$A$2:$A$477,0))&amp;"","")</f>
        <v>Imprisonment up to 3 months, or fine, or both</v>
      </c>
      <c r="G3374" s="10" t="str">
        <f aca="false">IFERROR(INDEX(Section_Master!$E$2:$E$477,MATCH($E3374,Section_Master!$A$2:$A$477,0))&amp;"","")</f>
        <v>No</v>
      </c>
      <c r="H3374" s="10" t="str">
        <f aca="false">IFERROR(INDEX(Section_Master!$F$2:$F$477,MATCH($E3374,Section_Master!$A$2:$A$477,0))&amp;"","")</f>
        <v>Yes</v>
      </c>
      <c r="I3374" s="10" t="str">
        <f aca="false">IFERROR(INDEX(Section_Master!$G$2:$G$477,MATCH($E3374,Section_Master!$A$2:$A$477,0))&amp;"","")</f>
        <v>No</v>
      </c>
      <c r="J3374" s="10" t="s">
        <v>48</v>
      </c>
      <c r="K3374" s="8" t="s">
        <v>7919</v>
      </c>
    </row>
    <row r="3375" customFormat="false" ht="34.5" hidden="false" customHeight="true" outlineLevel="0" collapsed="false">
      <c r="A3375" s="10" t="s">
        <v>7920</v>
      </c>
      <c r="B3375" s="10" t="s">
        <v>45</v>
      </c>
      <c r="C3375" s="8" t="s">
        <v>7917</v>
      </c>
      <c r="D3375" s="8" t="s">
        <v>7921</v>
      </c>
      <c r="E3375" s="11" t="n">
        <v>205</v>
      </c>
      <c r="F3375" s="8" t="str">
        <f aca="false">IFERROR(INDEX(Section_Master!$D$2:$D$477,MATCH($E3375,Section_Master!$A$2:$A$477,0))&amp;"","")</f>
        <v>Imprisonment up to 3 months, or fine, or both</v>
      </c>
      <c r="G3375" s="10" t="str">
        <f aca="false">IFERROR(INDEX(Section_Master!$E$2:$E$477,MATCH($E3375,Section_Master!$A$2:$A$477,0))&amp;"","")</f>
        <v>No</v>
      </c>
      <c r="H3375" s="10" t="str">
        <f aca="false">IFERROR(INDEX(Section_Master!$F$2:$F$477,MATCH($E3375,Section_Master!$A$2:$A$477,0))&amp;"","")</f>
        <v>Yes</v>
      </c>
      <c r="I3375" s="10" t="str">
        <f aca="false">IFERROR(INDEX(Section_Master!$G$2:$G$477,MATCH($E3375,Section_Master!$A$2:$A$477,0))&amp;"","")</f>
        <v>No</v>
      </c>
      <c r="J3375" s="10" t="s">
        <v>52</v>
      </c>
      <c r="K3375" s="8" t="s">
        <v>7919</v>
      </c>
    </row>
    <row r="3376" customFormat="false" ht="34.5" hidden="false" customHeight="true" outlineLevel="0" collapsed="false">
      <c r="A3376" s="10" t="s">
        <v>7922</v>
      </c>
      <c r="B3376" s="10" t="s">
        <v>45</v>
      </c>
      <c r="C3376" s="8" t="s">
        <v>7917</v>
      </c>
      <c r="D3376" s="8" t="s">
        <v>7923</v>
      </c>
      <c r="E3376" s="11" t="n">
        <v>205</v>
      </c>
      <c r="F3376" s="8" t="str">
        <f aca="false">IFERROR(INDEX(Section_Master!$D$2:$D$477,MATCH($E3376,Section_Master!$A$2:$A$477,0))&amp;"","")</f>
        <v>Imprisonment up to 3 months, or fine, or both</v>
      </c>
      <c r="G3376" s="10" t="str">
        <f aca="false">IFERROR(INDEX(Section_Master!$E$2:$E$477,MATCH($E3376,Section_Master!$A$2:$A$477,0))&amp;"","")</f>
        <v>No</v>
      </c>
      <c r="H3376" s="10" t="str">
        <f aca="false">IFERROR(INDEX(Section_Master!$F$2:$F$477,MATCH($E3376,Section_Master!$A$2:$A$477,0))&amp;"","")</f>
        <v>Yes</v>
      </c>
      <c r="I3376" s="10" t="str">
        <f aca="false">IFERROR(INDEX(Section_Master!$G$2:$G$477,MATCH($E3376,Section_Master!$A$2:$A$477,0))&amp;"","")</f>
        <v>No</v>
      </c>
      <c r="J3376" s="10" t="s">
        <v>55</v>
      </c>
      <c r="K3376" s="8" t="s">
        <v>7919</v>
      </c>
    </row>
    <row r="3377" customFormat="false" ht="23.25" hidden="false" customHeight="true" outlineLevel="0" collapsed="false">
      <c r="A3377" s="10" t="s">
        <v>7924</v>
      </c>
      <c r="B3377" s="10" t="s">
        <v>45</v>
      </c>
      <c r="C3377" s="8" t="s">
        <v>7917</v>
      </c>
      <c r="D3377" s="8" t="s">
        <v>7925</v>
      </c>
      <c r="E3377" s="11" t="n">
        <v>205</v>
      </c>
      <c r="F3377" s="8" t="str">
        <f aca="false">IFERROR(INDEX(Section_Master!$D$2:$D$477,MATCH($E3377,Section_Master!$A$2:$A$477,0))&amp;"","")</f>
        <v>Imprisonment up to 3 months, or fine, or both</v>
      </c>
      <c r="G3377" s="10" t="str">
        <f aca="false">IFERROR(INDEX(Section_Master!$E$2:$E$477,MATCH($E3377,Section_Master!$A$2:$A$477,0))&amp;"","")</f>
        <v>No</v>
      </c>
      <c r="H3377" s="10" t="str">
        <f aca="false">IFERROR(INDEX(Section_Master!$F$2:$F$477,MATCH($E3377,Section_Master!$A$2:$A$477,0))&amp;"","")</f>
        <v>Yes</v>
      </c>
      <c r="I3377" s="10" t="str">
        <f aca="false">IFERROR(INDEX(Section_Master!$G$2:$G$477,MATCH($E3377,Section_Master!$A$2:$A$477,0))&amp;"","")</f>
        <v>No</v>
      </c>
      <c r="J3377" s="10" t="s">
        <v>58</v>
      </c>
      <c r="K3377" s="8" t="s">
        <v>7919</v>
      </c>
    </row>
    <row r="3378" customFormat="false" ht="23.25" hidden="false" customHeight="true" outlineLevel="0" collapsed="false">
      <c r="A3378" s="10" t="s">
        <v>7926</v>
      </c>
      <c r="B3378" s="10" t="s">
        <v>45</v>
      </c>
      <c r="C3378" s="8" t="s">
        <v>7917</v>
      </c>
      <c r="D3378" s="8" t="s">
        <v>7927</v>
      </c>
      <c r="E3378" s="11" t="n">
        <v>205</v>
      </c>
      <c r="F3378" s="8" t="str">
        <f aca="false">IFERROR(INDEX(Section_Master!$D$2:$D$477,MATCH($E3378,Section_Master!$A$2:$A$477,0))&amp;"","")</f>
        <v>Imprisonment up to 3 months, or fine, or both</v>
      </c>
      <c r="G3378" s="10" t="str">
        <f aca="false">IFERROR(INDEX(Section_Master!$E$2:$E$477,MATCH($E3378,Section_Master!$A$2:$A$477,0))&amp;"","")</f>
        <v>No</v>
      </c>
      <c r="H3378" s="10" t="str">
        <f aca="false">IFERROR(INDEX(Section_Master!$F$2:$F$477,MATCH($E3378,Section_Master!$A$2:$A$477,0))&amp;"","")</f>
        <v>Yes</v>
      </c>
      <c r="I3378" s="10" t="str">
        <f aca="false">IFERROR(INDEX(Section_Master!$G$2:$G$477,MATCH($E3378,Section_Master!$A$2:$A$477,0))&amp;"","")</f>
        <v>No</v>
      </c>
      <c r="J3378" s="10" t="s">
        <v>61</v>
      </c>
      <c r="K3378" s="8" t="s">
        <v>7919</v>
      </c>
    </row>
    <row r="3379" customFormat="false" ht="34.5" hidden="false" customHeight="true" outlineLevel="0" collapsed="false">
      <c r="A3379" s="10" t="s">
        <v>7928</v>
      </c>
      <c r="B3379" s="10" t="s">
        <v>45</v>
      </c>
      <c r="C3379" s="8" t="s">
        <v>7917</v>
      </c>
      <c r="D3379" s="8" t="s">
        <v>7929</v>
      </c>
      <c r="E3379" s="11" t="n">
        <v>205</v>
      </c>
      <c r="F3379" s="8" t="str">
        <f aca="false">IFERROR(INDEX(Section_Master!$D$2:$D$477,MATCH($E3379,Section_Master!$A$2:$A$477,0))&amp;"","")</f>
        <v>Imprisonment up to 3 months, or fine, or both</v>
      </c>
      <c r="G3379" s="10" t="str">
        <f aca="false">IFERROR(INDEX(Section_Master!$E$2:$E$477,MATCH($E3379,Section_Master!$A$2:$A$477,0))&amp;"","")</f>
        <v>No</v>
      </c>
      <c r="H3379" s="10" t="str">
        <f aca="false">IFERROR(INDEX(Section_Master!$F$2:$F$477,MATCH($E3379,Section_Master!$A$2:$A$477,0))&amp;"","")</f>
        <v>Yes</v>
      </c>
      <c r="I3379" s="10" t="str">
        <f aca="false">IFERROR(INDEX(Section_Master!$G$2:$G$477,MATCH($E3379,Section_Master!$A$2:$A$477,0))&amp;"","")</f>
        <v>No</v>
      </c>
      <c r="J3379" s="10" t="s">
        <v>64</v>
      </c>
      <c r="K3379" s="8" t="s">
        <v>7919</v>
      </c>
    </row>
    <row r="3380" customFormat="false" ht="34.5" hidden="false" customHeight="true" outlineLevel="0" collapsed="false">
      <c r="A3380" s="10" t="s">
        <v>7930</v>
      </c>
      <c r="B3380" s="10" t="s">
        <v>45</v>
      </c>
      <c r="C3380" s="8" t="s">
        <v>7931</v>
      </c>
      <c r="D3380" s="8" t="s">
        <v>7932</v>
      </c>
      <c r="E3380" s="11" t="n">
        <v>206</v>
      </c>
      <c r="F3380" s="8" t="str">
        <f aca="false">IFERROR(INDEX(Section_Master!$D$2:$D$477,MATCH($E3380,Section_Master!$A$2:$A$477,0))&amp;"","")</f>
        <v>Simple imprisonment up to 1 month, or fine, or both; up to 6 months, or fine, or both if summons requires attendance in Court [s.206]</v>
      </c>
      <c r="G3380" s="10" t="str">
        <f aca="false">IFERROR(INDEX(Section_Master!$E$2:$E$477,MATCH($E3380,Section_Master!$A$2:$A$477,0))&amp;"","")</f>
        <v>No</v>
      </c>
      <c r="H3380" s="10" t="str">
        <f aca="false">IFERROR(INDEX(Section_Master!$F$2:$F$477,MATCH($E3380,Section_Master!$A$2:$A$477,0))&amp;"","")</f>
        <v>Yes</v>
      </c>
      <c r="I3380" s="10" t="str">
        <f aca="false">IFERROR(INDEX(Section_Master!$G$2:$G$477,MATCH($E3380,Section_Master!$A$2:$A$477,0))&amp;"","")</f>
        <v>No</v>
      </c>
      <c r="J3380" s="10" t="s">
        <v>48</v>
      </c>
      <c r="K3380" s="8" t="s">
        <v>7933</v>
      </c>
    </row>
    <row r="3381" customFormat="false" ht="34.5" hidden="false" customHeight="true" outlineLevel="0" collapsed="false">
      <c r="A3381" s="10" t="s">
        <v>7934</v>
      </c>
      <c r="B3381" s="10" t="s">
        <v>45</v>
      </c>
      <c r="C3381" s="8" t="s">
        <v>7931</v>
      </c>
      <c r="D3381" s="8" t="s">
        <v>7935</v>
      </c>
      <c r="E3381" s="11" t="n">
        <v>206</v>
      </c>
      <c r="F3381" s="8" t="str">
        <f aca="false">IFERROR(INDEX(Section_Master!$D$2:$D$477,MATCH($E3381,Section_Master!$A$2:$A$477,0))&amp;"","")</f>
        <v>Simple imprisonment up to 1 month, or fine, or both; up to 6 months, or fine, or both if summons requires attendance in Court [s.206]</v>
      </c>
      <c r="G3381" s="10" t="str">
        <f aca="false">IFERROR(INDEX(Section_Master!$E$2:$E$477,MATCH($E3381,Section_Master!$A$2:$A$477,0))&amp;"","")</f>
        <v>No</v>
      </c>
      <c r="H3381" s="10" t="str">
        <f aca="false">IFERROR(INDEX(Section_Master!$F$2:$F$477,MATCH($E3381,Section_Master!$A$2:$A$477,0))&amp;"","")</f>
        <v>Yes</v>
      </c>
      <c r="I3381" s="10" t="str">
        <f aca="false">IFERROR(INDEX(Section_Master!$G$2:$G$477,MATCH($E3381,Section_Master!$A$2:$A$477,0))&amp;"","")</f>
        <v>No</v>
      </c>
      <c r="J3381" s="10" t="s">
        <v>52</v>
      </c>
      <c r="K3381" s="8" t="s">
        <v>7933</v>
      </c>
    </row>
    <row r="3382" customFormat="false" ht="34.5" hidden="false" customHeight="true" outlineLevel="0" collapsed="false">
      <c r="A3382" s="10" t="s">
        <v>7936</v>
      </c>
      <c r="B3382" s="10" t="s">
        <v>45</v>
      </c>
      <c r="C3382" s="8" t="s">
        <v>7931</v>
      </c>
      <c r="D3382" s="8" t="s">
        <v>7937</v>
      </c>
      <c r="E3382" s="11" t="n">
        <v>206</v>
      </c>
      <c r="F3382" s="8" t="str">
        <f aca="false">IFERROR(INDEX(Section_Master!$D$2:$D$477,MATCH($E3382,Section_Master!$A$2:$A$477,0))&amp;"","")</f>
        <v>Simple imprisonment up to 1 month, or fine, or both; up to 6 months, or fine, or both if summons requires attendance in Court [s.206]</v>
      </c>
      <c r="G3382" s="10" t="str">
        <f aca="false">IFERROR(INDEX(Section_Master!$E$2:$E$477,MATCH($E3382,Section_Master!$A$2:$A$477,0))&amp;"","")</f>
        <v>No</v>
      </c>
      <c r="H3382" s="10" t="str">
        <f aca="false">IFERROR(INDEX(Section_Master!$F$2:$F$477,MATCH($E3382,Section_Master!$A$2:$A$477,0))&amp;"","")</f>
        <v>Yes</v>
      </c>
      <c r="I3382" s="10" t="str">
        <f aca="false">IFERROR(INDEX(Section_Master!$G$2:$G$477,MATCH($E3382,Section_Master!$A$2:$A$477,0))&amp;"","")</f>
        <v>No</v>
      </c>
      <c r="J3382" s="10" t="s">
        <v>55</v>
      </c>
      <c r="K3382" s="8" t="s">
        <v>7933</v>
      </c>
    </row>
    <row r="3383" customFormat="false" ht="34.5" hidden="false" customHeight="true" outlineLevel="0" collapsed="false">
      <c r="A3383" s="10" t="s">
        <v>7938</v>
      </c>
      <c r="B3383" s="10" t="s">
        <v>45</v>
      </c>
      <c r="C3383" s="8" t="s">
        <v>7931</v>
      </c>
      <c r="D3383" s="8" t="s">
        <v>7939</v>
      </c>
      <c r="E3383" s="11" t="n">
        <v>206</v>
      </c>
      <c r="F3383" s="8" t="str">
        <f aca="false">IFERROR(INDEX(Section_Master!$D$2:$D$477,MATCH($E3383,Section_Master!$A$2:$A$477,0))&amp;"","")</f>
        <v>Simple imprisonment up to 1 month, or fine, or both; up to 6 months, or fine, or both if summons requires attendance in Court [s.206]</v>
      </c>
      <c r="G3383" s="10" t="str">
        <f aca="false">IFERROR(INDEX(Section_Master!$E$2:$E$477,MATCH($E3383,Section_Master!$A$2:$A$477,0))&amp;"","")</f>
        <v>No</v>
      </c>
      <c r="H3383" s="10" t="str">
        <f aca="false">IFERROR(INDEX(Section_Master!$F$2:$F$477,MATCH($E3383,Section_Master!$A$2:$A$477,0))&amp;"","")</f>
        <v>Yes</v>
      </c>
      <c r="I3383" s="10" t="str">
        <f aca="false">IFERROR(INDEX(Section_Master!$G$2:$G$477,MATCH($E3383,Section_Master!$A$2:$A$477,0))&amp;"","")</f>
        <v>No</v>
      </c>
      <c r="J3383" s="10" t="s">
        <v>58</v>
      </c>
      <c r="K3383" s="8" t="s">
        <v>7933</v>
      </c>
    </row>
    <row r="3384" customFormat="false" ht="34.5" hidden="false" customHeight="true" outlineLevel="0" collapsed="false">
      <c r="A3384" s="10" t="s">
        <v>7940</v>
      </c>
      <c r="B3384" s="10" t="s">
        <v>45</v>
      </c>
      <c r="C3384" s="8" t="s">
        <v>7931</v>
      </c>
      <c r="D3384" s="8" t="s">
        <v>7941</v>
      </c>
      <c r="E3384" s="11" t="n">
        <v>206</v>
      </c>
      <c r="F3384" s="8" t="str">
        <f aca="false">IFERROR(INDEX(Section_Master!$D$2:$D$477,MATCH($E3384,Section_Master!$A$2:$A$477,0))&amp;"","")</f>
        <v>Simple imprisonment up to 1 month, or fine, or both; up to 6 months, or fine, or both if summons requires attendance in Court [s.206]</v>
      </c>
      <c r="G3384" s="10" t="str">
        <f aca="false">IFERROR(INDEX(Section_Master!$E$2:$E$477,MATCH($E3384,Section_Master!$A$2:$A$477,0))&amp;"","")</f>
        <v>No</v>
      </c>
      <c r="H3384" s="10" t="str">
        <f aca="false">IFERROR(INDEX(Section_Master!$F$2:$F$477,MATCH($E3384,Section_Master!$A$2:$A$477,0))&amp;"","")</f>
        <v>Yes</v>
      </c>
      <c r="I3384" s="10" t="str">
        <f aca="false">IFERROR(INDEX(Section_Master!$G$2:$G$477,MATCH($E3384,Section_Master!$A$2:$A$477,0))&amp;"","")</f>
        <v>No</v>
      </c>
      <c r="J3384" s="10" t="s">
        <v>61</v>
      </c>
      <c r="K3384" s="8" t="s">
        <v>7933</v>
      </c>
    </row>
    <row r="3385" customFormat="false" ht="34.5" hidden="false" customHeight="true" outlineLevel="0" collapsed="false">
      <c r="A3385" s="10" t="s">
        <v>7942</v>
      </c>
      <c r="B3385" s="10" t="s">
        <v>45</v>
      </c>
      <c r="C3385" s="8" t="s">
        <v>7931</v>
      </c>
      <c r="D3385" s="8" t="s">
        <v>7943</v>
      </c>
      <c r="E3385" s="11" t="n">
        <v>206</v>
      </c>
      <c r="F3385" s="8" t="str">
        <f aca="false">IFERROR(INDEX(Section_Master!$D$2:$D$477,MATCH($E3385,Section_Master!$A$2:$A$477,0))&amp;"","")</f>
        <v>Simple imprisonment up to 1 month, or fine, or both; up to 6 months, or fine, or both if summons requires attendance in Court [s.206]</v>
      </c>
      <c r="G3385" s="10" t="str">
        <f aca="false">IFERROR(INDEX(Section_Master!$E$2:$E$477,MATCH($E3385,Section_Master!$A$2:$A$477,0))&amp;"","")</f>
        <v>No</v>
      </c>
      <c r="H3385" s="10" t="str">
        <f aca="false">IFERROR(INDEX(Section_Master!$F$2:$F$477,MATCH($E3385,Section_Master!$A$2:$A$477,0))&amp;"","")</f>
        <v>Yes</v>
      </c>
      <c r="I3385" s="10" t="str">
        <f aca="false">IFERROR(INDEX(Section_Master!$G$2:$G$477,MATCH($E3385,Section_Master!$A$2:$A$477,0))&amp;"","")</f>
        <v>No</v>
      </c>
      <c r="J3385" s="10" t="s">
        <v>64</v>
      </c>
      <c r="K3385" s="8" t="s">
        <v>7933</v>
      </c>
    </row>
    <row r="3386" customFormat="false" ht="34.5" hidden="false" customHeight="true" outlineLevel="0" collapsed="false">
      <c r="A3386" s="10" t="s">
        <v>7944</v>
      </c>
      <c r="B3386" s="10" t="s">
        <v>45</v>
      </c>
      <c r="C3386" s="8" t="s">
        <v>7945</v>
      </c>
      <c r="D3386" s="8" t="s">
        <v>7946</v>
      </c>
      <c r="E3386" s="11" t="n">
        <v>207</v>
      </c>
      <c r="F3386" s="8" t="str">
        <f aca="false">IFERROR(INDEX(Section_Master!$D$2:$D$477,MATCH($E3386,Section_Master!$A$2:$A$477,0))&amp;"","")</f>
        <v>Simple imprisonment up to 1 month, or fine, or both; up to 6 months, or fine, or both if summons requires attendance in Court [s.207]</v>
      </c>
      <c r="G3386" s="10" t="str">
        <f aca="false">IFERROR(INDEX(Section_Master!$E$2:$E$477,MATCH($E3386,Section_Master!$A$2:$A$477,0))&amp;"","")</f>
        <v>No</v>
      </c>
      <c r="H3386" s="10" t="str">
        <f aca="false">IFERROR(INDEX(Section_Master!$F$2:$F$477,MATCH($E3386,Section_Master!$A$2:$A$477,0))&amp;"","")</f>
        <v>Yes</v>
      </c>
      <c r="I3386" s="10" t="str">
        <f aca="false">IFERROR(INDEX(Section_Master!$G$2:$G$477,MATCH($E3386,Section_Master!$A$2:$A$477,0))&amp;"","")</f>
        <v>No</v>
      </c>
      <c r="J3386" s="10" t="s">
        <v>48</v>
      </c>
      <c r="K3386" s="8" t="s">
        <v>7947</v>
      </c>
    </row>
    <row r="3387" customFormat="false" ht="34.5" hidden="false" customHeight="true" outlineLevel="0" collapsed="false">
      <c r="A3387" s="10" t="s">
        <v>7948</v>
      </c>
      <c r="B3387" s="10" t="s">
        <v>45</v>
      </c>
      <c r="C3387" s="8" t="s">
        <v>7945</v>
      </c>
      <c r="D3387" s="8" t="s">
        <v>7949</v>
      </c>
      <c r="E3387" s="11" t="n">
        <v>207</v>
      </c>
      <c r="F3387" s="8" t="str">
        <f aca="false">IFERROR(INDEX(Section_Master!$D$2:$D$477,MATCH($E3387,Section_Master!$A$2:$A$477,0))&amp;"","")</f>
        <v>Simple imprisonment up to 1 month, or fine, or both; up to 6 months, or fine, or both if summons requires attendance in Court [s.207]</v>
      </c>
      <c r="G3387" s="10" t="str">
        <f aca="false">IFERROR(INDEX(Section_Master!$E$2:$E$477,MATCH($E3387,Section_Master!$A$2:$A$477,0))&amp;"","")</f>
        <v>No</v>
      </c>
      <c r="H3387" s="10" t="str">
        <f aca="false">IFERROR(INDEX(Section_Master!$F$2:$F$477,MATCH($E3387,Section_Master!$A$2:$A$477,0))&amp;"","")</f>
        <v>Yes</v>
      </c>
      <c r="I3387" s="10" t="str">
        <f aca="false">IFERROR(INDEX(Section_Master!$G$2:$G$477,MATCH($E3387,Section_Master!$A$2:$A$477,0))&amp;"","")</f>
        <v>No</v>
      </c>
      <c r="J3387" s="10" t="s">
        <v>52</v>
      </c>
      <c r="K3387" s="8" t="s">
        <v>7947</v>
      </c>
    </row>
    <row r="3388" customFormat="false" ht="34.5" hidden="false" customHeight="true" outlineLevel="0" collapsed="false">
      <c r="A3388" s="10" t="s">
        <v>7950</v>
      </c>
      <c r="B3388" s="10" t="s">
        <v>45</v>
      </c>
      <c r="C3388" s="8" t="s">
        <v>7945</v>
      </c>
      <c r="D3388" s="8" t="s">
        <v>7951</v>
      </c>
      <c r="E3388" s="11" t="n">
        <v>207</v>
      </c>
      <c r="F3388" s="8" t="str">
        <f aca="false">IFERROR(INDEX(Section_Master!$D$2:$D$477,MATCH($E3388,Section_Master!$A$2:$A$477,0))&amp;"","")</f>
        <v>Simple imprisonment up to 1 month, or fine, or both; up to 6 months, or fine, or both if summons requires attendance in Court [s.207]</v>
      </c>
      <c r="G3388" s="10" t="str">
        <f aca="false">IFERROR(INDEX(Section_Master!$E$2:$E$477,MATCH($E3388,Section_Master!$A$2:$A$477,0))&amp;"","")</f>
        <v>No</v>
      </c>
      <c r="H3388" s="10" t="str">
        <f aca="false">IFERROR(INDEX(Section_Master!$F$2:$F$477,MATCH($E3388,Section_Master!$A$2:$A$477,0))&amp;"","")</f>
        <v>Yes</v>
      </c>
      <c r="I3388" s="10" t="str">
        <f aca="false">IFERROR(INDEX(Section_Master!$G$2:$G$477,MATCH($E3388,Section_Master!$A$2:$A$477,0))&amp;"","")</f>
        <v>No</v>
      </c>
      <c r="J3388" s="10" t="s">
        <v>55</v>
      </c>
      <c r="K3388" s="8" t="s">
        <v>7947</v>
      </c>
    </row>
    <row r="3389" customFormat="false" ht="34.5" hidden="false" customHeight="true" outlineLevel="0" collapsed="false">
      <c r="A3389" s="10" t="s">
        <v>7952</v>
      </c>
      <c r="B3389" s="10" t="s">
        <v>45</v>
      </c>
      <c r="C3389" s="8" t="s">
        <v>7945</v>
      </c>
      <c r="D3389" s="8" t="s">
        <v>7953</v>
      </c>
      <c r="E3389" s="11" t="n">
        <v>207</v>
      </c>
      <c r="F3389" s="8" t="str">
        <f aca="false">IFERROR(INDEX(Section_Master!$D$2:$D$477,MATCH($E3389,Section_Master!$A$2:$A$477,0))&amp;"","")</f>
        <v>Simple imprisonment up to 1 month, or fine, or both; up to 6 months, or fine, or both if summons requires attendance in Court [s.207]</v>
      </c>
      <c r="G3389" s="10" t="str">
        <f aca="false">IFERROR(INDEX(Section_Master!$E$2:$E$477,MATCH($E3389,Section_Master!$A$2:$A$477,0))&amp;"","")</f>
        <v>No</v>
      </c>
      <c r="H3389" s="10" t="str">
        <f aca="false">IFERROR(INDEX(Section_Master!$F$2:$F$477,MATCH($E3389,Section_Master!$A$2:$A$477,0))&amp;"","")</f>
        <v>Yes</v>
      </c>
      <c r="I3389" s="10" t="str">
        <f aca="false">IFERROR(INDEX(Section_Master!$G$2:$G$477,MATCH($E3389,Section_Master!$A$2:$A$477,0))&amp;"","")</f>
        <v>No</v>
      </c>
      <c r="J3389" s="10" t="s">
        <v>58</v>
      </c>
      <c r="K3389" s="8" t="s">
        <v>7947</v>
      </c>
    </row>
    <row r="3390" customFormat="false" ht="34.5" hidden="false" customHeight="true" outlineLevel="0" collapsed="false">
      <c r="A3390" s="10" t="s">
        <v>7954</v>
      </c>
      <c r="B3390" s="10" t="s">
        <v>45</v>
      </c>
      <c r="C3390" s="8" t="s">
        <v>7945</v>
      </c>
      <c r="D3390" s="8" t="s">
        <v>7955</v>
      </c>
      <c r="E3390" s="11" t="n">
        <v>207</v>
      </c>
      <c r="F3390" s="8" t="str">
        <f aca="false">IFERROR(INDEX(Section_Master!$D$2:$D$477,MATCH($E3390,Section_Master!$A$2:$A$477,0))&amp;"","")</f>
        <v>Simple imprisonment up to 1 month, or fine, or both; up to 6 months, or fine, or both if summons requires attendance in Court [s.207]</v>
      </c>
      <c r="G3390" s="10" t="str">
        <f aca="false">IFERROR(INDEX(Section_Master!$E$2:$E$477,MATCH($E3390,Section_Master!$A$2:$A$477,0))&amp;"","")</f>
        <v>No</v>
      </c>
      <c r="H3390" s="10" t="str">
        <f aca="false">IFERROR(INDEX(Section_Master!$F$2:$F$477,MATCH($E3390,Section_Master!$A$2:$A$477,0))&amp;"","")</f>
        <v>Yes</v>
      </c>
      <c r="I3390" s="10" t="str">
        <f aca="false">IFERROR(INDEX(Section_Master!$G$2:$G$477,MATCH($E3390,Section_Master!$A$2:$A$477,0))&amp;"","")</f>
        <v>No</v>
      </c>
      <c r="J3390" s="10" t="s">
        <v>61</v>
      </c>
      <c r="K3390" s="8" t="s">
        <v>7947</v>
      </c>
    </row>
    <row r="3391" customFormat="false" ht="34.5" hidden="false" customHeight="true" outlineLevel="0" collapsed="false">
      <c r="A3391" s="10" t="s">
        <v>7956</v>
      </c>
      <c r="B3391" s="10" t="s">
        <v>45</v>
      </c>
      <c r="C3391" s="8" t="s">
        <v>7945</v>
      </c>
      <c r="D3391" s="8" t="s">
        <v>7957</v>
      </c>
      <c r="E3391" s="11" t="n">
        <v>207</v>
      </c>
      <c r="F3391" s="8" t="str">
        <f aca="false">IFERROR(INDEX(Section_Master!$D$2:$D$477,MATCH($E3391,Section_Master!$A$2:$A$477,0))&amp;"","")</f>
        <v>Simple imprisonment up to 1 month, or fine, or both; up to 6 months, or fine, or both if summons requires attendance in Court [s.207]</v>
      </c>
      <c r="G3391" s="10" t="str">
        <f aca="false">IFERROR(INDEX(Section_Master!$E$2:$E$477,MATCH($E3391,Section_Master!$A$2:$A$477,0))&amp;"","")</f>
        <v>No</v>
      </c>
      <c r="H3391" s="10" t="str">
        <f aca="false">IFERROR(INDEX(Section_Master!$F$2:$F$477,MATCH($E3391,Section_Master!$A$2:$A$477,0))&amp;"","")</f>
        <v>Yes</v>
      </c>
      <c r="I3391" s="10" t="str">
        <f aca="false">IFERROR(INDEX(Section_Master!$G$2:$G$477,MATCH($E3391,Section_Master!$A$2:$A$477,0))&amp;"","")</f>
        <v>No</v>
      </c>
      <c r="J3391" s="10" t="s">
        <v>64</v>
      </c>
      <c r="K3391" s="8" t="s">
        <v>7947</v>
      </c>
    </row>
    <row r="3392" customFormat="false" ht="34.5" hidden="false" customHeight="true" outlineLevel="0" collapsed="false">
      <c r="A3392" s="10" t="s">
        <v>7958</v>
      </c>
      <c r="B3392" s="10" t="s">
        <v>45</v>
      </c>
      <c r="C3392" s="8" t="s">
        <v>7959</v>
      </c>
      <c r="D3392" s="8" t="s">
        <v>7960</v>
      </c>
      <c r="E3392" s="11" t="n">
        <v>208</v>
      </c>
      <c r="F3392" s="8" t="str">
        <f aca="false">IFERROR(INDEX(Section_Master!$D$2:$D$477,MATCH($E3392,Section_Master!$A$2:$A$477,0))&amp;"","")</f>
        <v>Simple imprisonment up to 1 month, or fine, or both; up to 6 months, or fine, or both if attendance in Court is required [s.208]</v>
      </c>
      <c r="G3392" s="10" t="str">
        <f aca="false">IFERROR(INDEX(Section_Master!$E$2:$E$477,MATCH($E3392,Section_Master!$A$2:$A$477,0))&amp;"","")</f>
        <v>No</v>
      </c>
      <c r="H3392" s="10" t="str">
        <f aca="false">IFERROR(INDEX(Section_Master!$F$2:$F$477,MATCH($E3392,Section_Master!$A$2:$A$477,0))&amp;"","")</f>
        <v>Yes</v>
      </c>
      <c r="I3392" s="10" t="str">
        <f aca="false">IFERROR(INDEX(Section_Master!$G$2:$G$477,MATCH($E3392,Section_Master!$A$2:$A$477,0))&amp;"","")</f>
        <v>No</v>
      </c>
      <c r="J3392" s="10" t="s">
        <v>48</v>
      </c>
      <c r="K3392" s="8" t="s">
        <v>7961</v>
      </c>
    </row>
    <row r="3393" customFormat="false" ht="34.5" hidden="false" customHeight="true" outlineLevel="0" collapsed="false">
      <c r="A3393" s="10" t="s">
        <v>7962</v>
      </c>
      <c r="B3393" s="10" t="s">
        <v>45</v>
      </c>
      <c r="C3393" s="8" t="s">
        <v>7959</v>
      </c>
      <c r="D3393" s="8" t="s">
        <v>7963</v>
      </c>
      <c r="E3393" s="11" t="n">
        <v>208</v>
      </c>
      <c r="F3393" s="8" t="str">
        <f aca="false">IFERROR(INDEX(Section_Master!$D$2:$D$477,MATCH($E3393,Section_Master!$A$2:$A$477,0))&amp;"","")</f>
        <v>Simple imprisonment up to 1 month, or fine, or both; up to 6 months, or fine, or both if attendance in Court is required [s.208]</v>
      </c>
      <c r="G3393" s="10" t="str">
        <f aca="false">IFERROR(INDEX(Section_Master!$E$2:$E$477,MATCH($E3393,Section_Master!$A$2:$A$477,0))&amp;"","")</f>
        <v>No</v>
      </c>
      <c r="H3393" s="10" t="str">
        <f aca="false">IFERROR(INDEX(Section_Master!$F$2:$F$477,MATCH($E3393,Section_Master!$A$2:$A$477,0))&amp;"","")</f>
        <v>Yes</v>
      </c>
      <c r="I3393" s="10" t="str">
        <f aca="false">IFERROR(INDEX(Section_Master!$G$2:$G$477,MATCH($E3393,Section_Master!$A$2:$A$477,0))&amp;"","")</f>
        <v>No</v>
      </c>
      <c r="J3393" s="10" t="s">
        <v>52</v>
      </c>
      <c r="K3393" s="8" t="s">
        <v>7961</v>
      </c>
    </row>
    <row r="3394" customFormat="false" ht="34.5" hidden="false" customHeight="true" outlineLevel="0" collapsed="false">
      <c r="A3394" s="10" t="s">
        <v>7964</v>
      </c>
      <c r="B3394" s="10" t="s">
        <v>45</v>
      </c>
      <c r="C3394" s="8" t="s">
        <v>7959</v>
      </c>
      <c r="D3394" s="8" t="s">
        <v>7965</v>
      </c>
      <c r="E3394" s="11" t="n">
        <v>208</v>
      </c>
      <c r="F3394" s="8" t="str">
        <f aca="false">IFERROR(INDEX(Section_Master!$D$2:$D$477,MATCH($E3394,Section_Master!$A$2:$A$477,0))&amp;"","")</f>
        <v>Simple imprisonment up to 1 month, or fine, or both; up to 6 months, or fine, or both if attendance in Court is required [s.208]</v>
      </c>
      <c r="G3394" s="10" t="str">
        <f aca="false">IFERROR(INDEX(Section_Master!$E$2:$E$477,MATCH($E3394,Section_Master!$A$2:$A$477,0))&amp;"","")</f>
        <v>No</v>
      </c>
      <c r="H3394" s="10" t="str">
        <f aca="false">IFERROR(INDEX(Section_Master!$F$2:$F$477,MATCH($E3394,Section_Master!$A$2:$A$477,0))&amp;"","")</f>
        <v>Yes</v>
      </c>
      <c r="I3394" s="10" t="str">
        <f aca="false">IFERROR(INDEX(Section_Master!$G$2:$G$477,MATCH($E3394,Section_Master!$A$2:$A$477,0))&amp;"","")</f>
        <v>No</v>
      </c>
      <c r="J3394" s="10" t="s">
        <v>55</v>
      </c>
      <c r="K3394" s="8" t="s">
        <v>7961</v>
      </c>
    </row>
    <row r="3395" customFormat="false" ht="23.25" hidden="false" customHeight="true" outlineLevel="0" collapsed="false">
      <c r="A3395" s="10" t="s">
        <v>7966</v>
      </c>
      <c r="B3395" s="10" t="s">
        <v>45</v>
      </c>
      <c r="C3395" s="8" t="s">
        <v>7959</v>
      </c>
      <c r="D3395" s="8" t="s">
        <v>7967</v>
      </c>
      <c r="E3395" s="11" t="n">
        <v>208</v>
      </c>
      <c r="F3395" s="8" t="str">
        <f aca="false">IFERROR(INDEX(Section_Master!$D$2:$D$477,MATCH($E3395,Section_Master!$A$2:$A$477,0))&amp;"","")</f>
        <v>Simple imprisonment up to 1 month, or fine, or both; up to 6 months, or fine, or both if attendance in Court is required [s.208]</v>
      </c>
      <c r="G3395" s="10" t="str">
        <f aca="false">IFERROR(INDEX(Section_Master!$E$2:$E$477,MATCH($E3395,Section_Master!$A$2:$A$477,0))&amp;"","")</f>
        <v>No</v>
      </c>
      <c r="H3395" s="10" t="str">
        <f aca="false">IFERROR(INDEX(Section_Master!$F$2:$F$477,MATCH($E3395,Section_Master!$A$2:$A$477,0))&amp;"","")</f>
        <v>Yes</v>
      </c>
      <c r="I3395" s="10" t="str">
        <f aca="false">IFERROR(INDEX(Section_Master!$G$2:$G$477,MATCH($E3395,Section_Master!$A$2:$A$477,0))&amp;"","")</f>
        <v>No</v>
      </c>
      <c r="J3395" s="10" t="s">
        <v>58</v>
      </c>
      <c r="K3395" s="8" t="s">
        <v>7961</v>
      </c>
    </row>
    <row r="3396" customFormat="false" ht="34.5" hidden="false" customHeight="true" outlineLevel="0" collapsed="false">
      <c r="A3396" s="10" t="s">
        <v>7968</v>
      </c>
      <c r="B3396" s="10" t="s">
        <v>45</v>
      </c>
      <c r="C3396" s="8" t="s">
        <v>7959</v>
      </c>
      <c r="D3396" s="8" t="s">
        <v>7969</v>
      </c>
      <c r="E3396" s="11" t="n">
        <v>208</v>
      </c>
      <c r="F3396" s="8" t="str">
        <f aca="false">IFERROR(INDEX(Section_Master!$D$2:$D$477,MATCH($E3396,Section_Master!$A$2:$A$477,0))&amp;"","")</f>
        <v>Simple imprisonment up to 1 month, or fine, or both; up to 6 months, or fine, or both if attendance in Court is required [s.208]</v>
      </c>
      <c r="G3396" s="10" t="str">
        <f aca="false">IFERROR(INDEX(Section_Master!$E$2:$E$477,MATCH($E3396,Section_Master!$A$2:$A$477,0))&amp;"","")</f>
        <v>No</v>
      </c>
      <c r="H3396" s="10" t="str">
        <f aca="false">IFERROR(INDEX(Section_Master!$F$2:$F$477,MATCH($E3396,Section_Master!$A$2:$A$477,0))&amp;"","")</f>
        <v>Yes</v>
      </c>
      <c r="I3396" s="10" t="str">
        <f aca="false">IFERROR(INDEX(Section_Master!$G$2:$G$477,MATCH($E3396,Section_Master!$A$2:$A$477,0))&amp;"","")</f>
        <v>No</v>
      </c>
      <c r="J3396" s="10" t="s">
        <v>61</v>
      </c>
      <c r="K3396" s="8" t="s">
        <v>7961</v>
      </c>
    </row>
    <row r="3397" customFormat="false" ht="34.5" hidden="false" customHeight="true" outlineLevel="0" collapsed="false">
      <c r="A3397" s="10" t="s">
        <v>7970</v>
      </c>
      <c r="B3397" s="10" t="s">
        <v>45</v>
      </c>
      <c r="C3397" s="8" t="s">
        <v>7959</v>
      </c>
      <c r="D3397" s="8" t="s">
        <v>7971</v>
      </c>
      <c r="E3397" s="11" t="n">
        <v>208</v>
      </c>
      <c r="F3397" s="8" t="str">
        <f aca="false">IFERROR(INDEX(Section_Master!$D$2:$D$477,MATCH($E3397,Section_Master!$A$2:$A$477,0))&amp;"","")</f>
        <v>Simple imprisonment up to 1 month, or fine, or both; up to 6 months, or fine, or both if attendance in Court is required [s.208]</v>
      </c>
      <c r="G3397" s="10" t="str">
        <f aca="false">IFERROR(INDEX(Section_Master!$E$2:$E$477,MATCH($E3397,Section_Master!$A$2:$A$477,0))&amp;"","")</f>
        <v>No</v>
      </c>
      <c r="H3397" s="10" t="str">
        <f aca="false">IFERROR(INDEX(Section_Master!$F$2:$F$477,MATCH($E3397,Section_Master!$A$2:$A$477,0))&amp;"","")</f>
        <v>Yes</v>
      </c>
      <c r="I3397" s="10" t="str">
        <f aca="false">IFERROR(INDEX(Section_Master!$G$2:$G$477,MATCH($E3397,Section_Master!$A$2:$A$477,0))&amp;"","")</f>
        <v>No</v>
      </c>
      <c r="J3397" s="10" t="s">
        <v>64</v>
      </c>
      <c r="K3397" s="8" t="s">
        <v>7961</v>
      </c>
    </row>
    <row r="3398" customFormat="false" ht="34.5" hidden="false" customHeight="true" outlineLevel="0" collapsed="false">
      <c r="A3398" s="10" t="s">
        <v>7972</v>
      </c>
      <c r="B3398" s="10" t="s">
        <v>45</v>
      </c>
      <c r="C3398" s="8" t="s">
        <v>7973</v>
      </c>
      <c r="D3398" s="8" t="s">
        <v>7974</v>
      </c>
      <c r="E3398" s="11" t="n">
        <v>209</v>
      </c>
      <c r="F3398" s="8" t="str">
        <f aca="false">IFERROR(INDEX(Section_Master!$D$2:$D$477,MATCH($E3398,Section_Master!$A$2:$A$477,0))&amp;"","")</f>
        <v>Imprisonment up to 3 years, or fine, or both; up to 7 years and fine if declared a proclaimed offender [s.209]</v>
      </c>
      <c r="G3398" s="10" t="str">
        <f aca="false">IFERROR(INDEX(Section_Master!$E$2:$E$477,MATCH($E3398,Section_Master!$A$2:$A$477,0))&amp;"","")</f>
        <v>Yes</v>
      </c>
      <c r="H3398" s="10" t="str">
        <f aca="false">IFERROR(INDEX(Section_Master!$F$2:$F$477,MATCH($E3398,Section_Master!$A$2:$A$477,0))&amp;"","")</f>
        <v>No</v>
      </c>
      <c r="I3398" s="10" t="str">
        <f aca="false">IFERROR(INDEX(Section_Master!$G$2:$G$477,MATCH($E3398,Section_Master!$A$2:$A$477,0))&amp;"","")</f>
        <v>No</v>
      </c>
      <c r="J3398" s="10" t="s">
        <v>48</v>
      </c>
      <c r="K3398" s="8" t="s">
        <v>7975</v>
      </c>
    </row>
    <row r="3399" customFormat="false" ht="34.5" hidden="false" customHeight="true" outlineLevel="0" collapsed="false">
      <c r="A3399" s="10" t="s">
        <v>7976</v>
      </c>
      <c r="B3399" s="10" t="s">
        <v>45</v>
      </c>
      <c r="C3399" s="8" t="s">
        <v>7973</v>
      </c>
      <c r="D3399" s="8" t="s">
        <v>7977</v>
      </c>
      <c r="E3399" s="11" t="n">
        <v>209</v>
      </c>
      <c r="F3399" s="8" t="str">
        <f aca="false">IFERROR(INDEX(Section_Master!$D$2:$D$477,MATCH($E3399,Section_Master!$A$2:$A$477,0))&amp;"","")</f>
        <v>Imprisonment up to 3 years, or fine, or both; up to 7 years and fine if declared a proclaimed offender [s.209]</v>
      </c>
      <c r="G3399" s="10" t="str">
        <f aca="false">IFERROR(INDEX(Section_Master!$E$2:$E$477,MATCH($E3399,Section_Master!$A$2:$A$477,0))&amp;"","")</f>
        <v>Yes</v>
      </c>
      <c r="H3399" s="10" t="str">
        <f aca="false">IFERROR(INDEX(Section_Master!$F$2:$F$477,MATCH($E3399,Section_Master!$A$2:$A$477,0))&amp;"","")</f>
        <v>No</v>
      </c>
      <c r="I3399" s="10" t="str">
        <f aca="false">IFERROR(INDEX(Section_Master!$G$2:$G$477,MATCH($E3399,Section_Master!$A$2:$A$477,0))&amp;"","")</f>
        <v>No</v>
      </c>
      <c r="J3399" s="10" t="s">
        <v>52</v>
      </c>
      <c r="K3399" s="8" t="s">
        <v>7975</v>
      </c>
    </row>
    <row r="3400" customFormat="false" ht="34.5" hidden="false" customHeight="true" outlineLevel="0" collapsed="false">
      <c r="A3400" s="10" t="s">
        <v>7978</v>
      </c>
      <c r="B3400" s="10" t="s">
        <v>45</v>
      </c>
      <c r="C3400" s="8" t="s">
        <v>7973</v>
      </c>
      <c r="D3400" s="8" t="s">
        <v>7979</v>
      </c>
      <c r="E3400" s="11" t="n">
        <v>209</v>
      </c>
      <c r="F3400" s="8" t="str">
        <f aca="false">IFERROR(INDEX(Section_Master!$D$2:$D$477,MATCH($E3400,Section_Master!$A$2:$A$477,0))&amp;"","")</f>
        <v>Imprisonment up to 3 years, or fine, or both; up to 7 years and fine if declared a proclaimed offender [s.209]</v>
      </c>
      <c r="G3400" s="10" t="str">
        <f aca="false">IFERROR(INDEX(Section_Master!$E$2:$E$477,MATCH($E3400,Section_Master!$A$2:$A$477,0))&amp;"","")</f>
        <v>Yes</v>
      </c>
      <c r="H3400" s="10" t="str">
        <f aca="false">IFERROR(INDEX(Section_Master!$F$2:$F$477,MATCH($E3400,Section_Master!$A$2:$A$477,0))&amp;"","")</f>
        <v>No</v>
      </c>
      <c r="I3400" s="10" t="str">
        <f aca="false">IFERROR(INDEX(Section_Master!$G$2:$G$477,MATCH($E3400,Section_Master!$A$2:$A$477,0))&amp;"","")</f>
        <v>No</v>
      </c>
      <c r="J3400" s="10" t="s">
        <v>55</v>
      </c>
      <c r="K3400" s="8" t="s">
        <v>7975</v>
      </c>
    </row>
    <row r="3401" customFormat="false" ht="23.25" hidden="false" customHeight="true" outlineLevel="0" collapsed="false">
      <c r="A3401" s="10" t="s">
        <v>7980</v>
      </c>
      <c r="B3401" s="10" t="s">
        <v>45</v>
      </c>
      <c r="C3401" s="8" t="s">
        <v>7973</v>
      </c>
      <c r="D3401" s="8" t="s">
        <v>7981</v>
      </c>
      <c r="E3401" s="11" t="n">
        <v>209</v>
      </c>
      <c r="F3401" s="8" t="str">
        <f aca="false">IFERROR(INDEX(Section_Master!$D$2:$D$477,MATCH($E3401,Section_Master!$A$2:$A$477,0))&amp;"","")</f>
        <v>Imprisonment up to 3 years, or fine, or both; up to 7 years and fine if declared a proclaimed offender [s.209]</v>
      </c>
      <c r="G3401" s="10" t="str">
        <f aca="false">IFERROR(INDEX(Section_Master!$E$2:$E$477,MATCH($E3401,Section_Master!$A$2:$A$477,0))&amp;"","")</f>
        <v>Yes</v>
      </c>
      <c r="H3401" s="10" t="str">
        <f aca="false">IFERROR(INDEX(Section_Master!$F$2:$F$477,MATCH($E3401,Section_Master!$A$2:$A$477,0))&amp;"","")</f>
        <v>No</v>
      </c>
      <c r="I3401" s="10" t="str">
        <f aca="false">IFERROR(INDEX(Section_Master!$G$2:$G$477,MATCH($E3401,Section_Master!$A$2:$A$477,0))&amp;"","")</f>
        <v>No</v>
      </c>
      <c r="J3401" s="10" t="s">
        <v>58</v>
      </c>
      <c r="K3401" s="8" t="s">
        <v>7975</v>
      </c>
    </row>
    <row r="3402" customFormat="false" ht="23.25" hidden="false" customHeight="true" outlineLevel="0" collapsed="false">
      <c r="A3402" s="10" t="s">
        <v>7982</v>
      </c>
      <c r="B3402" s="10" t="s">
        <v>45</v>
      </c>
      <c r="C3402" s="8" t="s">
        <v>7973</v>
      </c>
      <c r="D3402" s="8" t="s">
        <v>7983</v>
      </c>
      <c r="E3402" s="11" t="n">
        <v>209</v>
      </c>
      <c r="F3402" s="8" t="str">
        <f aca="false">IFERROR(INDEX(Section_Master!$D$2:$D$477,MATCH($E3402,Section_Master!$A$2:$A$477,0))&amp;"","")</f>
        <v>Imprisonment up to 3 years, or fine, or both; up to 7 years and fine if declared a proclaimed offender [s.209]</v>
      </c>
      <c r="G3402" s="10" t="str">
        <f aca="false">IFERROR(INDEX(Section_Master!$E$2:$E$477,MATCH($E3402,Section_Master!$A$2:$A$477,0))&amp;"","")</f>
        <v>Yes</v>
      </c>
      <c r="H3402" s="10" t="str">
        <f aca="false">IFERROR(INDEX(Section_Master!$F$2:$F$477,MATCH($E3402,Section_Master!$A$2:$A$477,0))&amp;"","")</f>
        <v>No</v>
      </c>
      <c r="I3402" s="10" t="str">
        <f aca="false">IFERROR(INDEX(Section_Master!$G$2:$G$477,MATCH($E3402,Section_Master!$A$2:$A$477,0))&amp;"","")</f>
        <v>No</v>
      </c>
      <c r="J3402" s="10" t="s">
        <v>61</v>
      </c>
      <c r="K3402" s="8" t="s">
        <v>7975</v>
      </c>
    </row>
    <row r="3403" customFormat="false" ht="34.5" hidden="false" customHeight="true" outlineLevel="0" collapsed="false">
      <c r="A3403" s="10" t="s">
        <v>7984</v>
      </c>
      <c r="B3403" s="10" t="s">
        <v>45</v>
      </c>
      <c r="C3403" s="8" t="s">
        <v>7973</v>
      </c>
      <c r="D3403" s="8" t="s">
        <v>7985</v>
      </c>
      <c r="E3403" s="11" t="n">
        <v>209</v>
      </c>
      <c r="F3403" s="8" t="str">
        <f aca="false">IFERROR(INDEX(Section_Master!$D$2:$D$477,MATCH($E3403,Section_Master!$A$2:$A$477,0))&amp;"","")</f>
        <v>Imprisonment up to 3 years, or fine, or both; up to 7 years and fine if declared a proclaimed offender [s.209]</v>
      </c>
      <c r="G3403" s="10" t="str">
        <f aca="false">IFERROR(INDEX(Section_Master!$E$2:$E$477,MATCH($E3403,Section_Master!$A$2:$A$477,0))&amp;"","")</f>
        <v>Yes</v>
      </c>
      <c r="H3403" s="10" t="str">
        <f aca="false">IFERROR(INDEX(Section_Master!$F$2:$F$477,MATCH($E3403,Section_Master!$A$2:$A$477,0))&amp;"","")</f>
        <v>No</v>
      </c>
      <c r="I3403" s="10" t="str">
        <f aca="false">IFERROR(INDEX(Section_Master!$G$2:$G$477,MATCH($E3403,Section_Master!$A$2:$A$477,0))&amp;"","")</f>
        <v>No</v>
      </c>
      <c r="J3403" s="10" t="s">
        <v>64</v>
      </c>
      <c r="K3403" s="8" t="s">
        <v>7975</v>
      </c>
    </row>
    <row r="3404" customFormat="false" ht="34.5" hidden="false" customHeight="true" outlineLevel="0" collapsed="false">
      <c r="A3404" s="10" t="s">
        <v>7986</v>
      </c>
      <c r="B3404" s="10" t="s">
        <v>45</v>
      </c>
      <c r="C3404" s="8" t="s">
        <v>7987</v>
      </c>
      <c r="D3404" s="8" t="s">
        <v>7988</v>
      </c>
      <c r="E3404" s="11" t="n">
        <v>210</v>
      </c>
      <c r="F3404" s="8" t="str">
        <f aca="false">IFERROR(INDEX(Section_Master!$D$2:$D$477,MATCH($E3404,Section_Master!$A$2:$A$477,0))&amp;"","")</f>
        <v>Simple imprisonment up to 1 month, or fine, or both; up to 6 months, or fine, or both if production in Court is required [s.210]</v>
      </c>
      <c r="G3404" s="10" t="str">
        <f aca="false">IFERROR(INDEX(Section_Master!$E$2:$E$477,MATCH($E3404,Section_Master!$A$2:$A$477,0))&amp;"","")</f>
        <v>No</v>
      </c>
      <c r="H3404" s="10" t="str">
        <f aca="false">IFERROR(INDEX(Section_Master!$F$2:$F$477,MATCH($E3404,Section_Master!$A$2:$A$477,0))&amp;"","")</f>
        <v>Yes</v>
      </c>
      <c r="I3404" s="10" t="str">
        <f aca="false">IFERROR(INDEX(Section_Master!$G$2:$G$477,MATCH($E3404,Section_Master!$A$2:$A$477,0))&amp;"","")</f>
        <v>No</v>
      </c>
      <c r="J3404" s="10" t="s">
        <v>48</v>
      </c>
      <c r="K3404" s="8" t="s">
        <v>7989</v>
      </c>
    </row>
    <row r="3405" customFormat="false" ht="34.5" hidden="false" customHeight="true" outlineLevel="0" collapsed="false">
      <c r="A3405" s="10" t="s">
        <v>7990</v>
      </c>
      <c r="B3405" s="10" t="s">
        <v>45</v>
      </c>
      <c r="C3405" s="8" t="s">
        <v>7987</v>
      </c>
      <c r="D3405" s="8" t="s">
        <v>7991</v>
      </c>
      <c r="E3405" s="11" t="n">
        <v>210</v>
      </c>
      <c r="F3405" s="8" t="str">
        <f aca="false">IFERROR(INDEX(Section_Master!$D$2:$D$477,MATCH($E3405,Section_Master!$A$2:$A$477,0))&amp;"","")</f>
        <v>Simple imprisonment up to 1 month, or fine, or both; up to 6 months, or fine, or both if production in Court is required [s.210]</v>
      </c>
      <c r="G3405" s="10" t="str">
        <f aca="false">IFERROR(INDEX(Section_Master!$E$2:$E$477,MATCH($E3405,Section_Master!$A$2:$A$477,0))&amp;"","")</f>
        <v>No</v>
      </c>
      <c r="H3405" s="10" t="str">
        <f aca="false">IFERROR(INDEX(Section_Master!$F$2:$F$477,MATCH($E3405,Section_Master!$A$2:$A$477,0))&amp;"","")</f>
        <v>Yes</v>
      </c>
      <c r="I3405" s="10" t="str">
        <f aca="false">IFERROR(INDEX(Section_Master!$G$2:$G$477,MATCH($E3405,Section_Master!$A$2:$A$477,0))&amp;"","")</f>
        <v>No</v>
      </c>
      <c r="J3405" s="10" t="s">
        <v>52</v>
      </c>
      <c r="K3405" s="8" t="s">
        <v>7989</v>
      </c>
    </row>
    <row r="3406" customFormat="false" ht="23.25" hidden="false" customHeight="true" outlineLevel="0" collapsed="false">
      <c r="A3406" s="10" t="s">
        <v>7992</v>
      </c>
      <c r="B3406" s="10" t="s">
        <v>45</v>
      </c>
      <c r="C3406" s="8" t="s">
        <v>7987</v>
      </c>
      <c r="D3406" s="8" t="s">
        <v>7993</v>
      </c>
      <c r="E3406" s="11" t="n">
        <v>210</v>
      </c>
      <c r="F3406" s="8" t="str">
        <f aca="false">IFERROR(INDEX(Section_Master!$D$2:$D$477,MATCH($E3406,Section_Master!$A$2:$A$477,0))&amp;"","")</f>
        <v>Simple imprisonment up to 1 month, or fine, or both; up to 6 months, or fine, or both if production in Court is required [s.210]</v>
      </c>
      <c r="G3406" s="10" t="str">
        <f aca="false">IFERROR(INDEX(Section_Master!$E$2:$E$477,MATCH($E3406,Section_Master!$A$2:$A$477,0))&amp;"","")</f>
        <v>No</v>
      </c>
      <c r="H3406" s="10" t="str">
        <f aca="false">IFERROR(INDEX(Section_Master!$F$2:$F$477,MATCH($E3406,Section_Master!$A$2:$A$477,0))&amp;"","")</f>
        <v>Yes</v>
      </c>
      <c r="I3406" s="10" t="str">
        <f aca="false">IFERROR(INDEX(Section_Master!$G$2:$G$477,MATCH($E3406,Section_Master!$A$2:$A$477,0))&amp;"","")</f>
        <v>No</v>
      </c>
      <c r="J3406" s="10" t="s">
        <v>55</v>
      </c>
      <c r="K3406" s="8" t="s">
        <v>7989</v>
      </c>
    </row>
    <row r="3407" customFormat="false" ht="23.25" hidden="false" customHeight="true" outlineLevel="0" collapsed="false">
      <c r="A3407" s="10" t="s">
        <v>7994</v>
      </c>
      <c r="B3407" s="10" t="s">
        <v>45</v>
      </c>
      <c r="C3407" s="8" t="s">
        <v>7987</v>
      </c>
      <c r="D3407" s="8" t="s">
        <v>7995</v>
      </c>
      <c r="E3407" s="11" t="n">
        <v>210</v>
      </c>
      <c r="F3407" s="8" t="str">
        <f aca="false">IFERROR(INDEX(Section_Master!$D$2:$D$477,MATCH($E3407,Section_Master!$A$2:$A$477,0))&amp;"","")</f>
        <v>Simple imprisonment up to 1 month, or fine, or both; up to 6 months, or fine, or both if production in Court is required [s.210]</v>
      </c>
      <c r="G3407" s="10" t="str">
        <f aca="false">IFERROR(INDEX(Section_Master!$E$2:$E$477,MATCH($E3407,Section_Master!$A$2:$A$477,0))&amp;"","")</f>
        <v>No</v>
      </c>
      <c r="H3407" s="10" t="str">
        <f aca="false">IFERROR(INDEX(Section_Master!$F$2:$F$477,MATCH($E3407,Section_Master!$A$2:$A$477,0))&amp;"","")</f>
        <v>Yes</v>
      </c>
      <c r="I3407" s="10" t="str">
        <f aca="false">IFERROR(INDEX(Section_Master!$G$2:$G$477,MATCH($E3407,Section_Master!$A$2:$A$477,0))&amp;"","")</f>
        <v>No</v>
      </c>
      <c r="J3407" s="10" t="s">
        <v>58</v>
      </c>
      <c r="K3407" s="8" t="s">
        <v>7989</v>
      </c>
    </row>
    <row r="3408" customFormat="false" ht="23.25" hidden="false" customHeight="true" outlineLevel="0" collapsed="false">
      <c r="A3408" s="10" t="s">
        <v>7996</v>
      </c>
      <c r="B3408" s="10" t="s">
        <v>45</v>
      </c>
      <c r="C3408" s="8" t="s">
        <v>7987</v>
      </c>
      <c r="D3408" s="8" t="s">
        <v>7997</v>
      </c>
      <c r="E3408" s="11" t="n">
        <v>210</v>
      </c>
      <c r="F3408" s="8" t="str">
        <f aca="false">IFERROR(INDEX(Section_Master!$D$2:$D$477,MATCH($E3408,Section_Master!$A$2:$A$477,0))&amp;"","")</f>
        <v>Simple imprisonment up to 1 month, or fine, or both; up to 6 months, or fine, or both if production in Court is required [s.210]</v>
      </c>
      <c r="G3408" s="10" t="str">
        <f aca="false">IFERROR(INDEX(Section_Master!$E$2:$E$477,MATCH($E3408,Section_Master!$A$2:$A$477,0))&amp;"","")</f>
        <v>No</v>
      </c>
      <c r="H3408" s="10" t="str">
        <f aca="false">IFERROR(INDEX(Section_Master!$F$2:$F$477,MATCH($E3408,Section_Master!$A$2:$A$477,0))&amp;"","")</f>
        <v>Yes</v>
      </c>
      <c r="I3408" s="10" t="str">
        <f aca="false">IFERROR(INDEX(Section_Master!$G$2:$G$477,MATCH($E3408,Section_Master!$A$2:$A$477,0))&amp;"","")</f>
        <v>No</v>
      </c>
      <c r="J3408" s="10" t="s">
        <v>61</v>
      </c>
      <c r="K3408" s="8" t="s">
        <v>7989</v>
      </c>
    </row>
    <row r="3409" customFormat="false" ht="34.5" hidden="false" customHeight="true" outlineLevel="0" collapsed="false">
      <c r="A3409" s="10" t="s">
        <v>7998</v>
      </c>
      <c r="B3409" s="10" t="s">
        <v>45</v>
      </c>
      <c r="C3409" s="8" t="s">
        <v>7987</v>
      </c>
      <c r="D3409" s="8" t="s">
        <v>7999</v>
      </c>
      <c r="E3409" s="11" t="n">
        <v>210</v>
      </c>
      <c r="F3409" s="8" t="str">
        <f aca="false">IFERROR(INDEX(Section_Master!$D$2:$D$477,MATCH($E3409,Section_Master!$A$2:$A$477,0))&amp;"","")</f>
        <v>Simple imprisonment up to 1 month, or fine, or both; up to 6 months, or fine, or both if production in Court is required [s.210]</v>
      </c>
      <c r="G3409" s="10" t="str">
        <f aca="false">IFERROR(INDEX(Section_Master!$E$2:$E$477,MATCH($E3409,Section_Master!$A$2:$A$477,0))&amp;"","")</f>
        <v>No</v>
      </c>
      <c r="H3409" s="10" t="str">
        <f aca="false">IFERROR(INDEX(Section_Master!$F$2:$F$477,MATCH($E3409,Section_Master!$A$2:$A$477,0))&amp;"","")</f>
        <v>Yes</v>
      </c>
      <c r="I3409" s="10" t="str">
        <f aca="false">IFERROR(INDEX(Section_Master!$G$2:$G$477,MATCH($E3409,Section_Master!$A$2:$A$477,0))&amp;"","")</f>
        <v>No</v>
      </c>
      <c r="J3409" s="10" t="s">
        <v>64</v>
      </c>
      <c r="K3409" s="8" t="s">
        <v>7989</v>
      </c>
    </row>
    <row r="3410" customFormat="false" ht="34.5" hidden="false" customHeight="true" outlineLevel="0" collapsed="false">
      <c r="A3410" s="10" t="s">
        <v>8000</v>
      </c>
      <c r="B3410" s="10" t="s">
        <v>45</v>
      </c>
      <c r="C3410" s="8" t="s">
        <v>8001</v>
      </c>
      <c r="D3410" s="8" t="s">
        <v>8002</v>
      </c>
      <c r="E3410" s="11" t="n">
        <v>211</v>
      </c>
      <c r="F3410" s="8" t="str">
        <f aca="false">IFERROR(INDEX(Section_Master!$D$2:$D$477,MATCH($E3410,Section_Master!$A$2:$A$477,0))&amp;"","")</f>
        <v>Simple imprisonment up to 1 month, or fine, or both; up to 6 months, or fine, or both in graver cases [s.211]</v>
      </c>
      <c r="G3410" s="10" t="str">
        <f aca="false">IFERROR(INDEX(Section_Master!$E$2:$E$477,MATCH($E3410,Section_Master!$A$2:$A$477,0))&amp;"","")</f>
        <v>No</v>
      </c>
      <c r="H3410" s="10" t="str">
        <f aca="false">IFERROR(INDEX(Section_Master!$F$2:$F$477,MATCH($E3410,Section_Master!$A$2:$A$477,0))&amp;"","")</f>
        <v>Yes</v>
      </c>
      <c r="I3410" s="10" t="str">
        <f aca="false">IFERROR(INDEX(Section_Master!$G$2:$G$477,MATCH($E3410,Section_Master!$A$2:$A$477,0))&amp;"","")</f>
        <v>No</v>
      </c>
      <c r="J3410" s="10" t="s">
        <v>48</v>
      </c>
      <c r="K3410" s="8" t="s">
        <v>8003</v>
      </c>
    </row>
    <row r="3411" customFormat="false" ht="34.5" hidden="false" customHeight="true" outlineLevel="0" collapsed="false">
      <c r="A3411" s="10" t="s">
        <v>8004</v>
      </c>
      <c r="B3411" s="10" t="s">
        <v>45</v>
      </c>
      <c r="C3411" s="8" t="s">
        <v>8001</v>
      </c>
      <c r="D3411" s="8" t="s">
        <v>8005</v>
      </c>
      <c r="E3411" s="11" t="n">
        <v>211</v>
      </c>
      <c r="F3411" s="8" t="str">
        <f aca="false">IFERROR(INDEX(Section_Master!$D$2:$D$477,MATCH($E3411,Section_Master!$A$2:$A$477,0))&amp;"","")</f>
        <v>Simple imprisonment up to 1 month, or fine, or both; up to 6 months, or fine, or both in graver cases [s.211]</v>
      </c>
      <c r="G3411" s="10" t="str">
        <f aca="false">IFERROR(INDEX(Section_Master!$E$2:$E$477,MATCH($E3411,Section_Master!$A$2:$A$477,0))&amp;"","")</f>
        <v>No</v>
      </c>
      <c r="H3411" s="10" t="str">
        <f aca="false">IFERROR(INDEX(Section_Master!$F$2:$F$477,MATCH($E3411,Section_Master!$A$2:$A$477,0))&amp;"","")</f>
        <v>Yes</v>
      </c>
      <c r="I3411" s="10" t="str">
        <f aca="false">IFERROR(INDEX(Section_Master!$G$2:$G$477,MATCH($E3411,Section_Master!$A$2:$A$477,0))&amp;"","")</f>
        <v>No</v>
      </c>
      <c r="J3411" s="10" t="s">
        <v>52</v>
      </c>
      <c r="K3411" s="8" t="s">
        <v>8003</v>
      </c>
    </row>
    <row r="3412" customFormat="false" ht="34.5" hidden="false" customHeight="true" outlineLevel="0" collapsed="false">
      <c r="A3412" s="10" t="s">
        <v>8006</v>
      </c>
      <c r="B3412" s="10" t="s">
        <v>45</v>
      </c>
      <c r="C3412" s="8" t="s">
        <v>8001</v>
      </c>
      <c r="D3412" s="8" t="s">
        <v>8007</v>
      </c>
      <c r="E3412" s="11" t="n">
        <v>211</v>
      </c>
      <c r="F3412" s="8" t="str">
        <f aca="false">IFERROR(INDEX(Section_Master!$D$2:$D$477,MATCH($E3412,Section_Master!$A$2:$A$477,0))&amp;"","")</f>
        <v>Simple imprisonment up to 1 month, or fine, or both; up to 6 months, or fine, or both in graver cases [s.211]</v>
      </c>
      <c r="G3412" s="10" t="str">
        <f aca="false">IFERROR(INDEX(Section_Master!$E$2:$E$477,MATCH($E3412,Section_Master!$A$2:$A$477,0))&amp;"","")</f>
        <v>No</v>
      </c>
      <c r="H3412" s="10" t="str">
        <f aca="false">IFERROR(INDEX(Section_Master!$F$2:$F$477,MATCH($E3412,Section_Master!$A$2:$A$477,0))&amp;"","")</f>
        <v>Yes</v>
      </c>
      <c r="I3412" s="10" t="str">
        <f aca="false">IFERROR(INDEX(Section_Master!$G$2:$G$477,MATCH($E3412,Section_Master!$A$2:$A$477,0))&amp;"","")</f>
        <v>No</v>
      </c>
      <c r="J3412" s="10" t="s">
        <v>55</v>
      </c>
      <c r="K3412" s="8" t="s">
        <v>8003</v>
      </c>
    </row>
    <row r="3413" customFormat="false" ht="34.5" hidden="false" customHeight="true" outlineLevel="0" collapsed="false">
      <c r="A3413" s="10" t="s">
        <v>8008</v>
      </c>
      <c r="B3413" s="10" t="s">
        <v>45</v>
      </c>
      <c r="C3413" s="8" t="s">
        <v>8001</v>
      </c>
      <c r="D3413" s="8" t="s">
        <v>8009</v>
      </c>
      <c r="E3413" s="11" t="n">
        <v>211</v>
      </c>
      <c r="F3413" s="8" t="str">
        <f aca="false">IFERROR(INDEX(Section_Master!$D$2:$D$477,MATCH($E3413,Section_Master!$A$2:$A$477,0))&amp;"","")</f>
        <v>Simple imprisonment up to 1 month, or fine, or both; up to 6 months, or fine, or both in graver cases [s.211]</v>
      </c>
      <c r="G3413" s="10" t="str">
        <f aca="false">IFERROR(INDEX(Section_Master!$E$2:$E$477,MATCH($E3413,Section_Master!$A$2:$A$477,0))&amp;"","")</f>
        <v>No</v>
      </c>
      <c r="H3413" s="10" t="str">
        <f aca="false">IFERROR(INDEX(Section_Master!$F$2:$F$477,MATCH($E3413,Section_Master!$A$2:$A$477,0))&amp;"","")</f>
        <v>Yes</v>
      </c>
      <c r="I3413" s="10" t="str">
        <f aca="false">IFERROR(INDEX(Section_Master!$G$2:$G$477,MATCH($E3413,Section_Master!$A$2:$A$477,0))&amp;"","")</f>
        <v>No</v>
      </c>
      <c r="J3413" s="10" t="s">
        <v>58</v>
      </c>
      <c r="K3413" s="8" t="s">
        <v>8003</v>
      </c>
    </row>
    <row r="3414" customFormat="false" ht="23.25" hidden="false" customHeight="true" outlineLevel="0" collapsed="false">
      <c r="A3414" s="10" t="s">
        <v>8010</v>
      </c>
      <c r="B3414" s="10" t="s">
        <v>45</v>
      </c>
      <c r="C3414" s="8" t="s">
        <v>8001</v>
      </c>
      <c r="D3414" s="8" t="s">
        <v>8011</v>
      </c>
      <c r="E3414" s="11" t="n">
        <v>211</v>
      </c>
      <c r="F3414" s="8" t="str">
        <f aca="false">IFERROR(INDEX(Section_Master!$D$2:$D$477,MATCH($E3414,Section_Master!$A$2:$A$477,0))&amp;"","")</f>
        <v>Simple imprisonment up to 1 month, or fine, or both; up to 6 months, or fine, or both in graver cases [s.211]</v>
      </c>
      <c r="G3414" s="10" t="str">
        <f aca="false">IFERROR(INDEX(Section_Master!$E$2:$E$477,MATCH($E3414,Section_Master!$A$2:$A$477,0))&amp;"","")</f>
        <v>No</v>
      </c>
      <c r="H3414" s="10" t="str">
        <f aca="false">IFERROR(INDEX(Section_Master!$F$2:$F$477,MATCH($E3414,Section_Master!$A$2:$A$477,0))&amp;"","")</f>
        <v>Yes</v>
      </c>
      <c r="I3414" s="10" t="str">
        <f aca="false">IFERROR(INDEX(Section_Master!$G$2:$G$477,MATCH($E3414,Section_Master!$A$2:$A$477,0))&amp;"","")</f>
        <v>No</v>
      </c>
      <c r="J3414" s="10" t="s">
        <v>61</v>
      </c>
      <c r="K3414" s="8" t="s">
        <v>8003</v>
      </c>
    </row>
    <row r="3415" customFormat="false" ht="34.5" hidden="false" customHeight="true" outlineLevel="0" collapsed="false">
      <c r="A3415" s="10" t="s">
        <v>8012</v>
      </c>
      <c r="B3415" s="10" t="s">
        <v>45</v>
      </c>
      <c r="C3415" s="8" t="s">
        <v>8001</v>
      </c>
      <c r="D3415" s="8" t="s">
        <v>8013</v>
      </c>
      <c r="E3415" s="11" t="n">
        <v>211</v>
      </c>
      <c r="F3415" s="8" t="str">
        <f aca="false">IFERROR(INDEX(Section_Master!$D$2:$D$477,MATCH($E3415,Section_Master!$A$2:$A$477,0))&amp;"","")</f>
        <v>Simple imprisonment up to 1 month, or fine, or both; up to 6 months, or fine, or both in graver cases [s.211]</v>
      </c>
      <c r="G3415" s="10" t="str">
        <f aca="false">IFERROR(INDEX(Section_Master!$E$2:$E$477,MATCH($E3415,Section_Master!$A$2:$A$477,0))&amp;"","")</f>
        <v>No</v>
      </c>
      <c r="H3415" s="10" t="str">
        <f aca="false">IFERROR(INDEX(Section_Master!$F$2:$F$477,MATCH($E3415,Section_Master!$A$2:$A$477,0))&amp;"","")</f>
        <v>Yes</v>
      </c>
      <c r="I3415" s="10" t="str">
        <f aca="false">IFERROR(INDEX(Section_Master!$G$2:$G$477,MATCH($E3415,Section_Master!$A$2:$A$477,0))&amp;"","")</f>
        <v>No</v>
      </c>
      <c r="J3415" s="10" t="s">
        <v>64</v>
      </c>
      <c r="K3415" s="8" t="s">
        <v>8003</v>
      </c>
    </row>
    <row r="3416" customFormat="false" ht="23.25" hidden="false" customHeight="true" outlineLevel="0" collapsed="false">
      <c r="A3416" s="10" t="s">
        <v>8014</v>
      </c>
      <c r="B3416" s="10" t="s">
        <v>45</v>
      </c>
      <c r="C3416" s="8" t="s">
        <v>8015</v>
      </c>
      <c r="D3416" s="8" t="s">
        <v>8016</v>
      </c>
      <c r="E3416" s="11" t="n">
        <v>212</v>
      </c>
      <c r="F3416" s="8" t="str">
        <f aca="false">IFERROR(INDEX(Section_Master!$D$2:$D$477,MATCH($E3416,Section_Master!$A$2:$A$477,0))&amp;"","")</f>
        <v>Simple imprisonment up to 6 months, or fine, or both; up to 2 years, or fine, or both if information relates to an offence [s.212]</v>
      </c>
      <c r="G3416" s="10" t="str">
        <f aca="false">IFERROR(INDEX(Section_Master!$E$2:$E$477,MATCH($E3416,Section_Master!$A$2:$A$477,0))&amp;"","")</f>
        <v>No</v>
      </c>
      <c r="H3416" s="10" t="str">
        <f aca="false">IFERROR(INDEX(Section_Master!$F$2:$F$477,MATCH($E3416,Section_Master!$A$2:$A$477,0))&amp;"","")</f>
        <v>Yes</v>
      </c>
      <c r="I3416" s="10" t="str">
        <f aca="false">IFERROR(INDEX(Section_Master!$G$2:$G$477,MATCH($E3416,Section_Master!$A$2:$A$477,0))&amp;"","")</f>
        <v>No</v>
      </c>
      <c r="J3416" s="10" t="s">
        <v>48</v>
      </c>
      <c r="K3416" s="8" t="s">
        <v>8017</v>
      </c>
    </row>
    <row r="3417" customFormat="false" ht="34.5" hidden="false" customHeight="true" outlineLevel="0" collapsed="false">
      <c r="A3417" s="10" t="s">
        <v>8018</v>
      </c>
      <c r="B3417" s="10" t="s">
        <v>45</v>
      </c>
      <c r="C3417" s="8" t="s">
        <v>8015</v>
      </c>
      <c r="D3417" s="8" t="s">
        <v>8019</v>
      </c>
      <c r="E3417" s="11" t="n">
        <v>212</v>
      </c>
      <c r="F3417" s="8" t="str">
        <f aca="false">IFERROR(INDEX(Section_Master!$D$2:$D$477,MATCH($E3417,Section_Master!$A$2:$A$477,0))&amp;"","")</f>
        <v>Simple imprisonment up to 6 months, or fine, or both; up to 2 years, or fine, or both if information relates to an offence [s.212]</v>
      </c>
      <c r="G3417" s="10" t="str">
        <f aca="false">IFERROR(INDEX(Section_Master!$E$2:$E$477,MATCH($E3417,Section_Master!$A$2:$A$477,0))&amp;"","")</f>
        <v>No</v>
      </c>
      <c r="H3417" s="10" t="str">
        <f aca="false">IFERROR(INDEX(Section_Master!$F$2:$F$477,MATCH($E3417,Section_Master!$A$2:$A$477,0))&amp;"","")</f>
        <v>Yes</v>
      </c>
      <c r="I3417" s="10" t="str">
        <f aca="false">IFERROR(INDEX(Section_Master!$G$2:$G$477,MATCH($E3417,Section_Master!$A$2:$A$477,0))&amp;"","")</f>
        <v>No</v>
      </c>
      <c r="J3417" s="10" t="s">
        <v>52</v>
      </c>
      <c r="K3417" s="8" t="s">
        <v>8017</v>
      </c>
    </row>
    <row r="3418" customFormat="false" ht="23.25" hidden="false" customHeight="true" outlineLevel="0" collapsed="false">
      <c r="A3418" s="10" t="s">
        <v>8020</v>
      </c>
      <c r="B3418" s="10" t="s">
        <v>45</v>
      </c>
      <c r="C3418" s="8" t="s">
        <v>8015</v>
      </c>
      <c r="D3418" s="8" t="s">
        <v>8021</v>
      </c>
      <c r="E3418" s="11" t="n">
        <v>212</v>
      </c>
      <c r="F3418" s="8" t="str">
        <f aca="false">IFERROR(INDEX(Section_Master!$D$2:$D$477,MATCH($E3418,Section_Master!$A$2:$A$477,0))&amp;"","")</f>
        <v>Simple imprisonment up to 6 months, or fine, or both; up to 2 years, or fine, or both if information relates to an offence [s.212]</v>
      </c>
      <c r="G3418" s="10" t="str">
        <f aca="false">IFERROR(INDEX(Section_Master!$E$2:$E$477,MATCH($E3418,Section_Master!$A$2:$A$477,0))&amp;"","")</f>
        <v>No</v>
      </c>
      <c r="H3418" s="10" t="str">
        <f aca="false">IFERROR(INDEX(Section_Master!$F$2:$F$477,MATCH($E3418,Section_Master!$A$2:$A$477,0))&amp;"","")</f>
        <v>Yes</v>
      </c>
      <c r="I3418" s="10" t="str">
        <f aca="false">IFERROR(INDEX(Section_Master!$G$2:$G$477,MATCH($E3418,Section_Master!$A$2:$A$477,0))&amp;"","")</f>
        <v>No</v>
      </c>
      <c r="J3418" s="10" t="s">
        <v>55</v>
      </c>
      <c r="K3418" s="8" t="s">
        <v>8017</v>
      </c>
    </row>
    <row r="3419" customFormat="false" ht="23.25" hidden="false" customHeight="true" outlineLevel="0" collapsed="false">
      <c r="A3419" s="10" t="s">
        <v>8022</v>
      </c>
      <c r="B3419" s="10" t="s">
        <v>45</v>
      </c>
      <c r="C3419" s="8" t="s">
        <v>8015</v>
      </c>
      <c r="D3419" s="8" t="s">
        <v>8023</v>
      </c>
      <c r="E3419" s="11" t="n">
        <v>212</v>
      </c>
      <c r="F3419" s="8" t="str">
        <f aca="false">IFERROR(INDEX(Section_Master!$D$2:$D$477,MATCH($E3419,Section_Master!$A$2:$A$477,0))&amp;"","")</f>
        <v>Simple imprisonment up to 6 months, or fine, or both; up to 2 years, or fine, or both if information relates to an offence [s.212]</v>
      </c>
      <c r="G3419" s="10" t="str">
        <f aca="false">IFERROR(INDEX(Section_Master!$E$2:$E$477,MATCH($E3419,Section_Master!$A$2:$A$477,0))&amp;"","")</f>
        <v>No</v>
      </c>
      <c r="H3419" s="10" t="str">
        <f aca="false">IFERROR(INDEX(Section_Master!$F$2:$F$477,MATCH($E3419,Section_Master!$A$2:$A$477,0))&amp;"","")</f>
        <v>Yes</v>
      </c>
      <c r="I3419" s="10" t="str">
        <f aca="false">IFERROR(INDEX(Section_Master!$G$2:$G$477,MATCH($E3419,Section_Master!$A$2:$A$477,0))&amp;"","")</f>
        <v>No</v>
      </c>
      <c r="J3419" s="10" t="s">
        <v>58</v>
      </c>
      <c r="K3419" s="8" t="s">
        <v>8017</v>
      </c>
    </row>
    <row r="3420" customFormat="false" ht="34.5" hidden="false" customHeight="true" outlineLevel="0" collapsed="false">
      <c r="A3420" s="10" t="s">
        <v>8024</v>
      </c>
      <c r="B3420" s="10" t="s">
        <v>45</v>
      </c>
      <c r="C3420" s="8" t="s">
        <v>8015</v>
      </c>
      <c r="D3420" s="8" t="s">
        <v>8025</v>
      </c>
      <c r="E3420" s="11" t="n">
        <v>212</v>
      </c>
      <c r="F3420" s="8" t="str">
        <f aca="false">IFERROR(INDEX(Section_Master!$D$2:$D$477,MATCH($E3420,Section_Master!$A$2:$A$477,0))&amp;"","")</f>
        <v>Simple imprisonment up to 6 months, or fine, or both; up to 2 years, or fine, or both if information relates to an offence [s.212]</v>
      </c>
      <c r="G3420" s="10" t="str">
        <f aca="false">IFERROR(INDEX(Section_Master!$E$2:$E$477,MATCH($E3420,Section_Master!$A$2:$A$477,0))&amp;"","")</f>
        <v>No</v>
      </c>
      <c r="H3420" s="10" t="str">
        <f aca="false">IFERROR(INDEX(Section_Master!$F$2:$F$477,MATCH($E3420,Section_Master!$A$2:$A$477,0))&amp;"","")</f>
        <v>Yes</v>
      </c>
      <c r="I3420" s="10" t="str">
        <f aca="false">IFERROR(INDEX(Section_Master!$G$2:$G$477,MATCH($E3420,Section_Master!$A$2:$A$477,0))&amp;"","")</f>
        <v>No</v>
      </c>
      <c r="J3420" s="10" t="s">
        <v>61</v>
      </c>
      <c r="K3420" s="8" t="s">
        <v>8017</v>
      </c>
    </row>
    <row r="3421" customFormat="false" ht="45.75" hidden="false" customHeight="true" outlineLevel="0" collapsed="false">
      <c r="A3421" s="10" t="s">
        <v>8026</v>
      </c>
      <c r="B3421" s="10" t="s">
        <v>45</v>
      </c>
      <c r="C3421" s="8" t="s">
        <v>8015</v>
      </c>
      <c r="D3421" s="8" t="s">
        <v>8027</v>
      </c>
      <c r="E3421" s="11" t="n">
        <v>212</v>
      </c>
      <c r="F3421" s="8" t="str">
        <f aca="false">IFERROR(INDEX(Section_Master!$D$2:$D$477,MATCH($E3421,Section_Master!$A$2:$A$477,0))&amp;"","")</f>
        <v>Simple imprisonment up to 6 months, or fine, or both; up to 2 years, or fine, or both if information relates to an offence [s.212]</v>
      </c>
      <c r="G3421" s="10" t="str">
        <f aca="false">IFERROR(INDEX(Section_Master!$E$2:$E$477,MATCH($E3421,Section_Master!$A$2:$A$477,0))&amp;"","")</f>
        <v>No</v>
      </c>
      <c r="H3421" s="10" t="str">
        <f aca="false">IFERROR(INDEX(Section_Master!$F$2:$F$477,MATCH($E3421,Section_Master!$A$2:$A$477,0))&amp;"","")</f>
        <v>Yes</v>
      </c>
      <c r="I3421" s="10" t="str">
        <f aca="false">IFERROR(INDEX(Section_Master!$G$2:$G$477,MATCH($E3421,Section_Master!$A$2:$A$477,0))&amp;"","")</f>
        <v>No</v>
      </c>
      <c r="J3421" s="10" t="s">
        <v>64</v>
      </c>
      <c r="K3421" s="8" t="s">
        <v>8017</v>
      </c>
    </row>
    <row r="3422" customFormat="false" ht="34.5" hidden="false" customHeight="true" outlineLevel="0" collapsed="false">
      <c r="A3422" s="10" t="s">
        <v>8028</v>
      </c>
      <c r="B3422" s="10" t="s">
        <v>45</v>
      </c>
      <c r="C3422" s="8" t="s">
        <v>8029</v>
      </c>
      <c r="D3422" s="8" t="s">
        <v>8030</v>
      </c>
      <c r="E3422" s="11" t="n">
        <v>213</v>
      </c>
      <c r="F3422" s="8" t="str">
        <f aca="false">IFERROR(INDEX(Section_Master!$D$2:$D$477,MATCH($E3422,Section_Master!$A$2:$A$477,0))&amp;"","")</f>
        <v>Simple imprisonment up to 6 months, or fine, or both</v>
      </c>
      <c r="G3422" s="10" t="str">
        <f aca="false">IFERROR(INDEX(Section_Master!$E$2:$E$477,MATCH($E3422,Section_Master!$A$2:$A$477,0))&amp;"","")</f>
        <v>No</v>
      </c>
      <c r="H3422" s="10" t="str">
        <f aca="false">IFERROR(INDEX(Section_Master!$F$2:$F$477,MATCH($E3422,Section_Master!$A$2:$A$477,0))&amp;"","")</f>
        <v>Yes</v>
      </c>
      <c r="I3422" s="10" t="str">
        <f aca="false">IFERROR(INDEX(Section_Master!$G$2:$G$477,MATCH($E3422,Section_Master!$A$2:$A$477,0))&amp;"","")</f>
        <v>No</v>
      </c>
      <c r="J3422" s="10" t="s">
        <v>48</v>
      </c>
      <c r="K3422" s="8" t="s">
        <v>8031</v>
      </c>
    </row>
    <row r="3423" customFormat="false" ht="34.5" hidden="false" customHeight="true" outlineLevel="0" collapsed="false">
      <c r="A3423" s="10" t="s">
        <v>8032</v>
      </c>
      <c r="B3423" s="10" t="s">
        <v>45</v>
      </c>
      <c r="C3423" s="8" t="s">
        <v>8029</v>
      </c>
      <c r="D3423" s="8" t="s">
        <v>8033</v>
      </c>
      <c r="E3423" s="11" t="n">
        <v>213</v>
      </c>
      <c r="F3423" s="8" t="str">
        <f aca="false">IFERROR(INDEX(Section_Master!$D$2:$D$477,MATCH($E3423,Section_Master!$A$2:$A$477,0))&amp;"","")</f>
        <v>Simple imprisonment up to 6 months, or fine, or both</v>
      </c>
      <c r="G3423" s="10" t="str">
        <f aca="false">IFERROR(INDEX(Section_Master!$E$2:$E$477,MATCH($E3423,Section_Master!$A$2:$A$477,0))&amp;"","")</f>
        <v>No</v>
      </c>
      <c r="H3423" s="10" t="str">
        <f aca="false">IFERROR(INDEX(Section_Master!$F$2:$F$477,MATCH($E3423,Section_Master!$A$2:$A$477,0))&amp;"","")</f>
        <v>Yes</v>
      </c>
      <c r="I3423" s="10" t="str">
        <f aca="false">IFERROR(INDEX(Section_Master!$G$2:$G$477,MATCH($E3423,Section_Master!$A$2:$A$477,0))&amp;"","")</f>
        <v>No</v>
      </c>
      <c r="J3423" s="10" t="s">
        <v>52</v>
      </c>
      <c r="K3423" s="8" t="s">
        <v>8031</v>
      </c>
    </row>
    <row r="3424" customFormat="false" ht="34.5" hidden="false" customHeight="true" outlineLevel="0" collapsed="false">
      <c r="A3424" s="10" t="s">
        <v>8034</v>
      </c>
      <c r="B3424" s="10" t="s">
        <v>45</v>
      </c>
      <c r="C3424" s="8" t="s">
        <v>8029</v>
      </c>
      <c r="D3424" s="8" t="s">
        <v>8035</v>
      </c>
      <c r="E3424" s="11" t="n">
        <v>213</v>
      </c>
      <c r="F3424" s="8" t="str">
        <f aca="false">IFERROR(INDEX(Section_Master!$D$2:$D$477,MATCH($E3424,Section_Master!$A$2:$A$477,0))&amp;"","")</f>
        <v>Simple imprisonment up to 6 months, or fine, or both</v>
      </c>
      <c r="G3424" s="10" t="str">
        <f aca="false">IFERROR(INDEX(Section_Master!$E$2:$E$477,MATCH($E3424,Section_Master!$A$2:$A$477,0))&amp;"","")</f>
        <v>No</v>
      </c>
      <c r="H3424" s="10" t="str">
        <f aca="false">IFERROR(INDEX(Section_Master!$F$2:$F$477,MATCH($E3424,Section_Master!$A$2:$A$477,0))&amp;"","")</f>
        <v>Yes</v>
      </c>
      <c r="I3424" s="10" t="str">
        <f aca="false">IFERROR(INDEX(Section_Master!$G$2:$G$477,MATCH($E3424,Section_Master!$A$2:$A$477,0))&amp;"","")</f>
        <v>No</v>
      </c>
      <c r="J3424" s="10" t="s">
        <v>55</v>
      </c>
      <c r="K3424" s="8" t="s">
        <v>8031</v>
      </c>
    </row>
    <row r="3425" customFormat="false" ht="23.25" hidden="false" customHeight="true" outlineLevel="0" collapsed="false">
      <c r="A3425" s="10" t="s">
        <v>8036</v>
      </c>
      <c r="B3425" s="10" t="s">
        <v>45</v>
      </c>
      <c r="C3425" s="8" t="s">
        <v>8029</v>
      </c>
      <c r="D3425" s="8" t="s">
        <v>8037</v>
      </c>
      <c r="E3425" s="11" t="n">
        <v>213</v>
      </c>
      <c r="F3425" s="8" t="str">
        <f aca="false">IFERROR(INDEX(Section_Master!$D$2:$D$477,MATCH($E3425,Section_Master!$A$2:$A$477,0))&amp;"","")</f>
        <v>Simple imprisonment up to 6 months, or fine, or both</v>
      </c>
      <c r="G3425" s="10" t="str">
        <f aca="false">IFERROR(INDEX(Section_Master!$E$2:$E$477,MATCH($E3425,Section_Master!$A$2:$A$477,0))&amp;"","")</f>
        <v>No</v>
      </c>
      <c r="H3425" s="10" t="str">
        <f aca="false">IFERROR(INDEX(Section_Master!$F$2:$F$477,MATCH($E3425,Section_Master!$A$2:$A$477,0))&amp;"","")</f>
        <v>Yes</v>
      </c>
      <c r="I3425" s="10" t="str">
        <f aca="false">IFERROR(INDEX(Section_Master!$G$2:$G$477,MATCH($E3425,Section_Master!$A$2:$A$477,0))&amp;"","")</f>
        <v>No</v>
      </c>
      <c r="J3425" s="10" t="s">
        <v>58</v>
      </c>
      <c r="K3425" s="8" t="s">
        <v>8031</v>
      </c>
    </row>
    <row r="3426" customFormat="false" ht="45.75" hidden="false" customHeight="true" outlineLevel="0" collapsed="false">
      <c r="A3426" s="10" t="s">
        <v>8038</v>
      </c>
      <c r="B3426" s="10" t="s">
        <v>45</v>
      </c>
      <c r="C3426" s="8" t="s">
        <v>8029</v>
      </c>
      <c r="D3426" s="8" t="s">
        <v>8039</v>
      </c>
      <c r="E3426" s="11" t="n">
        <v>213</v>
      </c>
      <c r="F3426" s="8" t="str">
        <f aca="false">IFERROR(INDEX(Section_Master!$D$2:$D$477,MATCH($E3426,Section_Master!$A$2:$A$477,0))&amp;"","")</f>
        <v>Simple imprisonment up to 6 months, or fine, or both</v>
      </c>
      <c r="G3426" s="10" t="str">
        <f aca="false">IFERROR(INDEX(Section_Master!$E$2:$E$477,MATCH($E3426,Section_Master!$A$2:$A$477,0))&amp;"","")</f>
        <v>No</v>
      </c>
      <c r="H3426" s="10" t="str">
        <f aca="false">IFERROR(INDEX(Section_Master!$F$2:$F$477,MATCH($E3426,Section_Master!$A$2:$A$477,0))&amp;"","")</f>
        <v>Yes</v>
      </c>
      <c r="I3426" s="10" t="str">
        <f aca="false">IFERROR(INDEX(Section_Master!$G$2:$G$477,MATCH($E3426,Section_Master!$A$2:$A$477,0))&amp;"","")</f>
        <v>No</v>
      </c>
      <c r="J3426" s="10" t="s">
        <v>61</v>
      </c>
      <c r="K3426" s="8" t="s">
        <v>8031</v>
      </c>
    </row>
    <row r="3427" customFormat="false" ht="45.75" hidden="false" customHeight="true" outlineLevel="0" collapsed="false">
      <c r="A3427" s="10" t="s">
        <v>8040</v>
      </c>
      <c r="B3427" s="10" t="s">
        <v>45</v>
      </c>
      <c r="C3427" s="8" t="s">
        <v>8029</v>
      </c>
      <c r="D3427" s="8" t="s">
        <v>8041</v>
      </c>
      <c r="E3427" s="11" t="n">
        <v>213</v>
      </c>
      <c r="F3427" s="8" t="str">
        <f aca="false">IFERROR(INDEX(Section_Master!$D$2:$D$477,MATCH($E3427,Section_Master!$A$2:$A$477,0))&amp;"","")</f>
        <v>Simple imprisonment up to 6 months, or fine, or both</v>
      </c>
      <c r="G3427" s="10" t="str">
        <f aca="false">IFERROR(INDEX(Section_Master!$E$2:$E$477,MATCH($E3427,Section_Master!$A$2:$A$477,0))&amp;"","")</f>
        <v>No</v>
      </c>
      <c r="H3427" s="10" t="str">
        <f aca="false">IFERROR(INDEX(Section_Master!$F$2:$F$477,MATCH($E3427,Section_Master!$A$2:$A$477,0))&amp;"","")</f>
        <v>Yes</v>
      </c>
      <c r="I3427" s="10" t="str">
        <f aca="false">IFERROR(INDEX(Section_Master!$G$2:$G$477,MATCH($E3427,Section_Master!$A$2:$A$477,0))&amp;"","")</f>
        <v>No</v>
      </c>
      <c r="J3427" s="10" t="s">
        <v>64</v>
      </c>
      <c r="K3427" s="8" t="s">
        <v>8031</v>
      </c>
    </row>
    <row r="3428" customFormat="false" ht="23.25" hidden="false" customHeight="true" outlineLevel="0" collapsed="false">
      <c r="A3428" s="10" t="s">
        <v>8042</v>
      </c>
      <c r="B3428" s="10" t="s">
        <v>45</v>
      </c>
      <c r="C3428" s="8" t="s">
        <v>8043</v>
      </c>
      <c r="D3428" s="8" t="s">
        <v>8044</v>
      </c>
      <c r="E3428" s="11" t="n">
        <v>214</v>
      </c>
      <c r="F3428" s="8" t="str">
        <f aca="false">IFERROR(INDEX(Section_Master!$D$2:$D$477,MATCH($E3428,Section_Master!$A$2:$A$477,0))&amp;"","")</f>
        <v>Simple imprisonment up to 6 months, or fine, or both</v>
      </c>
      <c r="G3428" s="10" t="str">
        <f aca="false">IFERROR(INDEX(Section_Master!$E$2:$E$477,MATCH($E3428,Section_Master!$A$2:$A$477,0))&amp;"","")</f>
        <v>No</v>
      </c>
      <c r="H3428" s="10" t="str">
        <f aca="false">IFERROR(INDEX(Section_Master!$F$2:$F$477,MATCH($E3428,Section_Master!$A$2:$A$477,0))&amp;"","")</f>
        <v>Yes</v>
      </c>
      <c r="I3428" s="10" t="str">
        <f aca="false">IFERROR(INDEX(Section_Master!$G$2:$G$477,MATCH($E3428,Section_Master!$A$2:$A$477,0))&amp;"","")</f>
        <v>No</v>
      </c>
      <c r="J3428" s="10" t="s">
        <v>48</v>
      </c>
      <c r="K3428" s="8" t="s">
        <v>8045</v>
      </c>
    </row>
    <row r="3429" customFormat="false" ht="34.5" hidden="false" customHeight="true" outlineLevel="0" collapsed="false">
      <c r="A3429" s="10" t="s">
        <v>8046</v>
      </c>
      <c r="B3429" s="10" t="s">
        <v>45</v>
      </c>
      <c r="C3429" s="8" t="s">
        <v>8043</v>
      </c>
      <c r="D3429" s="8" t="s">
        <v>8047</v>
      </c>
      <c r="E3429" s="11" t="n">
        <v>214</v>
      </c>
      <c r="F3429" s="8" t="str">
        <f aca="false">IFERROR(INDEX(Section_Master!$D$2:$D$477,MATCH($E3429,Section_Master!$A$2:$A$477,0))&amp;"","")</f>
        <v>Simple imprisonment up to 6 months, or fine, or both</v>
      </c>
      <c r="G3429" s="10" t="str">
        <f aca="false">IFERROR(INDEX(Section_Master!$E$2:$E$477,MATCH($E3429,Section_Master!$A$2:$A$477,0))&amp;"","")</f>
        <v>No</v>
      </c>
      <c r="H3429" s="10" t="str">
        <f aca="false">IFERROR(INDEX(Section_Master!$F$2:$F$477,MATCH($E3429,Section_Master!$A$2:$A$477,0))&amp;"","")</f>
        <v>Yes</v>
      </c>
      <c r="I3429" s="10" t="str">
        <f aca="false">IFERROR(INDEX(Section_Master!$G$2:$G$477,MATCH($E3429,Section_Master!$A$2:$A$477,0))&amp;"","")</f>
        <v>No</v>
      </c>
      <c r="J3429" s="10" t="s">
        <v>52</v>
      </c>
      <c r="K3429" s="8" t="s">
        <v>8045</v>
      </c>
    </row>
    <row r="3430" customFormat="false" ht="34.5" hidden="false" customHeight="true" outlineLevel="0" collapsed="false">
      <c r="A3430" s="10" t="s">
        <v>8048</v>
      </c>
      <c r="B3430" s="10" t="s">
        <v>45</v>
      </c>
      <c r="C3430" s="8" t="s">
        <v>8043</v>
      </c>
      <c r="D3430" s="8" t="s">
        <v>8049</v>
      </c>
      <c r="E3430" s="11" t="n">
        <v>214</v>
      </c>
      <c r="F3430" s="8" t="str">
        <f aca="false">IFERROR(INDEX(Section_Master!$D$2:$D$477,MATCH($E3430,Section_Master!$A$2:$A$477,0))&amp;"","")</f>
        <v>Simple imprisonment up to 6 months, or fine, or both</v>
      </c>
      <c r="G3430" s="10" t="str">
        <f aca="false">IFERROR(INDEX(Section_Master!$E$2:$E$477,MATCH($E3430,Section_Master!$A$2:$A$477,0))&amp;"","")</f>
        <v>No</v>
      </c>
      <c r="H3430" s="10" t="str">
        <f aca="false">IFERROR(INDEX(Section_Master!$F$2:$F$477,MATCH($E3430,Section_Master!$A$2:$A$477,0))&amp;"","")</f>
        <v>Yes</v>
      </c>
      <c r="I3430" s="10" t="str">
        <f aca="false">IFERROR(INDEX(Section_Master!$G$2:$G$477,MATCH($E3430,Section_Master!$A$2:$A$477,0))&amp;"","")</f>
        <v>No</v>
      </c>
      <c r="J3430" s="10" t="s">
        <v>55</v>
      </c>
      <c r="K3430" s="8" t="s">
        <v>8045</v>
      </c>
    </row>
    <row r="3431" customFormat="false" ht="23.25" hidden="false" customHeight="true" outlineLevel="0" collapsed="false">
      <c r="A3431" s="10" t="s">
        <v>8050</v>
      </c>
      <c r="B3431" s="10" t="s">
        <v>45</v>
      </c>
      <c r="C3431" s="8" t="s">
        <v>8043</v>
      </c>
      <c r="D3431" s="8" t="s">
        <v>8051</v>
      </c>
      <c r="E3431" s="11" t="n">
        <v>214</v>
      </c>
      <c r="F3431" s="8" t="str">
        <f aca="false">IFERROR(INDEX(Section_Master!$D$2:$D$477,MATCH($E3431,Section_Master!$A$2:$A$477,0))&amp;"","")</f>
        <v>Simple imprisonment up to 6 months, or fine, or both</v>
      </c>
      <c r="G3431" s="10" t="str">
        <f aca="false">IFERROR(INDEX(Section_Master!$E$2:$E$477,MATCH($E3431,Section_Master!$A$2:$A$477,0))&amp;"","")</f>
        <v>No</v>
      </c>
      <c r="H3431" s="10" t="str">
        <f aca="false">IFERROR(INDEX(Section_Master!$F$2:$F$477,MATCH($E3431,Section_Master!$A$2:$A$477,0))&amp;"","")</f>
        <v>Yes</v>
      </c>
      <c r="I3431" s="10" t="str">
        <f aca="false">IFERROR(INDEX(Section_Master!$G$2:$G$477,MATCH($E3431,Section_Master!$A$2:$A$477,0))&amp;"","")</f>
        <v>No</v>
      </c>
      <c r="J3431" s="10" t="s">
        <v>58</v>
      </c>
      <c r="K3431" s="8" t="s">
        <v>8045</v>
      </c>
    </row>
    <row r="3432" customFormat="false" ht="34.5" hidden="false" customHeight="true" outlineLevel="0" collapsed="false">
      <c r="A3432" s="10" t="s">
        <v>8052</v>
      </c>
      <c r="B3432" s="10" t="s">
        <v>45</v>
      </c>
      <c r="C3432" s="8" t="s">
        <v>8043</v>
      </c>
      <c r="D3432" s="8" t="s">
        <v>8053</v>
      </c>
      <c r="E3432" s="11" t="n">
        <v>214</v>
      </c>
      <c r="F3432" s="8" t="str">
        <f aca="false">IFERROR(INDEX(Section_Master!$D$2:$D$477,MATCH($E3432,Section_Master!$A$2:$A$477,0))&amp;"","")</f>
        <v>Simple imprisonment up to 6 months, or fine, or both</v>
      </c>
      <c r="G3432" s="10" t="str">
        <f aca="false">IFERROR(INDEX(Section_Master!$E$2:$E$477,MATCH($E3432,Section_Master!$A$2:$A$477,0))&amp;"","")</f>
        <v>No</v>
      </c>
      <c r="H3432" s="10" t="str">
        <f aca="false">IFERROR(INDEX(Section_Master!$F$2:$F$477,MATCH($E3432,Section_Master!$A$2:$A$477,0))&amp;"","")</f>
        <v>Yes</v>
      </c>
      <c r="I3432" s="10" t="str">
        <f aca="false">IFERROR(INDEX(Section_Master!$G$2:$G$477,MATCH($E3432,Section_Master!$A$2:$A$477,0))&amp;"","")</f>
        <v>No</v>
      </c>
      <c r="J3432" s="10" t="s">
        <v>61</v>
      </c>
      <c r="K3432" s="8" t="s">
        <v>8045</v>
      </c>
    </row>
    <row r="3433" customFormat="false" ht="34.5" hidden="false" customHeight="true" outlineLevel="0" collapsed="false">
      <c r="A3433" s="10" t="s">
        <v>8054</v>
      </c>
      <c r="B3433" s="10" t="s">
        <v>45</v>
      </c>
      <c r="C3433" s="8" t="s">
        <v>8043</v>
      </c>
      <c r="D3433" s="8" t="s">
        <v>8055</v>
      </c>
      <c r="E3433" s="11" t="n">
        <v>214</v>
      </c>
      <c r="F3433" s="8" t="str">
        <f aca="false">IFERROR(INDEX(Section_Master!$D$2:$D$477,MATCH($E3433,Section_Master!$A$2:$A$477,0))&amp;"","")</f>
        <v>Simple imprisonment up to 6 months, or fine, or both</v>
      </c>
      <c r="G3433" s="10" t="str">
        <f aca="false">IFERROR(INDEX(Section_Master!$E$2:$E$477,MATCH($E3433,Section_Master!$A$2:$A$477,0))&amp;"","")</f>
        <v>No</v>
      </c>
      <c r="H3433" s="10" t="str">
        <f aca="false">IFERROR(INDEX(Section_Master!$F$2:$F$477,MATCH($E3433,Section_Master!$A$2:$A$477,0))&amp;"","")</f>
        <v>Yes</v>
      </c>
      <c r="I3433" s="10" t="str">
        <f aca="false">IFERROR(INDEX(Section_Master!$G$2:$G$477,MATCH($E3433,Section_Master!$A$2:$A$477,0))&amp;"","")</f>
        <v>No</v>
      </c>
      <c r="J3433" s="10" t="s">
        <v>64</v>
      </c>
      <c r="K3433" s="8" t="s">
        <v>8045</v>
      </c>
    </row>
    <row r="3434" customFormat="false" ht="34.5" hidden="false" customHeight="true" outlineLevel="0" collapsed="false">
      <c r="A3434" s="10" t="s">
        <v>8056</v>
      </c>
      <c r="B3434" s="10" t="s">
        <v>45</v>
      </c>
      <c r="C3434" s="8" t="s">
        <v>8057</v>
      </c>
      <c r="D3434" s="8" t="s">
        <v>8058</v>
      </c>
      <c r="E3434" s="11" t="n">
        <v>215</v>
      </c>
      <c r="F3434" s="8" t="str">
        <f aca="false">IFERROR(INDEX(Section_Master!$D$2:$D$477,MATCH($E3434,Section_Master!$A$2:$A$477,0))&amp;"","")</f>
        <v>Simple imprisonment up to 3 months, or fine, or both</v>
      </c>
      <c r="G3434" s="10" t="str">
        <f aca="false">IFERROR(INDEX(Section_Master!$E$2:$E$477,MATCH($E3434,Section_Master!$A$2:$A$477,0))&amp;"","")</f>
        <v>No</v>
      </c>
      <c r="H3434" s="10" t="str">
        <f aca="false">IFERROR(INDEX(Section_Master!$F$2:$F$477,MATCH($E3434,Section_Master!$A$2:$A$477,0))&amp;"","")</f>
        <v>Yes</v>
      </c>
      <c r="I3434" s="10" t="str">
        <f aca="false">IFERROR(INDEX(Section_Master!$G$2:$G$477,MATCH($E3434,Section_Master!$A$2:$A$477,0))&amp;"","")</f>
        <v>No</v>
      </c>
      <c r="J3434" s="10" t="s">
        <v>48</v>
      </c>
      <c r="K3434" s="8" t="s">
        <v>8059</v>
      </c>
    </row>
    <row r="3435" customFormat="false" ht="34.5" hidden="false" customHeight="true" outlineLevel="0" collapsed="false">
      <c r="A3435" s="10" t="s">
        <v>8060</v>
      </c>
      <c r="B3435" s="10" t="s">
        <v>45</v>
      </c>
      <c r="C3435" s="8" t="s">
        <v>8057</v>
      </c>
      <c r="D3435" s="8" t="s">
        <v>8061</v>
      </c>
      <c r="E3435" s="11" t="n">
        <v>215</v>
      </c>
      <c r="F3435" s="8" t="str">
        <f aca="false">IFERROR(INDEX(Section_Master!$D$2:$D$477,MATCH($E3435,Section_Master!$A$2:$A$477,0))&amp;"","")</f>
        <v>Simple imprisonment up to 3 months, or fine, or both</v>
      </c>
      <c r="G3435" s="10" t="str">
        <f aca="false">IFERROR(INDEX(Section_Master!$E$2:$E$477,MATCH($E3435,Section_Master!$A$2:$A$477,0))&amp;"","")</f>
        <v>No</v>
      </c>
      <c r="H3435" s="10" t="str">
        <f aca="false">IFERROR(INDEX(Section_Master!$F$2:$F$477,MATCH($E3435,Section_Master!$A$2:$A$477,0))&amp;"","")</f>
        <v>Yes</v>
      </c>
      <c r="I3435" s="10" t="str">
        <f aca="false">IFERROR(INDEX(Section_Master!$G$2:$G$477,MATCH($E3435,Section_Master!$A$2:$A$477,0))&amp;"","")</f>
        <v>No</v>
      </c>
      <c r="J3435" s="10" t="s">
        <v>52</v>
      </c>
      <c r="K3435" s="8" t="s">
        <v>8059</v>
      </c>
    </row>
    <row r="3436" customFormat="false" ht="45.75" hidden="false" customHeight="true" outlineLevel="0" collapsed="false">
      <c r="A3436" s="10" t="s">
        <v>8062</v>
      </c>
      <c r="B3436" s="10" t="s">
        <v>45</v>
      </c>
      <c r="C3436" s="8" t="s">
        <v>8057</v>
      </c>
      <c r="D3436" s="8" t="s">
        <v>8063</v>
      </c>
      <c r="E3436" s="11" t="n">
        <v>215</v>
      </c>
      <c r="F3436" s="8" t="str">
        <f aca="false">IFERROR(INDEX(Section_Master!$D$2:$D$477,MATCH($E3436,Section_Master!$A$2:$A$477,0))&amp;"","")</f>
        <v>Simple imprisonment up to 3 months, or fine, or both</v>
      </c>
      <c r="G3436" s="10" t="str">
        <f aca="false">IFERROR(INDEX(Section_Master!$E$2:$E$477,MATCH($E3436,Section_Master!$A$2:$A$477,0))&amp;"","")</f>
        <v>No</v>
      </c>
      <c r="H3436" s="10" t="str">
        <f aca="false">IFERROR(INDEX(Section_Master!$F$2:$F$477,MATCH($E3436,Section_Master!$A$2:$A$477,0))&amp;"","")</f>
        <v>Yes</v>
      </c>
      <c r="I3436" s="10" t="str">
        <f aca="false">IFERROR(INDEX(Section_Master!$G$2:$G$477,MATCH($E3436,Section_Master!$A$2:$A$477,0))&amp;"","")</f>
        <v>No</v>
      </c>
      <c r="J3436" s="10" t="s">
        <v>55</v>
      </c>
      <c r="K3436" s="8" t="s">
        <v>8059</v>
      </c>
    </row>
    <row r="3437" customFormat="false" ht="34.5" hidden="false" customHeight="true" outlineLevel="0" collapsed="false">
      <c r="A3437" s="10" t="s">
        <v>8064</v>
      </c>
      <c r="B3437" s="10" t="s">
        <v>45</v>
      </c>
      <c r="C3437" s="8" t="s">
        <v>8057</v>
      </c>
      <c r="D3437" s="8" t="s">
        <v>8065</v>
      </c>
      <c r="E3437" s="11" t="n">
        <v>215</v>
      </c>
      <c r="F3437" s="8" t="str">
        <f aca="false">IFERROR(INDEX(Section_Master!$D$2:$D$477,MATCH($E3437,Section_Master!$A$2:$A$477,0))&amp;"","")</f>
        <v>Simple imprisonment up to 3 months, or fine, or both</v>
      </c>
      <c r="G3437" s="10" t="str">
        <f aca="false">IFERROR(INDEX(Section_Master!$E$2:$E$477,MATCH($E3437,Section_Master!$A$2:$A$477,0))&amp;"","")</f>
        <v>No</v>
      </c>
      <c r="H3437" s="10" t="str">
        <f aca="false">IFERROR(INDEX(Section_Master!$F$2:$F$477,MATCH($E3437,Section_Master!$A$2:$A$477,0))&amp;"","")</f>
        <v>Yes</v>
      </c>
      <c r="I3437" s="10" t="str">
        <f aca="false">IFERROR(INDEX(Section_Master!$G$2:$G$477,MATCH($E3437,Section_Master!$A$2:$A$477,0))&amp;"","")</f>
        <v>No</v>
      </c>
      <c r="J3437" s="10" t="s">
        <v>58</v>
      </c>
      <c r="K3437" s="8" t="s">
        <v>8059</v>
      </c>
    </row>
    <row r="3438" customFormat="false" ht="45.75" hidden="false" customHeight="true" outlineLevel="0" collapsed="false">
      <c r="A3438" s="10" t="s">
        <v>8066</v>
      </c>
      <c r="B3438" s="10" t="s">
        <v>45</v>
      </c>
      <c r="C3438" s="8" t="s">
        <v>8057</v>
      </c>
      <c r="D3438" s="8" t="s">
        <v>8067</v>
      </c>
      <c r="E3438" s="11" t="n">
        <v>215</v>
      </c>
      <c r="F3438" s="8" t="str">
        <f aca="false">IFERROR(INDEX(Section_Master!$D$2:$D$477,MATCH($E3438,Section_Master!$A$2:$A$477,0))&amp;"","")</f>
        <v>Simple imprisonment up to 3 months, or fine, or both</v>
      </c>
      <c r="G3438" s="10" t="str">
        <f aca="false">IFERROR(INDEX(Section_Master!$E$2:$E$477,MATCH($E3438,Section_Master!$A$2:$A$477,0))&amp;"","")</f>
        <v>No</v>
      </c>
      <c r="H3438" s="10" t="str">
        <f aca="false">IFERROR(INDEX(Section_Master!$F$2:$F$477,MATCH($E3438,Section_Master!$A$2:$A$477,0))&amp;"","")</f>
        <v>Yes</v>
      </c>
      <c r="I3438" s="10" t="str">
        <f aca="false">IFERROR(INDEX(Section_Master!$G$2:$G$477,MATCH($E3438,Section_Master!$A$2:$A$477,0))&amp;"","")</f>
        <v>No</v>
      </c>
      <c r="J3438" s="10" t="s">
        <v>61</v>
      </c>
      <c r="K3438" s="8" t="s">
        <v>8059</v>
      </c>
    </row>
    <row r="3439" customFormat="false" ht="34.5" hidden="false" customHeight="true" outlineLevel="0" collapsed="false">
      <c r="A3439" s="10" t="s">
        <v>8068</v>
      </c>
      <c r="B3439" s="10" t="s">
        <v>45</v>
      </c>
      <c r="C3439" s="8" t="s">
        <v>8057</v>
      </c>
      <c r="D3439" s="8" t="s">
        <v>8069</v>
      </c>
      <c r="E3439" s="11" t="n">
        <v>215</v>
      </c>
      <c r="F3439" s="8" t="str">
        <f aca="false">IFERROR(INDEX(Section_Master!$D$2:$D$477,MATCH($E3439,Section_Master!$A$2:$A$477,0))&amp;"","")</f>
        <v>Simple imprisonment up to 3 months, or fine, or both</v>
      </c>
      <c r="G3439" s="10" t="str">
        <f aca="false">IFERROR(INDEX(Section_Master!$E$2:$E$477,MATCH($E3439,Section_Master!$A$2:$A$477,0))&amp;"","")</f>
        <v>No</v>
      </c>
      <c r="H3439" s="10" t="str">
        <f aca="false">IFERROR(INDEX(Section_Master!$F$2:$F$477,MATCH($E3439,Section_Master!$A$2:$A$477,0))&amp;"","")</f>
        <v>Yes</v>
      </c>
      <c r="I3439" s="10" t="str">
        <f aca="false">IFERROR(INDEX(Section_Master!$G$2:$G$477,MATCH($E3439,Section_Master!$A$2:$A$477,0))&amp;"","")</f>
        <v>No</v>
      </c>
      <c r="J3439" s="10" t="s">
        <v>64</v>
      </c>
      <c r="K3439" s="8" t="s">
        <v>8059</v>
      </c>
    </row>
    <row r="3440" customFormat="false" ht="23.25" hidden="false" customHeight="true" outlineLevel="0" collapsed="false">
      <c r="A3440" s="10" t="s">
        <v>8070</v>
      </c>
      <c r="B3440" s="10" t="s">
        <v>45</v>
      </c>
      <c r="C3440" s="8" t="s">
        <v>8071</v>
      </c>
      <c r="D3440" s="8" t="s">
        <v>8072</v>
      </c>
      <c r="E3440" s="11" t="n">
        <v>216</v>
      </c>
      <c r="F3440" s="8" t="str">
        <f aca="false">IFERROR(INDEX(Section_Master!$D$2:$D$477,MATCH($E3440,Section_Master!$A$2:$A$477,0))&amp;"","")</f>
        <v>Imprisonment up to 3 years and fine</v>
      </c>
      <c r="G3440" s="10" t="str">
        <f aca="false">IFERROR(INDEX(Section_Master!$E$2:$E$477,MATCH($E3440,Section_Master!$A$2:$A$477,0))&amp;"","")</f>
        <v>No</v>
      </c>
      <c r="H3440" s="10" t="str">
        <f aca="false">IFERROR(INDEX(Section_Master!$F$2:$F$477,MATCH($E3440,Section_Master!$A$2:$A$477,0))&amp;"","")</f>
        <v>Yes</v>
      </c>
      <c r="I3440" s="10" t="str">
        <f aca="false">IFERROR(INDEX(Section_Master!$G$2:$G$477,MATCH($E3440,Section_Master!$A$2:$A$477,0))&amp;"","")</f>
        <v>No</v>
      </c>
      <c r="J3440" s="10" t="s">
        <v>48</v>
      </c>
      <c r="K3440" s="8" t="s">
        <v>8073</v>
      </c>
    </row>
    <row r="3441" customFormat="false" ht="34.5" hidden="false" customHeight="true" outlineLevel="0" collapsed="false">
      <c r="A3441" s="10" t="s">
        <v>8074</v>
      </c>
      <c r="B3441" s="10" t="s">
        <v>45</v>
      </c>
      <c r="C3441" s="8" t="s">
        <v>8071</v>
      </c>
      <c r="D3441" s="8" t="s">
        <v>8075</v>
      </c>
      <c r="E3441" s="11" t="n">
        <v>216</v>
      </c>
      <c r="F3441" s="8" t="str">
        <f aca="false">IFERROR(INDEX(Section_Master!$D$2:$D$477,MATCH($E3441,Section_Master!$A$2:$A$477,0))&amp;"","")</f>
        <v>Imprisonment up to 3 years and fine</v>
      </c>
      <c r="G3441" s="10" t="str">
        <f aca="false">IFERROR(INDEX(Section_Master!$E$2:$E$477,MATCH($E3441,Section_Master!$A$2:$A$477,0))&amp;"","")</f>
        <v>No</v>
      </c>
      <c r="H3441" s="10" t="str">
        <f aca="false">IFERROR(INDEX(Section_Master!$F$2:$F$477,MATCH($E3441,Section_Master!$A$2:$A$477,0))&amp;"","")</f>
        <v>Yes</v>
      </c>
      <c r="I3441" s="10" t="str">
        <f aca="false">IFERROR(INDEX(Section_Master!$G$2:$G$477,MATCH($E3441,Section_Master!$A$2:$A$477,0))&amp;"","")</f>
        <v>No</v>
      </c>
      <c r="J3441" s="10" t="s">
        <v>52</v>
      </c>
      <c r="K3441" s="8" t="s">
        <v>8073</v>
      </c>
    </row>
    <row r="3442" customFormat="false" ht="34.5" hidden="false" customHeight="true" outlineLevel="0" collapsed="false">
      <c r="A3442" s="10" t="s">
        <v>8076</v>
      </c>
      <c r="B3442" s="10" t="s">
        <v>45</v>
      </c>
      <c r="C3442" s="8" t="s">
        <v>8071</v>
      </c>
      <c r="D3442" s="8" t="s">
        <v>8077</v>
      </c>
      <c r="E3442" s="11" t="n">
        <v>216</v>
      </c>
      <c r="F3442" s="8" t="str">
        <f aca="false">IFERROR(INDEX(Section_Master!$D$2:$D$477,MATCH($E3442,Section_Master!$A$2:$A$477,0))&amp;"","")</f>
        <v>Imprisonment up to 3 years and fine</v>
      </c>
      <c r="G3442" s="10" t="str">
        <f aca="false">IFERROR(INDEX(Section_Master!$E$2:$E$477,MATCH($E3442,Section_Master!$A$2:$A$477,0))&amp;"","")</f>
        <v>No</v>
      </c>
      <c r="H3442" s="10" t="str">
        <f aca="false">IFERROR(INDEX(Section_Master!$F$2:$F$477,MATCH($E3442,Section_Master!$A$2:$A$477,0))&amp;"","")</f>
        <v>Yes</v>
      </c>
      <c r="I3442" s="10" t="str">
        <f aca="false">IFERROR(INDEX(Section_Master!$G$2:$G$477,MATCH($E3442,Section_Master!$A$2:$A$477,0))&amp;"","")</f>
        <v>No</v>
      </c>
      <c r="J3442" s="10" t="s">
        <v>55</v>
      </c>
      <c r="K3442" s="8" t="s">
        <v>8073</v>
      </c>
    </row>
    <row r="3443" customFormat="false" ht="23.25" hidden="false" customHeight="true" outlineLevel="0" collapsed="false">
      <c r="A3443" s="10" t="s">
        <v>8078</v>
      </c>
      <c r="B3443" s="10" t="s">
        <v>45</v>
      </c>
      <c r="C3443" s="8" t="s">
        <v>8071</v>
      </c>
      <c r="D3443" s="8" t="s">
        <v>8079</v>
      </c>
      <c r="E3443" s="11" t="n">
        <v>216</v>
      </c>
      <c r="F3443" s="8" t="str">
        <f aca="false">IFERROR(INDEX(Section_Master!$D$2:$D$477,MATCH($E3443,Section_Master!$A$2:$A$477,0))&amp;"","")</f>
        <v>Imprisonment up to 3 years and fine</v>
      </c>
      <c r="G3443" s="10" t="str">
        <f aca="false">IFERROR(INDEX(Section_Master!$E$2:$E$477,MATCH($E3443,Section_Master!$A$2:$A$477,0))&amp;"","")</f>
        <v>No</v>
      </c>
      <c r="H3443" s="10" t="str">
        <f aca="false">IFERROR(INDEX(Section_Master!$F$2:$F$477,MATCH($E3443,Section_Master!$A$2:$A$477,0))&amp;"","")</f>
        <v>Yes</v>
      </c>
      <c r="I3443" s="10" t="str">
        <f aca="false">IFERROR(INDEX(Section_Master!$G$2:$G$477,MATCH($E3443,Section_Master!$A$2:$A$477,0))&amp;"","")</f>
        <v>No</v>
      </c>
      <c r="J3443" s="10" t="s">
        <v>58</v>
      </c>
      <c r="K3443" s="8" t="s">
        <v>8073</v>
      </c>
    </row>
    <row r="3444" customFormat="false" ht="34.5" hidden="false" customHeight="true" outlineLevel="0" collapsed="false">
      <c r="A3444" s="10" t="s">
        <v>8080</v>
      </c>
      <c r="B3444" s="10" t="s">
        <v>45</v>
      </c>
      <c r="C3444" s="8" t="s">
        <v>8071</v>
      </c>
      <c r="D3444" s="8" t="s">
        <v>8081</v>
      </c>
      <c r="E3444" s="11" t="n">
        <v>216</v>
      </c>
      <c r="F3444" s="8" t="str">
        <f aca="false">IFERROR(INDEX(Section_Master!$D$2:$D$477,MATCH($E3444,Section_Master!$A$2:$A$477,0))&amp;"","")</f>
        <v>Imprisonment up to 3 years and fine</v>
      </c>
      <c r="G3444" s="10" t="str">
        <f aca="false">IFERROR(INDEX(Section_Master!$E$2:$E$477,MATCH($E3444,Section_Master!$A$2:$A$477,0))&amp;"","")</f>
        <v>No</v>
      </c>
      <c r="H3444" s="10" t="str">
        <f aca="false">IFERROR(INDEX(Section_Master!$F$2:$F$477,MATCH($E3444,Section_Master!$A$2:$A$477,0))&amp;"","")</f>
        <v>Yes</v>
      </c>
      <c r="I3444" s="10" t="str">
        <f aca="false">IFERROR(INDEX(Section_Master!$G$2:$G$477,MATCH($E3444,Section_Master!$A$2:$A$477,0))&amp;"","")</f>
        <v>No</v>
      </c>
      <c r="J3444" s="10" t="s">
        <v>61</v>
      </c>
      <c r="K3444" s="8" t="s">
        <v>8073</v>
      </c>
    </row>
    <row r="3445" customFormat="false" ht="34.5" hidden="false" customHeight="true" outlineLevel="0" collapsed="false">
      <c r="A3445" s="10" t="s">
        <v>8082</v>
      </c>
      <c r="B3445" s="10" t="s">
        <v>45</v>
      </c>
      <c r="C3445" s="8" t="s">
        <v>8071</v>
      </c>
      <c r="D3445" s="8" t="s">
        <v>8083</v>
      </c>
      <c r="E3445" s="11" t="n">
        <v>216</v>
      </c>
      <c r="F3445" s="8" t="str">
        <f aca="false">IFERROR(INDEX(Section_Master!$D$2:$D$477,MATCH($E3445,Section_Master!$A$2:$A$477,0))&amp;"","")</f>
        <v>Imprisonment up to 3 years and fine</v>
      </c>
      <c r="G3445" s="10" t="str">
        <f aca="false">IFERROR(INDEX(Section_Master!$E$2:$E$477,MATCH($E3445,Section_Master!$A$2:$A$477,0))&amp;"","")</f>
        <v>No</v>
      </c>
      <c r="H3445" s="10" t="str">
        <f aca="false">IFERROR(INDEX(Section_Master!$F$2:$F$477,MATCH($E3445,Section_Master!$A$2:$A$477,0))&amp;"","")</f>
        <v>Yes</v>
      </c>
      <c r="I3445" s="10" t="str">
        <f aca="false">IFERROR(INDEX(Section_Master!$G$2:$G$477,MATCH($E3445,Section_Master!$A$2:$A$477,0))&amp;"","")</f>
        <v>No</v>
      </c>
      <c r="J3445" s="10" t="s">
        <v>64</v>
      </c>
      <c r="K3445" s="8" t="s">
        <v>8073</v>
      </c>
    </row>
    <row r="3446" customFormat="false" ht="34.5" hidden="false" customHeight="true" outlineLevel="0" collapsed="false">
      <c r="A3446" s="10" t="s">
        <v>8084</v>
      </c>
      <c r="B3446" s="10" t="s">
        <v>45</v>
      </c>
      <c r="C3446" s="8" t="s">
        <v>8085</v>
      </c>
      <c r="D3446" s="8" t="s">
        <v>8086</v>
      </c>
      <c r="E3446" s="11" t="n">
        <v>217</v>
      </c>
      <c r="F3446" s="8" t="str">
        <f aca="false">IFERROR(INDEX(Section_Master!$D$2:$D$477,MATCH($E3446,Section_Master!$A$2:$A$477,0))&amp;"","")</f>
        <v>Imprisonment up to 6 months, or fine, or both</v>
      </c>
      <c r="G3446" s="10" t="str">
        <f aca="false">IFERROR(INDEX(Section_Master!$E$2:$E$477,MATCH($E3446,Section_Master!$A$2:$A$477,0))&amp;"","")</f>
        <v>No</v>
      </c>
      <c r="H3446" s="10" t="str">
        <f aca="false">IFERROR(INDEX(Section_Master!$F$2:$F$477,MATCH($E3446,Section_Master!$A$2:$A$477,0))&amp;"","")</f>
        <v>Yes</v>
      </c>
      <c r="I3446" s="10" t="str">
        <f aca="false">IFERROR(INDEX(Section_Master!$G$2:$G$477,MATCH($E3446,Section_Master!$A$2:$A$477,0))&amp;"","")</f>
        <v>No</v>
      </c>
      <c r="J3446" s="10" t="s">
        <v>48</v>
      </c>
      <c r="K3446" s="8" t="s">
        <v>8087</v>
      </c>
    </row>
    <row r="3447" customFormat="false" ht="34.5" hidden="false" customHeight="true" outlineLevel="0" collapsed="false">
      <c r="A3447" s="10" t="s">
        <v>8088</v>
      </c>
      <c r="B3447" s="10" t="s">
        <v>45</v>
      </c>
      <c r="C3447" s="8" t="s">
        <v>8085</v>
      </c>
      <c r="D3447" s="8" t="s">
        <v>8089</v>
      </c>
      <c r="E3447" s="11" t="n">
        <v>217</v>
      </c>
      <c r="F3447" s="8" t="str">
        <f aca="false">IFERROR(INDEX(Section_Master!$D$2:$D$477,MATCH($E3447,Section_Master!$A$2:$A$477,0))&amp;"","")</f>
        <v>Imprisonment up to 6 months, or fine, or both</v>
      </c>
      <c r="G3447" s="10" t="str">
        <f aca="false">IFERROR(INDEX(Section_Master!$E$2:$E$477,MATCH($E3447,Section_Master!$A$2:$A$477,0))&amp;"","")</f>
        <v>No</v>
      </c>
      <c r="H3447" s="10" t="str">
        <f aca="false">IFERROR(INDEX(Section_Master!$F$2:$F$477,MATCH($E3447,Section_Master!$A$2:$A$477,0))&amp;"","")</f>
        <v>Yes</v>
      </c>
      <c r="I3447" s="10" t="str">
        <f aca="false">IFERROR(INDEX(Section_Master!$G$2:$G$477,MATCH($E3447,Section_Master!$A$2:$A$477,0))&amp;"","")</f>
        <v>No</v>
      </c>
      <c r="J3447" s="10" t="s">
        <v>52</v>
      </c>
      <c r="K3447" s="8" t="s">
        <v>8087</v>
      </c>
    </row>
    <row r="3448" customFormat="false" ht="34.5" hidden="false" customHeight="true" outlineLevel="0" collapsed="false">
      <c r="A3448" s="10" t="s">
        <v>8090</v>
      </c>
      <c r="B3448" s="10" t="s">
        <v>45</v>
      </c>
      <c r="C3448" s="8" t="s">
        <v>8085</v>
      </c>
      <c r="D3448" s="8" t="s">
        <v>8091</v>
      </c>
      <c r="E3448" s="11" t="n">
        <v>217</v>
      </c>
      <c r="F3448" s="8" t="str">
        <f aca="false">IFERROR(INDEX(Section_Master!$D$2:$D$477,MATCH($E3448,Section_Master!$A$2:$A$477,0))&amp;"","")</f>
        <v>Imprisonment up to 6 months, or fine, or both</v>
      </c>
      <c r="G3448" s="10" t="str">
        <f aca="false">IFERROR(INDEX(Section_Master!$E$2:$E$477,MATCH($E3448,Section_Master!$A$2:$A$477,0))&amp;"","")</f>
        <v>No</v>
      </c>
      <c r="H3448" s="10" t="str">
        <f aca="false">IFERROR(INDEX(Section_Master!$F$2:$F$477,MATCH($E3448,Section_Master!$A$2:$A$477,0))&amp;"","")</f>
        <v>Yes</v>
      </c>
      <c r="I3448" s="10" t="str">
        <f aca="false">IFERROR(INDEX(Section_Master!$G$2:$G$477,MATCH($E3448,Section_Master!$A$2:$A$477,0))&amp;"","")</f>
        <v>No</v>
      </c>
      <c r="J3448" s="10" t="s">
        <v>55</v>
      </c>
      <c r="K3448" s="8" t="s">
        <v>8087</v>
      </c>
    </row>
    <row r="3449" customFormat="false" ht="34.5" hidden="false" customHeight="true" outlineLevel="0" collapsed="false">
      <c r="A3449" s="10" t="s">
        <v>8092</v>
      </c>
      <c r="B3449" s="10" t="s">
        <v>45</v>
      </c>
      <c r="C3449" s="8" t="s">
        <v>8085</v>
      </c>
      <c r="D3449" s="8" t="s">
        <v>8093</v>
      </c>
      <c r="E3449" s="11" t="n">
        <v>217</v>
      </c>
      <c r="F3449" s="8" t="str">
        <f aca="false">IFERROR(INDEX(Section_Master!$D$2:$D$477,MATCH($E3449,Section_Master!$A$2:$A$477,0))&amp;"","")</f>
        <v>Imprisonment up to 6 months, or fine, or both</v>
      </c>
      <c r="G3449" s="10" t="str">
        <f aca="false">IFERROR(INDEX(Section_Master!$E$2:$E$477,MATCH($E3449,Section_Master!$A$2:$A$477,0))&amp;"","")</f>
        <v>No</v>
      </c>
      <c r="H3449" s="10" t="str">
        <f aca="false">IFERROR(INDEX(Section_Master!$F$2:$F$477,MATCH($E3449,Section_Master!$A$2:$A$477,0))&amp;"","")</f>
        <v>Yes</v>
      </c>
      <c r="I3449" s="10" t="str">
        <f aca="false">IFERROR(INDEX(Section_Master!$G$2:$G$477,MATCH($E3449,Section_Master!$A$2:$A$477,0))&amp;"","")</f>
        <v>No</v>
      </c>
      <c r="J3449" s="10" t="s">
        <v>58</v>
      </c>
      <c r="K3449" s="8" t="s">
        <v>8087</v>
      </c>
    </row>
    <row r="3450" customFormat="false" ht="45.75" hidden="false" customHeight="true" outlineLevel="0" collapsed="false">
      <c r="A3450" s="10" t="s">
        <v>8094</v>
      </c>
      <c r="B3450" s="10" t="s">
        <v>45</v>
      </c>
      <c r="C3450" s="8" t="s">
        <v>8085</v>
      </c>
      <c r="D3450" s="8" t="s">
        <v>8095</v>
      </c>
      <c r="E3450" s="11" t="n">
        <v>217</v>
      </c>
      <c r="F3450" s="8" t="str">
        <f aca="false">IFERROR(INDEX(Section_Master!$D$2:$D$477,MATCH($E3450,Section_Master!$A$2:$A$477,0))&amp;"","")</f>
        <v>Imprisonment up to 6 months, or fine, or both</v>
      </c>
      <c r="G3450" s="10" t="str">
        <f aca="false">IFERROR(INDEX(Section_Master!$E$2:$E$477,MATCH($E3450,Section_Master!$A$2:$A$477,0))&amp;"","")</f>
        <v>No</v>
      </c>
      <c r="H3450" s="10" t="str">
        <f aca="false">IFERROR(INDEX(Section_Master!$F$2:$F$477,MATCH($E3450,Section_Master!$A$2:$A$477,0))&amp;"","")</f>
        <v>Yes</v>
      </c>
      <c r="I3450" s="10" t="str">
        <f aca="false">IFERROR(INDEX(Section_Master!$G$2:$G$477,MATCH($E3450,Section_Master!$A$2:$A$477,0))&amp;"","")</f>
        <v>No</v>
      </c>
      <c r="J3450" s="10" t="s">
        <v>61</v>
      </c>
      <c r="K3450" s="8" t="s">
        <v>8087</v>
      </c>
    </row>
    <row r="3451" customFormat="false" ht="34.5" hidden="false" customHeight="true" outlineLevel="0" collapsed="false">
      <c r="A3451" s="10" t="s">
        <v>8096</v>
      </c>
      <c r="B3451" s="10" t="s">
        <v>45</v>
      </c>
      <c r="C3451" s="8" t="s">
        <v>8085</v>
      </c>
      <c r="D3451" s="8" t="s">
        <v>8097</v>
      </c>
      <c r="E3451" s="11" t="n">
        <v>217</v>
      </c>
      <c r="F3451" s="8" t="str">
        <f aca="false">IFERROR(INDEX(Section_Master!$D$2:$D$477,MATCH($E3451,Section_Master!$A$2:$A$477,0))&amp;"","")</f>
        <v>Imprisonment up to 6 months, or fine, or both</v>
      </c>
      <c r="G3451" s="10" t="str">
        <f aca="false">IFERROR(INDEX(Section_Master!$E$2:$E$477,MATCH($E3451,Section_Master!$A$2:$A$477,0))&amp;"","")</f>
        <v>No</v>
      </c>
      <c r="H3451" s="10" t="str">
        <f aca="false">IFERROR(INDEX(Section_Master!$F$2:$F$477,MATCH($E3451,Section_Master!$A$2:$A$477,0))&amp;"","")</f>
        <v>Yes</v>
      </c>
      <c r="I3451" s="10" t="str">
        <f aca="false">IFERROR(INDEX(Section_Master!$G$2:$G$477,MATCH($E3451,Section_Master!$A$2:$A$477,0))&amp;"","")</f>
        <v>No</v>
      </c>
      <c r="J3451" s="10" t="s">
        <v>64</v>
      </c>
      <c r="K3451" s="8" t="s">
        <v>8087</v>
      </c>
    </row>
    <row r="3452" customFormat="false" ht="34.5" hidden="false" customHeight="true" outlineLevel="0" collapsed="false">
      <c r="A3452" s="10" t="s">
        <v>8098</v>
      </c>
      <c r="B3452" s="10" t="s">
        <v>45</v>
      </c>
      <c r="C3452" s="8" t="s">
        <v>8099</v>
      </c>
      <c r="D3452" s="8" t="s">
        <v>8100</v>
      </c>
      <c r="E3452" s="11" t="n">
        <v>218</v>
      </c>
      <c r="F3452" s="8" t="str">
        <f aca="false">IFERROR(INDEX(Section_Master!$D$2:$D$477,MATCH($E3452,Section_Master!$A$2:$A$477,0))&amp;"","")</f>
        <v>Imprisonment up to 6 months, or fine, or both</v>
      </c>
      <c r="G3452" s="10" t="str">
        <f aca="false">IFERROR(INDEX(Section_Master!$E$2:$E$477,MATCH($E3452,Section_Master!$A$2:$A$477,0))&amp;"","")</f>
        <v>No</v>
      </c>
      <c r="H3452" s="10" t="str">
        <f aca="false">IFERROR(INDEX(Section_Master!$F$2:$F$477,MATCH($E3452,Section_Master!$A$2:$A$477,0))&amp;"","")</f>
        <v>Yes</v>
      </c>
      <c r="I3452" s="10" t="str">
        <f aca="false">IFERROR(INDEX(Section_Master!$G$2:$G$477,MATCH($E3452,Section_Master!$A$2:$A$477,0))&amp;"","")</f>
        <v>No</v>
      </c>
      <c r="J3452" s="10" t="s">
        <v>48</v>
      </c>
      <c r="K3452" s="8" t="s">
        <v>8101</v>
      </c>
    </row>
    <row r="3453" customFormat="false" ht="34.5" hidden="false" customHeight="true" outlineLevel="0" collapsed="false">
      <c r="A3453" s="10" t="s">
        <v>8102</v>
      </c>
      <c r="B3453" s="10" t="s">
        <v>45</v>
      </c>
      <c r="C3453" s="8" t="s">
        <v>8099</v>
      </c>
      <c r="D3453" s="8" t="s">
        <v>8103</v>
      </c>
      <c r="E3453" s="11" t="n">
        <v>218</v>
      </c>
      <c r="F3453" s="8" t="str">
        <f aca="false">IFERROR(INDEX(Section_Master!$D$2:$D$477,MATCH($E3453,Section_Master!$A$2:$A$477,0))&amp;"","")</f>
        <v>Imprisonment up to 6 months, or fine, or both</v>
      </c>
      <c r="G3453" s="10" t="str">
        <f aca="false">IFERROR(INDEX(Section_Master!$E$2:$E$477,MATCH($E3453,Section_Master!$A$2:$A$477,0))&amp;"","")</f>
        <v>No</v>
      </c>
      <c r="H3453" s="10" t="str">
        <f aca="false">IFERROR(INDEX(Section_Master!$F$2:$F$477,MATCH($E3453,Section_Master!$A$2:$A$477,0))&amp;"","")</f>
        <v>Yes</v>
      </c>
      <c r="I3453" s="10" t="str">
        <f aca="false">IFERROR(INDEX(Section_Master!$G$2:$G$477,MATCH($E3453,Section_Master!$A$2:$A$477,0))&amp;"","")</f>
        <v>No</v>
      </c>
      <c r="J3453" s="10" t="s">
        <v>52</v>
      </c>
      <c r="K3453" s="8" t="s">
        <v>8101</v>
      </c>
    </row>
    <row r="3454" customFormat="false" ht="45.75" hidden="false" customHeight="true" outlineLevel="0" collapsed="false">
      <c r="A3454" s="10" t="s">
        <v>8104</v>
      </c>
      <c r="B3454" s="10" t="s">
        <v>45</v>
      </c>
      <c r="C3454" s="8" t="s">
        <v>8099</v>
      </c>
      <c r="D3454" s="8" t="s">
        <v>8105</v>
      </c>
      <c r="E3454" s="11" t="n">
        <v>218</v>
      </c>
      <c r="F3454" s="8" t="str">
        <f aca="false">IFERROR(INDEX(Section_Master!$D$2:$D$477,MATCH($E3454,Section_Master!$A$2:$A$477,0))&amp;"","")</f>
        <v>Imprisonment up to 6 months, or fine, or both</v>
      </c>
      <c r="G3454" s="10" t="str">
        <f aca="false">IFERROR(INDEX(Section_Master!$E$2:$E$477,MATCH($E3454,Section_Master!$A$2:$A$477,0))&amp;"","")</f>
        <v>No</v>
      </c>
      <c r="H3454" s="10" t="str">
        <f aca="false">IFERROR(INDEX(Section_Master!$F$2:$F$477,MATCH($E3454,Section_Master!$A$2:$A$477,0))&amp;"","")</f>
        <v>Yes</v>
      </c>
      <c r="I3454" s="10" t="str">
        <f aca="false">IFERROR(INDEX(Section_Master!$G$2:$G$477,MATCH($E3454,Section_Master!$A$2:$A$477,0))&amp;"","")</f>
        <v>No</v>
      </c>
      <c r="J3454" s="10" t="s">
        <v>55</v>
      </c>
      <c r="K3454" s="8" t="s">
        <v>8101</v>
      </c>
    </row>
    <row r="3455" customFormat="false" ht="34.5" hidden="false" customHeight="true" outlineLevel="0" collapsed="false">
      <c r="A3455" s="10" t="s">
        <v>8106</v>
      </c>
      <c r="B3455" s="10" t="s">
        <v>45</v>
      </c>
      <c r="C3455" s="8" t="s">
        <v>8099</v>
      </c>
      <c r="D3455" s="8" t="s">
        <v>8107</v>
      </c>
      <c r="E3455" s="11" t="n">
        <v>218</v>
      </c>
      <c r="F3455" s="8" t="str">
        <f aca="false">IFERROR(INDEX(Section_Master!$D$2:$D$477,MATCH($E3455,Section_Master!$A$2:$A$477,0))&amp;"","")</f>
        <v>Imprisonment up to 6 months, or fine, or both</v>
      </c>
      <c r="G3455" s="10" t="str">
        <f aca="false">IFERROR(INDEX(Section_Master!$E$2:$E$477,MATCH($E3455,Section_Master!$A$2:$A$477,0))&amp;"","")</f>
        <v>No</v>
      </c>
      <c r="H3455" s="10" t="str">
        <f aca="false">IFERROR(INDEX(Section_Master!$F$2:$F$477,MATCH($E3455,Section_Master!$A$2:$A$477,0))&amp;"","")</f>
        <v>Yes</v>
      </c>
      <c r="I3455" s="10" t="str">
        <f aca="false">IFERROR(INDEX(Section_Master!$G$2:$G$477,MATCH($E3455,Section_Master!$A$2:$A$477,0))&amp;"","")</f>
        <v>No</v>
      </c>
      <c r="J3455" s="10" t="s">
        <v>58</v>
      </c>
      <c r="K3455" s="8" t="s">
        <v>8101</v>
      </c>
    </row>
    <row r="3456" customFormat="false" ht="34.5" hidden="false" customHeight="true" outlineLevel="0" collapsed="false">
      <c r="A3456" s="10" t="s">
        <v>8108</v>
      </c>
      <c r="B3456" s="10" t="s">
        <v>45</v>
      </c>
      <c r="C3456" s="8" t="s">
        <v>8099</v>
      </c>
      <c r="D3456" s="8" t="s">
        <v>8109</v>
      </c>
      <c r="E3456" s="11" t="n">
        <v>218</v>
      </c>
      <c r="F3456" s="8" t="str">
        <f aca="false">IFERROR(INDEX(Section_Master!$D$2:$D$477,MATCH($E3456,Section_Master!$A$2:$A$477,0))&amp;"","")</f>
        <v>Imprisonment up to 6 months, or fine, or both</v>
      </c>
      <c r="G3456" s="10" t="str">
        <f aca="false">IFERROR(INDEX(Section_Master!$E$2:$E$477,MATCH($E3456,Section_Master!$A$2:$A$477,0))&amp;"","")</f>
        <v>No</v>
      </c>
      <c r="H3456" s="10" t="str">
        <f aca="false">IFERROR(INDEX(Section_Master!$F$2:$F$477,MATCH($E3456,Section_Master!$A$2:$A$477,0))&amp;"","")</f>
        <v>Yes</v>
      </c>
      <c r="I3456" s="10" t="str">
        <f aca="false">IFERROR(INDEX(Section_Master!$G$2:$G$477,MATCH($E3456,Section_Master!$A$2:$A$477,0))&amp;"","")</f>
        <v>No</v>
      </c>
      <c r="J3456" s="10" t="s">
        <v>61</v>
      </c>
      <c r="K3456" s="8" t="s">
        <v>8101</v>
      </c>
    </row>
    <row r="3457" customFormat="false" ht="34.5" hidden="false" customHeight="true" outlineLevel="0" collapsed="false">
      <c r="A3457" s="10" t="s">
        <v>8110</v>
      </c>
      <c r="B3457" s="10" t="s">
        <v>45</v>
      </c>
      <c r="C3457" s="8" t="s">
        <v>8099</v>
      </c>
      <c r="D3457" s="8" t="s">
        <v>8111</v>
      </c>
      <c r="E3457" s="11" t="n">
        <v>218</v>
      </c>
      <c r="F3457" s="8" t="str">
        <f aca="false">IFERROR(INDEX(Section_Master!$D$2:$D$477,MATCH($E3457,Section_Master!$A$2:$A$477,0))&amp;"","")</f>
        <v>Imprisonment up to 6 months, or fine, or both</v>
      </c>
      <c r="G3457" s="10" t="str">
        <f aca="false">IFERROR(INDEX(Section_Master!$E$2:$E$477,MATCH($E3457,Section_Master!$A$2:$A$477,0))&amp;"","")</f>
        <v>No</v>
      </c>
      <c r="H3457" s="10" t="str">
        <f aca="false">IFERROR(INDEX(Section_Master!$F$2:$F$477,MATCH($E3457,Section_Master!$A$2:$A$477,0))&amp;"","")</f>
        <v>Yes</v>
      </c>
      <c r="I3457" s="10" t="str">
        <f aca="false">IFERROR(INDEX(Section_Master!$G$2:$G$477,MATCH($E3457,Section_Master!$A$2:$A$477,0))&amp;"","")</f>
        <v>No</v>
      </c>
      <c r="J3457" s="10" t="s">
        <v>64</v>
      </c>
      <c r="K3457" s="8" t="s">
        <v>8101</v>
      </c>
    </row>
    <row r="3458" customFormat="false" ht="34.5" hidden="false" customHeight="true" outlineLevel="0" collapsed="false">
      <c r="A3458" s="10" t="s">
        <v>8112</v>
      </c>
      <c r="B3458" s="10" t="s">
        <v>45</v>
      </c>
      <c r="C3458" s="8" t="s">
        <v>8113</v>
      </c>
      <c r="D3458" s="8" t="s">
        <v>8114</v>
      </c>
      <c r="E3458" s="11" t="n">
        <v>219</v>
      </c>
      <c r="F3458" s="8" t="str">
        <f aca="false">IFERROR(INDEX(Section_Master!$D$2:$D$477,MATCH($E3458,Section_Master!$A$2:$A$477,0))&amp;"","")</f>
        <v>Imprisonment up to 1 month, or fine, or both</v>
      </c>
      <c r="G3458" s="10" t="str">
        <f aca="false">IFERROR(INDEX(Section_Master!$E$2:$E$477,MATCH($E3458,Section_Master!$A$2:$A$477,0))&amp;"","")</f>
        <v>No</v>
      </c>
      <c r="H3458" s="10" t="str">
        <f aca="false">IFERROR(INDEX(Section_Master!$F$2:$F$477,MATCH($E3458,Section_Master!$A$2:$A$477,0))&amp;"","")</f>
        <v>Yes</v>
      </c>
      <c r="I3458" s="10" t="str">
        <f aca="false">IFERROR(INDEX(Section_Master!$G$2:$G$477,MATCH($E3458,Section_Master!$A$2:$A$477,0))&amp;"","")</f>
        <v>No</v>
      </c>
      <c r="J3458" s="10" t="s">
        <v>48</v>
      </c>
      <c r="K3458" s="8" t="s">
        <v>8115</v>
      </c>
    </row>
    <row r="3459" customFormat="false" ht="34.5" hidden="false" customHeight="true" outlineLevel="0" collapsed="false">
      <c r="A3459" s="10" t="s">
        <v>8116</v>
      </c>
      <c r="B3459" s="10" t="s">
        <v>45</v>
      </c>
      <c r="C3459" s="8" t="s">
        <v>8113</v>
      </c>
      <c r="D3459" s="8" t="s">
        <v>8117</v>
      </c>
      <c r="E3459" s="11" t="n">
        <v>219</v>
      </c>
      <c r="F3459" s="8" t="str">
        <f aca="false">IFERROR(INDEX(Section_Master!$D$2:$D$477,MATCH($E3459,Section_Master!$A$2:$A$477,0))&amp;"","")</f>
        <v>Imprisonment up to 1 month, or fine, or both</v>
      </c>
      <c r="G3459" s="10" t="str">
        <f aca="false">IFERROR(INDEX(Section_Master!$E$2:$E$477,MATCH($E3459,Section_Master!$A$2:$A$477,0))&amp;"","")</f>
        <v>No</v>
      </c>
      <c r="H3459" s="10" t="str">
        <f aca="false">IFERROR(INDEX(Section_Master!$F$2:$F$477,MATCH($E3459,Section_Master!$A$2:$A$477,0))&amp;"","")</f>
        <v>Yes</v>
      </c>
      <c r="I3459" s="10" t="str">
        <f aca="false">IFERROR(INDEX(Section_Master!$G$2:$G$477,MATCH($E3459,Section_Master!$A$2:$A$477,0))&amp;"","")</f>
        <v>No</v>
      </c>
      <c r="J3459" s="10" t="s">
        <v>52</v>
      </c>
      <c r="K3459" s="8" t="s">
        <v>8115</v>
      </c>
    </row>
    <row r="3460" customFormat="false" ht="34.5" hidden="false" customHeight="true" outlineLevel="0" collapsed="false">
      <c r="A3460" s="10" t="s">
        <v>8118</v>
      </c>
      <c r="B3460" s="10" t="s">
        <v>45</v>
      </c>
      <c r="C3460" s="8" t="s">
        <v>8113</v>
      </c>
      <c r="D3460" s="8" t="s">
        <v>8119</v>
      </c>
      <c r="E3460" s="11" t="n">
        <v>219</v>
      </c>
      <c r="F3460" s="8" t="str">
        <f aca="false">IFERROR(INDEX(Section_Master!$D$2:$D$477,MATCH($E3460,Section_Master!$A$2:$A$477,0))&amp;"","")</f>
        <v>Imprisonment up to 1 month, or fine, or both</v>
      </c>
      <c r="G3460" s="10" t="str">
        <f aca="false">IFERROR(INDEX(Section_Master!$E$2:$E$477,MATCH($E3460,Section_Master!$A$2:$A$477,0))&amp;"","")</f>
        <v>No</v>
      </c>
      <c r="H3460" s="10" t="str">
        <f aca="false">IFERROR(INDEX(Section_Master!$F$2:$F$477,MATCH($E3460,Section_Master!$A$2:$A$477,0))&amp;"","")</f>
        <v>Yes</v>
      </c>
      <c r="I3460" s="10" t="str">
        <f aca="false">IFERROR(INDEX(Section_Master!$G$2:$G$477,MATCH($E3460,Section_Master!$A$2:$A$477,0))&amp;"","")</f>
        <v>No</v>
      </c>
      <c r="J3460" s="10" t="s">
        <v>55</v>
      </c>
      <c r="K3460" s="8" t="s">
        <v>8115</v>
      </c>
    </row>
    <row r="3461" customFormat="false" ht="34.5" hidden="false" customHeight="true" outlineLevel="0" collapsed="false">
      <c r="A3461" s="10" t="s">
        <v>8120</v>
      </c>
      <c r="B3461" s="10" t="s">
        <v>45</v>
      </c>
      <c r="C3461" s="8" t="s">
        <v>8113</v>
      </c>
      <c r="D3461" s="8" t="s">
        <v>8121</v>
      </c>
      <c r="E3461" s="11" t="n">
        <v>219</v>
      </c>
      <c r="F3461" s="8" t="str">
        <f aca="false">IFERROR(INDEX(Section_Master!$D$2:$D$477,MATCH($E3461,Section_Master!$A$2:$A$477,0))&amp;"","")</f>
        <v>Imprisonment up to 1 month, or fine, or both</v>
      </c>
      <c r="G3461" s="10" t="str">
        <f aca="false">IFERROR(INDEX(Section_Master!$E$2:$E$477,MATCH($E3461,Section_Master!$A$2:$A$477,0))&amp;"","")</f>
        <v>No</v>
      </c>
      <c r="H3461" s="10" t="str">
        <f aca="false">IFERROR(INDEX(Section_Master!$F$2:$F$477,MATCH($E3461,Section_Master!$A$2:$A$477,0))&amp;"","")</f>
        <v>Yes</v>
      </c>
      <c r="I3461" s="10" t="str">
        <f aca="false">IFERROR(INDEX(Section_Master!$G$2:$G$477,MATCH($E3461,Section_Master!$A$2:$A$477,0))&amp;"","")</f>
        <v>No</v>
      </c>
      <c r="J3461" s="10" t="s">
        <v>58</v>
      </c>
      <c r="K3461" s="8" t="s">
        <v>8115</v>
      </c>
    </row>
    <row r="3462" customFormat="false" ht="34.5" hidden="false" customHeight="true" outlineLevel="0" collapsed="false">
      <c r="A3462" s="10" t="s">
        <v>8122</v>
      </c>
      <c r="B3462" s="10" t="s">
        <v>45</v>
      </c>
      <c r="C3462" s="8" t="s">
        <v>8113</v>
      </c>
      <c r="D3462" s="8" t="s">
        <v>8123</v>
      </c>
      <c r="E3462" s="11" t="n">
        <v>219</v>
      </c>
      <c r="F3462" s="8" t="str">
        <f aca="false">IFERROR(INDEX(Section_Master!$D$2:$D$477,MATCH($E3462,Section_Master!$A$2:$A$477,0))&amp;"","")</f>
        <v>Imprisonment up to 1 month, or fine, or both</v>
      </c>
      <c r="G3462" s="10" t="str">
        <f aca="false">IFERROR(INDEX(Section_Master!$E$2:$E$477,MATCH($E3462,Section_Master!$A$2:$A$477,0))&amp;"","")</f>
        <v>No</v>
      </c>
      <c r="H3462" s="10" t="str">
        <f aca="false">IFERROR(INDEX(Section_Master!$F$2:$F$477,MATCH($E3462,Section_Master!$A$2:$A$477,0))&amp;"","")</f>
        <v>Yes</v>
      </c>
      <c r="I3462" s="10" t="str">
        <f aca="false">IFERROR(INDEX(Section_Master!$G$2:$G$477,MATCH($E3462,Section_Master!$A$2:$A$477,0))&amp;"","")</f>
        <v>No</v>
      </c>
      <c r="J3462" s="10" t="s">
        <v>61</v>
      </c>
      <c r="K3462" s="8" t="s">
        <v>8115</v>
      </c>
    </row>
    <row r="3463" customFormat="false" ht="45.75" hidden="false" customHeight="true" outlineLevel="0" collapsed="false">
      <c r="A3463" s="10" t="s">
        <v>8124</v>
      </c>
      <c r="B3463" s="10" t="s">
        <v>45</v>
      </c>
      <c r="C3463" s="8" t="s">
        <v>8113</v>
      </c>
      <c r="D3463" s="8" t="s">
        <v>8125</v>
      </c>
      <c r="E3463" s="11" t="n">
        <v>219</v>
      </c>
      <c r="F3463" s="8" t="str">
        <f aca="false">IFERROR(INDEX(Section_Master!$D$2:$D$477,MATCH($E3463,Section_Master!$A$2:$A$477,0))&amp;"","")</f>
        <v>Imprisonment up to 1 month, or fine, or both</v>
      </c>
      <c r="G3463" s="10" t="str">
        <f aca="false">IFERROR(INDEX(Section_Master!$E$2:$E$477,MATCH($E3463,Section_Master!$A$2:$A$477,0))&amp;"","")</f>
        <v>No</v>
      </c>
      <c r="H3463" s="10" t="str">
        <f aca="false">IFERROR(INDEX(Section_Master!$F$2:$F$477,MATCH($E3463,Section_Master!$A$2:$A$477,0))&amp;"","")</f>
        <v>Yes</v>
      </c>
      <c r="I3463" s="10" t="str">
        <f aca="false">IFERROR(INDEX(Section_Master!$G$2:$G$477,MATCH($E3463,Section_Master!$A$2:$A$477,0))&amp;"","")</f>
        <v>No</v>
      </c>
      <c r="J3463" s="10" t="s">
        <v>64</v>
      </c>
      <c r="K3463" s="8" t="s">
        <v>8115</v>
      </c>
    </row>
    <row r="3464" customFormat="false" ht="34.5" hidden="false" customHeight="true" outlineLevel="0" collapsed="false">
      <c r="A3464" s="10" t="s">
        <v>8126</v>
      </c>
      <c r="B3464" s="10" t="s">
        <v>45</v>
      </c>
      <c r="C3464" s="8" t="s">
        <v>8127</v>
      </c>
      <c r="D3464" s="8" t="s">
        <v>8128</v>
      </c>
      <c r="E3464" s="11" t="n">
        <v>220</v>
      </c>
      <c r="F3464" s="8" t="str">
        <f aca="false">IFERROR(INDEX(Section_Master!$D$2:$D$477,MATCH($E3464,Section_Master!$A$2:$A$477,0))&amp;"","")</f>
        <v>Imprisonment up to 1 month, or fine, or both</v>
      </c>
      <c r="G3464" s="10" t="str">
        <f aca="false">IFERROR(INDEX(Section_Master!$E$2:$E$477,MATCH($E3464,Section_Master!$A$2:$A$477,0))&amp;"","")</f>
        <v>No</v>
      </c>
      <c r="H3464" s="10" t="str">
        <f aca="false">IFERROR(INDEX(Section_Master!$F$2:$F$477,MATCH($E3464,Section_Master!$A$2:$A$477,0))&amp;"","")</f>
        <v>Yes</v>
      </c>
      <c r="I3464" s="10" t="str">
        <f aca="false">IFERROR(INDEX(Section_Master!$G$2:$G$477,MATCH($E3464,Section_Master!$A$2:$A$477,0))&amp;"","")</f>
        <v>No</v>
      </c>
      <c r="J3464" s="10" t="s">
        <v>48</v>
      </c>
      <c r="K3464" s="8" t="s">
        <v>8129</v>
      </c>
    </row>
    <row r="3465" customFormat="false" ht="34.5" hidden="false" customHeight="true" outlineLevel="0" collapsed="false">
      <c r="A3465" s="10" t="s">
        <v>8130</v>
      </c>
      <c r="B3465" s="10" t="s">
        <v>45</v>
      </c>
      <c r="C3465" s="8" t="s">
        <v>8127</v>
      </c>
      <c r="D3465" s="8" t="s">
        <v>8131</v>
      </c>
      <c r="E3465" s="11" t="n">
        <v>220</v>
      </c>
      <c r="F3465" s="8" t="str">
        <f aca="false">IFERROR(INDEX(Section_Master!$D$2:$D$477,MATCH($E3465,Section_Master!$A$2:$A$477,0))&amp;"","")</f>
        <v>Imprisonment up to 1 month, or fine, or both</v>
      </c>
      <c r="G3465" s="10" t="str">
        <f aca="false">IFERROR(INDEX(Section_Master!$E$2:$E$477,MATCH($E3465,Section_Master!$A$2:$A$477,0))&amp;"","")</f>
        <v>No</v>
      </c>
      <c r="H3465" s="10" t="str">
        <f aca="false">IFERROR(INDEX(Section_Master!$F$2:$F$477,MATCH($E3465,Section_Master!$A$2:$A$477,0))&amp;"","")</f>
        <v>Yes</v>
      </c>
      <c r="I3465" s="10" t="str">
        <f aca="false">IFERROR(INDEX(Section_Master!$G$2:$G$477,MATCH($E3465,Section_Master!$A$2:$A$477,0))&amp;"","")</f>
        <v>No</v>
      </c>
      <c r="J3465" s="10" t="s">
        <v>52</v>
      </c>
      <c r="K3465" s="8" t="s">
        <v>8129</v>
      </c>
    </row>
    <row r="3466" customFormat="false" ht="23.25" hidden="false" customHeight="true" outlineLevel="0" collapsed="false">
      <c r="A3466" s="10" t="s">
        <v>8132</v>
      </c>
      <c r="B3466" s="10" t="s">
        <v>45</v>
      </c>
      <c r="C3466" s="8" t="s">
        <v>8127</v>
      </c>
      <c r="D3466" s="8" t="s">
        <v>8133</v>
      </c>
      <c r="E3466" s="11" t="n">
        <v>220</v>
      </c>
      <c r="F3466" s="8" t="str">
        <f aca="false">IFERROR(INDEX(Section_Master!$D$2:$D$477,MATCH($E3466,Section_Master!$A$2:$A$477,0))&amp;"","")</f>
        <v>Imprisonment up to 1 month, or fine, or both</v>
      </c>
      <c r="G3466" s="10" t="str">
        <f aca="false">IFERROR(INDEX(Section_Master!$E$2:$E$477,MATCH($E3466,Section_Master!$A$2:$A$477,0))&amp;"","")</f>
        <v>No</v>
      </c>
      <c r="H3466" s="10" t="str">
        <f aca="false">IFERROR(INDEX(Section_Master!$F$2:$F$477,MATCH($E3466,Section_Master!$A$2:$A$477,0))&amp;"","")</f>
        <v>Yes</v>
      </c>
      <c r="I3466" s="10" t="str">
        <f aca="false">IFERROR(INDEX(Section_Master!$G$2:$G$477,MATCH($E3466,Section_Master!$A$2:$A$477,0))&amp;"","")</f>
        <v>No</v>
      </c>
      <c r="J3466" s="10" t="s">
        <v>55</v>
      </c>
      <c r="K3466" s="8" t="s">
        <v>8129</v>
      </c>
    </row>
    <row r="3467" customFormat="false" ht="23.25" hidden="false" customHeight="true" outlineLevel="0" collapsed="false">
      <c r="A3467" s="10" t="s">
        <v>8134</v>
      </c>
      <c r="B3467" s="10" t="s">
        <v>45</v>
      </c>
      <c r="C3467" s="8" t="s">
        <v>8127</v>
      </c>
      <c r="D3467" s="8" t="s">
        <v>8135</v>
      </c>
      <c r="E3467" s="11" t="n">
        <v>220</v>
      </c>
      <c r="F3467" s="8" t="str">
        <f aca="false">IFERROR(INDEX(Section_Master!$D$2:$D$477,MATCH($E3467,Section_Master!$A$2:$A$477,0))&amp;"","")</f>
        <v>Imprisonment up to 1 month, or fine, or both</v>
      </c>
      <c r="G3467" s="10" t="str">
        <f aca="false">IFERROR(INDEX(Section_Master!$E$2:$E$477,MATCH($E3467,Section_Master!$A$2:$A$477,0))&amp;"","")</f>
        <v>No</v>
      </c>
      <c r="H3467" s="10" t="str">
        <f aca="false">IFERROR(INDEX(Section_Master!$F$2:$F$477,MATCH($E3467,Section_Master!$A$2:$A$477,0))&amp;"","")</f>
        <v>Yes</v>
      </c>
      <c r="I3467" s="10" t="str">
        <f aca="false">IFERROR(INDEX(Section_Master!$G$2:$G$477,MATCH($E3467,Section_Master!$A$2:$A$477,0))&amp;"","")</f>
        <v>No</v>
      </c>
      <c r="J3467" s="10" t="s">
        <v>58</v>
      </c>
      <c r="K3467" s="8" t="s">
        <v>8129</v>
      </c>
    </row>
    <row r="3468" customFormat="false" ht="34.5" hidden="false" customHeight="true" outlineLevel="0" collapsed="false">
      <c r="A3468" s="10" t="s">
        <v>8136</v>
      </c>
      <c r="B3468" s="10" t="s">
        <v>45</v>
      </c>
      <c r="C3468" s="8" t="s">
        <v>8127</v>
      </c>
      <c r="D3468" s="8" t="s">
        <v>8137</v>
      </c>
      <c r="E3468" s="11" t="n">
        <v>220</v>
      </c>
      <c r="F3468" s="8" t="str">
        <f aca="false">IFERROR(INDEX(Section_Master!$D$2:$D$477,MATCH($E3468,Section_Master!$A$2:$A$477,0))&amp;"","")</f>
        <v>Imprisonment up to 1 month, or fine, or both</v>
      </c>
      <c r="G3468" s="10" t="str">
        <f aca="false">IFERROR(INDEX(Section_Master!$E$2:$E$477,MATCH($E3468,Section_Master!$A$2:$A$477,0))&amp;"","")</f>
        <v>No</v>
      </c>
      <c r="H3468" s="10" t="str">
        <f aca="false">IFERROR(INDEX(Section_Master!$F$2:$F$477,MATCH($E3468,Section_Master!$A$2:$A$477,0))&amp;"","")</f>
        <v>Yes</v>
      </c>
      <c r="I3468" s="10" t="str">
        <f aca="false">IFERROR(INDEX(Section_Master!$G$2:$G$477,MATCH($E3468,Section_Master!$A$2:$A$477,0))&amp;"","")</f>
        <v>No</v>
      </c>
      <c r="J3468" s="10" t="s">
        <v>61</v>
      </c>
      <c r="K3468" s="8" t="s">
        <v>8129</v>
      </c>
    </row>
    <row r="3469" customFormat="false" ht="45.75" hidden="false" customHeight="true" outlineLevel="0" collapsed="false">
      <c r="A3469" s="10" t="s">
        <v>8138</v>
      </c>
      <c r="B3469" s="10" t="s">
        <v>45</v>
      </c>
      <c r="C3469" s="8" t="s">
        <v>8127</v>
      </c>
      <c r="D3469" s="8" t="s">
        <v>8139</v>
      </c>
      <c r="E3469" s="11" t="n">
        <v>220</v>
      </c>
      <c r="F3469" s="8" t="str">
        <f aca="false">IFERROR(INDEX(Section_Master!$D$2:$D$477,MATCH($E3469,Section_Master!$A$2:$A$477,0))&amp;"","")</f>
        <v>Imprisonment up to 1 month, or fine, or both</v>
      </c>
      <c r="G3469" s="10" t="str">
        <f aca="false">IFERROR(INDEX(Section_Master!$E$2:$E$477,MATCH($E3469,Section_Master!$A$2:$A$477,0))&amp;"","")</f>
        <v>No</v>
      </c>
      <c r="H3469" s="10" t="str">
        <f aca="false">IFERROR(INDEX(Section_Master!$F$2:$F$477,MATCH($E3469,Section_Master!$A$2:$A$477,0))&amp;"","")</f>
        <v>Yes</v>
      </c>
      <c r="I3469" s="10" t="str">
        <f aca="false">IFERROR(INDEX(Section_Master!$G$2:$G$477,MATCH($E3469,Section_Master!$A$2:$A$477,0))&amp;"","")</f>
        <v>No</v>
      </c>
      <c r="J3469" s="10" t="s">
        <v>64</v>
      </c>
      <c r="K3469" s="8" t="s">
        <v>8129</v>
      </c>
    </row>
    <row r="3470" customFormat="false" ht="23.25" hidden="false" customHeight="true" outlineLevel="0" collapsed="false">
      <c r="A3470" s="10" t="s">
        <v>8140</v>
      </c>
      <c r="B3470" s="10" t="s">
        <v>45</v>
      </c>
      <c r="C3470" s="8" t="s">
        <v>8141</v>
      </c>
      <c r="D3470" s="8" t="s">
        <v>8142</v>
      </c>
      <c r="E3470" s="11" t="n">
        <v>221</v>
      </c>
      <c r="F3470" s="8" t="str">
        <f aca="false">IFERROR(INDEX(Section_Master!$D$2:$D$477,MATCH($E3470,Section_Master!$A$2:$A$477,0))&amp;"","")</f>
        <v>Imprisonment up to 3 months, or fine, or both</v>
      </c>
      <c r="G3470" s="10" t="str">
        <f aca="false">IFERROR(INDEX(Section_Master!$E$2:$E$477,MATCH($E3470,Section_Master!$A$2:$A$477,0))&amp;"","")</f>
        <v>No</v>
      </c>
      <c r="H3470" s="10" t="str">
        <f aca="false">IFERROR(INDEX(Section_Master!$F$2:$F$477,MATCH($E3470,Section_Master!$A$2:$A$477,0))&amp;"","")</f>
        <v>Yes</v>
      </c>
      <c r="I3470" s="10" t="str">
        <f aca="false">IFERROR(INDEX(Section_Master!$G$2:$G$477,MATCH($E3470,Section_Master!$A$2:$A$477,0))&amp;"","")</f>
        <v>No</v>
      </c>
      <c r="J3470" s="10" t="s">
        <v>48</v>
      </c>
      <c r="K3470" s="8" t="s">
        <v>8143</v>
      </c>
    </row>
    <row r="3471" customFormat="false" ht="34.5" hidden="false" customHeight="true" outlineLevel="0" collapsed="false">
      <c r="A3471" s="10" t="s">
        <v>8144</v>
      </c>
      <c r="B3471" s="10" t="s">
        <v>45</v>
      </c>
      <c r="C3471" s="8" t="s">
        <v>8141</v>
      </c>
      <c r="D3471" s="8" t="s">
        <v>8145</v>
      </c>
      <c r="E3471" s="11" t="n">
        <v>221</v>
      </c>
      <c r="F3471" s="8" t="str">
        <f aca="false">IFERROR(INDEX(Section_Master!$D$2:$D$477,MATCH($E3471,Section_Master!$A$2:$A$477,0))&amp;"","")</f>
        <v>Imprisonment up to 3 months, or fine, or both</v>
      </c>
      <c r="G3471" s="10" t="str">
        <f aca="false">IFERROR(INDEX(Section_Master!$E$2:$E$477,MATCH($E3471,Section_Master!$A$2:$A$477,0))&amp;"","")</f>
        <v>No</v>
      </c>
      <c r="H3471" s="10" t="str">
        <f aca="false">IFERROR(INDEX(Section_Master!$F$2:$F$477,MATCH($E3471,Section_Master!$A$2:$A$477,0))&amp;"","")</f>
        <v>Yes</v>
      </c>
      <c r="I3471" s="10" t="str">
        <f aca="false">IFERROR(INDEX(Section_Master!$G$2:$G$477,MATCH($E3471,Section_Master!$A$2:$A$477,0))&amp;"","")</f>
        <v>No</v>
      </c>
      <c r="J3471" s="10" t="s">
        <v>52</v>
      </c>
      <c r="K3471" s="8" t="s">
        <v>8143</v>
      </c>
    </row>
    <row r="3472" customFormat="false" ht="34.5" hidden="false" customHeight="true" outlineLevel="0" collapsed="false">
      <c r="A3472" s="10" t="s">
        <v>8146</v>
      </c>
      <c r="B3472" s="10" t="s">
        <v>45</v>
      </c>
      <c r="C3472" s="8" t="s">
        <v>8141</v>
      </c>
      <c r="D3472" s="8" t="s">
        <v>8147</v>
      </c>
      <c r="E3472" s="11" t="n">
        <v>221</v>
      </c>
      <c r="F3472" s="8" t="str">
        <f aca="false">IFERROR(INDEX(Section_Master!$D$2:$D$477,MATCH($E3472,Section_Master!$A$2:$A$477,0))&amp;"","")</f>
        <v>Imprisonment up to 3 months, or fine, or both</v>
      </c>
      <c r="G3472" s="10" t="str">
        <f aca="false">IFERROR(INDEX(Section_Master!$E$2:$E$477,MATCH($E3472,Section_Master!$A$2:$A$477,0))&amp;"","")</f>
        <v>No</v>
      </c>
      <c r="H3472" s="10" t="str">
        <f aca="false">IFERROR(INDEX(Section_Master!$F$2:$F$477,MATCH($E3472,Section_Master!$A$2:$A$477,0))&amp;"","")</f>
        <v>Yes</v>
      </c>
      <c r="I3472" s="10" t="str">
        <f aca="false">IFERROR(INDEX(Section_Master!$G$2:$G$477,MATCH($E3472,Section_Master!$A$2:$A$477,0))&amp;"","")</f>
        <v>No</v>
      </c>
      <c r="J3472" s="10" t="s">
        <v>55</v>
      </c>
      <c r="K3472" s="8" t="s">
        <v>8143</v>
      </c>
    </row>
    <row r="3473" customFormat="false" ht="23.25" hidden="false" customHeight="true" outlineLevel="0" collapsed="false">
      <c r="A3473" s="10" t="s">
        <v>8148</v>
      </c>
      <c r="B3473" s="10" t="s">
        <v>45</v>
      </c>
      <c r="C3473" s="8" t="s">
        <v>8141</v>
      </c>
      <c r="D3473" s="8" t="s">
        <v>8149</v>
      </c>
      <c r="E3473" s="11" t="n">
        <v>221</v>
      </c>
      <c r="F3473" s="8" t="str">
        <f aca="false">IFERROR(INDEX(Section_Master!$D$2:$D$477,MATCH($E3473,Section_Master!$A$2:$A$477,0))&amp;"","")</f>
        <v>Imprisonment up to 3 months, or fine, or both</v>
      </c>
      <c r="G3473" s="10" t="str">
        <f aca="false">IFERROR(INDEX(Section_Master!$E$2:$E$477,MATCH($E3473,Section_Master!$A$2:$A$477,0))&amp;"","")</f>
        <v>No</v>
      </c>
      <c r="H3473" s="10" t="str">
        <f aca="false">IFERROR(INDEX(Section_Master!$F$2:$F$477,MATCH($E3473,Section_Master!$A$2:$A$477,0))&amp;"","")</f>
        <v>Yes</v>
      </c>
      <c r="I3473" s="10" t="str">
        <f aca="false">IFERROR(INDEX(Section_Master!$G$2:$G$477,MATCH($E3473,Section_Master!$A$2:$A$477,0))&amp;"","")</f>
        <v>No</v>
      </c>
      <c r="J3473" s="10" t="s">
        <v>58</v>
      </c>
      <c r="K3473" s="8" t="s">
        <v>8143</v>
      </c>
    </row>
    <row r="3474" customFormat="false" ht="34.5" hidden="false" customHeight="true" outlineLevel="0" collapsed="false">
      <c r="A3474" s="10" t="s">
        <v>8150</v>
      </c>
      <c r="B3474" s="10" t="s">
        <v>45</v>
      </c>
      <c r="C3474" s="8" t="s">
        <v>8141</v>
      </c>
      <c r="D3474" s="8" t="s">
        <v>8151</v>
      </c>
      <c r="E3474" s="11" t="n">
        <v>221</v>
      </c>
      <c r="F3474" s="8" t="str">
        <f aca="false">IFERROR(INDEX(Section_Master!$D$2:$D$477,MATCH($E3474,Section_Master!$A$2:$A$477,0))&amp;"","")</f>
        <v>Imprisonment up to 3 months, or fine, or both</v>
      </c>
      <c r="G3474" s="10" t="str">
        <f aca="false">IFERROR(INDEX(Section_Master!$E$2:$E$477,MATCH($E3474,Section_Master!$A$2:$A$477,0))&amp;"","")</f>
        <v>No</v>
      </c>
      <c r="H3474" s="10" t="str">
        <f aca="false">IFERROR(INDEX(Section_Master!$F$2:$F$477,MATCH($E3474,Section_Master!$A$2:$A$477,0))&amp;"","")</f>
        <v>Yes</v>
      </c>
      <c r="I3474" s="10" t="str">
        <f aca="false">IFERROR(INDEX(Section_Master!$G$2:$G$477,MATCH($E3474,Section_Master!$A$2:$A$477,0))&amp;"","")</f>
        <v>No</v>
      </c>
      <c r="J3474" s="10" t="s">
        <v>61</v>
      </c>
      <c r="K3474" s="8" t="s">
        <v>8143</v>
      </c>
    </row>
    <row r="3475" customFormat="false" ht="45.75" hidden="false" customHeight="true" outlineLevel="0" collapsed="false">
      <c r="A3475" s="10" t="s">
        <v>8152</v>
      </c>
      <c r="B3475" s="10" t="s">
        <v>45</v>
      </c>
      <c r="C3475" s="8" t="s">
        <v>8141</v>
      </c>
      <c r="D3475" s="8" t="s">
        <v>8153</v>
      </c>
      <c r="E3475" s="11" t="n">
        <v>221</v>
      </c>
      <c r="F3475" s="8" t="str">
        <f aca="false">IFERROR(INDEX(Section_Master!$D$2:$D$477,MATCH($E3475,Section_Master!$A$2:$A$477,0))&amp;"","")</f>
        <v>Imprisonment up to 3 months, or fine, or both</v>
      </c>
      <c r="G3475" s="10" t="str">
        <f aca="false">IFERROR(INDEX(Section_Master!$E$2:$E$477,MATCH($E3475,Section_Master!$A$2:$A$477,0))&amp;"","")</f>
        <v>No</v>
      </c>
      <c r="H3475" s="10" t="str">
        <f aca="false">IFERROR(INDEX(Section_Master!$F$2:$F$477,MATCH($E3475,Section_Master!$A$2:$A$477,0))&amp;"","")</f>
        <v>Yes</v>
      </c>
      <c r="I3475" s="10" t="str">
        <f aca="false">IFERROR(INDEX(Section_Master!$G$2:$G$477,MATCH($E3475,Section_Master!$A$2:$A$477,0))&amp;"","")</f>
        <v>No</v>
      </c>
      <c r="J3475" s="10" t="s">
        <v>64</v>
      </c>
      <c r="K3475" s="8" t="s">
        <v>8143</v>
      </c>
    </row>
    <row r="3476" customFormat="false" ht="23.25" hidden="false" customHeight="true" outlineLevel="0" collapsed="false">
      <c r="A3476" s="10" t="s">
        <v>8154</v>
      </c>
      <c r="B3476" s="10" t="s">
        <v>45</v>
      </c>
      <c r="C3476" s="8" t="s">
        <v>8155</v>
      </c>
      <c r="D3476" s="8" t="s">
        <v>8156</v>
      </c>
      <c r="E3476" s="11" t="n">
        <v>222</v>
      </c>
      <c r="F3476" s="8" t="str">
        <f aca="false">IFERROR(INDEX(Section_Master!$D$2:$D$477,MATCH($E3476,Section_Master!$A$2:$A$477,0))&amp;"","")</f>
        <v>Simple imprisonment up to 1 month, or fine, or both; up to 6 months in graver cases [s.222]</v>
      </c>
      <c r="G3476" s="10" t="str">
        <f aca="false">IFERROR(INDEX(Section_Master!$E$2:$E$477,MATCH($E3476,Section_Master!$A$2:$A$477,0))&amp;"","")</f>
        <v>No</v>
      </c>
      <c r="H3476" s="10" t="str">
        <f aca="false">IFERROR(INDEX(Section_Master!$F$2:$F$477,MATCH($E3476,Section_Master!$A$2:$A$477,0))&amp;"","")</f>
        <v>Yes</v>
      </c>
      <c r="I3476" s="10" t="str">
        <f aca="false">IFERROR(INDEX(Section_Master!$G$2:$G$477,MATCH($E3476,Section_Master!$A$2:$A$477,0))&amp;"","")</f>
        <v>No</v>
      </c>
      <c r="J3476" s="10" t="s">
        <v>48</v>
      </c>
      <c r="K3476" s="8" t="s">
        <v>8157</v>
      </c>
    </row>
    <row r="3477" customFormat="false" ht="34.5" hidden="false" customHeight="true" outlineLevel="0" collapsed="false">
      <c r="A3477" s="10" t="s">
        <v>8158</v>
      </c>
      <c r="B3477" s="10" t="s">
        <v>45</v>
      </c>
      <c r="C3477" s="8" t="s">
        <v>8155</v>
      </c>
      <c r="D3477" s="8" t="s">
        <v>8159</v>
      </c>
      <c r="E3477" s="11" t="n">
        <v>222</v>
      </c>
      <c r="F3477" s="8" t="str">
        <f aca="false">IFERROR(INDEX(Section_Master!$D$2:$D$477,MATCH($E3477,Section_Master!$A$2:$A$477,0))&amp;"","")</f>
        <v>Simple imprisonment up to 1 month, or fine, or both; up to 6 months in graver cases [s.222]</v>
      </c>
      <c r="G3477" s="10" t="str">
        <f aca="false">IFERROR(INDEX(Section_Master!$E$2:$E$477,MATCH($E3477,Section_Master!$A$2:$A$477,0))&amp;"","")</f>
        <v>No</v>
      </c>
      <c r="H3477" s="10" t="str">
        <f aca="false">IFERROR(INDEX(Section_Master!$F$2:$F$477,MATCH($E3477,Section_Master!$A$2:$A$477,0))&amp;"","")</f>
        <v>Yes</v>
      </c>
      <c r="I3477" s="10" t="str">
        <f aca="false">IFERROR(INDEX(Section_Master!$G$2:$G$477,MATCH($E3477,Section_Master!$A$2:$A$477,0))&amp;"","")</f>
        <v>No</v>
      </c>
      <c r="J3477" s="10" t="s">
        <v>52</v>
      </c>
      <c r="K3477" s="8" t="s">
        <v>8157</v>
      </c>
    </row>
    <row r="3478" customFormat="false" ht="34.5" hidden="false" customHeight="true" outlineLevel="0" collapsed="false">
      <c r="A3478" s="10" t="s">
        <v>8160</v>
      </c>
      <c r="B3478" s="10" t="s">
        <v>45</v>
      </c>
      <c r="C3478" s="8" t="s">
        <v>8155</v>
      </c>
      <c r="D3478" s="8" t="s">
        <v>8161</v>
      </c>
      <c r="E3478" s="11" t="n">
        <v>222</v>
      </c>
      <c r="F3478" s="8" t="str">
        <f aca="false">IFERROR(INDEX(Section_Master!$D$2:$D$477,MATCH($E3478,Section_Master!$A$2:$A$477,0))&amp;"","")</f>
        <v>Simple imprisonment up to 1 month, or fine, or both; up to 6 months in graver cases [s.222]</v>
      </c>
      <c r="G3478" s="10" t="str">
        <f aca="false">IFERROR(INDEX(Section_Master!$E$2:$E$477,MATCH($E3478,Section_Master!$A$2:$A$477,0))&amp;"","")</f>
        <v>No</v>
      </c>
      <c r="H3478" s="10" t="str">
        <f aca="false">IFERROR(INDEX(Section_Master!$F$2:$F$477,MATCH($E3478,Section_Master!$A$2:$A$477,0))&amp;"","")</f>
        <v>Yes</v>
      </c>
      <c r="I3478" s="10" t="str">
        <f aca="false">IFERROR(INDEX(Section_Master!$G$2:$G$477,MATCH($E3478,Section_Master!$A$2:$A$477,0))&amp;"","")</f>
        <v>No</v>
      </c>
      <c r="J3478" s="10" t="s">
        <v>55</v>
      </c>
      <c r="K3478" s="8" t="s">
        <v>8157</v>
      </c>
    </row>
    <row r="3479" customFormat="false" ht="23.25" hidden="false" customHeight="true" outlineLevel="0" collapsed="false">
      <c r="A3479" s="10" t="s">
        <v>8162</v>
      </c>
      <c r="B3479" s="10" t="s">
        <v>45</v>
      </c>
      <c r="C3479" s="8" t="s">
        <v>8155</v>
      </c>
      <c r="D3479" s="8" t="s">
        <v>8163</v>
      </c>
      <c r="E3479" s="11" t="n">
        <v>222</v>
      </c>
      <c r="F3479" s="8" t="str">
        <f aca="false">IFERROR(INDEX(Section_Master!$D$2:$D$477,MATCH($E3479,Section_Master!$A$2:$A$477,0))&amp;"","")</f>
        <v>Simple imprisonment up to 1 month, or fine, or both; up to 6 months in graver cases [s.222]</v>
      </c>
      <c r="G3479" s="10" t="str">
        <f aca="false">IFERROR(INDEX(Section_Master!$E$2:$E$477,MATCH($E3479,Section_Master!$A$2:$A$477,0))&amp;"","")</f>
        <v>No</v>
      </c>
      <c r="H3479" s="10" t="str">
        <f aca="false">IFERROR(INDEX(Section_Master!$F$2:$F$477,MATCH($E3479,Section_Master!$A$2:$A$477,0))&amp;"","")</f>
        <v>Yes</v>
      </c>
      <c r="I3479" s="10" t="str">
        <f aca="false">IFERROR(INDEX(Section_Master!$G$2:$G$477,MATCH($E3479,Section_Master!$A$2:$A$477,0))&amp;"","")</f>
        <v>No</v>
      </c>
      <c r="J3479" s="10" t="s">
        <v>58</v>
      </c>
      <c r="K3479" s="8" t="s">
        <v>8157</v>
      </c>
    </row>
    <row r="3480" customFormat="false" ht="34.5" hidden="false" customHeight="true" outlineLevel="0" collapsed="false">
      <c r="A3480" s="10" t="s">
        <v>8164</v>
      </c>
      <c r="B3480" s="10" t="s">
        <v>45</v>
      </c>
      <c r="C3480" s="8" t="s">
        <v>8155</v>
      </c>
      <c r="D3480" s="8" t="s">
        <v>8165</v>
      </c>
      <c r="E3480" s="11" t="n">
        <v>222</v>
      </c>
      <c r="F3480" s="8" t="str">
        <f aca="false">IFERROR(INDEX(Section_Master!$D$2:$D$477,MATCH($E3480,Section_Master!$A$2:$A$477,0))&amp;"","")</f>
        <v>Simple imprisonment up to 1 month, or fine, or both; up to 6 months in graver cases [s.222]</v>
      </c>
      <c r="G3480" s="10" t="str">
        <f aca="false">IFERROR(INDEX(Section_Master!$E$2:$E$477,MATCH($E3480,Section_Master!$A$2:$A$477,0))&amp;"","")</f>
        <v>No</v>
      </c>
      <c r="H3480" s="10" t="str">
        <f aca="false">IFERROR(INDEX(Section_Master!$F$2:$F$477,MATCH($E3480,Section_Master!$A$2:$A$477,0))&amp;"","")</f>
        <v>Yes</v>
      </c>
      <c r="I3480" s="10" t="str">
        <f aca="false">IFERROR(INDEX(Section_Master!$G$2:$G$477,MATCH($E3480,Section_Master!$A$2:$A$477,0))&amp;"","")</f>
        <v>No</v>
      </c>
      <c r="J3480" s="10" t="s">
        <v>61</v>
      </c>
      <c r="K3480" s="8" t="s">
        <v>8157</v>
      </c>
    </row>
    <row r="3481" customFormat="false" ht="45.75" hidden="false" customHeight="true" outlineLevel="0" collapsed="false">
      <c r="A3481" s="10" t="s">
        <v>8166</v>
      </c>
      <c r="B3481" s="10" t="s">
        <v>45</v>
      </c>
      <c r="C3481" s="8" t="s">
        <v>8155</v>
      </c>
      <c r="D3481" s="8" t="s">
        <v>8167</v>
      </c>
      <c r="E3481" s="11" t="n">
        <v>222</v>
      </c>
      <c r="F3481" s="8" t="str">
        <f aca="false">IFERROR(INDEX(Section_Master!$D$2:$D$477,MATCH($E3481,Section_Master!$A$2:$A$477,0))&amp;"","")</f>
        <v>Simple imprisonment up to 1 month, or fine, or both; up to 6 months in graver cases [s.222]</v>
      </c>
      <c r="G3481" s="10" t="str">
        <f aca="false">IFERROR(INDEX(Section_Master!$E$2:$E$477,MATCH($E3481,Section_Master!$A$2:$A$477,0))&amp;"","")</f>
        <v>No</v>
      </c>
      <c r="H3481" s="10" t="str">
        <f aca="false">IFERROR(INDEX(Section_Master!$F$2:$F$477,MATCH($E3481,Section_Master!$A$2:$A$477,0))&amp;"","")</f>
        <v>Yes</v>
      </c>
      <c r="I3481" s="10" t="str">
        <f aca="false">IFERROR(INDEX(Section_Master!$G$2:$G$477,MATCH($E3481,Section_Master!$A$2:$A$477,0))&amp;"","")</f>
        <v>No</v>
      </c>
      <c r="J3481" s="10" t="s">
        <v>64</v>
      </c>
      <c r="K3481" s="8" t="s">
        <v>8157</v>
      </c>
    </row>
    <row r="3482" customFormat="false" ht="34.5" hidden="false" customHeight="true" outlineLevel="0" collapsed="false">
      <c r="A3482" s="10" t="s">
        <v>8168</v>
      </c>
      <c r="B3482" s="10" t="s">
        <v>45</v>
      </c>
      <c r="C3482" s="8" t="s">
        <v>8169</v>
      </c>
      <c r="D3482" s="8" t="s">
        <v>8170</v>
      </c>
      <c r="E3482" s="11" t="n">
        <v>223</v>
      </c>
      <c r="F3482" s="8" t="str">
        <f aca="false">IFERROR(INDEX(Section_Master!$D$2:$D$477,MATCH($E3482,Section_Master!$A$2:$A$477,0))&amp;"","")</f>
        <v>Simple imprisonment up to 6 months, or fine, or both; up to 1 year, or fine, or both if danger to human life or safety [s.223]</v>
      </c>
      <c r="G3482" s="10" t="str">
        <f aca="false">IFERROR(INDEX(Section_Master!$E$2:$E$477,MATCH($E3482,Section_Master!$A$2:$A$477,0))&amp;"","")</f>
        <v>Yes</v>
      </c>
      <c r="H3482" s="10" t="str">
        <f aca="false">IFERROR(INDEX(Section_Master!$F$2:$F$477,MATCH($E3482,Section_Master!$A$2:$A$477,0))&amp;"","")</f>
        <v>Yes</v>
      </c>
      <c r="I3482" s="10" t="str">
        <f aca="false">IFERROR(INDEX(Section_Master!$G$2:$G$477,MATCH($E3482,Section_Master!$A$2:$A$477,0))&amp;"","")</f>
        <v>No</v>
      </c>
      <c r="J3482" s="10" t="s">
        <v>48</v>
      </c>
      <c r="K3482" s="8" t="s">
        <v>8171</v>
      </c>
    </row>
    <row r="3483" customFormat="false" ht="45.75" hidden="false" customHeight="true" outlineLevel="0" collapsed="false">
      <c r="A3483" s="10" t="s">
        <v>8172</v>
      </c>
      <c r="B3483" s="10" t="s">
        <v>45</v>
      </c>
      <c r="C3483" s="8" t="s">
        <v>8169</v>
      </c>
      <c r="D3483" s="8" t="s">
        <v>8173</v>
      </c>
      <c r="E3483" s="11" t="n">
        <v>223</v>
      </c>
      <c r="F3483" s="8" t="str">
        <f aca="false">IFERROR(INDEX(Section_Master!$D$2:$D$477,MATCH($E3483,Section_Master!$A$2:$A$477,0))&amp;"","")</f>
        <v>Simple imprisonment up to 6 months, or fine, or both; up to 1 year, or fine, or both if danger to human life or safety [s.223]</v>
      </c>
      <c r="G3483" s="10" t="str">
        <f aca="false">IFERROR(INDEX(Section_Master!$E$2:$E$477,MATCH($E3483,Section_Master!$A$2:$A$477,0))&amp;"","")</f>
        <v>Yes</v>
      </c>
      <c r="H3483" s="10" t="str">
        <f aca="false">IFERROR(INDEX(Section_Master!$F$2:$F$477,MATCH($E3483,Section_Master!$A$2:$A$477,0))&amp;"","")</f>
        <v>Yes</v>
      </c>
      <c r="I3483" s="10" t="str">
        <f aca="false">IFERROR(INDEX(Section_Master!$G$2:$G$477,MATCH($E3483,Section_Master!$A$2:$A$477,0))&amp;"","")</f>
        <v>No</v>
      </c>
      <c r="J3483" s="10" t="s">
        <v>52</v>
      </c>
      <c r="K3483" s="8" t="s">
        <v>8171</v>
      </c>
    </row>
    <row r="3484" customFormat="false" ht="34.5" hidden="false" customHeight="true" outlineLevel="0" collapsed="false">
      <c r="A3484" s="10" t="s">
        <v>8174</v>
      </c>
      <c r="B3484" s="10" t="s">
        <v>45</v>
      </c>
      <c r="C3484" s="8" t="s">
        <v>8169</v>
      </c>
      <c r="D3484" s="8" t="s">
        <v>8175</v>
      </c>
      <c r="E3484" s="11" t="n">
        <v>223</v>
      </c>
      <c r="F3484" s="8" t="str">
        <f aca="false">IFERROR(INDEX(Section_Master!$D$2:$D$477,MATCH($E3484,Section_Master!$A$2:$A$477,0))&amp;"","")</f>
        <v>Simple imprisonment up to 6 months, or fine, or both; up to 1 year, or fine, or both if danger to human life or safety [s.223]</v>
      </c>
      <c r="G3484" s="10" t="str">
        <f aca="false">IFERROR(INDEX(Section_Master!$E$2:$E$477,MATCH($E3484,Section_Master!$A$2:$A$477,0))&amp;"","")</f>
        <v>Yes</v>
      </c>
      <c r="H3484" s="10" t="str">
        <f aca="false">IFERROR(INDEX(Section_Master!$F$2:$F$477,MATCH($E3484,Section_Master!$A$2:$A$477,0))&amp;"","")</f>
        <v>Yes</v>
      </c>
      <c r="I3484" s="10" t="str">
        <f aca="false">IFERROR(INDEX(Section_Master!$G$2:$G$477,MATCH($E3484,Section_Master!$A$2:$A$477,0))&amp;"","")</f>
        <v>No</v>
      </c>
      <c r="J3484" s="10" t="s">
        <v>55</v>
      </c>
      <c r="K3484" s="8" t="s">
        <v>8171</v>
      </c>
    </row>
    <row r="3485" customFormat="false" ht="34.5" hidden="false" customHeight="true" outlineLevel="0" collapsed="false">
      <c r="A3485" s="10" t="s">
        <v>8176</v>
      </c>
      <c r="B3485" s="10" t="s">
        <v>45</v>
      </c>
      <c r="C3485" s="8" t="s">
        <v>8169</v>
      </c>
      <c r="D3485" s="8" t="s">
        <v>8177</v>
      </c>
      <c r="E3485" s="11" t="n">
        <v>223</v>
      </c>
      <c r="F3485" s="8" t="str">
        <f aca="false">IFERROR(INDEX(Section_Master!$D$2:$D$477,MATCH($E3485,Section_Master!$A$2:$A$477,0))&amp;"","")</f>
        <v>Simple imprisonment up to 6 months, or fine, or both; up to 1 year, or fine, or both if danger to human life or safety [s.223]</v>
      </c>
      <c r="G3485" s="10" t="str">
        <f aca="false">IFERROR(INDEX(Section_Master!$E$2:$E$477,MATCH($E3485,Section_Master!$A$2:$A$477,0))&amp;"","")</f>
        <v>Yes</v>
      </c>
      <c r="H3485" s="10" t="str">
        <f aca="false">IFERROR(INDEX(Section_Master!$F$2:$F$477,MATCH($E3485,Section_Master!$A$2:$A$477,0))&amp;"","")</f>
        <v>Yes</v>
      </c>
      <c r="I3485" s="10" t="str">
        <f aca="false">IFERROR(INDEX(Section_Master!$G$2:$G$477,MATCH($E3485,Section_Master!$A$2:$A$477,0))&amp;"","")</f>
        <v>No</v>
      </c>
      <c r="J3485" s="10" t="s">
        <v>58</v>
      </c>
      <c r="K3485" s="8" t="s">
        <v>8171</v>
      </c>
    </row>
    <row r="3486" customFormat="false" ht="34.5" hidden="false" customHeight="true" outlineLevel="0" collapsed="false">
      <c r="A3486" s="10" t="s">
        <v>8178</v>
      </c>
      <c r="B3486" s="10" t="s">
        <v>45</v>
      </c>
      <c r="C3486" s="8" t="s">
        <v>8169</v>
      </c>
      <c r="D3486" s="8" t="s">
        <v>8179</v>
      </c>
      <c r="E3486" s="11" t="n">
        <v>223</v>
      </c>
      <c r="F3486" s="8" t="str">
        <f aca="false">IFERROR(INDEX(Section_Master!$D$2:$D$477,MATCH($E3486,Section_Master!$A$2:$A$477,0))&amp;"","")</f>
        <v>Simple imprisonment up to 6 months, or fine, or both; up to 1 year, or fine, or both if danger to human life or safety [s.223]</v>
      </c>
      <c r="G3486" s="10" t="str">
        <f aca="false">IFERROR(INDEX(Section_Master!$E$2:$E$477,MATCH($E3486,Section_Master!$A$2:$A$477,0))&amp;"","")</f>
        <v>Yes</v>
      </c>
      <c r="H3486" s="10" t="str">
        <f aca="false">IFERROR(INDEX(Section_Master!$F$2:$F$477,MATCH($E3486,Section_Master!$A$2:$A$477,0))&amp;"","")</f>
        <v>Yes</v>
      </c>
      <c r="I3486" s="10" t="str">
        <f aca="false">IFERROR(INDEX(Section_Master!$G$2:$G$477,MATCH($E3486,Section_Master!$A$2:$A$477,0))&amp;"","")</f>
        <v>No</v>
      </c>
      <c r="J3486" s="10" t="s">
        <v>61</v>
      </c>
      <c r="K3486" s="8" t="s">
        <v>8171</v>
      </c>
    </row>
    <row r="3487" customFormat="false" ht="34.5" hidden="false" customHeight="true" outlineLevel="0" collapsed="false">
      <c r="A3487" s="10" t="s">
        <v>8180</v>
      </c>
      <c r="B3487" s="10" t="s">
        <v>45</v>
      </c>
      <c r="C3487" s="8" t="s">
        <v>8169</v>
      </c>
      <c r="D3487" s="8" t="s">
        <v>8181</v>
      </c>
      <c r="E3487" s="11" t="n">
        <v>223</v>
      </c>
      <c r="F3487" s="8" t="str">
        <f aca="false">IFERROR(INDEX(Section_Master!$D$2:$D$477,MATCH($E3487,Section_Master!$A$2:$A$477,0))&amp;"","")</f>
        <v>Simple imprisonment up to 6 months, or fine, or both; up to 1 year, or fine, or both if danger to human life or safety [s.223]</v>
      </c>
      <c r="G3487" s="10" t="str">
        <f aca="false">IFERROR(INDEX(Section_Master!$E$2:$E$477,MATCH($E3487,Section_Master!$A$2:$A$477,0))&amp;"","")</f>
        <v>Yes</v>
      </c>
      <c r="H3487" s="10" t="str">
        <f aca="false">IFERROR(INDEX(Section_Master!$F$2:$F$477,MATCH($E3487,Section_Master!$A$2:$A$477,0))&amp;"","")</f>
        <v>Yes</v>
      </c>
      <c r="I3487" s="10" t="str">
        <f aca="false">IFERROR(INDEX(Section_Master!$G$2:$G$477,MATCH($E3487,Section_Master!$A$2:$A$477,0))&amp;"","")</f>
        <v>No</v>
      </c>
      <c r="J3487" s="10" t="s">
        <v>64</v>
      </c>
      <c r="K3487" s="8" t="s">
        <v>8171</v>
      </c>
    </row>
    <row r="3488" customFormat="false" ht="34.5" hidden="false" customHeight="true" outlineLevel="0" collapsed="false">
      <c r="A3488" s="10" t="s">
        <v>8182</v>
      </c>
      <c r="B3488" s="10" t="s">
        <v>45</v>
      </c>
      <c r="C3488" s="8" t="s">
        <v>8183</v>
      </c>
      <c r="D3488" s="8" t="s">
        <v>8184</v>
      </c>
      <c r="E3488" s="11" t="n">
        <v>224</v>
      </c>
      <c r="F3488" s="8" t="str">
        <f aca="false">IFERROR(INDEX(Section_Master!$D$2:$D$477,MATCH($E3488,Section_Master!$A$2:$A$477,0))&amp;"","")</f>
        <v>Imprisonment up to 2 years, or fine, or both</v>
      </c>
      <c r="G3488" s="10" t="str">
        <f aca="false">IFERROR(INDEX(Section_Master!$E$2:$E$477,MATCH($E3488,Section_Master!$A$2:$A$477,0))&amp;"","")</f>
        <v>No</v>
      </c>
      <c r="H3488" s="10" t="str">
        <f aca="false">IFERROR(INDEX(Section_Master!$F$2:$F$477,MATCH($E3488,Section_Master!$A$2:$A$477,0))&amp;"","")</f>
        <v>Yes</v>
      </c>
      <c r="I3488" s="10" t="str">
        <f aca="false">IFERROR(INDEX(Section_Master!$G$2:$G$477,MATCH($E3488,Section_Master!$A$2:$A$477,0))&amp;"","")</f>
        <v>No</v>
      </c>
      <c r="J3488" s="10" t="s">
        <v>48</v>
      </c>
      <c r="K3488" s="8" t="s">
        <v>8185</v>
      </c>
    </row>
    <row r="3489" customFormat="false" ht="34.5" hidden="false" customHeight="true" outlineLevel="0" collapsed="false">
      <c r="A3489" s="10" t="s">
        <v>8186</v>
      </c>
      <c r="B3489" s="10" t="s">
        <v>45</v>
      </c>
      <c r="C3489" s="8" t="s">
        <v>8183</v>
      </c>
      <c r="D3489" s="8" t="s">
        <v>8187</v>
      </c>
      <c r="E3489" s="11" t="n">
        <v>224</v>
      </c>
      <c r="F3489" s="8" t="str">
        <f aca="false">IFERROR(INDEX(Section_Master!$D$2:$D$477,MATCH($E3489,Section_Master!$A$2:$A$477,0))&amp;"","")</f>
        <v>Imprisonment up to 2 years, or fine, or both</v>
      </c>
      <c r="G3489" s="10" t="str">
        <f aca="false">IFERROR(INDEX(Section_Master!$E$2:$E$477,MATCH($E3489,Section_Master!$A$2:$A$477,0))&amp;"","")</f>
        <v>No</v>
      </c>
      <c r="H3489" s="10" t="str">
        <f aca="false">IFERROR(INDEX(Section_Master!$F$2:$F$477,MATCH($E3489,Section_Master!$A$2:$A$477,0))&amp;"","")</f>
        <v>Yes</v>
      </c>
      <c r="I3489" s="10" t="str">
        <f aca="false">IFERROR(INDEX(Section_Master!$G$2:$G$477,MATCH($E3489,Section_Master!$A$2:$A$477,0))&amp;"","")</f>
        <v>No</v>
      </c>
      <c r="J3489" s="10" t="s">
        <v>52</v>
      </c>
      <c r="K3489" s="8" t="s">
        <v>8185</v>
      </c>
    </row>
    <row r="3490" customFormat="false" ht="23.25" hidden="false" customHeight="true" outlineLevel="0" collapsed="false">
      <c r="A3490" s="10" t="s">
        <v>8188</v>
      </c>
      <c r="B3490" s="10" t="s">
        <v>45</v>
      </c>
      <c r="C3490" s="8" t="s">
        <v>8183</v>
      </c>
      <c r="D3490" s="8" t="s">
        <v>8189</v>
      </c>
      <c r="E3490" s="11" t="n">
        <v>224</v>
      </c>
      <c r="F3490" s="8" t="str">
        <f aca="false">IFERROR(INDEX(Section_Master!$D$2:$D$477,MATCH($E3490,Section_Master!$A$2:$A$477,0))&amp;"","")</f>
        <v>Imprisonment up to 2 years, or fine, or both</v>
      </c>
      <c r="G3490" s="10" t="str">
        <f aca="false">IFERROR(INDEX(Section_Master!$E$2:$E$477,MATCH($E3490,Section_Master!$A$2:$A$477,0))&amp;"","")</f>
        <v>No</v>
      </c>
      <c r="H3490" s="10" t="str">
        <f aca="false">IFERROR(INDEX(Section_Master!$F$2:$F$477,MATCH($E3490,Section_Master!$A$2:$A$477,0))&amp;"","")</f>
        <v>Yes</v>
      </c>
      <c r="I3490" s="10" t="str">
        <f aca="false">IFERROR(INDEX(Section_Master!$G$2:$G$477,MATCH($E3490,Section_Master!$A$2:$A$477,0))&amp;"","")</f>
        <v>No</v>
      </c>
      <c r="J3490" s="10" t="s">
        <v>55</v>
      </c>
      <c r="K3490" s="8" t="s">
        <v>8185</v>
      </c>
    </row>
    <row r="3491" customFormat="false" ht="23.25" hidden="false" customHeight="true" outlineLevel="0" collapsed="false">
      <c r="A3491" s="10" t="s">
        <v>8190</v>
      </c>
      <c r="B3491" s="10" t="s">
        <v>45</v>
      </c>
      <c r="C3491" s="8" t="s">
        <v>8183</v>
      </c>
      <c r="D3491" s="8" t="s">
        <v>8191</v>
      </c>
      <c r="E3491" s="11" t="n">
        <v>224</v>
      </c>
      <c r="F3491" s="8" t="str">
        <f aca="false">IFERROR(INDEX(Section_Master!$D$2:$D$477,MATCH($E3491,Section_Master!$A$2:$A$477,0))&amp;"","")</f>
        <v>Imprisonment up to 2 years, or fine, or both</v>
      </c>
      <c r="G3491" s="10" t="str">
        <f aca="false">IFERROR(INDEX(Section_Master!$E$2:$E$477,MATCH($E3491,Section_Master!$A$2:$A$477,0))&amp;"","")</f>
        <v>No</v>
      </c>
      <c r="H3491" s="10" t="str">
        <f aca="false">IFERROR(INDEX(Section_Master!$F$2:$F$477,MATCH($E3491,Section_Master!$A$2:$A$477,0))&amp;"","")</f>
        <v>Yes</v>
      </c>
      <c r="I3491" s="10" t="str">
        <f aca="false">IFERROR(INDEX(Section_Master!$G$2:$G$477,MATCH($E3491,Section_Master!$A$2:$A$477,0))&amp;"","")</f>
        <v>No</v>
      </c>
      <c r="J3491" s="10" t="s">
        <v>58</v>
      </c>
      <c r="K3491" s="8" t="s">
        <v>8185</v>
      </c>
    </row>
    <row r="3492" customFormat="false" ht="34.5" hidden="false" customHeight="true" outlineLevel="0" collapsed="false">
      <c r="A3492" s="10" t="s">
        <v>8192</v>
      </c>
      <c r="B3492" s="10" t="s">
        <v>45</v>
      </c>
      <c r="C3492" s="8" t="s">
        <v>8183</v>
      </c>
      <c r="D3492" s="8" t="s">
        <v>8193</v>
      </c>
      <c r="E3492" s="11" t="n">
        <v>224</v>
      </c>
      <c r="F3492" s="8" t="str">
        <f aca="false">IFERROR(INDEX(Section_Master!$D$2:$D$477,MATCH($E3492,Section_Master!$A$2:$A$477,0))&amp;"","")</f>
        <v>Imprisonment up to 2 years, or fine, or both</v>
      </c>
      <c r="G3492" s="10" t="str">
        <f aca="false">IFERROR(INDEX(Section_Master!$E$2:$E$477,MATCH($E3492,Section_Master!$A$2:$A$477,0))&amp;"","")</f>
        <v>No</v>
      </c>
      <c r="H3492" s="10" t="str">
        <f aca="false">IFERROR(INDEX(Section_Master!$F$2:$F$477,MATCH($E3492,Section_Master!$A$2:$A$477,0))&amp;"","")</f>
        <v>Yes</v>
      </c>
      <c r="I3492" s="10" t="str">
        <f aca="false">IFERROR(INDEX(Section_Master!$G$2:$G$477,MATCH($E3492,Section_Master!$A$2:$A$477,0))&amp;"","")</f>
        <v>No</v>
      </c>
      <c r="J3492" s="10" t="s">
        <v>61</v>
      </c>
      <c r="K3492" s="8" t="s">
        <v>8185</v>
      </c>
    </row>
    <row r="3493" customFormat="false" ht="34.5" hidden="false" customHeight="true" outlineLevel="0" collapsed="false">
      <c r="A3493" s="10" t="s">
        <v>8194</v>
      </c>
      <c r="B3493" s="10" t="s">
        <v>45</v>
      </c>
      <c r="C3493" s="8" t="s">
        <v>8183</v>
      </c>
      <c r="D3493" s="8" t="s">
        <v>8195</v>
      </c>
      <c r="E3493" s="11" t="n">
        <v>224</v>
      </c>
      <c r="F3493" s="8" t="str">
        <f aca="false">IFERROR(INDEX(Section_Master!$D$2:$D$477,MATCH($E3493,Section_Master!$A$2:$A$477,0))&amp;"","")</f>
        <v>Imprisonment up to 2 years, or fine, or both</v>
      </c>
      <c r="G3493" s="10" t="str">
        <f aca="false">IFERROR(INDEX(Section_Master!$E$2:$E$477,MATCH($E3493,Section_Master!$A$2:$A$477,0))&amp;"","")</f>
        <v>No</v>
      </c>
      <c r="H3493" s="10" t="str">
        <f aca="false">IFERROR(INDEX(Section_Master!$F$2:$F$477,MATCH($E3493,Section_Master!$A$2:$A$477,0))&amp;"","")</f>
        <v>Yes</v>
      </c>
      <c r="I3493" s="10" t="str">
        <f aca="false">IFERROR(INDEX(Section_Master!$G$2:$G$477,MATCH($E3493,Section_Master!$A$2:$A$477,0))&amp;"","")</f>
        <v>No</v>
      </c>
      <c r="J3493" s="10" t="s">
        <v>64</v>
      </c>
      <c r="K3493" s="8" t="s">
        <v>8185</v>
      </c>
    </row>
    <row r="3494" customFormat="false" ht="34.5" hidden="false" customHeight="true" outlineLevel="0" collapsed="false">
      <c r="A3494" s="10" t="s">
        <v>8196</v>
      </c>
      <c r="B3494" s="10" t="s">
        <v>45</v>
      </c>
      <c r="C3494" s="8" t="s">
        <v>8197</v>
      </c>
      <c r="D3494" s="8" t="s">
        <v>8198</v>
      </c>
      <c r="E3494" s="11" t="n">
        <v>225</v>
      </c>
      <c r="F3494" s="8" t="str">
        <f aca="false">IFERROR(INDEX(Section_Master!$D$2:$D$477,MATCH($E3494,Section_Master!$A$2:$A$477,0))&amp;"","")</f>
        <v>Imprisonment up to 1 year, or fine, or both</v>
      </c>
      <c r="G3494" s="10" t="str">
        <f aca="false">IFERROR(INDEX(Section_Master!$E$2:$E$477,MATCH($E3494,Section_Master!$A$2:$A$477,0))&amp;"","")</f>
        <v>No</v>
      </c>
      <c r="H3494" s="10" t="str">
        <f aca="false">IFERROR(INDEX(Section_Master!$F$2:$F$477,MATCH($E3494,Section_Master!$A$2:$A$477,0))&amp;"","")</f>
        <v>Yes</v>
      </c>
      <c r="I3494" s="10" t="str">
        <f aca="false">IFERROR(INDEX(Section_Master!$G$2:$G$477,MATCH($E3494,Section_Master!$A$2:$A$477,0))&amp;"","")</f>
        <v>No</v>
      </c>
      <c r="J3494" s="10" t="s">
        <v>48</v>
      </c>
      <c r="K3494" s="8" t="s">
        <v>8199</v>
      </c>
    </row>
    <row r="3495" customFormat="false" ht="34.5" hidden="false" customHeight="true" outlineLevel="0" collapsed="false">
      <c r="A3495" s="10" t="s">
        <v>8200</v>
      </c>
      <c r="B3495" s="10" t="s">
        <v>45</v>
      </c>
      <c r="C3495" s="8" t="s">
        <v>8197</v>
      </c>
      <c r="D3495" s="8" t="s">
        <v>8201</v>
      </c>
      <c r="E3495" s="11" t="n">
        <v>225</v>
      </c>
      <c r="F3495" s="8" t="str">
        <f aca="false">IFERROR(INDEX(Section_Master!$D$2:$D$477,MATCH($E3495,Section_Master!$A$2:$A$477,0))&amp;"","")</f>
        <v>Imprisonment up to 1 year, or fine, or both</v>
      </c>
      <c r="G3495" s="10" t="str">
        <f aca="false">IFERROR(INDEX(Section_Master!$E$2:$E$477,MATCH($E3495,Section_Master!$A$2:$A$477,0))&amp;"","")</f>
        <v>No</v>
      </c>
      <c r="H3495" s="10" t="str">
        <f aca="false">IFERROR(INDEX(Section_Master!$F$2:$F$477,MATCH($E3495,Section_Master!$A$2:$A$477,0))&amp;"","")</f>
        <v>Yes</v>
      </c>
      <c r="I3495" s="10" t="str">
        <f aca="false">IFERROR(INDEX(Section_Master!$G$2:$G$477,MATCH($E3495,Section_Master!$A$2:$A$477,0))&amp;"","")</f>
        <v>No</v>
      </c>
      <c r="J3495" s="10" t="s">
        <v>52</v>
      </c>
      <c r="K3495" s="8" t="s">
        <v>8199</v>
      </c>
    </row>
    <row r="3496" customFormat="false" ht="34.5" hidden="false" customHeight="true" outlineLevel="0" collapsed="false">
      <c r="A3496" s="10" t="s">
        <v>8202</v>
      </c>
      <c r="B3496" s="10" t="s">
        <v>45</v>
      </c>
      <c r="C3496" s="8" t="s">
        <v>8197</v>
      </c>
      <c r="D3496" s="8" t="s">
        <v>8203</v>
      </c>
      <c r="E3496" s="11" t="n">
        <v>225</v>
      </c>
      <c r="F3496" s="8" t="str">
        <f aca="false">IFERROR(INDEX(Section_Master!$D$2:$D$477,MATCH($E3496,Section_Master!$A$2:$A$477,0))&amp;"","")</f>
        <v>Imprisonment up to 1 year, or fine, or both</v>
      </c>
      <c r="G3496" s="10" t="str">
        <f aca="false">IFERROR(INDEX(Section_Master!$E$2:$E$477,MATCH($E3496,Section_Master!$A$2:$A$477,0))&amp;"","")</f>
        <v>No</v>
      </c>
      <c r="H3496" s="10" t="str">
        <f aca="false">IFERROR(INDEX(Section_Master!$F$2:$F$477,MATCH($E3496,Section_Master!$A$2:$A$477,0))&amp;"","")</f>
        <v>Yes</v>
      </c>
      <c r="I3496" s="10" t="str">
        <f aca="false">IFERROR(INDEX(Section_Master!$G$2:$G$477,MATCH($E3496,Section_Master!$A$2:$A$477,0))&amp;"","")</f>
        <v>No</v>
      </c>
      <c r="J3496" s="10" t="s">
        <v>55</v>
      </c>
      <c r="K3496" s="8" t="s">
        <v>8199</v>
      </c>
    </row>
    <row r="3497" customFormat="false" ht="23.25" hidden="false" customHeight="true" outlineLevel="0" collapsed="false">
      <c r="A3497" s="10" t="s">
        <v>8204</v>
      </c>
      <c r="B3497" s="10" t="s">
        <v>45</v>
      </c>
      <c r="C3497" s="8" t="s">
        <v>8197</v>
      </c>
      <c r="D3497" s="8" t="s">
        <v>8205</v>
      </c>
      <c r="E3497" s="11" t="n">
        <v>225</v>
      </c>
      <c r="F3497" s="8" t="str">
        <f aca="false">IFERROR(INDEX(Section_Master!$D$2:$D$477,MATCH($E3497,Section_Master!$A$2:$A$477,0))&amp;"","")</f>
        <v>Imprisonment up to 1 year, or fine, or both</v>
      </c>
      <c r="G3497" s="10" t="str">
        <f aca="false">IFERROR(INDEX(Section_Master!$E$2:$E$477,MATCH($E3497,Section_Master!$A$2:$A$477,0))&amp;"","")</f>
        <v>No</v>
      </c>
      <c r="H3497" s="10" t="str">
        <f aca="false">IFERROR(INDEX(Section_Master!$F$2:$F$477,MATCH($E3497,Section_Master!$A$2:$A$477,0))&amp;"","")</f>
        <v>Yes</v>
      </c>
      <c r="I3497" s="10" t="str">
        <f aca="false">IFERROR(INDEX(Section_Master!$G$2:$G$477,MATCH($E3497,Section_Master!$A$2:$A$477,0))&amp;"","")</f>
        <v>No</v>
      </c>
      <c r="J3497" s="10" t="s">
        <v>58</v>
      </c>
      <c r="K3497" s="8" t="s">
        <v>8199</v>
      </c>
    </row>
    <row r="3498" customFormat="false" ht="23.25" hidden="false" customHeight="true" outlineLevel="0" collapsed="false">
      <c r="A3498" s="10" t="s">
        <v>8206</v>
      </c>
      <c r="B3498" s="10" t="s">
        <v>45</v>
      </c>
      <c r="C3498" s="8" t="s">
        <v>8197</v>
      </c>
      <c r="D3498" s="8" t="s">
        <v>8207</v>
      </c>
      <c r="E3498" s="11" t="n">
        <v>225</v>
      </c>
      <c r="F3498" s="8" t="str">
        <f aca="false">IFERROR(INDEX(Section_Master!$D$2:$D$477,MATCH($E3498,Section_Master!$A$2:$A$477,0))&amp;"","")</f>
        <v>Imprisonment up to 1 year, or fine, or both</v>
      </c>
      <c r="G3498" s="10" t="str">
        <f aca="false">IFERROR(INDEX(Section_Master!$E$2:$E$477,MATCH($E3498,Section_Master!$A$2:$A$477,0))&amp;"","")</f>
        <v>No</v>
      </c>
      <c r="H3498" s="10" t="str">
        <f aca="false">IFERROR(INDEX(Section_Master!$F$2:$F$477,MATCH($E3498,Section_Master!$A$2:$A$477,0))&amp;"","")</f>
        <v>Yes</v>
      </c>
      <c r="I3498" s="10" t="str">
        <f aca="false">IFERROR(INDEX(Section_Master!$G$2:$G$477,MATCH($E3498,Section_Master!$A$2:$A$477,0))&amp;"","")</f>
        <v>No</v>
      </c>
      <c r="J3498" s="10" t="s">
        <v>61</v>
      </c>
      <c r="K3498" s="8" t="s">
        <v>8199</v>
      </c>
    </row>
    <row r="3499" customFormat="false" ht="34.5" hidden="false" customHeight="true" outlineLevel="0" collapsed="false">
      <c r="A3499" s="10" t="s">
        <v>8208</v>
      </c>
      <c r="B3499" s="10" t="s">
        <v>45</v>
      </c>
      <c r="C3499" s="8" t="s">
        <v>8197</v>
      </c>
      <c r="D3499" s="8" t="s">
        <v>8209</v>
      </c>
      <c r="E3499" s="11" t="n">
        <v>225</v>
      </c>
      <c r="F3499" s="8" t="str">
        <f aca="false">IFERROR(INDEX(Section_Master!$D$2:$D$477,MATCH($E3499,Section_Master!$A$2:$A$477,0))&amp;"","")</f>
        <v>Imprisonment up to 1 year, or fine, or both</v>
      </c>
      <c r="G3499" s="10" t="str">
        <f aca="false">IFERROR(INDEX(Section_Master!$E$2:$E$477,MATCH($E3499,Section_Master!$A$2:$A$477,0))&amp;"","")</f>
        <v>No</v>
      </c>
      <c r="H3499" s="10" t="str">
        <f aca="false">IFERROR(INDEX(Section_Master!$F$2:$F$477,MATCH($E3499,Section_Master!$A$2:$A$477,0))&amp;"","")</f>
        <v>Yes</v>
      </c>
      <c r="I3499" s="10" t="str">
        <f aca="false">IFERROR(INDEX(Section_Master!$G$2:$G$477,MATCH($E3499,Section_Master!$A$2:$A$477,0))&amp;"","")</f>
        <v>No</v>
      </c>
      <c r="J3499" s="10" t="s">
        <v>64</v>
      </c>
      <c r="K3499" s="8" t="s">
        <v>8199</v>
      </c>
    </row>
    <row r="3500" customFormat="false" ht="23.25" hidden="false" customHeight="true" outlineLevel="0" collapsed="false">
      <c r="A3500" s="10" t="s">
        <v>8210</v>
      </c>
      <c r="B3500" s="10" t="s">
        <v>45</v>
      </c>
      <c r="C3500" s="8" t="s">
        <v>8211</v>
      </c>
      <c r="D3500" s="8" t="s">
        <v>8212</v>
      </c>
      <c r="E3500" s="11" t="n">
        <v>226</v>
      </c>
      <c r="F3500" s="8" t="str">
        <f aca="false">IFERROR(INDEX(Section_Master!$D$2:$D$477,MATCH($E3500,Section_Master!$A$2:$A$477,0))&amp;"","")</f>
        <v>Imprisonment up to 1 year, or fine, or both, or community service</v>
      </c>
      <c r="G3500" s="10" t="str">
        <f aca="false">IFERROR(INDEX(Section_Master!$E$2:$E$477,MATCH($E3500,Section_Master!$A$2:$A$477,0))&amp;"","")</f>
        <v>Yes</v>
      </c>
      <c r="H3500" s="10" t="str">
        <f aca="false">IFERROR(INDEX(Section_Master!$F$2:$F$477,MATCH($E3500,Section_Master!$A$2:$A$477,0))&amp;"","")</f>
        <v>Yes</v>
      </c>
      <c r="I3500" s="10" t="str">
        <f aca="false">IFERROR(INDEX(Section_Master!$G$2:$G$477,MATCH($E3500,Section_Master!$A$2:$A$477,0))&amp;"","")</f>
        <v>No</v>
      </c>
      <c r="J3500" s="10" t="s">
        <v>48</v>
      </c>
      <c r="K3500" s="8" t="s">
        <v>8213</v>
      </c>
    </row>
    <row r="3501" customFormat="false" ht="34.5" hidden="false" customHeight="true" outlineLevel="0" collapsed="false">
      <c r="A3501" s="10" t="s">
        <v>8214</v>
      </c>
      <c r="B3501" s="10" t="s">
        <v>45</v>
      </c>
      <c r="C3501" s="8" t="s">
        <v>8211</v>
      </c>
      <c r="D3501" s="8" t="s">
        <v>8215</v>
      </c>
      <c r="E3501" s="11" t="n">
        <v>226</v>
      </c>
      <c r="F3501" s="8" t="str">
        <f aca="false">IFERROR(INDEX(Section_Master!$D$2:$D$477,MATCH($E3501,Section_Master!$A$2:$A$477,0))&amp;"","")</f>
        <v>Imprisonment up to 1 year, or fine, or both, or community service</v>
      </c>
      <c r="G3501" s="10" t="str">
        <f aca="false">IFERROR(INDEX(Section_Master!$E$2:$E$477,MATCH($E3501,Section_Master!$A$2:$A$477,0))&amp;"","")</f>
        <v>Yes</v>
      </c>
      <c r="H3501" s="10" t="str">
        <f aca="false">IFERROR(INDEX(Section_Master!$F$2:$F$477,MATCH($E3501,Section_Master!$A$2:$A$477,0))&amp;"","")</f>
        <v>Yes</v>
      </c>
      <c r="I3501" s="10" t="str">
        <f aca="false">IFERROR(INDEX(Section_Master!$G$2:$G$477,MATCH($E3501,Section_Master!$A$2:$A$477,0))&amp;"","")</f>
        <v>No</v>
      </c>
      <c r="J3501" s="10" t="s">
        <v>52</v>
      </c>
      <c r="K3501" s="8" t="s">
        <v>8213</v>
      </c>
    </row>
    <row r="3502" customFormat="false" ht="34.5" hidden="false" customHeight="true" outlineLevel="0" collapsed="false">
      <c r="A3502" s="10" t="s">
        <v>8216</v>
      </c>
      <c r="B3502" s="10" t="s">
        <v>45</v>
      </c>
      <c r="C3502" s="8" t="s">
        <v>8211</v>
      </c>
      <c r="D3502" s="8" t="s">
        <v>8217</v>
      </c>
      <c r="E3502" s="11" t="n">
        <v>226</v>
      </c>
      <c r="F3502" s="8" t="str">
        <f aca="false">IFERROR(INDEX(Section_Master!$D$2:$D$477,MATCH($E3502,Section_Master!$A$2:$A$477,0))&amp;"","")</f>
        <v>Imprisonment up to 1 year, or fine, or both, or community service</v>
      </c>
      <c r="G3502" s="10" t="str">
        <f aca="false">IFERROR(INDEX(Section_Master!$E$2:$E$477,MATCH($E3502,Section_Master!$A$2:$A$477,0))&amp;"","")</f>
        <v>Yes</v>
      </c>
      <c r="H3502" s="10" t="str">
        <f aca="false">IFERROR(INDEX(Section_Master!$F$2:$F$477,MATCH($E3502,Section_Master!$A$2:$A$477,0))&amp;"","")</f>
        <v>Yes</v>
      </c>
      <c r="I3502" s="10" t="str">
        <f aca="false">IFERROR(INDEX(Section_Master!$G$2:$G$477,MATCH($E3502,Section_Master!$A$2:$A$477,0))&amp;"","")</f>
        <v>No</v>
      </c>
      <c r="J3502" s="10" t="s">
        <v>55</v>
      </c>
      <c r="K3502" s="8" t="s">
        <v>8213</v>
      </c>
    </row>
    <row r="3503" customFormat="false" ht="23.25" hidden="false" customHeight="true" outlineLevel="0" collapsed="false">
      <c r="A3503" s="10" t="s">
        <v>8218</v>
      </c>
      <c r="B3503" s="10" t="s">
        <v>45</v>
      </c>
      <c r="C3503" s="8" t="s">
        <v>8211</v>
      </c>
      <c r="D3503" s="8" t="s">
        <v>8219</v>
      </c>
      <c r="E3503" s="11" t="n">
        <v>226</v>
      </c>
      <c r="F3503" s="8" t="str">
        <f aca="false">IFERROR(INDEX(Section_Master!$D$2:$D$477,MATCH($E3503,Section_Master!$A$2:$A$477,0))&amp;"","")</f>
        <v>Imprisonment up to 1 year, or fine, or both, or community service</v>
      </c>
      <c r="G3503" s="10" t="str">
        <f aca="false">IFERROR(INDEX(Section_Master!$E$2:$E$477,MATCH($E3503,Section_Master!$A$2:$A$477,0))&amp;"","")</f>
        <v>Yes</v>
      </c>
      <c r="H3503" s="10" t="str">
        <f aca="false">IFERROR(INDEX(Section_Master!$F$2:$F$477,MATCH($E3503,Section_Master!$A$2:$A$477,0))&amp;"","")</f>
        <v>Yes</v>
      </c>
      <c r="I3503" s="10" t="str">
        <f aca="false">IFERROR(INDEX(Section_Master!$G$2:$G$477,MATCH($E3503,Section_Master!$A$2:$A$477,0))&amp;"","")</f>
        <v>No</v>
      </c>
      <c r="J3503" s="10" t="s">
        <v>58</v>
      </c>
      <c r="K3503" s="8" t="s">
        <v>8213</v>
      </c>
    </row>
    <row r="3504" customFormat="false" ht="34.5" hidden="false" customHeight="true" outlineLevel="0" collapsed="false">
      <c r="A3504" s="10" t="s">
        <v>8220</v>
      </c>
      <c r="B3504" s="10" t="s">
        <v>45</v>
      </c>
      <c r="C3504" s="8" t="s">
        <v>8211</v>
      </c>
      <c r="D3504" s="8" t="s">
        <v>8221</v>
      </c>
      <c r="E3504" s="11" t="n">
        <v>226</v>
      </c>
      <c r="F3504" s="8" t="str">
        <f aca="false">IFERROR(INDEX(Section_Master!$D$2:$D$477,MATCH($E3504,Section_Master!$A$2:$A$477,0))&amp;"","")</f>
        <v>Imprisonment up to 1 year, or fine, or both, or community service</v>
      </c>
      <c r="G3504" s="10" t="str">
        <f aca="false">IFERROR(INDEX(Section_Master!$E$2:$E$477,MATCH($E3504,Section_Master!$A$2:$A$477,0))&amp;"","")</f>
        <v>Yes</v>
      </c>
      <c r="H3504" s="10" t="str">
        <f aca="false">IFERROR(INDEX(Section_Master!$F$2:$F$477,MATCH($E3504,Section_Master!$A$2:$A$477,0))&amp;"","")</f>
        <v>Yes</v>
      </c>
      <c r="I3504" s="10" t="str">
        <f aca="false">IFERROR(INDEX(Section_Master!$G$2:$G$477,MATCH($E3504,Section_Master!$A$2:$A$477,0))&amp;"","")</f>
        <v>No</v>
      </c>
      <c r="J3504" s="10" t="s">
        <v>61</v>
      </c>
      <c r="K3504" s="8" t="s">
        <v>8213</v>
      </c>
    </row>
    <row r="3505" customFormat="false" ht="34.5" hidden="false" customHeight="true" outlineLevel="0" collapsed="false">
      <c r="A3505" s="10" t="s">
        <v>8222</v>
      </c>
      <c r="B3505" s="10" t="s">
        <v>45</v>
      </c>
      <c r="C3505" s="8" t="s">
        <v>8211</v>
      </c>
      <c r="D3505" s="8" t="s">
        <v>8223</v>
      </c>
      <c r="E3505" s="11" t="n">
        <v>226</v>
      </c>
      <c r="F3505" s="8" t="str">
        <f aca="false">IFERROR(INDEX(Section_Master!$D$2:$D$477,MATCH($E3505,Section_Master!$A$2:$A$477,0))&amp;"","")</f>
        <v>Imprisonment up to 1 year, or fine, or both, or community service</v>
      </c>
      <c r="G3505" s="10" t="str">
        <f aca="false">IFERROR(INDEX(Section_Master!$E$2:$E$477,MATCH($E3505,Section_Master!$A$2:$A$477,0))&amp;"","")</f>
        <v>Yes</v>
      </c>
      <c r="H3505" s="10" t="str">
        <f aca="false">IFERROR(INDEX(Section_Master!$F$2:$F$477,MATCH($E3505,Section_Master!$A$2:$A$477,0))&amp;"","")</f>
        <v>Yes</v>
      </c>
      <c r="I3505" s="10" t="str">
        <f aca="false">IFERROR(INDEX(Section_Master!$G$2:$G$477,MATCH($E3505,Section_Master!$A$2:$A$477,0))&amp;"","")</f>
        <v>No</v>
      </c>
      <c r="J3505" s="10" t="s">
        <v>64</v>
      </c>
      <c r="K3505" s="8" t="s">
        <v>8213</v>
      </c>
    </row>
    <row r="3506" customFormat="false" ht="23.25" hidden="false" customHeight="true" outlineLevel="0" collapsed="false">
      <c r="A3506" s="10" t="s">
        <v>8224</v>
      </c>
      <c r="B3506" s="10" t="s">
        <v>45</v>
      </c>
      <c r="C3506" s="8" t="s">
        <v>8225</v>
      </c>
      <c r="D3506" s="8" t="s">
        <v>8226</v>
      </c>
      <c r="E3506" s="11" t="n">
        <v>227</v>
      </c>
      <c r="F3506" s="8" t="str">
        <f aca="false">IFERROR(INDEX(Section_Master!$D$2:$D$477,MATCH($E3506,Section_Master!$A$2:$A$477,0))&amp;"","")</f>
        <v>Not applicable - no offence or penalty defined here (definition, exception or general provision)</v>
      </c>
      <c r="G3506" s="10" t="str">
        <f aca="false">IFERROR(INDEX(Section_Master!$E$2:$E$477,MATCH($E3506,Section_Master!$A$2:$A$477,0))&amp;"","")</f>
        <v>N/A</v>
      </c>
      <c r="H3506" s="10" t="str">
        <f aca="false">IFERROR(INDEX(Section_Master!$F$2:$F$477,MATCH($E3506,Section_Master!$A$2:$A$477,0))&amp;"","")</f>
        <v>N/A</v>
      </c>
      <c r="I3506" s="10" t="str">
        <f aca="false">IFERROR(INDEX(Section_Master!$G$2:$G$477,MATCH($E3506,Section_Master!$A$2:$A$477,0))&amp;"","")</f>
        <v>N/A</v>
      </c>
      <c r="J3506" s="10" t="s">
        <v>48</v>
      </c>
      <c r="K3506" s="8" t="s">
        <v>8227</v>
      </c>
    </row>
    <row r="3507" customFormat="false" ht="34.5" hidden="false" customHeight="true" outlineLevel="0" collapsed="false">
      <c r="A3507" s="10" t="s">
        <v>8228</v>
      </c>
      <c r="B3507" s="10" t="s">
        <v>45</v>
      </c>
      <c r="C3507" s="8" t="s">
        <v>8225</v>
      </c>
      <c r="D3507" s="8" t="s">
        <v>8229</v>
      </c>
      <c r="E3507" s="11" t="n">
        <v>227</v>
      </c>
      <c r="F3507" s="8" t="str">
        <f aca="false">IFERROR(INDEX(Section_Master!$D$2:$D$477,MATCH($E3507,Section_Master!$A$2:$A$477,0))&amp;"","")</f>
        <v>Not applicable - no offence or penalty defined here (definition, exception or general provision)</v>
      </c>
      <c r="G3507" s="10" t="str">
        <f aca="false">IFERROR(INDEX(Section_Master!$E$2:$E$477,MATCH($E3507,Section_Master!$A$2:$A$477,0))&amp;"","")</f>
        <v>N/A</v>
      </c>
      <c r="H3507" s="10" t="str">
        <f aca="false">IFERROR(INDEX(Section_Master!$F$2:$F$477,MATCH($E3507,Section_Master!$A$2:$A$477,0))&amp;"","")</f>
        <v>N/A</v>
      </c>
      <c r="I3507" s="10" t="str">
        <f aca="false">IFERROR(INDEX(Section_Master!$G$2:$G$477,MATCH($E3507,Section_Master!$A$2:$A$477,0))&amp;"","")</f>
        <v>N/A</v>
      </c>
      <c r="J3507" s="10" t="s">
        <v>52</v>
      </c>
      <c r="K3507" s="8" t="s">
        <v>8227</v>
      </c>
    </row>
    <row r="3508" customFormat="false" ht="34.5" hidden="false" customHeight="true" outlineLevel="0" collapsed="false">
      <c r="A3508" s="10" t="s">
        <v>8230</v>
      </c>
      <c r="B3508" s="10" t="s">
        <v>45</v>
      </c>
      <c r="C3508" s="8" t="s">
        <v>8225</v>
      </c>
      <c r="D3508" s="8" t="s">
        <v>8231</v>
      </c>
      <c r="E3508" s="11" t="n">
        <v>227</v>
      </c>
      <c r="F3508" s="8" t="str">
        <f aca="false">IFERROR(INDEX(Section_Master!$D$2:$D$477,MATCH($E3508,Section_Master!$A$2:$A$477,0))&amp;"","")</f>
        <v>Not applicable - no offence or penalty defined here (definition, exception or general provision)</v>
      </c>
      <c r="G3508" s="10" t="str">
        <f aca="false">IFERROR(INDEX(Section_Master!$E$2:$E$477,MATCH($E3508,Section_Master!$A$2:$A$477,0))&amp;"","")</f>
        <v>N/A</v>
      </c>
      <c r="H3508" s="10" t="str">
        <f aca="false">IFERROR(INDEX(Section_Master!$F$2:$F$477,MATCH($E3508,Section_Master!$A$2:$A$477,0))&amp;"","")</f>
        <v>N/A</v>
      </c>
      <c r="I3508" s="10" t="str">
        <f aca="false">IFERROR(INDEX(Section_Master!$G$2:$G$477,MATCH($E3508,Section_Master!$A$2:$A$477,0))&amp;"","")</f>
        <v>N/A</v>
      </c>
      <c r="J3508" s="10" t="s">
        <v>55</v>
      </c>
      <c r="K3508" s="8" t="s">
        <v>8227</v>
      </c>
    </row>
    <row r="3509" customFormat="false" ht="23.25" hidden="false" customHeight="true" outlineLevel="0" collapsed="false">
      <c r="A3509" s="10" t="s">
        <v>8232</v>
      </c>
      <c r="B3509" s="10" t="s">
        <v>45</v>
      </c>
      <c r="C3509" s="8" t="s">
        <v>8225</v>
      </c>
      <c r="D3509" s="8" t="s">
        <v>8233</v>
      </c>
      <c r="E3509" s="11" t="n">
        <v>227</v>
      </c>
      <c r="F3509" s="8" t="str">
        <f aca="false">IFERROR(INDEX(Section_Master!$D$2:$D$477,MATCH($E3509,Section_Master!$A$2:$A$477,0))&amp;"","")</f>
        <v>Not applicable - no offence or penalty defined here (definition, exception or general provision)</v>
      </c>
      <c r="G3509" s="10" t="str">
        <f aca="false">IFERROR(INDEX(Section_Master!$E$2:$E$477,MATCH($E3509,Section_Master!$A$2:$A$477,0))&amp;"","")</f>
        <v>N/A</v>
      </c>
      <c r="H3509" s="10" t="str">
        <f aca="false">IFERROR(INDEX(Section_Master!$F$2:$F$477,MATCH($E3509,Section_Master!$A$2:$A$477,0))&amp;"","")</f>
        <v>N/A</v>
      </c>
      <c r="I3509" s="10" t="str">
        <f aca="false">IFERROR(INDEX(Section_Master!$G$2:$G$477,MATCH($E3509,Section_Master!$A$2:$A$477,0))&amp;"","")</f>
        <v>N/A</v>
      </c>
      <c r="J3509" s="10" t="s">
        <v>58</v>
      </c>
      <c r="K3509" s="8" t="s">
        <v>8227</v>
      </c>
    </row>
    <row r="3510" customFormat="false" ht="23.25" hidden="false" customHeight="true" outlineLevel="0" collapsed="false">
      <c r="A3510" s="10" t="s">
        <v>8234</v>
      </c>
      <c r="B3510" s="10" t="s">
        <v>45</v>
      </c>
      <c r="C3510" s="8" t="s">
        <v>8225</v>
      </c>
      <c r="D3510" s="8" t="s">
        <v>8235</v>
      </c>
      <c r="E3510" s="11" t="n">
        <v>227</v>
      </c>
      <c r="F3510" s="8" t="str">
        <f aca="false">IFERROR(INDEX(Section_Master!$D$2:$D$477,MATCH($E3510,Section_Master!$A$2:$A$477,0))&amp;"","")</f>
        <v>Not applicable - no offence or penalty defined here (definition, exception or general provision)</v>
      </c>
      <c r="G3510" s="10" t="str">
        <f aca="false">IFERROR(INDEX(Section_Master!$E$2:$E$477,MATCH($E3510,Section_Master!$A$2:$A$477,0))&amp;"","")</f>
        <v>N/A</v>
      </c>
      <c r="H3510" s="10" t="str">
        <f aca="false">IFERROR(INDEX(Section_Master!$F$2:$F$477,MATCH($E3510,Section_Master!$A$2:$A$477,0))&amp;"","")</f>
        <v>N/A</v>
      </c>
      <c r="I3510" s="10" t="str">
        <f aca="false">IFERROR(INDEX(Section_Master!$G$2:$G$477,MATCH($E3510,Section_Master!$A$2:$A$477,0))&amp;"","")</f>
        <v>N/A</v>
      </c>
      <c r="J3510" s="10" t="s">
        <v>61</v>
      </c>
      <c r="K3510" s="8" t="s">
        <v>8227</v>
      </c>
    </row>
    <row r="3511" customFormat="false" ht="23.25" hidden="false" customHeight="true" outlineLevel="0" collapsed="false">
      <c r="A3511" s="10" t="s">
        <v>8236</v>
      </c>
      <c r="B3511" s="10" t="s">
        <v>45</v>
      </c>
      <c r="C3511" s="8" t="s">
        <v>8225</v>
      </c>
      <c r="D3511" s="8" t="s">
        <v>8237</v>
      </c>
      <c r="E3511" s="11" t="n">
        <v>227</v>
      </c>
      <c r="F3511" s="8" t="str">
        <f aca="false">IFERROR(INDEX(Section_Master!$D$2:$D$477,MATCH($E3511,Section_Master!$A$2:$A$477,0))&amp;"","")</f>
        <v>Not applicable - no offence or penalty defined here (definition, exception or general provision)</v>
      </c>
      <c r="G3511" s="10" t="str">
        <f aca="false">IFERROR(INDEX(Section_Master!$E$2:$E$477,MATCH($E3511,Section_Master!$A$2:$A$477,0))&amp;"","")</f>
        <v>N/A</v>
      </c>
      <c r="H3511" s="10" t="str">
        <f aca="false">IFERROR(INDEX(Section_Master!$F$2:$F$477,MATCH($E3511,Section_Master!$A$2:$A$477,0))&amp;"","")</f>
        <v>N/A</v>
      </c>
      <c r="I3511" s="10" t="str">
        <f aca="false">IFERROR(INDEX(Section_Master!$G$2:$G$477,MATCH($E3511,Section_Master!$A$2:$A$477,0))&amp;"","")</f>
        <v>N/A</v>
      </c>
      <c r="J3511" s="10" t="s">
        <v>64</v>
      </c>
      <c r="K3511" s="8" t="s">
        <v>8227</v>
      </c>
    </row>
    <row r="3512" customFormat="false" ht="23.25" hidden="false" customHeight="true" outlineLevel="0" collapsed="false">
      <c r="A3512" s="10" t="s">
        <v>8238</v>
      </c>
      <c r="B3512" s="10" t="s">
        <v>45</v>
      </c>
      <c r="C3512" s="8" t="s">
        <v>8239</v>
      </c>
      <c r="D3512" s="8" t="s">
        <v>8240</v>
      </c>
      <c r="E3512" s="11" t="n">
        <v>228</v>
      </c>
      <c r="F3512" s="8" t="str">
        <f aca="false">IFERROR(INDEX(Section_Master!$D$2:$D$477,MATCH($E3512,Section_Master!$A$2:$A$477,0))&amp;"","")</f>
        <v>Not applicable - no offence or penalty defined here (definition, exception or general provision)</v>
      </c>
      <c r="G3512" s="10" t="str">
        <f aca="false">IFERROR(INDEX(Section_Master!$E$2:$E$477,MATCH($E3512,Section_Master!$A$2:$A$477,0))&amp;"","")</f>
        <v>N/A</v>
      </c>
      <c r="H3512" s="10" t="str">
        <f aca="false">IFERROR(INDEX(Section_Master!$F$2:$F$477,MATCH($E3512,Section_Master!$A$2:$A$477,0))&amp;"","")</f>
        <v>N/A</v>
      </c>
      <c r="I3512" s="10" t="str">
        <f aca="false">IFERROR(INDEX(Section_Master!$G$2:$G$477,MATCH($E3512,Section_Master!$A$2:$A$477,0))&amp;"","")</f>
        <v>N/A</v>
      </c>
      <c r="J3512" s="10" t="s">
        <v>48</v>
      </c>
      <c r="K3512" s="8" t="s">
        <v>8241</v>
      </c>
    </row>
    <row r="3513" customFormat="false" ht="34.5" hidden="false" customHeight="true" outlineLevel="0" collapsed="false">
      <c r="A3513" s="10" t="s">
        <v>8242</v>
      </c>
      <c r="B3513" s="10" t="s">
        <v>45</v>
      </c>
      <c r="C3513" s="8" t="s">
        <v>8239</v>
      </c>
      <c r="D3513" s="8" t="s">
        <v>8243</v>
      </c>
      <c r="E3513" s="11" t="n">
        <v>228</v>
      </c>
      <c r="F3513" s="8" t="str">
        <f aca="false">IFERROR(INDEX(Section_Master!$D$2:$D$477,MATCH($E3513,Section_Master!$A$2:$A$477,0))&amp;"","")</f>
        <v>Not applicable - no offence or penalty defined here (definition, exception or general provision)</v>
      </c>
      <c r="G3513" s="10" t="str">
        <f aca="false">IFERROR(INDEX(Section_Master!$E$2:$E$477,MATCH($E3513,Section_Master!$A$2:$A$477,0))&amp;"","")</f>
        <v>N/A</v>
      </c>
      <c r="H3513" s="10" t="str">
        <f aca="false">IFERROR(INDEX(Section_Master!$F$2:$F$477,MATCH($E3513,Section_Master!$A$2:$A$477,0))&amp;"","")</f>
        <v>N/A</v>
      </c>
      <c r="I3513" s="10" t="str">
        <f aca="false">IFERROR(INDEX(Section_Master!$G$2:$G$477,MATCH($E3513,Section_Master!$A$2:$A$477,0))&amp;"","")</f>
        <v>N/A</v>
      </c>
      <c r="J3513" s="10" t="s">
        <v>52</v>
      </c>
      <c r="K3513" s="8" t="s">
        <v>8241</v>
      </c>
    </row>
    <row r="3514" customFormat="false" ht="34.5" hidden="false" customHeight="true" outlineLevel="0" collapsed="false">
      <c r="A3514" s="10" t="s">
        <v>8244</v>
      </c>
      <c r="B3514" s="10" t="s">
        <v>45</v>
      </c>
      <c r="C3514" s="8" t="s">
        <v>8239</v>
      </c>
      <c r="D3514" s="8" t="s">
        <v>8245</v>
      </c>
      <c r="E3514" s="11" t="n">
        <v>228</v>
      </c>
      <c r="F3514" s="8" t="str">
        <f aca="false">IFERROR(INDEX(Section_Master!$D$2:$D$477,MATCH($E3514,Section_Master!$A$2:$A$477,0))&amp;"","")</f>
        <v>Not applicable - no offence or penalty defined here (definition, exception or general provision)</v>
      </c>
      <c r="G3514" s="10" t="str">
        <f aca="false">IFERROR(INDEX(Section_Master!$E$2:$E$477,MATCH($E3514,Section_Master!$A$2:$A$477,0))&amp;"","")</f>
        <v>N/A</v>
      </c>
      <c r="H3514" s="10" t="str">
        <f aca="false">IFERROR(INDEX(Section_Master!$F$2:$F$477,MATCH($E3514,Section_Master!$A$2:$A$477,0))&amp;"","")</f>
        <v>N/A</v>
      </c>
      <c r="I3514" s="10" t="str">
        <f aca="false">IFERROR(INDEX(Section_Master!$G$2:$G$477,MATCH($E3514,Section_Master!$A$2:$A$477,0))&amp;"","")</f>
        <v>N/A</v>
      </c>
      <c r="J3514" s="10" t="s">
        <v>55</v>
      </c>
      <c r="K3514" s="8" t="s">
        <v>8241</v>
      </c>
    </row>
    <row r="3515" customFormat="false" ht="23.25" hidden="false" customHeight="true" outlineLevel="0" collapsed="false">
      <c r="A3515" s="10" t="s">
        <v>8246</v>
      </c>
      <c r="B3515" s="10" t="s">
        <v>45</v>
      </c>
      <c r="C3515" s="8" t="s">
        <v>8239</v>
      </c>
      <c r="D3515" s="8" t="s">
        <v>8247</v>
      </c>
      <c r="E3515" s="11" t="n">
        <v>228</v>
      </c>
      <c r="F3515" s="8" t="str">
        <f aca="false">IFERROR(INDEX(Section_Master!$D$2:$D$477,MATCH($E3515,Section_Master!$A$2:$A$477,0))&amp;"","")</f>
        <v>Not applicable - no offence or penalty defined here (definition, exception or general provision)</v>
      </c>
      <c r="G3515" s="10" t="str">
        <f aca="false">IFERROR(INDEX(Section_Master!$E$2:$E$477,MATCH($E3515,Section_Master!$A$2:$A$477,0))&amp;"","")</f>
        <v>N/A</v>
      </c>
      <c r="H3515" s="10" t="str">
        <f aca="false">IFERROR(INDEX(Section_Master!$F$2:$F$477,MATCH($E3515,Section_Master!$A$2:$A$477,0))&amp;"","")</f>
        <v>N/A</v>
      </c>
      <c r="I3515" s="10" t="str">
        <f aca="false">IFERROR(INDEX(Section_Master!$G$2:$G$477,MATCH($E3515,Section_Master!$A$2:$A$477,0))&amp;"","")</f>
        <v>N/A</v>
      </c>
      <c r="J3515" s="10" t="s">
        <v>58</v>
      </c>
      <c r="K3515" s="8" t="s">
        <v>8241</v>
      </c>
    </row>
    <row r="3516" customFormat="false" ht="23.25" hidden="false" customHeight="true" outlineLevel="0" collapsed="false">
      <c r="A3516" s="10" t="s">
        <v>8248</v>
      </c>
      <c r="B3516" s="10" t="s">
        <v>45</v>
      </c>
      <c r="C3516" s="8" t="s">
        <v>8239</v>
      </c>
      <c r="D3516" s="8" t="s">
        <v>8249</v>
      </c>
      <c r="E3516" s="11" t="n">
        <v>228</v>
      </c>
      <c r="F3516" s="8" t="str">
        <f aca="false">IFERROR(INDEX(Section_Master!$D$2:$D$477,MATCH($E3516,Section_Master!$A$2:$A$477,0))&amp;"","")</f>
        <v>Not applicable - no offence or penalty defined here (definition, exception or general provision)</v>
      </c>
      <c r="G3516" s="10" t="str">
        <f aca="false">IFERROR(INDEX(Section_Master!$E$2:$E$477,MATCH($E3516,Section_Master!$A$2:$A$477,0))&amp;"","")</f>
        <v>N/A</v>
      </c>
      <c r="H3516" s="10" t="str">
        <f aca="false">IFERROR(INDEX(Section_Master!$F$2:$F$477,MATCH($E3516,Section_Master!$A$2:$A$477,0))&amp;"","")</f>
        <v>N/A</v>
      </c>
      <c r="I3516" s="10" t="str">
        <f aca="false">IFERROR(INDEX(Section_Master!$G$2:$G$477,MATCH($E3516,Section_Master!$A$2:$A$477,0))&amp;"","")</f>
        <v>N/A</v>
      </c>
      <c r="J3516" s="10" t="s">
        <v>61</v>
      </c>
      <c r="K3516" s="8" t="s">
        <v>8241</v>
      </c>
    </row>
    <row r="3517" customFormat="false" ht="34.5" hidden="false" customHeight="true" outlineLevel="0" collapsed="false">
      <c r="A3517" s="10" t="s">
        <v>8250</v>
      </c>
      <c r="B3517" s="10" t="s">
        <v>45</v>
      </c>
      <c r="C3517" s="8" t="s">
        <v>8239</v>
      </c>
      <c r="D3517" s="8" t="s">
        <v>8251</v>
      </c>
      <c r="E3517" s="11" t="n">
        <v>228</v>
      </c>
      <c r="F3517" s="8" t="str">
        <f aca="false">IFERROR(INDEX(Section_Master!$D$2:$D$477,MATCH($E3517,Section_Master!$A$2:$A$477,0))&amp;"","")</f>
        <v>Not applicable - no offence or penalty defined here (definition, exception or general provision)</v>
      </c>
      <c r="G3517" s="10" t="str">
        <f aca="false">IFERROR(INDEX(Section_Master!$E$2:$E$477,MATCH($E3517,Section_Master!$A$2:$A$477,0))&amp;"","")</f>
        <v>N/A</v>
      </c>
      <c r="H3517" s="10" t="str">
        <f aca="false">IFERROR(INDEX(Section_Master!$F$2:$F$477,MATCH($E3517,Section_Master!$A$2:$A$477,0))&amp;"","")</f>
        <v>N/A</v>
      </c>
      <c r="I3517" s="10" t="str">
        <f aca="false">IFERROR(INDEX(Section_Master!$G$2:$G$477,MATCH($E3517,Section_Master!$A$2:$A$477,0))&amp;"","")</f>
        <v>N/A</v>
      </c>
      <c r="J3517" s="10" t="s">
        <v>64</v>
      </c>
      <c r="K3517" s="8" t="s">
        <v>8241</v>
      </c>
    </row>
    <row r="3518" customFormat="false" ht="34.5" hidden="false" customHeight="true" outlineLevel="0" collapsed="false">
      <c r="A3518" s="10" t="s">
        <v>8252</v>
      </c>
      <c r="B3518" s="10" t="s">
        <v>45</v>
      </c>
      <c r="C3518" s="8" t="s">
        <v>8253</v>
      </c>
      <c r="D3518" s="8" t="s">
        <v>8254</v>
      </c>
      <c r="E3518" s="11" t="n">
        <v>229</v>
      </c>
      <c r="F3518" s="8" t="str">
        <f aca="false">IFERROR(INDEX(Section_Master!$D$2:$D$477,MATCH($E3518,Section_Master!$A$2:$A$477,0))&amp;"","")</f>
        <v>Imprisonment up to 7 years and fine [s.229(1)]</v>
      </c>
      <c r="G3518" s="10" t="str">
        <f aca="false">IFERROR(INDEX(Section_Master!$E$2:$E$477,MATCH($E3518,Section_Master!$A$2:$A$477,0))&amp;"","")</f>
        <v>No</v>
      </c>
      <c r="H3518" s="10" t="str">
        <f aca="false">IFERROR(INDEX(Section_Master!$F$2:$F$477,MATCH($E3518,Section_Master!$A$2:$A$477,0))&amp;"","")</f>
        <v>Yes</v>
      </c>
      <c r="I3518" s="10" t="str">
        <f aca="false">IFERROR(INDEX(Section_Master!$G$2:$G$477,MATCH($E3518,Section_Master!$A$2:$A$477,0))&amp;"","")</f>
        <v>No</v>
      </c>
      <c r="J3518" s="10" t="s">
        <v>48</v>
      </c>
      <c r="K3518" s="8" t="s">
        <v>8255</v>
      </c>
    </row>
    <row r="3519" customFormat="false" ht="34.5" hidden="false" customHeight="true" outlineLevel="0" collapsed="false">
      <c r="A3519" s="10" t="s">
        <v>8256</v>
      </c>
      <c r="B3519" s="10" t="s">
        <v>45</v>
      </c>
      <c r="C3519" s="8" t="s">
        <v>8253</v>
      </c>
      <c r="D3519" s="8" t="s">
        <v>8257</v>
      </c>
      <c r="E3519" s="11" t="n">
        <v>229</v>
      </c>
      <c r="F3519" s="8" t="str">
        <f aca="false">IFERROR(INDEX(Section_Master!$D$2:$D$477,MATCH($E3519,Section_Master!$A$2:$A$477,0))&amp;"","")</f>
        <v>Imprisonment up to 7 years and fine [s.229(1)]</v>
      </c>
      <c r="G3519" s="10" t="str">
        <f aca="false">IFERROR(INDEX(Section_Master!$E$2:$E$477,MATCH($E3519,Section_Master!$A$2:$A$477,0))&amp;"","")</f>
        <v>No</v>
      </c>
      <c r="H3519" s="10" t="str">
        <f aca="false">IFERROR(INDEX(Section_Master!$F$2:$F$477,MATCH($E3519,Section_Master!$A$2:$A$477,0))&amp;"","")</f>
        <v>Yes</v>
      </c>
      <c r="I3519" s="10" t="str">
        <f aca="false">IFERROR(INDEX(Section_Master!$G$2:$G$477,MATCH($E3519,Section_Master!$A$2:$A$477,0))&amp;"","")</f>
        <v>No</v>
      </c>
      <c r="J3519" s="10" t="s">
        <v>52</v>
      </c>
      <c r="K3519" s="8" t="s">
        <v>8255</v>
      </c>
    </row>
    <row r="3520" customFormat="false" ht="34.5" hidden="false" customHeight="true" outlineLevel="0" collapsed="false">
      <c r="A3520" s="10" t="s">
        <v>8258</v>
      </c>
      <c r="B3520" s="10" t="s">
        <v>45</v>
      </c>
      <c r="C3520" s="8" t="s">
        <v>8253</v>
      </c>
      <c r="D3520" s="8" t="s">
        <v>8259</v>
      </c>
      <c r="E3520" s="11" t="n">
        <v>229</v>
      </c>
      <c r="F3520" s="8" t="str">
        <f aca="false">IFERROR(INDEX(Section_Master!$D$2:$D$477,MATCH($E3520,Section_Master!$A$2:$A$477,0))&amp;"","")</f>
        <v>Imprisonment up to 7 years and fine [s.229(1)]</v>
      </c>
      <c r="G3520" s="10" t="str">
        <f aca="false">IFERROR(INDEX(Section_Master!$E$2:$E$477,MATCH($E3520,Section_Master!$A$2:$A$477,0))&amp;"","")</f>
        <v>No</v>
      </c>
      <c r="H3520" s="10" t="str">
        <f aca="false">IFERROR(INDEX(Section_Master!$F$2:$F$477,MATCH($E3520,Section_Master!$A$2:$A$477,0))&amp;"","")</f>
        <v>Yes</v>
      </c>
      <c r="I3520" s="10" t="str">
        <f aca="false">IFERROR(INDEX(Section_Master!$G$2:$G$477,MATCH($E3520,Section_Master!$A$2:$A$477,0))&amp;"","")</f>
        <v>No</v>
      </c>
      <c r="J3520" s="10" t="s">
        <v>55</v>
      </c>
      <c r="K3520" s="8" t="s">
        <v>8255</v>
      </c>
    </row>
    <row r="3521" customFormat="false" ht="23.25" hidden="false" customHeight="true" outlineLevel="0" collapsed="false">
      <c r="A3521" s="10" t="s">
        <v>8260</v>
      </c>
      <c r="B3521" s="10" t="s">
        <v>45</v>
      </c>
      <c r="C3521" s="8" t="s">
        <v>8253</v>
      </c>
      <c r="D3521" s="8" t="s">
        <v>8261</v>
      </c>
      <c r="E3521" s="11" t="n">
        <v>229</v>
      </c>
      <c r="F3521" s="8" t="str">
        <f aca="false">IFERROR(INDEX(Section_Master!$D$2:$D$477,MATCH($E3521,Section_Master!$A$2:$A$477,0))&amp;"","")</f>
        <v>Imprisonment up to 7 years and fine [s.229(1)]</v>
      </c>
      <c r="G3521" s="10" t="str">
        <f aca="false">IFERROR(INDEX(Section_Master!$E$2:$E$477,MATCH($E3521,Section_Master!$A$2:$A$477,0))&amp;"","")</f>
        <v>No</v>
      </c>
      <c r="H3521" s="10" t="str">
        <f aca="false">IFERROR(INDEX(Section_Master!$F$2:$F$477,MATCH($E3521,Section_Master!$A$2:$A$477,0))&amp;"","")</f>
        <v>Yes</v>
      </c>
      <c r="I3521" s="10" t="str">
        <f aca="false">IFERROR(INDEX(Section_Master!$G$2:$G$477,MATCH($E3521,Section_Master!$A$2:$A$477,0))&amp;"","")</f>
        <v>No</v>
      </c>
      <c r="J3521" s="10" t="s">
        <v>58</v>
      </c>
      <c r="K3521" s="8" t="s">
        <v>8255</v>
      </c>
    </row>
    <row r="3522" customFormat="false" ht="45.75" hidden="false" customHeight="true" outlineLevel="0" collapsed="false">
      <c r="A3522" s="10" t="s">
        <v>8262</v>
      </c>
      <c r="B3522" s="10" t="s">
        <v>45</v>
      </c>
      <c r="C3522" s="8" t="s">
        <v>8253</v>
      </c>
      <c r="D3522" s="8" t="s">
        <v>8263</v>
      </c>
      <c r="E3522" s="11" t="n">
        <v>229</v>
      </c>
      <c r="F3522" s="8" t="str">
        <f aca="false">IFERROR(INDEX(Section_Master!$D$2:$D$477,MATCH($E3522,Section_Master!$A$2:$A$477,0))&amp;"","")</f>
        <v>Imprisonment up to 7 years and fine [s.229(1)]</v>
      </c>
      <c r="G3522" s="10" t="str">
        <f aca="false">IFERROR(INDEX(Section_Master!$E$2:$E$477,MATCH($E3522,Section_Master!$A$2:$A$477,0))&amp;"","")</f>
        <v>No</v>
      </c>
      <c r="H3522" s="10" t="str">
        <f aca="false">IFERROR(INDEX(Section_Master!$F$2:$F$477,MATCH($E3522,Section_Master!$A$2:$A$477,0))&amp;"","")</f>
        <v>Yes</v>
      </c>
      <c r="I3522" s="10" t="str">
        <f aca="false">IFERROR(INDEX(Section_Master!$G$2:$G$477,MATCH($E3522,Section_Master!$A$2:$A$477,0))&amp;"","")</f>
        <v>No</v>
      </c>
      <c r="J3522" s="10" t="s">
        <v>61</v>
      </c>
      <c r="K3522" s="8" t="s">
        <v>8255</v>
      </c>
    </row>
    <row r="3523" customFormat="false" ht="34.5" hidden="false" customHeight="true" outlineLevel="0" collapsed="false">
      <c r="A3523" s="10" t="s">
        <v>8264</v>
      </c>
      <c r="B3523" s="10" t="s">
        <v>45</v>
      </c>
      <c r="C3523" s="8" t="s">
        <v>8253</v>
      </c>
      <c r="D3523" s="8" t="s">
        <v>8265</v>
      </c>
      <c r="E3523" s="11" t="n">
        <v>229</v>
      </c>
      <c r="F3523" s="8" t="str">
        <f aca="false">IFERROR(INDEX(Section_Master!$D$2:$D$477,MATCH($E3523,Section_Master!$A$2:$A$477,0))&amp;"","")</f>
        <v>Imprisonment up to 7 years and fine [s.229(1)]</v>
      </c>
      <c r="G3523" s="10" t="str">
        <f aca="false">IFERROR(INDEX(Section_Master!$E$2:$E$477,MATCH($E3523,Section_Master!$A$2:$A$477,0))&amp;"","")</f>
        <v>No</v>
      </c>
      <c r="H3523" s="10" t="str">
        <f aca="false">IFERROR(INDEX(Section_Master!$F$2:$F$477,MATCH($E3523,Section_Master!$A$2:$A$477,0))&amp;"","")</f>
        <v>Yes</v>
      </c>
      <c r="I3523" s="10" t="str">
        <f aca="false">IFERROR(INDEX(Section_Master!$G$2:$G$477,MATCH($E3523,Section_Master!$A$2:$A$477,0))&amp;"","")</f>
        <v>No</v>
      </c>
      <c r="J3523" s="10" t="s">
        <v>64</v>
      </c>
      <c r="K3523" s="8" t="s">
        <v>8255</v>
      </c>
    </row>
    <row r="3524" customFormat="false" ht="34.5" hidden="false" customHeight="true" outlineLevel="0" collapsed="false">
      <c r="A3524" s="10" t="s">
        <v>8266</v>
      </c>
      <c r="B3524" s="10" t="s">
        <v>45</v>
      </c>
      <c r="C3524" s="8" t="s">
        <v>8267</v>
      </c>
      <c r="D3524" s="8" t="s">
        <v>8268</v>
      </c>
      <c r="E3524" s="11" t="n">
        <v>230</v>
      </c>
      <c r="F3524" s="8" t="str">
        <f aca="false">IFERROR(INDEX(Section_Master!$D$2:$D$477,MATCH($E3524,Section_Master!$A$2:$A$477,0))&amp;"","")</f>
        <v>Imprisonment for life, or rigorous imprisonment up to 10 years, and fine; death or life if an innocent person is executed [s.230]</v>
      </c>
      <c r="G3524" s="10" t="str">
        <f aca="false">IFERROR(INDEX(Section_Master!$E$2:$E$477,MATCH($E3524,Section_Master!$A$2:$A$477,0))&amp;"","")</f>
        <v>No</v>
      </c>
      <c r="H3524" s="10" t="str">
        <f aca="false">IFERROR(INDEX(Section_Master!$F$2:$F$477,MATCH($E3524,Section_Master!$A$2:$A$477,0))&amp;"","")</f>
        <v>No</v>
      </c>
      <c r="I3524" s="10" t="str">
        <f aca="false">IFERROR(INDEX(Section_Master!$G$2:$G$477,MATCH($E3524,Section_Master!$A$2:$A$477,0))&amp;"","")</f>
        <v>No</v>
      </c>
      <c r="J3524" s="10" t="s">
        <v>48</v>
      </c>
      <c r="K3524" s="8" t="s">
        <v>8269</v>
      </c>
    </row>
    <row r="3525" customFormat="false" ht="34.5" hidden="false" customHeight="true" outlineLevel="0" collapsed="false">
      <c r="A3525" s="10" t="s">
        <v>8270</v>
      </c>
      <c r="B3525" s="10" t="s">
        <v>45</v>
      </c>
      <c r="C3525" s="8" t="s">
        <v>8267</v>
      </c>
      <c r="D3525" s="8" t="s">
        <v>8271</v>
      </c>
      <c r="E3525" s="11" t="n">
        <v>230</v>
      </c>
      <c r="F3525" s="8" t="str">
        <f aca="false">IFERROR(INDEX(Section_Master!$D$2:$D$477,MATCH($E3525,Section_Master!$A$2:$A$477,0))&amp;"","")</f>
        <v>Imprisonment for life, or rigorous imprisonment up to 10 years, and fine; death or life if an innocent person is executed [s.230]</v>
      </c>
      <c r="G3525" s="10" t="str">
        <f aca="false">IFERROR(INDEX(Section_Master!$E$2:$E$477,MATCH($E3525,Section_Master!$A$2:$A$477,0))&amp;"","")</f>
        <v>No</v>
      </c>
      <c r="H3525" s="10" t="str">
        <f aca="false">IFERROR(INDEX(Section_Master!$F$2:$F$477,MATCH($E3525,Section_Master!$A$2:$A$477,0))&amp;"","")</f>
        <v>No</v>
      </c>
      <c r="I3525" s="10" t="str">
        <f aca="false">IFERROR(INDEX(Section_Master!$G$2:$G$477,MATCH($E3525,Section_Master!$A$2:$A$477,0))&amp;"","")</f>
        <v>No</v>
      </c>
      <c r="J3525" s="10" t="s">
        <v>52</v>
      </c>
      <c r="K3525" s="8" t="s">
        <v>8269</v>
      </c>
    </row>
    <row r="3526" customFormat="false" ht="45.75" hidden="false" customHeight="true" outlineLevel="0" collapsed="false">
      <c r="A3526" s="10" t="s">
        <v>8272</v>
      </c>
      <c r="B3526" s="10" t="s">
        <v>45</v>
      </c>
      <c r="C3526" s="8" t="s">
        <v>8267</v>
      </c>
      <c r="D3526" s="8" t="s">
        <v>8273</v>
      </c>
      <c r="E3526" s="11" t="n">
        <v>230</v>
      </c>
      <c r="F3526" s="8" t="str">
        <f aca="false">IFERROR(INDEX(Section_Master!$D$2:$D$477,MATCH($E3526,Section_Master!$A$2:$A$477,0))&amp;"","")</f>
        <v>Imprisonment for life, or rigorous imprisonment up to 10 years, and fine; death or life if an innocent person is executed [s.230]</v>
      </c>
      <c r="G3526" s="10" t="str">
        <f aca="false">IFERROR(INDEX(Section_Master!$E$2:$E$477,MATCH($E3526,Section_Master!$A$2:$A$477,0))&amp;"","")</f>
        <v>No</v>
      </c>
      <c r="H3526" s="10" t="str">
        <f aca="false">IFERROR(INDEX(Section_Master!$F$2:$F$477,MATCH($E3526,Section_Master!$A$2:$A$477,0))&amp;"","")</f>
        <v>No</v>
      </c>
      <c r="I3526" s="10" t="str">
        <f aca="false">IFERROR(INDEX(Section_Master!$G$2:$G$477,MATCH($E3526,Section_Master!$A$2:$A$477,0))&amp;"","")</f>
        <v>No</v>
      </c>
      <c r="J3526" s="10" t="s">
        <v>55</v>
      </c>
      <c r="K3526" s="8" t="s">
        <v>8269</v>
      </c>
    </row>
    <row r="3527" customFormat="false" ht="23.25" hidden="false" customHeight="true" outlineLevel="0" collapsed="false">
      <c r="A3527" s="10" t="s">
        <v>8274</v>
      </c>
      <c r="B3527" s="10" t="s">
        <v>45</v>
      </c>
      <c r="C3527" s="8" t="s">
        <v>8267</v>
      </c>
      <c r="D3527" s="8" t="s">
        <v>8275</v>
      </c>
      <c r="E3527" s="11" t="n">
        <v>230</v>
      </c>
      <c r="F3527" s="8" t="str">
        <f aca="false">IFERROR(INDEX(Section_Master!$D$2:$D$477,MATCH($E3527,Section_Master!$A$2:$A$477,0))&amp;"","")</f>
        <v>Imprisonment for life, or rigorous imprisonment up to 10 years, and fine; death or life if an innocent person is executed [s.230]</v>
      </c>
      <c r="G3527" s="10" t="str">
        <f aca="false">IFERROR(INDEX(Section_Master!$E$2:$E$477,MATCH($E3527,Section_Master!$A$2:$A$477,0))&amp;"","")</f>
        <v>No</v>
      </c>
      <c r="H3527" s="10" t="str">
        <f aca="false">IFERROR(INDEX(Section_Master!$F$2:$F$477,MATCH($E3527,Section_Master!$A$2:$A$477,0))&amp;"","")</f>
        <v>No</v>
      </c>
      <c r="I3527" s="10" t="str">
        <f aca="false">IFERROR(INDEX(Section_Master!$G$2:$G$477,MATCH($E3527,Section_Master!$A$2:$A$477,0))&amp;"","")</f>
        <v>No</v>
      </c>
      <c r="J3527" s="10" t="s">
        <v>58</v>
      </c>
      <c r="K3527" s="8" t="s">
        <v>8269</v>
      </c>
    </row>
    <row r="3528" customFormat="false" ht="34.5" hidden="false" customHeight="true" outlineLevel="0" collapsed="false">
      <c r="A3528" s="10" t="s">
        <v>8276</v>
      </c>
      <c r="B3528" s="10" t="s">
        <v>45</v>
      </c>
      <c r="C3528" s="8" t="s">
        <v>8267</v>
      </c>
      <c r="D3528" s="8" t="s">
        <v>8277</v>
      </c>
      <c r="E3528" s="11" t="n">
        <v>230</v>
      </c>
      <c r="F3528" s="8" t="str">
        <f aca="false">IFERROR(INDEX(Section_Master!$D$2:$D$477,MATCH($E3528,Section_Master!$A$2:$A$477,0))&amp;"","")</f>
        <v>Imprisonment for life, or rigorous imprisonment up to 10 years, and fine; death or life if an innocent person is executed [s.230]</v>
      </c>
      <c r="G3528" s="10" t="str">
        <f aca="false">IFERROR(INDEX(Section_Master!$E$2:$E$477,MATCH($E3528,Section_Master!$A$2:$A$477,0))&amp;"","")</f>
        <v>No</v>
      </c>
      <c r="H3528" s="10" t="str">
        <f aca="false">IFERROR(INDEX(Section_Master!$F$2:$F$477,MATCH($E3528,Section_Master!$A$2:$A$477,0))&amp;"","")</f>
        <v>No</v>
      </c>
      <c r="I3528" s="10" t="str">
        <f aca="false">IFERROR(INDEX(Section_Master!$G$2:$G$477,MATCH($E3528,Section_Master!$A$2:$A$477,0))&amp;"","")</f>
        <v>No</v>
      </c>
      <c r="J3528" s="10" t="s">
        <v>61</v>
      </c>
      <c r="K3528" s="8" t="s">
        <v>8269</v>
      </c>
    </row>
    <row r="3529" customFormat="false" ht="34.5" hidden="false" customHeight="true" outlineLevel="0" collapsed="false">
      <c r="A3529" s="10" t="s">
        <v>8278</v>
      </c>
      <c r="B3529" s="10" t="s">
        <v>45</v>
      </c>
      <c r="C3529" s="8" t="s">
        <v>8267</v>
      </c>
      <c r="D3529" s="8" t="s">
        <v>8279</v>
      </c>
      <c r="E3529" s="11" t="n">
        <v>230</v>
      </c>
      <c r="F3529" s="8" t="str">
        <f aca="false">IFERROR(INDEX(Section_Master!$D$2:$D$477,MATCH($E3529,Section_Master!$A$2:$A$477,0))&amp;"","")</f>
        <v>Imprisonment for life, or rigorous imprisonment up to 10 years, and fine; death or life if an innocent person is executed [s.230]</v>
      </c>
      <c r="G3529" s="10" t="str">
        <f aca="false">IFERROR(INDEX(Section_Master!$E$2:$E$477,MATCH($E3529,Section_Master!$A$2:$A$477,0))&amp;"","")</f>
        <v>No</v>
      </c>
      <c r="H3529" s="10" t="str">
        <f aca="false">IFERROR(INDEX(Section_Master!$F$2:$F$477,MATCH($E3529,Section_Master!$A$2:$A$477,0))&amp;"","")</f>
        <v>No</v>
      </c>
      <c r="I3529" s="10" t="str">
        <f aca="false">IFERROR(INDEX(Section_Master!$G$2:$G$477,MATCH($E3529,Section_Master!$A$2:$A$477,0))&amp;"","")</f>
        <v>No</v>
      </c>
      <c r="J3529" s="10" t="s">
        <v>64</v>
      </c>
      <c r="K3529" s="8" t="s">
        <v>8269</v>
      </c>
    </row>
    <row r="3530" customFormat="false" ht="34.5" hidden="false" customHeight="true" outlineLevel="0" collapsed="false">
      <c r="A3530" s="10" t="s">
        <v>8280</v>
      </c>
      <c r="B3530" s="10" t="s">
        <v>45</v>
      </c>
      <c r="C3530" s="8" t="s">
        <v>8281</v>
      </c>
      <c r="D3530" s="8" t="s">
        <v>8282</v>
      </c>
      <c r="E3530" s="11" t="n">
        <v>231</v>
      </c>
      <c r="F3530" s="8" t="str">
        <f aca="false">IFERROR(INDEX(Section_Master!$D$2:$D$477,MATCH($E3530,Section_Master!$A$2:$A$477,0))&amp;"","")</f>
        <v>Same punishment as for the offence for which conviction is sought</v>
      </c>
      <c r="G3530" s="10" t="str">
        <f aca="false">IFERROR(INDEX(Section_Master!$E$2:$E$477,MATCH($E3530,Section_Master!$A$2:$A$477,0))&amp;"","")</f>
        <v>No</v>
      </c>
      <c r="H3530" s="10" t="str">
        <f aca="false">IFERROR(INDEX(Section_Master!$F$2:$F$477,MATCH($E3530,Section_Master!$A$2:$A$477,0))&amp;"","")</f>
        <v>No</v>
      </c>
      <c r="I3530" s="10" t="str">
        <f aca="false">IFERROR(INDEX(Section_Master!$G$2:$G$477,MATCH($E3530,Section_Master!$A$2:$A$477,0))&amp;"","")</f>
        <v>No</v>
      </c>
      <c r="J3530" s="10" t="s">
        <v>48</v>
      </c>
      <c r="K3530" s="8" t="s">
        <v>8283</v>
      </c>
    </row>
    <row r="3531" customFormat="false" ht="34.5" hidden="false" customHeight="true" outlineLevel="0" collapsed="false">
      <c r="A3531" s="10" t="s">
        <v>8284</v>
      </c>
      <c r="B3531" s="10" t="s">
        <v>45</v>
      </c>
      <c r="C3531" s="8" t="s">
        <v>8281</v>
      </c>
      <c r="D3531" s="8" t="s">
        <v>8285</v>
      </c>
      <c r="E3531" s="11" t="n">
        <v>231</v>
      </c>
      <c r="F3531" s="8" t="str">
        <f aca="false">IFERROR(INDEX(Section_Master!$D$2:$D$477,MATCH($E3531,Section_Master!$A$2:$A$477,0))&amp;"","")</f>
        <v>Same punishment as for the offence for which conviction is sought</v>
      </c>
      <c r="G3531" s="10" t="str">
        <f aca="false">IFERROR(INDEX(Section_Master!$E$2:$E$477,MATCH($E3531,Section_Master!$A$2:$A$477,0))&amp;"","")</f>
        <v>No</v>
      </c>
      <c r="H3531" s="10" t="str">
        <f aca="false">IFERROR(INDEX(Section_Master!$F$2:$F$477,MATCH($E3531,Section_Master!$A$2:$A$477,0))&amp;"","")</f>
        <v>No</v>
      </c>
      <c r="I3531" s="10" t="str">
        <f aca="false">IFERROR(INDEX(Section_Master!$G$2:$G$477,MATCH($E3531,Section_Master!$A$2:$A$477,0))&amp;"","")</f>
        <v>No</v>
      </c>
      <c r="J3531" s="10" t="s">
        <v>52</v>
      </c>
      <c r="K3531" s="8" t="s">
        <v>8283</v>
      </c>
    </row>
    <row r="3532" customFormat="false" ht="34.5" hidden="false" customHeight="true" outlineLevel="0" collapsed="false">
      <c r="A3532" s="10" t="s">
        <v>8286</v>
      </c>
      <c r="B3532" s="10" t="s">
        <v>45</v>
      </c>
      <c r="C3532" s="8" t="s">
        <v>8281</v>
      </c>
      <c r="D3532" s="8" t="s">
        <v>8287</v>
      </c>
      <c r="E3532" s="11" t="n">
        <v>231</v>
      </c>
      <c r="F3532" s="8" t="str">
        <f aca="false">IFERROR(INDEX(Section_Master!$D$2:$D$477,MATCH($E3532,Section_Master!$A$2:$A$477,0))&amp;"","")</f>
        <v>Same punishment as for the offence for which conviction is sought</v>
      </c>
      <c r="G3532" s="10" t="str">
        <f aca="false">IFERROR(INDEX(Section_Master!$E$2:$E$477,MATCH($E3532,Section_Master!$A$2:$A$477,0))&amp;"","")</f>
        <v>No</v>
      </c>
      <c r="H3532" s="10" t="str">
        <f aca="false">IFERROR(INDEX(Section_Master!$F$2:$F$477,MATCH($E3532,Section_Master!$A$2:$A$477,0))&amp;"","")</f>
        <v>No</v>
      </c>
      <c r="I3532" s="10" t="str">
        <f aca="false">IFERROR(INDEX(Section_Master!$G$2:$G$477,MATCH($E3532,Section_Master!$A$2:$A$477,0))&amp;"","")</f>
        <v>No</v>
      </c>
      <c r="J3532" s="10" t="s">
        <v>55</v>
      </c>
      <c r="K3532" s="8" t="s">
        <v>8283</v>
      </c>
    </row>
    <row r="3533" customFormat="false" ht="34.5" hidden="false" customHeight="true" outlineLevel="0" collapsed="false">
      <c r="A3533" s="10" t="s">
        <v>8288</v>
      </c>
      <c r="B3533" s="10" t="s">
        <v>45</v>
      </c>
      <c r="C3533" s="8" t="s">
        <v>8281</v>
      </c>
      <c r="D3533" s="8" t="s">
        <v>8289</v>
      </c>
      <c r="E3533" s="11" t="n">
        <v>231</v>
      </c>
      <c r="F3533" s="8" t="str">
        <f aca="false">IFERROR(INDEX(Section_Master!$D$2:$D$477,MATCH($E3533,Section_Master!$A$2:$A$477,0))&amp;"","")</f>
        <v>Same punishment as for the offence for which conviction is sought</v>
      </c>
      <c r="G3533" s="10" t="str">
        <f aca="false">IFERROR(INDEX(Section_Master!$E$2:$E$477,MATCH($E3533,Section_Master!$A$2:$A$477,0))&amp;"","")</f>
        <v>No</v>
      </c>
      <c r="H3533" s="10" t="str">
        <f aca="false">IFERROR(INDEX(Section_Master!$F$2:$F$477,MATCH($E3533,Section_Master!$A$2:$A$477,0))&amp;"","")</f>
        <v>No</v>
      </c>
      <c r="I3533" s="10" t="str">
        <f aca="false">IFERROR(INDEX(Section_Master!$G$2:$G$477,MATCH($E3533,Section_Master!$A$2:$A$477,0))&amp;"","")</f>
        <v>No</v>
      </c>
      <c r="J3533" s="10" t="s">
        <v>58</v>
      </c>
      <c r="K3533" s="8" t="s">
        <v>8283</v>
      </c>
    </row>
    <row r="3534" customFormat="false" ht="34.5" hidden="false" customHeight="true" outlineLevel="0" collapsed="false">
      <c r="A3534" s="10" t="s">
        <v>8290</v>
      </c>
      <c r="B3534" s="10" t="s">
        <v>45</v>
      </c>
      <c r="C3534" s="8" t="s">
        <v>8281</v>
      </c>
      <c r="D3534" s="8" t="s">
        <v>8291</v>
      </c>
      <c r="E3534" s="11" t="n">
        <v>231</v>
      </c>
      <c r="F3534" s="8" t="str">
        <f aca="false">IFERROR(INDEX(Section_Master!$D$2:$D$477,MATCH($E3534,Section_Master!$A$2:$A$477,0))&amp;"","")</f>
        <v>Same punishment as for the offence for which conviction is sought</v>
      </c>
      <c r="G3534" s="10" t="str">
        <f aca="false">IFERROR(INDEX(Section_Master!$E$2:$E$477,MATCH($E3534,Section_Master!$A$2:$A$477,0))&amp;"","")</f>
        <v>No</v>
      </c>
      <c r="H3534" s="10" t="str">
        <f aca="false">IFERROR(INDEX(Section_Master!$F$2:$F$477,MATCH($E3534,Section_Master!$A$2:$A$477,0))&amp;"","")</f>
        <v>No</v>
      </c>
      <c r="I3534" s="10" t="str">
        <f aca="false">IFERROR(INDEX(Section_Master!$G$2:$G$477,MATCH($E3534,Section_Master!$A$2:$A$477,0))&amp;"","")</f>
        <v>No</v>
      </c>
      <c r="J3534" s="10" t="s">
        <v>61</v>
      </c>
      <c r="K3534" s="8" t="s">
        <v>8283</v>
      </c>
    </row>
    <row r="3535" customFormat="false" ht="34.5" hidden="false" customHeight="true" outlineLevel="0" collapsed="false">
      <c r="A3535" s="10" t="s">
        <v>8292</v>
      </c>
      <c r="B3535" s="10" t="s">
        <v>45</v>
      </c>
      <c r="C3535" s="8" t="s">
        <v>8281</v>
      </c>
      <c r="D3535" s="8" t="s">
        <v>8293</v>
      </c>
      <c r="E3535" s="11" t="n">
        <v>231</v>
      </c>
      <c r="F3535" s="8" t="str">
        <f aca="false">IFERROR(INDEX(Section_Master!$D$2:$D$477,MATCH($E3535,Section_Master!$A$2:$A$477,0))&amp;"","")</f>
        <v>Same punishment as for the offence for which conviction is sought</v>
      </c>
      <c r="G3535" s="10" t="str">
        <f aca="false">IFERROR(INDEX(Section_Master!$E$2:$E$477,MATCH($E3535,Section_Master!$A$2:$A$477,0))&amp;"","")</f>
        <v>No</v>
      </c>
      <c r="H3535" s="10" t="str">
        <f aca="false">IFERROR(INDEX(Section_Master!$F$2:$F$477,MATCH($E3535,Section_Master!$A$2:$A$477,0))&amp;"","")</f>
        <v>No</v>
      </c>
      <c r="I3535" s="10" t="str">
        <f aca="false">IFERROR(INDEX(Section_Master!$G$2:$G$477,MATCH($E3535,Section_Master!$A$2:$A$477,0))&amp;"","")</f>
        <v>No</v>
      </c>
      <c r="J3535" s="10" t="s">
        <v>64</v>
      </c>
      <c r="K3535" s="8" t="s">
        <v>8283</v>
      </c>
    </row>
    <row r="3536" customFormat="false" ht="34.5" hidden="false" customHeight="true" outlineLevel="0" collapsed="false">
      <c r="A3536" s="10" t="s">
        <v>8294</v>
      </c>
      <c r="B3536" s="10" t="s">
        <v>45</v>
      </c>
      <c r="C3536" s="8" t="s">
        <v>8295</v>
      </c>
      <c r="D3536" s="8" t="s">
        <v>8296</v>
      </c>
      <c r="E3536" s="11" t="n">
        <v>232</v>
      </c>
      <c r="F3536" s="8" t="str">
        <f aca="false">IFERROR(INDEX(Section_Master!$D$2:$D$477,MATCH($E3536,Section_Master!$A$2:$A$477,0))&amp;"","")</f>
        <v>Imprisonment up to 7 years, or fine, or both; same as the innocent person's sentence if convicted [s.232]</v>
      </c>
      <c r="G3536" s="10" t="str">
        <f aca="false">IFERROR(INDEX(Section_Master!$E$2:$E$477,MATCH($E3536,Section_Master!$A$2:$A$477,0))&amp;"","")</f>
        <v>Yes</v>
      </c>
      <c r="H3536" s="10" t="str">
        <f aca="false">IFERROR(INDEX(Section_Master!$F$2:$F$477,MATCH($E3536,Section_Master!$A$2:$A$477,0))&amp;"","")</f>
        <v>No</v>
      </c>
      <c r="I3536" s="10" t="str">
        <f aca="false">IFERROR(INDEX(Section_Master!$G$2:$G$477,MATCH($E3536,Section_Master!$A$2:$A$477,0))&amp;"","")</f>
        <v>No</v>
      </c>
      <c r="J3536" s="10" t="s">
        <v>48</v>
      </c>
      <c r="K3536" s="8" t="s">
        <v>8297</v>
      </c>
    </row>
    <row r="3537" customFormat="false" ht="34.5" hidden="false" customHeight="true" outlineLevel="0" collapsed="false">
      <c r="A3537" s="10" t="s">
        <v>8298</v>
      </c>
      <c r="B3537" s="10" t="s">
        <v>45</v>
      </c>
      <c r="C3537" s="8" t="s">
        <v>8295</v>
      </c>
      <c r="D3537" s="8" t="s">
        <v>8299</v>
      </c>
      <c r="E3537" s="11" t="n">
        <v>232</v>
      </c>
      <c r="F3537" s="8" t="str">
        <f aca="false">IFERROR(INDEX(Section_Master!$D$2:$D$477,MATCH($E3537,Section_Master!$A$2:$A$477,0))&amp;"","")</f>
        <v>Imprisonment up to 7 years, or fine, or both; same as the innocent person's sentence if convicted [s.232]</v>
      </c>
      <c r="G3537" s="10" t="str">
        <f aca="false">IFERROR(INDEX(Section_Master!$E$2:$E$477,MATCH($E3537,Section_Master!$A$2:$A$477,0))&amp;"","")</f>
        <v>Yes</v>
      </c>
      <c r="H3537" s="10" t="str">
        <f aca="false">IFERROR(INDEX(Section_Master!$F$2:$F$477,MATCH($E3537,Section_Master!$A$2:$A$477,0))&amp;"","")</f>
        <v>No</v>
      </c>
      <c r="I3537" s="10" t="str">
        <f aca="false">IFERROR(INDEX(Section_Master!$G$2:$G$477,MATCH($E3537,Section_Master!$A$2:$A$477,0))&amp;"","")</f>
        <v>No</v>
      </c>
      <c r="J3537" s="10" t="s">
        <v>52</v>
      </c>
      <c r="K3537" s="8" t="s">
        <v>8297</v>
      </c>
    </row>
    <row r="3538" customFormat="false" ht="34.5" hidden="false" customHeight="true" outlineLevel="0" collapsed="false">
      <c r="A3538" s="10" t="s">
        <v>8300</v>
      </c>
      <c r="B3538" s="10" t="s">
        <v>45</v>
      </c>
      <c r="C3538" s="8" t="s">
        <v>8295</v>
      </c>
      <c r="D3538" s="8" t="s">
        <v>8301</v>
      </c>
      <c r="E3538" s="11" t="n">
        <v>232</v>
      </c>
      <c r="F3538" s="8" t="str">
        <f aca="false">IFERROR(INDEX(Section_Master!$D$2:$D$477,MATCH($E3538,Section_Master!$A$2:$A$477,0))&amp;"","")</f>
        <v>Imprisonment up to 7 years, or fine, or both; same as the innocent person's sentence if convicted [s.232]</v>
      </c>
      <c r="G3538" s="10" t="str">
        <f aca="false">IFERROR(INDEX(Section_Master!$E$2:$E$477,MATCH($E3538,Section_Master!$A$2:$A$477,0))&amp;"","")</f>
        <v>Yes</v>
      </c>
      <c r="H3538" s="10" t="str">
        <f aca="false">IFERROR(INDEX(Section_Master!$F$2:$F$477,MATCH($E3538,Section_Master!$A$2:$A$477,0))&amp;"","")</f>
        <v>No</v>
      </c>
      <c r="I3538" s="10" t="str">
        <f aca="false">IFERROR(INDEX(Section_Master!$G$2:$G$477,MATCH($E3538,Section_Master!$A$2:$A$477,0))&amp;"","")</f>
        <v>No</v>
      </c>
      <c r="J3538" s="10" t="s">
        <v>55</v>
      </c>
      <c r="K3538" s="8" t="s">
        <v>8297</v>
      </c>
    </row>
    <row r="3539" customFormat="false" ht="34.5" hidden="false" customHeight="true" outlineLevel="0" collapsed="false">
      <c r="A3539" s="10" t="s">
        <v>8302</v>
      </c>
      <c r="B3539" s="10" t="s">
        <v>45</v>
      </c>
      <c r="C3539" s="8" t="s">
        <v>8295</v>
      </c>
      <c r="D3539" s="8" t="s">
        <v>8303</v>
      </c>
      <c r="E3539" s="11" t="n">
        <v>232</v>
      </c>
      <c r="F3539" s="8" t="str">
        <f aca="false">IFERROR(INDEX(Section_Master!$D$2:$D$477,MATCH($E3539,Section_Master!$A$2:$A$477,0))&amp;"","")</f>
        <v>Imprisonment up to 7 years, or fine, or both; same as the innocent person's sentence if convicted [s.232]</v>
      </c>
      <c r="G3539" s="10" t="str">
        <f aca="false">IFERROR(INDEX(Section_Master!$E$2:$E$477,MATCH($E3539,Section_Master!$A$2:$A$477,0))&amp;"","")</f>
        <v>Yes</v>
      </c>
      <c r="H3539" s="10" t="str">
        <f aca="false">IFERROR(INDEX(Section_Master!$F$2:$F$477,MATCH($E3539,Section_Master!$A$2:$A$477,0))&amp;"","")</f>
        <v>No</v>
      </c>
      <c r="I3539" s="10" t="str">
        <f aca="false">IFERROR(INDEX(Section_Master!$G$2:$G$477,MATCH($E3539,Section_Master!$A$2:$A$477,0))&amp;"","")</f>
        <v>No</v>
      </c>
      <c r="J3539" s="10" t="s">
        <v>58</v>
      </c>
      <c r="K3539" s="8" t="s">
        <v>8297</v>
      </c>
    </row>
    <row r="3540" customFormat="false" ht="34.5" hidden="false" customHeight="true" outlineLevel="0" collapsed="false">
      <c r="A3540" s="10" t="s">
        <v>8304</v>
      </c>
      <c r="B3540" s="10" t="s">
        <v>45</v>
      </c>
      <c r="C3540" s="8" t="s">
        <v>8295</v>
      </c>
      <c r="D3540" s="8" t="s">
        <v>8305</v>
      </c>
      <c r="E3540" s="11" t="n">
        <v>232</v>
      </c>
      <c r="F3540" s="8" t="str">
        <f aca="false">IFERROR(INDEX(Section_Master!$D$2:$D$477,MATCH($E3540,Section_Master!$A$2:$A$477,0))&amp;"","")</f>
        <v>Imprisonment up to 7 years, or fine, or both; same as the innocent person's sentence if convicted [s.232]</v>
      </c>
      <c r="G3540" s="10" t="str">
        <f aca="false">IFERROR(INDEX(Section_Master!$E$2:$E$477,MATCH($E3540,Section_Master!$A$2:$A$477,0))&amp;"","")</f>
        <v>Yes</v>
      </c>
      <c r="H3540" s="10" t="str">
        <f aca="false">IFERROR(INDEX(Section_Master!$F$2:$F$477,MATCH($E3540,Section_Master!$A$2:$A$477,0))&amp;"","")</f>
        <v>No</v>
      </c>
      <c r="I3540" s="10" t="str">
        <f aca="false">IFERROR(INDEX(Section_Master!$G$2:$G$477,MATCH($E3540,Section_Master!$A$2:$A$477,0))&amp;"","")</f>
        <v>No</v>
      </c>
      <c r="J3540" s="10" t="s">
        <v>61</v>
      </c>
      <c r="K3540" s="8" t="s">
        <v>8297</v>
      </c>
    </row>
    <row r="3541" customFormat="false" ht="45.75" hidden="false" customHeight="true" outlineLevel="0" collapsed="false">
      <c r="A3541" s="10" t="s">
        <v>8306</v>
      </c>
      <c r="B3541" s="10" t="s">
        <v>45</v>
      </c>
      <c r="C3541" s="8" t="s">
        <v>8295</v>
      </c>
      <c r="D3541" s="8" t="s">
        <v>8307</v>
      </c>
      <c r="E3541" s="11" t="n">
        <v>232</v>
      </c>
      <c r="F3541" s="8" t="str">
        <f aca="false">IFERROR(INDEX(Section_Master!$D$2:$D$477,MATCH($E3541,Section_Master!$A$2:$A$477,0))&amp;"","")</f>
        <v>Imprisonment up to 7 years, or fine, or both; same as the innocent person's sentence if convicted [s.232]</v>
      </c>
      <c r="G3541" s="10" t="str">
        <f aca="false">IFERROR(INDEX(Section_Master!$E$2:$E$477,MATCH($E3541,Section_Master!$A$2:$A$477,0))&amp;"","")</f>
        <v>Yes</v>
      </c>
      <c r="H3541" s="10" t="str">
        <f aca="false">IFERROR(INDEX(Section_Master!$F$2:$F$477,MATCH($E3541,Section_Master!$A$2:$A$477,0))&amp;"","")</f>
        <v>No</v>
      </c>
      <c r="I3541" s="10" t="str">
        <f aca="false">IFERROR(INDEX(Section_Master!$G$2:$G$477,MATCH($E3541,Section_Master!$A$2:$A$477,0))&amp;"","")</f>
        <v>No</v>
      </c>
      <c r="J3541" s="10" t="s">
        <v>64</v>
      </c>
      <c r="K3541" s="8" t="s">
        <v>8297</v>
      </c>
    </row>
    <row r="3542" customFormat="false" ht="34.5" hidden="false" customHeight="true" outlineLevel="0" collapsed="false">
      <c r="A3542" s="10" t="s">
        <v>8308</v>
      </c>
      <c r="B3542" s="10" t="s">
        <v>45</v>
      </c>
      <c r="C3542" s="8" t="s">
        <v>8309</v>
      </c>
      <c r="D3542" s="8" t="s">
        <v>8310</v>
      </c>
      <c r="E3542" s="11" t="n">
        <v>233</v>
      </c>
      <c r="F3542" s="8" t="str">
        <f aca="false">IFERROR(INDEX(Section_Master!$D$2:$D$477,MATCH($E3542,Section_Master!$A$2:$A$477,0))&amp;"","")</f>
        <v>Same punishment as for giving or fabricating false evidence</v>
      </c>
      <c r="G3542" s="10" t="str">
        <f aca="false">IFERROR(INDEX(Section_Master!$E$2:$E$477,MATCH($E3542,Section_Master!$A$2:$A$477,0))&amp;"","")</f>
        <v>No</v>
      </c>
      <c r="H3542" s="10" t="str">
        <f aca="false">IFERROR(INDEX(Section_Master!$F$2:$F$477,MATCH($E3542,Section_Master!$A$2:$A$477,0))&amp;"","")</f>
        <v>Yes</v>
      </c>
      <c r="I3542" s="10" t="str">
        <f aca="false">IFERROR(INDEX(Section_Master!$G$2:$G$477,MATCH($E3542,Section_Master!$A$2:$A$477,0))&amp;"","")</f>
        <v>No</v>
      </c>
      <c r="J3542" s="10" t="s">
        <v>48</v>
      </c>
      <c r="K3542" s="8" t="s">
        <v>8311</v>
      </c>
    </row>
    <row r="3543" customFormat="false" ht="34.5" hidden="false" customHeight="true" outlineLevel="0" collapsed="false">
      <c r="A3543" s="10" t="s">
        <v>8312</v>
      </c>
      <c r="B3543" s="10" t="s">
        <v>45</v>
      </c>
      <c r="C3543" s="8" t="s">
        <v>8309</v>
      </c>
      <c r="D3543" s="8" t="s">
        <v>8313</v>
      </c>
      <c r="E3543" s="11" t="n">
        <v>233</v>
      </c>
      <c r="F3543" s="8" t="str">
        <f aca="false">IFERROR(INDEX(Section_Master!$D$2:$D$477,MATCH($E3543,Section_Master!$A$2:$A$477,0))&amp;"","")</f>
        <v>Same punishment as for giving or fabricating false evidence</v>
      </c>
      <c r="G3543" s="10" t="str">
        <f aca="false">IFERROR(INDEX(Section_Master!$E$2:$E$477,MATCH($E3543,Section_Master!$A$2:$A$477,0))&amp;"","")</f>
        <v>No</v>
      </c>
      <c r="H3543" s="10" t="str">
        <f aca="false">IFERROR(INDEX(Section_Master!$F$2:$F$477,MATCH($E3543,Section_Master!$A$2:$A$477,0))&amp;"","")</f>
        <v>Yes</v>
      </c>
      <c r="I3543" s="10" t="str">
        <f aca="false">IFERROR(INDEX(Section_Master!$G$2:$G$477,MATCH($E3543,Section_Master!$A$2:$A$477,0))&amp;"","")</f>
        <v>No</v>
      </c>
      <c r="J3543" s="10" t="s">
        <v>52</v>
      </c>
      <c r="K3543" s="8" t="s">
        <v>8311</v>
      </c>
    </row>
    <row r="3544" customFormat="false" ht="34.5" hidden="false" customHeight="true" outlineLevel="0" collapsed="false">
      <c r="A3544" s="10" t="s">
        <v>8314</v>
      </c>
      <c r="B3544" s="10" t="s">
        <v>45</v>
      </c>
      <c r="C3544" s="8" t="s">
        <v>8309</v>
      </c>
      <c r="D3544" s="8" t="s">
        <v>8315</v>
      </c>
      <c r="E3544" s="11" t="n">
        <v>233</v>
      </c>
      <c r="F3544" s="8" t="str">
        <f aca="false">IFERROR(INDEX(Section_Master!$D$2:$D$477,MATCH($E3544,Section_Master!$A$2:$A$477,0))&amp;"","")</f>
        <v>Same punishment as for giving or fabricating false evidence</v>
      </c>
      <c r="G3544" s="10" t="str">
        <f aca="false">IFERROR(INDEX(Section_Master!$E$2:$E$477,MATCH($E3544,Section_Master!$A$2:$A$477,0))&amp;"","")</f>
        <v>No</v>
      </c>
      <c r="H3544" s="10" t="str">
        <f aca="false">IFERROR(INDEX(Section_Master!$F$2:$F$477,MATCH($E3544,Section_Master!$A$2:$A$477,0))&amp;"","")</f>
        <v>Yes</v>
      </c>
      <c r="I3544" s="10" t="str">
        <f aca="false">IFERROR(INDEX(Section_Master!$G$2:$G$477,MATCH($E3544,Section_Master!$A$2:$A$477,0))&amp;"","")</f>
        <v>No</v>
      </c>
      <c r="J3544" s="10" t="s">
        <v>55</v>
      </c>
      <c r="K3544" s="8" t="s">
        <v>8311</v>
      </c>
    </row>
    <row r="3545" customFormat="false" ht="34.5" hidden="false" customHeight="true" outlineLevel="0" collapsed="false">
      <c r="A3545" s="10" t="s">
        <v>8316</v>
      </c>
      <c r="B3545" s="10" t="s">
        <v>45</v>
      </c>
      <c r="C3545" s="8" t="s">
        <v>8309</v>
      </c>
      <c r="D3545" s="8" t="s">
        <v>8317</v>
      </c>
      <c r="E3545" s="11" t="n">
        <v>233</v>
      </c>
      <c r="F3545" s="8" t="str">
        <f aca="false">IFERROR(INDEX(Section_Master!$D$2:$D$477,MATCH($E3545,Section_Master!$A$2:$A$477,0))&amp;"","")</f>
        <v>Same punishment as for giving or fabricating false evidence</v>
      </c>
      <c r="G3545" s="10" t="str">
        <f aca="false">IFERROR(INDEX(Section_Master!$E$2:$E$477,MATCH($E3545,Section_Master!$A$2:$A$477,0))&amp;"","")</f>
        <v>No</v>
      </c>
      <c r="H3545" s="10" t="str">
        <f aca="false">IFERROR(INDEX(Section_Master!$F$2:$F$477,MATCH($E3545,Section_Master!$A$2:$A$477,0))&amp;"","")</f>
        <v>Yes</v>
      </c>
      <c r="I3545" s="10" t="str">
        <f aca="false">IFERROR(INDEX(Section_Master!$G$2:$G$477,MATCH($E3545,Section_Master!$A$2:$A$477,0))&amp;"","")</f>
        <v>No</v>
      </c>
      <c r="J3545" s="10" t="s">
        <v>58</v>
      </c>
      <c r="K3545" s="8" t="s">
        <v>8311</v>
      </c>
    </row>
    <row r="3546" customFormat="false" ht="34.5" hidden="false" customHeight="true" outlineLevel="0" collapsed="false">
      <c r="A3546" s="10" t="s">
        <v>8318</v>
      </c>
      <c r="B3546" s="10" t="s">
        <v>45</v>
      </c>
      <c r="C3546" s="8" t="s">
        <v>8309</v>
      </c>
      <c r="D3546" s="8" t="s">
        <v>8319</v>
      </c>
      <c r="E3546" s="11" t="n">
        <v>233</v>
      </c>
      <c r="F3546" s="8" t="str">
        <f aca="false">IFERROR(INDEX(Section_Master!$D$2:$D$477,MATCH($E3546,Section_Master!$A$2:$A$477,0))&amp;"","")</f>
        <v>Same punishment as for giving or fabricating false evidence</v>
      </c>
      <c r="G3546" s="10" t="str">
        <f aca="false">IFERROR(INDEX(Section_Master!$E$2:$E$477,MATCH($E3546,Section_Master!$A$2:$A$477,0))&amp;"","")</f>
        <v>No</v>
      </c>
      <c r="H3546" s="10" t="str">
        <f aca="false">IFERROR(INDEX(Section_Master!$F$2:$F$477,MATCH($E3546,Section_Master!$A$2:$A$477,0))&amp;"","")</f>
        <v>Yes</v>
      </c>
      <c r="I3546" s="10" t="str">
        <f aca="false">IFERROR(INDEX(Section_Master!$G$2:$G$477,MATCH($E3546,Section_Master!$A$2:$A$477,0))&amp;"","")</f>
        <v>No</v>
      </c>
      <c r="J3546" s="10" t="s">
        <v>61</v>
      </c>
      <c r="K3546" s="8" t="s">
        <v>8311</v>
      </c>
    </row>
    <row r="3547" customFormat="false" ht="34.5" hidden="false" customHeight="true" outlineLevel="0" collapsed="false">
      <c r="A3547" s="10" t="s">
        <v>8320</v>
      </c>
      <c r="B3547" s="10" t="s">
        <v>45</v>
      </c>
      <c r="C3547" s="8" t="s">
        <v>8309</v>
      </c>
      <c r="D3547" s="8" t="s">
        <v>8321</v>
      </c>
      <c r="E3547" s="11" t="n">
        <v>233</v>
      </c>
      <c r="F3547" s="8" t="str">
        <f aca="false">IFERROR(INDEX(Section_Master!$D$2:$D$477,MATCH($E3547,Section_Master!$A$2:$A$477,0))&amp;"","")</f>
        <v>Same punishment as for giving or fabricating false evidence</v>
      </c>
      <c r="G3547" s="10" t="str">
        <f aca="false">IFERROR(INDEX(Section_Master!$E$2:$E$477,MATCH($E3547,Section_Master!$A$2:$A$477,0))&amp;"","")</f>
        <v>No</v>
      </c>
      <c r="H3547" s="10" t="str">
        <f aca="false">IFERROR(INDEX(Section_Master!$F$2:$F$477,MATCH($E3547,Section_Master!$A$2:$A$477,0))&amp;"","")</f>
        <v>Yes</v>
      </c>
      <c r="I3547" s="10" t="str">
        <f aca="false">IFERROR(INDEX(Section_Master!$G$2:$G$477,MATCH($E3547,Section_Master!$A$2:$A$477,0))&amp;"","")</f>
        <v>No</v>
      </c>
      <c r="J3547" s="10" t="s">
        <v>64</v>
      </c>
      <c r="K3547" s="8" t="s">
        <v>8311</v>
      </c>
    </row>
    <row r="3548" customFormat="false" ht="34.5" hidden="false" customHeight="true" outlineLevel="0" collapsed="false">
      <c r="A3548" s="10" t="s">
        <v>8322</v>
      </c>
      <c r="B3548" s="10" t="s">
        <v>45</v>
      </c>
      <c r="C3548" s="8" t="s">
        <v>8323</v>
      </c>
      <c r="D3548" s="8" t="s">
        <v>8324</v>
      </c>
      <c r="E3548" s="11" t="n">
        <v>234</v>
      </c>
      <c r="F3548" s="8" t="str">
        <f aca="false">IFERROR(INDEX(Section_Master!$D$2:$D$477,MATCH($E3548,Section_Master!$A$2:$A$477,0))&amp;"","")</f>
        <v>Same punishment as for giving false evidence</v>
      </c>
      <c r="G3548" s="10" t="str">
        <f aca="false">IFERROR(INDEX(Section_Master!$E$2:$E$477,MATCH($E3548,Section_Master!$A$2:$A$477,0))&amp;"","")</f>
        <v>No</v>
      </c>
      <c r="H3548" s="10" t="str">
        <f aca="false">IFERROR(INDEX(Section_Master!$F$2:$F$477,MATCH($E3548,Section_Master!$A$2:$A$477,0))&amp;"","")</f>
        <v>Yes</v>
      </c>
      <c r="I3548" s="10" t="str">
        <f aca="false">IFERROR(INDEX(Section_Master!$G$2:$G$477,MATCH($E3548,Section_Master!$A$2:$A$477,0))&amp;"","")</f>
        <v>No</v>
      </c>
      <c r="J3548" s="10" t="s">
        <v>48</v>
      </c>
      <c r="K3548" s="8" t="s">
        <v>8325</v>
      </c>
    </row>
    <row r="3549" customFormat="false" ht="34.5" hidden="false" customHeight="true" outlineLevel="0" collapsed="false">
      <c r="A3549" s="10" t="s">
        <v>8326</v>
      </c>
      <c r="B3549" s="10" t="s">
        <v>45</v>
      </c>
      <c r="C3549" s="8" t="s">
        <v>8323</v>
      </c>
      <c r="D3549" s="8" t="s">
        <v>8327</v>
      </c>
      <c r="E3549" s="11" t="n">
        <v>234</v>
      </c>
      <c r="F3549" s="8" t="str">
        <f aca="false">IFERROR(INDEX(Section_Master!$D$2:$D$477,MATCH($E3549,Section_Master!$A$2:$A$477,0))&amp;"","")</f>
        <v>Same punishment as for giving false evidence</v>
      </c>
      <c r="G3549" s="10" t="str">
        <f aca="false">IFERROR(INDEX(Section_Master!$E$2:$E$477,MATCH($E3549,Section_Master!$A$2:$A$477,0))&amp;"","")</f>
        <v>No</v>
      </c>
      <c r="H3549" s="10" t="str">
        <f aca="false">IFERROR(INDEX(Section_Master!$F$2:$F$477,MATCH($E3549,Section_Master!$A$2:$A$477,0))&amp;"","")</f>
        <v>Yes</v>
      </c>
      <c r="I3549" s="10" t="str">
        <f aca="false">IFERROR(INDEX(Section_Master!$G$2:$G$477,MATCH($E3549,Section_Master!$A$2:$A$477,0))&amp;"","")</f>
        <v>No</v>
      </c>
      <c r="J3549" s="10" t="s">
        <v>52</v>
      </c>
      <c r="K3549" s="8" t="s">
        <v>8325</v>
      </c>
    </row>
    <row r="3550" customFormat="false" ht="45.75" hidden="false" customHeight="true" outlineLevel="0" collapsed="false">
      <c r="A3550" s="10" t="s">
        <v>8328</v>
      </c>
      <c r="B3550" s="10" t="s">
        <v>45</v>
      </c>
      <c r="C3550" s="8" t="s">
        <v>8323</v>
      </c>
      <c r="D3550" s="8" t="s">
        <v>8329</v>
      </c>
      <c r="E3550" s="11" t="n">
        <v>234</v>
      </c>
      <c r="F3550" s="8" t="str">
        <f aca="false">IFERROR(INDEX(Section_Master!$D$2:$D$477,MATCH($E3550,Section_Master!$A$2:$A$477,0))&amp;"","")</f>
        <v>Same punishment as for giving false evidence</v>
      </c>
      <c r="G3550" s="10" t="str">
        <f aca="false">IFERROR(INDEX(Section_Master!$E$2:$E$477,MATCH($E3550,Section_Master!$A$2:$A$477,0))&amp;"","")</f>
        <v>No</v>
      </c>
      <c r="H3550" s="10" t="str">
        <f aca="false">IFERROR(INDEX(Section_Master!$F$2:$F$477,MATCH($E3550,Section_Master!$A$2:$A$477,0))&amp;"","")</f>
        <v>Yes</v>
      </c>
      <c r="I3550" s="10" t="str">
        <f aca="false">IFERROR(INDEX(Section_Master!$G$2:$G$477,MATCH($E3550,Section_Master!$A$2:$A$477,0))&amp;"","")</f>
        <v>No</v>
      </c>
      <c r="J3550" s="10" t="s">
        <v>55</v>
      </c>
      <c r="K3550" s="8" t="s">
        <v>8325</v>
      </c>
    </row>
    <row r="3551" customFormat="false" ht="23.25" hidden="false" customHeight="true" outlineLevel="0" collapsed="false">
      <c r="A3551" s="10" t="s">
        <v>8330</v>
      </c>
      <c r="B3551" s="10" t="s">
        <v>45</v>
      </c>
      <c r="C3551" s="8" t="s">
        <v>8323</v>
      </c>
      <c r="D3551" s="8" t="s">
        <v>8331</v>
      </c>
      <c r="E3551" s="11" t="n">
        <v>234</v>
      </c>
      <c r="F3551" s="8" t="str">
        <f aca="false">IFERROR(INDEX(Section_Master!$D$2:$D$477,MATCH($E3551,Section_Master!$A$2:$A$477,0))&amp;"","")</f>
        <v>Same punishment as for giving false evidence</v>
      </c>
      <c r="G3551" s="10" t="str">
        <f aca="false">IFERROR(INDEX(Section_Master!$E$2:$E$477,MATCH($E3551,Section_Master!$A$2:$A$477,0))&amp;"","")</f>
        <v>No</v>
      </c>
      <c r="H3551" s="10" t="str">
        <f aca="false">IFERROR(INDEX(Section_Master!$F$2:$F$477,MATCH($E3551,Section_Master!$A$2:$A$477,0))&amp;"","")</f>
        <v>Yes</v>
      </c>
      <c r="I3551" s="10" t="str">
        <f aca="false">IFERROR(INDEX(Section_Master!$G$2:$G$477,MATCH($E3551,Section_Master!$A$2:$A$477,0))&amp;"","")</f>
        <v>No</v>
      </c>
      <c r="J3551" s="10" t="s">
        <v>58</v>
      </c>
      <c r="K3551" s="8" t="s">
        <v>8325</v>
      </c>
    </row>
    <row r="3552" customFormat="false" ht="34.5" hidden="false" customHeight="true" outlineLevel="0" collapsed="false">
      <c r="A3552" s="10" t="s">
        <v>8332</v>
      </c>
      <c r="B3552" s="10" t="s">
        <v>45</v>
      </c>
      <c r="C3552" s="8" t="s">
        <v>8323</v>
      </c>
      <c r="D3552" s="8" t="s">
        <v>8333</v>
      </c>
      <c r="E3552" s="11" t="n">
        <v>234</v>
      </c>
      <c r="F3552" s="8" t="str">
        <f aca="false">IFERROR(INDEX(Section_Master!$D$2:$D$477,MATCH($E3552,Section_Master!$A$2:$A$477,0))&amp;"","")</f>
        <v>Same punishment as for giving false evidence</v>
      </c>
      <c r="G3552" s="10" t="str">
        <f aca="false">IFERROR(INDEX(Section_Master!$E$2:$E$477,MATCH($E3552,Section_Master!$A$2:$A$477,0))&amp;"","")</f>
        <v>No</v>
      </c>
      <c r="H3552" s="10" t="str">
        <f aca="false">IFERROR(INDEX(Section_Master!$F$2:$F$477,MATCH($E3552,Section_Master!$A$2:$A$477,0))&amp;"","")</f>
        <v>Yes</v>
      </c>
      <c r="I3552" s="10" t="str">
        <f aca="false">IFERROR(INDEX(Section_Master!$G$2:$G$477,MATCH($E3552,Section_Master!$A$2:$A$477,0))&amp;"","")</f>
        <v>No</v>
      </c>
      <c r="J3552" s="10" t="s">
        <v>61</v>
      </c>
      <c r="K3552" s="8" t="s">
        <v>8325</v>
      </c>
    </row>
    <row r="3553" customFormat="false" ht="34.5" hidden="false" customHeight="true" outlineLevel="0" collapsed="false">
      <c r="A3553" s="10" t="s">
        <v>8334</v>
      </c>
      <c r="B3553" s="10" t="s">
        <v>45</v>
      </c>
      <c r="C3553" s="8" t="s">
        <v>8323</v>
      </c>
      <c r="D3553" s="8" t="s">
        <v>8335</v>
      </c>
      <c r="E3553" s="11" t="n">
        <v>234</v>
      </c>
      <c r="F3553" s="8" t="str">
        <f aca="false">IFERROR(INDEX(Section_Master!$D$2:$D$477,MATCH($E3553,Section_Master!$A$2:$A$477,0))&amp;"","")</f>
        <v>Same punishment as for giving false evidence</v>
      </c>
      <c r="G3553" s="10" t="str">
        <f aca="false">IFERROR(INDEX(Section_Master!$E$2:$E$477,MATCH($E3553,Section_Master!$A$2:$A$477,0))&amp;"","")</f>
        <v>No</v>
      </c>
      <c r="H3553" s="10" t="str">
        <f aca="false">IFERROR(INDEX(Section_Master!$F$2:$F$477,MATCH($E3553,Section_Master!$A$2:$A$477,0))&amp;"","")</f>
        <v>Yes</v>
      </c>
      <c r="I3553" s="10" t="str">
        <f aca="false">IFERROR(INDEX(Section_Master!$G$2:$G$477,MATCH($E3553,Section_Master!$A$2:$A$477,0))&amp;"","")</f>
        <v>No</v>
      </c>
      <c r="J3553" s="10" t="s">
        <v>64</v>
      </c>
      <c r="K3553" s="8" t="s">
        <v>8325</v>
      </c>
    </row>
    <row r="3554" customFormat="false" ht="34.5" hidden="false" customHeight="true" outlineLevel="0" collapsed="false">
      <c r="A3554" s="10" t="s">
        <v>8336</v>
      </c>
      <c r="B3554" s="10" t="s">
        <v>45</v>
      </c>
      <c r="C3554" s="8" t="s">
        <v>8337</v>
      </c>
      <c r="D3554" s="8" t="s">
        <v>8338</v>
      </c>
      <c r="E3554" s="11" t="n">
        <v>235</v>
      </c>
      <c r="F3554" s="8" t="str">
        <f aca="false">IFERROR(INDEX(Section_Master!$D$2:$D$477,MATCH($E3554,Section_Master!$A$2:$A$477,0))&amp;"","")</f>
        <v>Same punishment as for giving false evidence</v>
      </c>
      <c r="G3554" s="10" t="str">
        <f aca="false">IFERROR(INDEX(Section_Master!$E$2:$E$477,MATCH($E3554,Section_Master!$A$2:$A$477,0))&amp;"","")</f>
        <v>No</v>
      </c>
      <c r="H3554" s="10" t="str">
        <f aca="false">IFERROR(INDEX(Section_Master!$F$2:$F$477,MATCH($E3554,Section_Master!$A$2:$A$477,0))&amp;"","")</f>
        <v>Yes</v>
      </c>
      <c r="I3554" s="10" t="str">
        <f aca="false">IFERROR(INDEX(Section_Master!$G$2:$G$477,MATCH($E3554,Section_Master!$A$2:$A$477,0))&amp;"","")</f>
        <v>No</v>
      </c>
      <c r="J3554" s="10" t="s">
        <v>48</v>
      </c>
      <c r="K3554" s="8" t="s">
        <v>8339</v>
      </c>
    </row>
    <row r="3555" customFormat="false" ht="34.5" hidden="false" customHeight="true" outlineLevel="0" collapsed="false">
      <c r="A3555" s="10" t="s">
        <v>8340</v>
      </c>
      <c r="B3555" s="10" t="s">
        <v>45</v>
      </c>
      <c r="C3555" s="8" t="s">
        <v>8337</v>
      </c>
      <c r="D3555" s="8" t="s">
        <v>8341</v>
      </c>
      <c r="E3555" s="11" t="n">
        <v>235</v>
      </c>
      <c r="F3555" s="8" t="str">
        <f aca="false">IFERROR(INDEX(Section_Master!$D$2:$D$477,MATCH($E3555,Section_Master!$A$2:$A$477,0))&amp;"","")</f>
        <v>Same punishment as for giving false evidence</v>
      </c>
      <c r="G3555" s="10" t="str">
        <f aca="false">IFERROR(INDEX(Section_Master!$E$2:$E$477,MATCH($E3555,Section_Master!$A$2:$A$477,0))&amp;"","")</f>
        <v>No</v>
      </c>
      <c r="H3555" s="10" t="str">
        <f aca="false">IFERROR(INDEX(Section_Master!$F$2:$F$477,MATCH($E3555,Section_Master!$A$2:$A$477,0))&amp;"","")</f>
        <v>Yes</v>
      </c>
      <c r="I3555" s="10" t="str">
        <f aca="false">IFERROR(INDEX(Section_Master!$G$2:$G$477,MATCH($E3555,Section_Master!$A$2:$A$477,0))&amp;"","")</f>
        <v>No</v>
      </c>
      <c r="J3555" s="10" t="s">
        <v>52</v>
      </c>
      <c r="K3555" s="8" t="s">
        <v>8339</v>
      </c>
    </row>
    <row r="3556" customFormat="false" ht="34.5" hidden="false" customHeight="true" outlineLevel="0" collapsed="false">
      <c r="A3556" s="10" t="s">
        <v>8342</v>
      </c>
      <c r="B3556" s="10" t="s">
        <v>45</v>
      </c>
      <c r="C3556" s="8" t="s">
        <v>8337</v>
      </c>
      <c r="D3556" s="8" t="s">
        <v>8343</v>
      </c>
      <c r="E3556" s="11" t="n">
        <v>235</v>
      </c>
      <c r="F3556" s="8" t="str">
        <f aca="false">IFERROR(INDEX(Section_Master!$D$2:$D$477,MATCH($E3556,Section_Master!$A$2:$A$477,0))&amp;"","")</f>
        <v>Same punishment as for giving false evidence</v>
      </c>
      <c r="G3556" s="10" t="str">
        <f aca="false">IFERROR(INDEX(Section_Master!$E$2:$E$477,MATCH($E3556,Section_Master!$A$2:$A$477,0))&amp;"","")</f>
        <v>No</v>
      </c>
      <c r="H3556" s="10" t="str">
        <f aca="false">IFERROR(INDEX(Section_Master!$F$2:$F$477,MATCH($E3556,Section_Master!$A$2:$A$477,0))&amp;"","")</f>
        <v>Yes</v>
      </c>
      <c r="I3556" s="10" t="str">
        <f aca="false">IFERROR(INDEX(Section_Master!$G$2:$G$477,MATCH($E3556,Section_Master!$A$2:$A$477,0))&amp;"","")</f>
        <v>No</v>
      </c>
      <c r="J3556" s="10" t="s">
        <v>55</v>
      </c>
      <c r="K3556" s="8" t="s">
        <v>8339</v>
      </c>
    </row>
    <row r="3557" customFormat="false" ht="23.25" hidden="false" customHeight="true" outlineLevel="0" collapsed="false">
      <c r="A3557" s="10" t="s">
        <v>8344</v>
      </c>
      <c r="B3557" s="10" t="s">
        <v>45</v>
      </c>
      <c r="C3557" s="8" t="s">
        <v>8337</v>
      </c>
      <c r="D3557" s="8" t="s">
        <v>8345</v>
      </c>
      <c r="E3557" s="11" t="n">
        <v>235</v>
      </c>
      <c r="F3557" s="8" t="str">
        <f aca="false">IFERROR(INDEX(Section_Master!$D$2:$D$477,MATCH($E3557,Section_Master!$A$2:$A$477,0))&amp;"","")</f>
        <v>Same punishment as for giving false evidence</v>
      </c>
      <c r="G3557" s="10" t="str">
        <f aca="false">IFERROR(INDEX(Section_Master!$E$2:$E$477,MATCH($E3557,Section_Master!$A$2:$A$477,0))&amp;"","")</f>
        <v>No</v>
      </c>
      <c r="H3557" s="10" t="str">
        <f aca="false">IFERROR(INDEX(Section_Master!$F$2:$F$477,MATCH($E3557,Section_Master!$A$2:$A$477,0))&amp;"","")</f>
        <v>Yes</v>
      </c>
      <c r="I3557" s="10" t="str">
        <f aca="false">IFERROR(INDEX(Section_Master!$G$2:$G$477,MATCH($E3557,Section_Master!$A$2:$A$477,0))&amp;"","")</f>
        <v>No</v>
      </c>
      <c r="J3557" s="10" t="s">
        <v>58</v>
      </c>
      <c r="K3557" s="8" t="s">
        <v>8339</v>
      </c>
    </row>
    <row r="3558" customFormat="false" ht="34.5" hidden="false" customHeight="true" outlineLevel="0" collapsed="false">
      <c r="A3558" s="10" t="s">
        <v>8346</v>
      </c>
      <c r="B3558" s="10" t="s">
        <v>45</v>
      </c>
      <c r="C3558" s="8" t="s">
        <v>8337</v>
      </c>
      <c r="D3558" s="8" t="s">
        <v>8347</v>
      </c>
      <c r="E3558" s="11" t="n">
        <v>235</v>
      </c>
      <c r="F3558" s="8" t="str">
        <f aca="false">IFERROR(INDEX(Section_Master!$D$2:$D$477,MATCH($E3558,Section_Master!$A$2:$A$477,0))&amp;"","")</f>
        <v>Same punishment as for giving false evidence</v>
      </c>
      <c r="G3558" s="10" t="str">
        <f aca="false">IFERROR(INDEX(Section_Master!$E$2:$E$477,MATCH($E3558,Section_Master!$A$2:$A$477,0))&amp;"","")</f>
        <v>No</v>
      </c>
      <c r="H3558" s="10" t="str">
        <f aca="false">IFERROR(INDEX(Section_Master!$F$2:$F$477,MATCH($E3558,Section_Master!$A$2:$A$477,0))&amp;"","")</f>
        <v>Yes</v>
      </c>
      <c r="I3558" s="10" t="str">
        <f aca="false">IFERROR(INDEX(Section_Master!$G$2:$G$477,MATCH($E3558,Section_Master!$A$2:$A$477,0))&amp;"","")</f>
        <v>No</v>
      </c>
      <c r="J3558" s="10" t="s">
        <v>61</v>
      </c>
      <c r="K3558" s="8" t="s">
        <v>8339</v>
      </c>
    </row>
    <row r="3559" customFormat="false" ht="45.75" hidden="false" customHeight="true" outlineLevel="0" collapsed="false">
      <c r="A3559" s="10" t="s">
        <v>8348</v>
      </c>
      <c r="B3559" s="10" t="s">
        <v>45</v>
      </c>
      <c r="C3559" s="8" t="s">
        <v>8337</v>
      </c>
      <c r="D3559" s="8" t="s">
        <v>8349</v>
      </c>
      <c r="E3559" s="11" t="n">
        <v>235</v>
      </c>
      <c r="F3559" s="8" t="str">
        <f aca="false">IFERROR(INDEX(Section_Master!$D$2:$D$477,MATCH($E3559,Section_Master!$A$2:$A$477,0))&amp;"","")</f>
        <v>Same punishment as for giving false evidence</v>
      </c>
      <c r="G3559" s="10" t="str">
        <f aca="false">IFERROR(INDEX(Section_Master!$E$2:$E$477,MATCH($E3559,Section_Master!$A$2:$A$477,0))&amp;"","")</f>
        <v>No</v>
      </c>
      <c r="H3559" s="10" t="str">
        <f aca="false">IFERROR(INDEX(Section_Master!$F$2:$F$477,MATCH($E3559,Section_Master!$A$2:$A$477,0))&amp;"","")</f>
        <v>Yes</v>
      </c>
      <c r="I3559" s="10" t="str">
        <f aca="false">IFERROR(INDEX(Section_Master!$G$2:$G$477,MATCH($E3559,Section_Master!$A$2:$A$477,0))&amp;"","")</f>
        <v>No</v>
      </c>
      <c r="J3559" s="10" t="s">
        <v>64</v>
      </c>
      <c r="K3559" s="8" t="s">
        <v>8339</v>
      </c>
    </row>
    <row r="3560" customFormat="false" ht="34.5" hidden="false" customHeight="true" outlineLevel="0" collapsed="false">
      <c r="A3560" s="10" t="s">
        <v>8350</v>
      </c>
      <c r="B3560" s="10" t="s">
        <v>45</v>
      </c>
      <c r="C3560" s="8" t="s">
        <v>8351</v>
      </c>
      <c r="D3560" s="8" t="s">
        <v>8352</v>
      </c>
      <c r="E3560" s="11" t="n">
        <v>236</v>
      </c>
      <c r="F3560" s="8" t="str">
        <f aca="false">IFERROR(INDEX(Section_Master!$D$2:$D$477,MATCH($E3560,Section_Master!$A$2:$A$477,0))&amp;"","")</f>
        <v>Same punishment as for giving false evidence</v>
      </c>
      <c r="G3560" s="10" t="str">
        <f aca="false">IFERROR(INDEX(Section_Master!$E$2:$E$477,MATCH($E3560,Section_Master!$A$2:$A$477,0))&amp;"","")</f>
        <v>No</v>
      </c>
      <c r="H3560" s="10" t="str">
        <f aca="false">IFERROR(INDEX(Section_Master!$F$2:$F$477,MATCH($E3560,Section_Master!$A$2:$A$477,0))&amp;"","")</f>
        <v>Yes</v>
      </c>
      <c r="I3560" s="10" t="str">
        <f aca="false">IFERROR(INDEX(Section_Master!$G$2:$G$477,MATCH($E3560,Section_Master!$A$2:$A$477,0))&amp;"","")</f>
        <v>No</v>
      </c>
      <c r="J3560" s="10" t="s">
        <v>48</v>
      </c>
      <c r="K3560" s="8" t="s">
        <v>8353</v>
      </c>
    </row>
    <row r="3561" customFormat="false" ht="34.5" hidden="false" customHeight="true" outlineLevel="0" collapsed="false">
      <c r="A3561" s="10" t="s">
        <v>8354</v>
      </c>
      <c r="B3561" s="10" t="s">
        <v>45</v>
      </c>
      <c r="C3561" s="8" t="s">
        <v>8351</v>
      </c>
      <c r="D3561" s="8" t="s">
        <v>8355</v>
      </c>
      <c r="E3561" s="11" t="n">
        <v>236</v>
      </c>
      <c r="F3561" s="8" t="str">
        <f aca="false">IFERROR(INDEX(Section_Master!$D$2:$D$477,MATCH($E3561,Section_Master!$A$2:$A$477,0))&amp;"","")</f>
        <v>Same punishment as for giving false evidence</v>
      </c>
      <c r="G3561" s="10" t="str">
        <f aca="false">IFERROR(INDEX(Section_Master!$E$2:$E$477,MATCH($E3561,Section_Master!$A$2:$A$477,0))&amp;"","")</f>
        <v>No</v>
      </c>
      <c r="H3561" s="10" t="str">
        <f aca="false">IFERROR(INDEX(Section_Master!$F$2:$F$477,MATCH($E3561,Section_Master!$A$2:$A$477,0))&amp;"","")</f>
        <v>Yes</v>
      </c>
      <c r="I3561" s="10" t="str">
        <f aca="false">IFERROR(INDEX(Section_Master!$G$2:$G$477,MATCH($E3561,Section_Master!$A$2:$A$477,0))&amp;"","")</f>
        <v>No</v>
      </c>
      <c r="J3561" s="10" t="s">
        <v>52</v>
      </c>
      <c r="K3561" s="8" t="s">
        <v>8353</v>
      </c>
    </row>
    <row r="3562" customFormat="false" ht="34.5" hidden="false" customHeight="true" outlineLevel="0" collapsed="false">
      <c r="A3562" s="10" t="s">
        <v>8356</v>
      </c>
      <c r="B3562" s="10" t="s">
        <v>45</v>
      </c>
      <c r="C3562" s="8" t="s">
        <v>8351</v>
      </c>
      <c r="D3562" s="8" t="s">
        <v>8357</v>
      </c>
      <c r="E3562" s="11" t="n">
        <v>236</v>
      </c>
      <c r="F3562" s="8" t="str">
        <f aca="false">IFERROR(INDEX(Section_Master!$D$2:$D$477,MATCH($E3562,Section_Master!$A$2:$A$477,0))&amp;"","")</f>
        <v>Same punishment as for giving false evidence</v>
      </c>
      <c r="G3562" s="10" t="str">
        <f aca="false">IFERROR(INDEX(Section_Master!$E$2:$E$477,MATCH($E3562,Section_Master!$A$2:$A$477,0))&amp;"","")</f>
        <v>No</v>
      </c>
      <c r="H3562" s="10" t="str">
        <f aca="false">IFERROR(INDEX(Section_Master!$F$2:$F$477,MATCH($E3562,Section_Master!$A$2:$A$477,0))&amp;"","")</f>
        <v>Yes</v>
      </c>
      <c r="I3562" s="10" t="str">
        <f aca="false">IFERROR(INDEX(Section_Master!$G$2:$G$477,MATCH($E3562,Section_Master!$A$2:$A$477,0))&amp;"","")</f>
        <v>No</v>
      </c>
      <c r="J3562" s="10" t="s">
        <v>55</v>
      </c>
      <c r="K3562" s="8" t="s">
        <v>8353</v>
      </c>
    </row>
    <row r="3563" customFormat="false" ht="34.5" hidden="false" customHeight="true" outlineLevel="0" collapsed="false">
      <c r="A3563" s="10" t="s">
        <v>8358</v>
      </c>
      <c r="B3563" s="10" t="s">
        <v>45</v>
      </c>
      <c r="C3563" s="8" t="s">
        <v>8351</v>
      </c>
      <c r="D3563" s="8" t="s">
        <v>8359</v>
      </c>
      <c r="E3563" s="11" t="n">
        <v>236</v>
      </c>
      <c r="F3563" s="8" t="str">
        <f aca="false">IFERROR(INDEX(Section_Master!$D$2:$D$477,MATCH($E3563,Section_Master!$A$2:$A$477,0))&amp;"","")</f>
        <v>Same punishment as for giving false evidence</v>
      </c>
      <c r="G3563" s="10" t="str">
        <f aca="false">IFERROR(INDEX(Section_Master!$E$2:$E$477,MATCH($E3563,Section_Master!$A$2:$A$477,0))&amp;"","")</f>
        <v>No</v>
      </c>
      <c r="H3563" s="10" t="str">
        <f aca="false">IFERROR(INDEX(Section_Master!$F$2:$F$477,MATCH($E3563,Section_Master!$A$2:$A$477,0))&amp;"","")</f>
        <v>Yes</v>
      </c>
      <c r="I3563" s="10" t="str">
        <f aca="false">IFERROR(INDEX(Section_Master!$G$2:$G$477,MATCH($E3563,Section_Master!$A$2:$A$477,0))&amp;"","")</f>
        <v>No</v>
      </c>
      <c r="J3563" s="10" t="s">
        <v>58</v>
      </c>
      <c r="K3563" s="8" t="s">
        <v>8353</v>
      </c>
    </row>
    <row r="3564" customFormat="false" ht="34.5" hidden="false" customHeight="true" outlineLevel="0" collapsed="false">
      <c r="A3564" s="10" t="s">
        <v>8360</v>
      </c>
      <c r="B3564" s="10" t="s">
        <v>45</v>
      </c>
      <c r="C3564" s="8" t="s">
        <v>8351</v>
      </c>
      <c r="D3564" s="8" t="s">
        <v>8361</v>
      </c>
      <c r="E3564" s="11" t="n">
        <v>236</v>
      </c>
      <c r="F3564" s="8" t="str">
        <f aca="false">IFERROR(INDEX(Section_Master!$D$2:$D$477,MATCH($E3564,Section_Master!$A$2:$A$477,0))&amp;"","")</f>
        <v>Same punishment as for giving false evidence</v>
      </c>
      <c r="G3564" s="10" t="str">
        <f aca="false">IFERROR(INDEX(Section_Master!$E$2:$E$477,MATCH($E3564,Section_Master!$A$2:$A$477,0))&amp;"","")</f>
        <v>No</v>
      </c>
      <c r="H3564" s="10" t="str">
        <f aca="false">IFERROR(INDEX(Section_Master!$F$2:$F$477,MATCH($E3564,Section_Master!$A$2:$A$477,0))&amp;"","")</f>
        <v>Yes</v>
      </c>
      <c r="I3564" s="10" t="str">
        <f aca="false">IFERROR(INDEX(Section_Master!$G$2:$G$477,MATCH($E3564,Section_Master!$A$2:$A$477,0))&amp;"","")</f>
        <v>No</v>
      </c>
      <c r="J3564" s="10" t="s">
        <v>61</v>
      </c>
      <c r="K3564" s="8" t="s">
        <v>8353</v>
      </c>
    </row>
    <row r="3565" customFormat="false" ht="34.5" hidden="false" customHeight="true" outlineLevel="0" collapsed="false">
      <c r="A3565" s="10" t="s">
        <v>8362</v>
      </c>
      <c r="B3565" s="10" t="s">
        <v>45</v>
      </c>
      <c r="C3565" s="8" t="s">
        <v>8351</v>
      </c>
      <c r="D3565" s="8" t="s">
        <v>8363</v>
      </c>
      <c r="E3565" s="11" t="n">
        <v>236</v>
      </c>
      <c r="F3565" s="8" t="str">
        <f aca="false">IFERROR(INDEX(Section_Master!$D$2:$D$477,MATCH($E3565,Section_Master!$A$2:$A$477,0))&amp;"","")</f>
        <v>Same punishment as for giving false evidence</v>
      </c>
      <c r="G3565" s="10" t="str">
        <f aca="false">IFERROR(INDEX(Section_Master!$E$2:$E$477,MATCH($E3565,Section_Master!$A$2:$A$477,0))&amp;"","")</f>
        <v>No</v>
      </c>
      <c r="H3565" s="10" t="str">
        <f aca="false">IFERROR(INDEX(Section_Master!$F$2:$F$477,MATCH($E3565,Section_Master!$A$2:$A$477,0))&amp;"","")</f>
        <v>Yes</v>
      </c>
      <c r="I3565" s="10" t="str">
        <f aca="false">IFERROR(INDEX(Section_Master!$G$2:$G$477,MATCH($E3565,Section_Master!$A$2:$A$477,0))&amp;"","")</f>
        <v>No</v>
      </c>
      <c r="J3565" s="10" t="s">
        <v>64</v>
      </c>
      <c r="K3565" s="8" t="s">
        <v>8353</v>
      </c>
    </row>
    <row r="3566" customFormat="false" ht="23.25" hidden="false" customHeight="true" outlineLevel="0" collapsed="false">
      <c r="A3566" s="10" t="s">
        <v>8364</v>
      </c>
      <c r="B3566" s="10" t="s">
        <v>45</v>
      </c>
      <c r="C3566" s="8" t="s">
        <v>8365</v>
      </c>
      <c r="D3566" s="8" t="s">
        <v>8366</v>
      </c>
      <c r="E3566" s="11" t="n">
        <v>237</v>
      </c>
      <c r="F3566" s="8" t="str">
        <f aca="false">IFERROR(INDEX(Section_Master!$D$2:$D$477,MATCH($E3566,Section_Master!$A$2:$A$477,0))&amp;"","")</f>
        <v>Same punishment as for giving false evidence</v>
      </c>
      <c r="G3566" s="10" t="str">
        <f aca="false">IFERROR(INDEX(Section_Master!$E$2:$E$477,MATCH($E3566,Section_Master!$A$2:$A$477,0))&amp;"","")</f>
        <v>No</v>
      </c>
      <c r="H3566" s="10" t="str">
        <f aca="false">IFERROR(INDEX(Section_Master!$F$2:$F$477,MATCH($E3566,Section_Master!$A$2:$A$477,0))&amp;"","")</f>
        <v>Yes</v>
      </c>
      <c r="I3566" s="10" t="str">
        <f aca="false">IFERROR(INDEX(Section_Master!$G$2:$G$477,MATCH($E3566,Section_Master!$A$2:$A$477,0))&amp;"","")</f>
        <v>No</v>
      </c>
      <c r="J3566" s="10" t="s">
        <v>48</v>
      </c>
      <c r="K3566" s="8" t="s">
        <v>8367</v>
      </c>
    </row>
    <row r="3567" customFormat="false" ht="34.5" hidden="false" customHeight="true" outlineLevel="0" collapsed="false">
      <c r="A3567" s="10" t="s">
        <v>8368</v>
      </c>
      <c r="B3567" s="10" t="s">
        <v>45</v>
      </c>
      <c r="C3567" s="8" t="s">
        <v>8365</v>
      </c>
      <c r="D3567" s="8" t="s">
        <v>8369</v>
      </c>
      <c r="E3567" s="11" t="n">
        <v>237</v>
      </c>
      <c r="F3567" s="8" t="str">
        <f aca="false">IFERROR(INDEX(Section_Master!$D$2:$D$477,MATCH($E3567,Section_Master!$A$2:$A$477,0))&amp;"","")</f>
        <v>Same punishment as for giving false evidence</v>
      </c>
      <c r="G3567" s="10" t="str">
        <f aca="false">IFERROR(INDEX(Section_Master!$E$2:$E$477,MATCH($E3567,Section_Master!$A$2:$A$477,0))&amp;"","")</f>
        <v>No</v>
      </c>
      <c r="H3567" s="10" t="str">
        <f aca="false">IFERROR(INDEX(Section_Master!$F$2:$F$477,MATCH($E3567,Section_Master!$A$2:$A$477,0))&amp;"","")</f>
        <v>Yes</v>
      </c>
      <c r="I3567" s="10" t="str">
        <f aca="false">IFERROR(INDEX(Section_Master!$G$2:$G$477,MATCH($E3567,Section_Master!$A$2:$A$477,0))&amp;"","")</f>
        <v>No</v>
      </c>
      <c r="J3567" s="10" t="s">
        <v>52</v>
      </c>
      <c r="K3567" s="8" t="s">
        <v>8367</v>
      </c>
    </row>
    <row r="3568" customFormat="false" ht="34.5" hidden="false" customHeight="true" outlineLevel="0" collapsed="false">
      <c r="A3568" s="10" t="s">
        <v>8370</v>
      </c>
      <c r="B3568" s="10" t="s">
        <v>45</v>
      </c>
      <c r="C3568" s="8" t="s">
        <v>8365</v>
      </c>
      <c r="D3568" s="8" t="s">
        <v>8371</v>
      </c>
      <c r="E3568" s="11" t="n">
        <v>237</v>
      </c>
      <c r="F3568" s="8" t="str">
        <f aca="false">IFERROR(INDEX(Section_Master!$D$2:$D$477,MATCH($E3568,Section_Master!$A$2:$A$477,0))&amp;"","")</f>
        <v>Same punishment as for giving false evidence</v>
      </c>
      <c r="G3568" s="10" t="str">
        <f aca="false">IFERROR(INDEX(Section_Master!$E$2:$E$477,MATCH($E3568,Section_Master!$A$2:$A$477,0))&amp;"","")</f>
        <v>No</v>
      </c>
      <c r="H3568" s="10" t="str">
        <f aca="false">IFERROR(INDEX(Section_Master!$F$2:$F$477,MATCH($E3568,Section_Master!$A$2:$A$477,0))&amp;"","")</f>
        <v>Yes</v>
      </c>
      <c r="I3568" s="10" t="str">
        <f aca="false">IFERROR(INDEX(Section_Master!$G$2:$G$477,MATCH($E3568,Section_Master!$A$2:$A$477,0))&amp;"","")</f>
        <v>No</v>
      </c>
      <c r="J3568" s="10" t="s">
        <v>55</v>
      </c>
      <c r="K3568" s="8" t="s">
        <v>8367</v>
      </c>
    </row>
    <row r="3569" customFormat="false" ht="23.25" hidden="false" customHeight="true" outlineLevel="0" collapsed="false">
      <c r="A3569" s="10" t="s">
        <v>8372</v>
      </c>
      <c r="B3569" s="10" t="s">
        <v>45</v>
      </c>
      <c r="C3569" s="8" t="s">
        <v>8365</v>
      </c>
      <c r="D3569" s="8" t="s">
        <v>8373</v>
      </c>
      <c r="E3569" s="11" t="n">
        <v>237</v>
      </c>
      <c r="F3569" s="8" t="str">
        <f aca="false">IFERROR(INDEX(Section_Master!$D$2:$D$477,MATCH($E3569,Section_Master!$A$2:$A$477,0))&amp;"","")</f>
        <v>Same punishment as for giving false evidence</v>
      </c>
      <c r="G3569" s="10" t="str">
        <f aca="false">IFERROR(INDEX(Section_Master!$E$2:$E$477,MATCH($E3569,Section_Master!$A$2:$A$477,0))&amp;"","")</f>
        <v>No</v>
      </c>
      <c r="H3569" s="10" t="str">
        <f aca="false">IFERROR(INDEX(Section_Master!$F$2:$F$477,MATCH($E3569,Section_Master!$A$2:$A$477,0))&amp;"","")</f>
        <v>Yes</v>
      </c>
      <c r="I3569" s="10" t="str">
        <f aca="false">IFERROR(INDEX(Section_Master!$G$2:$G$477,MATCH($E3569,Section_Master!$A$2:$A$477,0))&amp;"","")</f>
        <v>No</v>
      </c>
      <c r="J3569" s="10" t="s">
        <v>58</v>
      </c>
      <c r="K3569" s="8" t="s">
        <v>8367</v>
      </c>
    </row>
    <row r="3570" customFormat="false" ht="34.5" hidden="false" customHeight="true" outlineLevel="0" collapsed="false">
      <c r="A3570" s="10" t="s">
        <v>8374</v>
      </c>
      <c r="B3570" s="10" t="s">
        <v>45</v>
      </c>
      <c r="C3570" s="8" t="s">
        <v>8365</v>
      </c>
      <c r="D3570" s="8" t="s">
        <v>8375</v>
      </c>
      <c r="E3570" s="11" t="n">
        <v>237</v>
      </c>
      <c r="F3570" s="8" t="str">
        <f aca="false">IFERROR(INDEX(Section_Master!$D$2:$D$477,MATCH($E3570,Section_Master!$A$2:$A$477,0))&amp;"","")</f>
        <v>Same punishment as for giving false evidence</v>
      </c>
      <c r="G3570" s="10" t="str">
        <f aca="false">IFERROR(INDEX(Section_Master!$E$2:$E$477,MATCH($E3570,Section_Master!$A$2:$A$477,0))&amp;"","")</f>
        <v>No</v>
      </c>
      <c r="H3570" s="10" t="str">
        <f aca="false">IFERROR(INDEX(Section_Master!$F$2:$F$477,MATCH($E3570,Section_Master!$A$2:$A$477,0))&amp;"","")</f>
        <v>Yes</v>
      </c>
      <c r="I3570" s="10" t="str">
        <f aca="false">IFERROR(INDEX(Section_Master!$G$2:$G$477,MATCH($E3570,Section_Master!$A$2:$A$477,0))&amp;"","")</f>
        <v>No</v>
      </c>
      <c r="J3570" s="10" t="s">
        <v>61</v>
      </c>
      <c r="K3570" s="8" t="s">
        <v>8367</v>
      </c>
    </row>
    <row r="3571" customFormat="false" ht="34.5" hidden="false" customHeight="true" outlineLevel="0" collapsed="false">
      <c r="A3571" s="10" t="s">
        <v>8376</v>
      </c>
      <c r="B3571" s="10" t="s">
        <v>45</v>
      </c>
      <c r="C3571" s="8" t="s">
        <v>8365</v>
      </c>
      <c r="D3571" s="8" t="s">
        <v>8377</v>
      </c>
      <c r="E3571" s="11" t="n">
        <v>237</v>
      </c>
      <c r="F3571" s="8" t="str">
        <f aca="false">IFERROR(INDEX(Section_Master!$D$2:$D$477,MATCH($E3571,Section_Master!$A$2:$A$477,0))&amp;"","")</f>
        <v>Same punishment as for giving false evidence</v>
      </c>
      <c r="G3571" s="10" t="str">
        <f aca="false">IFERROR(INDEX(Section_Master!$E$2:$E$477,MATCH($E3571,Section_Master!$A$2:$A$477,0))&amp;"","")</f>
        <v>No</v>
      </c>
      <c r="H3571" s="10" t="str">
        <f aca="false">IFERROR(INDEX(Section_Master!$F$2:$F$477,MATCH($E3571,Section_Master!$A$2:$A$477,0))&amp;"","")</f>
        <v>Yes</v>
      </c>
      <c r="I3571" s="10" t="str">
        <f aca="false">IFERROR(INDEX(Section_Master!$G$2:$G$477,MATCH($E3571,Section_Master!$A$2:$A$477,0))&amp;"","")</f>
        <v>No</v>
      </c>
      <c r="J3571" s="10" t="s">
        <v>64</v>
      </c>
      <c r="K3571" s="8" t="s">
        <v>8367</v>
      </c>
    </row>
    <row r="3572" customFormat="false" ht="23.25" hidden="false" customHeight="true" outlineLevel="0" collapsed="false">
      <c r="A3572" s="10" t="s">
        <v>8378</v>
      </c>
      <c r="B3572" s="10" t="s">
        <v>45</v>
      </c>
      <c r="C3572" s="8" t="s">
        <v>8379</v>
      </c>
      <c r="D3572" s="8" t="s">
        <v>8380</v>
      </c>
      <c r="E3572" s="11" t="n">
        <v>238</v>
      </c>
      <c r="F3572" s="8" t="str">
        <f aca="false">IFERROR(INDEX(Section_Master!$D$2:$D$477,MATCH($E3572,Section_Master!$A$2:$A$477,0))&amp;"","")</f>
        <v>Up to 7 years and fine (capital offence); up to 3 years and fine (life offence); up to one-fourth of the longest term, or fine, or both (other offences) [s.238]</v>
      </c>
      <c r="G3572" s="10" t="str">
        <f aca="false">IFERROR(INDEX(Section_Master!$E$2:$E$477,MATCH($E3572,Section_Master!$A$2:$A$477,0))&amp;"","")</f>
        <v>No</v>
      </c>
      <c r="H3572" s="10" t="str">
        <f aca="false">IFERROR(INDEX(Section_Master!$F$2:$F$477,MATCH($E3572,Section_Master!$A$2:$A$477,0))&amp;"","")</f>
        <v>Varies by sub-section</v>
      </c>
      <c r="I3572" s="10" t="str">
        <f aca="false">IFERROR(INDEX(Section_Master!$G$2:$G$477,MATCH($E3572,Section_Master!$A$2:$A$477,0))&amp;"","")</f>
        <v>No</v>
      </c>
      <c r="J3572" s="10" t="s">
        <v>48</v>
      </c>
      <c r="K3572" s="8" t="s">
        <v>8381</v>
      </c>
    </row>
    <row r="3573" customFormat="false" ht="34.5" hidden="false" customHeight="true" outlineLevel="0" collapsed="false">
      <c r="A3573" s="10" t="s">
        <v>8382</v>
      </c>
      <c r="B3573" s="10" t="s">
        <v>45</v>
      </c>
      <c r="C3573" s="8" t="s">
        <v>8379</v>
      </c>
      <c r="D3573" s="8" t="s">
        <v>8383</v>
      </c>
      <c r="E3573" s="11" t="n">
        <v>238</v>
      </c>
      <c r="F3573" s="8" t="str">
        <f aca="false">IFERROR(INDEX(Section_Master!$D$2:$D$477,MATCH($E3573,Section_Master!$A$2:$A$477,0))&amp;"","")</f>
        <v>Up to 7 years and fine (capital offence); up to 3 years and fine (life offence); up to one-fourth of the longest term, or fine, or both (other offences) [s.238]</v>
      </c>
      <c r="G3573" s="10" t="str">
        <f aca="false">IFERROR(INDEX(Section_Master!$E$2:$E$477,MATCH($E3573,Section_Master!$A$2:$A$477,0))&amp;"","")</f>
        <v>No</v>
      </c>
      <c r="H3573" s="10" t="str">
        <f aca="false">IFERROR(INDEX(Section_Master!$F$2:$F$477,MATCH($E3573,Section_Master!$A$2:$A$477,0))&amp;"","")</f>
        <v>Varies by sub-section</v>
      </c>
      <c r="I3573" s="10" t="str">
        <f aca="false">IFERROR(INDEX(Section_Master!$G$2:$G$477,MATCH($E3573,Section_Master!$A$2:$A$477,0))&amp;"","")</f>
        <v>No</v>
      </c>
      <c r="J3573" s="10" t="s">
        <v>52</v>
      </c>
      <c r="K3573" s="8" t="s">
        <v>8381</v>
      </c>
    </row>
    <row r="3574" customFormat="false" ht="34.5" hidden="false" customHeight="true" outlineLevel="0" collapsed="false">
      <c r="A3574" s="10" t="s">
        <v>8384</v>
      </c>
      <c r="B3574" s="10" t="s">
        <v>45</v>
      </c>
      <c r="C3574" s="8" t="s">
        <v>8379</v>
      </c>
      <c r="D3574" s="8" t="s">
        <v>8385</v>
      </c>
      <c r="E3574" s="11" t="n">
        <v>238</v>
      </c>
      <c r="F3574" s="8" t="str">
        <f aca="false">IFERROR(INDEX(Section_Master!$D$2:$D$477,MATCH($E3574,Section_Master!$A$2:$A$477,0))&amp;"","")</f>
        <v>Up to 7 years and fine (capital offence); up to 3 years and fine (life offence); up to one-fourth of the longest term, or fine, or both (other offences) [s.238]</v>
      </c>
      <c r="G3574" s="10" t="str">
        <f aca="false">IFERROR(INDEX(Section_Master!$E$2:$E$477,MATCH($E3574,Section_Master!$A$2:$A$477,0))&amp;"","")</f>
        <v>No</v>
      </c>
      <c r="H3574" s="10" t="str">
        <f aca="false">IFERROR(INDEX(Section_Master!$F$2:$F$477,MATCH($E3574,Section_Master!$A$2:$A$477,0))&amp;"","")</f>
        <v>Varies by sub-section</v>
      </c>
      <c r="I3574" s="10" t="str">
        <f aca="false">IFERROR(INDEX(Section_Master!$G$2:$G$477,MATCH($E3574,Section_Master!$A$2:$A$477,0))&amp;"","")</f>
        <v>No</v>
      </c>
      <c r="J3574" s="10" t="s">
        <v>55</v>
      </c>
      <c r="K3574" s="8" t="s">
        <v>8381</v>
      </c>
    </row>
    <row r="3575" customFormat="false" ht="23.25" hidden="false" customHeight="true" outlineLevel="0" collapsed="false">
      <c r="A3575" s="10" t="s">
        <v>8386</v>
      </c>
      <c r="B3575" s="10" t="s">
        <v>45</v>
      </c>
      <c r="C3575" s="8" t="s">
        <v>8379</v>
      </c>
      <c r="D3575" s="8" t="s">
        <v>8387</v>
      </c>
      <c r="E3575" s="11" t="n">
        <v>238</v>
      </c>
      <c r="F3575" s="8" t="str">
        <f aca="false">IFERROR(INDEX(Section_Master!$D$2:$D$477,MATCH($E3575,Section_Master!$A$2:$A$477,0))&amp;"","")</f>
        <v>Up to 7 years and fine (capital offence); up to 3 years and fine (life offence); up to one-fourth of the longest term, or fine, or both (other offences) [s.238]</v>
      </c>
      <c r="G3575" s="10" t="str">
        <f aca="false">IFERROR(INDEX(Section_Master!$E$2:$E$477,MATCH($E3575,Section_Master!$A$2:$A$477,0))&amp;"","")</f>
        <v>No</v>
      </c>
      <c r="H3575" s="10" t="str">
        <f aca="false">IFERROR(INDEX(Section_Master!$F$2:$F$477,MATCH($E3575,Section_Master!$A$2:$A$477,0))&amp;"","")</f>
        <v>Varies by sub-section</v>
      </c>
      <c r="I3575" s="10" t="str">
        <f aca="false">IFERROR(INDEX(Section_Master!$G$2:$G$477,MATCH($E3575,Section_Master!$A$2:$A$477,0))&amp;"","")</f>
        <v>No</v>
      </c>
      <c r="J3575" s="10" t="s">
        <v>58</v>
      </c>
      <c r="K3575" s="8" t="s">
        <v>8381</v>
      </c>
    </row>
    <row r="3576" customFormat="false" ht="34.5" hidden="false" customHeight="true" outlineLevel="0" collapsed="false">
      <c r="A3576" s="10" t="s">
        <v>8388</v>
      </c>
      <c r="B3576" s="10" t="s">
        <v>45</v>
      </c>
      <c r="C3576" s="8" t="s">
        <v>8379</v>
      </c>
      <c r="D3576" s="8" t="s">
        <v>8389</v>
      </c>
      <c r="E3576" s="11" t="n">
        <v>238</v>
      </c>
      <c r="F3576" s="8" t="str">
        <f aca="false">IFERROR(INDEX(Section_Master!$D$2:$D$477,MATCH($E3576,Section_Master!$A$2:$A$477,0))&amp;"","")</f>
        <v>Up to 7 years and fine (capital offence); up to 3 years and fine (life offence); up to one-fourth of the longest term, or fine, or both (other offences) [s.238]</v>
      </c>
      <c r="G3576" s="10" t="str">
        <f aca="false">IFERROR(INDEX(Section_Master!$E$2:$E$477,MATCH($E3576,Section_Master!$A$2:$A$477,0))&amp;"","")</f>
        <v>No</v>
      </c>
      <c r="H3576" s="10" t="str">
        <f aca="false">IFERROR(INDEX(Section_Master!$F$2:$F$477,MATCH($E3576,Section_Master!$A$2:$A$477,0))&amp;"","")</f>
        <v>Varies by sub-section</v>
      </c>
      <c r="I3576" s="10" t="str">
        <f aca="false">IFERROR(INDEX(Section_Master!$G$2:$G$477,MATCH($E3576,Section_Master!$A$2:$A$477,0))&amp;"","")</f>
        <v>No</v>
      </c>
      <c r="J3576" s="10" t="s">
        <v>61</v>
      </c>
      <c r="K3576" s="8" t="s">
        <v>8381</v>
      </c>
    </row>
    <row r="3577" customFormat="false" ht="34.5" hidden="false" customHeight="true" outlineLevel="0" collapsed="false">
      <c r="A3577" s="10" t="s">
        <v>8390</v>
      </c>
      <c r="B3577" s="10" t="s">
        <v>45</v>
      </c>
      <c r="C3577" s="8" t="s">
        <v>8379</v>
      </c>
      <c r="D3577" s="8" t="s">
        <v>8391</v>
      </c>
      <c r="E3577" s="11" t="n">
        <v>238</v>
      </c>
      <c r="F3577" s="8" t="str">
        <f aca="false">IFERROR(INDEX(Section_Master!$D$2:$D$477,MATCH($E3577,Section_Master!$A$2:$A$477,0))&amp;"","")</f>
        <v>Up to 7 years and fine (capital offence); up to 3 years and fine (life offence); up to one-fourth of the longest term, or fine, or both (other offences) [s.238]</v>
      </c>
      <c r="G3577" s="10" t="str">
        <f aca="false">IFERROR(INDEX(Section_Master!$E$2:$E$477,MATCH($E3577,Section_Master!$A$2:$A$477,0))&amp;"","")</f>
        <v>No</v>
      </c>
      <c r="H3577" s="10" t="str">
        <f aca="false">IFERROR(INDEX(Section_Master!$F$2:$F$477,MATCH($E3577,Section_Master!$A$2:$A$477,0))&amp;"","")</f>
        <v>Varies by sub-section</v>
      </c>
      <c r="I3577" s="10" t="str">
        <f aca="false">IFERROR(INDEX(Section_Master!$G$2:$G$477,MATCH($E3577,Section_Master!$A$2:$A$477,0))&amp;"","")</f>
        <v>No</v>
      </c>
      <c r="J3577" s="10" t="s">
        <v>64</v>
      </c>
      <c r="K3577" s="8" t="s">
        <v>8381</v>
      </c>
    </row>
    <row r="3578" customFormat="false" ht="34.5" hidden="false" customHeight="true" outlineLevel="0" collapsed="false">
      <c r="A3578" s="10" t="s">
        <v>8392</v>
      </c>
      <c r="B3578" s="10" t="s">
        <v>45</v>
      </c>
      <c r="C3578" s="8" t="s">
        <v>8393</v>
      </c>
      <c r="D3578" s="8" t="s">
        <v>8394</v>
      </c>
      <c r="E3578" s="11" t="n">
        <v>239</v>
      </c>
      <c r="F3578" s="8" t="str">
        <f aca="false">IFERROR(INDEX(Section_Master!$D$2:$D$477,MATCH($E3578,Section_Master!$A$2:$A$477,0))&amp;"","")</f>
        <v>Imprisonment up to 6 months, or fine, or both; up to 2 years in graver cases [s.239]</v>
      </c>
      <c r="G3578" s="10" t="str">
        <f aca="false">IFERROR(INDEX(Section_Master!$E$2:$E$477,MATCH($E3578,Section_Master!$A$2:$A$477,0))&amp;"","")</f>
        <v>No</v>
      </c>
      <c r="H3578" s="10" t="str">
        <f aca="false">IFERROR(INDEX(Section_Master!$F$2:$F$477,MATCH($E3578,Section_Master!$A$2:$A$477,0))&amp;"","")</f>
        <v>Yes</v>
      </c>
      <c r="I3578" s="10" t="str">
        <f aca="false">IFERROR(INDEX(Section_Master!$G$2:$G$477,MATCH($E3578,Section_Master!$A$2:$A$477,0))&amp;"","")</f>
        <v>No</v>
      </c>
      <c r="J3578" s="10" t="s">
        <v>48</v>
      </c>
      <c r="K3578" s="8" t="s">
        <v>8395</v>
      </c>
    </row>
    <row r="3579" customFormat="false" ht="34.5" hidden="false" customHeight="true" outlineLevel="0" collapsed="false">
      <c r="A3579" s="10" t="s">
        <v>8396</v>
      </c>
      <c r="B3579" s="10" t="s">
        <v>45</v>
      </c>
      <c r="C3579" s="8" t="s">
        <v>8393</v>
      </c>
      <c r="D3579" s="8" t="s">
        <v>8397</v>
      </c>
      <c r="E3579" s="11" t="n">
        <v>239</v>
      </c>
      <c r="F3579" s="8" t="str">
        <f aca="false">IFERROR(INDEX(Section_Master!$D$2:$D$477,MATCH($E3579,Section_Master!$A$2:$A$477,0))&amp;"","")</f>
        <v>Imprisonment up to 6 months, or fine, or both; up to 2 years in graver cases [s.239]</v>
      </c>
      <c r="G3579" s="10" t="str">
        <f aca="false">IFERROR(INDEX(Section_Master!$E$2:$E$477,MATCH($E3579,Section_Master!$A$2:$A$477,0))&amp;"","")</f>
        <v>No</v>
      </c>
      <c r="H3579" s="10" t="str">
        <f aca="false">IFERROR(INDEX(Section_Master!$F$2:$F$477,MATCH($E3579,Section_Master!$A$2:$A$477,0))&amp;"","")</f>
        <v>Yes</v>
      </c>
      <c r="I3579" s="10" t="str">
        <f aca="false">IFERROR(INDEX(Section_Master!$G$2:$G$477,MATCH($E3579,Section_Master!$A$2:$A$477,0))&amp;"","")</f>
        <v>No</v>
      </c>
      <c r="J3579" s="10" t="s">
        <v>52</v>
      </c>
      <c r="K3579" s="8" t="s">
        <v>8395</v>
      </c>
    </row>
    <row r="3580" customFormat="false" ht="34.5" hidden="false" customHeight="true" outlineLevel="0" collapsed="false">
      <c r="A3580" s="10" t="s">
        <v>8398</v>
      </c>
      <c r="B3580" s="10" t="s">
        <v>45</v>
      </c>
      <c r="C3580" s="8" t="s">
        <v>8393</v>
      </c>
      <c r="D3580" s="8" t="s">
        <v>8399</v>
      </c>
      <c r="E3580" s="11" t="n">
        <v>239</v>
      </c>
      <c r="F3580" s="8" t="str">
        <f aca="false">IFERROR(INDEX(Section_Master!$D$2:$D$477,MATCH($E3580,Section_Master!$A$2:$A$477,0))&amp;"","")</f>
        <v>Imprisonment up to 6 months, or fine, or both; up to 2 years in graver cases [s.239]</v>
      </c>
      <c r="G3580" s="10" t="str">
        <f aca="false">IFERROR(INDEX(Section_Master!$E$2:$E$477,MATCH($E3580,Section_Master!$A$2:$A$477,0))&amp;"","")</f>
        <v>No</v>
      </c>
      <c r="H3580" s="10" t="str">
        <f aca="false">IFERROR(INDEX(Section_Master!$F$2:$F$477,MATCH($E3580,Section_Master!$A$2:$A$477,0))&amp;"","")</f>
        <v>Yes</v>
      </c>
      <c r="I3580" s="10" t="str">
        <f aca="false">IFERROR(INDEX(Section_Master!$G$2:$G$477,MATCH($E3580,Section_Master!$A$2:$A$477,0))&amp;"","")</f>
        <v>No</v>
      </c>
      <c r="J3580" s="10" t="s">
        <v>55</v>
      </c>
      <c r="K3580" s="8" t="s">
        <v>8395</v>
      </c>
    </row>
    <row r="3581" customFormat="false" ht="23.25" hidden="false" customHeight="true" outlineLevel="0" collapsed="false">
      <c r="A3581" s="10" t="s">
        <v>8400</v>
      </c>
      <c r="B3581" s="10" t="s">
        <v>45</v>
      </c>
      <c r="C3581" s="8" t="s">
        <v>8393</v>
      </c>
      <c r="D3581" s="8" t="s">
        <v>8401</v>
      </c>
      <c r="E3581" s="11" t="n">
        <v>239</v>
      </c>
      <c r="F3581" s="8" t="str">
        <f aca="false">IFERROR(INDEX(Section_Master!$D$2:$D$477,MATCH($E3581,Section_Master!$A$2:$A$477,0))&amp;"","")</f>
        <v>Imprisonment up to 6 months, or fine, or both; up to 2 years in graver cases [s.239]</v>
      </c>
      <c r="G3581" s="10" t="str">
        <f aca="false">IFERROR(INDEX(Section_Master!$E$2:$E$477,MATCH($E3581,Section_Master!$A$2:$A$477,0))&amp;"","")</f>
        <v>No</v>
      </c>
      <c r="H3581" s="10" t="str">
        <f aca="false">IFERROR(INDEX(Section_Master!$F$2:$F$477,MATCH($E3581,Section_Master!$A$2:$A$477,0))&amp;"","")</f>
        <v>Yes</v>
      </c>
      <c r="I3581" s="10" t="str">
        <f aca="false">IFERROR(INDEX(Section_Master!$G$2:$G$477,MATCH($E3581,Section_Master!$A$2:$A$477,0))&amp;"","")</f>
        <v>No</v>
      </c>
      <c r="J3581" s="10" t="s">
        <v>58</v>
      </c>
      <c r="K3581" s="8" t="s">
        <v>8395</v>
      </c>
    </row>
    <row r="3582" customFormat="false" ht="34.5" hidden="false" customHeight="true" outlineLevel="0" collapsed="false">
      <c r="A3582" s="10" t="s">
        <v>8402</v>
      </c>
      <c r="B3582" s="10" t="s">
        <v>45</v>
      </c>
      <c r="C3582" s="8" t="s">
        <v>8393</v>
      </c>
      <c r="D3582" s="8" t="s">
        <v>8403</v>
      </c>
      <c r="E3582" s="11" t="n">
        <v>239</v>
      </c>
      <c r="F3582" s="8" t="str">
        <f aca="false">IFERROR(INDEX(Section_Master!$D$2:$D$477,MATCH($E3582,Section_Master!$A$2:$A$477,0))&amp;"","")</f>
        <v>Imprisonment up to 6 months, or fine, or both; up to 2 years in graver cases [s.239]</v>
      </c>
      <c r="G3582" s="10" t="str">
        <f aca="false">IFERROR(INDEX(Section_Master!$E$2:$E$477,MATCH($E3582,Section_Master!$A$2:$A$477,0))&amp;"","")</f>
        <v>No</v>
      </c>
      <c r="H3582" s="10" t="str">
        <f aca="false">IFERROR(INDEX(Section_Master!$F$2:$F$477,MATCH($E3582,Section_Master!$A$2:$A$477,0))&amp;"","")</f>
        <v>Yes</v>
      </c>
      <c r="I3582" s="10" t="str">
        <f aca="false">IFERROR(INDEX(Section_Master!$G$2:$G$477,MATCH($E3582,Section_Master!$A$2:$A$477,0))&amp;"","")</f>
        <v>No</v>
      </c>
      <c r="J3582" s="10" t="s">
        <v>61</v>
      </c>
      <c r="K3582" s="8" t="s">
        <v>8395</v>
      </c>
    </row>
    <row r="3583" customFormat="false" ht="34.5" hidden="false" customHeight="true" outlineLevel="0" collapsed="false">
      <c r="A3583" s="10" t="s">
        <v>8404</v>
      </c>
      <c r="B3583" s="10" t="s">
        <v>45</v>
      </c>
      <c r="C3583" s="8" t="s">
        <v>8393</v>
      </c>
      <c r="D3583" s="8" t="s">
        <v>8405</v>
      </c>
      <c r="E3583" s="11" t="n">
        <v>239</v>
      </c>
      <c r="F3583" s="8" t="str">
        <f aca="false">IFERROR(INDEX(Section_Master!$D$2:$D$477,MATCH($E3583,Section_Master!$A$2:$A$477,0))&amp;"","")</f>
        <v>Imprisonment up to 6 months, or fine, or both; up to 2 years in graver cases [s.239]</v>
      </c>
      <c r="G3583" s="10" t="str">
        <f aca="false">IFERROR(INDEX(Section_Master!$E$2:$E$477,MATCH($E3583,Section_Master!$A$2:$A$477,0))&amp;"","")</f>
        <v>No</v>
      </c>
      <c r="H3583" s="10" t="str">
        <f aca="false">IFERROR(INDEX(Section_Master!$F$2:$F$477,MATCH($E3583,Section_Master!$A$2:$A$477,0))&amp;"","")</f>
        <v>Yes</v>
      </c>
      <c r="I3583" s="10" t="str">
        <f aca="false">IFERROR(INDEX(Section_Master!$G$2:$G$477,MATCH($E3583,Section_Master!$A$2:$A$477,0))&amp;"","")</f>
        <v>No</v>
      </c>
      <c r="J3583" s="10" t="s">
        <v>64</v>
      </c>
      <c r="K3583" s="8" t="s">
        <v>8395</v>
      </c>
    </row>
    <row r="3584" customFormat="false" ht="34.5" hidden="false" customHeight="true" outlineLevel="0" collapsed="false">
      <c r="A3584" s="10" t="s">
        <v>8406</v>
      </c>
      <c r="B3584" s="10" t="s">
        <v>45</v>
      </c>
      <c r="C3584" s="8" t="s">
        <v>8407</v>
      </c>
      <c r="D3584" s="8" t="s">
        <v>8408</v>
      </c>
      <c r="E3584" s="11" t="n">
        <v>240</v>
      </c>
      <c r="F3584" s="8" t="str">
        <f aca="false">IFERROR(INDEX(Section_Master!$D$2:$D$477,MATCH($E3584,Section_Master!$A$2:$A$477,0))&amp;"","")</f>
        <v>Imprisonment up to 2 years, or fine, or both</v>
      </c>
      <c r="G3584" s="10" t="str">
        <f aca="false">IFERROR(INDEX(Section_Master!$E$2:$E$477,MATCH($E3584,Section_Master!$A$2:$A$477,0))&amp;"","")</f>
        <v>No</v>
      </c>
      <c r="H3584" s="10" t="str">
        <f aca="false">IFERROR(INDEX(Section_Master!$F$2:$F$477,MATCH($E3584,Section_Master!$A$2:$A$477,0))&amp;"","")</f>
        <v>Yes</v>
      </c>
      <c r="I3584" s="10" t="str">
        <f aca="false">IFERROR(INDEX(Section_Master!$G$2:$G$477,MATCH($E3584,Section_Master!$A$2:$A$477,0))&amp;"","")</f>
        <v>No</v>
      </c>
      <c r="J3584" s="10" t="s">
        <v>48</v>
      </c>
      <c r="K3584" s="8" t="s">
        <v>8409</v>
      </c>
    </row>
    <row r="3585" customFormat="false" ht="34.5" hidden="false" customHeight="true" outlineLevel="0" collapsed="false">
      <c r="A3585" s="10" t="s">
        <v>8410</v>
      </c>
      <c r="B3585" s="10" t="s">
        <v>45</v>
      </c>
      <c r="C3585" s="8" t="s">
        <v>8407</v>
      </c>
      <c r="D3585" s="8" t="s">
        <v>8411</v>
      </c>
      <c r="E3585" s="11" t="n">
        <v>240</v>
      </c>
      <c r="F3585" s="8" t="str">
        <f aca="false">IFERROR(INDEX(Section_Master!$D$2:$D$477,MATCH($E3585,Section_Master!$A$2:$A$477,0))&amp;"","")</f>
        <v>Imprisonment up to 2 years, or fine, or both</v>
      </c>
      <c r="G3585" s="10" t="str">
        <f aca="false">IFERROR(INDEX(Section_Master!$E$2:$E$477,MATCH($E3585,Section_Master!$A$2:$A$477,0))&amp;"","")</f>
        <v>No</v>
      </c>
      <c r="H3585" s="10" t="str">
        <f aca="false">IFERROR(INDEX(Section_Master!$F$2:$F$477,MATCH($E3585,Section_Master!$A$2:$A$477,0))&amp;"","")</f>
        <v>Yes</v>
      </c>
      <c r="I3585" s="10" t="str">
        <f aca="false">IFERROR(INDEX(Section_Master!$G$2:$G$477,MATCH($E3585,Section_Master!$A$2:$A$477,0))&amp;"","")</f>
        <v>No</v>
      </c>
      <c r="J3585" s="10" t="s">
        <v>52</v>
      </c>
      <c r="K3585" s="8" t="s">
        <v>8409</v>
      </c>
    </row>
    <row r="3586" customFormat="false" ht="34.5" hidden="false" customHeight="true" outlineLevel="0" collapsed="false">
      <c r="A3586" s="10" t="s">
        <v>8412</v>
      </c>
      <c r="B3586" s="10" t="s">
        <v>45</v>
      </c>
      <c r="C3586" s="8" t="s">
        <v>8407</v>
      </c>
      <c r="D3586" s="8" t="s">
        <v>8413</v>
      </c>
      <c r="E3586" s="11" t="n">
        <v>240</v>
      </c>
      <c r="F3586" s="8" t="str">
        <f aca="false">IFERROR(INDEX(Section_Master!$D$2:$D$477,MATCH($E3586,Section_Master!$A$2:$A$477,0))&amp;"","")</f>
        <v>Imprisonment up to 2 years, or fine, or both</v>
      </c>
      <c r="G3586" s="10" t="str">
        <f aca="false">IFERROR(INDEX(Section_Master!$E$2:$E$477,MATCH($E3586,Section_Master!$A$2:$A$477,0))&amp;"","")</f>
        <v>No</v>
      </c>
      <c r="H3586" s="10" t="str">
        <f aca="false">IFERROR(INDEX(Section_Master!$F$2:$F$477,MATCH($E3586,Section_Master!$A$2:$A$477,0))&amp;"","")</f>
        <v>Yes</v>
      </c>
      <c r="I3586" s="10" t="str">
        <f aca="false">IFERROR(INDEX(Section_Master!$G$2:$G$477,MATCH($E3586,Section_Master!$A$2:$A$477,0))&amp;"","")</f>
        <v>No</v>
      </c>
      <c r="J3586" s="10" t="s">
        <v>55</v>
      </c>
      <c r="K3586" s="8" t="s">
        <v>8409</v>
      </c>
    </row>
    <row r="3587" customFormat="false" ht="23.25" hidden="false" customHeight="true" outlineLevel="0" collapsed="false">
      <c r="A3587" s="10" t="s">
        <v>8414</v>
      </c>
      <c r="B3587" s="10" t="s">
        <v>45</v>
      </c>
      <c r="C3587" s="8" t="s">
        <v>8407</v>
      </c>
      <c r="D3587" s="8" t="s">
        <v>8415</v>
      </c>
      <c r="E3587" s="11" t="n">
        <v>240</v>
      </c>
      <c r="F3587" s="8" t="str">
        <f aca="false">IFERROR(INDEX(Section_Master!$D$2:$D$477,MATCH($E3587,Section_Master!$A$2:$A$477,0))&amp;"","")</f>
        <v>Imprisonment up to 2 years, or fine, or both</v>
      </c>
      <c r="G3587" s="10" t="str">
        <f aca="false">IFERROR(INDEX(Section_Master!$E$2:$E$477,MATCH($E3587,Section_Master!$A$2:$A$477,0))&amp;"","")</f>
        <v>No</v>
      </c>
      <c r="H3587" s="10" t="str">
        <f aca="false">IFERROR(INDEX(Section_Master!$F$2:$F$477,MATCH($E3587,Section_Master!$A$2:$A$477,0))&amp;"","")</f>
        <v>Yes</v>
      </c>
      <c r="I3587" s="10" t="str">
        <f aca="false">IFERROR(INDEX(Section_Master!$G$2:$G$477,MATCH($E3587,Section_Master!$A$2:$A$477,0))&amp;"","")</f>
        <v>No</v>
      </c>
      <c r="J3587" s="10" t="s">
        <v>58</v>
      </c>
      <c r="K3587" s="8" t="s">
        <v>8409</v>
      </c>
    </row>
    <row r="3588" customFormat="false" ht="34.5" hidden="false" customHeight="true" outlineLevel="0" collapsed="false">
      <c r="A3588" s="10" t="s">
        <v>8416</v>
      </c>
      <c r="B3588" s="10" t="s">
        <v>45</v>
      </c>
      <c r="C3588" s="8" t="s">
        <v>8407</v>
      </c>
      <c r="D3588" s="8" t="s">
        <v>8417</v>
      </c>
      <c r="E3588" s="11" t="n">
        <v>240</v>
      </c>
      <c r="F3588" s="8" t="str">
        <f aca="false">IFERROR(INDEX(Section_Master!$D$2:$D$477,MATCH($E3588,Section_Master!$A$2:$A$477,0))&amp;"","")</f>
        <v>Imprisonment up to 2 years, or fine, or both</v>
      </c>
      <c r="G3588" s="10" t="str">
        <f aca="false">IFERROR(INDEX(Section_Master!$E$2:$E$477,MATCH($E3588,Section_Master!$A$2:$A$477,0))&amp;"","")</f>
        <v>No</v>
      </c>
      <c r="H3588" s="10" t="str">
        <f aca="false">IFERROR(INDEX(Section_Master!$F$2:$F$477,MATCH($E3588,Section_Master!$A$2:$A$477,0))&amp;"","")</f>
        <v>Yes</v>
      </c>
      <c r="I3588" s="10" t="str">
        <f aca="false">IFERROR(INDEX(Section_Master!$G$2:$G$477,MATCH($E3588,Section_Master!$A$2:$A$477,0))&amp;"","")</f>
        <v>No</v>
      </c>
      <c r="J3588" s="10" t="s">
        <v>61</v>
      </c>
      <c r="K3588" s="8" t="s">
        <v>8409</v>
      </c>
    </row>
    <row r="3589" customFormat="false" ht="34.5" hidden="false" customHeight="true" outlineLevel="0" collapsed="false">
      <c r="A3589" s="10" t="s">
        <v>8418</v>
      </c>
      <c r="B3589" s="10" t="s">
        <v>45</v>
      </c>
      <c r="C3589" s="8" t="s">
        <v>8407</v>
      </c>
      <c r="D3589" s="8" t="s">
        <v>8419</v>
      </c>
      <c r="E3589" s="11" t="n">
        <v>240</v>
      </c>
      <c r="F3589" s="8" t="str">
        <f aca="false">IFERROR(INDEX(Section_Master!$D$2:$D$477,MATCH($E3589,Section_Master!$A$2:$A$477,0))&amp;"","")</f>
        <v>Imprisonment up to 2 years, or fine, or both</v>
      </c>
      <c r="G3589" s="10" t="str">
        <f aca="false">IFERROR(INDEX(Section_Master!$E$2:$E$477,MATCH($E3589,Section_Master!$A$2:$A$477,0))&amp;"","")</f>
        <v>No</v>
      </c>
      <c r="H3589" s="10" t="str">
        <f aca="false">IFERROR(INDEX(Section_Master!$F$2:$F$477,MATCH($E3589,Section_Master!$A$2:$A$477,0))&amp;"","")</f>
        <v>Yes</v>
      </c>
      <c r="I3589" s="10" t="str">
        <f aca="false">IFERROR(INDEX(Section_Master!$G$2:$G$477,MATCH($E3589,Section_Master!$A$2:$A$477,0))&amp;"","")</f>
        <v>No</v>
      </c>
      <c r="J3589" s="10" t="s">
        <v>64</v>
      </c>
      <c r="K3589" s="8" t="s">
        <v>8409</v>
      </c>
    </row>
    <row r="3590" customFormat="false" ht="34.5" hidden="false" customHeight="true" outlineLevel="0" collapsed="false">
      <c r="A3590" s="10" t="s">
        <v>8420</v>
      </c>
      <c r="B3590" s="10" t="s">
        <v>45</v>
      </c>
      <c r="C3590" s="8" t="s">
        <v>8421</v>
      </c>
      <c r="D3590" s="8" t="s">
        <v>8422</v>
      </c>
      <c r="E3590" s="11" t="n">
        <v>241</v>
      </c>
      <c r="F3590" s="8" t="str">
        <f aca="false">IFERROR(INDEX(Section_Master!$D$2:$D$477,MATCH($E3590,Section_Master!$A$2:$A$477,0))&amp;"","")</f>
        <v>Imprisonment up to 3 years, or fine, or both</v>
      </c>
      <c r="G3590" s="10" t="str">
        <f aca="false">IFERROR(INDEX(Section_Master!$E$2:$E$477,MATCH($E3590,Section_Master!$A$2:$A$477,0))&amp;"","")</f>
        <v>No</v>
      </c>
      <c r="H3590" s="10" t="str">
        <f aca="false">IFERROR(INDEX(Section_Master!$F$2:$F$477,MATCH($E3590,Section_Master!$A$2:$A$477,0))&amp;"","")</f>
        <v>Yes</v>
      </c>
      <c r="I3590" s="10" t="str">
        <f aca="false">IFERROR(INDEX(Section_Master!$G$2:$G$477,MATCH($E3590,Section_Master!$A$2:$A$477,0))&amp;"","")</f>
        <v>No</v>
      </c>
      <c r="J3590" s="10" t="s">
        <v>48</v>
      </c>
      <c r="K3590" s="8" t="s">
        <v>8423</v>
      </c>
    </row>
    <row r="3591" customFormat="false" ht="34.5" hidden="false" customHeight="true" outlineLevel="0" collapsed="false">
      <c r="A3591" s="10" t="s">
        <v>8424</v>
      </c>
      <c r="B3591" s="10" t="s">
        <v>45</v>
      </c>
      <c r="C3591" s="8" t="s">
        <v>8421</v>
      </c>
      <c r="D3591" s="8" t="s">
        <v>8425</v>
      </c>
      <c r="E3591" s="11" t="n">
        <v>241</v>
      </c>
      <c r="F3591" s="8" t="str">
        <f aca="false">IFERROR(INDEX(Section_Master!$D$2:$D$477,MATCH($E3591,Section_Master!$A$2:$A$477,0))&amp;"","")</f>
        <v>Imprisonment up to 3 years, or fine, or both</v>
      </c>
      <c r="G3591" s="10" t="str">
        <f aca="false">IFERROR(INDEX(Section_Master!$E$2:$E$477,MATCH($E3591,Section_Master!$A$2:$A$477,0))&amp;"","")</f>
        <v>No</v>
      </c>
      <c r="H3591" s="10" t="str">
        <f aca="false">IFERROR(INDEX(Section_Master!$F$2:$F$477,MATCH($E3591,Section_Master!$A$2:$A$477,0))&amp;"","")</f>
        <v>Yes</v>
      </c>
      <c r="I3591" s="10" t="str">
        <f aca="false">IFERROR(INDEX(Section_Master!$G$2:$G$477,MATCH($E3591,Section_Master!$A$2:$A$477,0))&amp;"","")</f>
        <v>No</v>
      </c>
      <c r="J3591" s="10" t="s">
        <v>52</v>
      </c>
      <c r="K3591" s="8" t="s">
        <v>8423</v>
      </c>
    </row>
    <row r="3592" customFormat="false" ht="34.5" hidden="false" customHeight="true" outlineLevel="0" collapsed="false">
      <c r="A3592" s="10" t="s">
        <v>8426</v>
      </c>
      <c r="B3592" s="10" t="s">
        <v>45</v>
      </c>
      <c r="C3592" s="8" t="s">
        <v>8421</v>
      </c>
      <c r="D3592" s="8" t="s">
        <v>8427</v>
      </c>
      <c r="E3592" s="11" t="n">
        <v>241</v>
      </c>
      <c r="F3592" s="8" t="str">
        <f aca="false">IFERROR(INDEX(Section_Master!$D$2:$D$477,MATCH($E3592,Section_Master!$A$2:$A$477,0))&amp;"","")</f>
        <v>Imprisonment up to 3 years, or fine, or both</v>
      </c>
      <c r="G3592" s="10" t="str">
        <f aca="false">IFERROR(INDEX(Section_Master!$E$2:$E$477,MATCH($E3592,Section_Master!$A$2:$A$477,0))&amp;"","")</f>
        <v>No</v>
      </c>
      <c r="H3592" s="10" t="str">
        <f aca="false">IFERROR(INDEX(Section_Master!$F$2:$F$477,MATCH($E3592,Section_Master!$A$2:$A$477,0))&amp;"","")</f>
        <v>Yes</v>
      </c>
      <c r="I3592" s="10" t="str">
        <f aca="false">IFERROR(INDEX(Section_Master!$G$2:$G$477,MATCH($E3592,Section_Master!$A$2:$A$477,0))&amp;"","")</f>
        <v>No</v>
      </c>
      <c r="J3592" s="10" t="s">
        <v>55</v>
      </c>
      <c r="K3592" s="8" t="s">
        <v>8423</v>
      </c>
    </row>
    <row r="3593" customFormat="false" ht="34.5" hidden="false" customHeight="true" outlineLevel="0" collapsed="false">
      <c r="A3593" s="10" t="s">
        <v>8428</v>
      </c>
      <c r="B3593" s="10" t="s">
        <v>45</v>
      </c>
      <c r="C3593" s="8" t="s">
        <v>8421</v>
      </c>
      <c r="D3593" s="8" t="s">
        <v>8429</v>
      </c>
      <c r="E3593" s="11" t="n">
        <v>241</v>
      </c>
      <c r="F3593" s="8" t="str">
        <f aca="false">IFERROR(INDEX(Section_Master!$D$2:$D$477,MATCH($E3593,Section_Master!$A$2:$A$477,0))&amp;"","")</f>
        <v>Imprisonment up to 3 years, or fine, or both</v>
      </c>
      <c r="G3593" s="10" t="str">
        <f aca="false">IFERROR(INDEX(Section_Master!$E$2:$E$477,MATCH($E3593,Section_Master!$A$2:$A$477,0))&amp;"","")</f>
        <v>No</v>
      </c>
      <c r="H3593" s="10" t="str">
        <f aca="false">IFERROR(INDEX(Section_Master!$F$2:$F$477,MATCH($E3593,Section_Master!$A$2:$A$477,0))&amp;"","")</f>
        <v>Yes</v>
      </c>
      <c r="I3593" s="10" t="str">
        <f aca="false">IFERROR(INDEX(Section_Master!$G$2:$G$477,MATCH($E3593,Section_Master!$A$2:$A$477,0))&amp;"","")</f>
        <v>No</v>
      </c>
      <c r="J3593" s="10" t="s">
        <v>58</v>
      </c>
      <c r="K3593" s="8" t="s">
        <v>8423</v>
      </c>
    </row>
    <row r="3594" customFormat="false" ht="34.5" hidden="false" customHeight="true" outlineLevel="0" collapsed="false">
      <c r="A3594" s="10" t="s">
        <v>8430</v>
      </c>
      <c r="B3594" s="10" t="s">
        <v>45</v>
      </c>
      <c r="C3594" s="8" t="s">
        <v>8421</v>
      </c>
      <c r="D3594" s="8" t="s">
        <v>8431</v>
      </c>
      <c r="E3594" s="11" t="n">
        <v>241</v>
      </c>
      <c r="F3594" s="8" t="str">
        <f aca="false">IFERROR(INDEX(Section_Master!$D$2:$D$477,MATCH($E3594,Section_Master!$A$2:$A$477,0))&amp;"","")</f>
        <v>Imprisonment up to 3 years, or fine, or both</v>
      </c>
      <c r="G3594" s="10" t="str">
        <f aca="false">IFERROR(INDEX(Section_Master!$E$2:$E$477,MATCH($E3594,Section_Master!$A$2:$A$477,0))&amp;"","")</f>
        <v>No</v>
      </c>
      <c r="H3594" s="10" t="str">
        <f aca="false">IFERROR(INDEX(Section_Master!$F$2:$F$477,MATCH($E3594,Section_Master!$A$2:$A$477,0))&amp;"","")</f>
        <v>Yes</v>
      </c>
      <c r="I3594" s="10" t="str">
        <f aca="false">IFERROR(INDEX(Section_Master!$G$2:$G$477,MATCH($E3594,Section_Master!$A$2:$A$477,0))&amp;"","")</f>
        <v>No</v>
      </c>
      <c r="J3594" s="10" t="s">
        <v>61</v>
      </c>
      <c r="K3594" s="8" t="s">
        <v>8423</v>
      </c>
    </row>
    <row r="3595" customFormat="false" ht="45.75" hidden="false" customHeight="true" outlineLevel="0" collapsed="false">
      <c r="A3595" s="10" t="s">
        <v>8432</v>
      </c>
      <c r="B3595" s="10" t="s">
        <v>45</v>
      </c>
      <c r="C3595" s="8" t="s">
        <v>8421</v>
      </c>
      <c r="D3595" s="8" t="s">
        <v>8433</v>
      </c>
      <c r="E3595" s="11" t="n">
        <v>241</v>
      </c>
      <c r="F3595" s="8" t="str">
        <f aca="false">IFERROR(INDEX(Section_Master!$D$2:$D$477,MATCH($E3595,Section_Master!$A$2:$A$477,0))&amp;"","")</f>
        <v>Imprisonment up to 3 years, or fine, or both</v>
      </c>
      <c r="G3595" s="10" t="str">
        <f aca="false">IFERROR(INDEX(Section_Master!$E$2:$E$477,MATCH($E3595,Section_Master!$A$2:$A$477,0))&amp;"","")</f>
        <v>No</v>
      </c>
      <c r="H3595" s="10" t="str">
        <f aca="false">IFERROR(INDEX(Section_Master!$F$2:$F$477,MATCH($E3595,Section_Master!$A$2:$A$477,0))&amp;"","")</f>
        <v>Yes</v>
      </c>
      <c r="I3595" s="10" t="str">
        <f aca="false">IFERROR(INDEX(Section_Master!$G$2:$G$477,MATCH($E3595,Section_Master!$A$2:$A$477,0))&amp;"","")</f>
        <v>No</v>
      </c>
      <c r="J3595" s="10" t="s">
        <v>64</v>
      </c>
      <c r="K3595" s="8" t="s">
        <v>8423</v>
      </c>
    </row>
    <row r="3596" customFormat="false" ht="34.5" hidden="false" customHeight="true" outlineLevel="0" collapsed="false">
      <c r="A3596" s="10" t="s">
        <v>8434</v>
      </c>
      <c r="B3596" s="10" t="s">
        <v>45</v>
      </c>
      <c r="C3596" s="8" t="s">
        <v>8435</v>
      </c>
      <c r="D3596" s="8" t="s">
        <v>8436</v>
      </c>
      <c r="E3596" s="11" t="n">
        <v>242</v>
      </c>
      <c r="F3596" s="8" t="str">
        <f aca="false">IFERROR(INDEX(Section_Master!$D$2:$D$477,MATCH($E3596,Section_Master!$A$2:$A$477,0))&amp;"","")</f>
        <v>Imprisonment up to 3 years, or fine, or both</v>
      </c>
      <c r="G3596" s="10" t="str">
        <f aca="false">IFERROR(INDEX(Section_Master!$E$2:$E$477,MATCH($E3596,Section_Master!$A$2:$A$477,0))&amp;"","")</f>
        <v>No</v>
      </c>
      <c r="H3596" s="10" t="str">
        <f aca="false">IFERROR(INDEX(Section_Master!$F$2:$F$477,MATCH($E3596,Section_Master!$A$2:$A$477,0))&amp;"","")</f>
        <v>Yes</v>
      </c>
      <c r="I3596" s="10" t="str">
        <f aca="false">IFERROR(INDEX(Section_Master!$G$2:$G$477,MATCH($E3596,Section_Master!$A$2:$A$477,0))&amp;"","")</f>
        <v>No</v>
      </c>
      <c r="J3596" s="10" t="s">
        <v>48</v>
      </c>
      <c r="K3596" s="8" t="s">
        <v>8437</v>
      </c>
    </row>
    <row r="3597" customFormat="false" ht="34.5" hidden="false" customHeight="true" outlineLevel="0" collapsed="false">
      <c r="A3597" s="10" t="s">
        <v>8438</v>
      </c>
      <c r="B3597" s="10" t="s">
        <v>45</v>
      </c>
      <c r="C3597" s="8" t="s">
        <v>8435</v>
      </c>
      <c r="D3597" s="8" t="s">
        <v>8439</v>
      </c>
      <c r="E3597" s="11" t="n">
        <v>242</v>
      </c>
      <c r="F3597" s="8" t="str">
        <f aca="false">IFERROR(INDEX(Section_Master!$D$2:$D$477,MATCH($E3597,Section_Master!$A$2:$A$477,0))&amp;"","")</f>
        <v>Imprisonment up to 3 years, or fine, or both</v>
      </c>
      <c r="G3597" s="10" t="str">
        <f aca="false">IFERROR(INDEX(Section_Master!$E$2:$E$477,MATCH($E3597,Section_Master!$A$2:$A$477,0))&amp;"","")</f>
        <v>No</v>
      </c>
      <c r="H3597" s="10" t="str">
        <f aca="false">IFERROR(INDEX(Section_Master!$F$2:$F$477,MATCH($E3597,Section_Master!$A$2:$A$477,0))&amp;"","")</f>
        <v>Yes</v>
      </c>
      <c r="I3597" s="10" t="str">
        <f aca="false">IFERROR(INDEX(Section_Master!$G$2:$G$477,MATCH($E3597,Section_Master!$A$2:$A$477,0))&amp;"","")</f>
        <v>No</v>
      </c>
      <c r="J3597" s="10" t="s">
        <v>52</v>
      </c>
      <c r="K3597" s="8" t="s">
        <v>8437</v>
      </c>
    </row>
    <row r="3598" customFormat="false" ht="34.5" hidden="false" customHeight="true" outlineLevel="0" collapsed="false">
      <c r="A3598" s="10" t="s">
        <v>8440</v>
      </c>
      <c r="B3598" s="10" t="s">
        <v>45</v>
      </c>
      <c r="C3598" s="8" t="s">
        <v>8435</v>
      </c>
      <c r="D3598" s="8" t="s">
        <v>8441</v>
      </c>
      <c r="E3598" s="11" t="n">
        <v>242</v>
      </c>
      <c r="F3598" s="8" t="str">
        <f aca="false">IFERROR(INDEX(Section_Master!$D$2:$D$477,MATCH($E3598,Section_Master!$A$2:$A$477,0))&amp;"","")</f>
        <v>Imprisonment up to 3 years, or fine, or both</v>
      </c>
      <c r="G3598" s="10" t="str">
        <f aca="false">IFERROR(INDEX(Section_Master!$E$2:$E$477,MATCH($E3598,Section_Master!$A$2:$A$477,0))&amp;"","")</f>
        <v>No</v>
      </c>
      <c r="H3598" s="10" t="str">
        <f aca="false">IFERROR(INDEX(Section_Master!$F$2:$F$477,MATCH($E3598,Section_Master!$A$2:$A$477,0))&amp;"","")</f>
        <v>Yes</v>
      </c>
      <c r="I3598" s="10" t="str">
        <f aca="false">IFERROR(INDEX(Section_Master!$G$2:$G$477,MATCH($E3598,Section_Master!$A$2:$A$477,0))&amp;"","")</f>
        <v>No</v>
      </c>
      <c r="J3598" s="10" t="s">
        <v>55</v>
      </c>
      <c r="K3598" s="8" t="s">
        <v>8437</v>
      </c>
    </row>
    <row r="3599" customFormat="false" ht="23.25" hidden="false" customHeight="true" outlineLevel="0" collapsed="false">
      <c r="A3599" s="10" t="s">
        <v>8442</v>
      </c>
      <c r="B3599" s="10" t="s">
        <v>45</v>
      </c>
      <c r="C3599" s="8" t="s">
        <v>8435</v>
      </c>
      <c r="D3599" s="8" t="s">
        <v>8443</v>
      </c>
      <c r="E3599" s="11" t="n">
        <v>242</v>
      </c>
      <c r="F3599" s="8" t="str">
        <f aca="false">IFERROR(INDEX(Section_Master!$D$2:$D$477,MATCH($E3599,Section_Master!$A$2:$A$477,0))&amp;"","")</f>
        <v>Imprisonment up to 3 years, or fine, or both</v>
      </c>
      <c r="G3599" s="10" t="str">
        <f aca="false">IFERROR(INDEX(Section_Master!$E$2:$E$477,MATCH($E3599,Section_Master!$A$2:$A$477,0))&amp;"","")</f>
        <v>No</v>
      </c>
      <c r="H3599" s="10" t="str">
        <f aca="false">IFERROR(INDEX(Section_Master!$F$2:$F$477,MATCH($E3599,Section_Master!$A$2:$A$477,0))&amp;"","")</f>
        <v>Yes</v>
      </c>
      <c r="I3599" s="10" t="str">
        <f aca="false">IFERROR(INDEX(Section_Master!$G$2:$G$477,MATCH($E3599,Section_Master!$A$2:$A$477,0))&amp;"","")</f>
        <v>No</v>
      </c>
      <c r="J3599" s="10" t="s">
        <v>58</v>
      </c>
      <c r="K3599" s="8" t="s">
        <v>8437</v>
      </c>
    </row>
    <row r="3600" customFormat="false" ht="45.75" hidden="false" customHeight="true" outlineLevel="0" collapsed="false">
      <c r="A3600" s="10" t="s">
        <v>8444</v>
      </c>
      <c r="B3600" s="10" t="s">
        <v>45</v>
      </c>
      <c r="C3600" s="8" t="s">
        <v>8435</v>
      </c>
      <c r="D3600" s="8" t="s">
        <v>8445</v>
      </c>
      <c r="E3600" s="11" t="n">
        <v>242</v>
      </c>
      <c r="F3600" s="8" t="str">
        <f aca="false">IFERROR(INDEX(Section_Master!$D$2:$D$477,MATCH($E3600,Section_Master!$A$2:$A$477,0))&amp;"","")</f>
        <v>Imprisonment up to 3 years, or fine, or both</v>
      </c>
      <c r="G3600" s="10" t="str">
        <f aca="false">IFERROR(INDEX(Section_Master!$E$2:$E$477,MATCH($E3600,Section_Master!$A$2:$A$477,0))&amp;"","")</f>
        <v>No</v>
      </c>
      <c r="H3600" s="10" t="str">
        <f aca="false">IFERROR(INDEX(Section_Master!$F$2:$F$477,MATCH($E3600,Section_Master!$A$2:$A$477,0))&amp;"","")</f>
        <v>Yes</v>
      </c>
      <c r="I3600" s="10" t="str">
        <f aca="false">IFERROR(INDEX(Section_Master!$G$2:$G$477,MATCH($E3600,Section_Master!$A$2:$A$477,0))&amp;"","")</f>
        <v>No</v>
      </c>
      <c r="J3600" s="10" t="s">
        <v>61</v>
      </c>
      <c r="K3600" s="8" t="s">
        <v>8437</v>
      </c>
    </row>
    <row r="3601" customFormat="false" ht="34.5" hidden="false" customHeight="true" outlineLevel="0" collapsed="false">
      <c r="A3601" s="10" t="s">
        <v>8446</v>
      </c>
      <c r="B3601" s="10" t="s">
        <v>45</v>
      </c>
      <c r="C3601" s="8" t="s">
        <v>8435</v>
      </c>
      <c r="D3601" s="8" t="s">
        <v>8447</v>
      </c>
      <c r="E3601" s="11" t="n">
        <v>242</v>
      </c>
      <c r="F3601" s="8" t="str">
        <f aca="false">IFERROR(INDEX(Section_Master!$D$2:$D$477,MATCH($E3601,Section_Master!$A$2:$A$477,0))&amp;"","")</f>
        <v>Imprisonment up to 3 years, or fine, or both</v>
      </c>
      <c r="G3601" s="10" t="str">
        <f aca="false">IFERROR(INDEX(Section_Master!$E$2:$E$477,MATCH($E3601,Section_Master!$A$2:$A$477,0))&amp;"","")</f>
        <v>No</v>
      </c>
      <c r="H3601" s="10" t="str">
        <f aca="false">IFERROR(INDEX(Section_Master!$F$2:$F$477,MATCH($E3601,Section_Master!$A$2:$A$477,0))&amp;"","")</f>
        <v>Yes</v>
      </c>
      <c r="I3601" s="10" t="str">
        <f aca="false">IFERROR(INDEX(Section_Master!$G$2:$G$477,MATCH($E3601,Section_Master!$A$2:$A$477,0))&amp;"","")</f>
        <v>No</v>
      </c>
      <c r="J3601" s="10" t="s">
        <v>64</v>
      </c>
      <c r="K3601" s="8" t="s">
        <v>8437</v>
      </c>
    </row>
    <row r="3602" customFormat="false" ht="34.5" hidden="false" customHeight="true" outlineLevel="0" collapsed="false">
      <c r="A3602" s="10" t="s">
        <v>8448</v>
      </c>
      <c r="B3602" s="10" t="s">
        <v>45</v>
      </c>
      <c r="C3602" s="8" t="s">
        <v>8449</v>
      </c>
      <c r="D3602" s="8" t="s">
        <v>8450</v>
      </c>
      <c r="E3602" s="11" t="n">
        <v>243</v>
      </c>
      <c r="F3602" s="8" t="str">
        <f aca="false">IFERROR(INDEX(Section_Master!$D$2:$D$477,MATCH($E3602,Section_Master!$A$2:$A$477,0))&amp;"","")</f>
        <v>Imprisonment up to 3 years, or fine, or both</v>
      </c>
      <c r="G3602" s="10" t="str">
        <f aca="false">IFERROR(INDEX(Section_Master!$E$2:$E$477,MATCH($E3602,Section_Master!$A$2:$A$477,0))&amp;"","")</f>
        <v>No</v>
      </c>
      <c r="H3602" s="10" t="str">
        <f aca="false">IFERROR(INDEX(Section_Master!$F$2:$F$477,MATCH($E3602,Section_Master!$A$2:$A$477,0))&amp;"","")</f>
        <v>Yes</v>
      </c>
      <c r="I3602" s="10" t="str">
        <f aca="false">IFERROR(INDEX(Section_Master!$G$2:$G$477,MATCH($E3602,Section_Master!$A$2:$A$477,0))&amp;"","")</f>
        <v>No</v>
      </c>
      <c r="J3602" s="10" t="s">
        <v>48</v>
      </c>
      <c r="K3602" s="8" t="s">
        <v>8451</v>
      </c>
    </row>
    <row r="3603" customFormat="false" ht="45.75" hidden="false" customHeight="true" outlineLevel="0" collapsed="false">
      <c r="A3603" s="10" t="s">
        <v>8452</v>
      </c>
      <c r="B3603" s="10" t="s">
        <v>45</v>
      </c>
      <c r="C3603" s="8" t="s">
        <v>8449</v>
      </c>
      <c r="D3603" s="8" t="s">
        <v>8453</v>
      </c>
      <c r="E3603" s="11" t="n">
        <v>243</v>
      </c>
      <c r="F3603" s="8" t="str">
        <f aca="false">IFERROR(INDEX(Section_Master!$D$2:$D$477,MATCH($E3603,Section_Master!$A$2:$A$477,0))&amp;"","")</f>
        <v>Imprisonment up to 3 years, or fine, or both</v>
      </c>
      <c r="G3603" s="10" t="str">
        <f aca="false">IFERROR(INDEX(Section_Master!$E$2:$E$477,MATCH($E3603,Section_Master!$A$2:$A$477,0))&amp;"","")</f>
        <v>No</v>
      </c>
      <c r="H3603" s="10" t="str">
        <f aca="false">IFERROR(INDEX(Section_Master!$F$2:$F$477,MATCH($E3603,Section_Master!$A$2:$A$477,0))&amp;"","")</f>
        <v>Yes</v>
      </c>
      <c r="I3603" s="10" t="str">
        <f aca="false">IFERROR(INDEX(Section_Master!$G$2:$G$477,MATCH($E3603,Section_Master!$A$2:$A$477,0))&amp;"","")</f>
        <v>No</v>
      </c>
      <c r="J3603" s="10" t="s">
        <v>52</v>
      </c>
      <c r="K3603" s="8" t="s">
        <v>8451</v>
      </c>
    </row>
    <row r="3604" customFormat="false" ht="34.5" hidden="false" customHeight="true" outlineLevel="0" collapsed="false">
      <c r="A3604" s="10" t="s">
        <v>8454</v>
      </c>
      <c r="B3604" s="10" t="s">
        <v>45</v>
      </c>
      <c r="C3604" s="8" t="s">
        <v>8449</v>
      </c>
      <c r="D3604" s="8" t="s">
        <v>8455</v>
      </c>
      <c r="E3604" s="11" t="n">
        <v>243</v>
      </c>
      <c r="F3604" s="8" t="str">
        <f aca="false">IFERROR(INDEX(Section_Master!$D$2:$D$477,MATCH($E3604,Section_Master!$A$2:$A$477,0))&amp;"","")</f>
        <v>Imprisonment up to 3 years, or fine, or both</v>
      </c>
      <c r="G3604" s="10" t="str">
        <f aca="false">IFERROR(INDEX(Section_Master!$E$2:$E$477,MATCH($E3604,Section_Master!$A$2:$A$477,0))&amp;"","")</f>
        <v>No</v>
      </c>
      <c r="H3604" s="10" t="str">
        <f aca="false">IFERROR(INDEX(Section_Master!$F$2:$F$477,MATCH($E3604,Section_Master!$A$2:$A$477,0))&amp;"","")</f>
        <v>Yes</v>
      </c>
      <c r="I3604" s="10" t="str">
        <f aca="false">IFERROR(INDEX(Section_Master!$G$2:$G$477,MATCH($E3604,Section_Master!$A$2:$A$477,0))&amp;"","")</f>
        <v>No</v>
      </c>
      <c r="J3604" s="10" t="s">
        <v>55</v>
      </c>
      <c r="K3604" s="8" t="s">
        <v>8451</v>
      </c>
    </row>
    <row r="3605" customFormat="false" ht="23.25" hidden="false" customHeight="true" outlineLevel="0" collapsed="false">
      <c r="A3605" s="10" t="s">
        <v>8456</v>
      </c>
      <c r="B3605" s="10" t="s">
        <v>45</v>
      </c>
      <c r="C3605" s="8" t="s">
        <v>8449</v>
      </c>
      <c r="D3605" s="8" t="s">
        <v>8457</v>
      </c>
      <c r="E3605" s="11" t="n">
        <v>243</v>
      </c>
      <c r="F3605" s="8" t="str">
        <f aca="false">IFERROR(INDEX(Section_Master!$D$2:$D$477,MATCH($E3605,Section_Master!$A$2:$A$477,0))&amp;"","")</f>
        <v>Imprisonment up to 3 years, or fine, or both</v>
      </c>
      <c r="G3605" s="10" t="str">
        <f aca="false">IFERROR(INDEX(Section_Master!$E$2:$E$477,MATCH($E3605,Section_Master!$A$2:$A$477,0))&amp;"","")</f>
        <v>No</v>
      </c>
      <c r="H3605" s="10" t="str">
        <f aca="false">IFERROR(INDEX(Section_Master!$F$2:$F$477,MATCH($E3605,Section_Master!$A$2:$A$477,0))&amp;"","")</f>
        <v>Yes</v>
      </c>
      <c r="I3605" s="10" t="str">
        <f aca="false">IFERROR(INDEX(Section_Master!$G$2:$G$477,MATCH($E3605,Section_Master!$A$2:$A$477,0))&amp;"","")</f>
        <v>No</v>
      </c>
      <c r="J3605" s="10" t="s">
        <v>58</v>
      </c>
      <c r="K3605" s="8" t="s">
        <v>8451</v>
      </c>
    </row>
    <row r="3606" customFormat="false" ht="34.5" hidden="false" customHeight="true" outlineLevel="0" collapsed="false">
      <c r="A3606" s="10" t="s">
        <v>8458</v>
      </c>
      <c r="B3606" s="10" t="s">
        <v>45</v>
      </c>
      <c r="C3606" s="8" t="s">
        <v>8449</v>
      </c>
      <c r="D3606" s="8" t="s">
        <v>8459</v>
      </c>
      <c r="E3606" s="11" t="n">
        <v>243</v>
      </c>
      <c r="F3606" s="8" t="str">
        <f aca="false">IFERROR(INDEX(Section_Master!$D$2:$D$477,MATCH($E3606,Section_Master!$A$2:$A$477,0))&amp;"","")</f>
        <v>Imprisonment up to 3 years, or fine, or both</v>
      </c>
      <c r="G3606" s="10" t="str">
        <f aca="false">IFERROR(INDEX(Section_Master!$E$2:$E$477,MATCH($E3606,Section_Master!$A$2:$A$477,0))&amp;"","")</f>
        <v>No</v>
      </c>
      <c r="H3606" s="10" t="str">
        <f aca="false">IFERROR(INDEX(Section_Master!$F$2:$F$477,MATCH($E3606,Section_Master!$A$2:$A$477,0))&amp;"","")</f>
        <v>Yes</v>
      </c>
      <c r="I3606" s="10" t="str">
        <f aca="false">IFERROR(INDEX(Section_Master!$G$2:$G$477,MATCH($E3606,Section_Master!$A$2:$A$477,0))&amp;"","")</f>
        <v>No</v>
      </c>
      <c r="J3606" s="10" t="s">
        <v>61</v>
      </c>
      <c r="K3606" s="8" t="s">
        <v>8451</v>
      </c>
    </row>
    <row r="3607" customFormat="false" ht="34.5" hidden="false" customHeight="true" outlineLevel="0" collapsed="false">
      <c r="A3607" s="10" t="s">
        <v>8460</v>
      </c>
      <c r="B3607" s="10" t="s">
        <v>45</v>
      </c>
      <c r="C3607" s="8" t="s">
        <v>8449</v>
      </c>
      <c r="D3607" s="8" t="s">
        <v>8461</v>
      </c>
      <c r="E3607" s="11" t="n">
        <v>243</v>
      </c>
      <c r="F3607" s="8" t="str">
        <f aca="false">IFERROR(INDEX(Section_Master!$D$2:$D$477,MATCH($E3607,Section_Master!$A$2:$A$477,0))&amp;"","")</f>
        <v>Imprisonment up to 3 years, or fine, or both</v>
      </c>
      <c r="G3607" s="10" t="str">
        <f aca="false">IFERROR(INDEX(Section_Master!$E$2:$E$477,MATCH($E3607,Section_Master!$A$2:$A$477,0))&amp;"","")</f>
        <v>No</v>
      </c>
      <c r="H3607" s="10" t="str">
        <f aca="false">IFERROR(INDEX(Section_Master!$F$2:$F$477,MATCH($E3607,Section_Master!$A$2:$A$477,0))&amp;"","")</f>
        <v>Yes</v>
      </c>
      <c r="I3607" s="10" t="str">
        <f aca="false">IFERROR(INDEX(Section_Master!$G$2:$G$477,MATCH($E3607,Section_Master!$A$2:$A$477,0))&amp;"","")</f>
        <v>No</v>
      </c>
      <c r="J3607" s="10" t="s">
        <v>64</v>
      </c>
      <c r="K3607" s="8" t="s">
        <v>8451</v>
      </c>
    </row>
    <row r="3608" customFormat="false" ht="34.5" hidden="false" customHeight="true" outlineLevel="0" collapsed="false">
      <c r="A3608" s="10" t="s">
        <v>8462</v>
      </c>
      <c r="B3608" s="10" t="s">
        <v>45</v>
      </c>
      <c r="C3608" s="8" t="s">
        <v>8463</v>
      </c>
      <c r="D3608" s="8" t="s">
        <v>8464</v>
      </c>
      <c r="E3608" s="11" t="n">
        <v>244</v>
      </c>
      <c r="F3608" s="8" t="str">
        <f aca="false">IFERROR(INDEX(Section_Master!$D$2:$D$477,MATCH($E3608,Section_Master!$A$2:$A$477,0))&amp;"","")</f>
        <v>Imprisonment up to 3 years, or fine, or both</v>
      </c>
      <c r="G3608" s="10" t="str">
        <f aca="false">IFERROR(INDEX(Section_Master!$E$2:$E$477,MATCH($E3608,Section_Master!$A$2:$A$477,0))&amp;"","")</f>
        <v>No</v>
      </c>
      <c r="H3608" s="10" t="str">
        <f aca="false">IFERROR(INDEX(Section_Master!$F$2:$F$477,MATCH($E3608,Section_Master!$A$2:$A$477,0))&amp;"","")</f>
        <v>Yes</v>
      </c>
      <c r="I3608" s="10" t="str">
        <f aca="false">IFERROR(INDEX(Section_Master!$G$2:$G$477,MATCH($E3608,Section_Master!$A$2:$A$477,0))&amp;"","")</f>
        <v>No</v>
      </c>
      <c r="J3608" s="10" t="s">
        <v>48</v>
      </c>
      <c r="K3608" s="8" t="s">
        <v>8465</v>
      </c>
    </row>
    <row r="3609" customFormat="false" ht="34.5" hidden="false" customHeight="true" outlineLevel="0" collapsed="false">
      <c r="A3609" s="10" t="s">
        <v>8466</v>
      </c>
      <c r="B3609" s="10" t="s">
        <v>45</v>
      </c>
      <c r="C3609" s="8" t="s">
        <v>8463</v>
      </c>
      <c r="D3609" s="8" t="s">
        <v>8467</v>
      </c>
      <c r="E3609" s="11" t="n">
        <v>244</v>
      </c>
      <c r="F3609" s="8" t="str">
        <f aca="false">IFERROR(INDEX(Section_Master!$D$2:$D$477,MATCH($E3609,Section_Master!$A$2:$A$477,0))&amp;"","")</f>
        <v>Imprisonment up to 3 years, or fine, or both</v>
      </c>
      <c r="G3609" s="10" t="str">
        <f aca="false">IFERROR(INDEX(Section_Master!$E$2:$E$477,MATCH($E3609,Section_Master!$A$2:$A$477,0))&amp;"","")</f>
        <v>No</v>
      </c>
      <c r="H3609" s="10" t="str">
        <f aca="false">IFERROR(INDEX(Section_Master!$F$2:$F$477,MATCH($E3609,Section_Master!$A$2:$A$477,0))&amp;"","")</f>
        <v>Yes</v>
      </c>
      <c r="I3609" s="10" t="str">
        <f aca="false">IFERROR(INDEX(Section_Master!$G$2:$G$477,MATCH($E3609,Section_Master!$A$2:$A$477,0))&amp;"","")</f>
        <v>No</v>
      </c>
      <c r="J3609" s="10" t="s">
        <v>52</v>
      </c>
      <c r="K3609" s="8" t="s">
        <v>8465</v>
      </c>
    </row>
    <row r="3610" customFormat="false" ht="34.5" hidden="false" customHeight="true" outlineLevel="0" collapsed="false">
      <c r="A3610" s="10" t="s">
        <v>8468</v>
      </c>
      <c r="B3610" s="10" t="s">
        <v>45</v>
      </c>
      <c r="C3610" s="8" t="s">
        <v>8463</v>
      </c>
      <c r="D3610" s="8" t="s">
        <v>8469</v>
      </c>
      <c r="E3610" s="11" t="n">
        <v>244</v>
      </c>
      <c r="F3610" s="8" t="str">
        <f aca="false">IFERROR(INDEX(Section_Master!$D$2:$D$477,MATCH($E3610,Section_Master!$A$2:$A$477,0))&amp;"","")</f>
        <v>Imprisonment up to 3 years, or fine, or both</v>
      </c>
      <c r="G3610" s="10" t="str">
        <f aca="false">IFERROR(INDEX(Section_Master!$E$2:$E$477,MATCH($E3610,Section_Master!$A$2:$A$477,0))&amp;"","")</f>
        <v>No</v>
      </c>
      <c r="H3610" s="10" t="str">
        <f aca="false">IFERROR(INDEX(Section_Master!$F$2:$F$477,MATCH($E3610,Section_Master!$A$2:$A$477,0))&amp;"","")</f>
        <v>Yes</v>
      </c>
      <c r="I3610" s="10" t="str">
        <f aca="false">IFERROR(INDEX(Section_Master!$G$2:$G$477,MATCH($E3610,Section_Master!$A$2:$A$477,0))&amp;"","")</f>
        <v>No</v>
      </c>
      <c r="J3610" s="10" t="s">
        <v>55</v>
      </c>
      <c r="K3610" s="8" t="s">
        <v>8465</v>
      </c>
    </row>
    <row r="3611" customFormat="false" ht="23.25" hidden="false" customHeight="true" outlineLevel="0" collapsed="false">
      <c r="A3611" s="10" t="s">
        <v>8470</v>
      </c>
      <c r="B3611" s="10" t="s">
        <v>45</v>
      </c>
      <c r="C3611" s="8" t="s">
        <v>8463</v>
      </c>
      <c r="D3611" s="8" t="s">
        <v>8471</v>
      </c>
      <c r="E3611" s="11" t="n">
        <v>244</v>
      </c>
      <c r="F3611" s="8" t="str">
        <f aca="false">IFERROR(INDEX(Section_Master!$D$2:$D$477,MATCH($E3611,Section_Master!$A$2:$A$477,0))&amp;"","")</f>
        <v>Imprisonment up to 3 years, or fine, or both</v>
      </c>
      <c r="G3611" s="10" t="str">
        <f aca="false">IFERROR(INDEX(Section_Master!$E$2:$E$477,MATCH($E3611,Section_Master!$A$2:$A$477,0))&amp;"","")</f>
        <v>No</v>
      </c>
      <c r="H3611" s="10" t="str">
        <f aca="false">IFERROR(INDEX(Section_Master!$F$2:$F$477,MATCH($E3611,Section_Master!$A$2:$A$477,0))&amp;"","")</f>
        <v>Yes</v>
      </c>
      <c r="I3611" s="10" t="str">
        <f aca="false">IFERROR(INDEX(Section_Master!$G$2:$G$477,MATCH($E3611,Section_Master!$A$2:$A$477,0))&amp;"","")</f>
        <v>No</v>
      </c>
      <c r="J3611" s="10" t="s">
        <v>58</v>
      </c>
      <c r="K3611" s="8" t="s">
        <v>8465</v>
      </c>
    </row>
    <row r="3612" customFormat="false" ht="45.75" hidden="false" customHeight="true" outlineLevel="0" collapsed="false">
      <c r="A3612" s="10" t="s">
        <v>8472</v>
      </c>
      <c r="B3612" s="10" t="s">
        <v>45</v>
      </c>
      <c r="C3612" s="8" t="s">
        <v>8463</v>
      </c>
      <c r="D3612" s="8" t="s">
        <v>8473</v>
      </c>
      <c r="E3612" s="11" t="n">
        <v>244</v>
      </c>
      <c r="F3612" s="8" t="str">
        <f aca="false">IFERROR(INDEX(Section_Master!$D$2:$D$477,MATCH($E3612,Section_Master!$A$2:$A$477,0))&amp;"","")</f>
        <v>Imprisonment up to 3 years, or fine, or both</v>
      </c>
      <c r="G3612" s="10" t="str">
        <f aca="false">IFERROR(INDEX(Section_Master!$E$2:$E$477,MATCH($E3612,Section_Master!$A$2:$A$477,0))&amp;"","")</f>
        <v>No</v>
      </c>
      <c r="H3612" s="10" t="str">
        <f aca="false">IFERROR(INDEX(Section_Master!$F$2:$F$477,MATCH($E3612,Section_Master!$A$2:$A$477,0))&amp;"","")</f>
        <v>Yes</v>
      </c>
      <c r="I3612" s="10" t="str">
        <f aca="false">IFERROR(INDEX(Section_Master!$G$2:$G$477,MATCH($E3612,Section_Master!$A$2:$A$477,0))&amp;"","")</f>
        <v>No</v>
      </c>
      <c r="J3612" s="10" t="s">
        <v>61</v>
      </c>
      <c r="K3612" s="8" t="s">
        <v>8465</v>
      </c>
    </row>
    <row r="3613" customFormat="false" ht="34.5" hidden="false" customHeight="true" outlineLevel="0" collapsed="false">
      <c r="A3613" s="10" t="s">
        <v>8474</v>
      </c>
      <c r="B3613" s="10" t="s">
        <v>45</v>
      </c>
      <c r="C3613" s="8" t="s">
        <v>8463</v>
      </c>
      <c r="D3613" s="8" t="s">
        <v>8475</v>
      </c>
      <c r="E3613" s="11" t="n">
        <v>244</v>
      </c>
      <c r="F3613" s="8" t="str">
        <f aca="false">IFERROR(INDEX(Section_Master!$D$2:$D$477,MATCH($E3613,Section_Master!$A$2:$A$477,0))&amp;"","")</f>
        <v>Imprisonment up to 3 years, or fine, or both</v>
      </c>
      <c r="G3613" s="10" t="str">
        <f aca="false">IFERROR(INDEX(Section_Master!$E$2:$E$477,MATCH($E3613,Section_Master!$A$2:$A$477,0))&amp;"","")</f>
        <v>No</v>
      </c>
      <c r="H3613" s="10" t="str">
        <f aca="false">IFERROR(INDEX(Section_Master!$F$2:$F$477,MATCH($E3613,Section_Master!$A$2:$A$477,0))&amp;"","")</f>
        <v>Yes</v>
      </c>
      <c r="I3613" s="10" t="str">
        <f aca="false">IFERROR(INDEX(Section_Master!$G$2:$G$477,MATCH($E3613,Section_Master!$A$2:$A$477,0))&amp;"","")</f>
        <v>No</v>
      </c>
      <c r="J3613" s="10" t="s">
        <v>64</v>
      </c>
      <c r="K3613" s="8" t="s">
        <v>8465</v>
      </c>
    </row>
    <row r="3614" customFormat="false" ht="34.5" hidden="false" customHeight="true" outlineLevel="0" collapsed="false">
      <c r="A3614" s="10" t="s">
        <v>8476</v>
      </c>
      <c r="B3614" s="10" t="s">
        <v>45</v>
      </c>
      <c r="C3614" s="8" t="s">
        <v>8477</v>
      </c>
      <c r="D3614" s="8" t="s">
        <v>8478</v>
      </c>
      <c r="E3614" s="11" t="n">
        <v>245</v>
      </c>
      <c r="F3614" s="8" t="str">
        <f aca="false">IFERROR(INDEX(Section_Master!$D$2:$D$477,MATCH($E3614,Section_Master!$A$2:$A$477,0))&amp;"","")</f>
        <v>Imprisonment up to 2 years, or fine, or both</v>
      </c>
      <c r="G3614" s="10" t="str">
        <f aca="false">IFERROR(INDEX(Section_Master!$E$2:$E$477,MATCH($E3614,Section_Master!$A$2:$A$477,0))&amp;"","")</f>
        <v>No</v>
      </c>
      <c r="H3614" s="10" t="str">
        <f aca="false">IFERROR(INDEX(Section_Master!$F$2:$F$477,MATCH($E3614,Section_Master!$A$2:$A$477,0))&amp;"","")</f>
        <v>Yes</v>
      </c>
      <c r="I3614" s="10" t="str">
        <f aca="false">IFERROR(INDEX(Section_Master!$G$2:$G$477,MATCH($E3614,Section_Master!$A$2:$A$477,0))&amp;"","")</f>
        <v>No</v>
      </c>
      <c r="J3614" s="10" t="s">
        <v>48</v>
      </c>
      <c r="K3614" s="8" t="s">
        <v>8479</v>
      </c>
    </row>
    <row r="3615" customFormat="false" ht="45.75" hidden="false" customHeight="true" outlineLevel="0" collapsed="false">
      <c r="A3615" s="10" t="s">
        <v>8480</v>
      </c>
      <c r="B3615" s="10" t="s">
        <v>45</v>
      </c>
      <c r="C3615" s="8" t="s">
        <v>8477</v>
      </c>
      <c r="D3615" s="8" t="s">
        <v>8481</v>
      </c>
      <c r="E3615" s="11" t="n">
        <v>245</v>
      </c>
      <c r="F3615" s="8" t="str">
        <f aca="false">IFERROR(INDEX(Section_Master!$D$2:$D$477,MATCH($E3615,Section_Master!$A$2:$A$477,0))&amp;"","")</f>
        <v>Imprisonment up to 2 years, or fine, or both</v>
      </c>
      <c r="G3615" s="10" t="str">
        <f aca="false">IFERROR(INDEX(Section_Master!$E$2:$E$477,MATCH($E3615,Section_Master!$A$2:$A$477,0))&amp;"","")</f>
        <v>No</v>
      </c>
      <c r="H3615" s="10" t="str">
        <f aca="false">IFERROR(INDEX(Section_Master!$F$2:$F$477,MATCH($E3615,Section_Master!$A$2:$A$477,0))&amp;"","")</f>
        <v>Yes</v>
      </c>
      <c r="I3615" s="10" t="str">
        <f aca="false">IFERROR(INDEX(Section_Master!$G$2:$G$477,MATCH($E3615,Section_Master!$A$2:$A$477,0))&amp;"","")</f>
        <v>No</v>
      </c>
      <c r="J3615" s="10" t="s">
        <v>52</v>
      </c>
      <c r="K3615" s="8" t="s">
        <v>8479</v>
      </c>
    </row>
    <row r="3616" customFormat="false" ht="34.5" hidden="false" customHeight="true" outlineLevel="0" collapsed="false">
      <c r="A3616" s="10" t="s">
        <v>8482</v>
      </c>
      <c r="B3616" s="10" t="s">
        <v>45</v>
      </c>
      <c r="C3616" s="8" t="s">
        <v>8477</v>
      </c>
      <c r="D3616" s="8" t="s">
        <v>8483</v>
      </c>
      <c r="E3616" s="11" t="n">
        <v>245</v>
      </c>
      <c r="F3616" s="8" t="str">
        <f aca="false">IFERROR(INDEX(Section_Master!$D$2:$D$477,MATCH($E3616,Section_Master!$A$2:$A$477,0))&amp;"","")</f>
        <v>Imprisonment up to 2 years, or fine, or both</v>
      </c>
      <c r="G3616" s="10" t="str">
        <f aca="false">IFERROR(INDEX(Section_Master!$E$2:$E$477,MATCH($E3616,Section_Master!$A$2:$A$477,0))&amp;"","")</f>
        <v>No</v>
      </c>
      <c r="H3616" s="10" t="str">
        <f aca="false">IFERROR(INDEX(Section_Master!$F$2:$F$477,MATCH($E3616,Section_Master!$A$2:$A$477,0))&amp;"","")</f>
        <v>Yes</v>
      </c>
      <c r="I3616" s="10" t="str">
        <f aca="false">IFERROR(INDEX(Section_Master!$G$2:$G$477,MATCH($E3616,Section_Master!$A$2:$A$477,0))&amp;"","")</f>
        <v>No</v>
      </c>
      <c r="J3616" s="10" t="s">
        <v>55</v>
      </c>
      <c r="K3616" s="8" t="s">
        <v>8479</v>
      </c>
    </row>
    <row r="3617" customFormat="false" ht="23.25" hidden="false" customHeight="true" outlineLevel="0" collapsed="false">
      <c r="A3617" s="10" t="s">
        <v>8484</v>
      </c>
      <c r="B3617" s="10" t="s">
        <v>45</v>
      </c>
      <c r="C3617" s="8" t="s">
        <v>8477</v>
      </c>
      <c r="D3617" s="8" t="s">
        <v>8485</v>
      </c>
      <c r="E3617" s="11" t="n">
        <v>245</v>
      </c>
      <c r="F3617" s="8" t="str">
        <f aca="false">IFERROR(INDEX(Section_Master!$D$2:$D$477,MATCH($E3617,Section_Master!$A$2:$A$477,0))&amp;"","")</f>
        <v>Imprisonment up to 2 years, or fine, or both</v>
      </c>
      <c r="G3617" s="10" t="str">
        <f aca="false">IFERROR(INDEX(Section_Master!$E$2:$E$477,MATCH($E3617,Section_Master!$A$2:$A$477,0))&amp;"","")</f>
        <v>No</v>
      </c>
      <c r="H3617" s="10" t="str">
        <f aca="false">IFERROR(INDEX(Section_Master!$F$2:$F$477,MATCH($E3617,Section_Master!$A$2:$A$477,0))&amp;"","")</f>
        <v>Yes</v>
      </c>
      <c r="I3617" s="10" t="str">
        <f aca="false">IFERROR(INDEX(Section_Master!$G$2:$G$477,MATCH($E3617,Section_Master!$A$2:$A$477,0))&amp;"","")</f>
        <v>No</v>
      </c>
      <c r="J3617" s="10" t="s">
        <v>58</v>
      </c>
      <c r="K3617" s="8" t="s">
        <v>8479</v>
      </c>
    </row>
    <row r="3618" customFormat="false" ht="34.5" hidden="false" customHeight="true" outlineLevel="0" collapsed="false">
      <c r="A3618" s="10" t="s">
        <v>8486</v>
      </c>
      <c r="B3618" s="10" t="s">
        <v>45</v>
      </c>
      <c r="C3618" s="8" t="s">
        <v>8477</v>
      </c>
      <c r="D3618" s="8" t="s">
        <v>8487</v>
      </c>
      <c r="E3618" s="11" t="n">
        <v>245</v>
      </c>
      <c r="F3618" s="8" t="str">
        <f aca="false">IFERROR(INDEX(Section_Master!$D$2:$D$477,MATCH($E3618,Section_Master!$A$2:$A$477,0))&amp;"","")</f>
        <v>Imprisonment up to 2 years, or fine, or both</v>
      </c>
      <c r="G3618" s="10" t="str">
        <f aca="false">IFERROR(INDEX(Section_Master!$E$2:$E$477,MATCH($E3618,Section_Master!$A$2:$A$477,0))&amp;"","")</f>
        <v>No</v>
      </c>
      <c r="H3618" s="10" t="str">
        <f aca="false">IFERROR(INDEX(Section_Master!$F$2:$F$477,MATCH($E3618,Section_Master!$A$2:$A$477,0))&amp;"","")</f>
        <v>Yes</v>
      </c>
      <c r="I3618" s="10" t="str">
        <f aca="false">IFERROR(INDEX(Section_Master!$G$2:$G$477,MATCH($E3618,Section_Master!$A$2:$A$477,0))&amp;"","")</f>
        <v>No</v>
      </c>
      <c r="J3618" s="10" t="s">
        <v>61</v>
      </c>
      <c r="K3618" s="8" t="s">
        <v>8479</v>
      </c>
    </row>
    <row r="3619" customFormat="false" ht="45.75" hidden="false" customHeight="true" outlineLevel="0" collapsed="false">
      <c r="A3619" s="10" t="s">
        <v>8488</v>
      </c>
      <c r="B3619" s="10" t="s">
        <v>45</v>
      </c>
      <c r="C3619" s="8" t="s">
        <v>8477</v>
      </c>
      <c r="D3619" s="8" t="s">
        <v>8489</v>
      </c>
      <c r="E3619" s="11" t="n">
        <v>245</v>
      </c>
      <c r="F3619" s="8" t="str">
        <f aca="false">IFERROR(INDEX(Section_Master!$D$2:$D$477,MATCH($E3619,Section_Master!$A$2:$A$477,0))&amp;"","")</f>
        <v>Imprisonment up to 2 years, or fine, or both</v>
      </c>
      <c r="G3619" s="10" t="str">
        <f aca="false">IFERROR(INDEX(Section_Master!$E$2:$E$477,MATCH($E3619,Section_Master!$A$2:$A$477,0))&amp;"","")</f>
        <v>No</v>
      </c>
      <c r="H3619" s="10" t="str">
        <f aca="false">IFERROR(INDEX(Section_Master!$F$2:$F$477,MATCH($E3619,Section_Master!$A$2:$A$477,0))&amp;"","")</f>
        <v>Yes</v>
      </c>
      <c r="I3619" s="10" t="str">
        <f aca="false">IFERROR(INDEX(Section_Master!$G$2:$G$477,MATCH($E3619,Section_Master!$A$2:$A$477,0))&amp;"","")</f>
        <v>No</v>
      </c>
      <c r="J3619" s="10" t="s">
        <v>64</v>
      </c>
      <c r="K3619" s="8" t="s">
        <v>8479</v>
      </c>
    </row>
    <row r="3620" customFormat="false" ht="34.5" hidden="false" customHeight="true" outlineLevel="0" collapsed="false">
      <c r="A3620" s="10" t="s">
        <v>8490</v>
      </c>
      <c r="B3620" s="10" t="s">
        <v>45</v>
      </c>
      <c r="C3620" s="8" t="s">
        <v>8491</v>
      </c>
      <c r="D3620" s="8" t="s">
        <v>8492</v>
      </c>
      <c r="E3620" s="11" t="n">
        <v>246</v>
      </c>
      <c r="F3620" s="8" t="str">
        <f aca="false">IFERROR(INDEX(Section_Master!$D$2:$D$477,MATCH($E3620,Section_Master!$A$2:$A$477,0))&amp;"","")</f>
        <v>Imprisonment up to 2 years and fine</v>
      </c>
      <c r="G3620" s="10" t="str">
        <f aca="false">IFERROR(INDEX(Section_Master!$E$2:$E$477,MATCH($E3620,Section_Master!$A$2:$A$477,0))&amp;"","")</f>
        <v>No</v>
      </c>
      <c r="H3620" s="10" t="str">
        <f aca="false">IFERROR(INDEX(Section_Master!$F$2:$F$477,MATCH($E3620,Section_Master!$A$2:$A$477,0))&amp;"","")</f>
        <v>Yes</v>
      </c>
      <c r="I3620" s="10" t="str">
        <f aca="false">IFERROR(INDEX(Section_Master!$G$2:$G$477,MATCH($E3620,Section_Master!$A$2:$A$477,0))&amp;"","")</f>
        <v>No</v>
      </c>
      <c r="J3620" s="10" t="s">
        <v>48</v>
      </c>
      <c r="K3620" s="8" t="s">
        <v>8493</v>
      </c>
    </row>
    <row r="3621" customFormat="false" ht="34.5" hidden="false" customHeight="true" outlineLevel="0" collapsed="false">
      <c r="A3621" s="10" t="s">
        <v>8494</v>
      </c>
      <c r="B3621" s="10" t="s">
        <v>45</v>
      </c>
      <c r="C3621" s="8" t="s">
        <v>8491</v>
      </c>
      <c r="D3621" s="8" t="s">
        <v>8495</v>
      </c>
      <c r="E3621" s="11" t="n">
        <v>246</v>
      </c>
      <c r="F3621" s="8" t="str">
        <f aca="false">IFERROR(INDEX(Section_Master!$D$2:$D$477,MATCH($E3621,Section_Master!$A$2:$A$477,0))&amp;"","")</f>
        <v>Imprisonment up to 2 years and fine</v>
      </c>
      <c r="G3621" s="10" t="str">
        <f aca="false">IFERROR(INDEX(Section_Master!$E$2:$E$477,MATCH($E3621,Section_Master!$A$2:$A$477,0))&amp;"","")</f>
        <v>No</v>
      </c>
      <c r="H3621" s="10" t="str">
        <f aca="false">IFERROR(INDEX(Section_Master!$F$2:$F$477,MATCH($E3621,Section_Master!$A$2:$A$477,0))&amp;"","")</f>
        <v>Yes</v>
      </c>
      <c r="I3621" s="10" t="str">
        <f aca="false">IFERROR(INDEX(Section_Master!$G$2:$G$477,MATCH($E3621,Section_Master!$A$2:$A$477,0))&amp;"","")</f>
        <v>No</v>
      </c>
      <c r="J3621" s="10" t="s">
        <v>52</v>
      </c>
      <c r="K3621" s="8" t="s">
        <v>8493</v>
      </c>
    </row>
    <row r="3622" customFormat="false" ht="34.5" hidden="false" customHeight="true" outlineLevel="0" collapsed="false">
      <c r="A3622" s="10" t="s">
        <v>8496</v>
      </c>
      <c r="B3622" s="10" t="s">
        <v>45</v>
      </c>
      <c r="C3622" s="8" t="s">
        <v>8491</v>
      </c>
      <c r="D3622" s="8" t="s">
        <v>8497</v>
      </c>
      <c r="E3622" s="11" t="n">
        <v>246</v>
      </c>
      <c r="F3622" s="8" t="str">
        <f aca="false">IFERROR(INDEX(Section_Master!$D$2:$D$477,MATCH($E3622,Section_Master!$A$2:$A$477,0))&amp;"","")</f>
        <v>Imprisonment up to 2 years and fine</v>
      </c>
      <c r="G3622" s="10" t="str">
        <f aca="false">IFERROR(INDEX(Section_Master!$E$2:$E$477,MATCH($E3622,Section_Master!$A$2:$A$477,0))&amp;"","")</f>
        <v>No</v>
      </c>
      <c r="H3622" s="10" t="str">
        <f aca="false">IFERROR(INDEX(Section_Master!$F$2:$F$477,MATCH($E3622,Section_Master!$A$2:$A$477,0))&amp;"","")</f>
        <v>Yes</v>
      </c>
      <c r="I3622" s="10" t="str">
        <f aca="false">IFERROR(INDEX(Section_Master!$G$2:$G$477,MATCH($E3622,Section_Master!$A$2:$A$477,0))&amp;"","")</f>
        <v>No</v>
      </c>
      <c r="J3622" s="10" t="s">
        <v>55</v>
      </c>
      <c r="K3622" s="8" t="s">
        <v>8493</v>
      </c>
    </row>
    <row r="3623" customFormat="false" ht="45.75" hidden="false" customHeight="true" outlineLevel="0" collapsed="false">
      <c r="A3623" s="10" t="s">
        <v>8498</v>
      </c>
      <c r="B3623" s="10" t="s">
        <v>45</v>
      </c>
      <c r="C3623" s="8" t="s">
        <v>8491</v>
      </c>
      <c r="D3623" s="8" t="s">
        <v>8499</v>
      </c>
      <c r="E3623" s="11" t="n">
        <v>246</v>
      </c>
      <c r="F3623" s="8" t="str">
        <f aca="false">IFERROR(INDEX(Section_Master!$D$2:$D$477,MATCH($E3623,Section_Master!$A$2:$A$477,0))&amp;"","")</f>
        <v>Imprisonment up to 2 years and fine</v>
      </c>
      <c r="G3623" s="10" t="str">
        <f aca="false">IFERROR(INDEX(Section_Master!$E$2:$E$477,MATCH($E3623,Section_Master!$A$2:$A$477,0))&amp;"","")</f>
        <v>No</v>
      </c>
      <c r="H3623" s="10" t="str">
        <f aca="false">IFERROR(INDEX(Section_Master!$F$2:$F$477,MATCH($E3623,Section_Master!$A$2:$A$477,0))&amp;"","")</f>
        <v>Yes</v>
      </c>
      <c r="I3623" s="10" t="str">
        <f aca="false">IFERROR(INDEX(Section_Master!$G$2:$G$477,MATCH($E3623,Section_Master!$A$2:$A$477,0))&amp;"","")</f>
        <v>No</v>
      </c>
      <c r="J3623" s="10" t="s">
        <v>58</v>
      </c>
      <c r="K3623" s="8" t="s">
        <v>8493</v>
      </c>
    </row>
    <row r="3624" customFormat="false" ht="34.5" hidden="false" customHeight="true" outlineLevel="0" collapsed="false">
      <c r="A3624" s="10" t="s">
        <v>8500</v>
      </c>
      <c r="B3624" s="10" t="s">
        <v>45</v>
      </c>
      <c r="C3624" s="8" t="s">
        <v>8491</v>
      </c>
      <c r="D3624" s="8" t="s">
        <v>8501</v>
      </c>
      <c r="E3624" s="11" t="n">
        <v>246</v>
      </c>
      <c r="F3624" s="8" t="str">
        <f aca="false">IFERROR(INDEX(Section_Master!$D$2:$D$477,MATCH($E3624,Section_Master!$A$2:$A$477,0))&amp;"","")</f>
        <v>Imprisonment up to 2 years and fine</v>
      </c>
      <c r="G3624" s="10" t="str">
        <f aca="false">IFERROR(INDEX(Section_Master!$E$2:$E$477,MATCH($E3624,Section_Master!$A$2:$A$477,0))&amp;"","")</f>
        <v>No</v>
      </c>
      <c r="H3624" s="10" t="str">
        <f aca="false">IFERROR(INDEX(Section_Master!$F$2:$F$477,MATCH($E3624,Section_Master!$A$2:$A$477,0))&amp;"","")</f>
        <v>Yes</v>
      </c>
      <c r="I3624" s="10" t="str">
        <f aca="false">IFERROR(INDEX(Section_Master!$G$2:$G$477,MATCH($E3624,Section_Master!$A$2:$A$477,0))&amp;"","")</f>
        <v>No</v>
      </c>
      <c r="J3624" s="10" t="s">
        <v>61</v>
      </c>
      <c r="K3624" s="8" t="s">
        <v>8493</v>
      </c>
    </row>
    <row r="3625" customFormat="false" ht="34.5" hidden="false" customHeight="true" outlineLevel="0" collapsed="false">
      <c r="A3625" s="10" t="s">
        <v>8502</v>
      </c>
      <c r="B3625" s="10" t="s">
        <v>45</v>
      </c>
      <c r="C3625" s="8" t="s">
        <v>8491</v>
      </c>
      <c r="D3625" s="8" t="s">
        <v>8503</v>
      </c>
      <c r="E3625" s="11" t="n">
        <v>246</v>
      </c>
      <c r="F3625" s="8" t="str">
        <f aca="false">IFERROR(INDEX(Section_Master!$D$2:$D$477,MATCH($E3625,Section_Master!$A$2:$A$477,0))&amp;"","")</f>
        <v>Imprisonment up to 2 years and fine</v>
      </c>
      <c r="G3625" s="10" t="str">
        <f aca="false">IFERROR(INDEX(Section_Master!$E$2:$E$477,MATCH($E3625,Section_Master!$A$2:$A$477,0))&amp;"","")</f>
        <v>No</v>
      </c>
      <c r="H3625" s="10" t="str">
        <f aca="false">IFERROR(INDEX(Section_Master!$F$2:$F$477,MATCH($E3625,Section_Master!$A$2:$A$477,0))&amp;"","")</f>
        <v>Yes</v>
      </c>
      <c r="I3625" s="10" t="str">
        <f aca="false">IFERROR(INDEX(Section_Master!$G$2:$G$477,MATCH($E3625,Section_Master!$A$2:$A$477,0))&amp;"","")</f>
        <v>No</v>
      </c>
      <c r="J3625" s="10" t="s">
        <v>64</v>
      </c>
      <c r="K3625" s="8" t="s">
        <v>8493</v>
      </c>
    </row>
    <row r="3626" customFormat="false" ht="34.5" hidden="false" customHeight="true" outlineLevel="0" collapsed="false">
      <c r="A3626" s="10" t="s">
        <v>8504</v>
      </c>
      <c r="B3626" s="10" t="s">
        <v>45</v>
      </c>
      <c r="C3626" s="8" t="s">
        <v>8505</v>
      </c>
      <c r="D3626" s="8" t="s">
        <v>8506</v>
      </c>
      <c r="E3626" s="11" t="n">
        <v>247</v>
      </c>
      <c r="F3626" s="8" t="str">
        <f aca="false">IFERROR(INDEX(Section_Master!$D$2:$D$477,MATCH($E3626,Section_Master!$A$2:$A$477,0))&amp;"","")</f>
        <v>Imprisonment up to 2 years, or fine, or both</v>
      </c>
      <c r="G3626" s="10" t="str">
        <f aca="false">IFERROR(INDEX(Section_Master!$E$2:$E$477,MATCH($E3626,Section_Master!$A$2:$A$477,0))&amp;"","")</f>
        <v>No</v>
      </c>
      <c r="H3626" s="10" t="str">
        <f aca="false">IFERROR(INDEX(Section_Master!$F$2:$F$477,MATCH($E3626,Section_Master!$A$2:$A$477,0))&amp;"","")</f>
        <v>Yes</v>
      </c>
      <c r="I3626" s="10" t="str">
        <f aca="false">IFERROR(INDEX(Section_Master!$G$2:$G$477,MATCH($E3626,Section_Master!$A$2:$A$477,0))&amp;"","")</f>
        <v>No</v>
      </c>
      <c r="J3626" s="10" t="s">
        <v>48</v>
      </c>
      <c r="K3626" s="8" t="s">
        <v>8507</v>
      </c>
    </row>
    <row r="3627" customFormat="false" ht="34.5" hidden="false" customHeight="true" outlineLevel="0" collapsed="false">
      <c r="A3627" s="10" t="s">
        <v>8508</v>
      </c>
      <c r="B3627" s="10" t="s">
        <v>45</v>
      </c>
      <c r="C3627" s="8" t="s">
        <v>8505</v>
      </c>
      <c r="D3627" s="8" t="s">
        <v>8509</v>
      </c>
      <c r="E3627" s="11" t="n">
        <v>247</v>
      </c>
      <c r="F3627" s="8" t="str">
        <f aca="false">IFERROR(INDEX(Section_Master!$D$2:$D$477,MATCH($E3627,Section_Master!$A$2:$A$477,0))&amp;"","")</f>
        <v>Imprisonment up to 2 years, or fine, or both</v>
      </c>
      <c r="G3627" s="10" t="str">
        <f aca="false">IFERROR(INDEX(Section_Master!$E$2:$E$477,MATCH($E3627,Section_Master!$A$2:$A$477,0))&amp;"","")</f>
        <v>No</v>
      </c>
      <c r="H3627" s="10" t="str">
        <f aca="false">IFERROR(INDEX(Section_Master!$F$2:$F$477,MATCH($E3627,Section_Master!$A$2:$A$477,0))&amp;"","")</f>
        <v>Yes</v>
      </c>
      <c r="I3627" s="10" t="str">
        <f aca="false">IFERROR(INDEX(Section_Master!$G$2:$G$477,MATCH($E3627,Section_Master!$A$2:$A$477,0))&amp;"","")</f>
        <v>No</v>
      </c>
      <c r="J3627" s="10" t="s">
        <v>52</v>
      </c>
      <c r="K3627" s="8" t="s">
        <v>8507</v>
      </c>
    </row>
    <row r="3628" customFormat="false" ht="34.5" hidden="false" customHeight="true" outlineLevel="0" collapsed="false">
      <c r="A3628" s="10" t="s">
        <v>8510</v>
      </c>
      <c r="B3628" s="10" t="s">
        <v>45</v>
      </c>
      <c r="C3628" s="8" t="s">
        <v>8505</v>
      </c>
      <c r="D3628" s="8" t="s">
        <v>8511</v>
      </c>
      <c r="E3628" s="11" t="n">
        <v>247</v>
      </c>
      <c r="F3628" s="8" t="str">
        <f aca="false">IFERROR(INDEX(Section_Master!$D$2:$D$477,MATCH($E3628,Section_Master!$A$2:$A$477,0))&amp;"","")</f>
        <v>Imprisonment up to 2 years, or fine, or both</v>
      </c>
      <c r="G3628" s="10" t="str">
        <f aca="false">IFERROR(INDEX(Section_Master!$E$2:$E$477,MATCH($E3628,Section_Master!$A$2:$A$477,0))&amp;"","")</f>
        <v>No</v>
      </c>
      <c r="H3628" s="10" t="str">
        <f aca="false">IFERROR(INDEX(Section_Master!$F$2:$F$477,MATCH($E3628,Section_Master!$A$2:$A$477,0))&amp;"","")</f>
        <v>Yes</v>
      </c>
      <c r="I3628" s="10" t="str">
        <f aca="false">IFERROR(INDEX(Section_Master!$G$2:$G$477,MATCH($E3628,Section_Master!$A$2:$A$477,0))&amp;"","")</f>
        <v>No</v>
      </c>
      <c r="J3628" s="10" t="s">
        <v>55</v>
      </c>
      <c r="K3628" s="8" t="s">
        <v>8507</v>
      </c>
    </row>
    <row r="3629" customFormat="false" ht="34.5" hidden="false" customHeight="true" outlineLevel="0" collapsed="false">
      <c r="A3629" s="10" t="s">
        <v>8512</v>
      </c>
      <c r="B3629" s="10" t="s">
        <v>45</v>
      </c>
      <c r="C3629" s="8" t="s">
        <v>8505</v>
      </c>
      <c r="D3629" s="8" t="s">
        <v>8513</v>
      </c>
      <c r="E3629" s="11" t="n">
        <v>247</v>
      </c>
      <c r="F3629" s="8" t="str">
        <f aca="false">IFERROR(INDEX(Section_Master!$D$2:$D$477,MATCH($E3629,Section_Master!$A$2:$A$477,0))&amp;"","")</f>
        <v>Imprisonment up to 2 years, or fine, or both</v>
      </c>
      <c r="G3629" s="10" t="str">
        <f aca="false">IFERROR(INDEX(Section_Master!$E$2:$E$477,MATCH($E3629,Section_Master!$A$2:$A$477,0))&amp;"","")</f>
        <v>No</v>
      </c>
      <c r="H3629" s="10" t="str">
        <f aca="false">IFERROR(INDEX(Section_Master!$F$2:$F$477,MATCH($E3629,Section_Master!$A$2:$A$477,0))&amp;"","")</f>
        <v>Yes</v>
      </c>
      <c r="I3629" s="10" t="str">
        <f aca="false">IFERROR(INDEX(Section_Master!$G$2:$G$477,MATCH($E3629,Section_Master!$A$2:$A$477,0))&amp;"","")</f>
        <v>No</v>
      </c>
      <c r="J3629" s="10" t="s">
        <v>58</v>
      </c>
      <c r="K3629" s="8" t="s">
        <v>8507</v>
      </c>
    </row>
    <row r="3630" customFormat="false" ht="23.25" hidden="false" customHeight="true" outlineLevel="0" collapsed="false">
      <c r="A3630" s="10" t="s">
        <v>8514</v>
      </c>
      <c r="B3630" s="10" t="s">
        <v>45</v>
      </c>
      <c r="C3630" s="8" t="s">
        <v>8505</v>
      </c>
      <c r="D3630" s="8" t="s">
        <v>8515</v>
      </c>
      <c r="E3630" s="11" t="n">
        <v>247</v>
      </c>
      <c r="F3630" s="8" t="str">
        <f aca="false">IFERROR(INDEX(Section_Master!$D$2:$D$477,MATCH($E3630,Section_Master!$A$2:$A$477,0))&amp;"","")</f>
        <v>Imprisonment up to 2 years, or fine, or both</v>
      </c>
      <c r="G3630" s="10" t="str">
        <f aca="false">IFERROR(INDEX(Section_Master!$E$2:$E$477,MATCH($E3630,Section_Master!$A$2:$A$477,0))&amp;"","")</f>
        <v>No</v>
      </c>
      <c r="H3630" s="10" t="str">
        <f aca="false">IFERROR(INDEX(Section_Master!$F$2:$F$477,MATCH($E3630,Section_Master!$A$2:$A$477,0))&amp;"","")</f>
        <v>Yes</v>
      </c>
      <c r="I3630" s="10" t="str">
        <f aca="false">IFERROR(INDEX(Section_Master!$G$2:$G$477,MATCH($E3630,Section_Master!$A$2:$A$477,0))&amp;"","")</f>
        <v>No</v>
      </c>
      <c r="J3630" s="10" t="s">
        <v>61</v>
      </c>
      <c r="K3630" s="8" t="s">
        <v>8507</v>
      </c>
    </row>
    <row r="3631" customFormat="false" ht="34.5" hidden="false" customHeight="true" outlineLevel="0" collapsed="false">
      <c r="A3631" s="10" t="s">
        <v>8516</v>
      </c>
      <c r="B3631" s="10" t="s">
        <v>45</v>
      </c>
      <c r="C3631" s="8" t="s">
        <v>8505</v>
      </c>
      <c r="D3631" s="8" t="s">
        <v>8517</v>
      </c>
      <c r="E3631" s="11" t="n">
        <v>247</v>
      </c>
      <c r="F3631" s="8" t="str">
        <f aca="false">IFERROR(INDEX(Section_Master!$D$2:$D$477,MATCH($E3631,Section_Master!$A$2:$A$477,0))&amp;"","")</f>
        <v>Imprisonment up to 2 years, or fine, or both</v>
      </c>
      <c r="G3631" s="10" t="str">
        <f aca="false">IFERROR(INDEX(Section_Master!$E$2:$E$477,MATCH($E3631,Section_Master!$A$2:$A$477,0))&amp;"","")</f>
        <v>No</v>
      </c>
      <c r="H3631" s="10" t="str">
        <f aca="false">IFERROR(INDEX(Section_Master!$F$2:$F$477,MATCH($E3631,Section_Master!$A$2:$A$477,0))&amp;"","")</f>
        <v>Yes</v>
      </c>
      <c r="I3631" s="10" t="str">
        <f aca="false">IFERROR(INDEX(Section_Master!$G$2:$G$477,MATCH($E3631,Section_Master!$A$2:$A$477,0))&amp;"","")</f>
        <v>No</v>
      </c>
      <c r="J3631" s="10" t="s">
        <v>64</v>
      </c>
      <c r="K3631" s="8" t="s">
        <v>8507</v>
      </c>
    </row>
    <row r="3632" customFormat="false" ht="23.25" hidden="false" customHeight="true" outlineLevel="0" collapsed="false">
      <c r="A3632" s="10" t="s">
        <v>8518</v>
      </c>
      <c r="B3632" s="10" t="s">
        <v>45</v>
      </c>
      <c r="C3632" s="8" t="s">
        <v>8519</v>
      </c>
      <c r="D3632" s="8" t="s">
        <v>8520</v>
      </c>
      <c r="E3632" s="11" t="n">
        <v>248</v>
      </c>
      <c r="F3632" s="8" t="str">
        <f aca="false">IFERROR(INDEX(Section_Master!$D$2:$D$477,MATCH($E3632,Section_Master!$A$2:$A$477,0))&amp;"","")</f>
        <v>Imprisonment up to 2 years, or fine, or both; up to 7 years and fine if the charge is of an offence punishable with 7 years or more [s.248]</v>
      </c>
      <c r="G3632" s="10" t="str">
        <f aca="false">IFERROR(INDEX(Section_Master!$E$2:$E$477,MATCH($E3632,Section_Master!$A$2:$A$477,0))&amp;"","")</f>
        <v>No</v>
      </c>
      <c r="H3632" s="10" t="str">
        <f aca="false">IFERROR(INDEX(Section_Master!$F$2:$F$477,MATCH($E3632,Section_Master!$A$2:$A$477,0))&amp;"","")</f>
        <v>Varies by sub-section</v>
      </c>
      <c r="I3632" s="10" t="str">
        <f aca="false">IFERROR(INDEX(Section_Master!$G$2:$G$477,MATCH($E3632,Section_Master!$A$2:$A$477,0))&amp;"","")</f>
        <v>No</v>
      </c>
      <c r="J3632" s="10" t="s">
        <v>48</v>
      </c>
      <c r="K3632" s="8" t="s">
        <v>8521</v>
      </c>
    </row>
    <row r="3633" customFormat="false" ht="34.5" hidden="false" customHeight="true" outlineLevel="0" collapsed="false">
      <c r="A3633" s="10" t="s">
        <v>8522</v>
      </c>
      <c r="B3633" s="10" t="s">
        <v>45</v>
      </c>
      <c r="C3633" s="8" t="s">
        <v>8519</v>
      </c>
      <c r="D3633" s="8" t="s">
        <v>8523</v>
      </c>
      <c r="E3633" s="11" t="n">
        <v>248</v>
      </c>
      <c r="F3633" s="8" t="str">
        <f aca="false">IFERROR(INDEX(Section_Master!$D$2:$D$477,MATCH($E3633,Section_Master!$A$2:$A$477,0))&amp;"","")</f>
        <v>Imprisonment up to 2 years, or fine, or both; up to 7 years and fine if the charge is of an offence punishable with 7 years or more [s.248]</v>
      </c>
      <c r="G3633" s="10" t="str">
        <f aca="false">IFERROR(INDEX(Section_Master!$E$2:$E$477,MATCH($E3633,Section_Master!$A$2:$A$477,0))&amp;"","")</f>
        <v>No</v>
      </c>
      <c r="H3633" s="10" t="str">
        <f aca="false">IFERROR(INDEX(Section_Master!$F$2:$F$477,MATCH($E3633,Section_Master!$A$2:$A$477,0))&amp;"","")</f>
        <v>Varies by sub-section</v>
      </c>
      <c r="I3633" s="10" t="str">
        <f aca="false">IFERROR(INDEX(Section_Master!$G$2:$G$477,MATCH($E3633,Section_Master!$A$2:$A$477,0))&amp;"","")</f>
        <v>No</v>
      </c>
      <c r="J3633" s="10" t="s">
        <v>52</v>
      </c>
      <c r="K3633" s="8" t="s">
        <v>8521</v>
      </c>
    </row>
    <row r="3634" customFormat="false" ht="34.5" hidden="false" customHeight="true" outlineLevel="0" collapsed="false">
      <c r="A3634" s="10" t="s">
        <v>8524</v>
      </c>
      <c r="B3634" s="10" t="s">
        <v>45</v>
      </c>
      <c r="C3634" s="8" t="s">
        <v>8519</v>
      </c>
      <c r="D3634" s="8" t="s">
        <v>8525</v>
      </c>
      <c r="E3634" s="11" t="n">
        <v>248</v>
      </c>
      <c r="F3634" s="8" t="str">
        <f aca="false">IFERROR(INDEX(Section_Master!$D$2:$D$477,MATCH($E3634,Section_Master!$A$2:$A$477,0))&amp;"","")</f>
        <v>Imprisonment up to 2 years, or fine, or both; up to 7 years and fine if the charge is of an offence punishable with 7 years or more [s.248]</v>
      </c>
      <c r="G3634" s="10" t="str">
        <f aca="false">IFERROR(INDEX(Section_Master!$E$2:$E$477,MATCH($E3634,Section_Master!$A$2:$A$477,0))&amp;"","")</f>
        <v>No</v>
      </c>
      <c r="H3634" s="10" t="str">
        <f aca="false">IFERROR(INDEX(Section_Master!$F$2:$F$477,MATCH($E3634,Section_Master!$A$2:$A$477,0))&amp;"","")</f>
        <v>Varies by sub-section</v>
      </c>
      <c r="I3634" s="10" t="str">
        <f aca="false">IFERROR(INDEX(Section_Master!$G$2:$G$477,MATCH($E3634,Section_Master!$A$2:$A$477,0))&amp;"","")</f>
        <v>No</v>
      </c>
      <c r="J3634" s="10" t="s">
        <v>55</v>
      </c>
      <c r="K3634" s="8" t="s">
        <v>8521</v>
      </c>
    </row>
    <row r="3635" customFormat="false" ht="23.25" hidden="false" customHeight="true" outlineLevel="0" collapsed="false">
      <c r="A3635" s="10" t="s">
        <v>8526</v>
      </c>
      <c r="B3635" s="10" t="s">
        <v>45</v>
      </c>
      <c r="C3635" s="8" t="s">
        <v>8519</v>
      </c>
      <c r="D3635" s="8" t="s">
        <v>8527</v>
      </c>
      <c r="E3635" s="11" t="n">
        <v>248</v>
      </c>
      <c r="F3635" s="8" t="str">
        <f aca="false">IFERROR(INDEX(Section_Master!$D$2:$D$477,MATCH($E3635,Section_Master!$A$2:$A$477,0))&amp;"","")</f>
        <v>Imprisonment up to 2 years, or fine, or both; up to 7 years and fine if the charge is of an offence punishable with 7 years or more [s.248]</v>
      </c>
      <c r="G3635" s="10" t="str">
        <f aca="false">IFERROR(INDEX(Section_Master!$E$2:$E$477,MATCH($E3635,Section_Master!$A$2:$A$477,0))&amp;"","")</f>
        <v>No</v>
      </c>
      <c r="H3635" s="10" t="str">
        <f aca="false">IFERROR(INDEX(Section_Master!$F$2:$F$477,MATCH($E3635,Section_Master!$A$2:$A$477,0))&amp;"","")</f>
        <v>Varies by sub-section</v>
      </c>
      <c r="I3635" s="10" t="str">
        <f aca="false">IFERROR(INDEX(Section_Master!$G$2:$G$477,MATCH($E3635,Section_Master!$A$2:$A$477,0))&amp;"","")</f>
        <v>No</v>
      </c>
      <c r="J3635" s="10" t="s">
        <v>58</v>
      </c>
      <c r="K3635" s="8" t="s">
        <v>8521</v>
      </c>
    </row>
    <row r="3636" customFormat="false" ht="34.5" hidden="false" customHeight="true" outlineLevel="0" collapsed="false">
      <c r="A3636" s="10" t="s">
        <v>8528</v>
      </c>
      <c r="B3636" s="10" t="s">
        <v>45</v>
      </c>
      <c r="C3636" s="8" t="s">
        <v>8519</v>
      </c>
      <c r="D3636" s="8" t="s">
        <v>8529</v>
      </c>
      <c r="E3636" s="11" t="n">
        <v>248</v>
      </c>
      <c r="F3636" s="8" t="str">
        <f aca="false">IFERROR(INDEX(Section_Master!$D$2:$D$477,MATCH($E3636,Section_Master!$A$2:$A$477,0))&amp;"","")</f>
        <v>Imprisonment up to 2 years, or fine, or both; up to 7 years and fine if the charge is of an offence punishable with 7 years or more [s.248]</v>
      </c>
      <c r="G3636" s="10" t="str">
        <f aca="false">IFERROR(INDEX(Section_Master!$E$2:$E$477,MATCH($E3636,Section_Master!$A$2:$A$477,0))&amp;"","")</f>
        <v>No</v>
      </c>
      <c r="H3636" s="10" t="str">
        <f aca="false">IFERROR(INDEX(Section_Master!$F$2:$F$477,MATCH($E3636,Section_Master!$A$2:$A$477,0))&amp;"","")</f>
        <v>Varies by sub-section</v>
      </c>
      <c r="I3636" s="10" t="str">
        <f aca="false">IFERROR(INDEX(Section_Master!$G$2:$G$477,MATCH($E3636,Section_Master!$A$2:$A$477,0))&amp;"","")</f>
        <v>No</v>
      </c>
      <c r="J3636" s="10" t="s">
        <v>61</v>
      </c>
      <c r="K3636" s="8" t="s">
        <v>8521</v>
      </c>
    </row>
    <row r="3637" customFormat="false" ht="34.5" hidden="false" customHeight="true" outlineLevel="0" collapsed="false">
      <c r="A3637" s="10" t="s">
        <v>8530</v>
      </c>
      <c r="B3637" s="10" t="s">
        <v>45</v>
      </c>
      <c r="C3637" s="8" t="s">
        <v>8519</v>
      </c>
      <c r="D3637" s="8" t="s">
        <v>8531</v>
      </c>
      <c r="E3637" s="11" t="n">
        <v>248</v>
      </c>
      <c r="F3637" s="8" t="str">
        <f aca="false">IFERROR(INDEX(Section_Master!$D$2:$D$477,MATCH($E3637,Section_Master!$A$2:$A$477,0))&amp;"","")</f>
        <v>Imprisonment up to 2 years, or fine, or both; up to 7 years and fine if the charge is of an offence punishable with 7 years or more [s.248]</v>
      </c>
      <c r="G3637" s="10" t="str">
        <f aca="false">IFERROR(INDEX(Section_Master!$E$2:$E$477,MATCH($E3637,Section_Master!$A$2:$A$477,0))&amp;"","")</f>
        <v>No</v>
      </c>
      <c r="H3637" s="10" t="str">
        <f aca="false">IFERROR(INDEX(Section_Master!$F$2:$F$477,MATCH($E3637,Section_Master!$A$2:$A$477,0))&amp;"","")</f>
        <v>Varies by sub-section</v>
      </c>
      <c r="I3637" s="10" t="str">
        <f aca="false">IFERROR(INDEX(Section_Master!$G$2:$G$477,MATCH($E3637,Section_Master!$A$2:$A$477,0))&amp;"","")</f>
        <v>No</v>
      </c>
      <c r="J3637" s="10" t="s">
        <v>64</v>
      </c>
      <c r="K3637" s="8" t="s">
        <v>8521</v>
      </c>
    </row>
    <row r="3638" customFormat="false" ht="34.5" hidden="false" customHeight="true" outlineLevel="0" collapsed="false">
      <c r="A3638" s="10" t="s">
        <v>8532</v>
      </c>
      <c r="B3638" s="10" t="s">
        <v>45</v>
      </c>
      <c r="C3638" s="8" t="s">
        <v>8533</v>
      </c>
      <c r="D3638" s="8" t="s">
        <v>8534</v>
      </c>
      <c r="E3638" s="11" t="n">
        <v>249</v>
      </c>
      <c r="F3638" s="8" t="str">
        <f aca="false">IFERROR(INDEX(Section_Master!$D$2:$D$477,MATCH($E3638,Section_Master!$A$2:$A$477,0))&amp;"","")</f>
        <v>Up to 5 years and fine (capital offence); up to 3 years (life or 10-year offence); lesser terms for other offences [s.249]</v>
      </c>
      <c r="G3638" s="10" t="str">
        <f aca="false">IFERROR(INDEX(Section_Master!$E$2:$E$477,MATCH($E3638,Section_Master!$A$2:$A$477,0))&amp;"","")</f>
        <v>No</v>
      </c>
      <c r="H3638" s="10" t="str">
        <f aca="false">IFERROR(INDEX(Section_Master!$F$2:$F$477,MATCH($E3638,Section_Master!$A$2:$A$477,0))&amp;"","")</f>
        <v>Varies by sub-section</v>
      </c>
      <c r="I3638" s="10" t="str">
        <f aca="false">IFERROR(INDEX(Section_Master!$G$2:$G$477,MATCH($E3638,Section_Master!$A$2:$A$477,0))&amp;"","")</f>
        <v>No</v>
      </c>
      <c r="J3638" s="10" t="s">
        <v>48</v>
      </c>
      <c r="K3638" s="8" t="s">
        <v>8535</v>
      </c>
    </row>
    <row r="3639" customFormat="false" ht="34.5" hidden="false" customHeight="true" outlineLevel="0" collapsed="false">
      <c r="A3639" s="10" t="s">
        <v>8536</v>
      </c>
      <c r="B3639" s="10" t="s">
        <v>45</v>
      </c>
      <c r="C3639" s="8" t="s">
        <v>8533</v>
      </c>
      <c r="D3639" s="8" t="s">
        <v>8537</v>
      </c>
      <c r="E3639" s="11" t="n">
        <v>249</v>
      </c>
      <c r="F3639" s="8" t="str">
        <f aca="false">IFERROR(INDEX(Section_Master!$D$2:$D$477,MATCH($E3639,Section_Master!$A$2:$A$477,0))&amp;"","")</f>
        <v>Up to 5 years and fine (capital offence); up to 3 years (life or 10-year offence); lesser terms for other offences [s.249]</v>
      </c>
      <c r="G3639" s="10" t="str">
        <f aca="false">IFERROR(INDEX(Section_Master!$E$2:$E$477,MATCH($E3639,Section_Master!$A$2:$A$477,0))&amp;"","")</f>
        <v>No</v>
      </c>
      <c r="H3639" s="10" t="str">
        <f aca="false">IFERROR(INDEX(Section_Master!$F$2:$F$477,MATCH($E3639,Section_Master!$A$2:$A$477,0))&amp;"","")</f>
        <v>Varies by sub-section</v>
      </c>
      <c r="I3639" s="10" t="str">
        <f aca="false">IFERROR(INDEX(Section_Master!$G$2:$G$477,MATCH($E3639,Section_Master!$A$2:$A$477,0))&amp;"","")</f>
        <v>No</v>
      </c>
      <c r="J3639" s="10" t="s">
        <v>52</v>
      </c>
      <c r="K3639" s="8" t="s">
        <v>8535</v>
      </c>
    </row>
    <row r="3640" customFormat="false" ht="45.75" hidden="false" customHeight="true" outlineLevel="0" collapsed="false">
      <c r="A3640" s="10" t="s">
        <v>8538</v>
      </c>
      <c r="B3640" s="10" t="s">
        <v>45</v>
      </c>
      <c r="C3640" s="8" t="s">
        <v>8533</v>
      </c>
      <c r="D3640" s="8" t="s">
        <v>8539</v>
      </c>
      <c r="E3640" s="11" t="n">
        <v>249</v>
      </c>
      <c r="F3640" s="8" t="str">
        <f aca="false">IFERROR(INDEX(Section_Master!$D$2:$D$477,MATCH($E3640,Section_Master!$A$2:$A$477,0))&amp;"","")</f>
        <v>Up to 5 years and fine (capital offence); up to 3 years (life or 10-year offence); lesser terms for other offences [s.249]</v>
      </c>
      <c r="G3640" s="10" t="str">
        <f aca="false">IFERROR(INDEX(Section_Master!$E$2:$E$477,MATCH($E3640,Section_Master!$A$2:$A$477,0))&amp;"","")</f>
        <v>No</v>
      </c>
      <c r="H3640" s="10" t="str">
        <f aca="false">IFERROR(INDEX(Section_Master!$F$2:$F$477,MATCH($E3640,Section_Master!$A$2:$A$477,0))&amp;"","")</f>
        <v>Varies by sub-section</v>
      </c>
      <c r="I3640" s="10" t="str">
        <f aca="false">IFERROR(INDEX(Section_Master!$G$2:$G$477,MATCH($E3640,Section_Master!$A$2:$A$477,0))&amp;"","")</f>
        <v>No</v>
      </c>
      <c r="J3640" s="10" t="s">
        <v>55</v>
      </c>
      <c r="K3640" s="8" t="s">
        <v>8535</v>
      </c>
    </row>
    <row r="3641" customFormat="false" ht="23.25" hidden="false" customHeight="true" outlineLevel="0" collapsed="false">
      <c r="A3641" s="10" t="s">
        <v>8540</v>
      </c>
      <c r="B3641" s="10" t="s">
        <v>45</v>
      </c>
      <c r="C3641" s="8" t="s">
        <v>8533</v>
      </c>
      <c r="D3641" s="8" t="s">
        <v>8541</v>
      </c>
      <c r="E3641" s="11" t="n">
        <v>249</v>
      </c>
      <c r="F3641" s="8" t="str">
        <f aca="false">IFERROR(INDEX(Section_Master!$D$2:$D$477,MATCH($E3641,Section_Master!$A$2:$A$477,0))&amp;"","")</f>
        <v>Up to 5 years and fine (capital offence); up to 3 years (life or 10-year offence); lesser terms for other offences [s.249]</v>
      </c>
      <c r="G3641" s="10" t="str">
        <f aca="false">IFERROR(INDEX(Section_Master!$E$2:$E$477,MATCH($E3641,Section_Master!$A$2:$A$477,0))&amp;"","")</f>
        <v>No</v>
      </c>
      <c r="H3641" s="10" t="str">
        <f aca="false">IFERROR(INDEX(Section_Master!$F$2:$F$477,MATCH($E3641,Section_Master!$A$2:$A$477,0))&amp;"","")</f>
        <v>Varies by sub-section</v>
      </c>
      <c r="I3641" s="10" t="str">
        <f aca="false">IFERROR(INDEX(Section_Master!$G$2:$G$477,MATCH($E3641,Section_Master!$A$2:$A$477,0))&amp;"","")</f>
        <v>No</v>
      </c>
      <c r="J3641" s="10" t="s">
        <v>58</v>
      </c>
      <c r="K3641" s="8" t="s">
        <v>8535</v>
      </c>
    </row>
    <row r="3642" customFormat="false" ht="23.25" hidden="false" customHeight="true" outlineLevel="0" collapsed="false">
      <c r="A3642" s="10" t="s">
        <v>8542</v>
      </c>
      <c r="B3642" s="10" t="s">
        <v>45</v>
      </c>
      <c r="C3642" s="8" t="s">
        <v>8533</v>
      </c>
      <c r="D3642" s="8" t="s">
        <v>8543</v>
      </c>
      <c r="E3642" s="11" t="n">
        <v>249</v>
      </c>
      <c r="F3642" s="8" t="str">
        <f aca="false">IFERROR(INDEX(Section_Master!$D$2:$D$477,MATCH($E3642,Section_Master!$A$2:$A$477,0))&amp;"","")</f>
        <v>Up to 5 years and fine (capital offence); up to 3 years (life or 10-year offence); lesser terms for other offences [s.249]</v>
      </c>
      <c r="G3642" s="10" t="str">
        <f aca="false">IFERROR(INDEX(Section_Master!$E$2:$E$477,MATCH($E3642,Section_Master!$A$2:$A$477,0))&amp;"","")</f>
        <v>No</v>
      </c>
      <c r="H3642" s="10" t="str">
        <f aca="false">IFERROR(INDEX(Section_Master!$F$2:$F$477,MATCH($E3642,Section_Master!$A$2:$A$477,0))&amp;"","")</f>
        <v>Varies by sub-section</v>
      </c>
      <c r="I3642" s="10" t="str">
        <f aca="false">IFERROR(INDEX(Section_Master!$G$2:$G$477,MATCH($E3642,Section_Master!$A$2:$A$477,0))&amp;"","")</f>
        <v>No</v>
      </c>
      <c r="J3642" s="10" t="s">
        <v>61</v>
      </c>
      <c r="K3642" s="8" t="s">
        <v>8535</v>
      </c>
    </row>
    <row r="3643" customFormat="false" ht="34.5" hidden="false" customHeight="true" outlineLevel="0" collapsed="false">
      <c r="A3643" s="10" t="s">
        <v>8544</v>
      </c>
      <c r="B3643" s="10" t="s">
        <v>45</v>
      </c>
      <c r="C3643" s="8" t="s">
        <v>8533</v>
      </c>
      <c r="D3643" s="8" t="s">
        <v>8545</v>
      </c>
      <c r="E3643" s="11" t="n">
        <v>249</v>
      </c>
      <c r="F3643" s="8" t="str">
        <f aca="false">IFERROR(INDEX(Section_Master!$D$2:$D$477,MATCH($E3643,Section_Master!$A$2:$A$477,0))&amp;"","")</f>
        <v>Up to 5 years and fine (capital offence); up to 3 years (life or 10-year offence); lesser terms for other offences [s.249]</v>
      </c>
      <c r="G3643" s="10" t="str">
        <f aca="false">IFERROR(INDEX(Section_Master!$E$2:$E$477,MATCH($E3643,Section_Master!$A$2:$A$477,0))&amp;"","")</f>
        <v>No</v>
      </c>
      <c r="H3643" s="10" t="str">
        <f aca="false">IFERROR(INDEX(Section_Master!$F$2:$F$477,MATCH($E3643,Section_Master!$A$2:$A$477,0))&amp;"","")</f>
        <v>Varies by sub-section</v>
      </c>
      <c r="I3643" s="10" t="str">
        <f aca="false">IFERROR(INDEX(Section_Master!$G$2:$G$477,MATCH($E3643,Section_Master!$A$2:$A$477,0))&amp;"","")</f>
        <v>No</v>
      </c>
      <c r="J3643" s="10" t="s">
        <v>64</v>
      </c>
      <c r="K3643" s="8" t="s">
        <v>8535</v>
      </c>
    </row>
    <row r="3644" customFormat="false" ht="34.5" hidden="false" customHeight="true" outlineLevel="0" collapsed="false">
      <c r="A3644" s="10" t="s">
        <v>8546</v>
      </c>
      <c r="B3644" s="10" t="s">
        <v>45</v>
      </c>
      <c r="C3644" s="8" t="s">
        <v>8547</v>
      </c>
      <c r="D3644" s="8" t="s">
        <v>8548</v>
      </c>
      <c r="E3644" s="11" t="n">
        <v>250</v>
      </c>
      <c r="F3644" s="8" t="str">
        <f aca="false">IFERROR(INDEX(Section_Master!$D$2:$D$477,MATCH($E3644,Section_Master!$A$2:$A$477,0))&amp;"","")</f>
        <v>Up to 7 years and fine (capital offence); up to 3 years and fine (life offence); up to one-fourth of the longest term (other offences) [s.250]</v>
      </c>
      <c r="G3644" s="10" t="str">
        <f aca="false">IFERROR(INDEX(Section_Master!$E$2:$E$477,MATCH($E3644,Section_Master!$A$2:$A$477,0))&amp;"","")</f>
        <v>No</v>
      </c>
      <c r="H3644" s="10" t="str">
        <f aca="false">IFERROR(INDEX(Section_Master!$F$2:$F$477,MATCH($E3644,Section_Master!$A$2:$A$477,0))&amp;"","")</f>
        <v>Varies by sub-section</v>
      </c>
      <c r="I3644" s="10" t="str">
        <f aca="false">IFERROR(INDEX(Section_Master!$G$2:$G$477,MATCH($E3644,Section_Master!$A$2:$A$477,0))&amp;"","")</f>
        <v>No</v>
      </c>
      <c r="J3644" s="10" t="s">
        <v>48</v>
      </c>
      <c r="K3644" s="8" t="s">
        <v>8549</v>
      </c>
    </row>
    <row r="3645" customFormat="false" ht="34.5" hidden="false" customHeight="true" outlineLevel="0" collapsed="false">
      <c r="A3645" s="10" t="s">
        <v>8550</v>
      </c>
      <c r="B3645" s="10" t="s">
        <v>45</v>
      </c>
      <c r="C3645" s="8" t="s">
        <v>8547</v>
      </c>
      <c r="D3645" s="8" t="s">
        <v>8551</v>
      </c>
      <c r="E3645" s="11" t="n">
        <v>250</v>
      </c>
      <c r="F3645" s="8" t="str">
        <f aca="false">IFERROR(INDEX(Section_Master!$D$2:$D$477,MATCH($E3645,Section_Master!$A$2:$A$477,0))&amp;"","")</f>
        <v>Up to 7 years and fine (capital offence); up to 3 years and fine (life offence); up to one-fourth of the longest term (other offences) [s.250]</v>
      </c>
      <c r="G3645" s="10" t="str">
        <f aca="false">IFERROR(INDEX(Section_Master!$E$2:$E$477,MATCH($E3645,Section_Master!$A$2:$A$477,0))&amp;"","")</f>
        <v>No</v>
      </c>
      <c r="H3645" s="10" t="str">
        <f aca="false">IFERROR(INDEX(Section_Master!$F$2:$F$477,MATCH($E3645,Section_Master!$A$2:$A$477,0))&amp;"","")</f>
        <v>Varies by sub-section</v>
      </c>
      <c r="I3645" s="10" t="str">
        <f aca="false">IFERROR(INDEX(Section_Master!$G$2:$G$477,MATCH($E3645,Section_Master!$A$2:$A$477,0))&amp;"","")</f>
        <v>No</v>
      </c>
      <c r="J3645" s="10" t="s">
        <v>52</v>
      </c>
      <c r="K3645" s="8" t="s">
        <v>8549</v>
      </c>
    </row>
    <row r="3646" customFormat="false" ht="34.5" hidden="false" customHeight="true" outlineLevel="0" collapsed="false">
      <c r="A3646" s="10" t="s">
        <v>8552</v>
      </c>
      <c r="B3646" s="10" t="s">
        <v>45</v>
      </c>
      <c r="C3646" s="8" t="s">
        <v>8547</v>
      </c>
      <c r="D3646" s="8" t="s">
        <v>8553</v>
      </c>
      <c r="E3646" s="11" t="n">
        <v>250</v>
      </c>
      <c r="F3646" s="8" t="str">
        <f aca="false">IFERROR(INDEX(Section_Master!$D$2:$D$477,MATCH($E3646,Section_Master!$A$2:$A$477,0))&amp;"","")</f>
        <v>Up to 7 years and fine (capital offence); up to 3 years and fine (life offence); up to one-fourth of the longest term (other offences) [s.250]</v>
      </c>
      <c r="G3646" s="10" t="str">
        <f aca="false">IFERROR(INDEX(Section_Master!$E$2:$E$477,MATCH($E3646,Section_Master!$A$2:$A$477,0))&amp;"","")</f>
        <v>No</v>
      </c>
      <c r="H3646" s="10" t="str">
        <f aca="false">IFERROR(INDEX(Section_Master!$F$2:$F$477,MATCH($E3646,Section_Master!$A$2:$A$477,0))&amp;"","")</f>
        <v>Varies by sub-section</v>
      </c>
      <c r="I3646" s="10" t="str">
        <f aca="false">IFERROR(INDEX(Section_Master!$G$2:$G$477,MATCH($E3646,Section_Master!$A$2:$A$477,0))&amp;"","")</f>
        <v>No</v>
      </c>
      <c r="J3646" s="10" t="s">
        <v>55</v>
      </c>
      <c r="K3646" s="8" t="s">
        <v>8549</v>
      </c>
    </row>
    <row r="3647" customFormat="false" ht="23.25" hidden="false" customHeight="true" outlineLevel="0" collapsed="false">
      <c r="A3647" s="10" t="s">
        <v>8554</v>
      </c>
      <c r="B3647" s="10" t="s">
        <v>45</v>
      </c>
      <c r="C3647" s="8" t="s">
        <v>8547</v>
      </c>
      <c r="D3647" s="8" t="s">
        <v>8555</v>
      </c>
      <c r="E3647" s="11" t="n">
        <v>250</v>
      </c>
      <c r="F3647" s="8" t="str">
        <f aca="false">IFERROR(INDEX(Section_Master!$D$2:$D$477,MATCH($E3647,Section_Master!$A$2:$A$477,0))&amp;"","")</f>
        <v>Up to 7 years and fine (capital offence); up to 3 years and fine (life offence); up to one-fourth of the longest term (other offences) [s.250]</v>
      </c>
      <c r="G3647" s="10" t="str">
        <f aca="false">IFERROR(INDEX(Section_Master!$E$2:$E$477,MATCH($E3647,Section_Master!$A$2:$A$477,0))&amp;"","")</f>
        <v>No</v>
      </c>
      <c r="H3647" s="10" t="str">
        <f aca="false">IFERROR(INDEX(Section_Master!$F$2:$F$477,MATCH($E3647,Section_Master!$A$2:$A$477,0))&amp;"","")</f>
        <v>Varies by sub-section</v>
      </c>
      <c r="I3647" s="10" t="str">
        <f aca="false">IFERROR(INDEX(Section_Master!$G$2:$G$477,MATCH($E3647,Section_Master!$A$2:$A$477,0))&amp;"","")</f>
        <v>No</v>
      </c>
      <c r="J3647" s="10" t="s">
        <v>58</v>
      </c>
      <c r="K3647" s="8" t="s">
        <v>8549</v>
      </c>
    </row>
    <row r="3648" customFormat="false" ht="34.5" hidden="false" customHeight="true" outlineLevel="0" collapsed="false">
      <c r="A3648" s="10" t="s">
        <v>8556</v>
      </c>
      <c r="B3648" s="10" t="s">
        <v>45</v>
      </c>
      <c r="C3648" s="8" t="s">
        <v>8547</v>
      </c>
      <c r="D3648" s="8" t="s">
        <v>8557</v>
      </c>
      <c r="E3648" s="11" t="n">
        <v>250</v>
      </c>
      <c r="F3648" s="8" t="str">
        <f aca="false">IFERROR(INDEX(Section_Master!$D$2:$D$477,MATCH($E3648,Section_Master!$A$2:$A$477,0))&amp;"","")</f>
        <v>Up to 7 years and fine (capital offence); up to 3 years and fine (life offence); up to one-fourth of the longest term (other offences) [s.250]</v>
      </c>
      <c r="G3648" s="10" t="str">
        <f aca="false">IFERROR(INDEX(Section_Master!$E$2:$E$477,MATCH($E3648,Section_Master!$A$2:$A$477,0))&amp;"","")</f>
        <v>No</v>
      </c>
      <c r="H3648" s="10" t="str">
        <f aca="false">IFERROR(INDEX(Section_Master!$F$2:$F$477,MATCH($E3648,Section_Master!$A$2:$A$477,0))&amp;"","")</f>
        <v>Varies by sub-section</v>
      </c>
      <c r="I3648" s="10" t="str">
        <f aca="false">IFERROR(INDEX(Section_Master!$G$2:$G$477,MATCH($E3648,Section_Master!$A$2:$A$477,0))&amp;"","")</f>
        <v>No</v>
      </c>
      <c r="J3648" s="10" t="s">
        <v>61</v>
      </c>
      <c r="K3648" s="8" t="s">
        <v>8549</v>
      </c>
    </row>
    <row r="3649" customFormat="false" ht="34.5" hidden="false" customHeight="true" outlineLevel="0" collapsed="false">
      <c r="A3649" s="10" t="s">
        <v>8558</v>
      </c>
      <c r="B3649" s="10" t="s">
        <v>45</v>
      </c>
      <c r="C3649" s="8" t="s">
        <v>8547</v>
      </c>
      <c r="D3649" s="8" t="s">
        <v>8559</v>
      </c>
      <c r="E3649" s="11" t="n">
        <v>250</v>
      </c>
      <c r="F3649" s="8" t="str">
        <f aca="false">IFERROR(INDEX(Section_Master!$D$2:$D$477,MATCH($E3649,Section_Master!$A$2:$A$477,0))&amp;"","")</f>
        <v>Up to 7 years and fine (capital offence); up to 3 years and fine (life offence); up to one-fourth of the longest term (other offences) [s.250]</v>
      </c>
      <c r="G3649" s="10" t="str">
        <f aca="false">IFERROR(INDEX(Section_Master!$E$2:$E$477,MATCH($E3649,Section_Master!$A$2:$A$477,0))&amp;"","")</f>
        <v>No</v>
      </c>
      <c r="H3649" s="10" t="str">
        <f aca="false">IFERROR(INDEX(Section_Master!$F$2:$F$477,MATCH($E3649,Section_Master!$A$2:$A$477,0))&amp;"","")</f>
        <v>Varies by sub-section</v>
      </c>
      <c r="I3649" s="10" t="str">
        <f aca="false">IFERROR(INDEX(Section_Master!$G$2:$G$477,MATCH($E3649,Section_Master!$A$2:$A$477,0))&amp;"","")</f>
        <v>No</v>
      </c>
      <c r="J3649" s="10" t="s">
        <v>64</v>
      </c>
      <c r="K3649" s="8" t="s">
        <v>8549</v>
      </c>
    </row>
    <row r="3650" customFormat="false" ht="23.25" hidden="false" customHeight="true" outlineLevel="0" collapsed="false">
      <c r="A3650" s="10" t="s">
        <v>8560</v>
      </c>
      <c r="B3650" s="10" t="s">
        <v>45</v>
      </c>
      <c r="C3650" s="8" t="s">
        <v>8561</v>
      </c>
      <c r="D3650" s="8" t="s">
        <v>8562</v>
      </c>
      <c r="E3650" s="11" t="n">
        <v>251</v>
      </c>
      <c r="F3650" s="8" t="str">
        <f aca="false">IFERROR(INDEX(Section_Master!$D$2:$D$477,MATCH($E3650,Section_Master!$A$2:$A$477,0))&amp;"","")</f>
        <v>Up to 7 years and fine (capital offence); up to 3 years and fine (life offence); up to one-fourth of the longest term (other offences) [s.251]</v>
      </c>
      <c r="G3650" s="10" t="str">
        <f aca="false">IFERROR(INDEX(Section_Master!$E$2:$E$477,MATCH($E3650,Section_Master!$A$2:$A$477,0))&amp;"","")</f>
        <v>No</v>
      </c>
      <c r="H3650" s="10" t="str">
        <f aca="false">IFERROR(INDEX(Section_Master!$F$2:$F$477,MATCH($E3650,Section_Master!$A$2:$A$477,0))&amp;"","")</f>
        <v>Varies by sub-section</v>
      </c>
      <c r="I3650" s="10" t="str">
        <f aca="false">IFERROR(INDEX(Section_Master!$G$2:$G$477,MATCH($E3650,Section_Master!$A$2:$A$477,0))&amp;"","")</f>
        <v>No</v>
      </c>
      <c r="J3650" s="10" t="s">
        <v>48</v>
      </c>
      <c r="K3650" s="8" t="s">
        <v>8563</v>
      </c>
    </row>
    <row r="3651" customFormat="false" ht="34.5" hidden="false" customHeight="true" outlineLevel="0" collapsed="false">
      <c r="A3651" s="10" t="s">
        <v>8564</v>
      </c>
      <c r="B3651" s="10" t="s">
        <v>45</v>
      </c>
      <c r="C3651" s="8" t="s">
        <v>8561</v>
      </c>
      <c r="D3651" s="8" t="s">
        <v>8565</v>
      </c>
      <c r="E3651" s="11" t="n">
        <v>251</v>
      </c>
      <c r="F3651" s="8" t="str">
        <f aca="false">IFERROR(INDEX(Section_Master!$D$2:$D$477,MATCH($E3651,Section_Master!$A$2:$A$477,0))&amp;"","")</f>
        <v>Up to 7 years and fine (capital offence); up to 3 years and fine (life offence); up to one-fourth of the longest term (other offences) [s.251]</v>
      </c>
      <c r="G3651" s="10" t="str">
        <f aca="false">IFERROR(INDEX(Section_Master!$E$2:$E$477,MATCH($E3651,Section_Master!$A$2:$A$477,0))&amp;"","")</f>
        <v>No</v>
      </c>
      <c r="H3651" s="10" t="str">
        <f aca="false">IFERROR(INDEX(Section_Master!$F$2:$F$477,MATCH($E3651,Section_Master!$A$2:$A$477,0))&amp;"","")</f>
        <v>Varies by sub-section</v>
      </c>
      <c r="I3651" s="10" t="str">
        <f aca="false">IFERROR(INDEX(Section_Master!$G$2:$G$477,MATCH($E3651,Section_Master!$A$2:$A$477,0))&amp;"","")</f>
        <v>No</v>
      </c>
      <c r="J3651" s="10" t="s">
        <v>52</v>
      </c>
      <c r="K3651" s="8" t="s">
        <v>8563</v>
      </c>
    </row>
    <row r="3652" customFormat="false" ht="34.5" hidden="false" customHeight="true" outlineLevel="0" collapsed="false">
      <c r="A3652" s="10" t="s">
        <v>8566</v>
      </c>
      <c r="B3652" s="10" t="s">
        <v>45</v>
      </c>
      <c r="C3652" s="8" t="s">
        <v>8561</v>
      </c>
      <c r="D3652" s="8" t="s">
        <v>8567</v>
      </c>
      <c r="E3652" s="11" t="n">
        <v>251</v>
      </c>
      <c r="F3652" s="8" t="str">
        <f aca="false">IFERROR(INDEX(Section_Master!$D$2:$D$477,MATCH($E3652,Section_Master!$A$2:$A$477,0))&amp;"","")</f>
        <v>Up to 7 years and fine (capital offence); up to 3 years and fine (life offence); up to one-fourth of the longest term (other offences) [s.251]</v>
      </c>
      <c r="G3652" s="10" t="str">
        <f aca="false">IFERROR(INDEX(Section_Master!$E$2:$E$477,MATCH($E3652,Section_Master!$A$2:$A$477,0))&amp;"","")</f>
        <v>No</v>
      </c>
      <c r="H3652" s="10" t="str">
        <f aca="false">IFERROR(INDEX(Section_Master!$F$2:$F$477,MATCH($E3652,Section_Master!$A$2:$A$477,0))&amp;"","")</f>
        <v>Varies by sub-section</v>
      </c>
      <c r="I3652" s="10" t="str">
        <f aca="false">IFERROR(INDEX(Section_Master!$G$2:$G$477,MATCH($E3652,Section_Master!$A$2:$A$477,0))&amp;"","")</f>
        <v>No</v>
      </c>
      <c r="J3652" s="10" t="s">
        <v>55</v>
      </c>
      <c r="K3652" s="8" t="s">
        <v>8563</v>
      </c>
    </row>
    <row r="3653" customFormat="false" ht="23.25" hidden="false" customHeight="true" outlineLevel="0" collapsed="false">
      <c r="A3653" s="10" t="s">
        <v>8568</v>
      </c>
      <c r="B3653" s="10" t="s">
        <v>45</v>
      </c>
      <c r="C3653" s="8" t="s">
        <v>8561</v>
      </c>
      <c r="D3653" s="8" t="s">
        <v>8569</v>
      </c>
      <c r="E3653" s="11" t="n">
        <v>251</v>
      </c>
      <c r="F3653" s="8" t="str">
        <f aca="false">IFERROR(INDEX(Section_Master!$D$2:$D$477,MATCH($E3653,Section_Master!$A$2:$A$477,0))&amp;"","")</f>
        <v>Up to 7 years and fine (capital offence); up to 3 years and fine (life offence); up to one-fourth of the longest term (other offences) [s.251]</v>
      </c>
      <c r="G3653" s="10" t="str">
        <f aca="false">IFERROR(INDEX(Section_Master!$E$2:$E$477,MATCH($E3653,Section_Master!$A$2:$A$477,0))&amp;"","")</f>
        <v>No</v>
      </c>
      <c r="H3653" s="10" t="str">
        <f aca="false">IFERROR(INDEX(Section_Master!$F$2:$F$477,MATCH($E3653,Section_Master!$A$2:$A$477,0))&amp;"","")</f>
        <v>Varies by sub-section</v>
      </c>
      <c r="I3653" s="10" t="str">
        <f aca="false">IFERROR(INDEX(Section_Master!$G$2:$G$477,MATCH($E3653,Section_Master!$A$2:$A$477,0))&amp;"","")</f>
        <v>No</v>
      </c>
      <c r="J3653" s="10" t="s">
        <v>58</v>
      </c>
      <c r="K3653" s="8" t="s">
        <v>8563</v>
      </c>
    </row>
    <row r="3654" customFormat="false" ht="23.25" hidden="false" customHeight="true" outlineLevel="0" collapsed="false">
      <c r="A3654" s="10" t="s">
        <v>8570</v>
      </c>
      <c r="B3654" s="10" t="s">
        <v>45</v>
      </c>
      <c r="C3654" s="8" t="s">
        <v>8561</v>
      </c>
      <c r="D3654" s="8" t="s">
        <v>8571</v>
      </c>
      <c r="E3654" s="11" t="n">
        <v>251</v>
      </c>
      <c r="F3654" s="8" t="str">
        <f aca="false">IFERROR(INDEX(Section_Master!$D$2:$D$477,MATCH($E3654,Section_Master!$A$2:$A$477,0))&amp;"","")</f>
        <v>Up to 7 years and fine (capital offence); up to 3 years and fine (life offence); up to one-fourth of the longest term (other offences) [s.251]</v>
      </c>
      <c r="G3654" s="10" t="str">
        <f aca="false">IFERROR(INDEX(Section_Master!$E$2:$E$477,MATCH($E3654,Section_Master!$A$2:$A$477,0))&amp;"","")</f>
        <v>No</v>
      </c>
      <c r="H3654" s="10" t="str">
        <f aca="false">IFERROR(INDEX(Section_Master!$F$2:$F$477,MATCH($E3654,Section_Master!$A$2:$A$477,0))&amp;"","")</f>
        <v>Varies by sub-section</v>
      </c>
      <c r="I3654" s="10" t="str">
        <f aca="false">IFERROR(INDEX(Section_Master!$G$2:$G$477,MATCH($E3654,Section_Master!$A$2:$A$477,0))&amp;"","")</f>
        <v>No</v>
      </c>
      <c r="J3654" s="10" t="s">
        <v>61</v>
      </c>
      <c r="K3654" s="8" t="s">
        <v>8563</v>
      </c>
    </row>
    <row r="3655" customFormat="false" ht="34.5" hidden="false" customHeight="true" outlineLevel="0" collapsed="false">
      <c r="A3655" s="10" t="s">
        <v>8572</v>
      </c>
      <c r="B3655" s="10" t="s">
        <v>45</v>
      </c>
      <c r="C3655" s="8" t="s">
        <v>8561</v>
      </c>
      <c r="D3655" s="8" t="s">
        <v>8573</v>
      </c>
      <c r="E3655" s="11" t="n">
        <v>251</v>
      </c>
      <c r="F3655" s="8" t="str">
        <f aca="false">IFERROR(INDEX(Section_Master!$D$2:$D$477,MATCH($E3655,Section_Master!$A$2:$A$477,0))&amp;"","")</f>
        <v>Up to 7 years and fine (capital offence); up to 3 years and fine (life offence); up to one-fourth of the longest term (other offences) [s.251]</v>
      </c>
      <c r="G3655" s="10" t="str">
        <f aca="false">IFERROR(INDEX(Section_Master!$E$2:$E$477,MATCH($E3655,Section_Master!$A$2:$A$477,0))&amp;"","")</f>
        <v>No</v>
      </c>
      <c r="H3655" s="10" t="str">
        <f aca="false">IFERROR(INDEX(Section_Master!$F$2:$F$477,MATCH($E3655,Section_Master!$A$2:$A$477,0))&amp;"","")</f>
        <v>Varies by sub-section</v>
      </c>
      <c r="I3655" s="10" t="str">
        <f aca="false">IFERROR(INDEX(Section_Master!$G$2:$G$477,MATCH($E3655,Section_Master!$A$2:$A$477,0))&amp;"","")</f>
        <v>No</v>
      </c>
      <c r="J3655" s="10" t="s">
        <v>64</v>
      </c>
      <c r="K3655" s="8" t="s">
        <v>8563</v>
      </c>
    </row>
    <row r="3656" customFormat="false" ht="23.25" hidden="false" customHeight="true" outlineLevel="0" collapsed="false">
      <c r="A3656" s="10" t="s">
        <v>8574</v>
      </c>
      <c r="B3656" s="10" t="s">
        <v>45</v>
      </c>
      <c r="C3656" s="8" t="s">
        <v>8575</v>
      </c>
      <c r="D3656" s="8" t="s">
        <v>8576</v>
      </c>
      <c r="E3656" s="11" t="n">
        <v>252</v>
      </c>
      <c r="F3656" s="8" t="str">
        <f aca="false">IFERROR(INDEX(Section_Master!$D$2:$D$477,MATCH($E3656,Section_Master!$A$2:$A$477,0))&amp;"","")</f>
        <v>Imprisonment up to 2 years, or fine, or both</v>
      </c>
      <c r="G3656" s="10" t="str">
        <f aca="false">IFERROR(INDEX(Section_Master!$E$2:$E$477,MATCH($E3656,Section_Master!$A$2:$A$477,0))&amp;"","")</f>
        <v>No</v>
      </c>
      <c r="H3656" s="10" t="str">
        <f aca="false">IFERROR(INDEX(Section_Master!$F$2:$F$477,MATCH($E3656,Section_Master!$A$2:$A$477,0))&amp;"","")</f>
        <v>Yes</v>
      </c>
      <c r="I3656" s="10" t="str">
        <f aca="false">IFERROR(INDEX(Section_Master!$G$2:$G$477,MATCH($E3656,Section_Master!$A$2:$A$477,0))&amp;"","")</f>
        <v>No</v>
      </c>
      <c r="J3656" s="10" t="s">
        <v>48</v>
      </c>
      <c r="K3656" s="8" t="s">
        <v>8577</v>
      </c>
    </row>
    <row r="3657" customFormat="false" ht="23.25" hidden="false" customHeight="true" outlineLevel="0" collapsed="false">
      <c r="A3657" s="10" t="s">
        <v>8578</v>
      </c>
      <c r="B3657" s="10" t="s">
        <v>45</v>
      </c>
      <c r="C3657" s="8" t="s">
        <v>8575</v>
      </c>
      <c r="D3657" s="8" t="s">
        <v>8579</v>
      </c>
      <c r="E3657" s="11" t="n">
        <v>252</v>
      </c>
      <c r="F3657" s="8" t="str">
        <f aca="false">IFERROR(INDEX(Section_Master!$D$2:$D$477,MATCH($E3657,Section_Master!$A$2:$A$477,0))&amp;"","")</f>
        <v>Imprisonment up to 2 years, or fine, or both</v>
      </c>
      <c r="G3657" s="10" t="str">
        <f aca="false">IFERROR(INDEX(Section_Master!$E$2:$E$477,MATCH($E3657,Section_Master!$A$2:$A$477,0))&amp;"","")</f>
        <v>No</v>
      </c>
      <c r="H3657" s="10" t="str">
        <f aca="false">IFERROR(INDEX(Section_Master!$F$2:$F$477,MATCH($E3657,Section_Master!$A$2:$A$477,0))&amp;"","")</f>
        <v>Yes</v>
      </c>
      <c r="I3657" s="10" t="str">
        <f aca="false">IFERROR(INDEX(Section_Master!$G$2:$G$477,MATCH($E3657,Section_Master!$A$2:$A$477,0))&amp;"","")</f>
        <v>No</v>
      </c>
      <c r="J3657" s="10" t="s">
        <v>52</v>
      </c>
      <c r="K3657" s="8" t="s">
        <v>8577</v>
      </c>
    </row>
    <row r="3658" customFormat="false" ht="34.5" hidden="false" customHeight="true" outlineLevel="0" collapsed="false">
      <c r="A3658" s="10" t="s">
        <v>8580</v>
      </c>
      <c r="B3658" s="10" t="s">
        <v>45</v>
      </c>
      <c r="C3658" s="8" t="s">
        <v>8575</v>
      </c>
      <c r="D3658" s="8" t="s">
        <v>8581</v>
      </c>
      <c r="E3658" s="11" t="n">
        <v>252</v>
      </c>
      <c r="F3658" s="8" t="str">
        <f aca="false">IFERROR(INDEX(Section_Master!$D$2:$D$477,MATCH($E3658,Section_Master!$A$2:$A$477,0))&amp;"","")</f>
        <v>Imprisonment up to 2 years, or fine, or both</v>
      </c>
      <c r="G3658" s="10" t="str">
        <f aca="false">IFERROR(INDEX(Section_Master!$E$2:$E$477,MATCH($E3658,Section_Master!$A$2:$A$477,0))&amp;"","")</f>
        <v>No</v>
      </c>
      <c r="H3658" s="10" t="str">
        <f aca="false">IFERROR(INDEX(Section_Master!$F$2:$F$477,MATCH($E3658,Section_Master!$A$2:$A$477,0))&amp;"","")</f>
        <v>Yes</v>
      </c>
      <c r="I3658" s="10" t="str">
        <f aca="false">IFERROR(INDEX(Section_Master!$G$2:$G$477,MATCH($E3658,Section_Master!$A$2:$A$477,0))&amp;"","")</f>
        <v>No</v>
      </c>
      <c r="J3658" s="10" t="s">
        <v>55</v>
      </c>
      <c r="K3658" s="8" t="s">
        <v>8577</v>
      </c>
    </row>
    <row r="3659" customFormat="false" ht="23.25" hidden="false" customHeight="true" outlineLevel="0" collapsed="false">
      <c r="A3659" s="10" t="s">
        <v>8582</v>
      </c>
      <c r="B3659" s="10" t="s">
        <v>45</v>
      </c>
      <c r="C3659" s="8" t="s">
        <v>8575</v>
      </c>
      <c r="D3659" s="8" t="s">
        <v>8583</v>
      </c>
      <c r="E3659" s="11" t="n">
        <v>252</v>
      </c>
      <c r="F3659" s="8" t="str">
        <f aca="false">IFERROR(INDEX(Section_Master!$D$2:$D$477,MATCH($E3659,Section_Master!$A$2:$A$477,0))&amp;"","")</f>
        <v>Imprisonment up to 2 years, or fine, or both</v>
      </c>
      <c r="G3659" s="10" t="str">
        <f aca="false">IFERROR(INDEX(Section_Master!$E$2:$E$477,MATCH($E3659,Section_Master!$A$2:$A$477,0))&amp;"","")</f>
        <v>No</v>
      </c>
      <c r="H3659" s="10" t="str">
        <f aca="false">IFERROR(INDEX(Section_Master!$F$2:$F$477,MATCH($E3659,Section_Master!$A$2:$A$477,0))&amp;"","")</f>
        <v>Yes</v>
      </c>
      <c r="I3659" s="10" t="str">
        <f aca="false">IFERROR(INDEX(Section_Master!$G$2:$G$477,MATCH($E3659,Section_Master!$A$2:$A$477,0))&amp;"","")</f>
        <v>No</v>
      </c>
      <c r="J3659" s="10" t="s">
        <v>58</v>
      </c>
      <c r="K3659" s="8" t="s">
        <v>8577</v>
      </c>
    </row>
    <row r="3660" customFormat="false" ht="34.5" hidden="false" customHeight="true" outlineLevel="0" collapsed="false">
      <c r="A3660" s="10" t="s">
        <v>8584</v>
      </c>
      <c r="B3660" s="10" t="s">
        <v>45</v>
      </c>
      <c r="C3660" s="8" t="s">
        <v>8575</v>
      </c>
      <c r="D3660" s="8" t="s">
        <v>8585</v>
      </c>
      <c r="E3660" s="11" t="n">
        <v>252</v>
      </c>
      <c r="F3660" s="8" t="str">
        <f aca="false">IFERROR(INDEX(Section_Master!$D$2:$D$477,MATCH($E3660,Section_Master!$A$2:$A$477,0))&amp;"","")</f>
        <v>Imprisonment up to 2 years, or fine, or both</v>
      </c>
      <c r="G3660" s="10" t="str">
        <f aca="false">IFERROR(INDEX(Section_Master!$E$2:$E$477,MATCH($E3660,Section_Master!$A$2:$A$477,0))&amp;"","")</f>
        <v>No</v>
      </c>
      <c r="H3660" s="10" t="str">
        <f aca="false">IFERROR(INDEX(Section_Master!$F$2:$F$477,MATCH($E3660,Section_Master!$A$2:$A$477,0))&amp;"","")</f>
        <v>Yes</v>
      </c>
      <c r="I3660" s="10" t="str">
        <f aca="false">IFERROR(INDEX(Section_Master!$G$2:$G$477,MATCH($E3660,Section_Master!$A$2:$A$477,0))&amp;"","")</f>
        <v>No</v>
      </c>
      <c r="J3660" s="10" t="s">
        <v>61</v>
      </c>
      <c r="K3660" s="8" t="s">
        <v>8577</v>
      </c>
    </row>
    <row r="3661" customFormat="false" ht="34.5" hidden="false" customHeight="true" outlineLevel="0" collapsed="false">
      <c r="A3661" s="10" t="s">
        <v>8586</v>
      </c>
      <c r="B3661" s="10" t="s">
        <v>45</v>
      </c>
      <c r="C3661" s="8" t="s">
        <v>8575</v>
      </c>
      <c r="D3661" s="8" t="s">
        <v>8587</v>
      </c>
      <c r="E3661" s="11" t="n">
        <v>252</v>
      </c>
      <c r="F3661" s="8" t="str">
        <f aca="false">IFERROR(INDEX(Section_Master!$D$2:$D$477,MATCH($E3661,Section_Master!$A$2:$A$477,0))&amp;"","")</f>
        <v>Imprisonment up to 2 years, or fine, or both</v>
      </c>
      <c r="G3661" s="10" t="str">
        <f aca="false">IFERROR(INDEX(Section_Master!$E$2:$E$477,MATCH($E3661,Section_Master!$A$2:$A$477,0))&amp;"","")</f>
        <v>No</v>
      </c>
      <c r="H3661" s="10" t="str">
        <f aca="false">IFERROR(INDEX(Section_Master!$F$2:$F$477,MATCH($E3661,Section_Master!$A$2:$A$477,0))&amp;"","")</f>
        <v>Yes</v>
      </c>
      <c r="I3661" s="10" t="str">
        <f aca="false">IFERROR(INDEX(Section_Master!$G$2:$G$477,MATCH($E3661,Section_Master!$A$2:$A$477,0))&amp;"","")</f>
        <v>No</v>
      </c>
      <c r="J3661" s="10" t="s">
        <v>64</v>
      </c>
      <c r="K3661" s="8" t="s">
        <v>8577</v>
      </c>
    </row>
    <row r="3662" customFormat="false" ht="34.5" hidden="false" customHeight="true" outlineLevel="0" collapsed="false">
      <c r="A3662" s="10" t="s">
        <v>8588</v>
      </c>
      <c r="B3662" s="10" t="s">
        <v>45</v>
      </c>
      <c r="C3662" s="8" t="s">
        <v>8589</v>
      </c>
      <c r="D3662" s="8" t="s">
        <v>8590</v>
      </c>
      <c r="E3662" s="11" t="n">
        <v>253</v>
      </c>
      <c r="F3662" s="8" t="str">
        <f aca="false">IFERROR(INDEX(Section_Master!$D$2:$D$477,MATCH($E3662,Section_Master!$A$2:$A$477,0))&amp;"","")</f>
        <v>Up to 3 years and fine (offence with 10 years or more); up to one-fourth of the longest term (other offences) [s.253]</v>
      </c>
      <c r="G3662" s="10" t="str">
        <f aca="false">IFERROR(INDEX(Section_Master!$E$2:$E$477,MATCH($E3662,Section_Master!$A$2:$A$477,0))&amp;"","")</f>
        <v>No</v>
      </c>
      <c r="H3662" s="10" t="str">
        <f aca="false">IFERROR(INDEX(Section_Master!$F$2:$F$477,MATCH($E3662,Section_Master!$A$2:$A$477,0))&amp;"","")</f>
        <v>Varies by sub-section</v>
      </c>
      <c r="I3662" s="10" t="str">
        <f aca="false">IFERROR(INDEX(Section_Master!$G$2:$G$477,MATCH($E3662,Section_Master!$A$2:$A$477,0))&amp;"","")</f>
        <v>No</v>
      </c>
      <c r="J3662" s="10" t="s">
        <v>48</v>
      </c>
      <c r="K3662" s="8" t="s">
        <v>8591</v>
      </c>
    </row>
    <row r="3663" customFormat="false" ht="34.5" hidden="false" customHeight="true" outlineLevel="0" collapsed="false">
      <c r="A3663" s="10" t="s">
        <v>8592</v>
      </c>
      <c r="B3663" s="10" t="s">
        <v>45</v>
      </c>
      <c r="C3663" s="8" t="s">
        <v>8589</v>
      </c>
      <c r="D3663" s="8" t="s">
        <v>8593</v>
      </c>
      <c r="E3663" s="11" t="n">
        <v>253</v>
      </c>
      <c r="F3663" s="8" t="str">
        <f aca="false">IFERROR(INDEX(Section_Master!$D$2:$D$477,MATCH($E3663,Section_Master!$A$2:$A$477,0))&amp;"","")</f>
        <v>Up to 3 years and fine (offence with 10 years or more); up to one-fourth of the longest term (other offences) [s.253]</v>
      </c>
      <c r="G3663" s="10" t="str">
        <f aca="false">IFERROR(INDEX(Section_Master!$E$2:$E$477,MATCH($E3663,Section_Master!$A$2:$A$477,0))&amp;"","")</f>
        <v>No</v>
      </c>
      <c r="H3663" s="10" t="str">
        <f aca="false">IFERROR(INDEX(Section_Master!$F$2:$F$477,MATCH($E3663,Section_Master!$A$2:$A$477,0))&amp;"","")</f>
        <v>Varies by sub-section</v>
      </c>
      <c r="I3663" s="10" t="str">
        <f aca="false">IFERROR(INDEX(Section_Master!$G$2:$G$477,MATCH($E3663,Section_Master!$A$2:$A$477,0))&amp;"","")</f>
        <v>No</v>
      </c>
      <c r="J3663" s="10" t="s">
        <v>52</v>
      </c>
      <c r="K3663" s="8" t="s">
        <v>8591</v>
      </c>
    </row>
    <row r="3664" customFormat="false" ht="34.5" hidden="false" customHeight="true" outlineLevel="0" collapsed="false">
      <c r="A3664" s="10" t="s">
        <v>8594</v>
      </c>
      <c r="B3664" s="10" t="s">
        <v>45</v>
      </c>
      <c r="C3664" s="8" t="s">
        <v>8589</v>
      </c>
      <c r="D3664" s="8" t="s">
        <v>8595</v>
      </c>
      <c r="E3664" s="11" t="n">
        <v>253</v>
      </c>
      <c r="F3664" s="8" t="str">
        <f aca="false">IFERROR(INDEX(Section_Master!$D$2:$D$477,MATCH($E3664,Section_Master!$A$2:$A$477,0))&amp;"","")</f>
        <v>Up to 3 years and fine (offence with 10 years or more); up to one-fourth of the longest term (other offences) [s.253]</v>
      </c>
      <c r="G3664" s="10" t="str">
        <f aca="false">IFERROR(INDEX(Section_Master!$E$2:$E$477,MATCH($E3664,Section_Master!$A$2:$A$477,0))&amp;"","")</f>
        <v>No</v>
      </c>
      <c r="H3664" s="10" t="str">
        <f aca="false">IFERROR(INDEX(Section_Master!$F$2:$F$477,MATCH($E3664,Section_Master!$A$2:$A$477,0))&amp;"","")</f>
        <v>Varies by sub-section</v>
      </c>
      <c r="I3664" s="10" t="str">
        <f aca="false">IFERROR(INDEX(Section_Master!$G$2:$G$477,MATCH($E3664,Section_Master!$A$2:$A$477,0))&amp;"","")</f>
        <v>No</v>
      </c>
      <c r="J3664" s="10" t="s">
        <v>55</v>
      </c>
      <c r="K3664" s="8" t="s">
        <v>8591</v>
      </c>
    </row>
    <row r="3665" customFormat="false" ht="23.25" hidden="false" customHeight="true" outlineLevel="0" collapsed="false">
      <c r="A3665" s="10" t="s">
        <v>8596</v>
      </c>
      <c r="B3665" s="10" t="s">
        <v>45</v>
      </c>
      <c r="C3665" s="8" t="s">
        <v>8589</v>
      </c>
      <c r="D3665" s="8" t="s">
        <v>8597</v>
      </c>
      <c r="E3665" s="11" t="n">
        <v>253</v>
      </c>
      <c r="F3665" s="8" t="str">
        <f aca="false">IFERROR(INDEX(Section_Master!$D$2:$D$477,MATCH($E3665,Section_Master!$A$2:$A$477,0))&amp;"","")</f>
        <v>Up to 3 years and fine (offence with 10 years or more); up to one-fourth of the longest term (other offences) [s.253]</v>
      </c>
      <c r="G3665" s="10" t="str">
        <f aca="false">IFERROR(INDEX(Section_Master!$E$2:$E$477,MATCH($E3665,Section_Master!$A$2:$A$477,0))&amp;"","")</f>
        <v>No</v>
      </c>
      <c r="H3665" s="10" t="str">
        <f aca="false">IFERROR(INDEX(Section_Master!$F$2:$F$477,MATCH($E3665,Section_Master!$A$2:$A$477,0))&amp;"","")</f>
        <v>Varies by sub-section</v>
      </c>
      <c r="I3665" s="10" t="str">
        <f aca="false">IFERROR(INDEX(Section_Master!$G$2:$G$477,MATCH($E3665,Section_Master!$A$2:$A$477,0))&amp;"","")</f>
        <v>No</v>
      </c>
      <c r="J3665" s="10" t="s">
        <v>58</v>
      </c>
      <c r="K3665" s="8" t="s">
        <v>8591</v>
      </c>
    </row>
    <row r="3666" customFormat="false" ht="34.5" hidden="false" customHeight="true" outlineLevel="0" collapsed="false">
      <c r="A3666" s="10" t="s">
        <v>8598</v>
      </c>
      <c r="B3666" s="10" t="s">
        <v>45</v>
      </c>
      <c r="C3666" s="8" t="s">
        <v>8589</v>
      </c>
      <c r="D3666" s="8" t="s">
        <v>8599</v>
      </c>
      <c r="E3666" s="11" t="n">
        <v>253</v>
      </c>
      <c r="F3666" s="8" t="str">
        <f aca="false">IFERROR(INDEX(Section_Master!$D$2:$D$477,MATCH($E3666,Section_Master!$A$2:$A$477,0))&amp;"","")</f>
        <v>Up to 3 years and fine (offence with 10 years or more); up to one-fourth of the longest term (other offences) [s.253]</v>
      </c>
      <c r="G3666" s="10" t="str">
        <f aca="false">IFERROR(INDEX(Section_Master!$E$2:$E$477,MATCH($E3666,Section_Master!$A$2:$A$477,0))&amp;"","")</f>
        <v>No</v>
      </c>
      <c r="H3666" s="10" t="str">
        <f aca="false">IFERROR(INDEX(Section_Master!$F$2:$F$477,MATCH($E3666,Section_Master!$A$2:$A$477,0))&amp;"","")</f>
        <v>Varies by sub-section</v>
      </c>
      <c r="I3666" s="10" t="str">
        <f aca="false">IFERROR(INDEX(Section_Master!$G$2:$G$477,MATCH($E3666,Section_Master!$A$2:$A$477,0))&amp;"","")</f>
        <v>No</v>
      </c>
      <c r="J3666" s="10" t="s">
        <v>61</v>
      </c>
      <c r="K3666" s="8" t="s">
        <v>8591</v>
      </c>
    </row>
    <row r="3667" customFormat="false" ht="34.5" hidden="false" customHeight="true" outlineLevel="0" collapsed="false">
      <c r="A3667" s="10" t="s">
        <v>8600</v>
      </c>
      <c r="B3667" s="10" t="s">
        <v>45</v>
      </c>
      <c r="C3667" s="8" t="s">
        <v>8589</v>
      </c>
      <c r="D3667" s="8" t="s">
        <v>8601</v>
      </c>
      <c r="E3667" s="11" t="n">
        <v>253</v>
      </c>
      <c r="F3667" s="8" t="str">
        <f aca="false">IFERROR(INDEX(Section_Master!$D$2:$D$477,MATCH($E3667,Section_Master!$A$2:$A$477,0))&amp;"","")</f>
        <v>Up to 3 years and fine (offence with 10 years or more); up to one-fourth of the longest term (other offences) [s.253]</v>
      </c>
      <c r="G3667" s="10" t="str">
        <f aca="false">IFERROR(INDEX(Section_Master!$E$2:$E$477,MATCH($E3667,Section_Master!$A$2:$A$477,0))&amp;"","")</f>
        <v>No</v>
      </c>
      <c r="H3667" s="10" t="str">
        <f aca="false">IFERROR(INDEX(Section_Master!$F$2:$F$477,MATCH($E3667,Section_Master!$A$2:$A$477,0))&amp;"","")</f>
        <v>Varies by sub-section</v>
      </c>
      <c r="I3667" s="10" t="str">
        <f aca="false">IFERROR(INDEX(Section_Master!$G$2:$G$477,MATCH($E3667,Section_Master!$A$2:$A$477,0))&amp;"","")</f>
        <v>No</v>
      </c>
      <c r="J3667" s="10" t="s">
        <v>64</v>
      </c>
      <c r="K3667" s="8" t="s">
        <v>8591</v>
      </c>
    </row>
    <row r="3668" customFormat="false" ht="34.5" hidden="false" customHeight="true" outlineLevel="0" collapsed="false">
      <c r="A3668" s="10" t="s">
        <v>8602</v>
      </c>
      <c r="B3668" s="10" t="s">
        <v>45</v>
      </c>
      <c r="C3668" s="8" t="s">
        <v>8603</v>
      </c>
      <c r="D3668" s="8" t="s">
        <v>8604</v>
      </c>
      <c r="E3668" s="11" t="n">
        <v>254</v>
      </c>
      <c r="F3668" s="8" t="str">
        <f aca="false">IFERROR(INDEX(Section_Master!$D$2:$D$477,MATCH($E3668,Section_Master!$A$2:$A$477,0))&amp;"","")</f>
        <v>Rigorous imprisonment up to 7 years and fine</v>
      </c>
      <c r="G3668" s="10" t="str">
        <f aca="false">IFERROR(INDEX(Section_Master!$E$2:$E$477,MATCH($E3668,Section_Master!$A$2:$A$477,0))&amp;"","")</f>
        <v>Yes</v>
      </c>
      <c r="H3668" s="10" t="str">
        <f aca="false">IFERROR(INDEX(Section_Master!$F$2:$F$477,MATCH($E3668,Section_Master!$A$2:$A$477,0))&amp;"","")</f>
        <v>No</v>
      </c>
      <c r="I3668" s="10" t="str">
        <f aca="false">IFERROR(INDEX(Section_Master!$G$2:$G$477,MATCH($E3668,Section_Master!$A$2:$A$477,0))&amp;"","")</f>
        <v>No</v>
      </c>
      <c r="J3668" s="10" t="s">
        <v>48</v>
      </c>
      <c r="K3668" s="8" t="s">
        <v>8605</v>
      </c>
    </row>
    <row r="3669" customFormat="false" ht="34.5" hidden="false" customHeight="true" outlineLevel="0" collapsed="false">
      <c r="A3669" s="10" t="s">
        <v>8606</v>
      </c>
      <c r="B3669" s="10" t="s">
        <v>45</v>
      </c>
      <c r="C3669" s="8" t="s">
        <v>8603</v>
      </c>
      <c r="D3669" s="8" t="s">
        <v>8607</v>
      </c>
      <c r="E3669" s="11" t="n">
        <v>254</v>
      </c>
      <c r="F3669" s="8" t="str">
        <f aca="false">IFERROR(INDEX(Section_Master!$D$2:$D$477,MATCH($E3669,Section_Master!$A$2:$A$477,0))&amp;"","")</f>
        <v>Rigorous imprisonment up to 7 years and fine</v>
      </c>
      <c r="G3669" s="10" t="str">
        <f aca="false">IFERROR(INDEX(Section_Master!$E$2:$E$477,MATCH($E3669,Section_Master!$A$2:$A$477,0))&amp;"","")</f>
        <v>Yes</v>
      </c>
      <c r="H3669" s="10" t="str">
        <f aca="false">IFERROR(INDEX(Section_Master!$F$2:$F$477,MATCH($E3669,Section_Master!$A$2:$A$477,0))&amp;"","")</f>
        <v>No</v>
      </c>
      <c r="I3669" s="10" t="str">
        <f aca="false">IFERROR(INDEX(Section_Master!$G$2:$G$477,MATCH($E3669,Section_Master!$A$2:$A$477,0))&amp;"","")</f>
        <v>No</v>
      </c>
      <c r="J3669" s="10" t="s">
        <v>52</v>
      </c>
      <c r="K3669" s="8" t="s">
        <v>8605</v>
      </c>
    </row>
    <row r="3670" customFormat="false" ht="23.25" hidden="false" customHeight="true" outlineLevel="0" collapsed="false">
      <c r="A3670" s="10" t="s">
        <v>8608</v>
      </c>
      <c r="B3670" s="10" t="s">
        <v>45</v>
      </c>
      <c r="C3670" s="8" t="s">
        <v>8603</v>
      </c>
      <c r="D3670" s="8" t="s">
        <v>8609</v>
      </c>
      <c r="E3670" s="11" t="n">
        <v>254</v>
      </c>
      <c r="F3670" s="8" t="str">
        <f aca="false">IFERROR(INDEX(Section_Master!$D$2:$D$477,MATCH($E3670,Section_Master!$A$2:$A$477,0))&amp;"","")</f>
        <v>Rigorous imprisonment up to 7 years and fine</v>
      </c>
      <c r="G3670" s="10" t="str">
        <f aca="false">IFERROR(INDEX(Section_Master!$E$2:$E$477,MATCH($E3670,Section_Master!$A$2:$A$477,0))&amp;"","")</f>
        <v>Yes</v>
      </c>
      <c r="H3670" s="10" t="str">
        <f aca="false">IFERROR(INDEX(Section_Master!$F$2:$F$477,MATCH($E3670,Section_Master!$A$2:$A$477,0))&amp;"","")</f>
        <v>No</v>
      </c>
      <c r="I3670" s="10" t="str">
        <f aca="false">IFERROR(INDEX(Section_Master!$G$2:$G$477,MATCH($E3670,Section_Master!$A$2:$A$477,0))&amp;"","")</f>
        <v>No</v>
      </c>
      <c r="J3670" s="10" t="s">
        <v>55</v>
      </c>
      <c r="K3670" s="8" t="s">
        <v>8605</v>
      </c>
    </row>
    <row r="3671" customFormat="false" ht="34.5" hidden="false" customHeight="true" outlineLevel="0" collapsed="false">
      <c r="A3671" s="10" t="s">
        <v>8610</v>
      </c>
      <c r="B3671" s="10" t="s">
        <v>45</v>
      </c>
      <c r="C3671" s="8" t="s">
        <v>8603</v>
      </c>
      <c r="D3671" s="8" t="s">
        <v>8611</v>
      </c>
      <c r="E3671" s="11" t="n">
        <v>254</v>
      </c>
      <c r="F3671" s="8" t="str">
        <f aca="false">IFERROR(INDEX(Section_Master!$D$2:$D$477,MATCH($E3671,Section_Master!$A$2:$A$477,0))&amp;"","")</f>
        <v>Rigorous imprisonment up to 7 years and fine</v>
      </c>
      <c r="G3671" s="10" t="str">
        <f aca="false">IFERROR(INDEX(Section_Master!$E$2:$E$477,MATCH($E3671,Section_Master!$A$2:$A$477,0))&amp;"","")</f>
        <v>Yes</v>
      </c>
      <c r="H3671" s="10" t="str">
        <f aca="false">IFERROR(INDEX(Section_Master!$F$2:$F$477,MATCH($E3671,Section_Master!$A$2:$A$477,0))&amp;"","")</f>
        <v>No</v>
      </c>
      <c r="I3671" s="10" t="str">
        <f aca="false">IFERROR(INDEX(Section_Master!$G$2:$G$477,MATCH($E3671,Section_Master!$A$2:$A$477,0))&amp;"","")</f>
        <v>No</v>
      </c>
      <c r="J3671" s="10" t="s">
        <v>58</v>
      </c>
      <c r="K3671" s="8" t="s">
        <v>8605</v>
      </c>
    </row>
    <row r="3672" customFormat="false" ht="34.5" hidden="false" customHeight="true" outlineLevel="0" collapsed="false">
      <c r="A3672" s="10" t="s">
        <v>8612</v>
      </c>
      <c r="B3672" s="10" t="s">
        <v>45</v>
      </c>
      <c r="C3672" s="8" t="s">
        <v>8603</v>
      </c>
      <c r="D3672" s="8" t="s">
        <v>8613</v>
      </c>
      <c r="E3672" s="11" t="n">
        <v>254</v>
      </c>
      <c r="F3672" s="8" t="str">
        <f aca="false">IFERROR(INDEX(Section_Master!$D$2:$D$477,MATCH($E3672,Section_Master!$A$2:$A$477,0))&amp;"","")</f>
        <v>Rigorous imprisonment up to 7 years and fine</v>
      </c>
      <c r="G3672" s="10" t="str">
        <f aca="false">IFERROR(INDEX(Section_Master!$E$2:$E$477,MATCH($E3672,Section_Master!$A$2:$A$477,0))&amp;"","")</f>
        <v>Yes</v>
      </c>
      <c r="H3672" s="10" t="str">
        <f aca="false">IFERROR(INDEX(Section_Master!$F$2:$F$477,MATCH($E3672,Section_Master!$A$2:$A$477,0))&amp;"","")</f>
        <v>No</v>
      </c>
      <c r="I3672" s="10" t="str">
        <f aca="false">IFERROR(INDEX(Section_Master!$G$2:$G$477,MATCH($E3672,Section_Master!$A$2:$A$477,0))&amp;"","")</f>
        <v>No</v>
      </c>
      <c r="J3672" s="10" t="s">
        <v>61</v>
      </c>
      <c r="K3672" s="8" t="s">
        <v>8605</v>
      </c>
    </row>
    <row r="3673" customFormat="false" ht="45.75" hidden="false" customHeight="true" outlineLevel="0" collapsed="false">
      <c r="A3673" s="10" t="s">
        <v>8614</v>
      </c>
      <c r="B3673" s="10" t="s">
        <v>45</v>
      </c>
      <c r="C3673" s="8" t="s">
        <v>8603</v>
      </c>
      <c r="D3673" s="8" t="s">
        <v>8615</v>
      </c>
      <c r="E3673" s="11" t="n">
        <v>254</v>
      </c>
      <c r="F3673" s="8" t="str">
        <f aca="false">IFERROR(INDEX(Section_Master!$D$2:$D$477,MATCH($E3673,Section_Master!$A$2:$A$477,0))&amp;"","")</f>
        <v>Rigorous imprisonment up to 7 years and fine</v>
      </c>
      <c r="G3673" s="10" t="str">
        <f aca="false">IFERROR(INDEX(Section_Master!$E$2:$E$477,MATCH($E3673,Section_Master!$A$2:$A$477,0))&amp;"","")</f>
        <v>Yes</v>
      </c>
      <c r="H3673" s="10" t="str">
        <f aca="false">IFERROR(INDEX(Section_Master!$F$2:$F$477,MATCH($E3673,Section_Master!$A$2:$A$477,0))&amp;"","")</f>
        <v>No</v>
      </c>
      <c r="I3673" s="10" t="str">
        <f aca="false">IFERROR(INDEX(Section_Master!$G$2:$G$477,MATCH($E3673,Section_Master!$A$2:$A$477,0))&amp;"","")</f>
        <v>No</v>
      </c>
      <c r="J3673" s="10" t="s">
        <v>64</v>
      </c>
      <c r="K3673" s="8" t="s">
        <v>8605</v>
      </c>
    </row>
    <row r="3674" customFormat="false" ht="34.5" hidden="false" customHeight="true" outlineLevel="0" collapsed="false">
      <c r="A3674" s="10" t="s">
        <v>8616</v>
      </c>
      <c r="B3674" s="10" t="s">
        <v>45</v>
      </c>
      <c r="C3674" s="8" t="s">
        <v>8617</v>
      </c>
      <c r="D3674" s="8" t="s">
        <v>8618</v>
      </c>
      <c r="E3674" s="11" t="n">
        <v>255</v>
      </c>
      <c r="F3674" s="8" t="str">
        <f aca="false">IFERROR(INDEX(Section_Master!$D$2:$D$477,MATCH($E3674,Section_Master!$A$2:$A$477,0))&amp;"","")</f>
        <v>Imprisonment up to 2 years, or fine, or both</v>
      </c>
      <c r="G3674" s="10" t="str">
        <f aca="false">IFERROR(INDEX(Section_Master!$E$2:$E$477,MATCH($E3674,Section_Master!$A$2:$A$477,0))&amp;"","")</f>
        <v>No</v>
      </c>
      <c r="H3674" s="10" t="str">
        <f aca="false">IFERROR(INDEX(Section_Master!$F$2:$F$477,MATCH($E3674,Section_Master!$A$2:$A$477,0))&amp;"","")</f>
        <v>Yes</v>
      </c>
      <c r="I3674" s="10" t="str">
        <f aca="false">IFERROR(INDEX(Section_Master!$G$2:$G$477,MATCH($E3674,Section_Master!$A$2:$A$477,0))&amp;"","")</f>
        <v>No</v>
      </c>
      <c r="J3674" s="10" t="s">
        <v>48</v>
      </c>
      <c r="K3674" s="8" t="s">
        <v>8619</v>
      </c>
    </row>
    <row r="3675" customFormat="false" ht="34.5" hidden="false" customHeight="true" outlineLevel="0" collapsed="false">
      <c r="A3675" s="10" t="s">
        <v>8620</v>
      </c>
      <c r="B3675" s="10" t="s">
        <v>45</v>
      </c>
      <c r="C3675" s="8" t="s">
        <v>8617</v>
      </c>
      <c r="D3675" s="8" t="s">
        <v>8621</v>
      </c>
      <c r="E3675" s="11" t="n">
        <v>255</v>
      </c>
      <c r="F3675" s="8" t="str">
        <f aca="false">IFERROR(INDEX(Section_Master!$D$2:$D$477,MATCH($E3675,Section_Master!$A$2:$A$477,0))&amp;"","")</f>
        <v>Imprisonment up to 2 years, or fine, or both</v>
      </c>
      <c r="G3675" s="10" t="str">
        <f aca="false">IFERROR(INDEX(Section_Master!$E$2:$E$477,MATCH($E3675,Section_Master!$A$2:$A$477,0))&amp;"","")</f>
        <v>No</v>
      </c>
      <c r="H3675" s="10" t="str">
        <f aca="false">IFERROR(INDEX(Section_Master!$F$2:$F$477,MATCH($E3675,Section_Master!$A$2:$A$477,0))&amp;"","")</f>
        <v>Yes</v>
      </c>
      <c r="I3675" s="10" t="str">
        <f aca="false">IFERROR(INDEX(Section_Master!$G$2:$G$477,MATCH($E3675,Section_Master!$A$2:$A$477,0))&amp;"","")</f>
        <v>No</v>
      </c>
      <c r="J3675" s="10" t="s">
        <v>52</v>
      </c>
      <c r="K3675" s="8" t="s">
        <v>8619</v>
      </c>
    </row>
    <row r="3676" customFormat="false" ht="34.5" hidden="false" customHeight="true" outlineLevel="0" collapsed="false">
      <c r="A3676" s="10" t="s">
        <v>8622</v>
      </c>
      <c r="B3676" s="10" t="s">
        <v>45</v>
      </c>
      <c r="C3676" s="8" t="s">
        <v>8617</v>
      </c>
      <c r="D3676" s="8" t="s">
        <v>8623</v>
      </c>
      <c r="E3676" s="11" t="n">
        <v>255</v>
      </c>
      <c r="F3676" s="8" t="str">
        <f aca="false">IFERROR(INDEX(Section_Master!$D$2:$D$477,MATCH($E3676,Section_Master!$A$2:$A$477,0))&amp;"","")</f>
        <v>Imprisonment up to 2 years, or fine, or both</v>
      </c>
      <c r="G3676" s="10" t="str">
        <f aca="false">IFERROR(INDEX(Section_Master!$E$2:$E$477,MATCH($E3676,Section_Master!$A$2:$A$477,0))&amp;"","")</f>
        <v>No</v>
      </c>
      <c r="H3676" s="10" t="str">
        <f aca="false">IFERROR(INDEX(Section_Master!$F$2:$F$477,MATCH($E3676,Section_Master!$A$2:$A$477,0))&amp;"","")</f>
        <v>Yes</v>
      </c>
      <c r="I3676" s="10" t="str">
        <f aca="false">IFERROR(INDEX(Section_Master!$G$2:$G$477,MATCH($E3676,Section_Master!$A$2:$A$477,0))&amp;"","")</f>
        <v>No</v>
      </c>
      <c r="J3676" s="10" t="s">
        <v>55</v>
      </c>
      <c r="K3676" s="8" t="s">
        <v>8619</v>
      </c>
    </row>
    <row r="3677" customFormat="false" ht="23.25" hidden="false" customHeight="true" outlineLevel="0" collapsed="false">
      <c r="A3677" s="10" t="s">
        <v>8624</v>
      </c>
      <c r="B3677" s="10" t="s">
        <v>45</v>
      </c>
      <c r="C3677" s="8" t="s">
        <v>8617</v>
      </c>
      <c r="D3677" s="8" t="s">
        <v>8625</v>
      </c>
      <c r="E3677" s="11" t="n">
        <v>255</v>
      </c>
      <c r="F3677" s="8" t="str">
        <f aca="false">IFERROR(INDEX(Section_Master!$D$2:$D$477,MATCH($E3677,Section_Master!$A$2:$A$477,0))&amp;"","")</f>
        <v>Imprisonment up to 2 years, or fine, or both</v>
      </c>
      <c r="G3677" s="10" t="str">
        <f aca="false">IFERROR(INDEX(Section_Master!$E$2:$E$477,MATCH($E3677,Section_Master!$A$2:$A$477,0))&amp;"","")</f>
        <v>No</v>
      </c>
      <c r="H3677" s="10" t="str">
        <f aca="false">IFERROR(INDEX(Section_Master!$F$2:$F$477,MATCH($E3677,Section_Master!$A$2:$A$477,0))&amp;"","")</f>
        <v>Yes</v>
      </c>
      <c r="I3677" s="10" t="str">
        <f aca="false">IFERROR(INDEX(Section_Master!$G$2:$G$477,MATCH($E3677,Section_Master!$A$2:$A$477,0))&amp;"","")</f>
        <v>No</v>
      </c>
      <c r="J3677" s="10" t="s">
        <v>58</v>
      </c>
      <c r="K3677" s="8" t="s">
        <v>8619</v>
      </c>
    </row>
    <row r="3678" customFormat="false" ht="34.5" hidden="false" customHeight="true" outlineLevel="0" collapsed="false">
      <c r="A3678" s="10" t="s">
        <v>8626</v>
      </c>
      <c r="B3678" s="10" t="s">
        <v>45</v>
      </c>
      <c r="C3678" s="8" t="s">
        <v>8617</v>
      </c>
      <c r="D3678" s="8" t="s">
        <v>8627</v>
      </c>
      <c r="E3678" s="11" t="n">
        <v>255</v>
      </c>
      <c r="F3678" s="8" t="str">
        <f aca="false">IFERROR(INDEX(Section_Master!$D$2:$D$477,MATCH($E3678,Section_Master!$A$2:$A$477,0))&amp;"","")</f>
        <v>Imprisonment up to 2 years, or fine, or both</v>
      </c>
      <c r="G3678" s="10" t="str">
        <f aca="false">IFERROR(INDEX(Section_Master!$E$2:$E$477,MATCH($E3678,Section_Master!$A$2:$A$477,0))&amp;"","")</f>
        <v>No</v>
      </c>
      <c r="H3678" s="10" t="str">
        <f aca="false">IFERROR(INDEX(Section_Master!$F$2:$F$477,MATCH($E3678,Section_Master!$A$2:$A$477,0))&amp;"","")</f>
        <v>Yes</v>
      </c>
      <c r="I3678" s="10" t="str">
        <f aca="false">IFERROR(INDEX(Section_Master!$G$2:$G$477,MATCH($E3678,Section_Master!$A$2:$A$477,0))&amp;"","")</f>
        <v>No</v>
      </c>
      <c r="J3678" s="10" t="s">
        <v>61</v>
      </c>
      <c r="K3678" s="8" t="s">
        <v>8619</v>
      </c>
    </row>
    <row r="3679" customFormat="false" ht="34.5" hidden="false" customHeight="true" outlineLevel="0" collapsed="false">
      <c r="A3679" s="10" t="s">
        <v>8628</v>
      </c>
      <c r="B3679" s="10" t="s">
        <v>45</v>
      </c>
      <c r="C3679" s="8" t="s">
        <v>8617</v>
      </c>
      <c r="D3679" s="8" t="s">
        <v>8629</v>
      </c>
      <c r="E3679" s="11" t="n">
        <v>255</v>
      </c>
      <c r="F3679" s="8" t="str">
        <f aca="false">IFERROR(INDEX(Section_Master!$D$2:$D$477,MATCH($E3679,Section_Master!$A$2:$A$477,0))&amp;"","")</f>
        <v>Imprisonment up to 2 years, or fine, or both</v>
      </c>
      <c r="G3679" s="10" t="str">
        <f aca="false">IFERROR(INDEX(Section_Master!$E$2:$E$477,MATCH($E3679,Section_Master!$A$2:$A$477,0))&amp;"","")</f>
        <v>No</v>
      </c>
      <c r="H3679" s="10" t="str">
        <f aca="false">IFERROR(INDEX(Section_Master!$F$2:$F$477,MATCH($E3679,Section_Master!$A$2:$A$477,0))&amp;"","")</f>
        <v>Yes</v>
      </c>
      <c r="I3679" s="10" t="str">
        <f aca="false">IFERROR(INDEX(Section_Master!$G$2:$G$477,MATCH($E3679,Section_Master!$A$2:$A$477,0))&amp;"","")</f>
        <v>No</v>
      </c>
      <c r="J3679" s="10" t="s">
        <v>64</v>
      </c>
      <c r="K3679" s="8" t="s">
        <v>8619</v>
      </c>
    </row>
    <row r="3680" customFormat="false" ht="34.5" hidden="false" customHeight="true" outlineLevel="0" collapsed="false">
      <c r="A3680" s="10" t="s">
        <v>8630</v>
      </c>
      <c r="B3680" s="10" t="s">
        <v>45</v>
      </c>
      <c r="C3680" s="8" t="s">
        <v>8631</v>
      </c>
      <c r="D3680" s="8" t="s">
        <v>8632</v>
      </c>
      <c r="E3680" s="11" t="n">
        <v>256</v>
      </c>
      <c r="F3680" s="8" t="str">
        <f aca="false">IFERROR(INDEX(Section_Master!$D$2:$D$477,MATCH($E3680,Section_Master!$A$2:$A$477,0))&amp;"","")</f>
        <v>Imprisonment up to 3 years, or fine, or both</v>
      </c>
      <c r="G3680" s="10" t="str">
        <f aca="false">IFERROR(INDEX(Section_Master!$E$2:$E$477,MATCH($E3680,Section_Master!$A$2:$A$477,0))&amp;"","")</f>
        <v>No</v>
      </c>
      <c r="H3680" s="10" t="str">
        <f aca="false">IFERROR(INDEX(Section_Master!$F$2:$F$477,MATCH($E3680,Section_Master!$A$2:$A$477,0))&amp;"","")</f>
        <v>Yes</v>
      </c>
      <c r="I3680" s="10" t="str">
        <f aca="false">IFERROR(INDEX(Section_Master!$G$2:$G$477,MATCH($E3680,Section_Master!$A$2:$A$477,0))&amp;"","")</f>
        <v>No</v>
      </c>
      <c r="J3680" s="10" t="s">
        <v>48</v>
      </c>
      <c r="K3680" s="8" t="s">
        <v>8633</v>
      </c>
    </row>
    <row r="3681" customFormat="false" ht="34.5" hidden="false" customHeight="true" outlineLevel="0" collapsed="false">
      <c r="A3681" s="10" t="s">
        <v>8634</v>
      </c>
      <c r="B3681" s="10" t="s">
        <v>45</v>
      </c>
      <c r="C3681" s="8" t="s">
        <v>8631</v>
      </c>
      <c r="D3681" s="8" t="s">
        <v>8635</v>
      </c>
      <c r="E3681" s="11" t="n">
        <v>256</v>
      </c>
      <c r="F3681" s="8" t="str">
        <f aca="false">IFERROR(INDEX(Section_Master!$D$2:$D$477,MATCH($E3681,Section_Master!$A$2:$A$477,0))&amp;"","")</f>
        <v>Imprisonment up to 3 years, or fine, or both</v>
      </c>
      <c r="G3681" s="10" t="str">
        <f aca="false">IFERROR(INDEX(Section_Master!$E$2:$E$477,MATCH($E3681,Section_Master!$A$2:$A$477,0))&amp;"","")</f>
        <v>No</v>
      </c>
      <c r="H3681" s="10" t="str">
        <f aca="false">IFERROR(INDEX(Section_Master!$F$2:$F$477,MATCH($E3681,Section_Master!$A$2:$A$477,0))&amp;"","")</f>
        <v>Yes</v>
      </c>
      <c r="I3681" s="10" t="str">
        <f aca="false">IFERROR(INDEX(Section_Master!$G$2:$G$477,MATCH($E3681,Section_Master!$A$2:$A$477,0))&amp;"","")</f>
        <v>No</v>
      </c>
      <c r="J3681" s="10" t="s">
        <v>52</v>
      </c>
      <c r="K3681" s="8" t="s">
        <v>8633</v>
      </c>
    </row>
    <row r="3682" customFormat="false" ht="23.25" hidden="false" customHeight="true" outlineLevel="0" collapsed="false">
      <c r="A3682" s="10" t="s">
        <v>8636</v>
      </c>
      <c r="B3682" s="10" t="s">
        <v>45</v>
      </c>
      <c r="C3682" s="8" t="s">
        <v>8631</v>
      </c>
      <c r="D3682" s="8" t="s">
        <v>8637</v>
      </c>
      <c r="E3682" s="11" t="n">
        <v>256</v>
      </c>
      <c r="F3682" s="8" t="str">
        <f aca="false">IFERROR(INDEX(Section_Master!$D$2:$D$477,MATCH($E3682,Section_Master!$A$2:$A$477,0))&amp;"","")</f>
        <v>Imprisonment up to 3 years, or fine, or both</v>
      </c>
      <c r="G3682" s="10" t="str">
        <f aca="false">IFERROR(INDEX(Section_Master!$E$2:$E$477,MATCH($E3682,Section_Master!$A$2:$A$477,0))&amp;"","")</f>
        <v>No</v>
      </c>
      <c r="H3682" s="10" t="str">
        <f aca="false">IFERROR(INDEX(Section_Master!$F$2:$F$477,MATCH($E3682,Section_Master!$A$2:$A$477,0))&amp;"","")</f>
        <v>Yes</v>
      </c>
      <c r="I3682" s="10" t="str">
        <f aca="false">IFERROR(INDEX(Section_Master!$G$2:$G$477,MATCH($E3682,Section_Master!$A$2:$A$477,0))&amp;"","")</f>
        <v>No</v>
      </c>
      <c r="J3682" s="10" t="s">
        <v>55</v>
      </c>
      <c r="K3682" s="8" t="s">
        <v>8633</v>
      </c>
    </row>
    <row r="3683" customFormat="false" ht="34.5" hidden="false" customHeight="true" outlineLevel="0" collapsed="false">
      <c r="A3683" s="10" t="s">
        <v>8638</v>
      </c>
      <c r="B3683" s="10" t="s">
        <v>45</v>
      </c>
      <c r="C3683" s="8" t="s">
        <v>8631</v>
      </c>
      <c r="D3683" s="8" t="s">
        <v>8639</v>
      </c>
      <c r="E3683" s="11" t="n">
        <v>256</v>
      </c>
      <c r="F3683" s="8" t="str">
        <f aca="false">IFERROR(INDEX(Section_Master!$D$2:$D$477,MATCH($E3683,Section_Master!$A$2:$A$477,0))&amp;"","")</f>
        <v>Imprisonment up to 3 years, or fine, or both</v>
      </c>
      <c r="G3683" s="10" t="str">
        <f aca="false">IFERROR(INDEX(Section_Master!$E$2:$E$477,MATCH($E3683,Section_Master!$A$2:$A$477,0))&amp;"","")</f>
        <v>No</v>
      </c>
      <c r="H3683" s="10" t="str">
        <f aca="false">IFERROR(INDEX(Section_Master!$F$2:$F$477,MATCH($E3683,Section_Master!$A$2:$A$477,0))&amp;"","")</f>
        <v>Yes</v>
      </c>
      <c r="I3683" s="10" t="str">
        <f aca="false">IFERROR(INDEX(Section_Master!$G$2:$G$477,MATCH($E3683,Section_Master!$A$2:$A$477,0))&amp;"","")</f>
        <v>No</v>
      </c>
      <c r="J3683" s="10" t="s">
        <v>58</v>
      </c>
      <c r="K3683" s="8" t="s">
        <v>8633</v>
      </c>
    </row>
    <row r="3684" customFormat="false" ht="34.5" hidden="false" customHeight="true" outlineLevel="0" collapsed="false">
      <c r="A3684" s="10" t="s">
        <v>8640</v>
      </c>
      <c r="B3684" s="10" t="s">
        <v>45</v>
      </c>
      <c r="C3684" s="8" t="s">
        <v>8631</v>
      </c>
      <c r="D3684" s="8" t="s">
        <v>8641</v>
      </c>
      <c r="E3684" s="11" t="n">
        <v>256</v>
      </c>
      <c r="F3684" s="8" t="str">
        <f aca="false">IFERROR(INDEX(Section_Master!$D$2:$D$477,MATCH($E3684,Section_Master!$A$2:$A$477,0))&amp;"","")</f>
        <v>Imprisonment up to 3 years, or fine, or both</v>
      </c>
      <c r="G3684" s="10" t="str">
        <f aca="false">IFERROR(INDEX(Section_Master!$E$2:$E$477,MATCH($E3684,Section_Master!$A$2:$A$477,0))&amp;"","")</f>
        <v>No</v>
      </c>
      <c r="H3684" s="10" t="str">
        <f aca="false">IFERROR(INDEX(Section_Master!$F$2:$F$477,MATCH($E3684,Section_Master!$A$2:$A$477,0))&amp;"","")</f>
        <v>Yes</v>
      </c>
      <c r="I3684" s="10" t="str">
        <f aca="false">IFERROR(INDEX(Section_Master!$G$2:$G$477,MATCH($E3684,Section_Master!$A$2:$A$477,0))&amp;"","")</f>
        <v>No</v>
      </c>
      <c r="J3684" s="10" t="s">
        <v>61</v>
      </c>
      <c r="K3684" s="8" t="s">
        <v>8633</v>
      </c>
    </row>
    <row r="3685" customFormat="false" ht="34.5" hidden="false" customHeight="true" outlineLevel="0" collapsed="false">
      <c r="A3685" s="10" t="s">
        <v>8642</v>
      </c>
      <c r="B3685" s="10" t="s">
        <v>45</v>
      </c>
      <c r="C3685" s="8" t="s">
        <v>8631</v>
      </c>
      <c r="D3685" s="8" t="s">
        <v>8643</v>
      </c>
      <c r="E3685" s="11" t="n">
        <v>256</v>
      </c>
      <c r="F3685" s="8" t="str">
        <f aca="false">IFERROR(INDEX(Section_Master!$D$2:$D$477,MATCH($E3685,Section_Master!$A$2:$A$477,0))&amp;"","")</f>
        <v>Imprisonment up to 3 years, or fine, or both</v>
      </c>
      <c r="G3685" s="10" t="str">
        <f aca="false">IFERROR(INDEX(Section_Master!$E$2:$E$477,MATCH($E3685,Section_Master!$A$2:$A$477,0))&amp;"","")</f>
        <v>No</v>
      </c>
      <c r="H3685" s="10" t="str">
        <f aca="false">IFERROR(INDEX(Section_Master!$F$2:$F$477,MATCH($E3685,Section_Master!$A$2:$A$477,0))&amp;"","")</f>
        <v>Yes</v>
      </c>
      <c r="I3685" s="10" t="str">
        <f aca="false">IFERROR(INDEX(Section_Master!$G$2:$G$477,MATCH($E3685,Section_Master!$A$2:$A$477,0))&amp;"","")</f>
        <v>No</v>
      </c>
      <c r="J3685" s="10" t="s">
        <v>64</v>
      </c>
      <c r="K3685" s="8" t="s">
        <v>8633</v>
      </c>
    </row>
    <row r="3686" customFormat="false" ht="23.25" hidden="false" customHeight="true" outlineLevel="0" collapsed="false">
      <c r="A3686" s="10" t="s">
        <v>8644</v>
      </c>
      <c r="B3686" s="10" t="s">
        <v>45</v>
      </c>
      <c r="C3686" s="8" t="s">
        <v>8645</v>
      </c>
      <c r="D3686" s="8" t="s">
        <v>8646</v>
      </c>
      <c r="E3686" s="11" t="n">
        <v>257</v>
      </c>
      <c r="F3686" s="8" t="str">
        <f aca="false">IFERROR(INDEX(Section_Master!$D$2:$D$477,MATCH($E3686,Section_Master!$A$2:$A$477,0))&amp;"","")</f>
        <v>Imprisonment up to 7 years, or fine, or both</v>
      </c>
      <c r="G3686" s="10" t="str">
        <f aca="false">IFERROR(INDEX(Section_Master!$E$2:$E$477,MATCH($E3686,Section_Master!$A$2:$A$477,0))&amp;"","")</f>
        <v>No</v>
      </c>
      <c r="H3686" s="10" t="str">
        <f aca="false">IFERROR(INDEX(Section_Master!$F$2:$F$477,MATCH($E3686,Section_Master!$A$2:$A$477,0))&amp;"","")</f>
        <v>Yes</v>
      </c>
      <c r="I3686" s="10" t="str">
        <f aca="false">IFERROR(INDEX(Section_Master!$G$2:$G$477,MATCH($E3686,Section_Master!$A$2:$A$477,0))&amp;"","")</f>
        <v>No</v>
      </c>
      <c r="J3686" s="10" t="s">
        <v>48</v>
      </c>
      <c r="K3686" s="8" t="s">
        <v>8647</v>
      </c>
    </row>
    <row r="3687" customFormat="false" ht="34.5" hidden="false" customHeight="true" outlineLevel="0" collapsed="false">
      <c r="A3687" s="10" t="s">
        <v>8648</v>
      </c>
      <c r="B3687" s="10" t="s">
        <v>45</v>
      </c>
      <c r="C3687" s="8" t="s">
        <v>8645</v>
      </c>
      <c r="D3687" s="8" t="s">
        <v>8649</v>
      </c>
      <c r="E3687" s="11" t="n">
        <v>257</v>
      </c>
      <c r="F3687" s="8" t="str">
        <f aca="false">IFERROR(INDEX(Section_Master!$D$2:$D$477,MATCH($E3687,Section_Master!$A$2:$A$477,0))&amp;"","")</f>
        <v>Imprisonment up to 7 years, or fine, or both</v>
      </c>
      <c r="G3687" s="10" t="str">
        <f aca="false">IFERROR(INDEX(Section_Master!$E$2:$E$477,MATCH($E3687,Section_Master!$A$2:$A$477,0))&amp;"","")</f>
        <v>No</v>
      </c>
      <c r="H3687" s="10" t="str">
        <f aca="false">IFERROR(INDEX(Section_Master!$F$2:$F$477,MATCH($E3687,Section_Master!$A$2:$A$477,0))&amp;"","")</f>
        <v>Yes</v>
      </c>
      <c r="I3687" s="10" t="str">
        <f aca="false">IFERROR(INDEX(Section_Master!$G$2:$G$477,MATCH($E3687,Section_Master!$A$2:$A$477,0))&amp;"","")</f>
        <v>No</v>
      </c>
      <c r="J3687" s="10" t="s">
        <v>52</v>
      </c>
      <c r="K3687" s="8" t="s">
        <v>8647</v>
      </c>
    </row>
    <row r="3688" customFormat="false" ht="34.5" hidden="false" customHeight="true" outlineLevel="0" collapsed="false">
      <c r="A3688" s="10" t="s">
        <v>8650</v>
      </c>
      <c r="B3688" s="10" t="s">
        <v>45</v>
      </c>
      <c r="C3688" s="8" t="s">
        <v>8645</v>
      </c>
      <c r="D3688" s="8" t="s">
        <v>8651</v>
      </c>
      <c r="E3688" s="11" t="n">
        <v>257</v>
      </c>
      <c r="F3688" s="8" t="str">
        <f aca="false">IFERROR(INDEX(Section_Master!$D$2:$D$477,MATCH($E3688,Section_Master!$A$2:$A$477,0))&amp;"","")</f>
        <v>Imprisonment up to 7 years, or fine, or both</v>
      </c>
      <c r="G3688" s="10" t="str">
        <f aca="false">IFERROR(INDEX(Section_Master!$E$2:$E$477,MATCH($E3688,Section_Master!$A$2:$A$477,0))&amp;"","")</f>
        <v>No</v>
      </c>
      <c r="H3688" s="10" t="str">
        <f aca="false">IFERROR(INDEX(Section_Master!$F$2:$F$477,MATCH($E3688,Section_Master!$A$2:$A$477,0))&amp;"","")</f>
        <v>Yes</v>
      </c>
      <c r="I3688" s="10" t="str">
        <f aca="false">IFERROR(INDEX(Section_Master!$G$2:$G$477,MATCH($E3688,Section_Master!$A$2:$A$477,0))&amp;"","")</f>
        <v>No</v>
      </c>
      <c r="J3688" s="10" t="s">
        <v>55</v>
      </c>
      <c r="K3688" s="8" t="s">
        <v>8647</v>
      </c>
    </row>
    <row r="3689" customFormat="false" ht="23.25" hidden="false" customHeight="true" outlineLevel="0" collapsed="false">
      <c r="A3689" s="10" t="s">
        <v>8652</v>
      </c>
      <c r="B3689" s="10" t="s">
        <v>45</v>
      </c>
      <c r="C3689" s="8" t="s">
        <v>8645</v>
      </c>
      <c r="D3689" s="8" t="s">
        <v>8653</v>
      </c>
      <c r="E3689" s="11" t="n">
        <v>257</v>
      </c>
      <c r="F3689" s="8" t="str">
        <f aca="false">IFERROR(INDEX(Section_Master!$D$2:$D$477,MATCH($E3689,Section_Master!$A$2:$A$477,0))&amp;"","")</f>
        <v>Imprisonment up to 7 years, or fine, or both</v>
      </c>
      <c r="G3689" s="10" t="str">
        <f aca="false">IFERROR(INDEX(Section_Master!$E$2:$E$477,MATCH($E3689,Section_Master!$A$2:$A$477,0))&amp;"","")</f>
        <v>No</v>
      </c>
      <c r="H3689" s="10" t="str">
        <f aca="false">IFERROR(INDEX(Section_Master!$F$2:$F$477,MATCH($E3689,Section_Master!$A$2:$A$477,0))&amp;"","")</f>
        <v>Yes</v>
      </c>
      <c r="I3689" s="10" t="str">
        <f aca="false">IFERROR(INDEX(Section_Master!$G$2:$G$477,MATCH($E3689,Section_Master!$A$2:$A$477,0))&amp;"","")</f>
        <v>No</v>
      </c>
      <c r="J3689" s="10" t="s">
        <v>58</v>
      </c>
      <c r="K3689" s="8" t="s">
        <v>8647</v>
      </c>
    </row>
    <row r="3690" customFormat="false" ht="34.5" hidden="false" customHeight="true" outlineLevel="0" collapsed="false">
      <c r="A3690" s="10" t="s">
        <v>8654</v>
      </c>
      <c r="B3690" s="10" t="s">
        <v>45</v>
      </c>
      <c r="C3690" s="8" t="s">
        <v>8645</v>
      </c>
      <c r="D3690" s="8" t="s">
        <v>8655</v>
      </c>
      <c r="E3690" s="11" t="n">
        <v>257</v>
      </c>
      <c r="F3690" s="8" t="str">
        <f aca="false">IFERROR(INDEX(Section_Master!$D$2:$D$477,MATCH($E3690,Section_Master!$A$2:$A$477,0))&amp;"","")</f>
        <v>Imprisonment up to 7 years, or fine, or both</v>
      </c>
      <c r="G3690" s="10" t="str">
        <f aca="false">IFERROR(INDEX(Section_Master!$E$2:$E$477,MATCH($E3690,Section_Master!$A$2:$A$477,0))&amp;"","")</f>
        <v>No</v>
      </c>
      <c r="H3690" s="10" t="str">
        <f aca="false">IFERROR(INDEX(Section_Master!$F$2:$F$477,MATCH($E3690,Section_Master!$A$2:$A$477,0))&amp;"","")</f>
        <v>Yes</v>
      </c>
      <c r="I3690" s="10" t="str">
        <f aca="false">IFERROR(INDEX(Section_Master!$G$2:$G$477,MATCH($E3690,Section_Master!$A$2:$A$477,0))&amp;"","")</f>
        <v>No</v>
      </c>
      <c r="J3690" s="10" t="s">
        <v>61</v>
      </c>
      <c r="K3690" s="8" t="s">
        <v>8647</v>
      </c>
    </row>
    <row r="3691" customFormat="false" ht="34.5" hidden="false" customHeight="true" outlineLevel="0" collapsed="false">
      <c r="A3691" s="10" t="s">
        <v>8656</v>
      </c>
      <c r="B3691" s="10" t="s">
        <v>45</v>
      </c>
      <c r="C3691" s="8" t="s">
        <v>8645</v>
      </c>
      <c r="D3691" s="8" t="s">
        <v>8657</v>
      </c>
      <c r="E3691" s="11" t="n">
        <v>257</v>
      </c>
      <c r="F3691" s="8" t="str">
        <f aca="false">IFERROR(INDEX(Section_Master!$D$2:$D$477,MATCH($E3691,Section_Master!$A$2:$A$477,0))&amp;"","")</f>
        <v>Imprisonment up to 7 years, or fine, or both</v>
      </c>
      <c r="G3691" s="10" t="str">
        <f aca="false">IFERROR(INDEX(Section_Master!$E$2:$E$477,MATCH($E3691,Section_Master!$A$2:$A$477,0))&amp;"","")</f>
        <v>No</v>
      </c>
      <c r="H3691" s="10" t="str">
        <f aca="false">IFERROR(INDEX(Section_Master!$F$2:$F$477,MATCH($E3691,Section_Master!$A$2:$A$477,0))&amp;"","")</f>
        <v>Yes</v>
      </c>
      <c r="I3691" s="10" t="str">
        <f aca="false">IFERROR(INDEX(Section_Master!$G$2:$G$477,MATCH($E3691,Section_Master!$A$2:$A$477,0))&amp;"","")</f>
        <v>No</v>
      </c>
      <c r="J3691" s="10" t="s">
        <v>64</v>
      </c>
      <c r="K3691" s="8" t="s">
        <v>8647</v>
      </c>
    </row>
    <row r="3692" customFormat="false" ht="23.25" hidden="false" customHeight="true" outlineLevel="0" collapsed="false">
      <c r="A3692" s="10" t="s">
        <v>8658</v>
      </c>
      <c r="B3692" s="10" t="s">
        <v>45</v>
      </c>
      <c r="C3692" s="8" t="s">
        <v>8659</v>
      </c>
      <c r="D3692" s="8" t="s">
        <v>8660</v>
      </c>
      <c r="E3692" s="11" t="n">
        <v>258</v>
      </c>
      <c r="F3692" s="8" t="str">
        <f aca="false">IFERROR(INDEX(Section_Master!$D$2:$D$477,MATCH($E3692,Section_Master!$A$2:$A$477,0))&amp;"","")</f>
        <v>Imprisonment up to 7 years, or fine, or both</v>
      </c>
      <c r="G3692" s="10" t="str">
        <f aca="false">IFERROR(INDEX(Section_Master!$E$2:$E$477,MATCH($E3692,Section_Master!$A$2:$A$477,0))&amp;"","")</f>
        <v>No</v>
      </c>
      <c r="H3692" s="10" t="str">
        <f aca="false">IFERROR(INDEX(Section_Master!$F$2:$F$477,MATCH($E3692,Section_Master!$A$2:$A$477,0))&amp;"","")</f>
        <v>Yes</v>
      </c>
      <c r="I3692" s="10" t="str">
        <f aca="false">IFERROR(INDEX(Section_Master!$G$2:$G$477,MATCH($E3692,Section_Master!$A$2:$A$477,0))&amp;"","")</f>
        <v>No</v>
      </c>
      <c r="J3692" s="10" t="s">
        <v>48</v>
      </c>
      <c r="K3692" s="8" t="s">
        <v>8661</v>
      </c>
    </row>
    <row r="3693" customFormat="false" ht="34.5" hidden="false" customHeight="true" outlineLevel="0" collapsed="false">
      <c r="A3693" s="10" t="s">
        <v>8662</v>
      </c>
      <c r="B3693" s="10" t="s">
        <v>45</v>
      </c>
      <c r="C3693" s="8" t="s">
        <v>8659</v>
      </c>
      <c r="D3693" s="8" t="s">
        <v>8663</v>
      </c>
      <c r="E3693" s="11" t="n">
        <v>258</v>
      </c>
      <c r="F3693" s="8" t="str">
        <f aca="false">IFERROR(INDEX(Section_Master!$D$2:$D$477,MATCH($E3693,Section_Master!$A$2:$A$477,0))&amp;"","")</f>
        <v>Imprisonment up to 7 years, or fine, or both</v>
      </c>
      <c r="G3693" s="10" t="str">
        <f aca="false">IFERROR(INDEX(Section_Master!$E$2:$E$477,MATCH($E3693,Section_Master!$A$2:$A$477,0))&amp;"","")</f>
        <v>No</v>
      </c>
      <c r="H3693" s="10" t="str">
        <f aca="false">IFERROR(INDEX(Section_Master!$F$2:$F$477,MATCH($E3693,Section_Master!$A$2:$A$477,0))&amp;"","")</f>
        <v>Yes</v>
      </c>
      <c r="I3693" s="10" t="str">
        <f aca="false">IFERROR(INDEX(Section_Master!$G$2:$G$477,MATCH($E3693,Section_Master!$A$2:$A$477,0))&amp;"","")</f>
        <v>No</v>
      </c>
      <c r="J3693" s="10" t="s">
        <v>52</v>
      </c>
      <c r="K3693" s="8" t="s">
        <v>8661</v>
      </c>
    </row>
    <row r="3694" customFormat="false" ht="45.75" hidden="false" customHeight="true" outlineLevel="0" collapsed="false">
      <c r="A3694" s="10" t="s">
        <v>8664</v>
      </c>
      <c r="B3694" s="10" t="s">
        <v>45</v>
      </c>
      <c r="C3694" s="8" t="s">
        <v>8659</v>
      </c>
      <c r="D3694" s="8" t="s">
        <v>8665</v>
      </c>
      <c r="E3694" s="11" t="n">
        <v>258</v>
      </c>
      <c r="F3694" s="8" t="str">
        <f aca="false">IFERROR(INDEX(Section_Master!$D$2:$D$477,MATCH($E3694,Section_Master!$A$2:$A$477,0))&amp;"","")</f>
        <v>Imprisonment up to 7 years, or fine, or both</v>
      </c>
      <c r="G3694" s="10" t="str">
        <f aca="false">IFERROR(INDEX(Section_Master!$E$2:$E$477,MATCH($E3694,Section_Master!$A$2:$A$477,0))&amp;"","")</f>
        <v>No</v>
      </c>
      <c r="H3694" s="10" t="str">
        <f aca="false">IFERROR(INDEX(Section_Master!$F$2:$F$477,MATCH($E3694,Section_Master!$A$2:$A$477,0))&amp;"","")</f>
        <v>Yes</v>
      </c>
      <c r="I3694" s="10" t="str">
        <f aca="false">IFERROR(INDEX(Section_Master!$G$2:$G$477,MATCH($E3694,Section_Master!$A$2:$A$477,0))&amp;"","")</f>
        <v>No</v>
      </c>
      <c r="J3694" s="10" t="s">
        <v>55</v>
      </c>
      <c r="K3694" s="8" t="s">
        <v>8661</v>
      </c>
    </row>
    <row r="3695" customFormat="false" ht="23.25" hidden="false" customHeight="true" outlineLevel="0" collapsed="false">
      <c r="A3695" s="10" t="s">
        <v>8666</v>
      </c>
      <c r="B3695" s="10" t="s">
        <v>45</v>
      </c>
      <c r="C3695" s="8" t="s">
        <v>8659</v>
      </c>
      <c r="D3695" s="8" t="s">
        <v>8667</v>
      </c>
      <c r="E3695" s="11" t="n">
        <v>258</v>
      </c>
      <c r="F3695" s="8" t="str">
        <f aca="false">IFERROR(INDEX(Section_Master!$D$2:$D$477,MATCH($E3695,Section_Master!$A$2:$A$477,0))&amp;"","")</f>
        <v>Imprisonment up to 7 years, or fine, or both</v>
      </c>
      <c r="G3695" s="10" t="str">
        <f aca="false">IFERROR(INDEX(Section_Master!$E$2:$E$477,MATCH($E3695,Section_Master!$A$2:$A$477,0))&amp;"","")</f>
        <v>No</v>
      </c>
      <c r="H3695" s="10" t="str">
        <f aca="false">IFERROR(INDEX(Section_Master!$F$2:$F$477,MATCH($E3695,Section_Master!$A$2:$A$477,0))&amp;"","")</f>
        <v>Yes</v>
      </c>
      <c r="I3695" s="10" t="str">
        <f aca="false">IFERROR(INDEX(Section_Master!$G$2:$G$477,MATCH($E3695,Section_Master!$A$2:$A$477,0))&amp;"","")</f>
        <v>No</v>
      </c>
      <c r="J3695" s="10" t="s">
        <v>58</v>
      </c>
      <c r="K3695" s="8" t="s">
        <v>8661</v>
      </c>
    </row>
    <row r="3696" customFormat="false" ht="34.5" hidden="false" customHeight="true" outlineLevel="0" collapsed="false">
      <c r="A3696" s="10" t="s">
        <v>8668</v>
      </c>
      <c r="B3696" s="10" t="s">
        <v>45</v>
      </c>
      <c r="C3696" s="8" t="s">
        <v>8659</v>
      </c>
      <c r="D3696" s="8" t="s">
        <v>8669</v>
      </c>
      <c r="E3696" s="11" t="n">
        <v>258</v>
      </c>
      <c r="F3696" s="8" t="str">
        <f aca="false">IFERROR(INDEX(Section_Master!$D$2:$D$477,MATCH($E3696,Section_Master!$A$2:$A$477,0))&amp;"","")</f>
        <v>Imprisonment up to 7 years, or fine, or both</v>
      </c>
      <c r="G3696" s="10" t="str">
        <f aca="false">IFERROR(INDEX(Section_Master!$E$2:$E$477,MATCH($E3696,Section_Master!$A$2:$A$477,0))&amp;"","")</f>
        <v>No</v>
      </c>
      <c r="H3696" s="10" t="str">
        <f aca="false">IFERROR(INDEX(Section_Master!$F$2:$F$477,MATCH($E3696,Section_Master!$A$2:$A$477,0))&amp;"","")</f>
        <v>Yes</v>
      </c>
      <c r="I3696" s="10" t="str">
        <f aca="false">IFERROR(INDEX(Section_Master!$G$2:$G$477,MATCH($E3696,Section_Master!$A$2:$A$477,0))&amp;"","")</f>
        <v>No</v>
      </c>
      <c r="J3696" s="10" t="s">
        <v>61</v>
      </c>
      <c r="K3696" s="8" t="s">
        <v>8661</v>
      </c>
    </row>
    <row r="3697" customFormat="false" ht="45.75" hidden="false" customHeight="true" outlineLevel="0" collapsed="false">
      <c r="A3697" s="10" t="s">
        <v>8670</v>
      </c>
      <c r="B3697" s="10" t="s">
        <v>45</v>
      </c>
      <c r="C3697" s="8" t="s">
        <v>8659</v>
      </c>
      <c r="D3697" s="8" t="s">
        <v>8671</v>
      </c>
      <c r="E3697" s="11" t="n">
        <v>258</v>
      </c>
      <c r="F3697" s="8" t="str">
        <f aca="false">IFERROR(INDEX(Section_Master!$D$2:$D$477,MATCH($E3697,Section_Master!$A$2:$A$477,0))&amp;"","")</f>
        <v>Imprisonment up to 7 years, or fine, or both</v>
      </c>
      <c r="G3697" s="10" t="str">
        <f aca="false">IFERROR(INDEX(Section_Master!$E$2:$E$477,MATCH($E3697,Section_Master!$A$2:$A$477,0))&amp;"","")</f>
        <v>No</v>
      </c>
      <c r="H3697" s="10" t="str">
        <f aca="false">IFERROR(INDEX(Section_Master!$F$2:$F$477,MATCH($E3697,Section_Master!$A$2:$A$477,0))&amp;"","")</f>
        <v>Yes</v>
      </c>
      <c r="I3697" s="10" t="str">
        <f aca="false">IFERROR(INDEX(Section_Master!$G$2:$G$477,MATCH($E3697,Section_Master!$A$2:$A$477,0))&amp;"","")</f>
        <v>No</v>
      </c>
      <c r="J3697" s="10" t="s">
        <v>64</v>
      </c>
      <c r="K3697" s="8" t="s">
        <v>8661</v>
      </c>
    </row>
    <row r="3698" customFormat="false" ht="34.5" hidden="false" customHeight="true" outlineLevel="0" collapsed="false">
      <c r="A3698" s="10" t="s">
        <v>8672</v>
      </c>
      <c r="B3698" s="10" t="s">
        <v>45</v>
      </c>
      <c r="C3698" s="8" t="s">
        <v>8673</v>
      </c>
      <c r="D3698" s="8" t="s">
        <v>8674</v>
      </c>
      <c r="E3698" s="11" t="n">
        <v>259</v>
      </c>
      <c r="F3698" s="8" t="str">
        <f aca="false">IFERROR(INDEX(Section_Master!$D$2:$D$477,MATCH($E3698,Section_Master!$A$2:$A$477,0))&amp;"","")</f>
        <v>Up to 7 years and fine (capital offence); up to 3 years and fine (other offences) [s.259]</v>
      </c>
      <c r="G3698" s="10" t="str">
        <f aca="false">IFERROR(INDEX(Section_Master!$E$2:$E$477,MATCH($E3698,Section_Master!$A$2:$A$477,0))&amp;"","")</f>
        <v>No</v>
      </c>
      <c r="H3698" s="10" t="str">
        <f aca="false">IFERROR(INDEX(Section_Master!$F$2:$F$477,MATCH($E3698,Section_Master!$A$2:$A$477,0))&amp;"","")</f>
        <v>Varies by sub-section</v>
      </c>
      <c r="I3698" s="10" t="str">
        <f aca="false">IFERROR(INDEX(Section_Master!$G$2:$G$477,MATCH($E3698,Section_Master!$A$2:$A$477,0))&amp;"","")</f>
        <v>No</v>
      </c>
      <c r="J3698" s="10" t="s">
        <v>48</v>
      </c>
      <c r="K3698" s="8" t="s">
        <v>8675</v>
      </c>
    </row>
    <row r="3699" customFormat="false" ht="34.5" hidden="false" customHeight="true" outlineLevel="0" collapsed="false">
      <c r="A3699" s="10" t="s">
        <v>8676</v>
      </c>
      <c r="B3699" s="10" t="s">
        <v>45</v>
      </c>
      <c r="C3699" s="8" t="s">
        <v>8673</v>
      </c>
      <c r="D3699" s="8" t="s">
        <v>8677</v>
      </c>
      <c r="E3699" s="11" t="n">
        <v>259</v>
      </c>
      <c r="F3699" s="8" t="str">
        <f aca="false">IFERROR(INDEX(Section_Master!$D$2:$D$477,MATCH($E3699,Section_Master!$A$2:$A$477,0))&amp;"","")</f>
        <v>Up to 7 years and fine (capital offence); up to 3 years and fine (other offences) [s.259]</v>
      </c>
      <c r="G3699" s="10" t="str">
        <f aca="false">IFERROR(INDEX(Section_Master!$E$2:$E$477,MATCH($E3699,Section_Master!$A$2:$A$477,0))&amp;"","")</f>
        <v>No</v>
      </c>
      <c r="H3699" s="10" t="str">
        <f aca="false">IFERROR(INDEX(Section_Master!$F$2:$F$477,MATCH($E3699,Section_Master!$A$2:$A$477,0))&amp;"","")</f>
        <v>Varies by sub-section</v>
      </c>
      <c r="I3699" s="10" t="str">
        <f aca="false">IFERROR(INDEX(Section_Master!$G$2:$G$477,MATCH($E3699,Section_Master!$A$2:$A$477,0))&amp;"","")</f>
        <v>No</v>
      </c>
      <c r="J3699" s="10" t="s">
        <v>52</v>
      </c>
      <c r="K3699" s="8" t="s">
        <v>8675</v>
      </c>
    </row>
    <row r="3700" customFormat="false" ht="34.5" hidden="false" customHeight="true" outlineLevel="0" collapsed="false">
      <c r="A3700" s="10" t="s">
        <v>8678</v>
      </c>
      <c r="B3700" s="10" t="s">
        <v>45</v>
      </c>
      <c r="C3700" s="8" t="s">
        <v>8673</v>
      </c>
      <c r="D3700" s="8" t="s">
        <v>8679</v>
      </c>
      <c r="E3700" s="11" t="n">
        <v>259</v>
      </c>
      <c r="F3700" s="8" t="str">
        <f aca="false">IFERROR(INDEX(Section_Master!$D$2:$D$477,MATCH($E3700,Section_Master!$A$2:$A$477,0))&amp;"","")</f>
        <v>Up to 7 years and fine (capital offence); up to 3 years and fine (other offences) [s.259]</v>
      </c>
      <c r="G3700" s="10" t="str">
        <f aca="false">IFERROR(INDEX(Section_Master!$E$2:$E$477,MATCH($E3700,Section_Master!$A$2:$A$477,0))&amp;"","")</f>
        <v>No</v>
      </c>
      <c r="H3700" s="10" t="str">
        <f aca="false">IFERROR(INDEX(Section_Master!$F$2:$F$477,MATCH($E3700,Section_Master!$A$2:$A$477,0))&amp;"","")</f>
        <v>Varies by sub-section</v>
      </c>
      <c r="I3700" s="10" t="str">
        <f aca="false">IFERROR(INDEX(Section_Master!$G$2:$G$477,MATCH($E3700,Section_Master!$A$2:$A$477,0))&amp;"","")</f>
        <v>No</v>
      </c>
      <c r="J3700" s="10" t="s">
        <v>55</v>
      </c>
      <c r="K3700" s="8" t="s">
        <v>8675</v>
      </c>
    </row>
    <row r="3701" customFormat="false" ht="23.25" hidden="false" customHeight="true" outlineLevel="0" collapsed="false">
      <c r="A3701" s="10" t="s">
        <v>8680</v>
      </c>
      <c r="B3701" s="10" t="s">
        <v>45</v>
      </c>
      <c r="C3701" s="8" t="s">
        <v>8673</v>
      </c>
      <c r="D3701" s="8" t="s">
        <v>8681</v>
      </c>
      <c r="E3701" s="11" t="n">
        <v>259</v>
      </c>
      <c r="F3701" s="8" t="str">
        <f aca="false">IFERROR(INDEX(Section_Master!$D$2:$D$477,MATCH($E3701,Section_Master!$A$2:$A$477,0))&amp;"","")</f>
        <v>Up to 7 years and fine (capital offence); up to 3 years and fine (other offences) [s.259]</v>
      </c>
      <c r="G3701" s="10" t="str">
        <f aca="false">IFERROR(INDEX(Section_Master!$E$2:$E$477,MATCH($E3701,Section_Master!$A$2:$A$477,0))&amp;"","")</f>
        <v>No</v>
      </c>
      <c r="H3701" s="10" t="str">
        <f aca="false">IFERROR(INDEX(Section_Master!$F$2:$F$477,MATCH($E3701,Section_Master!$A$2:$A$477,0))&amp;"","")</f>
        <v>Varies by sub-section</v>
      </c>
      <c r="I3701" s="10" t="str">
        <f aca="false">IFERROR(INDEX(Section_Master!$G$2:$G$477,MATCH($E3701,Section_Master!$A$2:$A$477,0))&amp;"","")</f>
        <v>No</v>
      </c>
      <c r="J3701" s="10" t="s">
        <v>58</v>
      </c>
      <c r="K3701" s="8" t="s">
        <v>8675</v>
      </c>
    </row>
    <row r="3702" customFormat="false" ht="34.5" hidden="false" customHeight="true" outlineLevel="0" collapsed="false">
      <c r="A3702" s="10" t="s">
        <v>8682</v>
      </c>
      <c r="B3702" s="10" t="s">
        <v>45</v>
      </c>
      <c r="C3702" s="8" t="s">
        <v>8673</v>
      </c>
      <c r="D3702" s="8" t="s">
        <v>8683</v>
      </c>
      <c r="E3702" s="11" t="n">
        <v>259</v>
      </c>
      <c r="F3702" s="8" t="str">
        <f aca="false">IFERROR(INDEX(Section_Master!$D$2:$D$477,MATCH($E3702,Section_Master!$A$2:$A$477,0))&amp;"","")</f>
        <v>Up to 7 years and fine (capital offence); up to 3 years and fine (other offences) [s.259]</v>
      </c>
      <c r="G3702" s="10" t="str">
        <f aca="false">IFERROR(INDEX(Section_Master!$E$2:$E$477,MATCH($E3702,Section_Master!$A$2:$A$477,0))&amp;"","")</f>
        <v>No</v>
      </c>
      <c r="H3702" s="10" t="str">
        <f aca="false">IFERROR(INDEX(Section_Master!$F$2:$F$477,MATCH($E3702,Section_Master!$A$2:$A$477,0))&amp;"","")</f>
        <v>Varies by sub-section</v>
      </c>
      <c r="I3702" s="10" t="str">
        <f aca="false">IFERROR(INDEX(Section_Master!$G$2:$G$477,MATCH($E3702,Section_Master!$A$2:$A$477,0))&amp;"","")</f>
        <v>No</v>
      </c>
      <c r="J3702" s="10" t="s">
        <v>61</v>
      </c>
      <c r="K3702" s="8" t="s">
        <v>8675</v>
      </c>
    </row>
    <row r="3703" customFormat="false" ht="34.5" hidden="false" customHeight="true" outlineLevel="0" collapsed="false">
      <c r="A3703" s="10" t="s">
        <v>8684</v>
      </c>
      <c r="B3703" s="10" t="s">
        <v>45</v>
      </c>
      <c r="C3703" s="8" t="s">
        <v>8673</v>
      </c>
      <c r="D3703" s="8" t="s">
        <v>8685</v>
      </c>
      <c r="E3703" s="11" t="n">
        <v>259</v>
      </c>
      <c r="F3703" s="8" t="str">
        <f aca="false">IFERROR(INDEX(Section_Master!$D$2:$D$477,MATCH($E3703,Section_Master!$A$2:$A$477,0))&amp;"","")</f>
        <v>Up to 7 years and fine (capital offence); up to 3 years and fine (other offences) [s.259]</v>
      </c>
      <c r="G3703" s="10" t="str">
        <f aca="false">IFERROR(INDEX(Section_Master!$E$2:$E$477,MATCH($E3703,Section_Master!$A$2:$A$477,0))&amp;"","")</f>
        <v>No</v>
      </c>
      <c r="H3703" s="10" t="str">
        <f aca="false">IFERROR(INDEX(Section_Master!$F$2:$F$477,MATCH($E3703,Section_Master!$A$2:$A$477,0))&amp;"","")</f>
        <v>Varies by sub-section</v>
      </c>
      <c r="I3703" s="10" t="str">
        <f aca="false">IFERROR(INDEX(Section_Master!$G$2:$G$477,MATCH($E3703,Section_Master!$A$2:$A$477,0))&amp;"","")</f>
        <v>No</v>
      </c>
      <c r="J3703" s="10" t="s">
        <v>64</v>
      </c>
      <c r="K3703" s="8" t="s">
        <v>8675</v>
      </c>
    </row>
    <row r="3704" customFormat="false" ht="34.5" hidden="false" customHeight="true" outlineLevel="0" collapsed="false">
      <c r="A3704" s="10" t="s">
        <v>8686</v>
      </c>
      <c r="B3704" s="10" t="s">
        <v>45</v>
      </c>
      <c r="C3704" s="8" t="s">
        <v>8687</v>
      </c>
      <c r="D3704" s="8" t="s">
        <v>8688</v>
      </c>
      <c r="E3704" s="11" t="n">
        <v>260</v>
      </c>
      <c r="F3704" s="8" t="str">
        <f aca="false">IFERROR(INDEX(Section_Master!$D$2:$D$477,MATCH($E3704,Section_Master!$A$2:$A$477,0))&amp;"","")</f>
        <v>Up to life imprisonment or 14 years and fine (capital sentence); up to 7 years or 3 years and fine otherwise [s.260]</v>
      </c>
      <c r="G3704" s="10" t="str">
        <f aca="false">IFERROR(INDEX(Section_Master!$E$2:$E$477,MATCH($E3704,Section_Master!$A$2:$A$477,0))&amp;"","")</f>
        <v>No</v>
      </c>
      <c r="H3704" s="10" t="str">
        <f aca="false">IFERROR(INDEX(Section_Master!$F$2:$F$477,MATCH($E3704,Section_Master!$A$2:$A$477,0))&amp;"","")</f>
        <v>Varies by sub-section</v>
      </c>
      <c r="I3704" s="10" t="str">
        <f aca="false">IFERROR(INDEX(Section_Master!$G$2:$G$477,MATCH($E3704,Section_Master!$A$2:$A$477,0))&amp;"","")</f>
        <v>No</v>
      </c>
      <c r="J3704" s="10" t="s">
        <v>48</v>
      </c>
      <c r="K3704" s="8" t="s">
        <v>8689</v>
      </c>
    </row>
    <row r="3705" customFormat="false" ht="45.75" hidden="false" customHeight="true" outlineLevel="0" collapsed="false">
      <c r="A3705" s="10" t="s">
        <v>8690</v>
      </c>
      <c r="B3705" s="10" t="s">
        <v>45</v>
      </c>
      <c r="C3705" s="8" t="s">
        <v>8687</v>
      </c>
      <c r="D3705" s="8" t="s">
        <v>8691</v>
      </c>
      <c r="E3705" s="11" t="n">
        <v>260</v>
      </c>
      <c r="F3705" s="8" t="str">
        <f aca="false">IFERROR(INDEX(Section_Master!$D$2:$D$477,MATCH($E3705,Section_Master!$A$2:$A$477,0))&amp;"","")</f>
        <v>Up to life imprisonment or 14 years and fine (capital sentence); up to 7 years or 3 years and fine otherwise [s.260]</v>
      </c>
      <c r="G3705" s="10" t="str">
        <f aca="false">IFERROR(INDEX(Section_Master!$E$2:$E$477,MATCH($E3705,Section_Master!$A$2:$A$477,0))&amp;"","")</f>
        <v>No</v>
      </c>
      <c r="H3705" s="10" t="str">
        <f aca="false">IFERROR(INDEX(Section_Master!$F$2:$F$477,MATCH($E3705,Section_Master!$A$2:$A$477,0))&amp;"","")</f>
        <v>Varies by sub-section</v>
      </c>
      <c r="I3705" s="10" t="str">
        <f aca="false">IFERROR(INDEX(Section_Master!$G$2:$G$477,MATCH($E3705,Section_Master!$A$2:$A$477,0))&amp;"","")</f>
        <v>No</v>
      </c>
      <c r="J3705" s="10" t="s">
        <v>52</v>
      </c>
      <c r="K3705" s="8" t="s">
        <v>8689</v>
      </c>
    </row>
    <row r="3706" customFormat="false" ht="34.5" hidden="false" customHeight="true" outlineLevel="0" collapsed="false">
      <c r="A3706" s="10" t="s">
        <v>8692</v>
      </c>
      <c r="B3706" s="10" t="s">
        <v>45</v>
      </c>
      <c r="C3706" s="8" t="s">
        <v>8687</v>
      </c>
      <c r="D3706" s="8" t="s">
        <v>8693</v>
      </c>
      <c r="E3706" s="11" t="n">
        <v>260</v>
      </c>
      <c r="F3706" s="8" t="str">
        <f aca="false">IFERROR(INDEX(Section_Master!$D$2:$D$477,MATCH($E3706,Section_Master!$A$2:$A$477,0))&amp;"","")</f>
        <v>Up to life imprisonment or 14 years and fine (capital sentence); up to 7 years or 3 years and fine otherwise [s.260]</v>
      </c>
      <c r="G3706" s="10" t="str">
        <f aca="false">IFERROR(INDEX(Section_Master!$E$2:$E$477,MATCH($E3706,Section_Master!$A$2:$A$477,0))&amp;"","")</f>
        <v>No</v>
      </c>
      <c r="H3706" s="10" t="str">
        <f aca="false">IFERROR(INDEX(Section_Master!$F$2:$F$477,MATCH($E3706,Section_Master!$A$2:$A$477,0))&amp;"","")</f>
        <v>Varies by sub-section</v>
      </c>
      <c r="I3706" s="10" t="str">
        <f aca="false">IFERROR(INDEX(Section_Master!$G$2:$G$477,MATCH($E3706,Section_Master!$A$2:$A$477,0))&amp;"","")</f>
        <v>No</v>
      </c>
      <c r="J3706" s="10" t="s">
        <v>55</v>
      </c>
      <c r="K3706" s="8" t="s">
        <v>8689</v>
      </c>
    </row>
    <row r="3707" customFormat="false" ht="23.25" hidden="false" customHeight="true" outlineLevel="0" collapsed="false">
      <c r="A3707" s="10" t="s">
        <v>8694</v>
      </c>
      <c r="B3707" s="10" t="s">
        <v>45</v>
      </c>
      <c r="C3707" s="8" t="s">
        <v>8687</v>
      </c>
      <c r="D3707" s="8" t="s">
        <v>8695</v>
      </c>
      <c r="E3707" s="11" t="n">
        <v>260</v>
      </c>
      <c r="F3707" s="8" t="str">
        <f aca="false">IFERROR(INDEX(Section_Master!$D$2:$D$477,MATCH($E3707,Section_Master!$A$2:$A$477,0))&amp;"","")</f>
        <v>Up to life imprisonment or 14 years and fine (capital sentence); up to 7 years or 3 years and fine otherwise [s.260]</v>
      </c>
      <c r="G3707" s="10" t="str">
        <f aca="false">IFERROR(INDEX(Section_Master!$E$2:$E$477,MATCH($E3707,Section_Master!$A$2:$A$477,0))&amp;"","")</f>
        <v>No</v>
      </c>
      <c r="H3707" s="10" t="str">
        <f aca="false">IFERROR(INDEX(Section_Master!$F$2:$F$477,MATCH($E3707,Section_Master!$A$2:$A$477,0))&amp;"","")</f>
        <v>Varies by sub-section</v>
      </c>
      <c r="I3707" s="10" t="str">
        <f aca="false">IFERROR(INDEX(Section_Master!$G$2:$G$477,MATCH($E3707,Section_Master!$A$2:$A$477,0))&amp;"","")</f>
        <v>No</v>
      </c>
      <c r="J3707" s="10" t="s">
        <v>58</v>
      </c>
      <c r="K3707" s="8" t="s">
        <v>8689</v>
      </c>
    </row>
    <row r="3708" customFormat="false" ht="23.25" hidden="false" customHeight="true" outlineLevel="0" collapsed="false">
      <c r="A3708" s="10" t="s">
        <v>8696</v>
      </c>
      <c r="B3708" s="10" t="s">
        <v>45</v>
      </c>
      <c r="C3708" s="8" t="s">
        <v>8687</v>
      </c>
      <c r="D3708" s="8" t="s">
        <v>8697</v>
      </c>
      <c r="E3708" s="11" t="n">
        <v>260</v>
      </c>
      <c r="F3708" s="8" t="str">
        <f aca="false">IFERROR(INDEX(Section_Master!$D$2:$D$477,MATCH($E3708,Section_Master!$A$2:$A$477,0))&amp;"","")</f>
        <v>Up to life imprisonment or 14 years and fine (capital sentence); up to 7 years or 3 years and fine otherwise [s.260]</v>
      </c>
      <c r="G3708" s="10" t="str">
        <f aca="false">IFERROR(INDEX(Section_Master!$E$2:$E$477,MATCH($E3708,Section_Master!$A$2:$A$477,0))&amp;"","")</f>
        <v>No</v>
      </c>
      <c r="H3708" s="10" t="str">
        <f aca="false">IFERROR(INDEX(Section_Master!$F$2:$F$477,MATCH($E3708,Section_Master!$A$2:$A$477,0))&amp;"","")</f>
        <v>Varies by sub-section</v>
      </c>
      <c r="I3708" s="10" t="str">
        <f aca="false">IFERROR(INDEX(Section_Master!$G$2:$G$477,MATCH($E3708,Section_Master!$A$2:$A$477,0))&amp;"","")</f>
        <v>No</v>
      </c>
      <c r="J3708" s="10" t="s">
        <v>61</v>
      </c>
      <c r="K3708" s="8" t="s">
        <v>8689</v>
      </c>
    </row>
    <row r="3709" customFormat="false" ht="34.5" hidden="false" customHeight="true" outlineLevel="0" collapsed="false">
      <c r="A3709" s="10" t="s">
        <v>8698</v>
      </c>
      <c r="B3709" s="10" t="s">
        <v>45</v>
      </c>
      <c r="C3709" s="8" t="s">
        <v>8687</v>
      </c>
      <c r="D3709" s="8" t="s">
        <v>8699</v>
      </c>
      <c r="E3709" s="11" t="n">
        <v>260</v>
      </c>
      <c r="F3709" s="8" t="str">
        <f aca="false">IFERROR(INDEX(Section_Master!$D$2:$D$477,MATCH($E3709,Section_Master!$A$2:$A$477,0))&amp;"","")</f>
        <v>Up to life imprisonment or 14 years and fine (capital sentence); up to 7 years or 3 years and fine otherwise [s.260]</v>
      </c>
      <c r="G3709" s="10" t="str">
        <f aca="false">IFERROR(INDEX(Section_Master!$E$2:$E$477,MATCH($E3709,Section_Master!$A$2:$A$477,0))&amp;"","")</f>
        <v>No</v>
      </c>
      <c r="H3709" s="10" t="str">
        <f aca="false">IFERROR(INDEX(Section_Master!$F$2:$F$477,MATCH($E3709,Section_Master!$A$2:$A$477,0))&amp;"","")</f>
        <v>Varies by sub-section</v>
      </c>
      <c r="I3709" s="10" t="str">
        <f aca="false">IFERROR(INDEX(Section_Master!$G$2:$G$477,MATCH($E3709,Section_Master!$A$2:$A$477,0))&amp;"","")</f>
        <v>No</v>
      </c>
      <c r="J3709" s="10" t="s">
        <v>64</v>
      </c>
      <c r="K3709" s="8" t="s">
        <v>8689</v>
      </c>
    </row>
    <row r="3710" customFormat="false" ht="23.25" hidden="false" customHeight="true" outlineLevel="0" collapsed="false">
      <c r="A3710" s="10" t="s">
        <v>8700</v>
      </c>
      <c r="B3710" s="10" t="s">
        <v>45</v>
      </c>
      <c r="C3710" s="8" t="s">
        <v>8701</v>
      </c>
      <c r="D3710" s="8" t="s">
        <v>8702</v>
      </c>
      <c r="E3710" s="11" t="n">
        <v>261</v>
      </c>
      <c r="F3710" s="8" t="str">
        <f aca="false">IFERROR(INDEX(Section_Master!$D$2:$D$477,MATCH($E3710,Section_Master!$A$2:$A$477,0))&amp;"","")</f>
        <v>Simple imprisonment up to 2 years and fine</v>
      </c>
      <c r="G3710" s="10" t="str">
        <f aca="false">IFERROR(INDEX(Section_Master!$E$2:$E$477,MATCH($E3710,Section_Master!$A$2:$A$477,0))&amp;"","")</f>
        <v>No</v>
      </c>
      <c r="H3710" s="10" t="str">
        <f aca="false">IFERROR(INDEX(Section_Master!$F$2:$F$477,MATCH($E3710,Section_Master!$A$2:$A$477,0))&amp;"","")</f>
        <v>Yes</v>
      </c>
      <c r="I3710" s="10" t="str">
        <f aca="false">IFERROR(INDEX(Section_Master!$G$2:$G$477,MATCH($E3710,Section_Master!$A$2:$A$477,0))&amp;"","")</f>
        <v>No</v>
      </c>
      <c r="J3710" s="10" t="s">
        <v>48</v>
      </c>
      <c r="K3710" s="8" t="s">
        <v>8703</v>
      </c>
    </row>
    <row r="3711" customFormat="false" ht="34.5" hidden="false" customHeight="true" outlineLevel="0" collapsed="false">
      <c r="A3711" s="10" t="s">
        <v>8704</v>
      </c>
      <c r="B3711" s="10" t="s">
        <v>45</v>
      </c>
      <c r="C3711" s="8" t="s">
        <v>8701</v>
      </c>
      <c r="D3711" s="8" t="s">
        <v>8705</v>
      </c>
      <c r="E3711" s="11" t="n">
        <v>261</v>
      </c>
      <c r="F3711" s="8" t="str">
        <f aca="false">IFERROR(INDEX(Section_Master!$D$2:$D$477,MATCH($E3711,Section_Master!$A$2:$A$477,0))&amp;"","")</f>
        <v>Simple imprisonment up to 2 years and fine</v>
      </c>
      <c r="G3711" s="10" t="str">
        <f aca="false">IFERROR(INDEX(Section_Master!$E$2:$E$477,MATCH($E3711,Section_Master!$A$2:$A$477,0))&amp;"","")</f>
        <v>No</v>
      </c>
      <c r="H3711" s="10" t="str">
        <f aca="false">IFERROR(INDEX(Section_Master!$F$2:$F$477,MATCH($E3711,Section_Master!$A$2:$A$477,0))&amp;"","")</f>
        <v>Yes</v>
      </c>
      <c r="I3711" s="10" t="str">
        <f aca="false">IFERROR(INDEX(Section_Master!$G$2:$G$477,MATCH($E3711,Section_Master!$A$2:$A$477,0))&amp;"","")</f>
        <v>No</v>
      </c>
      <c r="J3711" s="10" t="s">
        <v>52</v>
      </c>
      <c r="K3711" s="8" t="s">
        <v>8703</v>
      </c>
    </row>
    <row r="3712" customFormat="false" ht="34.5" hidden="false" customHeight="true" outlineLevel="0" collapsed="false">
      <c r="A3712" s="10" t="s">
        <v>8706</v>
      </c>
      <c r="B3712" s="10" t="s">
        <v>45</v>
      </c>
      <c r="C3712" s="8" t="s">
        <v>8701</v>
      </c>
      <c r="D3712" s="8" t="s">
        <v>8707</v>
      </c>
      <c r="E3712" s="11" t="n">
        <v>261</v>
      </c>
      <c r="F3712" s="8" t="str">
        <f aca="false">IFERROR(INDEX(Section_Master!$D$2:$D$477,MATCH($E3712,Section_Master!$A$2:$A$477,0))&amp;"","")</f>
        <v>Simple imprisonment up to 2 years and fine</v>
      </c>
      <c r="G3712" s="10" t="str">
        <f aca="false">IFERROR(INDEX(Section_Master!$E$2:$E$477,MATCH($E3712,Section_Master!$A$2:$A$477,0))&amp;"","")</f>
        <v>No</v>
      </c>
      <c r="H3712" s="10" t="str">
        <f aca="false">IFERROR(INDEX(Section_Master!$F$2:$F$477,MATCH($E3712,Section_Master!$A$2:$A$477,0))&amp;"","")</f>
        <v>Yes</v>
      </c>
      <c r="I3712" s="10" t="str">
        <f aca="false">IFERROR(INDEX(Section_Master!$G$2:$G$477,MATCH($E3712,Section_Master!$A$2:$A$477,0))&amp;"","")</f>
        <v>No</v>
      </c>
      <c r="J3712" s="10" t="s">
        <v>55</v>
      </c>
      <c r="K3712" s="8" t="s">
        <v>8703</v>
      </c>
    </row>
    <row r="3713" customFormat="false" ht="23.25" hidden="false" customHeight="true" outlineLevel="0" collapsed="false">
      <c r="A3713" s="10" t="s">
        <v>8708</v>
      </c>
      <c r="B3713" s="10" t="s">
        <v>45</v>
      </c>
      <c r="C3713" s="8" t="s">
        <v>8701</v>
      </c>
      <c r="D3713" s="8" t="s">
        <v>8709</v>
      </c>
      <c r="E3713" s="11" t="n">
        <v>261</v>
      </c>
      <c r="F3713" s="8" t="str">
        <f aca="false">IFERROR(INDEX(Section_Master!$D$2:$D$477,MATCH($E3713,Section_Master!$A$2:$A$477,0))&amp;"","")</f>
        <v>Simple imprisonment up to 2 years and fine</v>
      </c>
      <c r="G3713" s="10" t="str">
        <f aca="false">IFERROR(INDEX(Section_Master!$E$2:$E$477,MATCH($E3713,Section_Master!$A$2:$A$477,0))&amp;"","")</f>
        <v>No</v>
      </c>
      <c r="H3713" s="10" t="str">
        <f aca="false">IFERROR(INDEX(Section_Master!$F$2:$F$477,MATCH($E3713,Section_Master!$A$2:$A$477,0))&amp;"","")</f>
        <v>Yes</v>
      </c>
      <c r="I3713" s="10" t="str">
        <f aca="false">IFERROR(INDEX(Section_Master!$G$2:$G$477,MATCH($E3713,Section_Master!$A$2:$A$477,0))&amp;"","")</f>
        <v>No</v>
      </c>
      <c r="J3713" s="10" t="s">
        <v>58</v>
      </c>
      <c r="K3713" s="8" t="s">
        <v>8703</v>
      </c>
    </row>
    <row r="3714" customFormat="false" ht="34.5" hidden="false" customHeight="true" outlineLevel="0" collapsed="false">
      <c r="A3714" s="10" t="s">
        <v>8710</v>
      </c>
      <c r="B3714" s="10" t="s">
        <v>45</v>
      </c>
      <c r="C3714" s="8" t="s">
        <v>8701</v>
      </c>
      <c r="D3714" s="8" t="s">
        <v>8711</v>
      </c>
      <c r="E3714" s="11" t="n">
        <v>261</v>
      </c>
      <c r="F3714" s="8" t="str">
        <f aca="false">IFERROR(INDEX(Section_Master!$D$2:$D$477,MATCH($E3714,Section_Master!$A$2:$A$477,0))&amp;"","")</f>
        <v>Simple imprisonment up to 2 years and fine</v>
      </c>
      <c r="G3714" s="10" t="str">
        <f aca="false">IFERROR(INDEX(Section_Master!$E$2:$E$477,MATCH($E3714,Section_Master!$A$2:$A$477,0))&amp;"","")</f>
        <v>No</v>
      </c>
      <c r="H3714" s="10" t="str">
        <f aca="false">IFERROR(INDEX(Section_Master!$F$2:$F$477,MATCH($E3714,Section_Master!$A$2:$A$477,0))&amp;"","")</f>
        <v>Yes</v>
      </c>
      <c r="I3714" s="10" t="str">
        <f aca="false">IFERROR(INDEX(Section_Master!$G$2:$G$477,MATCH($E3714,Section_Master!$A$2:$A$477,0))&amp;"","")</f>
        <v>No</v>
      </c>
      <c r="J3714" s="10" t="s">
        <v>61</v>
      </c>
      <c r="K3714" s="8" t="s">
        <v>8703</v>
      </c>
    </row>
    <row r="3715" customFormat="false" ht="34.5" hidden="false" customHeight="true" outlineLevel="0" collapsed="false">
      <c r="A3715" s="10" t="s">
        <v>8712</v>
      </c>
      <c r="B3715" s="10" t="s">
        <v>45</v>
      </c>
      <c r="C3715" s="8" t="s">
        <v>8701</v>
      </c>
      <c r="D3715" s="8" t="s">
        <v>8713</v>
      </c>
      <c r="E3715" s="11" t="n">
        <v>261</v>
      </c>
      <c r="F3715" s="8" t="str">
        <f aca="false">IFERROR(INDEX(Section_Master!$D$2:$D$477,MATCH($E3715,Section_Master!$A$2:$A$477,0))&amp;"","")</f>
        <v>Simple imprisonment up to 2 years and fine</v>
      </c>
      <c r="G3715" s="10" t="str">
        <f aca="false">IFERROR(INDEX(Section_Master!$E$2:$E$477,MATCH($E3715,Section_Master!$A$2:$A$477,0))&amp;"","")</f>
        <v>No</v>
      </c>
      <c r="H3715" s="10" t="str">
        <f aca="false">IFERROR(INDEX(Section_Master!$F$2:$F$477,MATCH($E3715,Section_Master!$A$2:$A$477,0))&amp;"","")</f>
        <v>Yes</v>
      </c>
      <c r="I3715" s="10" t="str">
        <f aca="false">IFERROR(INDEX(Section_Master!$G$2:$G$477,MATCH($E3715,Section_Master!$A$2:$A$477,0))&amp;"","")</f>
        <v>No</v>
      </c>
      <c r="J3715" s="10" t="s">
        <v>64</v>
      </c>
      <c r="K3715" s="8" t="s">
        <v>8703</v>
      </c>
    </row>
    <row r="3716" customFormat="false" ht="34.5" hidden="false" customHeight="true" outlineLevel="0" collapsed="false">
      <c r="A3716" s="10" t="s">
        <v>8714</v>
      </c>
      <c r="B3716" s="10" t="s">
        <v>45</v>
      </c>
      <c r="C3716" s="8" t="s">
        <v>8715</v>
      </c>
      <c r="D3716" s="8" t="s">
        <v>8716</v>
      </c>
      <c r="E3716" s="11" t="n">
        <v>262</v>
      </c>
      <c r="F3716" s="8" t="str">
        <f aca="false">IFERROR(INDEX(Section_Master!$D$2:$D$477,MATCH($E3716,Section_Master!$A$2:$A$477,0))&amp;"","")</f>
        <v>Imprisonment up to 2 years, or fine, or both</v>
      </c>
      <c r="G3716" s="10" t="str">
        <f aca="false">IFERROR(INDEX(Section_Master!$E$2:$E$477,MATCH($E3716,Section_Master!$A$2:$A$477,0))&amp;"","")</f>
        <v>No</v>
      </c>
      <c r="H3716" s="10" t="str">
        <f aca="false">IFERROR(INDEX(Section_Master!$F$2:$F$477,MATCH($E3716,Section_Master!$A$2:$A$477,0))&amp;"","")</f>
        <v>Yes</v>
      </c>
      <c r="I3716" s="10" t="str">
        <f aca="false">IFERROR(INDEX(Section_Master!$G$2:$G$477,MATCH($E3716,Section_Master!$A$2:$A$477,0))&amp;"","")</f>
        <v>No</v>
      </c>
      <c r="J3716" s="10" t="s">
        <v>48</v>
      </c>
      <c r="K3716" s="8" t="s">
        <v>8717</v>
      </c>
    </row>
    <row r="3717" customFormat="false" ht="34.5" hidden="false" customHeight="true" outlineLevel="0" collapsed="false">
      <c r="A3717" s="10" t="s">
        <v>8718</v>
      </c>
      <c r="B3717" s="10" t="s">
        <v>45</v>
      </c>
      <c r="C3717" s="8" t="s">
        <v>8715</v>
      </c>
      <c r="D3717" s="8" t="s">
        <v>8719</v>
      </c>
      <c r="E3717" s="11" t="n">
        <v>262</v>
      </c>
      <c r="F3717" s="8" t="str">
        <f aca="false">IFERROR(INDEX(Section_Master!$D$2:$D$477,MATCH($E3717,Section_Master!$A$2:$A$477,0))&amp;"","")</f>
        <v>Imprisonment up to 2 years, or fine, or both</v>
      </c>
      <c r="G3717" s="10" t="str">
        <f aca="false">IFERROR(INDEX(Section_Master!$E$2:$E$477,MATCH($E3717,Section_Master!$A$2:$A$477,0))&amp;"","")</f>
        <v>No</v>
      </c>
      <c r="H3717" s="10" t="str">
        <f aca="false">IFERROR(INDEX(Section_Master!$F$2:$F$477,MATCH($E3717,Section_Master!$A$2:$A$477,0))&amp;"","")</f>
        <v>Yes</v>
      </c>
      <c r="I3717" s="10" t="str">
        <f aca="false">IFERROR(INDEX(Section_Master!$G$2:$G$477,MATCH($E3717,Section_Master!$A$2:$A$477,0))&amp;"","")</f>
        <v>No</v>
      </c>
      <c r="J3717" s="10" t="s">
        <v>52</v>
      </c>
      <c r="K3717" s="8" t="s">
        <v>8717</v>
      </c>
    </row>
    <row r="3718" customFormat="false" ht="34.5" hidden="false" customHeight="true" outlineLevel="0" collapsed="false">
      <c r="A3718" s="10" t="s">
        <v>8720</v>
      </c>
      <c r="B3718" s="10" t="s">
        <v>45</v>
      </c>
      <c r="C3718" s="8" t="s">
        <v>8715</v>
      </c>
      <c r="D3718" s="8" t="s">
        <v>8721</v>
      </c>
      <c r="E3718" s="11" t="n">
        <v>262</v>
      </c>
      <c r="F3718" s="8" t="str">
        <f aca="false">IFERROR(INDEX(Section_Master!$D$2:$D$477,MATCH($E3718,Section_Master!$A$2:$A$477,0))&amp;"","")</f>
        <v>Imprisonment up to 2 years, or fine, or both</v>
      </c>
      <c r="G3718" s="10" t="str">
        <f aca="false">IFERROR(INDEX(Section_Master!$E$2:$E$477,MATCH($E3718,Section_Master!$A$2:$A$477,0))&amp;"","")</f>
        <v>No</v>
      </c>
      <c r="H3718" s="10" t="str">
        <f aca="false">IFERROR(INDEX(Section_Master!$F$2:$F$477,MATCH($E3718,Section_Master!$A$2:$A$477,0))&amp;"","")</f>
        <v>Yes</v>
      </c>
      <c r="I3718" s="10" t="str">
        <f aca="false">IFERROR(INDEX(Section_Master!$G$2:$G$477,MATCH($E3718,Section_Master!$A$2:$A$477,0))&amp;"","")</f>
        <v>No</v>
      </c>
      <c r="J3718" s="10" t="s">
        <v>55</v>
      </c>
      <c r="K3718" s="8" t="s">
        <v>8717</v>
      </c>
    </row>
    <row r="3719" customFormat="false" ht="23.25" hidden="false" customHeight="true" outlineLevel="0" collapsed="false">
      <c r="A3719" s="10" t="s">
        <v>8722</v>
      </c>
      <c r="B3719" s="10" t="s">
        <v>45</v>
      </c>
      <c r="C3719" s="8" t="s">
        <v>8715</v>
      </c>
      <c r="D3719" s="8" t="s">
        <v>8723</v>
      </c>
      <c r="E3719" s="11" t="n">
        <v>262</v>
      </c>
      <c r="F3719" s="8" t="str">
        <f aca="false">IFERROR(INDEX(Section_Master!$D$2:$D$477,MATCH($E3719,Section_Master!$A$2:$A$477,0))&amp;"","")</f>
        <v>Imprisonment up to 2 years, or fine, or both</v>
      </c>
      <c r="G3719" s="10" t="str">
        <f aca="false">IFERROR(INDEX(Section_Master!$E$2:$E$477,MATCH($E3719,Section_Master!$A$2:$A$477,0))&amp;"","")</f>
        <v>No</v>
      </c>
      <c r="H3719" s="10" t="str">
        <f aca="false">IFERROR(INDEX(Section_Master!$F$2:$F$477,MATCH($E3719,Section_Master!$A$2:$A$477,0))&amp;"","")</f>
        <v>Yes</v>
      </c>
      <c r="I3719" s="10" t="str">
        <f aca="false">IFERROR(INDEX(Section_Master!$G$2:$G$477,MATCH($E3719,Section_Master!$A$2:$A$477,0))&amp;"","")</f>
        <v>No</v>
      </c>
      <c r="J3719" s="10" t="s">
        <v>58</v>
      </c>
      <c r="K3719" s="8" t="s">
        <v>8717</v>
      </c>
    </row>
    <row r="3720" customFormat="false" ht="23.25" hidden="false" customHeight="true" outlineLevel="0" collapsed="false">
      <c r="A3720" s="10" t="s">
        <v>8724</v>
      </c>
      <c r="B3720" s="10" t="s">
        <v>45</v>
      </c>
      <c r="C3720" s="8" t="s">
        <v>8715</v>
      </c>
      <c r="D3720" s="8" t="s">
        <v>8725</v>
      </c>
      <c r="E3720" s="11" t="n">
        <v>262</v>
      </c>
      <c r="F3720" s="8" t="str">
        <f aca="false">IFERROR(INDEX(Section_Master!$D$2:$D$477,MATCH($E3720,Section_Master!$A$2:$A$477,0))&amp;"","")</f>
        <v>Imprisonment up to 2 years, or fine, or both</v>
      </c>
      <c r="G3720" s="10" t="str">
        <f aca="false">IFERROR(INDEX(Section_Master!$E$2:$E$477,MATCH($E3720,Section_Master!$A$2:$A$477,0))&amp;"","")</f>
        <v>No</v>
      </c>
      <c r="H3720" s="10" t="str">
        <f aca="false">IFERROR(INDEX(Section_Master!$F$2:$F$477,MATCH($E3720,Section_Master!$A$2:$A$477,0))&amp;"","")</f>
        <v>Yes</v>
      </c>
      <c r="I3720" s="10" t="str">
        <f aca="false">IFERROR(INDEX(Section_Master!$G$2:$G$477,MATCH($E3720,Section_Master!$A$2:$A$477,0))&amp;"","")</f>
        <v>No</v>
      </c>
      <c r="J3720" s="10" t="s">
        <v>61</v>
      </c>
      <c r="K3720" s="8" t="s">
        <v>8717</v>
      </c>
    </row>
    <row r="3721" customFormat="false" ht="34.5" hidden="false" customHeight="true" outlineLevel="0" collapsed="false">
      <c r="A3721" s="10" t="s">
        <v>8726</v>
      </c>
      <c r="B3721" s="10" t="s">
        <v>45</v>
      </c>
      <c r="C3721" s="8" t="s">
        <v>8715</v>
      </c>
      <c r="D3721" s="8" t="s">
        <v>8727</v>
      </c>
      <c r="E3721" s="11" t="n">
        <v>262</v>
      </c>
      <c r="F3721" s="8" t="str">
        <f aca="false">IFERROR(INDEX(Section_Master!$D$2:$D$477,MATCH($E3721,Section_Master!$A$2:$A$477,0))&amp;"","")</f>
        <v>Imprisonment up to 2 years, or fine, or both</v>
      </c>
      <c r="G3721" s="10" t="str">
        <f aca="false">IFERROR(INDEX(Section_Master!$E$2:$E$477,MATCH($E3721,Section_Master!$A$2:$A$477,0))&amp;"","")</f>
        <v>No</v>
      </c>
      <c r="H3721" s="10" t="str">
        <f aca="false">IFERROR(INDEX(Section_Master!$F$2:$F$477,MATCH($E3721,Section_Master!$A$2:$A$477,0))&amp;"","")</f>
        <v>Yes</v>
      </c>
      <c r="I3721" s="10" t="str">
        <f aca="false">IFERROR(INDEX(Section_Master!$G$2:$G$477,MATCH($E3721,Section_Master!$A$2:$A$477,0))&amp;"","")</f>
        <v>No</v>
      </c>
      <c r="J3721" s="10" t="s">
        <v>64</v>
      </c>
      <c r="K3721" s="8" t="s">
        <v>8717</v>
      </c>
    </row>
    <row r="3722" customFormat="false" ht="23.25" hidden="false" customHeight="true" outlineLevel="0" collapsed="false">
      <c r="A3722" s="10" t="s">
        <v>8728</v>
      </c>
      <c r="B3722" s="10" t="s">
        <v>45</v>
      </c>
      <c r="C3722" s="8" t="s">
        <v>8561</v>
      </c>
      <c r="D3722" s="8" t="s">
        <v>8729</v>
      </c>
      <c r="E3722" s="11" t="n">
        <v>263</v>
      </c>
      <c r="F3722" s="8" t="str">
        <f aca="false">IFERROR(INDEX(Section_Master!$D$2:$D$477,MATCH($E3722,Section_Master!$A$2:$A$477,0))&amp;"","")</f>
        <v>Imprisonment up to 2 years, or fine, or both; higher terms depending on gravity of the offence [s.263]</v>
      </c>
      <c r="G3722" s="10" t="str">
        <f aca="false">IFERROR(INDEX(Section_Master!$E$2:$E$477,MATCH($E3722,Section_Master!$A$2:$A$477,0))&amp;"","")</f>
        <v>No</v>
      </c>
      <c r="H3722" s="10" t="str">
        <f aca="false">IFERROR(INDEX(Section_Master!$F$2:$F$477,MATCH($E3722,Section_Master!$A$2:$A$477,0))&amp;"","")</f>
        <v>Varies by sub-section</v>
      </c>
      <c r="I3722" s="10" t="str">
        <f aca="false">IFERROR(INDEX(Section_Master!$G$2:$G$477,MATCH($E3722,Section_Master!$A$2:$A$477,0))&amp;"","")</f>
        <v>No</v>
      </c>
      <c r="J3722" s="10" t="s">
        <v>48</v>
      </c>
      <c r="K3722" s="8" t="s">
        <v>8730</v>
      </c>
    </row>
    <row r="3723" customFormat="false" ht="34.5" hidden="false" customHeight="true" outlineLevel="0" collapsed="false">
      <c r="A3723" s="10" t="s">
        <v>8731</v>
      </c>
      <c r="B3723" s="10" t="s">
        <v>45</v>
      </c>
      <c r="C3723" s="8" t="s">
        <v>8561</v>
      </c>
      <c r="D3723" s="8" t="s">
        <v>8732</v>
      </c>
      <c r="E3723" s="11" t="n">
        <v>263</v>
      </c>
      <c r="F3723" s="8" t="str">
        <f aca="false">IFERROR(INDEX(Section_Master!$D$2:$D$477,MATCH($E3723,Section_Master!$A$2:$A$477,0))&amp;"","")</f>
        <v>Imprisonment up to 2 years, or fine, or both; higher terms depending on gravity of the offence [s.263]</v>
      </c>
      <c r="G3723" s="10" t="str">
        <f aca="false">IFERROR(INDEX(Section_Master!$E$2:$E$477,MATCH($E3723,Section_Master!$A$2:$A$477,0))&amp;"","")</f>
        <v>No</v>
      </c>
      <c r="H3723" s="10" t="str">
        <f aca="false">IFERROR(INDEX(Section_Master!$F$2:$F$477,MATCH($E3723,Section_Master!$A$2:$A$477,0))&amp;"","")</f>
        <v>Varies by sub-section</v>
      </c>
      <c r="I3723" s="10" t="str">
        <f aca="false">IFERROR(INDEX(Section_Master!$G$2:$G$477,MATCH($E3723,Section_Master!$A$2:$A$477,0))&amp;"","")</f>
        <v>No</v>
      </c>
      <c r="J3723" s="10" t="s">
        <v>52</v>
      </c>
      <c r="K3723" s="8" t="s">
        <v>8730</v>
      </c>
    </row>
    <row r="3724" customFormat="false" ht="23.25" hidden="false" customHeight="true" outlineLevel="0" collapsed="false">
      <c r="A3724" s="10" t="s">
        <v>8733</v>
      </c>
      <c r="B3724" s="10" t="s">
        <v>45</v>
      </c>
      <c r="C3724" s="8" t="s">
        <v>8561</v>
      </c>
      <c r="D3724" s="8" t="s">
        <v>8734</v>
      </c>
      <c r="E3724" s="11" t="n">
        <v>263</v>
      </c>
      <c r="F3724" s="8" t="str">
        <f aca="false">IFERROR(INDEX(Section_Master!$D$2:$D$477,MATCH($E3724,Section_Master!$A$2:$A$477,0))&amp;"","")</f>
        <v>Imprisonment up to 2 years, or fine, or both; higher terms depending on gravity of the offence [s.263]</v>
      </c>
      <c r="G3724" s="10" t="str">
        <f aca="false">IFERROR(INDEX(Section_Master!$E$2:$E$477,MATCH($E3724,Section_Master!$A$2:$A$477,0))&amp;"","")</f>
        <v>No</v>
      </c>
      <c r="H3724" s="10" t="str">
        <f aca="false">IFERROR(INDEX(Section_Master!$F$2:$F$477,MATCH($E3724,Section_Master!$A$2:$A$477,0))&amp;"","")</f>
        <v>Varies by sub-section</v>
      </c>
      <c r="I3724" s="10" t="str">
        <f aca="false">IFERROR(INDEX(Section_Master!$G$2:$G$477,MATCH($E3724,Section_Master!$A$2:$A$477,0))&amp;"","")</f>
        <v>No</v>
      </c>
      <c r="J3724" s="10" t="s">
        <v>55</v>
      </c>
      <c r="K3724" s="8" t="s">
        <v>8730</v>
      </c>
    </row>
    <row r="3725" customFormat="false" ht="23.25" hidden="false" customHeight="true" outlineLevel="0" collapsed="false">
      <c r="A3725" s="10" t="s">
        <v>8735</v>
      </c>
      <c r="B3725" s="10" t="s">
        <v>45</v>
      </c>
      <c r="C3725" s="8" t="s">
        <v>8561</v>
      </c>
      <c r="D3725" s="8" t="s">
        <v>8736</v>
      </c>
      <c r="E3725" s="11" t="n">
        <v>263</v>
      </c>
      <c r="F3725" s="8" t="str">
        <f aca="false">IFERROR(INDEX(Section_Master!$D$2:$D$477,MATCH($E3725,Section_Master!$A$2:$A$477,0))&amp;"","")</f>
        <v>Imprisonment up to 2 years, or fine, or both; higher terms depending on gravity of the offence [s.263]</v>
      </c>
      <c r="G3725" s="10" t="str">
        <f aca="false">IFERROR(INDEX(Section_Master!$E$2:$E$477,MATCH($E3725,Section_Master!$A$2:$A$477,0))&amp;"","")</f>
        <v>No</v>
      </c>
      <c r="H3725" s="10" t="str">
        <f aca="false">IFERROR(INDEX(Section_Master!$F$2:$F$477,MATCH($E3725,Section_Master!$A$2:$A$477,0))&amp;"","")</f>
        <v>Varies by sub-section</v>
      </c>
      <c r="I3725" s="10" t="str">
        <f aca="false">IFERROR(INDEX(Section_Master!$G$2:$G$477,MATCH($E3725,Section_Master!$A$2:$A$477,0))&amp;"","")</f>
        <v>No</v>
      </c>
      <c r="J3725" s="10" t="s">
        <v>58</v>
      </c>
      <c r="K3725" s="8" t="s">
        <v>8730</v>
      </c>
    </row>
    <row r="3726" customFormat="false" ht="34.5" hidden="false" customHeight="true" outlineLevel="0" collapsed="false">
      <c r="A3726" s="10" t="s">
        <v>8737</v>
      </c>
      <c r="B3726" s="10" t="s">
        <v>45</v>
      </c>
      <c r="C3726" s="8" t="s">
        <v>8561</v>
      </c>
      <c r="D3726" s="8" t="s">
        <v>8738</v>
      </c>
      <c r="E3726" s="11" t="n">
        <v>263</v>
      </c>
      <c r="F3726" s="8" t="str">
        <f aca="false">IFERROR(INDEX(Section_Master!$D$2:$D$477,MATCH($E3726,Section_Master!$A$2:$A$477,0))&amp;"","")</f>
        <v>Imprisonment up to 2 years, or fine, or both; higher terms depending on gravity of the offence [s.263]</v>
      </c>
      <c r="G3726" s="10" t="str">
        <f aca="false">IFERROR(INDEX(Section_Master!$E$2:$E$477,MATCH($E3726,Section_Master!$A$2:$A$477,0))&amp;"","")</f>
        <v>No</v>
      </c>
      <c r="H3726" s="10" t="str">
        <f aca="false">IFERROR(INDEX(Section_Master!$F$2:$F$477,MATCH($E3726,Section_Master!$A$2:$A$477,0))&amp;"","")</f>
        <v>Varies by sub-section</v>
      </c>
      <c r="I3726" s="10" t="str">
        <f aca="false">IFERROR(INDEX(Section_Master!$G$2:$G$477,MATCH($E3726,Section_Master!$A$2:$A$477,0))&amp;"","")</f>
        <v>No</v>
      </c>
      <c r="J3726" s="10" t="s">
        <v>61</v>
      </c>
      <c r="K3726" s="8" t="s">
        <v>8730</v>
      </c>
    </row>
    <row r="3727" customFormat="false" ht="45.75" hidden="false" customHeight="true" outlineLevel="0" collapsed="false">
      <c r="A3727" s="10" t="s">
        <v>8739</v>
      </c>
      <c r="B3727" s="10" t="s">
        <v>45</v>
      </c>
      <c r="C3727" s="8" t="s">
        <v>8561</v>
      </c>
      <c r="D3727" s="8" t="s">
        <v>8740</v>
      </c>
      <c r="E3727" s="11" t="n">
        <v>263</v>
      </c>
      <c r="F3727" s="8" t="str">
        <f aca="false">IFERROR(INDEX(Section_Master!$D$2:$D$477,MATCH($E3727,Section_Master!$A$2:$A$477,0))&amp;"","")</f>
        <v>Imprisonment up to 2 years, or fine, or both; higher terms depending on gravity of the offence [s.263]</v>
      </c>
      <c r="G3727" s="10" t="str">
        <f aca="false">IFERROR(INDEX(Section_Master!$E$2:$E$477,MATCH($E3727,Section_Master!$A$2:$A$477,0))&amp;"","")</f>
        <v>No</v>
      </c>
      <c r="H3727" s="10" t="str">
        <f aca="false">IFERROR(INDEX(Section_Master!$F$2:$F$477,MATCH($E3727,Section_Master!$A$2:$A$477,0))&amp;"","")</f>
        <v>Varies by sub-section</v>
      </c>
      <c r="I3727" s="10" t="str">
        <f aca="false">IFERROR(INDEX(Section_Master!$G$2:$G$477,MATCH($E3727,Section_Master!$A$2:$A$477,0))&amp;"","")</f>
        <v>No</v>
      </c>
      <c r="J3727" s="10" t="s">
        <v>64</v>
      </c>
      <c r="K3727" s="8" t="s">
        <v>8730</v>
      </c>
    </row>
    <row r="3728" customFormat="false" ht="23.25" hidden="false" customHeight="true" outlineLevel="0" collapsed="false">
      <c r="A3728" s="10" t="s">
        <v>8741</v>
      </c>
      <c r="B3728" s="10" t="s">
        <v>45</v>
      </c>
      <c r="C3728" s="8" t="s">
        <v>8575</v>
      </c>
      <c r="D3728" s="8" t="s">
        <v>8742</v>
      </c>
      <c r="E3728" s="11" t="n">
        <v>264</v>
      </c>
      <c r="F3728" s="8" t="str">
        <f aca="false">IFERROR(INDEX(Section_Master!$D$2:$D$477,MATCH($E3728,Section_Master!$A$2:$A$477,0))&amp;"","")</f>
        <v>Imprisonment up to 3 years, or fine, or both; depends on the offence involved [s.264]</v>
      </c>
      <c r="G3728" s="10" t="str">
        <f aca="false">IFERROR(INDEX(Section_Master!$E$2:$E$477,MATCH($E3728,Section_Master!$A$2:$A$477,0))&amp;"","")</f>
        <v>No</v>
      </c>
      <c r="H3728" s="10" t="str">
        <f aca="false">IFERROR(INDEX(Section_Master!$F$2:$F$477,MATCH($E3728,Section_Master!$A$2:$A$477,0))&amp;"","")</f>
        <v>Varies by sub-section</v>
      </c>
      <c r="I3728" s="10" t="str">
        <f aca="false">IFERROR(INDEX(Section_Master!$G$2:$G$477,MATCH($E3728,Section_Master!$A$2:$A$477,0))&amp;"","")</f>
        <v>No</v>
      </c>
      <c r="J3728" s="10" t="s">
        <v>48</v>
      </c>
      <c r="K3728" s="8" t="s">
        <v>8743</v>
      </c>
    </row>
    <row r="3729" customFormat="false" ht="34.5" hidden="false" customHeight="true" outlineLevel="0" collapsed="false">
      <c r="A3729" s="10" t="s">
        <v>8744</v>
      </c>
      <c r="B3729" s="10" t="s">
        <v>45</v>
      </c>
      <c r="C3729" s="8" t="s">
        <v>8575</v>
      </c>
      <c r="D3729" s="8" t="s">
        <v>8745</v>
      </c>
      <c r="E3729" s="11" t="n">
        <v>264</v>
      </c>
      <c r="F3729" s="8" t="str">
        <f aca="false">IFERROR(INDEX(Section_Master!$D$2:$D$477,MATCH($E3729,Section_Master!$A$2:$A$477,0))&amp;"","")</f>
        <v>Imprisonment up to 3 years, or fine, or both; depends on the offence involved [s.264]</v>
      </c>
      <c r="G3729" s="10" t="str">
        <f aca="false">IFERROR(INDEX(Section_Master!$E$2:$E$477,MATCH($E3729,Section_Master!$A$2:$A$477,0))&amp;"","")</f>
        <v>No</v>
      </c>
      <c r="H3729" s="10" t="str">
        <f aca="false">IFERROR(INDEX(Section_Master!$F$2:$F$477,MATCH($E3729,Section_Master!$A$2:$A$477,0))&amp;"","")</f>
        <v>Varies by sub-section</v>
      </c>
      <c r="I3729" s="10" t="str">
        <f aca="false">IFERROR(INDEX(Section_Master!$G$2:$G$477,MATCH($E3729,Section_Master!$A$2:$A$477,0))&amp;"","")</f>
        <v>No</v>
      </c>
      <c r="J3729" s="10" t="s">
        <v>52</v>
      </c>
      <c r="K3729" s="8" t="s">
        <v>8743</v>
      </c>
    </row>
    <row r="3730" customFormat="false" ht="34.5" hidden="false" customHeight="true" outlineLevel="0" collapsed="false">
      <c r="A3730" s="10" t="s">
        <v>8746</v>
      </c>
      <c r="B3730" s="10" t="s">
        <v>45</v>
      </c>
      <c r="C3730" s="8" t="s">
        <v>8575</v>
      </c>
      <c r="D3730" s="8" t="s">
        <v>8747</v>
      </c>
      <c r="E3730" s="11" t="n">
        <v>264</v>
      </c>
      <c r="F3730" s="8" t="str">
        <f aca="false">IFERROR(INDEX(Section_Master!$D$2:$D$477,MATCH($E3730,Section_Master!$A$2:$A$477,0))&amp;"","")</f>
        <v>Imprisonment up to 3 years, or fine, or both; depends on the offence involved [s.264]</v>
      </c>
      <c r="G3730" s="10" t="str">
        <f aca="false">IFERROR(INDEX(Section_Master!$E$2:$E$477,MATCH($E3730,Section_Master!$A$2:$A$477,0))&amp;"","")</f>
        <v>No</v>
      </c>
      <c r="H3730" s="10" t="str">
        <f aca="false">IFERROR(INDEX(Section_Master!$F$2:$F$477,MATCH($E3730,Section_Master!$A$2:$A$477,0))&amp;"","")</f>
        <v>Varies by sub-section</v>
      </c>
      <c r="I3730" s="10" t="str">
        <f aca="false">IFERROR(INDEX(Section_Master!$G$2:$G$477,MATCH($E3730,Section_Master!$A$2:$A$477,0))&amp;"","")</f>
        <v>No</v>
      </c>
      <c r="J3730" s="10" t="s">
        <v>55</v>
      </c>
      <c r="K3730" s="8" t="s">
        <v>8743</v>
      </c>
    </row>
    <row r="3731" customFormat="false" ht="23.25" hidden="false" customHeight="true" outlineLevel="0" collapsed="false">
      <c r="A3731" s="10" t="s">
        <v>8748</v>
      </c>
      <c r="B3731" s="10" t="s">
        <v>45</v>
      </c>
      <c r="C3731" s="8" t="s">
        <v>8575</v>
      </c>
      <c r="D3731" s="8" t="s">
        <v>8749</v>
      </c>
      <c r="E3731" s="11" t="n">
        <v>264</v>
      </c>
      <c r="F3731" s="8" t="str">
        <f aca="false">IFERROR(INDEX(Section_Master!$D$2:$D$477,MATCH($E3731,Section_Master!$A$2:$A$477,0))&amp;"","")</f>
        <v>Imprisonment up to 3 years, or fine, or both; depends on the offence involved [s.264]</v>
      </c>
      <c r="G3731" s="10" t="str">
        <f aca="false">IFERROR(INDEX(Section_Master!$E$2:$E$477,MATCH($E3731,Section_Master!$A$2:$A$477,0))&amp;"","")</f>
        <v>No</v>
      </c>
      <c r="H3731" s="10" t="str">
        <f aca="false">IFERROR(INDEX(Section_Master!$F$2:$F$477,MATCH($E3731,Section_Master!$A$2:$A$477,0))&amp;"","")</f>
        <v>Varies by sub-section</v>
      </c>
      <c r="I3731" s="10" t="str">
        <f aca="false">IFERROR(INDEX(Section_Master!$G$2:$G$477,MATCH($E3731,Section_Master!$A$2:$A$477,0))&amp;"","")</f>
        <v>No</v>
      </c>
      <c r="J3731" s="10" t="s">
        <v>58</v>
      </c>
      <c r="K3731" s="8" t="s">
        <v>8743</v>
      </c>
    </row>
    <row r="3732" customFormat="false" ht="45.75" hidden="false" customHeight="true" outlineLevel="0" collapsed="false">
      <c r="A3732" s="10" t="s">
        <v>8750</v>
      </c>
      <c r="B3732" s="10" t="s">
        <v>45</v>
      </c>
      <c r="C3732" s="8" t="s">
        <v>8575</v>
      </c>
      <c r="D3732" s="8" t="s">
        <v>8751</v>
      </c>
      <c r="E3732" s="11" t="n">
        <v>264</v>
      </c>
      <c r="F3732" s="8" t="str">
        <f aca="false">IFERROR(INDEX(Section_Master!$D$2:$D$477,MATCH($E3732,Section_Master!$A$2:$A$477,0))&amp;"","")</f>
        <v>Imprisonment up to 3 years, or fine, or both; depends on the offence involved [s.264]</v>
      </c>
      <c r="G3732" s="10" t="str">
        <f aca="false">IFERROR(INDEX(Section_Master!$E$2:$E$477,MATCH($E3732,Section_Master!$A$2:$A$477,0))&amp;"","")</f>
        <v>No</v>
      </c>
      <c r="H3732" s="10" t="str">
        <f aca="false">IFERROR(INDEX(Section_Master!$F$2:$F$477,MATCH($E3732,Section_Master!$A$2:$A$477,0))&amp;"","")</f>
        <v>Varies by sub-section</v>
      </c>
      <c r="I3732" s="10" t="str">
        <f aca="false">IFERROR(INDEX(Section_Master!$G$2:$G$477,MATCH($E3732,Section_Master!$A$2:$A$477,0))&amp;"","")</f>
        <v>No</v>
      </c>
      <c r="J3732" s="10" t="s">
        <v>61</v>
      </c>
      <c r="K3732" s="8" t="s">
        <v>8743</v>
      </c>
    </row>
    <row r="3733" customFormat="false" ht="34.5" hidden="false" customHeight="true" outlineLevel="0" collapsed="false">
      <c r="A3733" s="10" t="s">
        <v>8752</v>
      </c>
      <c r="B3733" s="10" t="s">
        <v>45</v>
      </c>
      <c r="C3733" s="8" t="s">
        <v>8575</v>
      </c>
      <c r="D3733" s="8" t="s">
        <v>8753</v>
      </c>
      <c r="E3733" s="11" t="n">
        <v>264</v>
      </c>
      <c r="F3733" s="8" t="str">
        <f aca="false">IFERROR(INDEX(Section_Master!$D$2:$D$477,MATCH($E3733,Section_Master!$A$2:$A$477,0))&amp;"","")</f>
        <v>Imprisonment up to 3 years, or fine, or both; depends on the offence involved [s.264]</v>
      </c>
      <c r="G3733" s="10" t="str">
        <f aca="false">IFERROR(INDEX(Section_Master!$E$2:$E$477,MATCH($E3733,Section_Master!$A$2:$A$477,0))&amp;"","")</f>
        <v>No</v>
      </c>
      <c r="H3733" s="10" t="str">
        <f aca="false">IFERROR(INDEX(Section_Master!$F$2:$F$477,MATCH($E3733,Section_Master!$A$2:$A$477,0))&amp;"","")</f>
        <v>Varies by sub-section</v>
      </c>
      <c r="I3733" s="10" t="str">
        <f aca="false">IFERROR(INDEX(Section_Master!$G$2:$G$477,MATCH($E3733,Section_Master!$A$2:$A$477,0))&amp;"","")</f>
        <v>No</v>
      </c>
      <c r="J3733" s="10" t="s">
        <v>64</v>
      </c>
      <c r="K3733" s="8" t="s">
        <v>8743</v>
      </c>
    </row>
    <row r="3734" customFormat="false" ht="34.5" hidden="false" customHeight="true" outlineLevel="0" collapsed="false">
      <c r="A3734" s="10" t="s">
        <v>8754</v>
      </c>
      <c r="B3734" s="10" t="s">
        <v>45</v>
      </c>
      <c r="C3734" s="8" t="s">
        <v>8603</v>
      </c>
      <c r="D3734" s="8" t="s">
        <v>8755</v>
      </c>
      <c r="E3734" s="11" t="n">
        <v>265</v>
      </c>
      <c r="F3734" s="8" t="str">
        <f aca="false">IFERROR(INDEX(Section_Master!$D$2:$D$477,MATCH($E3734,Section_Master!$A$2:$A$477,0))&amp;"","")</f>
        <v>Imprisonment up to 6 months, or fine, or both</v>
      </c>
      <c r="G3734" s="10" t="str">
        <f aca="false">IFERROR(INDEX(Section_Master!$E$2:$E$477,MATCH($E3734,Section_Master!$A$2:$A$477,0))&amp;"","")</f>
        <v>No</v>
      </c>
      <c r="H3734" s="10" t="str">
        <f aca="false">IFERROR(INDEX(Section_Master!$F$2:$F$477,MATCH($E3734,Section_Master!$A$2:$A$477,0))&amp;"","")</f>
        <v>Yes</v>
      </c>
      <c r="I3734" s="10" t="str">
        <f aca="false">IFERROR(INDEX(Section_Master!$G$2:$G$477,MATCH($E3734,Section_Master!$A$2:$A$477,0))&amp;"","")</f>
        <v>No</v>
      </c>
      <c r="J3734" s="10" t="s">
        <v>48</v>
      </c>
      <c r="K3734" s="8" t="s">
        <v>8756</v>
      </c>
    </row>
    <row r="3735" customFormat="false" ht="34.5" hidden="false" customHeight="true" outlineLevel="0" collapsed="false">
      <c r="A3735" s="10" t="s">
        <v>8757</v>
      </c>
      <c r="B3735" s="10" t="s">
        <v>45</v>
      </c>
      <c r="C3735" s="8" t="s">
        <v>8603</v>
      </c>
      <c r="D3735" s="8" t="s">
        <v>8758</v>
      </c>
      <c r="E3735" s="11" t="n">
        <v>265</v>
      </c>
      <c r="F3735" s="8" t="str">
        <f aca="false">IFERROR(INDEX(Section_Master!$D$2:$D$477,MATCH($E3735,Section_Master!$A$2:$A$477,0))&amp;"","")</f>
        <v>Imprisonment up to 6 months, or fine, or both</v>
      </c>
      <c r="G3735" s="10" t="str">
        <f aca="false">IFERROR(INDEX(Section_Master!$E$2:$E$477,MATCH($E3735,Section_Master!$A$2:$A$477,0))&amp;"","")</f>
        <v>No</v>
      </c>
      <c r="H3735" s="10" t="str">
        <f aca="false">IFERROR(INDEX(Section_Master!$F$2:$F$477,MATCH($E3735,Section_Master!$A$2:$A$477,0))&amp;"","")</f>
        <v>Yes</v>
      </c>
      <c r="I3735" s="10" t="str">
        <f aca="false">IFERROR(INDEX(Section_Master!$G$2:$G$477,MATCH($E3735,Section_Master!$A$2:$A$477,0))&amp;"","")</f>
        <v>No</v>
      </c>
      <c r="J3735" s="10" t="s">
        <v>52</v>
      </c>
      <c r="K3735" s="8" t="s">
        <v>8756</v>
      </c>
    </row>
    <row r="3736" customFormat="false" ht="34.5" hidden="false" customHeight="true" outlineLevel="0" collapsed="false">
      <c r="A3736" s="10" t="s">
        <v>8759</v>
      </c>
      <c r="B3736" s="10" t="s">
        <v>45</v>
      </c>
      <c r="C3736" s="8" t="s">
        <v>8603</v>
      </c>
      <c r="D3736" s="8" t="s">
        <v>8760</v>
      </c>
      <c r="E3736" s="11" t="n">
        <v>265</v>
      </c>
      <c r="F3736" s="8" t="str">
        <f aca="false">IFERROR(INDEX(Section_Master!$D$2:$D$477,MATCH($E3736,Section_Master!$A$2:$A$477,0))&amp;"","")</f>
        <v>Imprisonment up to 6 months, or fine, or both</v>
      </c>
      <c r="G3736" s="10" t="str">
        <f aca="false">IFERROR(INDEX(Section_Master!$E$2:$E$477,MATCH($E3736,Section_Master!$A$2:$A$477,0))&amp;"","")</f>
        <v>No</v>
      </c>
      <c r="H3736" s="10" t="str">
        <f aca="false">IFERROR(INDEX(Section_Master!$F$2:$F$477,MATCH($E3736,Section_Master!$A$2:$A$477,0))&amp;"","")</f>
        <v>Yes</v>
      </c>
      <c r="I3736" s="10" t="str">
        <f aca="false">IFERROR(INDEX(Section_Master!$G$2:$G$477,MATCH($E3736,Section_Master!$A$2:$A$477,0))&amp;"","")</f>
        <v>No</v>
      </c>
      <c r="J3736" s="10" t="s">
        <v>55</v>
      </c>
      <c r="K3736" s="8" t="s">
        <v>8756</v>
      </c>
    </row>
    <row r="3737" customFormat="false" ht="23.25" hidden="false" customHeight="true" outlineLevel="0" collapsed="false">
      <c r="A3737" s="10" t="s">
        <v>8761</v>
      </c>
      <c r="B3737" s="10" t="s">
        <v>45</v>
      </c>
      <c r="C3737" s="8" t="s">
        <v>8603</v>
      </c>
      <c r="D3737" s="8" t="s">
        <v>8762</v>
      </c>
      <c r="E3737" s="11" t="n">
        <v>265</v>
      </c>
      <c r="F3737" s="8" t="str">
        <f aca="false">IFERROR(INDEX(Section_Master!$D$2:$D$477,MATCH($E3737,Section_Master!$A$2:$A$477,0))&amp;"","")</f>
        <v>Imprisonment up to 6 months, or fine, or both</v>
      </c>
      <c r="G3737" s="10" t="str">
        <f aca="false">IFERROR(INDEX(Section_Master!$E$2:$E$477,MATCH($E3737,Section_Master!$A$2:$A$477,0))&amp;"","")</f>
        <v>No</v>
      </c>
      <c r="H3737" s="10" t="str">
        <f aca="false">IFERROR(INDEX(Section_Master!$F$2:$F$477,MATCH($E3737,Section_Master!$A$2:$A$477,0))&amp;"","")</f>
        <v>Yes</v>
      </c>
      <c r="I3737" s="10" t="str">
        <f aca="false">IFERROR(INDEX(Section_Master!$G$2:$G$477,MATCH($E3737,Section_Master!$A$2:$A$477,0))&amp;"","")</f>
        <v>No</v>
      </c>
      <c r="J3737" s="10" t="s">
        <v>58</v>
      </c>
      <c r="K3737" s="8" t="s">
        <v>8756</v>
      </c>
    </row>
    <row r="3738" customFormat="false" ht="34.5" hidden="false" customHeight="true" outlineLevel="0" collapsed="false">
      <c r="A3738" s="10" t="s">
        <v>8763</v>
      </c>
      <c r="B3738" s="10" t="s">
        <v>45</v>
      </c>
      <c r="C3738" s="8" t="s">
        <v>8603</v>
      </c>
      <c r="D3738" s="8" t="s">
        <v>8764</v>
      </c>
      <c r="E3738" s="11" t="n">
        <v>265</v>
      </c>
      <c r="F3738" s="8" t="str">
        <f aca="false">IFERROR(INDEX(Section_Master!$D$2:$D$477,MATCH($E3738,Section_Master!$A$2:$A$477,0))&amp;"","")</f>
        <v>Imprisonment up to 6 months, or fine, or both</v>
      </c>
      <c r="G3738" s="10" t="str">
        <f aca="false">IFERROR(INDEX(Section_Master!$E$2:$E$477,MATCH($E3738,Section_Master!$A$2:$A$477,0))&amp;"","")</f>
        <v>No</v>
      </c>
      <c r="H3738" s="10" t="str">
        <f aca="false">IFERROR(INDEX(Section_Master!$F$2:$F$477,MATCH($E3738,Section_Master!$A$2:$A$477,0))&amp;"","")</f>
        <v>Yes</v>
      </c>
      <c r="I3738" s="10" t="str">
        <f aca="false">IFERROR(INDEX(Section_Master!$G$2:$G$477,MATCH($E3738,Section_Master!$A$2:$A$477,0))&amp;"","")</f>
        <v>No</v>
      </c>
      <c r="J3738" s="10" t="s">
        <v>61</v>
      </c>
      <c r="K3738" s="8" t="s">
        <v>8756</v>
      </c>
    </row>
    <row r="3739" customFormat="false" ht="34.5" hidden="false" customHeight="true" outlineLevel="0" collapsed="false">
      <c r="A3739" s="10" t="s">
        <v>8765</v>
      </c>
      <c r="B3739" s="10" t="s">
        <v>45</v>
      </c>
      <c r="C3739" s="8" t="s">
        <v>8603</v>
      </c>
      <c r="D3739" s="8" t="s">
        <v>8766</v>
      </c>
      <c r="E3739" s="11" t="n">
        <v>265</v>
      </c>
      <c r="F3739" s="8" t="str">
        <f aca="false">IFERROR(INDEX(Section_Master!$D$2:$D$477,MATCH($E3739,Section_Master!$A$2:$A$477,0))&amp;"","")</f>
        <v>Imprisonment up to 6 months, or fine, or both</v>
      </c>
      <c r="G3739" s="10" t="str">
        <f aca="false">IFERROR(INDEX(Section_Master!$E$2:$E$477,MATCH($E3739,Section_Master!$A$2:$A$477,0))&amp;"","")</f>
        <v>No</v>
      </c>
      <c r="H3739" s="10" t="str">
        <f aca="false">IFERROR(INDEX(Section_Master!$F$2:$F$477,MATCH($E3739,Section_Master!$A$2:$A$477,0))&amp;"","")</f>
        <v>Yes</v>
      </c>
      <c r="I3739" s="10" t="str">
        <f aca="false">IFERROR(INDEX(Section_Master!$G$2:$G$477,MATCH($E3739,Section_Master!$A$2:$A$477,0))&amp;"","")</f>
        <v>No</v>
      </c>
      <c r="J3739" s="10" t="s">
        <v>64</v>
      </c>
      <c r="K3739" s="8" t="s">
        <v>8756</v>
      </c>
    </row>
    <row r="3740" customFormat="false" ht="23.25" hidden="false" customHeight="true" outlineLevel="0" collapsed="false">
      <c r="A3740" s="10" t="s">
        <v>8767</v>
      </c>
      <c r="B3740" s="10" t="s">
        <v>45</v>
      </c>
      <c r="C3740" s="8" t="s">
        <v>8768</v>
      </c>
      <c r="D3740" s="8" t="s">
        <v>8769</v>
      </c>
      <c r="E3740" s="11" t="n">
        <v>266</v>
      </c>
      <c r="F3740" s="8" t="str">
        <f aca="false">IFERROR(INDEX(Section_Master!$D$2:$D$477,MATCH($E3740,Section_Master!$A$2:$A$477,0))&amp;"","")</f>
        <v>Same punishment as for the original sentence, if not already served</v>
      </c>
      <c r="G3740" s="10" t="str">
        <f aca="false">IFERROR(INDEX(Section_Master!$E$2:$E$477,MATCH($E3740,Section_Master!$A$2:$A$477,0))&amp;"","")</f>
        <v>No</v>
      </c>
      <c r="H3740" s="10" t="str">
        <f aca="false">IFERROR(INDEX(Section_Master!$F$2:$F$477,MATCH($E3740,Section_Master!$A$2:$A$477,0))&amp;"","")</f>
        <v>No</v>
      </c>
      <c r="I3740" s="10" t="str">
        <f aca="false">IFERROR(INDEX(Section_Master!$G$2:$G$477,MATCH($E3740,Section_Master!$A$2:$A$477,0))&amp;"","")</f>
        <v>No</v>
      </c>
      <c r="J3740" s="10" t="s">
        <v>48</v>
      </c>
      <c r="K3740" s="8" t="s">
        <v>8770</v>
      </c>
    </row>
    <row r="3741" customFormat="false" ht="34.5" hidden="false" customHeight="true" outlineLevel="0" collapsed="false">
      <c r="A3741" s="10" t="s">
        <v>8771</v>
      </c>
      <c r="B3741" s="10" t="s">
        <v>45</v>
      </c>
      <c r="C3741" s="8" t="s">
        <v>8768</v>
      </c>
      <c r="D3741" s="8" t="s">
        <v>8772</v>
      </c>
      <c r="E3741" s="11" t="n">
        <v>266</v>
      </c>
      <c r="F3741" s="8" t="str">
        <f aca="false">IFERROR(INDEX(Section_Master!$D$2:$D$477,MATCH($E3741,Section_Master!$A$2:$A$477,0))&amp;"","")</f>
        <v>Same punishment as for the original sentence, if not already served</v>
      </c>
      <c r="G3741" s="10" t="str">
        <f aca="false">IFERROR(INDEX(Section_Master!$E$2:$E$477,MATCH($E3741,Section_Master!$A$2:$A$477,0))&amp;"","")</f>
        <v>No</v>
      </c>
      <c r="H3741" s="10" t="str">
        <f aca="false">IFERROR(INDEX(Section_Master!$F$2:$F$477,MATCH($E3741,Section_Master!$A$2:$A$477,0))&amp;"","")</f>
        <v>No</v>
      </c>
      <c r="I3741" s="10" t="str">
        <f aca="false">IFERROR(INDEX(Section_Master!$G$2:$G$477,MATCH($E3741,Section_Master!$A$2:$A$477,0))&amp;"","")</f>
        <v>No</v>
      </c>
      <c r="J3741" s="10" t="s">
        <v>52</v>
      </c>
      <c r="K3741" s="8" t="s">
        <v>8770</v>
      </c>
    </row>
    <row r="3742" customFormat="false" ht="34.5" hidden="false" customHeight="true" outlineLevel="0" collapsed="false">
      <c r="A3742" s="10" t="s">
        <v>8773</v>
      </c>
      <c r="B3742" s="10" t="s">
        <v>45</v>
      </c>
      <c r="C3742" s="8" t="s">
        <v>8768</v>
      </c>
      <c r="D3742" s="8" t="s">
        <v>8774</v>
      </c>
      <c r="E3742" s="11" t="n">
        <v>266</v>
      </c>
      <c r="F3742" s="8" t="str">
        <f aca="false">IFERROR(INDEX(Section_Master!$D$2:$D$477,MATCH($E3742,Section_Master!$A$2:$A$477,0))&amp;"","")</f>
        <v>Same punishment as for the original sentence, if not already served</v>
      </c>
      <c r="G3742" s="10" t="str">
        <f aca="false">IFERROR(INDEX(Section_Master!$E$2:$E$477,MATCH($E3742,Section_Master!$A$2:$A$477,0))&amp;"","")</f>
        <v>No</v>
      </c>
      <c r="H3742" s="10" t="str">
        <f aca="false">IFERROR(INDEX(Section_Master!$F$2:$F$477,MATCH($E3742,Section_Master!$A$2:$A$477,0))&amp;"","")</f>
        <v>No</v>
      </c>
      <c r="I3742" s="10" t="str">
        <f aca="false">IFERROR(INDEX(Section_Master!$G$2:$G$477,MATCH($E3742,Section_Master!$A$2:$A$477,0))&amp;"","")</f>
        <v>No</v>
      </c>
      <c r="J3742" s="10" t="s">
        <v>55</v>
      </c>
      <c r="K3742" s="8" t="s">
        <v>8770</v>
      </c>
    </row>
    <row r="3743" customFormat="false" ht="23.25" hidden="false" customHeight="true" outlineLevel="0" collapsed="false">
      <c r="A3743" s="10" t="s">
        <v>8775</v>
      </c>
      <c r="B3743" s="10" t="s">
        <v>45</v>
      </c>
      <c r="C3743" s="8" t="s">
        <v>8768</v>
      </c>
      <c r="D3743" s="8" t="s">
        <v>8776</v>
      </c>
      <c r="E3743" s="11" t="n">
        <v>266</v>
      </c>
      <c r="F3743" s="8" t="str">
        <f aca="false">IFERROR(INDEX(Section_Master!$D$2:$D$477,MATCH($E3743,Section_Master!$A$2:$A$477,0))&amp;"","")</f>
        <v>Same punishment as for the original sentence, if not already served</v>
      </c>
      <c r="G3743" s="10" t="str">
        <f aca="false">IFERROR(INDEX(Section_Master!$E$2:$E$477,MATCH($E3743,Section_Master!$A$2:$A$477,0))&amp;"","")</f>
        <v>No</v>
      </c>
      <c r="H3743" s="10" t="str">
        <f aca="false">IFERROR(INDEX(Section_Master!$F$2:$F$477,MATCH($E3743,Section_Master!$A$2:$A$477,0))&amp;"","")</f>
        <v>No</v>
      </c>
      <c r="I3743" s="10" t="str">
        <f aca="false">IFERROR(INDEX(Section_Master!$G$2:$G$477,MATCH($E3743,Section_Master!$A$2:$A$477,0))&amp;"","")</f>
        <v>No</v>
      </c>
      <c r="J3743" s="10" t="s">
        <v>58</v>
      </c>
      <c r="K3743" s="8" t="s">
        <v>8770</v>
      </c>
    </row>
    <row r="3744" customFormat="false" ht="45.75" hidden="false" customHeight="true" outlineLevel="0" collapsed="false">
      <c r="A3744" s="10" t="s">
        <v>8777</v>
      </c>
      <c r="B3744" s="10" t="s">
        <v>45</v>
      </c>
      <c r="C3744" s="8" t="s">
        <v>8768</v>
      </c>
      <c r="D3744" s="8" t="s">
        <v>8778</v>
      </c>
      <c r="E3744" s="11" t="n">
        <v>266</v>
      </c>
      <c r="F3744" s="8" t="str">
        <f aca="false">IFERROR(INDEX(Section_Master!$D$2:$D$477,MATCH($E3744,Section_Master!$A$2:$A$477,0))&amp;"","")</f>
        <v>Same punishment as for the original sentence, if not already served</v>
      </c>
      <c r="G3744" s="10" t="str">
        <f aca="false">IFERROR(INDEX(Section_Master!$E$2:$E$477,MATCH($E3744,Section_Master!$A$2:$A$477,0))&amp;"","")</f>
        <v>No</v>
      </c>
      <c r="H3744" s="10" t="str">
        <f aca="false">IFERROR(INDEX(Section_Master!$F$2:$F$477,MATCH($E3744,Section_Master!$A$2:$A$477,0))&amp;"","")</f>
        <v>No</v>
      </c>
      <c r="I3744" s="10" t="str">
        <f aca="false">IFERROR(INDEX(Section_Master!$G$2:$G$477,MATCH($E3744,Section_Master!$A$2:$A$477,0))&amp;"","")</f>
        <v>No</v>
      </c>
      <c r="J3744" s="10" t="s">
        <v>61</v>
      </c>
      <c r="K3744" s="8" t="s">
        <v>8770</v>
      </c>
    </row>
    <row r="3745" customFormat="false" ht="34.5" hidden="false" customHeight="true" outlineLevel="0" collapsed="false">
      <c r="A3745" s="10" t="s">
        <v>8779</v>
      </c>
      <c r="B3745" s="10" t="s">
        <v>45</v>
      </c>
      <c r="C3745" s="8" t="s">
        <v>8768</v>
      </c>
      <c r="D3745" s="8" t="s">
        <v>8780</v>
      </c>
      <c r="E3745" s="11" t="n">
        <v>266</v>
      </c>
      <c r="F3745" s="8" t="str">
        <f aca="false">IFERROR(INDEX(Section_Master!$D$2:$D$477,MATCH($E3745,Section_Master!$A$2:$A$477,0))&amp;"","")</f>
        <v>Same punishment as for the original sentence, if not already served</v>
      </c>
      <c r="G3745" s="10" t="str">
        <f aca="false">IFERROR(INDEX(Section_Master!$E$2:$E$477,MATCH($E3745,Section_Master!$A$2:$A$477,0))&amp;"","")</f>
        <v>No</v>
      </c>
      <c r="H3745" s="10" t="str">
        <f aca="false">IFERROR(INDEX(Section_Master!$F$2:$F$477,MATCH($E3745,Section_Master!$A$2:$A$477,0))&amp;"","")</f>
        <v>No</v>
      </c>
      <c r="I3745" s="10" t="str">
        <f aca="false">IFERROR(INDEX(Section_Master!$G$2:$G$477,MATCH($E3745,Section_Master!$A$2:$A$477,0))&amp;"","")</f>
        <v>No</v>
      </c>
      <c r="J3745" s="10" t="s">
        <v>64</v>
      </c>
      <c r="K3745" s="8" t="s">
        <v>8770</v>
      </c>
    </row>
    <row r="3746" customFormat="false" ht="34.5" hidden="false" customHeight="true" outlineLevel="0" collapsed="false">
      <c r="A3746" s="10" t="s">
        <v>8781</v>
      </c>
      <c r="B3746" s="10" t="s">
        <v>45</v>
      </c>
      <c r="C3746" s="8" t="s">
        <v>8603</v>
      </c>
      <c r="D3746" s="8" t="s">
        <v>8782</v>
      </c>
      <c r="E3746" s="11" t="n">
        <v>267</v>
      </c>
      <c r="F3746" s="8" t="str">
        <f aca="false">IFERROR(INDEX(Section_Master!$D$2:$D$477,MATCH($E3746,Section_Master!$A$2:$A$477,0))&amp;"","")</f>
        <v>Simple imprisonment up to 6 months, or fine, or both</v>
      </c>
      <c r="G3746" s="10" t="str">
        <f aca="false">IFERROR(INDEX(Section_Master!$E$2:$E$477,MATCH($E3746,Section_Master!$A$2:$A$477,0))&amp;"","")</f>
        <v>No</v>
      </c>
      <c r="H3746" s="10" t="str">
        <f aca="false">IFERROR(INDEX(Section_Master!$F$2:$F$477,MATCH($E3746,Section_Master!$A$2:$A$477,0))&amp;"","")</f>
        <v>Yes</v>
      </c>
      <c r="I3746" s="10" t="str">
        <f aca="false">IFERROR(INDEX(Section_Master!$G$2:$G$477,MATCH($E3746,Section_Master!$A$2:$A$477,0))&amp;"","")</f>
        <v>No</v>
      </c>
      <c r="J3746" s="10" t="s">
        <v>48</v>
      </c>
      <c r="K3746" s="8" t="s">
        <v>8783</v>
      </c>
    </row>
    <row r="3747" customFormat="false" ht="34.5" hidden="false" customHeight="true" outlineLevel="0" collapsed="false">
      <c r="A3747" s="10" t="s">
        <v>8784</v>
      </c>
      <c r="B3747" s="10" t="s">
        <v>45</v>
      </c>
      <c r="C3747" s="8" t="s">
        <v>8603</v>
      </c>
      <c r="D3747" s="8" t="s">
        <v>8785</v>
      </c>
      <c r="E3747" s="11" t="n">
        <v>267</v>
      </c>
      <c r="F3747" s="8" t="str">
        <f aca="false">IFERROR(INDEX(Section_Master!$D$2:$D$477,MATCH($E3747,Section_Master!$A$2:$A$477,0))&amp;"","")</f>
        <v>Simple imprisonment up to 6 months, or fine, or both</v>
      </c>
      <c r="G3747" s="10" t="str">
        <f aca="false">IFERROR(INDEX(Section_Master!$E$2:$E$477,MATCH($E3747,Section_Master!$A$2:$A$477,0))&amp;"","")</f>
        <v>No</v>
      </c>
      <c r="H3747" s="10" t="str">
        <f aca="false">IFERROR(INDEX(Section_Master!$F$2:$F$477,MATCH($E3747,Section_Master!$A$2:$A$477,0))&amp;"","")</f>
        <v>Yes</v>
      </c>
      <c r="I3747" s="10" t="str">
        <f aca="false">IFERROR(INDEX(Section_Master!$G$2:$G$477,MATCH($E3747,Section_Master!$A$2:$A$477,0))&amp;"","")</f>
        <v>No</v>
      </c>
      <c r="J3747" s="10" t="s">
        <v>52</v>
      </c>
      <c r="K3747" s="8" t="s">
        <v>8783</v>
      </c>
    </row>
    <row r="3748" customFormat="false" ht="34.5" hidden="false" customHeight="true" outlineLevel="0" collapsed="false">
      <c r="A3748" s="10" t="s">
        <v>8786</v>
      </c>
      <c r="B3748" s="10" t="s">
        <v>45</v>
      </c>
      <c r="C3748" s="8" t="s">
        <v>8603</v>
      </c>
      <c r="D3748" s="8" t="s">
        <v>8787</v>
      </c>
      <c r="E3748" s="11" t="n">
        <v>267</v>
      </c>
      <c r="F3748" s="8" t="str">
        <f aca="false">IFERROR(INDEX(Section_Master!$D$2:$D$477,MATCH($E3748,Section_Master!$A$2:$A$477,0))&amp;"","")</f>
        <v>Simple imprisonment up to 6 months, or fine, or both</v>
      </c>
      <c r="G3748" s="10" t="str">
        <f aca="false">IFERROR(INDEX(Section_Master!$E$2:$E$477,MATCH($E3748,Section_Master!$A$2:$A$477,0))&amp;"","")</f>
        <v>No</v>
      </c>
      <c r="H3748" s="10" t="str">
        <f aca="false">IFERROR(INDEX(Section_Master!$F$2:$F$477,MATCH($E3748,Section_Master!$A$2:$A$477,0))&amp;"","")</f>
        <v>Yes</v>
      </c>
      <c r="I3748" s="10" t="str">
        <f aca="false">IFERROR(INDEX(Section_Master!$G$2:$G$477,MATCH($E3748,Section_Master!$A$2:$A$477,0))&amp;"","")</f>
        <v>No</v>
      </c>
      <c r="J3748" s="10" t="s">
        <v>55</v>
      </c>
      <c r="K3748" s="8" t="s">
        <v>8783</v>
      </c>
    </row>
    <row r="3749" customFormat="false" ht="23.25" hidden="false" customHeight="true" outlineLevel="0" collapsed="false">
      <c r="A3749" s="10" t="s">
        <v>8788</v>
      </c>
      <c r="B3749" s="10" t="s">
        <v>45</v>
      </c>
      <c r="C3749" s="8" t="s">
        <v>8603</v>
      </c>
      <c r="D3749" s="8" t="s">
        <v>8789</v>
      </c>
      <c r="E3749" s="11" t="n">
        <v>267</v>
      </c>
      <c r="F3749" s="8" t="str">
        <f aca="false">IFERROR(INDEX(Section_Master!$D$2:$D$477,MATCH($E3749,Section_Master!$A$2:$A$477,0))&amp;"","")</f>
        <v>Simple imprisonment up to 6 months, or fine, or both</v>
      </c>
      <c r="G3749" s="10" t="str">
        <f aca="false">IFERROR(INDEX(Section_Master!$E$2:$E$477,MATCH($E3749,Section_Master!$A$2:$A$477,0))&amp;"","")</f>
        <v>No</v>
      </c>
      <c r="H3749" s="10" t="str">
        <f aca="false">IFERROR(INDEX(Section_Master!$F$2:$F$477,MATCH($E3749,Section_Master!$A$2:$A$477,0))&amp;"","")</f>
        <v>Yes</v>
      </c>
      <c r="I3749" s="10" t="str">
        <f aca="false">IFERROR(INDEX(Section_Master!$G$2:$G$477,MATCH($E3749,Section_Master!$A$2:$A$477,0))&amp;"","")</f>
        <v>No</v>
      </c>
      <c r="J3749" s="10" t="s">
        <v>58</v>
      </c>
      <c r="K3749" s="8" t="s">
        <v>8783</v>
      </c>
    </row>
    <row r="3750" customFormat="false" ht="34.5" hidden="false" customHeight="true" outlineLevel="0" collapsed="false">
      <c r="A3750" s="10" t="s">
        <v>8790</v>
      </c>
      <c r="B3750" s="10" t="s">
        <v>45</v>
      </c>
      <c r="C3750" s="8" t="s">
        <v>8603</v>
      </c>
      <c r="D3750" s="8" t="s">
        <v>8791</v>
      </c>
      <c r="E3750" s="11" t="n">
        <v>267</v>
      </c>
      <c r="F3750" s="8" t="str">
        <f aca="false">IFERROR(INDEX(Section_Master!$D$2:$D$477,MATCH($E3750,Section_Master!$A$2:$A$477,0))&amp;"","")</f>
        <v>Simple imprisonment up to 6 months, or fine, or both</v>
      </c>
      <c r="G3750" s="10" t="str">
        <f aca="false">IFERROR(INDEX(Section_Master!$E$2:$E$477,MATCH($E3750,Section_Master!$A$2:$A$477,0))&amp;"","")</f>
        <v>No</v>
      </c>
      <c r="H3750" s="10" t="str">
        <f aca="false">IFERROR(INDEX(Section_Master!$F$2:$F$477,MATCH($E3750,Section_Master!$A$2:$A$477,0))&amp;"","")</f>
        <v>Yes</v>
      </c>
      <c r="I3750" s="10" t="str">
        <f aca="false">IFERROR(INDEX(Section_Master!$G$2:$G$477,MATCH($E3750,Section_Master!$A$2:$A$477,0))&amp;"","")</f>
        <v>No</v>
      </c>
      <c r="J3750" s="10" t="s">
        <v>61</v>
      </c>
      <c r="K3750" s="8" t="s">
        <v>8783</v>
      </c>
    </row>
    <row r="3751" customFormat="false" ht="34.5" hidden="false" customHeight="true" outlineLevel="0" collapsed="false">
      <c r="A3751" s="10" t="s">
        <v>8792</v>
      </c>
      <c r="B3751" s="10" t="s">
        <v>45</v>
      </c>
      <c r="C3751" s="8" t="s">
        <v>8603</v>
      </c>
      <c r="D3751" s="8" t="s">
        <v>8793</v>
      </c>
      <c r="E3751" s="11" t="n">
        <v>267</v>
      </c>
      <c r="F3751" s="8" t="str">
        <f aca="false">IFERROR(INDEX(Section_Master!$D$2:$D$477,MATCH($E3751,Section_Master!$A$2:$A$477,0))&amp;"","")</f>
        <v>Simple imprisonment up to 6 months, or fine, or both</v>
      </c>
      <c r="G3751" s="10" t="str">
        <f aca="false">IFERROR(INDEX(Section_Master!$E$2:$E$477,MATCH($E3751,Section_Master!$A$2:$A$477,0))&amp;"","")</f>
        <v>No</v>
      </c>
      <c r="H3751" s="10" t="str">
        <f aca="false">IFERROR(INDEX(Section_Master!$F$2:$F$477,MATCH($E3751,Section_Master!$A$2:$A$477,0))&amp;"","")</f>
        <v>Yes</v>
      </c>
      <c r="I3751" s="10" t="str">
        <f aca="false">IFERROR(INDEX(Section_Master!$G$2:$G$477,MATCH($E3751,Section_Master!$A$2:$A$477,0))&amp;"","")</f>
        <v>No</v>
      </c>
      <c r="J3751" s="10" t="s">
        <v>64</v>
      </c>
      <c r="K3751" s="8" t="s">
        <v>8783</v>
      </c>
    </row>
    <row r="3752" customFormat="false" ht="34.5" hidden="false" customHeight="true" outlineLevel="0" collapsed="false">
      <c r="A3752" s="10" t="s">
        <v>8794</v>
      </c>
      <c r="B3752" s="10" t="s">
        <v>45</v>
      </c>
      <c r="C3752" s="8" t="s">
        <v>8715</v>
      </c>
      <c r="D3752" s="8" t="s">
        <v>8795</v>
      </c>
      <c r="E3752" s="11" t="n">
        <v>268</v>
      </c>
      <c r="F3752" s="8" t="str">
        <f aca="false">IFERROR(INDEX(Section_Master!$D$2:$D$477,MATCH($E3752,Section_Master!$A$2:$A$477,0))&amp;"","")</f>
        <v>Imprisonment up to 2 years, or fine, or both</v>
      </c>
      <c r="G3752" s="10" t="str">
        <f aca="false">IFERROR(INDEX(Section_Master!$E$2:$E$477,MATCH($E3752,Section_Master!$A$2:$A$477,0))&amp;"","")</f>
        <v>No</v>
      </c>
      <c r="H3752" s="10" t="str">
        <f aca="false">IFERROR(INDEX(Section_Master!$F$2:$F$477,MATCH($E3752,Section_Master!$A$2:$A$477,0))&amp;"","")</f>
        <v>Yes</v>
      </c>
      <c r="I3752" s="10" t="str">
        <f aca="false">IFERROR(INDEX(Section_Master!$G$2:$G$477,MATCH($E3752,Section_Master!$A$2:$A$477,0))&amp;"","")</f>
        <v>No</v>
      </c>
      <c r="J3752" s="10" t="s">
        <v>48</v>
      </c>
      <c r="K3752" s="8" t="s">
        <v>8796</v>
      </c>
    </row>
    <row r="3753" customFormat="false" ht="34.5" hidden="false" customHeight="true" outlineLevel="0" collapsed="false">
      <c r="A3753" s="10" t="s">
        <v>8797</v>
      </c>
      <c r="B3753" s="10" t="s">
        <v>45</v>
      </c>
      <c r="C3753" s="8" t="s">
        <v>8715</v>
      </c>
      <c r="D3753" s="8" t="s">
        <v>8798</v>
      </c>
      <c r="E3753" s="11" t="n">
        <v>268</v>
      </c>
      <c r="F3753" s="8" t="str">
        <f aca="false">IFERROR(INDEX(Section_Master!$D$2:$D$477,MATCH($E3753,Section_Master!$A$2:$A$477,0))&amp;"","")</f>
        <v>Imprisonment up to 2 years, or fine, or both</v>
      </c>
      <c r="G3753" s="10" t="str">
        <f aca="false">IFERROR(INDEX(Section_Master!$E$2:$E$477,MATCH($E3753,Section_Master!$A$2:$A$477,0))&amp;"","")</f>
        <v>No</v>
      </c>
      <c r="H3753" s="10" t="str">
        <f aca="false">IFERROR(INDEX(Section_Master!$F$2:$F$477,MATCH($E3753,Section_Master!$A$2:$A$477,0))&amp;"","")</f>
        <v>Yes</v>
      </c>
      <c r="I3753" s="10" t="str">
        <f aca="false">IFERROR(INDEX(Section_Master!$G$2:$G$477,MATCH($E3753,Section_Master!$A$2:$A$477,0))&amp;"","")</f>
        <v>No</v>
      </c>
      <c r="J3753" s="10" t="s">
        <v>52</v>
      </c>
      <c r="K3753" s="8" t="s">
        <v>8796</v>
      </c>
    </row>
    <row r="3754" customFormat="false" ht="34.5" hidden="false" customHeight="true" outlineLevel="0" collapsed="false">
      <c r="A3754" s="10" t="s">
        <v>8799</v>
      </c>
      <c r="B3754" s="10" t="s">
        <v>45</v>
      </c>
      <c r="C3754" s="8" t="s">
        <v>8715</v>
      </c>
      <c r="D3754" s="8" t="s">
        <v>8800</v>
      </c>
      <c r="E3754" s="11" t="n">
        <v>268</v>
      </c>
      <c r="F3754" s="8" t="str">
        <f aca="false">IFERROR(INDEX(Section_Master!$D$2:$D$477,MATCH($E3754,Section_Master!$A$2:$A$477,0))&amp;"","")</f>
        <v>Imprisonment up to 2 years, or fine, or both</v>
      </c>
      <c r="G3754" s="10" t="str">
        <f aca="false">IFERROR(INDEX(Section_Master!$E$2:$E$477,MATCH($E3754,Section_Master!$A$2:$A$477,0))&amp;"","")</f>
        <v>No</v>
      </c>
      <c r="H3754" s="10" t="str">
        <f aca="false">IFERROR(INDEX(Section_Master!$F$2:$F$477,MATCH($E3754,Section_Master!$A$2:$A$477,0))&amp;"","")</f>
        <v>Yes</v>
      </c>
      <c r="I3754" s="10" t="str">
        <f aca="false">IFERROR(INDEX(Section_Master!$G$2:$G$477,MATCH($E3754,Section_Master!$A$2:$A$477,0))&amp;"","")</f>
        <v>No</v>
      </c>
      <c r="J3754" s="10" t="s">
        <v>55</v>
      </c>
      <c r="K3754" s="8" t="s">
        <v>8796</v>
      </c>
    </row>
    <row r="3755" customFormat="false" ht="23.25" hidden="false" customHeight="true" outlineLevel="0" collapsed="false">
      <c r="A3755" s="10" t="s">
        <v>8801</v>
      </c>
      <c r="B3755" s="10" t="s">
        <v>45</v>
      </c>
      <c r="C3755" s="8" t="s">
        <v>8715</v>
      </c>
      <c r="D3755" s="8" t="s">
        <v>8802</v>
      </c>
      <c r="E3755" s="11" t="n">
        <v>268</v>
      </c>
      <c r="F3755" s="8" t="str">
        <f aca="false">IFERROR(INDEX(Section_Master!$D$2:$D$477,MATCH($E3755,Section_Master!$A$2:$A$477,0))&amp;"","")</f>
        <v>Imprisonment up to 2 years, or fine, or both</v>
      </c>
      <c r="G3755" s="10" t="str">
        <f aca="false">IFERROR(INDEX(Section_Master!$E$2:$E$477,MATCH($E3755,Section_Master!$A$2:$A$477,0))&amp;"","")</f>
        <v>No</v>
      </c>
      <c r="H3755" s="10" t="str">
        <f aca="false">IFERROR(INDEX(Section_Master!$F$2:$F$477,MATCH($E3755,Section_Master!$A$2:$A$477,0))&amp;"","")</f>
        <v>Yes</v>
      </c>
      <c r="I3755" s="10" t="str">
        <f aca="false">IFERROR(INDEX(Section_Master!$G$2:$G$477,MATCH($E3755,Section_Master!$A$2:$A$477,0))&amp;"","")</f>
        <v>No</v>
      </c>
      <c r="J3755" s="10" t="s">
        <v>58</v>
      </c>
      <c r="K3755" s="8" t="s">
        <v>8796</v>
      </c>
    </row>
    <row r="3756" customFormat="false" ht="34.5" hidden="false" customHeight="true" outlineLevel="0" collapsed="false">
      <c r="A3756" s="10" t="s">
        <v>8803</v>
      </c>
      <c r="B3756" s="10" t="s">
        <v>45</v>
      </c>
      <c r="C3756" s="8" t="s">
        <v>8715</v>
      </c>
      <c r="D3756" s="8" t="s">
        <v>8804</v>
      </c>
      <c r="E3756" s="11" t="n">
        <v>268</v>
      </c>
      <c r="F3756" s="8" t="str">
        <f aca="false">IFERROR(INDEX(Section_Master!$D$2:$D$477,MATCH($E3756,Section_Master!$A$2:$A$477,0))&amp;"","")</f>
        <v>Imprisonment up to 2 years, or fine, or both</v>
      </c>
      <c r="G3756" s="10" t="str">
        <f aca="false">IFERROR(INDEX(Section_Master!$E$2:$E$477,MATCH($E3756,Section_Master!$A$2:$A$477,0))&amp;"","")</f>
        <v>No</v>
      </c>
      <c r="H3756" s="10" t="str">
        <f aca="false">IFERROR(INDEX(Section_Master!$F$2:$F$477,MATCH($E3756,Section_Master!$A$2:$A$477,0))&amp;"","")</f>
        <v>Yes</v>
      </c>
      <c r="I3756" s="10" t="str">
        <f aca="false">IFERROR(INDEX(Section_Master!$G$2:$G$477,MATCH($E3756,Section_Master!$A$2:$A$477,0))&amp;"","")</f>
        <v>No</v>
      </c>
      <c r="J3756" s="10" t="s">
        <v>61</v>
      </c>
      <c r="K3756" s="8" t="s">
        <v>8796</v>
      </c>
    </row>
    <row r="3757" customFormat="false" ht="34.5" hidden="false" customHeight="true" outlineLevel="0" collapsed="false">
      <c r="A3757" s="10" t="s">
        <v>8805</v>
      </c>
      <c r="B3757" s="10" t="s">
        <v>45</v>
      </c>
      <c r="C3757" s="8" t="s">
        <v>8715</v>
      </c>
      <c r="D3757" s="8" t="s">
        <v>8806</v>
      </c>
      <c r="E3757" s="11" t="n">
        <v>268</v>
      </c>
      <c r="F3757" s="8" t="str">
        <f aca="false">IFERROR(INDEX(Section_Master!$D$2:$D$477,MATCH($E3757,Section_Master!$A$2:$A$477,0))&amp;"","")</f>
        <v>Imprisonment up to 2 years, or fine, or both</v>
      </c>
      <c r="G3757" s="10" t="str">
        <f aca="false">IFERROR(INDEX(Section_Master!$E$2:$E$477,MATCH($E3757,Section_Master!$A$2:$A$477,0))&amp;"","")</f>
        <v>No</v>
      </c>
      <c r="H3757" s="10" t="str">
        <f aca="false">IFERROR(INDEX(Section_Master!$F$2:$F$477,MATCH($E3757,Section_Master!$A$2:$A$477,0))&amp;"","")</f>
        <v>Yes</v>
      </c>
      <c r="I3757" s="10" t="str">
        <f aca="false">IFERROR(INDEX(Section_Master!$G$2:$G$477,MATCH($E3757,Section_Master!$A$2:$A$477,0))&amp;"","")</f>
        <v>No</v>
      </c>
      <c r="J3757" s="10" t="s">
        <v>64</v>
      </c>
      <c r="K3757" s="8" t="s">
        <v>8796</v>
      </c>
    </row>
    <row r="3758" customFormat="false" ht="34.5" hidden="false" customHeight="true" outlineLevel="0" collapsed="false">
      <c r="A3758" s="10" t="s">
        <v>8807</v>
      </c>
      <c r="B3758" s="10" t="s">
        <v>45</v>
      </c>
      <c r="C3758" s="8" t="s">
        <v>8808</v>
      </c>
      <c r="D3758" s="8" t="s">
        <v>8809</v>
      </c>
      <c r="E3758" s="11" t="n">
        <v>269</v>
      </c>
      <c r="F3758" s="8" t="str">
        <f aca="false">IFERROR(INDEX(Section_Master!$D$2:$D$477,MATCH($E3758,Section_Master!$A$2:$A$477,0))&amp;"","")</f>
        <v>Imprisonment up to 1 year, or fine, or both, or community service</v>
      </c>
      <c r="G3758" s="10" t="str">
        <f aca="false">IFERROR(INDEX(Section_Master!$E$2:$E$477,MATCH($E3758,Section_Master!$A$2:$A$477,0))&amp;"","")</f>
        <v>No</v>
      </c>
      <c r="H3758" s="10" t="str">
        <f aca="false">IFERROR(INDEX(Section_Master!$F$2:$F$477,MATCH($E3758,Section_Master!$A$2:$A$477,0))&amp;"","")</f>
        <v>Yes</v>
      </c>
      <c r="I3758" s="10" t="str">
        <f aca="false">IFERROR(INDEX(Section_Master!$G$2:$G$477,MATCH($E3758,Section_Master!$A$2:$A$477,0))&amp;"","")</f>
        <v>No</v>
      </c>
      <c r="J3758" s="10" t="s">
        <v>48</v>
      </c>
      <c r="K3758" s="8" t="s">
        <v>8810</v>
      </c>
    </row>
    <row r="3759" customFormat="false" ht="34.5" hidden="false" customHeight="true" outlineLevel="0" collapsed="false">
      <c r="A3759" s="10" t="s">
        <v>8811</v>
      </c>
      <c r="B3759" s="10" t="s">
        <v>45</v>
      </c>
      <c r="C3759" s="8" t="s">
        <v>8808</v>
      </c>
      <c r="D3759" s="8" t="s">
        <v>8812</v>
      </c>
      <c r="E3759" s="11" t="n">
        <v>269</v>
      </c>
      <c r="F3759" s="8" t="str">
        <f aca="false">IFERROR(INDEX(Section_Master!$D$2:$D$477,MATCH($E3759,Section_Master!$A$2:$A$477,0))&amp;"","")</f>
        <v>Imprisonment up to 1 year, or fine, or both, or community service</v>
      </c>
      <c r="G3759" s="10" t="str">
        <f aca="false">IFERROR(INDEX(Section_Master!$E$2:$E$477,MATCH($E3759,Section_Master!$A$2:$A$477,0))&amp;"","")</f>
        <v>No</v>
      </c>
      <c r="H3759" s="10" t="str">
        <f aca="false">IFERROR(INDEX(Section_Master!$F$2:$F$477,MATCH($E3759,Section_Master!$A$2:$A$477,0))&amp;"","")</f>
        <v>Yes</v>
      </c>
      <c r="I3759" s="10" t="str">
        <f aca="false">IFERROR(INDEX(Section_Master!$G$2:$G$477,MATCH($E3759,Section_Master!$A$2:$A$477,0))&amp;"","")</f>
        <v>No</v>
      </c>
      <c r="J3759" s="10" t="s">
        <v>52</v>
      </c>
      <c r="K3759" s="8" t="s">
        <v>8810</v>
      </c>
    </row>
    <row r="3760" customFormat="false" ht="45.75" hidden="false" customHeight="true" outlineLevel="0" collapsed="false">
      <c r="A3760" s="10" t="s">
        <v>8813</v>
      </c>
      <c r="B3760" s="10" t="s">
        <v>45</v>
      </c>
      <c r="C3760" s="8" t="s">
        <v>8808</v>
      </c>
      <c r="D3760" s="8" t="s">
        <v>8814</v>
      </c>
      <c r="E3760" s="11" t="n">
        <v>269</v>
      </c>
      <c r="F3760" s="8" t="str">
        <f aca="false">IFERROR(INDEX(Section_Master!$D$2:$D$477,MATCH($E3760,Section_Master!$A$2:$A$477,0))&amp;"","")</f>
        <v>Imprisonment up to 1 year, or fine, or both, or community service</v>
      </c>
      <c r="G3760" s="10" t="str">
        <f aca="false">IFERROR(INDEX(Section_Master!$E$2:$E$477,MATCH($E3760,Section_Master!$A$2:$A$477,0))&amp;"","")</f>
        <v>No</v>
      </c>
      <c r="H3760" s="10" t="str">
        <f aca="false">IFERROR(INDEX(Section_Master!$F$2:$F$477,MATCH($E3760,Section_Master!$A$2:$A$477,0))&amp;"","")</f>
        <v>Yes</v>
      </c>
      <c r="I3760" s="10" t="str">
        <f aca="false">IFERROR(INDEX(Section_Master!$G$2:$G$477,MATCH($E3760,Section_Master!$A$2:$A$477,0))&amp;"","")</f>
        <v>No</v>
      </c>
      <c r="J3760" s="10" t="s">
        <v>55</v>
      </c>
      <c r="K3760" s="8" t="s">
        <v>8810</v>
      </c>
    </row>
    <row r="3761" customFormat="false" ht="23.25" hidden="false" customHeight="true" outlineLevel="0" collapsed="false">
      <c r="A3761" s="10" t="s">
        <v>8815</v>
      </c>
      <c r="B3761" s="10" t="s">
        <v>45</v>
      </c>
      <c r="C3761" s="8" t="s">
        <v>8808</v>
      </c>
      <c r="D3761" s="8" t="s">
        <v>8816</v>
      </c>
      <c r="E3761" s="11" t="n">
        <v>269</v>
      </c>
      <c r="F3761" s="8" t="str">
        <f aca="false">IFERROR(INDEX(Section_Master!$D$2:$D$477,MATCH($E3761,Section_Master!$A$2:$A$477,0))&amp;"","")</f>
        <v>Imprisonment up to 1 year, or fine, or both, or community service</v>
      </c>
      <c r="G3761" s="10" t="str">
        <f aca="false">IFERROR(INDEX(Section_Master!$E$2:$E$477,MATCH($E3761,Section_Master!$A$2:$A$477,0))&amp;"","")</f>
        <v>No</v>
      </c>
      <c r="H3761" s="10" t="str">
        <f aca="false">IFERROR(INDEX(Section_Master!$F$2:$F$477,MATCH($E3761,Section_Master!$A$2:$A$477,0))&amp;"","")</f>
        <v>Yes</v>
      </c>
      <c r="I3761" s="10" t="str">
        <f aca="false">IFERROR(INDEX(Section_Master!$G$2:$G$477,MATCH($E3761,Section_Master!$A$2:$A$477,0))&amp;"","")</f>
        <v>No</v>
      </c>
      <c r="J3761" s="10" t="s">
        <v>58</v>
      </c>
      <c r="K3761" s="8" t="s">
        <v>8810</v>
      </c>
    </row>
    <row r="3762" customFormat="false" ht="34.5" hidden="false" customHeight="true" outlineLevel="0" collapsed="false">
      <c r="A3762" s="10" t="s">
        <v>8817</v>
      </c>
      <c r="B3762" s="10" t="s">
        <v>45</v>
      </c>
      <c r="C3762" s="8" t="s">
        <v>8808</v>
      </c>
      <c r="D3762" s="8" t="s">
        <v>8818</v>
      </c>
      <c r="E3762" s="11" t="n">
        <v>269</v>
      </c>
      <c r="F3762" s="8" t="str">
        <f aca="false">IFERROR(INDEX(Section_Master!$D$2:$D$477,MATCH($E3762,Section_Master!$A$2:$A$477,0))&amp;"","")</f>
        <v>Imprisonment up to 1 year, or fine, or both, or community service</v>
      </c>
      <c r="G3762" s="10" t="str">
        <f aca="false">IFERROR(INDEX(Section_Master!$E$2:$E$477,MATCH($E3762,Section_Master!$A$2:$A$477,0))&amp;"","")</f>
        <v>No</v>
      </c>
      <c r="H3762" s="10" t="str">
        <f aca="false">IFERROR(INDEX(Section_Master!$F$2:$F$477,MATCH($E3762,Section_Master!$A$2:$A$477,0))&amp;"","")</f>
        <v>Yes</v>
      </c>
      <c r="I3762" s="10" t="str">
        <f aca="false">IFERROR(INDEX(Section_Master!$G$2:$G$477,MATCH($E3762,Section_Master!$A$2:$A$477,0))&amp;"","")</f>
        <v>No</v>
      </c>
      <c r="J3762" s="10" t="s">
        <v>61</v>
      </c>
      <c r="K3762" s="8" t="s">
        <v>8810</v>
      </c>
    </row>
    <row r="3763" customFormat="false" ht="34.5" hidden="false" customHeight="true" outlineLevel="0" collapsed="false">
      <c r="A3763" s="10" t="s">
        <v>8819</v>
      </c>
      <c r="B3763" s="10" t="s">
        <v>45</v>
      </c>
      <c r="C3763" s="8" t="s">
        <v>8808</v>
      </c>
      <c r="D3763" s="8" t="s">
        <v>8820</v>
      </c>
      <c r="E3763" s="11" t="n">
        <v>269</v>
      </c>
      <c r="F3763" s="8" t="str">
        <f aca="false">IFERROR(INDEX(Section_Master!$D$2:$D$477,MATCH($E3763,Section_Master!$A$2:$A$477,0))&amp;"","")</f>
        <v>Imprisonment up to 1 year, or fine, or both, or community service</v>
      </c>
      <c r="G3763" s="10" t="str">
        <f aca="false">IFERROR(INDEX(Section_Master!$E$2:$E$477,MATCH($E3763,Section_Master!$A$2:$A$477,0))&amp;"","")</f>
        <v>No</v>
      </c>
      <c r="H3763" s="10" t="str">
        <f aca="false">IFERROR(INDEX(Section_Master!$F$2:$F$477,MATCH($E3763,Section_Master!$A$2:$A$477,0))&amp;"","")</f>
        <v>Yes</v>
      </c>
      <c r="I3763" s="10" t="str">
        <f aca="false">IFERROR(INDEX(Section_Master!$G$2:$G$477,MATCH($E3763,Section_Master!$A$2:$A$477,0))&amp;"","")</f>
        <v>No</v>
      </c>
      <c r="J3763" s="10" t="s">
        <v>64</v>
      </c>
      <c r="K3763" s="8" t="s">
        <v>8810</v>
      </c>
    </row>
    <row r="3764" customFormat="false" ht="34.5" hidden="false" customHeight="true" outlineLevel="0" collapsed="false">
      <c r="A3764" s="10" t="s">
        <v>8821</v>
      </c>
      <c r="B3764" s="10" t="s">
        <v>45</v>
      </c>
      <c r="C3764" s="8" t="s">
        <v>8768</v>
      </c>
      <c r="D3764" s="8" t="s">
        <v>8822</v>
      </c>
      <c r="E3764" s="11" t="n">
        <v>270</v>
      </c>
      <c r="F3764" s="8" t="str">
        <f aca="false">IFERROR(INDEX(Section_Master!$D$2:$D$477,MATCH($E3764,Section_Master!$A$2:$A$477,0))&amp;"","")</f>
        <v>Not applicable - no offence or penalty defined here (definition, exception or general provision)</v>
      </c>
      <c r="G3764" s="10" t="str">
        <f aca="false">IFERROR(INDEX(Section_Master!$E$2:$E$477,MATCH($E3764,Section_Master!$A$2:$A$477,0))&amp;"","")</f>
        <v>N/A</v>
      </c>
      <c r="H3764" s="10" t="str">
        <f aca="false">IFERROR(INDEX(Section_Master!$F$2:$F$477,MATCH($E3764,Section_Master!$A$2:$A$477,0))&amp;"","")</f>
        <v>N/A</v>
      </c>
      <c r="I3764" s="10" t="str">
        <f aca="false">IFERROR(INDEX(Section_Master!$G$2:$G$477,MATCH($E3764,Section_Master!$A$2:$A$477,0))&amp;"","")</f>
        <v>N/A</v>
      </c>
      <c r="J3764" s="10" t="s">
        <v>48</v>
      </c>
      <c r="K3764" s="8" t="s">
        <v>8823</v>
      </c>
    </row>
    <row r="3765" customFormat="false" ht="34.5" hidden="false" customHeight="true" outlineLevel="0" collapsed="false">
      <c r="A3765" s="10" t="s">
        <v>8824</v>
      </c>
      <c r="B3765" s="10" t="s">
        <v>45</v>
      </c>
      <c r="C3765" s="8" t="s">
        <v>8768</v>
      </c>
      <c r="D3765" s="8" t="s">
        <v>8825</v>
      </c>
      <c r="E3765" s="11" t="n">
        <v>270</v>
      </c>
      <c r="F3765" s="8" t="str">
        <f aca="false">IFERROR(INDEX(Section_Master!$D$2:$D$477,MATCH($E3765,Section_Master!$A$2:$A$477,0))&amp;"","")</f>
        <v>Not applicable - no offence or penalty defined here (definition, exception or general provision)</v>
      </c>
      <c r="G3765" s="10" t="str">
        <f aca="false">IFERROR(INDEX(Section_Master!$E$2:$E$477,MATCH($E3765,Section_Master!$A$2:$A$477,0))&amp;"","")</f>
        <v>N/A</v>
      </c>
      <c r="H3765" s="10" t="str">
        <f aca="false">IFERROR(INDEX(Section_Master!$F$2:$F$477,MATCH($E3765,Section_Master!$A$2:$A$477,0))&amp;"","")</f>
        <v>N/A</v>
      </c>
      <c r="I3765" s="10" t="str">
        <f aca="false">IFERROR(INDEX(Section_Master!$G$2:$G$477,MATCH($E3765,Section_Master!$A$2:$A$477,0))&amp;"","")</f>
        <v>N/A</v>
      </c>
      <c r="J3765" s="10" t="s">
        <v>52</v>
      </c>
      <c r="K3765" s="8" t="s">
        <v>8823</v>
      </c>
    </row>
    <row r="3766" customFormat="false" ht="23.25" hidden="false" customHeight="true" outlineLevel="0" collapsed="false">
      <c r="A3766" s="10" t="s">
        <v>8826</v>
      </c>
      <c r="B3766" s="10" t="s">
        <v>45</v>
      </c>
      <c r="C3766" s="8" t="s">
        <v>8768</v>
      </c>
      <c r="D3766" s="8" t="s">
        <v>8827</v>
      </c>
      <c r="E3766" s="11" t="n">
        <v>270</v>
      </c>
      <c r="F3766" s="8" t="str">
        <f aca="false">IFERROR(INDEX(Section_Master!$D$2:$D$477,MATCH($E3766,Section_Master!$A$2:$A$477,0))&amp;"","")</f>
        <v>Not applicable - no offence or penalty defined here (definition, exception or general provision)</v>
      </c>
      <c r="G3766" s="10" t="str">
        <f aca="false">IFERROR(INDEX(Section_Master!$E$2:$E$477,MATCH($E3766,Section_Master!$A$2:$A$477,0))&amp;"","")</f>
        <v>N/A</v>
      </c>
      <c r="H3766" s="10" t="str">
        <f aca="false">IFERROR(INDEX(Section_Master!$F$2:$F$477,MATCH($E3766,Section_Master!$A$2:$A$477,0))&amp;"","")</f>
        <v>N/A</v>
      </c>
      <c r="I3766" s="10" t="str">
        <f aca="false">IFERROR(INDEX(Section_Master!$G$2:$G$477,MATCH($E3766,Section_Master!$A$2:$A$477,0))&amp;"","")</f>
        <v>N/A</v>
      </c>
      <c r="J3766" s="10" t="s">
        <v>55</v>
      </c>
      <c r="K3766" s="8" t="s">
        <v>8823</v>
      </c>
    </row>
    <row r="3767" customFormat="false" ht="23.25" hidden="false" customHeight="true" outlineLevel="0" collapsed="false">
      <c r="A3767" s="10" t="s">
        <v>8828</v>
      </c>
      <c r="B3767" s="10" t="s">
        <v>45</v>
      </c>
      <c r="C3767" s="8" t="s">
        <v>8768</v>
      </c>
      <c r="D3767" s="8" t="s">
        <v>8829</v>
      </c>
      <c r="E3767" s="11" t="n">
        <v>270</v>
      </c>
      <c r="F3767" s="8" t="str">
        <f aca="false">IFERROR(INDEX(Section_Master!$D$2:$D$477,MATCH($E3767,Section_Master!$A$2:$A$477,0))&amp;"","")</f>
        <v>Not applicable - no offence or penalty defined here (definition, exception or general provision)</v>
      </c>
      <c r="G3767" s="10" t="str">
        <f aca="false">IFERROR(INDEX(Section_Master!$E$2:$E$477,MATCH($E3767,Section_Master!$A$2:$A$477,0))&amp;"","")</f>
        <v>N/A</v>
      </c>
      <c r="H3767" s="10" t="str">
        <f aca="false">IFERROR(INDEX(Section_Master!$F$2:$F$477,MATCH($E3767,Section_Master!$A$2:$A$477,0))&amp;"","")</f>
        <v>N/A</v>
      </c>
      <c r="I3767" s="10" t="str">
        <f aca="false">IFERROR(INDEX(Section_Master!$G$2:$G$477,MATCH($E3767,Section_Master!$A$2:$A$477,0))&amp;"","")</f>
        <v>N/A</v>
      </c>
      <c r="J3767" s="10" t="s">
        <v>58</v>
      </c>
      <c r="K3767" s="8" t="s">
        <v>8823</v>
      </c>
    </row>
    <row r="3768" customFormat="false" ht="34.5" hidden="false" customHeight="true" outlineLevel="0" collapsed="false">
      <c r="A3768" s="10" t="s">
        <v>8830</v>
      </c>
      <c r="B3768" s="10" t="s">
        <v>45</v>
      </c>
      <c r="C3768" s="8" t="s">
        <v>8768</v>
      </c>
      <c r="D3768" s="8" t="s">
        <v>8831</v>
      </c>
      <c r="E3768" s="11" t="n">
        <v>270</v>
      </c>
      <c r="F3768" s="8" t="str">
        <f aca="false">IFERROR(INDEX(Section_Master!$D$2:$D$477,MATCH($E3768,Section_Master!$A$2:$A$477,0))&amp;"","")</f>
        <v>Not applicable - no offence or penalty defined here (definition, exception or general provision)</v>
      </c>
      <c r="G3768" s="10" t="str">
        <f aca="false">IFERROR(INDEX(Section_Master!$E$2:$E$477,MATCH($E3768,Section_Master!$A$2:$A$477,0))&amp;"","")</f>
        <v>N/A</v>
      </c>
      <c r="H3768" s="10" t="str">
        <f aca="false">IFERROR(INDEX(Section_Master!$F$2:$F$477,MATCH($E3768,Section_Master!$A$2:$A$477,0))&amp;"","")</f>
        <v>N/A</v>
      </c>
      <c r="I3768" s="10" t="str">
        <f aca="false">IFERROR(INDEX(Section_Master!$G$2:$G$477,MATCH($E3768,Section_Master!$A$2:$A$477,0))&amp;"","")</f>
        <v>N/A</v>
      </c>
      <c r="J3768" s="10" t="s">
        <v>61</v>
      </c>
      <c r="K3768" s="8" t="s">
        <v>8823</v>
      </c>
    </row>
    <row r="3769" customFormat="false" ht="34.5" hidden="false" customHeight="true" outlineLevel="0" collapsed="false">
      <c r="A3769" s="10" t="s">
        <v>8832</v>
      </c>
      <c r="B3769" s="10" t="s">
        <v>45</v>
      </c>
      <c r="C3769" s="8" t="s">
        <v>8768</v>
      </c>
      <c r="D3769" s="8" t="s">
        <v>8833</v>
      </c>
      <c r="E3769" s="11" t="n">
        <v>270</v>
      </c>
      <c r="F3769" s="8" t="str">
        <f aca="false">IFERROR(INDEX(Section_Master!$D$2:$D$477,MATCH($E3769,Section_Master!$A$2:$A$477,0))&amp;"","")</f>
        <v>Not applicable - no offence or penalty defined here (definition, exception or general provision)</v>
      </c>
      <c r="G3769" s="10" t="str">
        <f aca="false">IFERROR(INDEX(Section_Master!$E$2:$E$477,MATCH($E3769,Section_Master!$A$2:$A$477,0))&amp;"","")</f>
        <v>N/A</v>
      </c>
      <c r="H3769" s="10" t="str">
        <f aca="false">IFERROR(INDEX(Section_Master!$F$2:$F$477,MATCH($E3769,Section_Master!$A$2:$A$477,0))&amp;"","")</f>
        <v>N/A</v>
      </c>
      <c r="I3769" s="10" t="str">
        <f aca="false">IFERROR(INDEX(Section_Master!$G$2:$G$477,MATCH($E3769,Section_Master!$A$2:$A$477,0))&amp;"","")</f>
        <v>N/A</v>
      </c>
      <c r="J3769" s="10" t="s">
        <v>64</v>
      </c>
      <c r="K3769" s="8" t="s">
        <v>8823</v>
      </c>
    </row>
    <row r="3770" customFormat="false" ht="23.25" hidden="false" customHeight="true" outlineLevel="0" collapsed="false">
      <c r="A3770" s="10" t="s">
        <v>8834</v>
      </c>
      <c r="B3770" s="10" t="s">
        <v>45</v>
      </c>
      <c r="C3770" s="8" t="s">
        <v>8835</v>
      </c>
      <c r="D3770" s="8" t="s">
        <v>8836</v>
      </c>
      <c r="E3770" s="11" t="n">
        <v>271</v>
      </c>
      <c r="F3770" s="8" t="str">
        <f aca="false">IFERROR(INDEX(Section_Master!$D$2:$D$477,MATCH($E3770,Section_Master!$A$2:$A$477,0))&amp;"","")</f>
        <v>Imprisonment up to 6 months, or fine, or both</v>
      </c>
      <c r="G3770" s="10" t="str">
        <f aca="false">IFERROR(INDEX(Section_Master!$E$2:$E$477,MATCH($E3770,Section_Master!$A$2:$A$477,0))&amp;"","")</f>
        <v>Yes</v>
      </c>
      <c r="H3770" s="10" t="str">
        <f aca="false">IFERROR(INDEX(Section_Master!$F$2:$F$477,MATCH($E3770,Section_Master!$A$2:$A$477,0))&amp;"","")</f>
        <v>Yes</v>
      </c>
      <c r="I3770" s="10" t="str">
        <f aca="false">IFERROR(INDEX(Section_Master!$G$2:$G$477,MATCH($E3770,Section_Master!$A$2:$A$477,0))&amp;"","")</f>
        <v>No</v>
      </c>
      <c r="J3770" s="10" t="s">
        <v>48</v>
      </c>
      <c r="K3770" s="8" t="s">
        <v>8837</v>
      </c>
    </row>
    <row r="3771" customFormat="false" ht="45.75" hidden="false" customHeight="true" outlineLevel="0" collapsed="false">
      <c r="A3771" s="10" t="s">
        <v>8838</v>
      </c>
      <c r="B3771" s="10" t="s">
        <v>45</v>
      </c>
      <c r="C3771" s="8" t="s">
        <v>8835</v>
      </c>
      <c r="D3771" s="8" t="s">
        <v>8839</v>
      </c>
      <c r="E3771" s="11" t="n">
        <v>271</v>
      </c>
      <c r="F3771" s="8" t="str">
        <f aca="false">IFERROR(INDEX(Section_Master!$D$2:$D$477,MATCH($E3771,Section_Master!$A$2:$A$477,0))&amp;"","")</f>
        <v>Imprisonment up to 6 months, or fine, or both</v>
      </c>
      <c r="G3771" s="10" t="str">
        <f aca="false">IFERROR(INDEX(Section_Master!$E$2:$E$477,MATCH($E3771,Section_Master!$A$2:$A$477,0))&amp;"","")</f>
        <v>Yes</v>
      </c>
      <c r="H3771" s="10" t="str">
        <f aca="false">IFERROR(INDEX(Section_Master!$F$2:$F$477,MATCH($E3771,Section_Master!$A$2:$A$477,0))&amp;"","")</f>
        <v>Yes</v>
      </c>
      <c r="I3771" s="10" t="str">
        <f aca="false">IFERROR(INDEX(Section_Master!$G$2:$G$477,MATCH($E3771,Section_Master!$A$2:$A$477,0))&amp;"","")</f>
        <v>No</v>
      </c>
      <c r="J3771" s="10" t="s">
        <v>52</v>
      </c>
      <c r="K3771" s="8" t="s">
        <v>8837</v>
      </c>
    </row>
    <row r="3772" customFormat="false" ht="34.5" hidden="false" customHeight="true" outlineLevel="0" collapsed="false">
      <c r="A3772" s="10" t="s">
        <v>8840</v>
      </c>
      <c r="B3772" s="10" t="s">
        <v>45</v>
      </c>
      <c r="C3772" s="8" t="s">
        <v>8835</v>
      </c>
      <c r="D3772" s="8" t="s">
        <v>8841</v>
      </c>
      <c r="E3772" s="11" t="n">
        <v>271</v>
      </c>
      <c r="F3772" s="8" t="str">
        <f aca="false">IFERROR(INDEX(Section_Master!$D$2:$D$477,MATCH($E3772,Section_Master!$A$2:$A$477,0))&amp;"","")</f>
        <v>Imprisonment up to 6 months, or fine, or both</v>
      </c>
      <c r="G3772" s="10" t="str">
        <f aca="false">IFERROR(INDEX(Section_Master!$E$2:$E$477,MATCH($E3772,Section_Master!$A$2:$A$477,0))&amp;"","")</f>
        <v>Yes</v>
      </c>
      <c r="H3772" s="10" t="str">
        <f aca="false">IFERROR(INDEX(Section_Master!$F$2:$F$477,MATCH($E3772,Section_Master!$A$2:$A$477,0))&amp;"","")</f>
        <v>Yes</v>
      </c>
      <c r="I3772" s="10" t="str">
        <f aca="false">IFERROR(INDEX(Section_Master!$G$2:$G$477,MATCH($E3772,Section_Master!$A$2:$A$477,0))&amp;"","")</f>
        <v>No</v>
      </c>
      <c r="J3772" s="10" t="s">
        <v>55</v>
      </c>
      <c r="K3772" s="8" t="s">
        <v>8837</v>
      </c>
    </row>
    <row r="3773" customFormat="false" ht="23.25" hidden="false" customHeight="true" outlineLevel="0" collapsed="false">
      <c r="A3773" s="10" t="s">
        <v>8842</v>
      </c>
      <c r="B3773" s="10" t="s">
        <v>45</v>
      </c>
      <c r="C3773" s="8" t="s">
        <v>8835</v>
      </c>
      <c r="D3773" s="8" t="s">
        <v>8843</v>
      </c>
      <c r="E3773" s="11" t="n">
        <v>271</v>
      </c>
      <c r="F3773" s="8" t="str">
        <f aca="false">IFERROR(INDEX(Section_Master!$D$2:$D$477,MATCH($E3773,Section_Master!$A$2:$A$477,0))&amp;"","")</f>
        <v>Imprisonment up to 6 months, or fine, or both</v>
      </c>
      <c r="G3773" s="10" t="str">
        <f aca="false">IFERROR(INDEX(Section_Master!$E$2:$E$477,MATCH($E3773,Section_Master!$A$2:$A$477,0))&amp;"","")</f>
        <v>Yes</v>
      </c>
      <c r="H3773" s="10" t="str">
        <f aca="false">IFERROR(INDEX(Section_Master!$F$2:$F$477,MATCH($E3773,Section_Master!$A$2:$A$477,0))&amp;"","")</f>
        <v>Yes</v>
      </c>
      <c r="I3773" s="10" t="str">
        <f aca="false">IFERROR(INDEX(Section_Master!$G$2:$G$477,MATCH($E3773,Section_Master!$A$2:$A$477,0))&amp;"","")</f>
        <v>No</v>
      </c>
      <c r="J3773" s="10" t="s">
        <v>58</v>
      </c>
      <c r="K3773" s="8" t="s">
        <v>8837</v>
      </c>
    </row>
    <row r="3774" customFormat="false" ht="45.75" hidden="false" customHeight="true" outlineLevel="0" collapsed="false">
      <c r="A3774" s="10" t="s">
        <v>8844</v>
      </c>
      <c r="B3774" s="10" t="s">
        <v>45</v>
      </c>
      <c r="C3774" s="8" t="s">
        <v>8835</v>
      </c>
      <c r="D3774" s="8" t="s">
        <v>8845</v>
      </c>
      <c r="E3774" s="11" t="n">
        <v>271</v>
      </c>
      <c r="F3774" s="8" t="str">
        <f aca="false">IFERROR(INDEX(Section_Master!$D$2:$D$477,MATCH($E3774,Section_Master!$A$2:$A$477,0))&amp;"","")</f>
        <v>Imprisonment up to 6 months, or fine, or both</v>
      </c>
      <c r="G3774" s="10" t="str">
        <f aca="false">IFERROR(INDEX(Section_Master!$E$2:$E$477,MATCH($E3774,Section_Master!$A$2:$A$477,0))&amp;"","")</f>
        <v>Yes</v>
      </c>
      <c r="H3774" s="10" t="str">
        <f aca="false">IFERROR(INDEX(Section_Master!$F$2:$F$477,MATCH($E3774,Section_Master!$A$2:$A$477,0))&amp;"","")</f>
        <v>Yes</v>
      </c>
      <c r="I3774" s="10" t="str">
        <f aca="false">IFERROR(INDEX(Section_Master!$G$2:$G$477,MATCH($E3774,Section_Master!$A$2:$A$477,0))&amp;"","")</f>
        <v>No</v>
      </c>
      <c r="J3774" s="10" t="s">
        <v>61</v>
      </c>
      <c r="K3774" s="8" t="s">
        <v>8837</v>
      </c>
    </row>
    <row r="3775" customFormat="false" ht="34.5" hidden="false" customHeight="true" outlineLevel="0" collapsed="false">
      <c r="A3775" s="10" t="s">
        <v>8846</v>
      </c>
      <c r="B3775" s="10" t="s">
        <v>45</v>
      </c>
      <c r="C3775" s="8" t="s">
        <v>8835</v>
      </c>
      <c r="D3775" s="8" t="s">
        <v>8847</v>
      </c>
      <c r="E3775" s="11" t="n">
        <v>271</v>
      </c>
      <c r="F3775" s="8" t="str">
        <f aca="false">IFERROR(INDEX(Section_Master!$D$2:$D$477,MATCH($E3775,Section_Master!$A$2:$A$477,0))&amp;"","")</f>
        <v>Imprisonment up to 6 months, or fine, or both</v>
      </c>
      <c r="G3775" s="10" t="str">
        <f aca="false">IFERROR(INDEX(Section_Master!$E$2:$E$477,MATCH($E3775,Section_Master!$A$2:$A$477,0))&amp;"","")</f>
        <v>Yes</v>
      </c>
      <c r="H3775" s="10" t="str">
        <f aca="false">IFERROR(INDEX(Section_Master!$F$2:$F$477,MATCH($E3775,Section_Master!$A$2:$A$477,0))&amp;"","")</f>
        <v>Yes</v>
      </c>
      <c r="I3775" s="10" t="str">
        <f aca="false">IFERROR(INDEX(Section_Master!$G$2:$G$477,MATCH($E3775,Section_Master!$A$2:$A$477,0))&amp;"","")</f>
        <v>No</v>
      </c>
      <c r="J3775" s="10" t="s">
        <v>64</v>
      </c>
      <c r="K3775" s="8" t="s">
        <v>8837</v>
      </c>
    </row>
    <row r="3776" customFormat="false" ht="34.5" hidden="false" customHeight="true" outlineLevel="0" collapsed="false">
      <c r="A3776" s="10" t="s">
        <v>8848</v>
      </c>
      <c r="B3776" s="10" t="s">
        <v>45</v>
      </c>
      <c r="C3776" s="8" t="s">
        <v>8849</v>
      </c>
      <c r="D3776" s="8" t="s">
        <v>8850</v>
      </c>
      <c r="E3776" s="11" t="n">
        <v>272</v>
      </c>
      <c r="F3776" s="8" t="str">
        <f aca="false">IFERROR(INDEX(Section_Master!$D$2:$D$477,MATCH($E3776,Section_Master!$A$2:$A$477,0))&amp;"","")</f>
        <v>Imprisonment up to 2 years, or fine, or both</v>
      </c>
      <c r="G3776" s="10" t="str">
        <f aca="false">IFERROR(INDEX(Section_Master!$E$2:$E$477,MATCH($E3776,Section_Master!$A$2:$A$477,0))&amp;"","")</f>
        <v>Yes</v>
      </c>
      <c r="H3776" s="10" t="str">
        <f aca="false">IFERROR(INDEX(Section_Master!$F$2:$F$477,MATCH($E3776,Section_Master!$A$2:$A$477,0))&amp;"","")</f>
        <v>Yes</v>
      </c>
      <c r="I3776" s="10" t="str">
        <f aca="false">IFERROR(INDEX(Section_Master!$G$2:$G$477,MATCH($E3776,Section_Master!$A$2:$A$477,0))&amp;"","")</f>
        <v>No</v>
      </c>
      <c r="J3776" s="10" t="s">
        <v>48</v>
      </c>
      <c r="K3776" s="8" t="s">
        <v>8851</v>
      </c>
    </row>
    <row r="3777" customFormat="false" ht="45.75" hidden="false" customHeight="true" outlineLevel="0" collapsed="false">
      <c r="A3777" s="10" t="s">
        <v>8852</v>
      </c>
      <c r="B3777" s="10" t="s">
        <v>45</v>
      </c>
      <c r="C3777" s="8" t="s">
        <v>8849</v>
      </c>
      <c r="D3777" s="8" t="s">
        <v>8853</v>
      </c>
      <c r="E3777" s="11" t="n">
        <v>272</v>
      </c>
      <c r="F3777" s="8" t="str">
        <f aca="false">IFERROR(INDEX(Section_Master!$D$2:$D$477,MATCH($E3777,Section_Master!$A$2:$A$477,0))&amp;"","")</f>
        <v>Imprisonment up to 2 years, or fine, or both</v>
      </c>
      <c r="G3777" s="10" t="str">
        <f aca="false">IFERROR(INDEX(Section_Master!$E$2:$E$477,MATCH($E3777,Section_Master!$A$2:$A$477,0))&amp;"","")</f>
        <v>Yes</v>
      </c>
      <c r="H3777" s="10" t="str">
        <f aca="false">IFERROR(INDEX(Section_Master!$F$2:$F$477,MATCH($E3777,Section_Master!$A$2:$A$477,0))&amp;"","")</f>
        <v>Yes</v>
      </c>
      <c r="I3777" s="10" t="str">
        <f aca="false">IFERROR(INDEX(Section_Master!$G$2:$G$477,MATCH($E3777,Section_Master!$A$2:$A$477,0))&amp;"","")</f>
        <v>No</v>
      </c>
      <c r="J3777" s="10" t="s">
        <v>52</v>
      </c>
      <c r="K3777" s="8" t="s">
        <v>8851</v>
      </c>
    </row>
    <row r="3778" customFormat="false" ht="34.5" hidden="false" customHeight="true" outlineLevel="0" collapsed="false">
      <c r="A3778" s="10" t="s">
        <v>8854</v>
      </c>
      <c r="B3778" s="10" t="s">
        <v>45</v>
      </c>
      <c r="C3778" s="8" t="s">
        <v>8849</v>
      </c>
      <c r="D3778" s="8" t="s">
        <v>8855</v>
      </c>
      <c r="E3778" s="11" t="n">
        <v>272</v>
      </c>
      <c r="F3778" s="8" t="str">
        <f aca="false">IFERROR(INDEX(Section_Master!$D$2:$D$477,MATCH($E3778,Section_Master!$A$2:$A$477,0))&amp;"","")</f>
        <v>Imprisonment up to 2 years, or fine, or both</v>
      </c>
      <c r="G3778" s="10" t="str">
        <f aca="false">IFERROR(INDEX(Section_Master!$E$2:$E$477,MATCH($E3778,Section_Master!$A$2:$A$477,0))&amp;"","")</f>
        <v>Yes</v>
      </c>
      <c r="H3778" s="10" t="str">
        <f aca="false">IFERROR(INDEX(Section_Master!$F$2:$F$477,MATCH($E3778,Section_Master!$A$2:$A$477,0))&amp;"","")</f>
        <v>Yes</v>
      </c>
      <c r="I3778" s="10" t="str">
        <f aca="false">IFERROR(INDEX(Section_Master!$G$2:$G$477,MATCH($E3778,Section_Master!$A$2:$A$477,0))&amp;"","")</f>
        <v>No</v>
      </c>
      <c r="J3778" s="10" t="s">
        <v>55</v>
      </c>
      <c r="K3778" s="8" t="s">
        <v>8851</v>
      </c>
    </row>
    <row r="3779" customFormat="false" ht="23.25" hidden="false" customHeight="true" outlineLevel="0" collapsed="false">
      <c r="A3779" s="10" t="s">
        <v>8856</v>
      </c>
      <c r="B3779" s="10" t="s">
        <v>45</v>
      </c>
      <c r="C3779" s="8" t="s">
        <v>8849</v>
      </c>
      <c r="D3779" s="8" t="s">
        <v>8857</v>
      </c>
      <c r="E3779" s="11" t="n">
        <v>272</v>
      </c>
      <c r="F3779" s="8" t="str">
        <f aca="false">IFERROR(INDEX(Section_Master!$D$2:$D$477,MATCH($E3779,Section_Master!$A$2:$A$477,0))&amp;"","")</f>
        <v>Imprisonment up to 2 years, or fine, or both</v>
      </c>
      <c r="G3779" s="10" t="str">
        <f aca="false">IFERROR(INDEX(Section_Master!$E$2:$E$477,MATCH($E3779,Section_Master!$A$2:$A$477,0))&amp;"","")</f>
        <v>Yes</v>
      </c>
      <c r="H3779" s="10" t="str">
        <f aca="false">IFERROR(INDEX(Section_Master!$F$2:$F$477,MATCH($E3779,Section_Master!$A$2:$A$477,0))&amp;"","")</f>
        <v>Yes</v>
      </c>
      <c r="I3779" s="10" t="str">
        <f aca="false">IFERROR(INDEX(Section_Master!$G$2:$G$477,MATCH($E3779,Section_Master!$A$2:$A$477,0))&amp;"","")</f>
        <v>No</v>
      </c>
      <c r="J3779" s="10" t="s">
        <v>58</v>
      </c>
      <c r="K3779" s="8" t="s">
        <v>8851</v>
      </c>
    </row>
    <row r="3780" customFormat="false" ht="34.5" hidden="false" customHeight="true" outlineLevel="0" collapsed="false">
      <c r="A3780" s="10" t="s">
        <v>8858</v>
      </c>
      <c r="B3780" s="10" t="s">
        <v>45</v>
      </c>
      <c r="C3780" s="8" t="s">
        <v>8849</v>
      </c>
      <c r="D3780" s="8" t="s">
        <v>8859</v>
      </c>
      <c r="E3780" s="11" t="n">
        <v>272</v>
      </c>
      <c r="F3780" s="8" t="str">
        <f aca="false">IFERROR(INDEX(Section_Master!$D$2:$D$477,MATCH($E3780,Section_Master!$A$2:$A$477,0))&amp;"","")</f>
        <v>Imprisonment up to 2 years, or fine, or both</v>
      </c>
      <c r="G3780" s="10" t="str">
        <f aca="false">IFERROR(INDEX(Section_Master!$E$2:$E$477,MATCH($E3780,Section_Master!$A$2:$A$477,0))&amp;"","")</f>
        <v>Yes</v>
      </c>
      <c r="H3780" s="10" t="str">
        <f aca="false">IFERROR(INDEX(Section_Master!$F$2:$F$477,MATCH($E3780,Section_Master!$A$2:$A$477,0))&amp;"","")</f>
        <v>Yes</v>
      </c>
      <c r="I3780" s="10" t="str">
        <f aca="false">IFERROR(INDEX(Section_Master!$G$2:$G$477,MATCH($E3780,Section_Master!$A$2:$A$477,0))&amp;"","")</f>
        <v>No</v>
      </c>
      <c r="J3780" s="10" t="s">
        <v>61</v>
      </c>
      <c r="K3780" s="8" t="s">
        <v>8851</v>
      </c>
    </row>
    <row r="3781" customFormat="false" ht="34.5" hidden="false" customHeight="true" outlineLevel="0" collapsed="false">
      <c r="A3781" s="10" t="s">
        <v>8860</v>
      </c>
      <c r="B3781" s="10" t="s">
        <v>45</v>
      </c>
      <c r="C3781" s="8" t="s">
        <v>8849</v>
      </c>
      <c r="D3781" s="8" t="s">
        <v>8861</v>
      </c>
      <c r="E3781" s="11" t="n">
        <v>272</v>
      </c>
      <c r="F3781" s="8" t="str">
        <f aca="false">IFERROR(INDEX(Section_Master!$D$2:$D$477,MATCH($E3781,Section_Master!$A$2:$A$477,0))&amp;"","")</f>
        <v>Imprisonment up to 2 years, or fine, or both</v>
      </c>
      <c r="G3781" s="10" t="str">
        <f aca="false">IFERROR(INDEX(Section_Master!$E$2:$E$477,MATCH($E3781,Section_Master!$A$2:$A$477,0))&amp;"","")</f>
        <v>Yes</v>
      </c>
      <c r="H3781" s="10" t="str">
        <f aca="false">IFERROR(INDEX(Section_Master!$F$2:$F$477,MATCH($E3781,Section_Master!$A$2:$A$477,0))&amp;"","")</f>
        <v>Yes</v>
      </c>
      <c r="I3781" s="10" t="str">
        <f aca="false">IFERROR(INDEX(Section_Master!$G$2:$G$477,MATCH($E3781,Section_Master!$A$2:$A$477,0))&amp;"","")</f>
        <v>No</v>
      </c>
      <c r="J3781" s="10" t="s">
        <v>64</v>
      </c>
      <c r="K3781" s="8" t="s">
        <v>8851</v>
      </c>
    </row>
    <row r="3782" customFormat="false" ht="34.5" hidden="false" customHeight="true" outlineLevel="0" collapsed="false">
      <c r="A3782" s="10" t="s">
        <v>8862</v>
      </c>
      <c r="B3782" s="10" t="s">
        <v>45</v>
      </c>
      <c r="C3782" s="8" t="s">
        <v>8863</v>
      </c>
      <c r="D3782" s="8" t="s">
        <v>8864</v>
      </c>
      <c r="E3782" s="11" t="n">
        <v>273</v>
      </c>
      <c r="F3782" s="8" t="str">
        <f aca="false">IFERROR(INDEX(Section_Master!$D$2:$D$477,MATCH($E3782,Section_Master!$A$2:$A$477,0))&amp;"","")</f>
        <v>Imprisonment up to 6 months, or fine, or both</v>
      </c>
      <c r="G3782" s="10" t="str">
        <f aca="false">IFERROR(INDEX(Section_Master!$E$2:$E$477,MATCH($E3782,Section_Master!$A$2:$A$477,0))&amp;"","")</f>
        <v>Yes</v>
      </c>
      <c r="H3782" s="10" t="str">
        <f aca="false">IFERROR(INDEX(Section_Master!$F$2:$F$477,MATCH($E3782,Section_Master!$A$2:$A$477,0))&amp;"","")</f>
        <v>Yes</v>
      </c>
      <c r="I3782" s="10" t="str">
        <f aca="false">IFERROR(INDEX(Section_Master!$G$2:$G$477,MATCH($E3782,Section_Master!$A$2:$A$477,0))&amp;"","")</f>
        <v>No</v>
      </c>
      <c r="J3782" s="10" t="s">
        <v>48</v>
      </c>
      <c r="K3782" s="8" t="s">
        <v>8865</v>
      </c>
    </row>
    <row r="3783" customFormat="false" ht="34.5" hidden="false" customHeight="true" outlineLevel="0" collapsed="false">
      <c r="A3783" s="10" t="s">
        <v>8866</v>
      </c>
      <c r="B3783" s="10" t="s">
        <v>45</v>
      </c>
      <c r="C3783" s="8" t="s">
        <v>8863</v>
      </c>
      <c r="D3783" s="8" t="s">
        <v>8867</v>
      </c>
      <c r="E3783" s="11" t="n">
        <v>273</v>
      </c>
      <c r="F3783" s="8" t="str">
        <f aca="false">IFERROR(INDEX(Section_Master!$D$2:$D$477,MATCH($E3783,Section_Master!$A$2:$A$477,0))&amp;"","")</f>
        <v>Imprisonment up to 6 months, or fine, or both</v>
      </c>
      <c r="G3783" s="10" t="str">
        <f aca="false">IFERROR(INDEX(Section_Master!$E$2:$E$477,MATCH($E3783,Section_Master!$A$2:$A$477,0))&amp;"","")</f>
        <v>Yes</v>
      </c>
      <c r="H3783" s="10" t="str">
        <f aca="false">IFERROR(INDEX(Section_Master!$F$2:$F$477,MATCH($E3783,Section_Master!$A$2:$A$477,0))&amp;"","")</f>
        <v>Yes</v>
      </c>
      <c r="I3783" s="10" t="str">
        <f aca="false">IFERROR(INDEX(Section_Master!$G$2:$G$477,MATCH($E3783,Section_Master!$A$2:$A$477,0))&amp;"","")</f>
        <v>No</v>
      </c>
      <c r="J3783" s="10" t="s">
        <v>52</v>
      </c>
      <c r="K3783" s="8" t="s">
        <v>8865</v>
      </c>
    </row>
    <row r="3784" customFormat="false" ht="45.75" hidden="false" customHeight="true" outlineLevel="0" collapsed="false">
      <c r="A3784" s="10" t="s">
        <v>8868</v>
      </c>
      <c r="B3784" s="10" t="s">
        <v>45</v>
      </c>
      <c r="C3784" s="8" t="s">
        <v>8863</v>
      </c>
      <c r="D3784" s="8" t="s">
        <v>8869</v>
      </c>
      <c r="E3784" s="11" t="n">
        <v>273</v>
      </c>
      <c r="F3784" s="8" t="str">
        <f aca="false">IFERROR(INDEX(Section_Master!$D$2:$D$477,MATCH($E3784,Section_Master!$A$2:$A$477,0))&amp;"","")</f>
        <v>Imprisonment up to 6 months, or fine, or both</v>
      </c>
      <c r="G3784" s="10" t="str">
        <f aca="false">IFERROR(INDEX(Section_Master!$E$2:$E$477,MATCH($E3784,Section_Master!$A$2:$A$477,0))&amp;"","")</f>
        <v>Yes</v>
      </c>
      <c r="H3784" s="10" t="str">
        <f aca="false">IFERROR(INDEX(Section_Master!$F$2:$F$477,MATCH($E3784,Section_Master!$A$2:$A$477,0))&amp;"","")</f>
        <v>Yes</v>
      </c>
      <c r="I3784" s="10" t="str">
        <f aca="false">IFERROR(INDEX(Section_Master!$G$2:$G$477,MATCH($E3784,Section_Master!$A$2:$A$477,0))&amp;"","")</f>
        <v>No</v>
      </c>
      <c r="J3784" s="10" t="s">
        <v>55</v>
      </c>
      <c r="K3784" s="8" t="s">
        <v>8865</v>
      </c>
    </row>
    <row r="3785" customFormat="false" ht="23.25" hidden="false" customHeight="true" outlineLevel="0" collapsed="false">
      <c r="A3785" s="10" t="s">
        <v>8870</v>
      </c>
      <c r="B3785" s="10" t="s">
        <v>45</v>
      </c>
      <c r="C3785" s="8" t="s">
        <v>8863</v>
      </c>
      <c r="D3785" s="8" t="s">
        <v>8871</v>
      </c>
      <c r="E3785" s="11" t="n">
        <v>273</v>
      </c>
      <c r="F3785" s="8" t="str">
        <f aca="false">IFERROR(INDEX(Section_Master!$D$2:$D$477,MATCH($E3785,Section_Master!$A$2:$A$477,0))&amp;"","")</f>
        <v>Imprisonment up to 6 months, or fine, or both</v>
      </c>
      <c r="G3785" s="10" t="str">
        <f aca="false">IFERROR(INDEX(Section_Master!$E$2:$E$477,MATCH($E3785,Section_Master!$A$2:$A$477,0))&amp;"","")</f>
        <v>Yes</v>
      </c>
      <c r="H3785" s="10" t="str">
        <f aca="false">IFERROR(INDEX(Section_Master!$F$2:$F$477,MATCH($E3785,Section_Master!$A$2:$A$477,0))&amp;"","")</f>
        <v>Yes</v>
      </c>
      <c r="I3785" s="10" t="str">
        <f aca="false">IFERROR(INDEX(Section_Master!$G$2:$G$477,MATCH($E3785,Section_Master!$A$2:$A$477,0))&amp;"","")</f>
        <v>No</v>
      </c>
      <c r="J3785" s="10" t="s">
        <v>58</v>
      </c>
      <c r="K3785" s="8" t="s">
        <v>8865</v>
      </c>
    </row>
    <row r="3786" customFormat="false" ht="45.75" hidden="false" customHeight="true" outlineLevel="0" collapsed="false">
      <c r="A3786" s="10" t="s">
        <v>8872</v>
      </c>
      <c r="B3786" s="10" t="s">
        <v>45</v>
      </c>
      <c r="C3786" s="8" t="s">
        <v>8863</v>
      </c>
      <c r="D3786" s="8" t="s">
        <v>8873</v>
      </c>
      <c r="E3786" s="11" t="n">
        <v>273</v>
      </c>
      <c r="F3786" s="8" t="str">
        <f aca="false">IFERROR(INDEX(Section_Master!$D$2:$D$477,MATCH($E3786,Section_Master!$A$2:$A$477,0))&amp;"","")</f>
        <v>Imprisonment up to 6 months, or fine, or both</v>
      </c>
      <c r="G3786" s="10" t="str">
        <f aca="false">IFERROR(INDEX(Section_Master!$E$2:$E$477,MATCH($E3786,Section_Master!$A$2:$A$477,0))&amp;"","")</f>
        <v>Yes</v>
      </c>
      <c r="H3786" s="10" t="str">
        <f aca="false">IFERROR(INDEX(Section_Master!$F$2:$F$477,MATCH($E3786,Section_Master!$A$2:$A$477,0))&amp;"","")</f>
        <v>Yes</v>
      </c>
      <c r="I3786" s="10" t="str">
        <f aca="false">IFERROR(INDEX(Section_Master!$G$2:$G$477,MATCH($E3786,Section_Master!$A$2:$A$477,0))&amp;"","")</f>
        <v>No</v>
      </c>
      <c r="J3786" s="10" t="s">
        <v>61</v>
      </c>
      <c r="K3786" s="8" t="s">
        <v>8865</v>
      </c>
    </row>
    <row r="3787" customFormat="false" ht="34.5" hidden="false" customHeight="true" outlineLevel="0" collapsed="false">
      <c r="A3787" s="10" t="s">
        <v>8874</v>
      </c>
      <c r="B3787" s="10" t="s">
        <v>45</v>
      </c>
      <c r="C3787" s="8" t="s">
        <v>8863</v>
      </c>
      <c r="D3787" s="8" t="s">
        <v>8875</v>
      </c>
      <c r="E3787" s="11" t="n">
        <v>273</v>
      </c>
      <c r="F3787" s="8" t="str">
        <f aca="false">IFERROR(INDEX(Section_Master!$D$2:$D$477,MATCH($E3787,Section_Master!$A$2:$A$477,0))&amp;"","")</f>
        <v>Imprisonment up to 6 months, or fine, or both</v>
      </c>
      <c r="G3787" s="10" t="str">
        <f aca="false">IFERROR(INDEX(Section_Master!$E$2:$E$477,MATCH($E3787,Section_Master!$A$2:$A$477,0))&amp;"","")</f>
        <v>Yes</v>
      </c>
      <c r="H3787" s="10" t="str">
        <f aca="false">IFERROR(INDEX(Section_Master!$F$2:$F$477,MATCH($E3787,Section_Master!$A$2:$A$477,0))&amp;"","")</f>
        <v>Yes</v>
      </c>
      <c r="I3787" s="10" t="str">
        <f aca="false">IFERROR(INDEX(Section_Master!$G$2:$G$477,MATCH($E3787,Section_Master!$A$2:$A$477,0))&amp;"","")</f>
        <v>No</v>
      </c>
      <c r="J3787" s="10" t="s">
        <v>64</v>
      </c>
      <c r="K3787" s="8" t="s">
        <v>8865</v>
      </c>
    </row>
    <row r="3788" customFormat="false" ht="34.5" hidden="false" customHeight="true" outlineLevel="0" collapsed="false">
      <c r="A3788" s="10" t="s">
        <v>8876</v>
      </c>
      <c r="B3788" s="10" t="s">
        <v>45</v>
      </c>
      <c r="C3788" s="8" t="s">
        <v>8877</v>
      </c>
      <c r="D3788" s="8" t="s">
        <v>8878</v>
      </c>
      <c r="E3788" s="11" t="n">
        <v>274</v>
      </c>
      <c r="F3788" s="8" t="str">
        <f aca="false">IFERROR(INDEX(Section_Master!$D$2:$D$477,MATCH($E3788,Section_Master!$A$2:$A$477,0))&amp;"","")</f>
        <v>Imprisonment up to 6 months, or fine, or both</v>
      </c>
      <c r="G3788" s="10" t="str">
        <f aca="false">IFERROR(INDEX(Section_Master!$E$2:$E$477,MATCH($E3788,Section_Master!$A$2:$A$477,0))&amp;"","")</f>
        <v>No</v>
      </c>
      <c r="H3788" s="10" t="str">
        <f aca="false">IFERROR(INDEX(Section_Master!$F$2:$F$477,MATCH($E3788,Section_Master!$A$2:$A$477,0))&amp;"","")</f>
        <v>Yes</v>
      </c>
      <c r="I3788" s="10" t="str">
        <f aca="false">IFERROR(INDEX(Section_Master!$G$2:$G$477,MATCH($E3788,Section_Master!$A$2:$A$477,0))&amp;"","")</f>
        <v>No</v>
      </c>
      <c r="J3788" s="10" t="s">
        <v>48</v>
      </c>
      <c r="K3788" s="8" t="s">
        <v>8879</v>
      </c>
    </row>
    <row r="3789" customFormat="false" ht="45.75" hidden="false" customHeight="true" outlineLevel="0" collapsed="false">
      <c r="A3789" s="10" t="s">
        <v>8880</v>
      </c>
      <c r="B3789" s="10" t="s">
        <v>45</v>
      </c>
      <c r="C3789" s="8" t="s">
        <v>8877</v>
      </c>
      <c r="D3789" s="8" t="s">
        <v>8881</v>
      </c>
      <c r="E3789" s="11" t="n">
        <v>274</v>
      </c>
      <c r="F3789" s="8" t="str">
        <f aca="false">IFERROR(INDEX(Section_Master!$D$2:$D$477,MATCH($E3789,Section_Master!$A$2:$A$477,0))&amp;"","")</f>
        <v>Imprisonment up to 6 months, or fine, or both</v>
      </c>
      <c r="G3789" s="10" t="str">
        <f aca="false">IFERROR(INDEX(Section_Master!$E$2:$E$477,MATCH($E3789,Section_Master!$A$2:$A$477,0))&amp;"","")</f>
        <v>No</v>
      </c>
      <c r="H3789" s="10" t="str">
        <f aca="false">IFERROR(INDEX(Section_Master!$F$2:$F$477,MATCH($E3789,Section_Master!$A$2:$A$477,0))&amp;"","")</f>
        <v>Yes</v>
      </c>
      <c r="I3789" s="10" t="str">
        <f aca="false">IFERROR(INDEX(Section_Master!$G$2:$G$477,MATCH($E3789,Section_Master!$A$2:$A$477,0))&amp;"","")</f>
        <v>No</v>
      </c>
      <c r="J3789" s="10" t="s">
        <v>52</v>
      </c>
      <c r="K3789" s="8" t="s">
        <v>8879</v>
      </c>
    </row>
    <row r="3790" customFormat="false" ht="23.25" hidden="false" customHeight="true" outlineLevel="0" collapsed="false">
      <c r="A3790" s="10" t="s">
        <v>8882</v>
      </c>
      <c r="B3790" s="10" t="s">
        <v>45</v>
      </c>
      <c r="C3790" s="8" t="s">
        <v>8877</v>
      </c>
      <c r="D3790" s="8" t="s">
        <v>8883</v>
      </c>
      <c r="E3790" s="11" t="n">
        <v>274</v>
      </c>
      <c r="F3790" s="8" t="str">
        <f aca="false">IFERROR(INDEX(Section_Master!$D$2:$D$477,MATCH($E3790,Section_Master!$A$2:$A$477,0))&amp;"","")</f>
        <v>Imprisonment up to 6 months, or fine, or both</v>
      </c>
      <c r="G3790" s="10" t="str">
        <f aca="false">IFERROR(INDEX(Section_Master!$E$2:$E$477,MATCH($E3790,Section_Master!$A$2:$A$477,0))&amp;"","")</f>
        <v>No</v>
      </c>
      <c r="H3790" s="10" t="str">
        <f aca="false">IFERROR(INDEX(Section_Master!$F$2:$F$477,MATCH($E3790,Section_Master!$A$2:$A$477,0))&amp;"","")</f>
        <v>Yes</v>
      </c>
      <c r="I3790" s="10" t="str">
        <f aca="false">IFERROR(INDEX(Section_Master!$G$2:$G$477,MATCH($E3790,Section_Master!$A$2:$A$477,0))&amp;"","")</f>
        <v>No</v>
      </c>
      <c r="J3790" s="10" t="s">
        <v>55</v>
      </c>
      <c r="K3790" s="8" t="s">
        <v>8879</v>
      </c>
    </row>
    <row r="3791" customFormat="false" ht="23.25" hidden="false" customHeight="true" outlineLevel="0" collapsed="false">
      <c r="A3791" s="10" t="s">
        <v>8884</v>
      </c>
      <c r="B3791" s="10" t="s">
        <v>45</v>
      </c>
      <c r="C3791" s="8" t="s">
        <v>8877</v>
      </c>
      <c r="D3791" s="8" t="s">
        <v>8885</v>
      </c>
      <c r="E3791" s="11" t="n">
        <v>274</v>
      </c>
      <c r="F3791" s="8" t="str">
        <f aca="false">IFERROR(INDEX(Section_Master!$D$2:$D$477,MATCH($E3791,Section_Master!$A$2:$A$477,0))&amp;"","")</f>
        <v>Imprisonment up to 6 months, or fine, or both</v>
      </c>
      <c r="G3791" s="10" t="str">
        <f aca="false">IFERROR(INDEX(Section_Master!$E$2:$E$477,MATCH($E3791,Section_Master!$A$2:$A$477,0))&amp;"","")</f>
        <v>No</v>
      </c>
      <c r="H3791" s="10" t="str">
        <f aca="false">IFERROR(INDEX(Section_Master!$F$2:$F$477,MATCH($E3791,Section_Master!$A$2:$A$477,0))&amp;"","")</f>
        <v>Yes</v>
      </c>
      <c r="I3791" s="10" t="str">
        <f aca="false">IFERROR(INDEX(Section_Master!$G$2:$G$477,MATCH($E3791,Section_Master!$A$2:$A$477,0))&amp;"","")</f>
        <v>No</v>
      </c>
      <c r="J3791" s="10" t="s">
        <v>58</v>
      </c>
      <c r="K3791" s="8" t="s">
        <v>8879</v>
      </c>
    </row>
    <row r="3792" customFormat="false" ht="34.5" hidden="false" customHeight="true" outlineLevel="0" collapsed="false">
      <c r="A3792" s="10" t="s">
        <v>8886</v>
      </c>
      <c r="B3792" s="10" t="s">
        <v>45</v>
      </c>
      <c r="C3792" s="8" t="s">
        <v>8877</v>
      </c>
      <c r="D3792" s="8" t="s">
        <v>8887</v>
      </c>
      <c r="E3792" s="11" t="n">
        <v>274</v>
      </c>
      <c r="F3792" s="8" t="str">
        <f aca="false">IFERROR(INDEX(Section_Master!$D$2:$D$477,MATCH($E3792,Section_Master!$A$2:$A$477,0))&amp;"","")</f>
        <v>Imprisonment up to 6 months, or fine, or both</v>
      </c>
      <c r="G3792" s="10" t="str">
        <f aca="false">IFERROR(INDEX(Section_Master!$E$2:$E$477,MATCH($E3792,Section_Master!$A$2:$A$477,0))&amp;"","")</f>
        <v>No</v>
      </c>
      <c r="H3792" s="10" t="str">
        <f aca="false">IFERROR(INDEX(Section_Master!$F$2:$F$477,MATCH($E3792,Section_Master!$A$2:$A$477,0))&amp;"","")</f>
        <v>Yes</v>
      </c>
      <c r="I3792" s="10" t="str">
        <f aca="false">IFERROR(INDEX(Section_Master!$G$2:$G$477,MATCH($E3792,Section_Master!$A$2:$A$477,0))&amp;"","")</f>
        <v>No</v>
      </c>
      <c r="J3792" s="10" t="s">
        <v>61</v>
      </c>
      <c r="K3792" s="8" t="s">
        <v>8879</v>
      </c>
    </row>
    <row r="3793" customFormat="false" ht="34.5" hidden="false" customHeight="true" outlineLevel="0" collapsed="false">
      <c r="A3793" s="10" t="s">
        <v>8888</v>
      </c>
      <c r="B3793" s="10" t="s">
        <v>45</v>
      </c>
      <c r="C3793" s="8" t="s">
        <v>8877</v>
      </c>
      <c r="D3793" s="8" t="s">
        <v>8889</v>
      </c>
      <c r="E3793" s="11" t="n">
        <v>274</v>
      </c>
      <c r="F3793" s="8" t="str">
        <f aca="false">IFERROR(INDEX(Section_Master!$D$2:$D$477,MATCH($E3793,Section_Master!$A$2:$A$477,0))&amp;"","")</f>
        <v>Imprisonment up to 6 months, or fine, or both</v>
      </c>
      <c r="G3793" s="10" t="str">
        <f aca="false">IFERROR(INDEX(Section_Master!$E$2:$E$477,MATCH($E3793,Section_Master!$A$2:$A$477,0))&amp;"","")</f>
        <v>No</v>
      </c>
      <c r="H3793" s="10" t="str">
        <f aca="false">IFERROR(INDEX(Section_Master!$F$2:$F$477,MATCH($E3793,Section_Master!$A$2:$A$477,0))&amp;"","")</f>
        <v>Yes</v>
      </c>
      <c r="I3793" s="10" t="str">
        <f aca="false">IFERROR(INDEX(Section_Master!$G$2:$G$477,MATCH($E3793,Section_Master!$A$2:$A$477,0))&amp;"","")</f>
        <v>No</v>
      </c>
      <c r="J3793" s="10" t="s">
        <v>64</v>
      </c>
      <c r="K3793" s="8" t="s">
        <v>8879</v>
      </c>
    </row>
    <row r="3794" customFormat="false" ht="23.25" hidden="false" customHeight="true" outlineLevel="0" collapsed="false">
      <c r="A3794" s="10" t="s">
        <v>8890</v>
      </c>
      <c r="B3794" s="10" t="s">
        <v>45</v>
      </c>
      <c r="C3794" s="8" t="s">
        <v>8575</v>
      </c>
      <c r="D3794" s="8" t="s">
        <v>8891</v>
      </c>
      <c r="E3794" s="11" t="n">
        <v>275</v>
      </c>
      <c r="F3794" s="8" t="str">
        <f aca="false">IFERROR(INDEX(Section_Master!$D$2:$D$477,MATCH($E3794,Section_Master!$A$2:$A$477,0))&amp;"","")</f>
        <v>Imprisonment up to 6 months, or fine, or both</v>
      </c>
      <c r="G3794" s="10" t="str">
        <f aca="false">IFERROR(INDEX(Section_Master!$E$2:$E$477,MATCH($E3794,Section_Master!$A$2:$A$477,0))&amp;"","")</f>
        <v>No</v>
      </c>
      <c r="H3794" s="10" t="str">
        <f aca="false">IFERROR(INDEX(Section_Master!$F$2:$F$477,MATCH($E3794,Section_Master!$A$2:$A$477,0))&amp;"","")</f>
        <v>Yes</v>
      </c>
      <c r="I3794" s="10" t="str">
        <f aca="false">IFERROR(INDEX(Section_Master!$G$2:$G$477,MATCH($E3794,Section_Master!$A$2:$A$477,0))&amp;"","")</f>
        <v>No</v>
      </c>
      <c r="J3794" s="10" t="s">
        <v>48</v>
      </c>
      <c r="K3794" s="8" t="s">
        <v>8892</v>
      </c>
    </row>
    <row r="3795" customFormat="false" ht="34.5" hidden="false" customHeight="true" outlineLevel="0" collapsed="false">
      <c r="A3795" s="10" t="s">
        <v>8893</v>
      </c>
      <c r="B3795" s="10" t="s">
        <v>45</v>
      </c>
      <c r="C3795" s="8" t="s">
        <v>8575</v>
      </c>
      <c r="D3795" s="8" t="s">
        <v>8894</v>
      </c>
      <c r="E3795" s="11" t="n">
        <v>275</v>
      </c>
      <c r="F3795" s="8" t="str">
        <f aca="false">IFERROR(INDEX(Section_Master!$D$2:$D$477,MATCH($E3795,Section_Master!$A$2:$A$477,0))&amp;"","")</f>
        <v>Imprisonment up to 6 months, or fine, or both</v>
      </c>
      <c r="G3795" s="10" t="str">
        <f aca="false">IFERROR(INDEX(Section_Master!$E$2:$E$477,MATCH($E3795,Section_Master!$A$2:$A$477,0))&amp;"","")</f>
        <v>No</v>
      </c>
      <c r="H3795" s="10" t="str">
        <f aca="false">IFERROR(INDEX(Section_Master!$F$2:$F$477,MATCH($E3795,Section_Master!$A$2:$A$477,0))&amp;"","")</f>
        <v>Yes</v>
      </c>
      <c r="I3795" s="10" t="str">
        <f aca="false">IFERROR(INDEX(Section_Master!$G$2:$G$477,MATCH($E3795,Section_Master!$A$2:$A$477,0))&amp;"","")</f>
        <v>No</v>
      </c>
      <c r="J3795" s="10" t="s">
        <v>52</v>
      </c>
      <c r="K3795" s="8" t="s">
        <v>8892</v>
      </c>
    </row>
    <row r="3796" customFormat="false" ht="45.75" hidden="false" customHeight="true" outlineLevel="0" collapsed="false">
      <c r="A3796" s="10" t="s">
        <v>8895</v>
      </c>
      <c r="B3796" s="10" t="s">
        <v>45</v>
      </c>
      <c r="C3796" s="8" t="s">
        <v>8575</v>
      </c>
      <c r="D3796" s="8" t="s">
        <v>8896</v>
      </c>
      <c r="E3796" s="11" t="n">
        <v>275</v>
      </c>
      <c r="F3796" s="8" t="str">
        <f aca="false">IFERROR(INDEX(Section_Master!$D$2:$D$477,MATCH($E3796,Section_Master!$A$2:$A$477,0))&amp;"","")</f>
        <v>Imprisonment up to 6 months, or fine, or both</v>
      </c>
      <c r="G3796" s="10" t="str">
        <f aca="false">IFERROR(INDEX(Section_Master!$E$2:$E$477,MATCH($E3796,Section_Master!$A$2:$A$477,0))&amp;"","")</f>
        <v>No</v>
      </c>
      <c r="H3796" s="10" t="str">
        <f aca="false">IFERROR(INDEX(Section_Master!$F$2:$F$477,MATCH($E3796,Section_Master!$A$2:$A$477,0))&amp;"","")</f>
        <v>Yes</v>
      </c>
      <c r="I3796" s="10" t="str">
        <f aca="false">IFERROR(INDEX(Section_Master!$G$2:$G$477,MATCH($E3796,Section_Master!$A$2:$A$477,0))&amp;"","")</f>
        <v>No</v>
      </c>
      <c r="J3796" s="10" t="s">
        <v>55</v>
      </c>
      <c r="K3796" s="8" t="s">
        <v>8892</v>
      </c>
    </row>
    <row r="3797" customFormat="false" ht="23.25" hidden="false" customHeight="true" outlineLevel="0" collapsed="false">
      <c r="A3797" s="10" t="s">
        <v>8897</v>
      </c>
      <c r="B3797" s="10" t="s">
        <v>45</v>
      </c>
      <c r="C3797" s="8" t="s">
        <v>8575</v>
      </c>
      <c r="D3797" s="8" t="s">
        <v>8898</v>
      </c>
      <c r="E3797" s="11" t="n">
        <v>275</v>
      </c>
      <c r="F3797" s="8" t="str">
        <f aca="false">IFERROR(INDEX(Section_Master!$D$2:$D$477,MATCH($E3797,Section_Master!$A$2:$A$477,0))&amp;"","")</f>
        <v>Imprisonment up to 6 months, or fine, or both</v>
      </c>
      <c r="G3797" s="10" t="str">
        <f aca="false">IFERROR(INDEX(Section_Master!$E$2:$E$477,MATCH($E3797,Section_Master!$A$2:$A$477,0))&amp;"","")</f>
        <v>No</v>
      </c>
      <c r="H3797" s="10" t="str">
        <f aca="false">IFERROR(INDEX(Section_Master!$F$2:$F$477,MATCH($E3797,Section_Master!$A$2:$A$477,0))&amp;"","")</f>
        <v>Yes</v>
      </c>
      <c r="I3797" s="10" t="str">
        <f aca="false">IFERROR(INDEX(Section_Master!$G$2:$G$477,MATCH($E3797,Section_Master!$A$2:$A$477,0))&amp;"","")</f>
        <v>No</v>
      </c>
      <c r="J3797" s="10" t="s">
        <v>58</v>
      </c>
      <c r="K3797" s="8" t="s">
        <v>8892</v>
      </c>
    </row>
    <row r="3798" customFormat="false" ht="34.5" hidden="false" customHeight="true" outlineLevel="0" collapsed="false">
      <c r="A3798" s="10" t="s">
        <v>8899</v>
      </c>
      <c r="B3798" s="10" t="s">
        <v>45</v>
      </c>
      <c r="C3798" s="8" t="s">
        <v>8575</v>
      </c>
      <c r="D3798" s="8" t="s">
        <v>8900</v>
      </c>
      <c r="E3798" s="11" t="n">
        <v>275</v>
      </c>
      <c r="F3798" s="8" t="str">
        <f aca="false">IFERROR(INDEX(Section_Master!$D$2:$D$477,MATCH($E3798,Section_Master!$A$2:$A$477,0))&amp;"","")</f>
        <v>Imprisonment up to 6 months, or fine, or both</v>
      </c>
      <c r="G3798" s="10" t="str">
        <f aca="false">IFERROR(INDEX(Section_Master!$E$2:$E$477,MATCH($E3798,Section_Master!$A$2:$A$477,0))&amp;"","")</f>
        <v>No</v>
      </c>
      <c r="H3798" s="10" t="str">
        <f aca="false">IFERROR(INDEX(Section_Master!$F$2:$F$477,MATCH($E3798,Section_Master!$A$2:$A$477,0))&amp;"","")</f>
        <v>Yes</v>
      </c>
      <c r="I3798" s="10" t="str">
        <f aca="false">IFERROR(INDEX(Section_Master!$G$2:$G$477,MATCH($E3798,Section_Master!$A$2:$A$477,0))&amp;"","")</f>
        <v>No</v>
      </c>
      <c r="J3798" s="10" t="s">
        <v>61</v>
      </c>
      <c r="K3798" s="8" t="s">
        <v>8892</v>
      </c>
    </row>
    <row r="3799" customFormat="false" ht="45.75" hidden="false" customHeight="true" outlineLevel="0" collapsed="false">
      <c r="A3799" s="10" t="s">
        <v>8901</v>
      </c>
      <c r="B3799" s="10" t="s">
        <v>45</v>
      </c>
      <c r="C3799" s="8" t="s">
        <v>8575</v>
      </c>
      <c r="D3799" s="8" t="s">
        <v>8902</v>
      </c>
      <c r="E3799" s="11" t="n">
        <v>275</v>
      </c>
      <c r="F3799" s="8" t="str">
        <f aca="false">IFERROR(INDEX(Section_Master!$D$2:$D$477,MATCH($E3799,Section_Master!$A$2:$A$477,0))&amp;"","")</f>
        <v>Imprisonment up to 6 months, or fine, or both</v>
      </c>
      <c r="G3799" s="10" t="str">
        <f aca="false">IFERROR(INDEX(Section_Master!$E$2:$E$477,MATCH($E3799,Section_Master!$A$2:$A$477,0))&amp;"","")</f>
        <v>No</v>
      </c>
      <c r="H3799" s="10" t="str">
        <f aca="false">IFERROR(INDEX(Section_Master!$F$2:$F$477,MATCH($E3799,Section_Master!$A$2:$A$477,0))&amp;"","")</f>
        <v>Yes</v>
      </c>
      <c r="I3799" s="10" t="str">
        <f aca="false">IFERROR(INDEX(Section_Master!$G$2:$G$477,MATCH($E3799,Section_Master!$A$2:$A$477,0))&amp;"","")</f>
        <v>No</v>
      </c>
      <c r="J3799" s="10" t="s">
        <v>64</v>
      </c>
      <c r="K3799" s="8" t="s">
        <v>8892</v>
      </c>
    </row>
    <row r="3800" customFormat="false" ht="34.5" hidden="false" customHeight="true" outlineLevel="0" collapsed="false">
      <c r="A3800" s="10" t="s">
        <v>8903</v>
      </c>
      <c r="B3800" s="10" t="s">
        <v>45</v>
      </c>
      <c r="C3800" s="8" t="s">
        <v>8904</v>
      </c>
      <c r="D3800" s="8" t="s">
        <v>8905</v>
      </c>
      <c r="E3800" s="11" t="n">
        <v>276</v>
      </c>
      <c r="F3800" s="8" t="str">
        <f aca="false">IFERROR(INDEX(Section_Master!$D$2:$D$477,MATCH($E3800,Section_Master!$A$2:$A$477,0))&amp;"","")</f>
        <v>Imprisonment up to 6 months, or fine, or both</v>
      </c>
      <c r="G3800" s="10" t="str">
        <f aca="false">IFERROR(INDEX(Section_Master!$E$2:$E$477,MATCH($E3800,Section_Master!$A$2:$A$477,0))&amp;"","")</f>
        <v>No</v>
      </c>
      <c r="H3800" s="10" t="str">
        <f aca="false">IFERROR(INDEX(Section_Master!$F$2:$F$477,MATCH($E3800,Section_Master!$A$2:$A$477,0))&amp;"","")</f>
        <v>Yes</v>
      </c>
      <c r="I3800" s="10" t="str">
        <f aca="false">IFERROR(INDEX(Section_Master!$G$2:$G$477,MATCH($E3800,Section_Master!$A$2:$A$477,0))&amp;"","")</f>
        <v>No</v>
      </c>
      <c r="J3800" s="10" t="s">
        <v>48</v>
      </c>
      <c r="K3800" s="8" t="s">
        <v>8906</v>
      </c>
    </row>
    <row r="3801" customFormat="false" ht="34.5" hidden="false" customHeight="true" outlineLevel="0" collapsed="false">
      <c r="A3801" s="10" t="s">
        <v>8907</v>
      </c>
      <c r="B3801" s="10" t="s">
        <v>45</v>
      </c>
      <c r="C3801" s="8" t="s">
        <v>8904</v>
      </c>
      <c r="D3801" s="8" t="s">
        <v>8908</v>
      </c>
      <c r="E3801" s="11" t="n">
        <v>276</v>
      </c>
      <c r="F3801" s="8" t="str">
        <f aca="false">IFERROR(INDEX(Section_Master!$D$2:$D$477,MATCH($E3801,Section_Master!$A$2:$A$477,0))&amp;"","")</f>
        <v>Imprisonment up to 6 months, or fine, or both</v>
      </c>
      <c r="G3801" s="10" t="str">
        <f aca="false">IFERROR(INDEX(Section_Master!$E$2:$E$477,MATCH($E3801,Section_Master!$A$2:$A$477,0))&amp;"","")</f>
        <v>No</v>
      </c>
      <c r="H3801" s="10" t="str">
        <f aca="false">IFERROR(INDEX(Section_Master!$F$2:$F$477,MATCH($E3801,Section_Master!$A$2:$A$477,0))&amp;"","")</f>
        <v>Yes</v>
      </c>
      <c r="I3801" s="10" t="str">
        <f aca="false">IFERROR(INDEX(Section_Master!$G$2:$G$477,MATCH($E3801,Section_Master!$A$2:$A$477,0))&amp;"","")</f>
        <v>No</v>
      </c>
      <c r="J3801" s="10" t="s">
        <v>52</v>
      </c>
      <c r="K3801" s="8" t="s">
        <v>8906</v>
      </c>
    </row>
    <row r="3802" customFormat="false" ht="34.5" hidden="false" customHeight="true" outlineLevel="0" collapsed="false">
      <c r="A3802" s="10" t="s">
        <v>8909</v>
      </c>
      <c r="B3802" s="10" t="s">
        <v>45</v>
      </c>
      <c r="C3802" s="8" t="s">
        <v>8904</v>
      </c>
      <c r="D3802" s="8" t="s">
        <v>8910</v>
      </c>
      <c r="E3802" s="11" t="n">
        <v>276</v>
      </c>
      <c r="F3802" s="8" t="str">
        <f aca="false">IFERROR(INDEX(Section_Master!$D$2:$D$477,MATCH($E3802,Section_Master!$A$2:$A$477,0))&amp;"","")</f>
        <v>Imprisonment up to 6 months, or fine, or both</v>
      </c>
      <c r="G3802" s="10" t="str">
        <f aca="false">IFERROR(INDEX(Section_Master!$E$2:$E$477,MATCH($E3802,Section_Master!$A$2:$A$477,0))&amp;"","")</f>
        <v>No</v>
      </c>
      <c r="H3802" s="10" t="str">
        <f aca="false">IFERROR(INDEX(Section_Master!$F$2:$F$477,MATCH($E3802,Section_Master!$A$2:$A$477,0))&amp;"","")</f>
        <v>Yes</v>
      </c>
      <c r="I3802" s="10" t="str">
        <f aca="false">IFERROR(INDEX(Section_Master!$G$2:$G$477,MATCH($E3802,Section_Master!$A$2:$A$477,0))&amp;"","")</f>
        <v>No</v>
      </c>
      <c r="J3802" s="10" t="s">
        <v>55</v>
      </c>
      <c r="K3802" s="8" t="s">
        <v>8906</v>
      </c>
    </row>
    <row r="3803" customFormat="false" ht="23.25" hidden="false" customHeight="true" outlineLevel="0" collapsed="false">
      <c r="A3803" s="10" t="s">
        <v>8911</v>
      </c>
      <c r="B3803" s="10" t="s">
        <v>45</v>
      </c>
      <c r="C3803" s="8" t="s">
        <v>8904</v>
      </c>
      <c r="D3803" s="8" t="s">
        <v>8912</v>
      </c>
      <c r="E3803" s="11" t="n">
        <v>276</v>
      </c>
      <c r="F3803" s="8" t="str">
        <f aca="false">IFERROR(INDEX(Section_Master!$D$2:$D$477,MATCH($E3803,Section_Master!$A$2:$A$477,0))&amp;"","")</f>
        <v>Imprisonment up to 6 months, or fine, or both</v>
      </c>
      <c r="G3803" s="10" t="str">
        <f aca="false">IFERROR(INDEX(Section_Master!$E$2:$E$477,MATCH($E3803,Section_Master!$A$2:$A$477,0))&amp;"","")</f>
        <v>No</v>
      </c>
      <c r="H3803" s="10" t="str">
        <f aca="false">IFERROR(INDEX(Section_Master!$F$2:$F$477,MATCH($E3803,Section_Master!$A$2:$A$477,0))&amp;"","")</f>
        <v>Yes</v>
      </c>
      <c r="I3803" s="10" t="str">
        <f aca="false">IFERROR(INDEX(Section_Master!$G$2:$G$477,MATCH($E3803,Section_Master!$A$2:$A$477,0))&amp;"","")</f>
        <v>No</v>
      </c>
      <c r="J3803" s="10" t="s">
        <v>58</v>
      </c>
      <c r="K3803" s="8" t="s">
        <v>8906</v>
      </c>
    </row>
    <row r="3804" customFormat="false" ht="34.5" hidden="false" customHeight="true" outlineLevel="0" collapsed="false">
      <c r="A3804" s="10" t="s">
        <v>8913</v>
      </c>
      <c r="B3804" s="10" t="s">
        <v>45</v>
      </c>
      <c r="C3804" s="8" t="s">
        <v>8904</v>
      </c>
      <c r="D3804" s="8" t="s">
        <v>8914</v>
      </c>
      <c r="E3804" s="11" t="n">
        <v>276</v>
      </c>
      <c r="F3804" s="8" t="str">
        <f aca="false">IFERROR(INDEX(Section_Master!$D$2:$D$477,MATCH($E3804,Section_Master!$A$2:$A$477,0))&amp;"","")</f>
        <v>Imprisonment up to 6 months, or fine, or both</v>
      </c>
      <c r="G3804" s="10" t="str">
        <f aca="false">IFERROR(INDEX(Section_Master!$E$2:$E$477,MATCH($E3804,Section_Master!$A$2:$A$477,0))&amp;"","")</f>
        <v>No</v>
      </c>
      <c r="H3804" s="10" t="str">
        <f aca="false">IFERROR(INDEX(Section_Master!$F$2:$F$477,MATCH($E3804,Section_Master!$A$2:$A$477,0))&amp;"","")</f>
        <v>Yes</v>
      </c>
      <c r="I3804" s="10" t="str">
        <f aca="false">IFERROR(INDEX(Section_Master!$G$2:$G$477,MATCH($E3804,Section_Master!$A$2:$A$477,0))&amp;"","")</f>
        <v>No</v>
      </c>
      <c r="J3804" s="10" t="s">
        <v>61</v>
      </c>
      <c r="K3804" s="8" t="s">
        <v>8906</v>
      </c>
    </row>
    <row r="3805" customFormat="false" ht="34.5" hidden="false" customHeight="true" outlineLevel="0" collapsed="false">
      <c r="A3805" s="10" t="s">
        <v>8915</v>
      </c>
      <c r="B3805" s="10" t="s">
        <v>45</v>
      </c>
      <c r="C3805" s="8" t="s">
        <v>8904</v>
      </c>
      <c r="D3805" s="8" t="s">
        <v>8916</v>
      </c>
      <c r="E3805" s="11" t="n">
        <v>276</v>
      </c>
      <c r="F3805" s="8" t="str">
        <f aca="false">IFERROR(INDEX(Section_Master!$D$2:$D$477,MATCH($E3805,Section_Master!$A$2:$A$477,0))&amp;"","")</f>
        <v>Imprisonment up to 6 months, or fine, or both</v>
      </c>
      <c r="G3805" s="10" t="str">
        <f aca="false">IFERROR(INDEX(Section_Master!$E$2:$E$477,MATCH($E3805,Section_Master!$A$2:$A$477,0))&amp;"","")</f>
        <v>No</v>
      </c>
      <c r="H3805" s="10" t="str">
        <f aca="false">IFERROR(INDEX(Section_Master!$F$2:$F$477,MATCH($E3805,Section_Master!$A$2:$A$477,0))&amp;"","")</f>
        <v>Yes</v>
      </c>
      <c r="I3805" s="10" t="str">
        <f aca="false">IFERROR(INDEX(Section_Master!$G$2:$G$477,MATCH($E3805,Section_Master!$A$2:$A$477,0))&amp;"","")</f>
        <v>No</v>
      </c>
      <c r="J3805" s="10" t="s">
        <v>64</v>
      </c>
      <c r="K3805" s="8" t="s">
        <v>8906</v>
      </c>
    </row>
    <row r="3806" customFormat="false" ht="34.5" hidden="false" customHeight="true" outlineLevel="0" collapsed="false">
      <c r="A3806" s="10" t="s">
        <v>8917</v>
      </c>
      <c r="B3806" s="10" t="s">
        <v>45</v>
      </c>
      <c r="C3806" s="8" t="s">
        <v>8918</v>
      </c>
      <c r="D3806" s="8" t="s">
        <v>8919</v>
      </c>
      <c r="E3806" s="11" t="n">
        <v>277</v>
      </c>
      <c r="F3806" s="8" t="str">
        <f aca="false">IFERROR(INDEX(Section_Master!$D$2:$D$477,MATCH($E3806,Section_Master!$A$2:$A$477,0))&amp;"","")</f>
        <v>Imprisonment up to 6 months, or fine, or both</v>
      </c>
      <c r="G3806" s="10" t="str">
        <f aca="false">IFERROR(INDEX(Section_Master!$E$2:$E$477,MATCH($E3806,Section_Master!$A$2:$A$477,0))&amp;"","")</f>
        <v>No</v>
      </c>
      <c r="H3806" s="10" t="str">
        <f aca="false">IFERROR(INDEX(Section_Master!$F$2:$F$477,MATCH($E3806,Section_Master!$A$2:$A$477,0))&amp;"","")</f>
        <v>Yes</v>
      </c>
      <c r="I3806" s="10" t="str">
        <f aca="false">IFERROR(INDEX(Section_Master!$G$2:$G$477,MATCH($E3806,Section_Master!$A$2:$A$477,0))&amp;"","")</f>
        <v>No</v>
      </c>
      <c r="J3806" s="10" t="s">
        <v>48</v>
      </c>
      <c r="K3806" s="8" t="s">
        <v>8920</v>
      </c>
    </row>
    <row r="3807" customFormat="false" ht="34.5" hidden="false" customHeight="true" outlineLevel="0" collapsed="false">
      <c r="A3807" s="10" t="s">
        <v>8921</v>
      </c>
      <c r="B3807" s="10" t="s">
        <v>45</v>
      </c>
      <c r="C3807" s="8" t="s">
        <v>8918</v>
      </c>
      <c r="D3807" s="8" t="s">
        <v>8922</v>
      </c>
      <c r="E3807" s="11" t="n">
        <v>277</v>
      </c>
      <c r="F3807" s="8" t="str">
        <f aca="false">IFERROR(INDEX(Section_Master!$D$2:$D$477,MATCH($E3807,Section_Master!$A$2:$A$477,0))&amp;"","")</f>
        <v>Imprisonment up to 6 months, or fine, or both</v>
      </c>
      <c r="G3807" s="10" t="str">
        <f aca="false">IFERROR(INDEX(Section_Master!$E$2:$E$477,MATCH($E3807,Section_Master!$A$2:$A$477,0))&amp;"","")</f>
        <v>No</v>
      </c>
      <c r="H3807" s="10" t="str">
        <f aca="false">IFERROR(INDEX(Section_Master!$F$2:$F$477,MATCH($E3807,Section_Master!$A$2:$A$477,0))&amp;"","")</f>
        <v>Yes</v>
      </c>
      <c r="I3807" s="10" t="str">
        <f aca="false">IFERROR(INDEX(Section_Master!$G$2:$G$477,MATCH($E3807,Section_Master!$A$2:$A$477,0))&amp;"","")</f>
        <v>No</v>
      </c>
      <c r="J3807" s="10" t="s">
        <v>52</v>
      </c>
      <c r="K3807" s="8" t="s">
        <v>8920</v>
      </c>
    </row>
    <row r="3808" customFormat="false" ht="34.5" hidden="false" customHeight="true" outlineLevel="0" collapsed="false">
      <c r="A3808" s="10" t="s">
        <v>8923</v>
      </c>
      <c r="B3808" s="10" t="s">
        <v>45</v>
      </c>
      <c r="C3808" s="8" t="s">
        <v>8918</v>
      </c>
      <c r="D3808" s="8" t="s">
        <v>8924</v>
      </c>
      <c r="E3808" s="11" t="n">
        <v>277</v>
      </c>
      <c r="F3808" s="8" t="str">
        <f aca="false">IFERROR(INDEX(Section_Master!$D$2:$D$477,MATCH($E3808,Section_Master!$A$2:$A$477,0))&amp;"","")</f>
        <v>Imprisonment up to 6 months, or fine, or both</v>
      </c>
      <c r="G3808" s="10" t="str">
        <f aca="false">IFERROR(INDEX(Section_Master!$E$2:$E$477,MATCH($E3808,Section_Master!$A$2:$A$477,0))&amp;"","")</f>
        <v>No</v>
      </c>
      <c r="H3808" s="10" t="str">
        <f aca="false">IFERROR(INDEX(Section_Master!$F$2:$F$477,MATCH($E3808,Section_Master!$A$2:$A$477,0))&amp;"","")</f>
        <v>Yes</v>
      </c>
      <c r="I3808" s="10" t="str">
        <f aca="false">IFERROR(INDEX(Section_Master!$G$2:$G$477,MATCH($E3808,Section_Master!$A$2:$A$477,0))&amp;"","")</f>
        <v>No</v>
      </c>
      <c r="J3808" s="10" t="s">
        <v>55</v>
      </c>
      <c r="K3808" s="8" t="s">
        <v>8920</v>
      </c>
    </row>
    <row r="3809" customFormat="false" ht="34.5" hidden="false" customHeight="true" outlineLevel="0" collapsed="false">
      <c r="A3809" s="10" t="s">
        <v>8925</v>
      </c>
      <c r="B3809" s="10" t="s">
        <v>45</v>
      </c>
      <c r="C3809" s="8" t="s">
        <v>8918</v>
      </c>
      <c r="D3809" s="8" t="s">
        <v>8926</v>
      </c>
      <c r="E3809" s="11" t="n">
        <v>277</v>
      </c>
      <c r="F3809" s="8" t="str">
        <f aca="false">IFERROR(INDEX(Section_Master!$D$2:$D$477,MATCH($E3809,Section_Master!$A$2:$A$477,0))&amp;"","")</f>
        <v>Imprisonment up to 6 months, or fine, or both</v>
      </c>
      <c r="G3809" s="10" t="str">
        <f aca="false">IFERROR(INDEX(Section_Master!$E$2:$E$477,MATCH($E3809,Section_Master!$A$2:$A$477,0))&amp;"","")</f>
        <v>No</v>
      </c>
      <c r="H3809" s="10" t="str">
        <f aca="false">IFERROR(INDEX(Section_Master!$F$2:$F$477,MATCH($E3809,Section_Master!$A$2:$A$477,0))&amp;"","")</f>
        <v>Yes</v>
      </c>
      <c r="I3809" s="10" t="str">
        <f aca="false">IFERROR(INDEX(Section_Master!$G$2:$G$477,MATCH($E3809,Section_Master!$A$2:$A$477,0))&amp;"","")</f>
        <v>No</v>
      </c>
      <c r="J3809" s="10" t="s">
        <v>58</v>
      </c>
      <c r="K3809" s="8" t="s">
        <v>8920</v>
      </c>
    </row>
    <row r="3810" customFormat="false" ht="34.5" hidden="false" customHeight="true" outlineLevel="0" collapsed="false">
      <c r="A3810" s="10" t="s">
        <v>8927</v>
      </c>
      <c r="B3810" s="10" t="s">
        <v>45</v>
      </c>
      <c r="C3810" s="8" t="s">
        <v>8918</v>
      </c>
      <c r="D3810" s="8" t="s">
        <v>8928</v>
      </c>
      <c r="E3810" s="11" t="n">
        <v>277</v>
      </c>
      <c r="F3810" s="8" t="str">
        <f aca="false">IFERROR(INDEX(Section_Master!$D$2:$D$477,MATCH($E3810,Section_Master!$A$2:$A$477,0))&amp;"","")</f>
        <v>Imprisonment up to 6 months, or fine, or both</v>
      </c>
      <c r="G3810" s="10" t="str">
        <f aca="false">IFERROR(INDEX(Section_Master!$E$2:$E$477,MATCH($E3810,Section_Master!$A$2:$A$477,0))&amp;"","")</f>
        <v>No</v>
      </c>
      <c r="H3810" s="10" t="str">
        <f aca="false">IFERROR(INDEX(Section_Master!$F$2:$F$477,MATCH($E3810,Section_Master!$A$2:$A$477,0))&amp;"","")</f>
        <v>Yes</v>
      </c>
      <c r="I3810" s="10" t="str">
        <f aca="false">IFERROR(INDEX(Section_Master!$G$2:$G$477,MATCH($E3810,Section_Master!$A$2:$A$477,0))&amp;"","")</f>
        <v>No</v>
      </c>
      <c r="J3810" s="10" t="s">
        <v>61</v>
      </c>
      <c r="K3810" s="8" t="s">
        <v>8920</v>
      </c>
    </row>
    <row r="3811" customFormat="false" ht="34.5" hidden="false" customHeight="true" outlineLevel="0" collapsed="false">
      <c r="A3811" s="10" t="s">
        <v>8929</v>
      </c>
      <c r="B3811" s="10" t="s">
        <v>45</v>
      </c>
      <c r="C3811" s="8" t="s">
        <v>8918</v>
      </c>
      <c r="D3811" s="8" t="s">
        <v>8930</v>
      </c>
      <c r="E3811" s="11" t="n">
        <v>277</v>
      </c>
      <c r="F3811" s="8" t="str">
        <f aca="false">IFERROR(INDEX(Section_Master!$D$2:$D$477,MATCH($E3811,Section_Master!$A$2:$A$477,0))&amp;"","")</f>
        <v>Imprisonment up to 6 months, or fine, or both</v>
      </c>
      <c r="G3811" s="10" t="str">
        <f aca="false">IFERROR(INDEX(Section_Master!$E$2:$E$477,MATCH($E3811,Section_Master!$A$2:$A$477,0))&amp;"","")</f>
        <v>No</v>
      </c>
      <c r="H3811" s="10" t="str">
        <f aca="false">IFERROR(INDEX(Section_Master!$F$2:$F$477,MATCH($E3811,Section_Master!$A$2:$A$477,0))&amp;"","")</f>
        <v>Yes</v>
      </c>
      <c r="I3811" s="10" t="str">
        <f aca="false">IFERROR(INDEX(Section_Master!$G$2:$G$477,MATCH($E3811,Section_Master!$A$2:$A$477,0))&amp;"","")</f>
        <v>No</v>
      </c>
      <c r="J3811" s="10" t="s">
        <v>64</v>
      </c>
      <c r="K3811" s="8" t="s">
        <v>8920</v>
      </c>
    </row>
    <row r="3812" customFormat="false" ht="23.25" hidden="false" customHeight="true" outlineLevel="0" collapsed="false">
      <c r="A3812" s="10" t="s">
        <v>8931</v>
      </c>
      <c r="B3812" s="10" t="s">
        <v>45</v>
      </c>
      <c r="C3812" s="8" t="s">
        <v>8835</v>
      </c>
      <c r="D3812" s="8" t="s">
        <v>8932</v>
      </c>
      <c r="E3812" s="11" t="n">
        <v>278</v>
      </c>
      <c r="F3812" s="8" t="str">
        <f aca="false">IFERROR(INDEX(Section_Master!$D$2:$D$477,MATCH($E3812,Section_Master!$A$2:$A$477,0))&amp;"","")</f>
        <v>Imprisonment up to 6 months, or fine, or both</v>
      </c>
      <c r="G3812" s="10" t="str">
        <f aca="false">IFERROR(INDEX(Section_Master!$E$2:$E$477,MATCH($E3812,Section_Master!$A$2:$A$477,0))&amp;"","")</f>
        <v>No</v>
      </c>
      <c r="H3812" s="10" t="str">
        <f aca="false">IFERROR(INDEX(Section_Master!$F$2:$F$477,MATCH($E3812,Section_Master!$A$2:$A$477,0))&amp;"","")</f>
        <v>Yes</v>
      </c>
      <c r="I3812" s="10" t="str">
        <f aca="false">IFERROR(INDEX(Section_Master!$G$2:$G$477,MATCH($E3812,Section_Master!$A$2:$A$477,0))&amp;"","")</f>
        <v>No</v>
      </c>
      <c r="J3812" s="10" t="s">
        <v>48</v>
      </c>
      <c r="K3812" s="8" t="s">
        <v>8933</v>
      </c>
    </row>
    <row r="3813" customFormat="false" ht="34.5" hidden="false" customHeight="true" outlineLevel="0" collapsed="false">
      <c r="A3813" s="10" t="s">
        <v>8934</v>
      </c>
      <c r="B3813" s="10" t="s">
        <v>45</v>
      </c>
      <c r="C3813" s="8" t="s">
        <v>8835</v>
      </c>
      <c r="D3813" s="8" t="s">
        <v>8935</v>
      </c>
      <c r="E3813" s="11" t="n">
        <v>278</v>
      </c>
      <c r="F3813" s="8" t="str">
        <f aca="false">IFERROR(INDEX(Section_Master!$D$2:$D$477,MATCH($E3813,Section_Master!$A$2:$A$477,0))&amp;"","")</f>
        <v>Imprisonment up to 6 months, or fine, or both</v>
      </c>
      <c r="G3813" s="10" t="str">
        <f aca="false">IFERROR(INDEX(Section_Master!$E$2:$E$477,MATCH($E3813,Section_Master!$A$2:$A$477,0))&amp;"","")</f>
        <v>No</v>
      </c>
      <c r="H3813" s="10" t="str">
        <f aca="false">IFERROR(INDEX(Section_Master!$F$2:$F$477,MATCH($E3813,Section_Master!$A$2:$A$477,0))&amp;"","")</f>
        <v>Yes</v>
      </c>
      <c r="I3813" s="10" t="str">
        <f aca="false">IFERROR(INDEX(Section_Master!$G$2:$G$477,MATCH($E3813,Section_Master!$A$2:$A$477,0))&amp;"","")</f>
        <v>No</v>
      </c>
      <c r="J3813" s="10" t="s">
        <v>52</v>
      </c>
      <c r="K3813" s="8" t="s">
        <v>8933</v>
      </c>
    </row>
    <row r="3814" customFormat="false" ht="45.75" hidden="false" customHeight="true" outlineLevel="0" collapsed="false">
      <c r="A3814" s="10" t="s">
        <v>8936</v>
      </c>
      <c r="B3814" s="10" t="s">
        <v>45</v>
      </c>
      <c r="C3814" s="8" t="s">
        <v>8835</v>
      </c>
      <c r="D3814" s="8" t="s">
        <v>8937</v>
      </c>
      <c r="E3814" s="11" t="n">
        <v>278</v>
      </c>
      <c r="F3814" s="8" t="str">
        <f aca="false">IFERROR(INDEX(Section_Master!$D$2:$D$477,MATCH($E3814,Section_Master!$A$2:$A$477,0))&amp;"","")</f>
        <v>Imprisonment up to 6 months, or fine, or both</v>
      </c>
      <c r="G3814" s="10" t="str">
        <f aca="false">IFERROR(INDEX(Section_Master!$E$2:$E$477,MATCH($E3814,Section_Master!$A$2:$A$477,0))&amp;"","")</f>
        <v>No</v>
      </c>
      <c r="H3814" s="10" t="str">
        <f aca="false">IFERROR(INDEX(Section_Master!$F$2:$F$477,MATCH($E3814,Section_Master!$A$2:$A$477,0))&amp;"","")</f>
        <v>Yes</v>
      </c>
      <c r="I3814" s="10" t="str">
        <f aca="false">IFERROR(INDEX(Section_Master!$G$2:$G$477,MATCH($E3814,Section_Master!$A$2:$A$477,0))&amp;"","")</f>
        <v>No</v>
      </c>
      <c r="J3814" s="10" t="s">
        <v>55</v>
      </c>
      <c r="K3814" s="8" t="s">
        <v>8933</v>
      </c>
    </row>
    <row r="3815" customFormat="false" ht="34.5" hidden="false" customHeight="true" outlineLevel="0" collapsed="false">
      <c r="A3815" s="10" t="s">
        <v>8938</v>
      </c>
      <c r="B3815" s="10" t="s">
        <v>45</v>
      </c>
      <c r="C3815" s="8" t="s">
        <v>8835</v>
      </c>
      <c r="D3815" s="8" t="s">
        <v>8939</v>
      </c>
      <c r="E3815" s="11" t="n">
        <v>278</v>
      </c>
      <c r="F3815" s="8" t="str">
        <f aca="false">IFERROR(INDEX(Section_Master!$D$2:$D$477,MATCH($E3815,Section_Master!$A$2:$A$477,0))&amp;"","")</f>
        <v>Imprisonment up to 6 months, or fine, or both</v>
      </c>
      <c r="G3815" s="10" t="str">
        <f aca="false">IFERROR(INDEX(Section_Master!$E$2:$E$477,MATCH($E3815,Section_Master!$A$2:$A$477,0))&amp;"","")</f>
        <v>No</v>
      </c>
      <c r="H3815" s="10" t="str">
        <f aca="false">IFERROR(INDEX(Section_Master!$F$2:$F$477,MATCH($E3815,Section_Master!$A$2:$A$477,0))&amp;"","")</f>
        <v>Yes</v>
      </c>
      <c r="I3815" s="10" t="str">
        <f aca="false">IFERROR(INDEX(Section_Master!$G$2:$G$477,MATCH($E3815,Section_Master!$A$2:$A$477,0))&amp;"","")</f>
        <v>No</v>
      </c>
      <c r="J3815" s="10" t="s">
        <v>58</v>
      </c>
      <c r="K3815" s="8" t="s">
        <v>8933</v>
      </c>
    </row>
    <row r="3816" customFormat="false" ht="34.5" hidden="false" customHeight="true" outlineLevel="0" collapsed="false">
      <c r="A3816" s="10" t="s">
        <v>8940</v>
      </c>
      <c r="B3816" s="10" t="s">
        <v>45</v>
      </c>
      <c r="C3816" s="8" t="s">
        <v>8835</v>
      </c>
      <c r="D3816" s="8" t="s">
        <v>8941</v>
      </c>
      <c r="E3816" s="11" t="n">
        <v>278</v>
      </c>
      <c r="F3816" s="8" t="str">
        <f aca="false">IFERROR(INDEX(Section_Master!$D$2:$D$477,MATCH($E3816,Section_Master!$A$2:$A$477,0))&amp;"","")</f>
        <v>Imprisonment up to 6 months, or fine, or both</v>
      </c>
      <c r="G3816" s="10" t="str">
        <f aca="false">IFERROR(INDEX(Section_Master!$E$2:$E$477,MATCH($E3816,Section_Master!$A$2:$A$477,0))&amp;"","")</f>
        <v>No</v>
      </c>
      <c r="H3816" s="10" t="str">
        <f aca="false">IFERROR(INDEX(Section_Master!$F$2:$F$477,MATCH($E3816,Section_Master!$A$2:$A$477,0))&amp;"","")</f>
        <v>Yes</v>
      </c>
      <c r="I3816" s="10" t="str">
        <f aca="false">IFERROR(INDEX(Section_Master!$G$2:$G$477,MATCH($E3816,Section_Master!$A$2:$A$477,0))&amp;"","")</f>
        <v>No</v>
      </c>
      <c r="J3816" s="10" t="s">
        <v>61</v>
      </c>
      <c r="K3816" s="8" t="s">
        <v>8933</v>
      </c>
    </row>
    <row r="3817" customFormat="false" ht="45.75" hidden="false" customHeight="true" outlineLevel="0" collapsed="false">
      <c r="A3817" s="10" t="s">
        <v>8942</v>
      </c>
      <c r="B3817" s="10" t="s">
        <v>45</v>
      </c>
      <c r="C3817" s="8" t="s">
        <v>8835</v>
      </c>
      <c r="D3817" s="8" t="s">
        <v>8943</v>
      </c>
      <c r="E3817" s="11" t="n">
        <v>278</v>
      </c>
      <c r="F3817" s="8" t="str">
        <f aca="false">IFERROR(INDEX(Section_Master!$D$2:$D$477,MATCH($E3817,Section_Master!$A$2:$A$477,0))&amp;"","")</f>
        <v>Imprisonment up to 6 months, or fine, or both</v>
      </c>
      <c r="G3817" s="10" t="str">
        <f aca="false">IFERROR(INDEX(Section_Master!$E$2:$E$477,MATCH($E3817,Section_Master!$A$2:$A$477,0))&amp;"","")</f>
        <v>No</v>
      </c>
      <c r="H3817" s="10" t="str">
        <f aca="false">IFERROR(INDEX(Section_Master!$F$2:$F$477,MATCH($E3817,Section_Master!$A$2:$A$477,0))&amp;"","")</f>
        <v>Yes</v>
      </c>
      <c r="I3817" s="10" t="str">
        <f aca="false">IFERROR(INDEX(Section_Master!$G$2:$G$477,MATCH($E3817,Section_Master!$A$2:$A$477,0))&amp;"","")</f>
        <v>No</v>
      </c>
      <c r="J3817" s="10" t="s">
        <v>64</v>
      </c>
      <c r="K3817" s="8" t="s">
        <v>8933</v>
      </c>
    </row>
    <row r="3818" customFormat="false" ht="34.5" hidden="false" customHeight="true" outlineLevel="0" collapsed="false">
      <c r="A3818" s="10" t="s">
        <v>8944</v>
      </c>
      <c r="B3818" s="10" t="s">
        <v>45</v>
      </c>
      <c r="C3818" s="8" t="s">
        <v>8945</v>
      </c>
      <c r="D3818" s="8" t="s">
        <v>8946</v>
      </c>
      <c r="E3818" s="11" t="n">
        <v>279</v>
      </c>
      <c r="F3818" s="8" t="str">
        <f aca="false">IFERROR(INDEX(Section_Master!$D$2:$D$477,MATCH($E3818,Section_Master!$A$2:$A$477,0))&amp;"","")</f>
        <v>Imprisonment up to 3 months, or fine, or both</v>
      </c>
      <c r="G3818" s="10" t="str">
        <f aca="false">IFERROR(INDEX(Section_Master!$E$2:$E$477,MATCH($E3818,Section_Master!$A$2:$A$477,0))&amp;"","")</f>
        <v>No</v>
      </c>
      <c r="H3818" s="10" t="str">
        <f aca="false">IFERROR(INDEX(Section_Master!$F$2:$F$477,MATCH($E3818,Section_Master!$A$2:$A$477,0))&amp;"","")</f>
        <v>Yes</v>
      </c>
      <c r="I3818" s="10" t="str">
        <f aca="false">IFERROR(INDEX(Section_Master!$G$2:$G$477,MATCH($E3818,Section_Master!$A$2:$A$477,0))&amp;"","")</f>
        <v>No</v>
      </c>
      <c r="J3818" s="10" t="s">
        <v>48</v>
      </c>
      <c r="K3818" s="8" t="s">
        <v>8947</v>
      </c>
    </row>
    <row r="3819" customFormat="false" ht="45.75" hidden="false" customHeight="true" outlineLevel="0" collapsed="false">
      <c r="A3819" s="10" t="s">
        <v>8948</v>
      </c>
      <c r="B3819" s="10" t="s">
        <v>45</v>
      </c>
      <c r="C3819" s="8" t="s">
        <v>8945</v>
      </c>
      <c r="D3819" s="8" t="s">
        <v>8949</v>
      </c>
      <c r="E3819" s="11" t="n">
        <v>279</v>
      </c>
      <c r="F3819" s="8" t="str">
        <f aca="false">IFERROR(INDEX(Section_Master!$D$2:$D$477,MATCH($E3819,Section_Master!$A$2:$A$477,0))&amp;"","")</f>
        <v>Imprisonment up to 3 months, or fine, or both</v>
      </c>
      <c r="G3819" s="10" t="str">
        <f aca="false">IFERROR(INDEX(Section_Master!$E$2:$E$477,MATCH($E3819,Section_Master!$A$2:$A$477,0))&amp;"","")</f>
        <v>No</v>
      </c>
      <c r="H3819" s="10" t="str">
        <f aca="false">IFERROR(INDEX(Section_Master!$F$2:$F$477,MATCH($E3819,Section_Master!$A$2:$A$477,0))&amp;"","")</f>
        <v>Yes</v>
      </c>
      <c r="I3819" s="10" t="str">
        <f aca="false">IFERROR(INDEX(Section_Master!$G$2:$G$477,MATCH($E3819,Section_Master!$A$2:$A$477,0))&amp;"","")</f>
        <v>No</v>
      </c>
      <c r="J3819" s="10" t="s">
        <v>52</v>
      </c>
      <c r="K3819" s="8" t="s">
        <v>8947</v>
      </c>
    </row>
    <row r="3820" customFormat="false" ht="34.5" hidden="false" customHeight="true" outlineLevel="0" collapsed="false">
      <c r="A3820" s="10" t="s">
        <v>8950</v>
      </c>
      <c r="B3820" s="10" t="s">
        <v>45</v>
      </c>
      <c r="C3820" s="8" t="s">
        <v>8945</v>
      </c>
      <c r="D3820" s="8" t="s">
        <v>8951</v>
      </c>
      <c r="E3820" s="11" t="n">
        <v>279</v>
      </c>
      <c r="F3820" s="8" t="str">
        <f aca="false">IFERROR(INDEX(Section_Master!$D$2:$D$477,MATCH($E3820,Section_Master!$A$2:$A$477,0))&amp;"","")</f>
        <v>Imprisonment up to 3 months, or fine, or both</v>
      </c>
      <c r="G3820" s="10" t="str">
        <f aca="false">IFERROR(INDEX(Section_Master!$E$2:$E$477,MATCH($E3820,Section_Master!$A$2:$A$477,0))&amp;"","")</f>
        <v>No</v>
      </c>
      <c r="H3820" s="10" t="str">
        <f aca="false">IFERROR(INDEX(Section_Master!$F$2:$F$477,MATCH($E3820,Section_Master!$A$2:$A$477,0))&amp;"","")</f>
        <v>Yes</v>
      </c>
      <c r="I3820" s="10" t="str">
        <f aca="false">IFERROR(INDEX(Section_Master!$G$2:$G$477,MATCH($E3820,Section_Master!$A$2:$A$477,0))&amp;"","")</f>
        <v>No</v>
      </c>
      <c r="J3820" s="10" t="s">
        <v>55</v>
      </c>
      <c r="K3820" s="8" t="s">
        <v>8947</v>
      </c>
    </row>
    <row r="3821" customFormat="false" ht="34.5" hidden="false" customHeight="true" outlineLevel="0" collapsed="false">
      <c r="A3821" s="10" t="s">
        <v>8952</v>
      </c>
      <c r="B3821" s="10" t="s">
        <v>45</v>
      </c>
      <c r="C3821" s="8" t="s">
        <v>8945</v>
      </c>
      <c r="D3821" s="8" t="s">
        <v>8953</v>
      </c>
      <c r="E3821" s="11" t="n">
        <v>279</v>
      </c>
      <c r="F3821" s="8" t="str">
        <f aca="false">IFERROR(INDEX(Section_Master!$D$2:$D$477,MATCH($E3821,Section_Master!$A$2:$A$477,0))&amp;"","")</f>
        <v>Imprisonment up to 3 months, or fine, or both</v>
      </c>
      <c r="G3821" s="10" t="str">
        <f aca="false">IFERROR(INDEX(Section_Master!$E$2:$E$477,MATCH($E3821,Section_Master!$A$2:$A$477,0))&amp;"","")</f>
        <v>No</v>
      </c>
      <c r="H3821" s="10" t="str">
        <f aca="false">IFERROR(INDEX(Section_Master!$F$2:$F$477,MATCH($E3821,Section_Master!$A$2:$A$477,0))&amp;"","")</f>
        <v>Yes</v>
      </c>
      <c r="I3821" s="10" t="str">
        <f aca="false">IFERROR(INDEX(Section_Master!$G$2:$G$477,MATCH($E3821,Section_Master!$A$2:$A$477,0))&amp;"","")</f>
        <v>No</v>
      </c>
      <c r="J3821" s="10" t="s">
        <v>58</v>
      </c>
      <c r="K3821" s="8" t="s">
        <v>8947</v>
      </c>
    </row>
    <row r="3822" customFormat="false" ht="23.25" hidden="false" customHeight="true" outlineLevel="0" collapsed="false">
      <c r="A3822" s="10" t="s">
        <v>8954</v>
      </c>
      <c r="B3822" s="10" t="s">
        <v>45</v>
      </c>
      <c r="C3822" s="8" t="s">
        <v>8945</v>
      </c>
      <c r="D3822" s="8" t="s">
        <v>8955</v>
      </c>
      <c r="E3822" s="11" t="n">
        <v>279</v>
      </c>
      <c r="F3822" s="8" t="str">
        <f aca="false">IFERROR(INDEX(Section_Master!$D$2:$D$477,MATCH($E3822,Section_Master!$A$2:$A$477,0))&amp;"","")</f>
        <v>Imprisonment up to 3 months, or fine, or both</v>
      </c>
      <c r="G3822" s="10" t="str">
        <f aca="false">IFERROR(INDEX(Section_Master!$E$2:$E$477,MATCH($E3822,Section_Master!$A$2:$A$477,0))&amp;"","")</f>
        <v>No</v>
      </c>
      <c r="H3822" s="10" t="str">
        <f aca="false">IFERROR(INDEX(Section_Master!$F$2:$F$477,MATCH($E3822,Section_Master!$A$2:$A$477,0))&amp;"","")</f>
        <v>Yes</v>
      </c>
      <c r="I3822" s="10" t="str">
        <f aca="false">IFERROR(INDEX(Section_Master!$G$2:$G$477,MATCH($E3822,Section_Master!$A$2:$A$477,0))&amp;"","")</f>
        <v>No</v>
      </c>
      <c r="J3822" s="10" t="s">
        <v>61</v>
      </c>
      <c r="K3822" s="8" t="s">
        <v>8947</v>
      </c>
    </row>
    <row r="3823" customFormat="false" ht="34.5" hidden="false" customHeight="true" outlineLevel="0" collapsed="false">
      <c r="A3823" s="10" t="s">
        <v>8956</v>
      </c>
      <c r="B3823" s="10" t="s">
        <v>45</v>
      </c>
      <c r="C3823" s="8" t="s">
        <v>8945</v>
      </c>
      <c r="D3823" s="8" t="s">
        <v>8957</v>
      </c>
      <c r="E3823" s="11" t="n">
        <v>279</v>
      </c>
      <c r="F3823" s="8" t="str">
        <f aca="false">IFERROR(INDEX(Section_Master!$D$2:$D$477,MATCH($E3823,Section_Master!$A$2:$A$477,0))&amp;"","")</f>
        <v>Imprisonment up to 3 months, or fine, or both</v>
      </c>
      <c r="G3823" s="10" t="str">
        <f aca="false">IFERROR(INDEX(Section_Master!$E$2:$E$477,MATCH($E3823,Section_Master!$A$2:$A$477,0))&amp;"","")</f>
        <v>No</v>
      </c>
      <c r="H3823" s="10" t="str">
        <f aca="false">IFERROR(INDEX(Section_Master!$F$2:$F$477,MATCH($E3823,Section_Master!$A$2:$A$477,0))&amp;"","")</f>
        <v>Yes</v>
      </c>
      <c r="I3823" s="10" t="str">
        <f aca="false">IFERROR(INDEX(Section_Master!$G$2:$G$477,MATCH($E3823,Section_Master!$A$2:$A$477,0))&amp;"","")</f>
        <v>No</v>
      </c>
      <c r="J3823" s="10" t="s">
        <v>64</v>
      </c>
      <c r="K3823" s="8" t="s">
        <v>8947</v>
      </c>
    </row>
    <row r="3824" customFormat="false" ht="34.5" hidden="false" customHeight="true" outlineLevel="0" collapsed="false">
      <c r="A3824" s="10" t="s">
        <v>8958</v>
      </c>
      <c r="B3824" s="10" t="s">
        <v>45</v>
      </c>
      <c r="C3824" s="8" t="s">
        <v>8959</v>
      </c>
      <c r="D3824" s="8" t="s">
        <v>8960</v>
      </c>
      <c r="E3824" s="11" t="n">
        <v>280</v>
      </c>
      <c r="F3824" s="8" t="str">
        <f aca="false">IFERROR(INDEX(Section_Master!$D$2:$D$477,MATCH($E3824,Section_Master!$A$2:$A$477,0))&amp;"","")</f>
        <v>Fine</v>
      </c>
      <c r="G3824" s="10" t="str">
        <f aca="false">IFERROR(INDEX(Section_Master!$E$2:$E$477,MATCH($E3824,Section_Master!$A$2:$A$477,0))&amp;"","")</f>
        <v>No</v>
      </c>
      <c r="H3824" s="10" t="str">
        <f aca="false">IFERROR(INDEX(Section_Master!$F$2:$F$477,MATCH($E3824,Section_Master!$A$2:$A$477,0))&amp;"","")</f>
        <v>Yes</v>
      </c>
      <c r="I3824" s="10" t="str">
        <f aca="false">IFERROR(INDEX(Section_Master!$G$2:$G$477,MATCH($E3824,Section_Master!$A$2:$A$477,0))&amp;"","")</f>
        <v>No</v>
      </c>
      <c r="J3824" s="10" t="s">
        <v>48</v>
      </c>
      <c r="K3824" s="8" t="s">
        <v>8961</v>
      </c>
    </row>
    <row r="3825" customFormat="false" ht="34.5" hidden="false" customHeight="true" outlineLevel="0" collapsed="false">
      <c r="A3825" s="10" t="s">
        <v>8962</v>
      </c>
      <c r="B3825" s="10" t="s">
        <v>45</v>
      </c>
      <c r="C3825" s="8" t="s">
        <v>8959</v>
      </c>
      <c r="D3825" s="8" t="s">
        <v>8963</v>
      </c>
      <c r="E3825" s="11" t="n">
        <v>280</v>
      </c>
      <c r="F3825" s="8" t="str">
        <f aca="false">IFERROR(INDEX(Section_Master!$D$2:$D$477,MATCH($E3825,Section_Master!$A$2:$A$477,0))&amp;"","")</f>
        <v>Fine</v>
      </c>
      <c r="G3825" s="10" t="str">
        <f aca="false">IFERROR(INDEX(Section_Master!$E$2:$E$477,MATCH($E3825,Section_Master!$A$2:$A$477,0))&amp;"","")</f>
        <v>No</v>
      </c>
      <c r="H3825" s="10" t="str">
        <f aca="false">IFERROR(INDEX(Section_Master!$F$2:$F$477,MATCH($E3825,Section_Master!$A$2:$A$477,0))&amp;"","")</f>
        <v>Yes</v>
      </c>
      <c r="I3825" s="10" t="str">
        <f aca="false">IFERROR(INDEX(Section_Master!$G$2:$G$477,MATCH($E3825,Section_Master!$A$2:$A$477,0))&amp;"","")</f>
        <v>No</v>
      </c>
      <c r="J3825" s="10" t="s">
        <v>52</v>
      </c>
      <c r="K3825" s="8" t="s">
        <v>8961</v>
      </c>
    </row>
    <row r="3826" customFormat="false" ht="34.5" hidden="false" customHeight="true" outlineLevel="0" collapsed="false">
      <c r="A3826" s="10" t="s">
        <v>8964</v>
      </c>
      <c r="B3826" s="10" t="s">
        <v>45</v>
      </c>
      <c r="C3826" s="8" t="s">
        <v>8959</v>
      </c>
      <c r="D3826" s="8" t="s">
        <v>8965</v>
      </c>
      <c r="E3826" s="11" t="n">
        <v>280</v>
      </c>
      <c r="F3826" s="8" t="str">
        <f aca="false">IFERROR(INDEX(Section_Master!$D$2:$D$477,MATCH($E3826,Section_Master!$A$2:$A$477,0))&amp;"","")</f>
        <v>Fine</v>
      </c>
      <c r="G3826" s="10" t="str">
        <f aca="false">IFERROR(INDEX(Section_Master!$E$2:$E$477,MATCH($E3826,Section_Master!$A$2:$A$477,0))&amp;"","")</f>
        <v>No</v>
      </c>
      <c r="H3826" s="10" t="str">
        <f aca="false">IFERROR(INDEX(Section_Master!$F$2:$F$477,MATCH($E3826,Section_Master!$A$2:$A$477,0))&amp;"","")</f>
        <v>Yes</v>
      </c>
      <c r="I3826" s="10" t="str">
        <f aca="false">IFERROR(INDEX(Section_Master!$G$2:$G$477,MATCH($E3826,Section_Master!$A$2:$A$477,0))&amp;"","")</f>
        <v>No</v>
      </c>
      <c r="J3826" s="10" t="s">
        <v>55</v>
      </c>
      <c r="K3826" s="8" t="s">
        <v>8961</v>
      </c>
    </row>
    <row r="3827" customFormat="false" ht="23.25" hidden="false" customHeight="true" outlineLevel="0" collapsed="false">
      <c r="A3827" s="10" t="s">
        <v>8966</v>
      </c>
      <c r="B3827" s="10" t="s">
        <v>45</v>
      </c>
      <c r="C3827" s="8" t="s">
        <v>8959</v>
      </c>
      <c r="D3827" s="8" t="s">
        <v>8967</v>
      </c>
      <c r="E3827" s="11" t="n">
        <v>280</v>
      </c>
      <c r="F3827" s="8" t="str">
        <f aca="false">IFERROR(INDEX(Section_Master!$D$2:$D$477,MATCH($E3827,Section_Master!$A$2:$A$477,0))&amp;"","")</f>
        <v>Fine</v>
      </c>
      <c r="G3827" s="10" t="str">
        <f aca="false">IFERROR(INDEX(Section_Master!$E$2:$E$477,MATCH($E3827,Section_Master!$A$2:$A$477,0))&amp;"","")</f>
        <v>No</v>
      </c>
      <c r="H3827" s="10" t="str">
        <f aca="false">IFERROR(INDEX(Section_Master!$F$2:$F$477,MATCH($E3827,Section_Master!$A$2:$A$477,0))&amp;"","")</f>
        <v>Yes</v>
      </c>
      <c r="I3827" s="10" t="str">
        <f aca="false">IFERROR(INDEX(Section_Master!$G$2:$G$477,MATCH($E3827,Section_Master!$A$2:$A$477,0))&amp;"","")</f>
        <v>No</v>
      </c>
      <c r="J3827" s="10" t="s">
        <v>58</v>
      </c>
      <c r="K3827" s="8" t="s">
        <v>8961</v>
      </c>
    </row>
    <row r="3828" customFormat="false" ht="34.5" hidden="false" customHeight="true" outlineLevel="0" collapsed="false">
      <c r="A3828" s="10" t="s">
        <v>8968</v>
      </c>
      <c r="B3828" s="10" t="s">
        <v>45</v>
      </c>
      <c r="C3828" s="8" t="s">
        <v>8959</v>
      </c>
      <c r="D3828" s="8" t="s">
        <v>8969</v>
      </c>
      <c r="E3828" s="11" t="n">
        <v>280</v>
      </c>
      <c r="F3828" s="8" t="str">
        <f aca="false">IFERROR(INDEX(Section_Master!$D$2:$D$477,MATCH($E3828,Section_Master!$A$2:$A$477,0))&amp;"","")</f>
        <v>Fine</v>
      </c>
      <c r="G3828" s="10" t="str">
        <f aca="false">IFERROR(INDEX(Section_Master!$E$2:$E$477,MATCH($E3828,Section_Master!$A$2:$A$477,0))&amp;"","")</f>
        <v>No</v>
      </c>
      <c r="H3828" s="10" t="str">
        <f aca="false">IFERROR(INDEX(Section_Master!$F$2:$F$477,MATCH($E3828,Section_Master!$A$2:$A$477,0))&amp;"","")</f>
        <v>Yes</v>
      </c>
      <c r="I3828" s="10" t="str">
        <f aca="false">IFERROR(INDEX(Section_Master!$G$2:$G$477,MATCH($E3828,Section_Master!$A$2:$A$477,0))&amp;"","")</f>
        <v>No</v>
      </c>
      <c r="J3828" s="10" t="s">
        <v>61</v>
      </c>
      <c r="K3828" s="8" t="s">
        <v>8961</v>
      </c>
    </row>
    <row r="3829" customFormat="false" ht="34.5" hidden="false" customHeight="true" outlineLevel="0" collapsed="false">
      <c r="A3829" s="10" t="s">
        <v>8970</v>
      </c>
      <c r="B3829" s="10" t="s">
        <v>45</v>
      </c>
      <c r="C3829" s="8" t="s">
        <v>8959</v>
      </c>
      <c r="D3829" s="8" t="s">
        <v>8971</v>
      </c>
      <c r="E3829" s="11" t="n">
        <v>280</v>
      </c>
      <c r="F3829" s="8" t="str">
        <f aca="false">IFERROR(INDEX(Section_Master!$D$2:$D$477,MATCH($E3829,Section_Master!$A$2:$A$477,0))&amp;"","")</f>
        <v>Fine</v>
      </c>
      <c r="G3829" s="10" t="str">
        <f aca="false">IFERROR(INDEX(Section_Master!$E$2:$E$477,MATCH($E3829,Section_Master!$A$2:$A$477,0))&amp;"","")</f>
        <v>No</v>
      </c>
      <c r="H3829" s="10" t="str">
        <f aca="false">IFERROR(INDEX(Section_Master!$F$2:$F$477,MATCH($E3829,Section_Master!$A$2:$A$477,0))&amp;"","")</f>
        <v>Yes</v>
      </c>
      <c r="I3829" s="10" t="str">
        <f aca="false">IFERROR(INDEX(Section_Master!$G$2:$G$477,MATCH($E3829,Section_Master!$A$2:$A$477,0))&amp;"","")</f>
        <v>No</v>
      </c>
      <c r="J3829" s="10" t="s">
        <v>64</v>
      </c>
      <c r="K3829" s="8" t="s">
        <v>8961</v>
      </c>
    </row>
    <row r="3830" customFormat="false" ht="45.75" hidden="false" customHeight="true" outlineLevel="0" collapsed="false">
      <c r="A3830" s="10" t="s">
        <v>8972</v>
      </c>
      <c r="B3830" s="10" t="s">
        <v>45</v>
      </c>
      <c r="C3830" s="8" t="s">
        <v>8973</v>
      </c>
      <c r="D3830" s="8" t="s">
        <v>8974</v>
      </c>
      <c r="E3830" s="11" t="n">
        <v>281</v>
      </c>
      <c r="F3830" s="8" t="str">
        <f aca="false">IFERROR(INDEX(Section_Master!$D$2:$D$477,MATCH($E3830,Section_Master!$A$2:$A$477,0))&amp;"","")</f>
        <v>Imprisonment up to 6 months, or fine up to Rs 1,000, or both</v>
      </c>
      <c r="G3830" s="10" t="str">
        <f aca="false">IFERROR(INDEX(Section_Master!$E$2:$E$477,MATCH($E3830,Section_Master!$A$2:$A$477,0))&amp;"","")</f>
        <v>Yes</v>
      </c>
      <c r="H3830" s="10" t="str">
        <f aca="false">IFERROR(INDEX(Section_Master!$F$2:$F$477,MATCH($E3830,Section_Master!$A$2:$A$477,0))&amp;"","")</f>
        <v>Yes</v>
      </c>
      <c r="I3830" s="10" t="str">
        <f aca="false">IFERROR(INDEX(Section_Master!$G$2:$G$477,MATCH($E3830,Section_Master!$A$2:$A$477,0))&amp;"","")</f>
        <v>No</v>
      </c>
      <c r="J3830" s="10" t="s">
        <v>48</v>
      </c>
      <c r="K3830" s="8" t="s">
        <v>8975</v>
      </c>
    </row>
    <row r="3831" customFormat="false" ht="45.75" hidden="false" customHeight="true" outlineLevel="0" collapsed="false">
      <c r="A3831" s="10" t="s">
        <v>8976</v>
      </c>
      <c r="B3831" s="10" t="s">
        <v>45</v>
      </c>
      <c r="C3831" s="8" t="s">
        <v>8973</v>
      </c>
      <c r="D3831" s="8" t="s">
        <v>8977</v>
      </c>
      <c r="E3831" s="11" t="n">
        <v>281</v>
      </c>
      <c r="F3831" s="8" t="str">
        <f aca="false">IFERROR(INDEX(Section_Master!$D$2:$D$477,MATCH($E3831,Section_Master!$A$2:$A$477,0))&amp;"","")</f>
        <v>Imprisonment up to 6 months, or fine up to Rs 1,000, or both</v>
      </c>
      <c r="G3831" s="10" t="str">
        <f aca="false">IFERROR(INDEX(Section_Master!$E$2:$E$477,MATCH($E3831,Section_Master!$A$2:$A$477,0))&amp;"","")</f>
        <v>Yes</v>
      </c>
      <c r="H3831" s="10" t="str">
        <f aca="false">IFERROR(INDEX(Section_Master!$F$2:$F$477,MATCH($E3831,Section_Master!$A$2:$A$477,0))&amp;"","")</f>
        <v>Yes</v>
      </c>
      <c r="I3831" s="10" t="str">
        <f aca="false">IFERROR(INDEX(Section_Master!$G$2:$G$477,MATCH($E3831,Section_Master!$A$2:$A$477,0))&amp;"","")</f>
        <v>No</v>
      </c>
      <c r="J3831" s="10" t="s">
        <v>52</v>
      </c>
      <c r="K3831" s="8" t="s">
        <v>8975</v>
      </c>
    </row>
    <row r="3832" customFormat="false" ht="34.5" hidden="false" customHeight="true" outlineLevel="0" collapsed="false">
      <c r="A3832" s="10" t="s">
        <v>8978</v>
      </c>
      <c r="B3832" s="10" t="s">
        <v>45</v>
      </c>
      <c r="C3832" s="8" t="s">
        <v>8973</v>
      </c>
      <c r="D3832" s="8" t="s">
        <v>8979</v>
      </c>
      <c r="E3832" s="11" t="n">
        <v>281</v>
      </c>
      <c r="F3832" s="8" t="str">
        <f aca="false">IFERROR(INDEX(Section_Master!$D$2:$D$477,MATCH($E3832,Section_Master!$A$2:$A$477,0))&amp;"","")</f>
        <v>Imprisonment up to 6 months, or fine up to Rs 1,000, or both</v>
      </c>
      <c r="G3832" s="10" t="str">
        <f aca="false">IFERROR(INDEX(Section_Master!$E$2:$E$477,MATCH($E3832,Section_Master!$A$2:$A$477,0))&amp;"","")</f>
        <v>Yes</v>
      </c>
      <c r="H3832" s="10" t="str">
        <f aca="false">IFERROR(INDEX(Section_Master!$F$2:$F$477,MATCH($E3832,Section_Master!$A$2:$A$477,0))&amp;"","")</f>
        <v>Yes</v>
      </c>
      <c r="I3832" s="10" t="str">
        <f aca="false">IFERROR(INDEX(Section_Master!$G$2:$G$477,MATCH($E3832,Section_Master!$A$2:$A$477,0))&amp;"","")</f>
        <v>No</v>
      </c>
      <c r="J3832" s="10" t="s">
        <v>55</v>
      </c>
      <c r="K3832" s="8" t="s">
        <v>8975</v>
      </c>
    </row>
    <row r="3833" customFormat="false" ht="23.25" hidden="false" customHeight="true" outlineLevel="0" collapsed="false">
      <c r="A3833" s="10" t="s">
        <v>8980</v>
      </c>
      <c r="B3833" s="10" t="s">
        <v>45</v>
      </c>
      <c r="C3833" s="8" t="s">
        <v>8973</v>
      </c>
      <c r="D3833" s="8" t="s">
        <v>8981</v>
      </c>
      <c r="E3833" s="11" t="n">
        <v>281</v>
      </c>
      <c r="F3833" s="8" t="str">
        <f aca="false">IFERROR(INDEX(Section_Master!$D$2:$D$477,MATCH($E3833,Section_Master!$A$2:$A$477,0))&amp;"","")</f>
        <v>Imprisonment up to 6 months, or fine up to Rs 1,000, or both</v>
      </c>
      <c r="G3833" s="10" t="str">
        <f aca="false">IFERROR(INDEX(Section_Master!$E$2:$E$477,MATCH($E3833,Section_Master!$A$2:$A$477,0))&amp;"","")</f>
        <v>Yes</v>
      </c>
      <c r="H3833" s="10" t="str">
        <f aca="false">IFERROR(INDEX(Section_Master!$F$2:$F$477,MATCH($E3833,Section_Master!$A$2:$A$477,0))&amp;"","")</f>
        <v>Yes</v>
      </c>
      <c r="I3833" s="10" t="str">
        <f aca="false">IFERROR(INDEX(Section_Master!$G$2:$G$477,MATCH($E3833,Section_Master!$A$2:$A$477,0))&amp;"","")</f>
        <v>No</v>
      </c>
      <c r="J3833" s="10" t="s">
        <v>58</v>
      </c>
      <c r="K3833" s="8" t="s">
        <v>8975</v>
      </c>
    </row>
    <row r="3834" customFormat="false" ht="34.5" hidden="false" customHeight="true" outlineLevel="0" collapsed="false">
      <c r="A3834" s="10" t="s">
        <v>8982</v>
      </c>
      <c r="B3834" s="10" t="s">
        <v>45</v>
      </c>
      <c r="C3834" s="8" t="s">
        <v>8973</v>
      </c>
      <c r="D3834" s="8" t="s">
        <v>8983</v>
      </c>
      <c r="E3834" s="11" t="n">
        <v>281</v>
      </c>
      <c r="F3834" s="8" t="str">
        <f aca="false">IFERROR(INDEX(Section_Master!$D$2:$D$477,MATCH($E3834,Section_Master!$A$2:$A$477,0))&amp;"","")</f>
        <v>Imprisonment up to 6 months, or fine up to Rs 1,000, or both</v>
      </c>
      <c r="G3834" s="10" t="str">
        <f aca="false">IFERROR(INDEX(Section_Master!$E$2:$E$477,MATCH($E3834,Section_Master!$A$2:$A$477,0))&amp;"","")</f>
        <v>Yes</v>
      </c>
      <c r="H3834" s="10" t="str">
        <f aca="false">IFERROR(INDEX(Section_Master!$F$2:$F$477,MATCH($E3834,Section_Master!$A$2:$A$477,0))&amp;"","")</f>
        <v>Yes</v>
      </c>
      <c r="I3834" s="10" t="str">
        <f aca="false">IFERROR(INDEX(Section_Master!$G$2:$G$477,MATCH($E3834,Section_Master!$A$2:$A$477,0))&amp;"","")</f>
        <v>No</v>
      </c>
      <c r="J3834" s="10" t="s">
        <v>61</v>
      </c>
      <c r="K3834" s="8" t="s">
        <v>8975</v>
      </c>
    </row>
    <row r="3835" customFormat="false" ht="45.75" hidden="false" customHeight="true" outlineLevel="0" collapsed="false">
      <c r="A3835" s="10" t="s">
        <v>8984</v>
      </c>
      <c r="B3835" s="10" t="s">
        <v>45</v>
      </c>
      <c r="C3835" s="8" t="s">
        <v>8973</v>
      </c>
      <c r="D3835" s="8" t="s">
        <v>8985</v>
      </c>
      <c r="E3835" s="11" t="n">
        <v>281</v>
      </c>
      <c r="F3835" s="8" t="str">
        <f aca="false">IFERROR(INDEX(Section_Master!$D$2:$D$477,MATCH($E3835,Section_Master!$A$2:$A$477,0))&amp;"","")</f>
        <v>Imprisonment up to 6 months, or fine up to Rs 1,000, or both</v>
      </c>
      <c r="G3835" s="10" t="str">
        <f aca="false">IFERROR(INDEX(Section_Master!$E$2:$E$477,MATCH($E3835,Section_Master!$A$2:$A$477,0))&amp;"","")</f>
        <v>Yes</v>
      </c>
      <c r="H3835" s="10" t="str">
        <f aca="false">IFERROR(INDEX(Section_Master!$F$2:$F$477,MATCH($E3835,Section_Master!$A$2:$A$477,0))&amp;"","")</f>
        <v>Yes</v>
      </c>
      <c r="I3835" s="10" t="str">
        <f aca="false">IFERROR(INDEX(Section_Master!$G$2:$G$477,MATCH($E3835,Section_Master!$A$2:$A$477,0))&amp;"","")</f>
        <v>No</v>
      </c>
      <c r="J3835" s="10" t="s">
        <v>64</v>
      </c>
      <c r="K3835" s="8" t="s">
        <v>8975</v>
      </c>
    </row>
    <row r="3836" customFormat="false" ht="34.5" hidden="false" customHeight="true" outlineLevel="0" collapsed="false">
      <c r="A3836" s="10" t="s">
        <v>8986</v>
      </c>
      <c r="B3836" s="10" t="s">
        <v>45</v>
      </c>
      <c r="C3836" s="8" t="s">
        <v>8987</v>
      </c>
      <c r="D3836" s="8" t="s">
        <v>8988</v>
      </c>
      <c r="E3836" s="11" t="n">
        <v>282</v>
      </c>
      <c r="F3836" s="8" t="str">
        <f aca="false">IFERROR(INDEX(Section_Master!$D$2:$D$477,MATCH($E3836,Section_Master!$A$2:$A$477,0))&amp;"","")</f>
        <v>Imprisonment up to 6 months, or fine, or both</v>
      </c>
      <c r="G3836" s="10" t="str">
        <f aca="false">IFERROR(INDEX(Section_Master!$E$2:$E$477,MATCH($E3836,Section_Master!$A$2:$A$477,0))&amp;"","")</f>
        <v>Yes</v>
      </c>
      <c r="H3836" s="10" t="str">
        <f aca="false">IFERROR(INDEX(Section_Master!$F$2:$F$477,MATCH($E3836,Section_Master!$A$2:$A$477,0))&amp;"","")</f>
        <v>Yes</v>
      </c>
      <c r="I3836" s="10" t="str">
        <f aca="false">IFERROR(INDEX(Section_Master!$G$2:$G$477,MATCH($E3836,Section_Master!$A$2:$A$477,0))&amp;"","")</f>
        <v>No</v>
      </c>
      <c r="J3836" s="10" t="s">
        <v>48</v>
      </c>
      <c r="K3836" s="8" t="s">
        <v>8989</v>
      </c>
    </row>
    <row r="3837" customFormat="false" ht="45.75" hidden="false" customHeight="true" outlineLevel="0" collapsed="false">
      <c r="A3837" s="10" t="s">
        <v>8990</v>
      </c>
      <c r="B3837" s="10" t="s">
        <v>45</v>
      </c>
      <c r="C3837" s="8" t="s">
        <v>8987</v>
      </c>
      <c r="D3837" s="8" t="s">
        <v>8991</v>
      </c>
      <c r="E3837" s="11" t="n">
        <v>282</v>
      </c>
      <c r="F3837" s="8" t="str">
        <f aca="false">IFERROR(INDEX(Section_Master!$D$2:$D$477,MATCH($E3837,Section_Master!$A$2:$A$477,0))&amp;"","")</f>
        <v>Imprisonment up to 6 months, or fine, or both</v>
      </c>
      <c r="G3837" s="10" t="str">
        <f aca="false">IFERROR(INDEX(Section_Master!$E$2:$E$477,MATCH($E3837,Section_Master!$A$2:$A$477,0))&amp;"","")</f>
        <v>Yes</v>
      </c>
      <c r="H3837" s="10" t="str">
        <f aca="false">IFERROR(INDEX(Section_Master!$F$2:$F$477,MATCH($E3837,Section_Master!$A$2:$A$477,0))&amp;"","")</f>
        <v>Yes</v>
      </c>
      <c r="I3837" s="10" t="str">
        <f aca="false">IFERROR(INDEX(Section_Master!$G$2:$G$477,MATCH($E3837,Section_Master!$A$2:$A$477,0))&amp;"","")</f>
        <v>No</v>
      </c>
      <c r="J3837" s="10" t="s">
        <v>52</v>
      </c>
      <c r="K3837" s="8" t="s">
        <v>8989</v>
      </c>
    </row>
    <row r="3838" customFormat="false" ht="34.5" hidden="false" customHeight="true" outlineLevel="0" collapsed="false">
      <c r="A3838" s="10" t="s">
        <v>8992</v>
      </c>
      <c r="B3838" s="10" t="s">
        <v>45</v>
      </c>
      <c r="C3838" s="8" t="s">
        <v>8987</v>
      </c>
      <c r="D3838" s="8" t="s">
        <v>8993</v>
      </c>
      <c r="E3838" s="11" t="n">
        <v>282</v>
      </c>
      <c r="F3838" s="8" t="str">
        <f aca="false">IFERROR(INDEX(Section_Master!$D$2:$D$477,MATCH($E3838,Section_Master!$A$2:$A$477,0))&amp;"","")</f>
        <v>Imprisonment up to 6 months, or fine, or both</v>
      </c>
      <c r="G3838" s="10" t="str">
        <f aca="false">IFERROR(INDEX(Section_Master!$E$2:$E$477,MATCH($E3838,Section_Master!$A$2:$A$477,0))&amp;"","")</f>
        <v>Yes</v>
      </c>
      <c r="H3838" s="10" t="str">
        <f aca="false">IFERROR(INDEX(Section_Master!$F$2:$F$477,MATCH($E3838,Section_Master!$A$2:$A$477,0))&amp;"","")</f>
        <v>Yes</v>
      </c>
      <c r="I3838" s="10" t="str">
        <f aca="false">IFERROR(INDEX(Section_Master!$G$2:$G$477,MATCH($E3838,Section_Master!$A$2:$A$477,0))&amp;"","")</f>
        <v>No</v>
      </c>
      <c r="J3838" s="10" t="s">
        <v>55</v>
      </c>
      <c r="K3838" s="8" t="s">
        <v>8989</v>
      </c>
    </row>
    <row r="3839" customFormat="false" ht="23.25" hidden="false" customHeight="true" outlineLevel="0" collapsed="false">
      <c r="A3839" s="10" t="s">
        <v>8994</v>
      </c>
      <c r="B3839" s="10" t="s">
        <v>45</v>
      </c>
      <c r="C3839" s="8" t="s">
        <v>8987</v>
      </c>
      <c r="D3839" s="8" t="s">
        <v>8995</v>
      </c>
      <c r="E3839" s="11" t="n">
        <v>282</v>
      </c>
      <c r="F3839" s="8" t="str">
        <f aca="false">IFERROR(INDEX(Section_Master!$D$2:$D$477,MATCH($E3839,Section_Master!$A$2:$A$477,0))&amp;"","")</f>
        <v>Imprisonment up to 6 months, or fine, or both</v>
      </c>
      <c r="G3839" s="10" t="str">
        <f aca="false">IFERROR(INDEX(Section_Master!$E$2:$E$477,MATCH($E3839,Section_Master!$A$2:$A$477,0))&amp;"","")</f>
        <v>Yes</v>
      </c>
      <c r="H3839" s="10" t="str">
        <f aca="false">IFERROR(INDEX(Section_Master!$F$2:$F$477,MATCH($E3839,Section_Master!$A$2:$A$477,0))&amp;"","")</f>
        <v>Yes</v>
      </c>
      <c r="I3839" s="10" t="str">
        <f aca="false">IFERROR(INDEX(Section_Master!$G$2:$G$477,MATCH($E3839,Section_Master!$A$2:$A$477,0))&amp;"","")</f>
        <v>No</v>
      </c>
      <c r="J3839" s="10" t="s">
        <v>58</v>
      </c>
      <c r="K3839" s="8" t="s">
        <v>8989</v>
      </c>
    </row>
    <row r="3840" customFormat="false" ht="34.5" hidden="false" customHeight="true" outlineLevel="0" collapsed="false">
      <c r="A3840" s="10" t="s">
        <v>8996</v>
      </c>
      <c r="B3840" s="10" t="s">
        <v>45</v>
      </c>
      <c r="C3840" s="8" t="s">
        <v>8987</v>
      </c>
      <c r="D3840" s="8" t="s">
        <v>8997</v>
      </c>
      <c r="E3840" s="11" t="n">
        <v>282</v>
      </c>
      <c r="F3840" s="8" t="str">
        <f aca="false">IFERROR(INDEX(Section_Master!$D$2:$D$477,MATCH($E3840,Section_Master!$A$2:$A$477,0))&amp;"","")</f>
        <v>Imprisonment up to 6 months, or fine, or both</v>
      </c>
      <c r="G3840" s="10" t="str">
        <f aca="false">IFERROR(INDEX(Section_Master!$E$2:$E$477,MATCH($E3840,Section_Master!$A$2:$A$477,0))&amp;"","")</f>
        <v>Yes</v>
      </c>
      <c r="H3840" s="10" t="str">
        <f aca="false">IFERROR(INDEX(Section_Master!$F$2:$F$477,MATCH($E3840,Section_Master!$A$2:$A$477,0))&amp;"","")</f>
        <v>Yes</v>
      </c>
      <c r="I3840" s="10" t="str">
        <f aca="false">IFERROR(INDEX(Section_Master!$G$2:$G$477,MATCH($E3840,Section_Master!$A$2:$A$477,0))&amp;"","")</f>
        <v>No</v>
      </c>
      <c r="J3840" s="10" t="s">
        <v>61</v>
      </c>
      <c r="K3840" s="8" t="s">
        <v>8989</v>
      </c>
    </row>
    <row r="3841" customFormat="false" ht="45.75" hidden="false" customHeight="true" outlineLevel="0" collapsed="false">
      <c r="A3841" s="10" t="s">
        <v>8998</v>
      </c>
      <c r="B3841" s="10" t="s">
        <v>45</v>
      </c>
      <c r="C3841" s="8" t="s">
        <v>8987</v>
      </c>
      <c r="D3841" s="8" t="s">
        <v>8999</v>
      </c>
      <c r="E3841" s="11" t="n">
        <v>282</v>
      </c>
      <c r="F3841" s="8" t="str">
        <f aca="false">IFERROR(INDEX(Section_Master!$D$2:$D$477,MATCH($E3841,Section_Master!$A$2:$A$477,0))&amp;"","")</f>
        <v>Imprisonment up to 6 months, or fine, or both</v>
      </c>
      <c r="G3841" s="10" t="str">
        <f aca="false">IFERROR(INDEX(Section_Master!$E$2:$E$477,MATCH($E3841,Section_Master!$A$2:$A$477,0))&amp;"","")</f>
        <v>Yes</v>
      </c>
      <c r="H3841" s="10" t="str">
        <f aca="false">IFERROR(INDEX(Section_Master!$F$2:$F$477,MATCH($E3841,Section_Master!$A$2:$A$477,0))&amp;"","")</f>
        <v>Yes</v>
      </c>
      <c r="I3841" s="10" t="str">
        <f aca="false">IFERROR(INDEX(Section_Master!$G$2:$G$477,MATCH($E3841,Section_Master!$A$2:$A$477,0))&amp;"","")</f>
        <v>No</v>
      </c>
      <c r="J3841" s="10" t="s">
        <v>64</v>
      </c>
      <c r="K3841" s="8" t="s">
        <v>8989</v>
      </c>
    </row>
    <row r="3842" customFormat="false" ht="34.5" hidden="false" customHeight="true" outlineLevel="0" collapsed="false">
      <c r="A3842" s="10" t="s">
        <v>9000</v>
      </c>
      <c r="B3842" s="10" t="s">
        <v>45</v>
      </c>
      <c r="C3842" s="8" t="s">
        <v>9001</v>
      </c>
      <c r="D3842" s="8" t="s">
        <v>9002</v>
      </c>
      <c r="E3842" s="11" t="n">
        <v>283</v>
      </c>
      <c r="F3842" s="8" t="str">
        <f aca="false">IFERROR(INDEX(Section_Master!$D$2:$D$477,MATCH($E3842,Section_Master!$A$2:$A$477,0))&amp;"","")</f>
        <v>Imprisonment up to 7 years, or fine, or both</v>
      </c>
      <c r="G3842" s="10" t="str">
        <f aca="false">IFERROR(INDEX(Section_Master!$E$2:$E$477,MATCH($E3842,Section_Master!$A$2:$A$477,0))&amp;"","")</f>
        <v>Yes</v>
      </c>
      <c r="H3842" s="10" t="str">
        <f aca="false">IFERROR(INDEX(Section_Master!$F$2:$F$477,MATCH($E3842,Section_Master!$A$2:$A$477,0))&amp;"","")</f>
        <v>Yes</v>
      </c>
      <c r="I3842" s="10" t="str">
        <f aca="false">IFERROR(INDEX(Section_Master!$G$2:$G$477,MATCH($E3842,Section_Master!$A$2:$A$477,0))&amp;"","")</f>
        <v>No</v>
      </c>
      <c r="J3842" s="10" t="s">
        <v>48</v>
      </c>
      <c r="K3842" s="8" t="s">
        <v>9003</v>
      </c>
    </row>
    <row r="3843" customFormat="false" ht="45.75" hidden="false" customHeight="true" outlineLevel="0" collapsed="false">
      <c r="A3843" s="10" t="s">
        <v>9004</v>
      </c>
      <c r="B3843" s="10" t="s">
        <v>45</v>
      </c>
      <c r="C3843" s="8" t="s">
        <v>9001</v>
      </c>
      <c r="D3843" s="8" t="s">
        <v>9005</v>
      </c>
      <c r="E3843" s="11" t="n">
        <v>283</v>
      </c>
      <c r="F3843" s="8" t="str">
        <f aca="false">IFERROR(INDEX(Section_Master!$D$2:$D$477,MATCH($E3843,Section_Master!$A$2:$A$477,0))&amp;"","")</f>
        <v>Imprisonment up to 7 years, or fine, or both</v>
      </c>
      <c r="G3843" s="10" t="str">
        <f aca="false">IFERROR(INDEX(Section_Master!$E$2:$E$477,MATCH($E3843,Section_Master!$A$2:$A$477,0))&amp;"","")</f>
        <v>Yes</v>
      </c>
      <c r="H3843" s="10" t="str">
        <f aca="false">IFERROR(INDEX(Section_Master!$F$2:$F$477,MATCH($E3843,Section_Master!$A$2:$A$477,0))&amp;"","")</f>
        <v>Yes</v>
      </c>
      <c r="I3843" s="10" t="str">
        <f aca="false">IFERROR(INDEX(Section_Master!$G$2:$G$477,MATCH($E3843,Section_Master!$A$2:$A$477,0))&amp;"","")</f>
        <v>No</v>
      </c>
      <c r="J3843" s="10" t="s">
        <v>52</v>
      </c>
      <c r="K3843" s="8" t="s">
        <v>9003</v>
      </c>
    </row>
    <row r="3844" customFormat="false" ht="34.5" hidden="false" customHeight="true" outlineLevel="0" collapsed="false">
      <c r="A3844" s="10" t="s">
        <v>9006</v>
      </c>
      <c r="B3844" s="10" t="s">
        <v>45</v>
      </c>
      <c r="C3844" s="8" t="s">
        <v>9001</v>
      </c>
      <c r="D3844" s="8" t="s">
        <v>9007</v>
      </c>
      <c r="E3844" s="11" t="n">
        <v>283</v>
      </c>
      <c r="F3844" s="8" t="str">
        <f aca="false">IFERROR(INDEX(Section_Master!$D$2:$D$477,MATCH($E3844,Section_Master!$A$2:$A$477,0))&amp;"","")</f>
        <v>Imprisonment up to 7 years, or fine, or both</v>
      </c>
      <c r="G3844" s="10" t="str">
        <f aca="false">IFERROR(INDEX(Section_Master!$E$2:$E$477,MATCH($E3844,Section_Master!$A$2:$A$477,0))&amp;"","")</f>
        <v>Yes</v>
      </c>
      <c r="H3844" s="10" t="str">
        <f aca="false">IFERROR(INDEX(Section_Master!$F$2:$F$477,MATCH($E3844,Section_Master!$A$2:$A$477,0))&amp;"","")</f>
        <v>Yes</v>
      </c>
      <c r="I3844" s="10" t="str">
        <f aca="false">IFERROR(INDEX(Section_Master!$G$2:$G$477,MATCH($E3844,Section_Master!$A$2:$A$477,0))&amp;"","")</f>
        <v>No</v>
      </c>
      <c r="J3844" s="10" t="s">
        <v>55</v>
      </c>
      <c r="K3844" s="8" t="s">
        <v>9003</v>
      </c>
    </row>
    <row r="3845" customFormat="false" ht="23.25" hidden="false" customHeight="true" outlineLevel="0" collapsed="false">
      <c r="A3845" s="10" t="s">
        <v>9008</v>
      </c>
      <c r="B3845" s="10" t="s">
        <v>45</v>
      </c>
      <c r="C3845" s="8" t="s">
        <v>9001</v>
      </c>
      <c r="D3845" s="8" t="s">
        <v>9009</v>
      </c>
      <c r="E3845" s="11" t="n">
        <v>283</v>
      </c>
      <c r="F3845" s="8" t="str">
        <f aca="false">IFERROR(INDEX(Section_Master!$D$2:$D$477,MATCH($E3845,Section_Master!$A$2:$A$477,0))&amp;"","")</f>
        <v>Imprisonment up to 7 years, or fine, or both</v>
      </c>
      <c r="G3845" s="10" t="str">
        <f aca="false">IFERROR(INDEX(Section_Master!$E$2:$E$477,MATCH($E3845,Section_Master!$A$2:$A$477,0))&amp;"","")</f>
        <v>Yes</v>
      </c>
      <c r="H3845" s="10" t="str">
        <f aca="false">IFERROR(INDEX(Section_Master!$F$2:$F$477,MATCH($E3845,Section_Master!$A$2:$A$477,0))&amp;"","")</f>
        <v>Yes</v>
      </c>
      <c r="I3845" s="10" t="str">
        <f aca="false">IFERROR(INDEX(Section_Master!$G$2:$G$477,MATCH($E3845,Section_Master!$A$2:$A$477,0))&amp;"","")</f>
        <v>No</v>
      </c>
      <c r="J3845" s="10" t="s">
        <v>58</v>
      </c>
      <c r="K3845" s="8" t="s">
        <v>9003</v>
      </c>
    </row>
    <row r="3846" customFormat="false" ht="34.5" hidden="false" customHeight="true" outlineLevel="0" collapsed="false">
      <c r="A3846" s="10" t="s">
        <v>9010</v>
      </c>
      <c r="B3846" s="10" t="s">
        <v>45</v>
      </c>
      <c r="C3846" s="8" t="s">
        <v>9001</v>
      </c>
      <c r="D3846" s="8" t="s">
        <v>9011</v>
      </c>
      <c r="E3846" s="11" t="n">
        <v>283</v>
      </c>
      <c r="F3846" s="8" t="str">
        <f aca="false">IFERROR(INDEX(Section_Master!$D$2:$D$477,MATCH($E3846,Section_Master!$A$2:$A$477,0))&amp;"","")</f>
        <v>Imprisonment up to 7 years, or fine, or both</v>
      </c>
      <c r="G3846" s="10" t="str">
        <f aca="false">IFERROR(INDEX(Section_Master!$E$2:$E$477,MATCH($E3846,Section_Master!$A$2:$A$477,0))&amp;"","")</f>
        <v>Yes</v>
      </c>
      <c r="H3846" s="10" t="str">
        <f aca="false">IFERROR(INDEX(Section_Master!$F$2:$F$477,MATCH($E3846,Section_Master!$A$2:$A$477,0))&amp;"","")</f>
        <v>Yes</v>
      </c>
      <c r="I3846" s="10" t="str">
        <f aca="false">IFERROR(INDEX(Section_Master!$G$2:$G$477,MATCH($E3846,Section_Master!$A$2:$A$477,0))&amp;"","")</f>
        <v>No</v>
      </c>
      <c r="J3846" s="10" t="s">
        <v>61</v>
      </c>
      <c r="K3846" s="8" t="s">
        <v>9003</v>
      </c>
    </row>
    <row r="3847" customFormat="false" ht="34.5" hidden="false" customHeight="true" outlineLevel="0" collapsed="false">
      <c r="A3847" s="10" t="s">
        <v>9012</v>
      </c>
      <c r="B3847" s="10" t="s">
        <v>45</v>
      </c>
      <c r="C3847" s="8" t="s">
        <v>9001</v>
      </c>
      <c r="D3847" s="8" t="s">
        <v>9013</v>
      </c>
      <c r="E3847" s="11" t="n">
        <v>283</v>
      </c>
      <c r="F3847" s="8" t="str">
        <f aca="false">IFERROR(INDEX(Section_Master!$D$2:$D$477,MATCH($E3847,Section_Master!$A$2:$A$477,0))&amp;"","")</f>
        <v>Imprisonment up to 7 years, or fine, or both</v>
      </c>
      <c r="G3847" s="10" t="str">
        <f aca="false">IFERROR(INDEX(Section_Master!$E$2:$E$477,MATCH($E3847,Section_Master!$A$2:$A$477,0))&amp;"","")</f>
        <v>Yes</v>
      </c>
      <c r="H3847" s="10" t="str">
        <f aca="false">IFERROR(INDEX(Section_Master!$F$2:$F$477,MATCH($E3847,Section_Master!$A$2:$A$477,0))&amp;"","")</f>
        <v>Yes</v>
      </c>
      <c r="I3847" s="10" t="str">
        <f aca="false">IFERROR(INDEX(Section_Master!$G$2:$G$477,MATCH($E3847,Section_Master!$A$2:$A$477,0))&amp;"","")</f>
        <v>No</v>
      </c>
      <c r="J3847" s="10" t="s">
        <v>64</v>
      </c>
      <c r="K3847" s="8" t="s">
        <v>9003</v>
      </c>
    </row>
    <row r="3848" customFormat="false" ht="34.5" hidden="false" customHeight="true" outlineLevel="0" collapsed="false">
      <c r="A3848" s="10" t="s">
        <v>9014</v>
      </c>
      <c r="B3848" s="10" t="s">
        <v>45</v>
      </c>
      <c r="C3848" s="8" t="s">
        <v>9015</v>
      </c>
      <c r="D3848" s="8" t="s">
        <v>9016</v>
      </c>
      <c r="E3848" s="11" t="n">
        <v>284</v>
      </c>
      <c r="F3848" s="8" t="str">
        <f aca="false">IFERROR(INDEX(Section_Master!$D$2:$D$477,MATCH($E3848,Section_Master!$A$2:$A$477,0))&amp;"","")</f>
        <v>Imprisonment up to 6 months, or fine, or both</v>
      </c>
      <c r="G3848" s="10" t="str">
        <f aca="false">IFERROR(INDEX(Section_Master!$E$2:$E$477,MATCH($E3848,Section_Master!$A$2:$A$477,0))&amp;"","")</f>
        <v>Yes</v>
      </c>
      <c r="H3848" s="10" t="str">
        <f aca="false">IFERROR(INDEX(Section_Master!$F$2:$F$477,MATCH($E3848,Section_Master!$A$2:$A$477,0))&amp;"","")</f>
        <v>Yes</v>
      </c>
      <c r="I3848" s="10" t="str">
        <f aca="false">IFERROR(INDEX(Section_Master!$G$2:$G$477,MATCH($E3848,Section_Master!$A$2:$A$477,0))&amp;"","")</f>
        <v>No</v>
      </c>
      <c r="J3848" s="10" t="s">
        <v>48</v>
      </c>
      <c r="K3848" s="8" t="s">
        <v>9017</v>
      </c>
    </row>
    <row r="3849" customFormat="false" ht="34.5" hidden="false" customHeight="true" outlineLevel="0" collapsed="false">
      <c r="A3849" s="10" t="s">
        <v>9018</v>
      </c>
      <c r="B3849" s="10" t="s">
        <v>45</v>
      </c>
      <c r="C3849" s="8" t="s">
        <v>9015</v>
      </c>
      <c r="D3849" s="8" t="s">
        <v>9019</v>
      </c>
      <c r="E3849" s="11" t="n">
        <v>284</v>
      </c>
      <c r="F3849" s="8" t="str">
        <f aca="false">IFERROR(INDEX(Section_Master!$D$2:$D$477,MATCH($E3849,Section_Master!$A$2:$A$477,0))&amp;"","")</f>
        <v>Imprisonment up to 6 months, or fine, or both</v>
      </c>
      <c r="G3849" s="10" t="str">
        <f aca="false">IFERROR(INDEX(Section_Master!$E$2:$E$477,MATCH($E3849,Section_Master!$A$2:$A$477,0))&amp;"","")</f>
        <v>Yes</v>
      </c>
      <c r="H3849" s="10" t="str">
        <f aca="false">IFERROR(INDEX(Section_Master!$F$2:$F$477,MATCH($E3849,Section_Master!$A$2:$A$477,0))&amp;"","")</f>
        <v>Yes</v>
      </c>
      <c r="I3849" s="10" t="str">
        <f aca="false">IFERROR(INDEX(Section_Master!$G$2:$G$477,MATCH($E3849,Section_Master!$A$2:$A$477,0))&amp;"","")</f>
        <v>No</v>
      </c>
      <c r="J3849" s="10" t="s">
        <v>52</v>
      </c>
      <c r="K3849" s="8" t="s">
        <v>9017</v>
      </c>
    </row>
    <row r="3850" customFormat="false" ht="34.5" hidden="false" customHeight="true" outlineLevel="0" collapsed="false">
      <c r="A3850" s="10" t="s">
        <v>9020</v>
      </c>
      <c r="B3850" s="10" t="s">
        <v>45</v>
      </c>
      <c r="C3850" s="8" t="s">
        <v>9015</v>
      </c>
      <c r="D3850" s="8" t="s">
        <v>9021</v>
      </c>
      <c r="E3850" s="11" t="n">
        <v>284</v>
      </c>
      <c r="F3850" s="8" t="str">
        <f aca="false">IFERROR(INDEX(Section_Master!$D$2:$D$477,MATCH($E3850,Section_Master!$A$2:$A$477,0))&amp;"","")</f>
        <v>Imprisonment up to 6 months, or fine, or both</v>
      </c>
      <c r="G3850" s="10" t="str">
        <f aca="false">IFERROR(INDEX(Section_Master!$E$2:$E$477,MATCH($E3850,Section_Master!$A$2:$A$477,0))&amp;"","")</f>
        <v>Yes</v>
      </c>
      <c r="H3850" s="10" t="str">
        <f aca="false">IFERROR(INDEX(Section_Master!$F$2:$F$477,MATCH($E3850,Section_Master!$A$2:$A$477,0))&amp;"","")</f>
        <v>Yes</v>
      </c>
      <c r="I3850" s="10" t="str">
        <f aca="false">IFERROR(INDEX(Section_Master!$G$2:$G$477,MATCH($E3850,Section_Master!$A$2:$A$477,0))&amp;"","")</f>
        <v>No</v>
      </c>
      <c r="J3850" s="10" t="s">
        <v>55</v>
      </c>
      <c r="K3850" s="8" t="s">
        <v>9017</v>
      </c>
    </row>
    <row r="3851" customFormat="false" ht="23.25" hidden="false" customHeight="true" outlineLevel="0" collapsed="false">
      <c r="A3851" s="10" t="s">
        <v>9022</v>
      </c>
      <c r="B3851" s="10" t="s">
        <v>45</v>
      </c>
      <c r="C3851" s="8" t="s">
        <v>9015</v>
      </c>
      <c r="D3851" s="8" t="s">
        <v>9023</v>
      </c>
      <c r="E3851" s="11" t="n">
        <v>284</v>
      </c>
      <c r="F3851" s="8" t="str">
        <f aca="false">IFERROR(INDEX(Section_Master!$D$2:$D$477,MATCH($E3851,Section_Master!$A$2:$A$477,0))&amp;"","")</f>
        <v>Imprisonment up to 6 months, or fine, or both</v>
      </c>
      <c r="G3851" s="10" t="str">
        <f aca="false">IFERROR(INDEX(Section_Master!$E$2:$E$477,MATCH($E3851,Section_Master!$A$2:$A$477,0))&amp;"","")</f>
        <v>Yes</v>
      </c>
      <c r="H3851" s="10" t="str">
        <f aca="false">IFERROR(INDEX(Section_Master!$F$2:$F$477,MATCH($E3851,Section_Master!$A$2:$A$477,0))&amp;"","")</f>
        <v>Yes</v>
      </c>
      <c r="I3851" s="10" t="str">
        <f aca="false">IFERROR(INDEX(Section_Master!$G$2:$G$477,MATCH($E3851,Section_Master!$A$2:$A$477,0))&amp;"","")</f>
        <v>No</v>
      </c>
      <c r="J3851" s="10" t="s">
        <v>58</v>
      </c>
      <c r="K3851" s="8" t="s">
        <v>9017</v>
      </c>
    </row>
    <row r="3852" customFormat="false" ht="34.5" hidden="false" customHeight="true" outlineLevel="0" collapsed="false">
      <c r="A3852" s="10" t="s">
        <v>9024</v>
      </c>
      <c r="B3852" s="10" t="s">
        <v>45</v>
      </c>
      <c r="C3852" s="8" t="s">
        <v>9015</v>
      </c>
      <c r="D3852" s="8" t="s">
        <v>9025</v>
      </c>
      <c r="E3852" s="11" t="n">
        <v>284</v>
      </c>
      <c r="F3852" s="8" t="str">
        <f aca="false">IFERROR(INDEX(Section_Master!$D$2:$D$477,MATCH($E3852,Section_Master!$A$2:$A$477,0))&amp;"","")</f>
        <v>Imprisonment up to 6 months, or fine, or both</v>
      </c>
      <c r="G3852" s="10" t="str">
        <f aca="false">IFERROR(INDEX(Section_Master!$E$2:$E$477,MATCH($E3852,Section_Master!$A$2:$A$477,0))&amp;"","")</f>
        <v>Yes</v>
      </c>
      <c r="H3852" s="10" t="str">
        <f aca="false">IFERROR(INDEX(Section_Master!$F$2:$F$477,MATCH($E3852,Section_Master!$A$2:$A$477,0))&amp;"","")</f>
        <v>Yes</v>
      </c>
      <c r="I3852" s="10" t="str">
        <f aca="false">IFERROR(INDEX(Section_Master!$G$2:$G$477,MATCH($E3852,Section_Master!$A$2:$A$477,0))&amp;"","")</f>
        <v>No</v>
      </c>
      <c r="J3852" s="10" t="s">
        <v>61</v>
      </c>
      <c r="K3852" s="8" t="s">
        <v>9017</v>
      </c>
    </row>
    <row r="3853" customFormat="false" ht="45.75" hidden="false" customHeight="true" outlineLevel="0" collapsed="false">
      <c r="A3853" s="10" t="s">
        <v>9026</v>
      </c>
      <c r="B3853" s="10" t="s">
        <v>45</v>
      </c>
      <c r="C3853" s="8" t="s">
        <v>9015</v>
      </c>
      <c r="D3853" s="8" t="s">
        <v>9027</v>
      </c>
      <c r="E3853" s="11" t="n">
        <v>284</v>
      </c>
      <c r="F3853" s="8" t="str">
        <f aca="false">IFERROR(INDEX(Section_Master!$D$2:$D$477,MATCH($E3853,Section_Master!$A$2:$A$477,0))&amp;"","")</f>
        <v>Imprisonment up to 6 months, or fine, or both</v>
      </c>
      <c r="G3853" s="10" t="str">
        <f aca="false">IFERROR(INDEX(Section_Master!$E$2:$E$477,MATCH($E3853,Section_Master!$A$2:$A$477,0))&amp;"","")</f>
        <v>Yes</v>
      </c>
      <c r="H3853" s="10" t="str">
        <f aca="false">IFERROR(INDEX(Section_Master!$F$2:$F$477,MATCH($E3853,Section_Master!$A$2:$A$477,0))&amp;"","")</f>
        <v>Yes</v>
      </c>
      <c r="I3853" s="10" t="str">
        <f aca="false">IFERROR(INDEX(Section_Master!$G$2:$G$477,MATCH($E3853,Section_Master!$A$2:$A$477,0))&amp;"","")</f>
        <v>No</v>
      </c>
      <c r="J3853" s="10" t="s">
        <v>64</v>
      </c>
      <c r="K3853" s="8" t="s">
        <v>9017</v>
      </c>
    </row>
    <row r="3854" customFormat="false" ht="34.5" hidden="false" customHeight="true" outlineLevel="0" collapsed="false">
      <c r="A3854" s="10" t="s">
        <v>9028</v>
      </c>
      <c r="B3854" s="10" t="s">
        <v>45</v>
      </c>
      <c r="C3854" s="8" t="s">
        <v>9029</v>
      </c>
      <c r="D3854" s="8" t="s">
        <v>9030</v>
      </c>
      <c r="E3854" s="11" t="n">
        <v>285</v>
      </c>
      <c r="F3854" s="8" t="str">
        <f aca="false">IFERROR(INDEX(Section_Master!$D$2:$D$477,MATCH($E3854,Section_Master!$A$2:$A$477,0))&amp;"","")</f>
        <v>Fine</v>
      </c>
      <c r="G3854" s="10" t="str">
        <f aca="false">IFERROR(INDEX(Section_Master!$E$2:$E$477,MATCH($E3854,Section_Master!$A$2:$A$477,0))&amp;"","")</f>
        <v>No</v>
      </c>
      <c r="H3854" s="10" t="str">
        <f aca="false">IFERROR(INDEX(Section_Master!$F$2:$F$477,MATCH($E3854,Section_Master!$A$2:$A$477,0))&amp;"","")</f>
        <v>Yes</v>
      </c>
      <c r="I3854" s="10" t="str">
        <f aca="false">IFERROR(INDEX(Section_Master!$G$2:$G$477,MATCH($E3854,Section_Master!$A$2:$A$477,0))&amp;"","")</f>
        <v>No</v>
      </c>
      <c r="J3854" s="10" t="s">
        <v>48</v>
      </c>
      <c r="K3854" s="8" t="s">
        <v>9031</v>
      </c>
    </row>
    <row r="3855" customFormat="false" ht="34.5" hidden="false" customHeight="true" outlineLevel="0" collapsed="false">
      <c r="A3855" s="10" t="s">
        <v>9032</v>
      </c>
      <c r="B3855" s="10" t="s">
        <v>45</v>
      </c>
      <c r="C3855" s="8" t="s">
        <v>9029</v>
      </c>
      <c r="D3855" s="8" t="s">
        <v>9033</v>
      </c>
      <c r="E3855" s="11" t="n">
        <v>285</v>
      </c>
      <c r="F3855" s="8" t="str">
        <f aca="false">IFERROR(INDEX(Section_Master!$D$2:$D$477,MATCH($E3855,Section_Master!$A$2:$A$477,0))&amp;"","")</f>
        <v>Fine</v>
      </c>
      <c r="G3855" s="10" t="str">
        <f aca="false">IFERROR(INDEX(Section_Master!$E$2:$E$477,MATCH($E3855,Section_Master!$A$2:$A$477,0))&amp;"","")</f>
        <v>No</v>
      </c>
      <c r="H3855" s="10" t="str">
        <f aca="false">IFERROR(INDEX(Section_Master!$F$2:$F$477,MATCH($E3855,Section_Master!$A$2:$A$477,0))&amp;"","")</f>
        <v>Yes</v>
      </c>
      <c r="I3855" s="10" t="str">
        <f aca="false">IFERROR(INDEX(Section_Master!$G$2:$G$477,MATCH($E3855,Section_Master!$A$2:$A$477,0))&amp;"","")</f>
        <v>No</v>
      </c>
      <c r="J3855" s="10" t="s">
        <v>52</v>
      </c>
      <c r="K3855" s="8" t="s">
        <v>9031</v>
      </c>
    </row>
    <row r="3856" customFormat="false" ht="34.5" hidden="false" customHeight="true" outlineLevel="0" collapsed="false">
      <c r="A3856" s="10" t="s">
        <v>9034</v>
      </c>
      <c r="B3856" s="10" t="s">
        <v>45</v>
      </c>
      <c r="C3856" s="8" t="s">
        <v>9029</v>
      </c>
      <c r="D3856" s="8" t="s">
        <v>9035</v>
      </c>
      <c r="E3856" s="11" t="n">
        <v>285</v>
      </c>
      <c r="F3856" s="8" t="str">
        <f aca="false">IFERROR(INDEX(Section_Master!$D$2:$D$477,MATCH($E3856,Section_Master!$A$2:$A$477,0))&amp;"","")</f>
        <v>Fine</v>
      </c>
      <c r="G3856" s="10" t="str">
        <f aca="false">IFERROR(INDEX(Section_Master!$E$2:$E$477,MATCH($E3856,Section_Master!$A$2:$A$477,0))&amp;"","")</f>
        <v>No</v>
      </c>
      <c r="H3856" s="10" t="str">
        <f aca="false">IFERROR(INDEX(Section_Master!$F$2:$F$477,MATCH($E3856,Section_Master!$A$2:$A$477,0))&amp;"","")</f>
        <v>Yes</v>
      </c>
      <c r="I3856" s="10" t="str">
        <f aca="false">IFERROR(INDEX(Section_Master!$G$2:$G$477,MATCH($E3856,Section_Master!$A$2:$A$477,0))&amp;"","")</f>
        <v>No</v>
      </c>
      <c r="J3856" s="10" t="s">
        <v>55</v>
      </c>
      <c r="K3856" s="8" t="s">
        <v>9031</v>
      </c>
    </row>
    <row r="3857" customFormat="false" ht="23.25" hidden="false" customHeight="true" outlineLevel="0" collapsed="false">
      <c r="A3857" s="10" t="s">
        <v>9036</v>
      </c>
      <c r="B3857" s="10" t="s">
        <v>45</v>
      </c>
      <c r="C3857" s="8" t="s">
        <v>9029</v>
      </c>
      <c r="D3857" s="8" t="s">
        <v>9037</v>
      </c>
      <c r="E3857" s="11" t="n">
        <v>285</v>
      </c>
      <c r="F3857" s="8" t="str">
        <f aca="false">IFERROR(INDEX(Section_Master!$D$2:$D$477,MATCH($E3857,Section_Master!$A$2:$A$477,0))&amp;"","")</f>
        <v>Fine</v>
      </c>
      <c r="G3857" s="10" t="str">
        <f aca="false">IFERROR(INDEX(Section_Master!$E$2:$E$477,MATCH($E3857,Section_Master!$A$2:$A$477,0))&amp;"","")</f>
        <v>No</v>
      </c>
      <c r="H3857" s="10" t="str">
        <f aca="false">IFERROR(INDEX(Section_Master!$F$2:$F$477,MATCH($E3857,Section_Master!$A$2:$A$477,0))&amp;"","")</f>
        <v>Yes</v>
      </c>
      <c r="I3857" s="10" t="str">
        <f aca="false">IFERROR(INDEX(Section_Master!$G$2:$G$477,MATCH($E3857,Section_Master!$A$2:$A$477,0))&amp;"","")</f>
        <v>No</v>
      </c>
      <c r="J3857" s="10" t="s">
        <v>58</v>
      </c>
      <c r="K3857" s="8" t="s">
        <v>9031</v>
      </c>
    </row>
    <row r="3858" customFormat="false" ht="45.75" hidden="false" customHeight="true" outlineLevel="0" collapsed="false">
      <c r="A3858" s="10" t="s">
        <v>9038</v>
      </c>
      <c r="B3858" s="10" t="s">
        <v>45</v>
      </c>
      <c r="C3858" s="8" t="s">
        <v>9029</v>
      </c>
      <c r="D3858" s="8" t="s">
        <v>9039</v>
      </c>
      <c r="E3858" s="11" t="n">
        <v>285</v>
      </c>
      <c r="F3858" s="8" t="str">
        <f aca="false">IFERROR(INDEX(Section_Master!$D$2:$D$477,MATCH($E3858,Section_Master!$A$2:$A$477,0))&amp;"","")</f>
        <v>Fine</v>
      </c>
      <c r="G3858" s="10" t="str">
        <f aca="false">IFERROR(INDEX(Section_Master!$E$2:$E$477,MATCH($E3858,Section_Master!$A$2:$A$477,0))&amp;"","")</f>
        <v>No</v>
      </c>
      <c r="H3858" s="10" t="str">
        <f aca="false">IFERROR(INDEX(Section_Master!$F$2:$F$477,MATCH($E3858,Section_Master!$A$2:$A$477,0))&amp;"","")</f>
        <v>Yes</v>
      </c>
      <c r="I3858" s="10" t="str">
        <f aca="false">IFERROR(INDEX(Section_Master!$G$2:$G$477,MATCH($E3858,Section_Master!$A$2:$A$477,0))&amp;"","")</f>
        <v>No</v>
      </c>
      <c r="J3858" s="10" t="s">
        <v>61</v>
      </c>
      <c r="K3858" s="8" t="s">
        <v>9031</v>
      </c>
    </row>
    <row r="3859" customFormat="false" ht="34.5" hidden="false" customHeight="true" outlineLevel="0" collapsed="false">
      <c r="A3859" s="10" t="s">
        <v>9040</v>
      </c>
      <c r="B3859" s="10" t="s">
        <v>45</v>
      </c>
      <c r="C3859" s="8" t="s">
        <v>9029</v>
      </c>
      <c r="D3859" s="8" t="s">
        <v>9041</v>
      </c>
      <c r="E3859" s="11" t="n">
        <v>285</v>
      </c>
      <c r="F3859" s="8" t="str">
        <f aca="false">IFERROR(INDEX(Section_Master!$D$2:$D$477,MATCH($E3859,Section_Master!$A$2:$A$477,0))&amp;"","")</f>
        <v>Fine</v>
      </c>
      <c r="G3859" s="10" t="str">
        <f aca="false">IFERROR(INDEX(Section_Master!$E$2:$E$477,MATCH($E3859,Section_Master!$A$2:$A$477,0))&amp;"","")</f>
        <v>No</v>
      </c>
      <c r="H3859" s="10" t="str">
        <f aca="false">IFERROR(INDEX(Section_Master!$F$2:$F$477,MATCH($E3859,Section_Master!$A$2:$A$477,0))&amp;"","")</f>
        <v>Yes</v>
      </c>
      <c r="I3859" s="10" t="str">
        <f aca="false">IFERROR(INDEX(Section_Master!$G$2:$G$477,MATCH($E3859,Section_Master!$A$2:$A$477,0))&amp;"","")</f>
        <v>No</v>
      </c>
      <c r="J3859" s="10" t="s">
        <v>64</v>
      </c>
      <c r="K3859" s="8" t="s">
        <v>9031</v>
      </c>
    </row>
    <row r="3860" customFormat="false" ht="34.5" hidden="false" customHeight="true" outlineLevel="0" collapsed="false">
      <c r="A3860" s="10" t="s">
        <v>9042</v>
      </c>
      <c r="B3860" s="10" t="s">
        <v>45</v>
      </c>
      <c r="C3860" s="8" t="s">
        <v>9043</v>
      </c>
      <c r="D3860" s="8" t="s">
        <v>9044</v>
      </c>
      <c r="E3860" s="11" t="n">
        <v>286</v>
      </c>
      <c r="F3860" s="8" t="str">
        <f aca="false">IFERROR(INDEX(Section_Master!$D$2:$D$477,MATCH($E3860,Section_Master!$A$2:$A$477,0))&amp;"","")</f>
        <v>Imprisonment up to 6 months, or fine, or both</v>
      </c>
      <c r="G3860" s="10" t="str">
        <f aca="false">IFERROR(INDEX(Section_Master!$E$2:$E$477,MATCH($E3860,Section_Master!$A$2:$A$477,0))&amp;"","")</f>
        <v>Yes</v>
      </c>
      <c r="H3860" s="10" t="str">
        <f aca="false">IFERROR(INDEX(Section_Master!$F$2:$F$477,MATCH($E3860,Section_Master!$A$2:$A$477,0))&amp;"","")</f>
        <v>Yes</v>
      </c>
      <c r="I3860" s="10" t="str">
        <f aca="false">IFERROR(INDEX(Section_Master!$G$2:$G$477,MATCH($E3860,Section_Master!$A$2:$A$477,0))&amp;"","")</f>
        <v>No</v>
      </c>
      <c r="J3860" s="10" t="s">
        <v>48</v>
      </c>
      <c r="K3860" s="8" t="s">
        <v>9045</v>
      </c>
    </row>
    <row r="3861" customFormat="false" ht="45.75" hidden="false" customHeight="true" outlineLevel="0" collapsed="false">
      <c r="A3861" s="10" t="s">
        <v>9046</v>
      </c>
      <c r="B3861" s="10" t="s">
        <v>45</v>
      </c>
      <c r="C3861" s="8" t="s">
        <v>9043</v>
      </c>
      <c r="D3861" s="8" t="s">
        <v>9047</v>
      </c>
      <c r="E3861" s="11" t="n">
        <v>286</v>
      </c>
      <c r="F3861" s="8" t="str">
        <f aca="false">IFERROR(INDEX(Section_Master!$D$2:$D$477,MATCH($E3861,Section_Master!$A$2:$A$477,0))&amp;"","")</f>
        <v>Imprisonment up to 6 months, or fine, or both</v>
      </c>
      <c r="G3861" s="10" t="str">
        <f aca="false">IFERROR(INDEX(Section_Master!$E$2:$E$477,MATCH($E3861,Section_Master!$A$2:$A$477,0))&amp;"","")</f>
        <v>Yes</v>
      </c>
      <c r="H3861" s="10" t="str">
        <f aca="false">IFERROR(INDEX(Section_Master!$F$2:$F$477,MATCH($E3861,Section_Master!$A$2:$A$477,0))&amp;"","")</f>
        <v>Yes</v>
      </c>
      <c r="I3861" s="10" t="str">
        <f aca="false">IFERROR(INDEX(Section_Master!$G$2:$G$477,MATCH($E3861,Section_Master!$A$2:$A$477,0))&amp;"","")</f>
        <v>No</v>
      </c>
      <c r="J3861" s="10" t="s">
        <v>52</v>
      </c>
      <c r="K3861" s="8" t="s">
        <v>9045</v>
      </c>
    </row>
    <row r="3862" customFormat="false" ht="34.5" hidden="false" customHeight="true" outlineLevel="0" collapsed="false">
      <c r="A3862" s="10" t="s">
        <v>9048</v>
      </c>
      <c r="B3862" s="10" t="s">
        <v>45</v>
      </c>
      <c r="C3862" s="8" t="s">
        <v>9043</v>
      </c>
      <c r="D3862" s="8" t="s">
        <v>9049</v>
      </c>
      <c r="E3862" s="11" t="n">
        <v>286</v>
      </c>
      <c r="F3862" s="8" t="str">
        <f aca="false">IFERROR(INDEX(Section_Master!$D$2:$D$477,MATCH($E3862,Section_Master!$A$2:$A$477,0))&amp;"","")</f>
        <v>Imprisonment up to 6 months, or fine, or both</v>
      </c>
      <c r="G3862" s="10" t="str">
        <f aca="false">IFERROR(INDEX(Section_Master!$E$2:$E$477,MATCH($E3862,Section_Master!$A$2:$A$477,0))&amp;"","")</f>
        <v>Yes</v>
      </c>
      <c r="H3862" s="10" t="str">
        <f aca="false">IFERROR(INDEX(Section_Master!$F$2:$F$477,MATCH($E3862,Section_Master!$A$2:$A$477,0))&amp;"","")</f>
        <v>Yes</v>
      </c>
      <c r="I3862" s="10" t="str">
        <f aca="false">IFERROR(INDEX(Section_Master!$G$2:$G$477,MATCH($E3862,Section_Master!$A$2:$A$477,0))&amp;"","")</f>
        <v>No</v>
      </c>
      <c r="J3862" s="10" t="s">
        <v>55</v>
      </c>
      <c r="K3862" s="8" t="s">
        <v>9045</v>
      </c>
    </row>
    <row r="3863" customFormat="false" ht="23.25" hidden="false" customHeight="true" outlineLevel="0" collapsed="false">
      <c r="A3863" s="10" t="s">
        <v>9050</v>
      </c>
      <c r="B3863" s="10" t="s">
        <v>45</v>
      </c>
      <c r="C3863" s="8" t="s">
        <v>9043</v>
      </c>
      <c r="D3863" s="8" t="s">
        <v>9051</v>
      </c>
      <c r="E3863" s="11" t="n">
        <v>286</v>
      </c>
      <c r="F3863" s="8" t="str">
        <f aca="false">IFERROR(INDEX(Section_Master!$D$2:$D$477,MATCH($E3863,Section_Master!$A$2:$A$477,0))&amp;"","")</f>
        <v>Imprisonment up to 6 months, or fine, or both</v>
      </c>
      <c r="G3863" s="10" t="str">
        <f aca="false">IFERROR(INDEX(Section_Master!$E$2:$E$477,MATCH($E3863,Section_Master!$A$2:$A$477,0))&amp;"","")</f>
        <v>Yes</v>
      </c>
      <c r="H3863" s="10" t="str">
        <f aca="false">IFERROR(INDEX(Section_Master!$F$2:$F$477,MATCH($E3863,Section_Master!$A$2:$A$477,0))&amp;"","")</f>
        <v>Yes</v>
      </c>
      <c r="I3863" s="10" t="str">
        <f aca="false">IFERROR(INDEX(Section_Master!$G$2:$G$477,MATCH($E3863,Section_Master!$A$2:$A$477,0))&amp;"","")</f>
        <v>No</v>
      </c>
      <c r="J3863" s="10" t="s">
        <v>58</v>
      </c>
      <c r="K3863" s="8" t="s">
        <v>9045</v>
      </c>
    </row>
    <row r="3864" customFormat="false" ht="23.25" hidden="false" customHeight="true" outlineLevel="0" collapsed="false">
      <c r="A3864" s="10" t="s">
        <v>9052</v>
      </c>
      <c r="B3864" s="10" t="s">
        <v>45</v>
      </c>
      <c r="C3864" s="8" t="s">
        <v>9043</v>
      </c>
      <c r="D3864" s="8" t="s">
        <v>9053</v>
      </c>
      <c r="E3864" s="11" t="n">
        <v>286</v>
      </c>
      <c r="F3864" s="8" t="str">
        <f aca="false">IFERROR(INDEX(Section_Master!$D$2:$D$477,MATCH($E3864,Section_Master!$A$2:$A$477,0))&amp;"","")</f>
        <v>Imprisonment up to 6 months, or fine, or both</v>
      </c>
      <c r="G3864" s="10" t="str">
        <f aca="false">IFERROR(INDEX(Section_Master!$E$2:$E$477,MATCH($E3864,Section_Master!$A$2:$A$477,0))&amp;"","")</f>
        <v>Yes</v>
      </c>
      <c r="H3864" s="10" t="str">
        <f aca="false">IFERROR(INDEX(Section_Master!$F$2:$F$477,MATCH($E3864,Section_Master!$A$2:$A$477,0))&amp;"","")</f>
        <v>Yes</v>
      </c>
      <c r="I3864" s="10" t="str">
        <f aca="false">IFERROR(INDEX(Section_Master!$G$2:$G$477,MATCH($E3864,Section_Master!$A$2:$A$477,0))&amp;"","")</f>
        <v>No</v>
      </c>
      <c r="J3864" s="10" t="s">
        <v>61</v>
      </c>
      <c r="K3864" s="8" t="s">
        <v>9045</v>
      </c>
    </row>
    <row r="3865" customFormat="false" ht="34.5" hidden="false" customHeight="true" outlineLevel="0" collapsed="false">
      <c r="A3865" s="10" t="s">
        <v>9054</v>
      </c>
      <c r="B3865" s="10" t="s">
        <v>45</v>
      </c>
      <c r="C3865" s="8" t="s">
        <v>9043</v>
      </c>
      <c r="D3865" s="8" t="s">
        <v>9055</v>
      </c>
      <c r="E3865" s="11" t="n">
        <v>286</v>
      </c>
      <c r="F3865" s="8" t="str">
        <f aca="false">IFERROR(INDEX(Section_Master!$D$2:$D$477,MATCH($E3865,Section_Master!$A$2:$A$477,0))&amp;"","")</f>
        <v>Imprisonment up to 6 months, or fine, or both</v>
      </c>
      <c r="G3865" s="10" t="str">
        <f aca="false">IFERROR(INDEX(Section_Master!$E$2:$E$477,MATCH($E3865,Section_Master!$A$2:$A$477,0))&amp;"","")</f>
        <v>Yes</v>
      </c>
      <c r="H3865" s="10" t="str">
        <f aca="false">IFERROR(INDEX(Section_Master!$F$2:$F$477,MATCH($E3865,Section_Master!$A$2:$A$477,0))&amp;"","")</f>
        <v>Yes</v>
      </c>
      <c r="I3865" s="10" t="str">
        <f aca="false">IFERROR(INDEX(Section_Master!$G$2:$G$477,MATCH($E3865,Section_Master!$A$2:$A$477,0))&amp;"","")</f>
        <v>No</v>
      </c>
      <c r="J3865" s="10" t="s">
        <v>64</v>
      </c>
      <c r="K3865" s="8" t="s">
        <v>9045</v>
      </c>
    </row>
    <row r="3866" customFormat="false" ht="34.5" hidden="false" customHeight="true" outlineLevel="0" collapsed="false">
      <c r="A3866" s="10" t="s">
        <v>9056</v>
      </c>
      <c r="B3866" s="10" t="s">
        <v>45</v>
      </c>
      <c r="C3866" s="8" t="s">
        <v>9057</v>
      </c>
      <c r="D3866" s="8" t="s">
        <v>9058</v>
      </c>
      <c r="E3866" s="11" t="n">
        <v>287</v>
      </c>
      <c r="F3866" s="8" t="str">
        <f aca="false">IFERROR(INDEX(Section_Master!$D$2:$D$477,MATCH($E3866,Section_Master!$A$2:$A$477,0))&amp;"","")</f>
        <v>Imprisonment up to 6 months, or fine, or both</v>
      </c>
      <c r="G3866" s="10" t="str">
        <f aca="false">IFERROR(INDEX(Section_Master!$E$2:$E$477,MATCH($E3866,Section_Master!$A$2:$A$477,0))&amp;"","")</f>
        <v>Yes</v>
      </c>
      <c r="H3866" s="10" t="str">
        <f aca="false">IFERROR(INDEX(Section_Master!$F$2:$F$477,MATCH($E3866,Section_Master!$A$2:$A$477,0))&amp;"","")</f>
        <v>Yes</v>
      </c>
      <c r="I3866" s="10" t="str">
        <f aca="false">IFERROR(INDEX(Section_Master!$G$2:$G$477,MATCH($E3866,Section_Master!$A$2:$A$477,0))&amp;"","")</f>
        <v>No</v>
      </c>
      <c r="J3866" s="10" t="s">
        <v>48</v>
      </c>
      <c r="K3866" s="8" t="s">
        <v>9059</v>
      </c>
    </row>
    <row r="3867" customFormat="false" ht="34.5" hidden="false" customHeight="true" outlineLevel="0" collapsed="false">
      <c r="A3867" s="10" t="s">
        <v>9060</v>
      </c>
      <c r="B3867" s="10" t="s">
        <v>45</v>
      </c>
      <c r="C3867" s="8" t="s">
        <v>9057</v>
      </c>
      <c r="D3867" s="8" t="s">
        <v>9061</v>
      </c>
      <c r="E3867" s="11" t="n">
        <v>287</v>
      </c>
      <c r="F3867" s="8" t="str">
        <f aca="false">IFERROR(INDEX(Section_Master!$D$2:$D$477,MATCH($E3867,Section_Master!$A$2:$A$477,0))&amp;"","")</f>
        <v>Imprisonment up to 6 months, or fine, or both</v>
      </c>
      <c r="G3867" s="10" t="str">
        <f aca="false">IFERROR(INDEX(Section_Master!$E$2:$E$477,MATCH($E3867,Section_Master!$A$2:$A$477,0))&amp;"","")</f>
        <v>Yes</v>
      </c>
      <c r="H3867" s="10" t="str">
        <f aca="false">IFERROR(INDEX(Section_Master!$F$2:$F$477,MATCH($E3867,Section_Master!$A$2:$A$477,0))&amp;"","")</f>
        <v>Yes</v>
      </c>
      <c r="I3867" s="10" t="str">
        <f aca="false">IFERROR(INDEX(Section_Master!$G$2:$G$477,MATCH($E3867,Section_Master!$A$2:$A$477,0))&amp;"","")</f>
        <v>No</v>
      </c>
      <c r="J3867" s="10" t="s">
        <v>52</v>
      </c>
      <c r="K3867" s="8" t="s">
        <v>9059</v>
      </c>
    </row>
    <row r="3868" customFormat="false" ht="34.5" hidden="false" customHeight="true" outlineLevel="0" collapsed="false">
      <c r="A3868" s="10" t="s">
        <v>9062</v>
      </c>
      <c r="B3868" s="10" t="s">
        <v>45</v>
      </c>
      <c r="C3868" s="8" t="s">
        <v>9057</v>
      </c>
      <c r="D3868" s="8" t="s">
        <v>9063</v>
      </c>
      <c r="E3868" s="11" t="n">
        <v>287</v>
      </c>
      <c r="F3868" s="8" t="str">
        <f aca="false">IFERROR(INDEX(Section_Master!$D$2:$D$477,MATCH($E3868,Section_Master!$A$2:$A$477,0))&amp;"","")</f>
        <v>Imprisonment up to 6 months, or fine, or both</v>
      </c>
      <c r="G3868" s="10" t="str">
        <f aca="false">IFERROR(INDEX(Section_Master!$E$2:$E$477,MATCH($E3868,Section_Master!$A$2:$A$477,0))&amp;"","")</f>
        <v>Yes</v>
      </c>
      <c r="H3868" s="10" t="str">
        <f aca="false">IFERROR(INDEX(Section_Master!$F$2:$F$477,MATCH($E3868,Section_Master!$A$2:$A$477,0))&amp;"","")</f>
        <v>Yes</v>
      </c>
      <c r="I3868" s="10" t="str">
        <f aca="false">IFERROR(INDEX(Section_Master!$G$2:$G$477,MATCH($E3868,Section_Master!$A$2:$A$477,0))&amp;"","")</f>
        <v>No</v>
      </c>
      <c r="J3868" s="10" t="s">
        <v>55</v>
      </c>
      <c r="K3868" s="8" t="s">
        <v>9059</v>
      </c>
    </row>
    <row r="3869" customFormat="false" ht="23.25" hidden="false" customHeight="true" outlineLevel="0" collapsed="false">
      <c r="A3869" s="10" t="s">
        <v>9064</v>
      </c>
      <c r="B3869" s="10" t="s">
        <v>45</v>
      </c>
      <c r="C3869" s="8" t="s">
        <v>9057</v>
      </c>
      <c r="D3869" s="8" t="s">
        <v>9065</v>
      </c>
      <c r="E3869" s="11" t="n">
        <v>287</v>
      </c>
      <c r="F3869" s="8" t="str">
        <f aca="false">IFERROR(INDEX(Section_Master!$D$2:$D$477,MATCH($E3869,Section_Master!$A$2:$A$477,0))&amp;"","")</f>
        <v>Imprisonment up to 6 months, or fine, or both</v>
      </c>
      <c r="G3869" s="10" t="str">
        <f aca="false">IFERROR(INDEX(Section_Master!$E$2:$E$477,MATCH($E3869,Section_Master!$A$2:$A$477,0))&amp;"","")</f>
        <v>Yes</v>
      </c>
      <c r="H3869" s="10" t="str">
        <f aca="false">IFERROR(INDEX(Section_Master!$F$2:$F$477,MATCH($E3869,Section_Master!$A$2:$A$477,0))&amp;"","")</f>
        <v>Yes</v>
      </c>
      <c r="I3869" s="10" t="str">
        <f aca="false">IFERROR(INDEX(Section_Master!$G$2:$G$477,MATCH($E3869,Section_Master!$A$2:$A$477,0))&amp;"","")</f>
        <v>No</v>
      </c>
      <c r="J3869" s="10" t="s">
        <v>58</v>
      </c>
      <c r="K3869" s="8" t="s">
        <v>9059</v>
      </c>
    </row>
    <row r="3870" customFormat="false" ht="23.25" hidden="false" customHeight="true" outlineLevel="0" collapsed="false">
      <c r="A3870" s="10" t="s">
        <v>9066</v>
      </c>
      <c r="B3870" s="10" t="s">
        <v>45</v>
      </c>
      <c r="C3870" s="8" t="s">
        <v>9057</v>
      </c>
      <c r="D3870" s="8" t="s">
        <v>9067</v>
      </c>
      <c r="E3870" s="11" t="n">
        <v>287</v>
      </c>
      <c r="F3870" s="8" t="str">
        <f aca="false">IFERROR(INDEX(Section_Master!$D$2:$D$477,MATCH($E3870,Section_Master!$A$2:$A$477,0))&amp;"","")</f>
        <v>Imprisonment up to 6 months, or fine, or both</v>
      </c>
      <c r="G3870" s="10" t="str">
        <f aca="false">IFERROR(INDEX(Section_Master!$E$2:$E$477,MATCH($E3870,Section_Master!$A$2:$A$477,0))&amp;"","")</f>
        <v>Yes</v>
      </c>
      <c r="H3870" s="10" t="str">
        <f aca="false">IFERROR(INDEX(Section_Master!$F$2:$F$477,MATCH($E3870,Section_Master!$A$2:$A$477,0))&amp;"","")</f>
        <v>Yes</v>
      </c>
      <c r="I3870" s="10" t="str">
        <f aca="false">IFERROR(INDEX(Section_Master!$G$2:$G$477,MATCH($E3870,Section_Master!$A$2:$A$477,0))&amp;"","")</f>
        <v>No</v>
      </c>
      <c r="J3870" s="10" t="s">
        <v>61</v>
      </c>
      <c r="K3870" s="8" t="s">
        <v>9059</v>
      </c>
    </row>
    <row r="3871" customFormat="false" ht="45.75" hidden="false" customHeight="true" outlineLevel="0" collapsed="false">
      <c r="A3871" s="10" t="s">
        <v>9068</v>
      </c>
      <c r="B3871" s="10" t="s">
        <v>45</v>
      </c>
      <c r="C3871" s="8" t="s">
        <v>9057</v>
      </c>
      <c r="D3871" s="8" t="s">
        <v>9069</v>
      </c>
      <c r="E3871" s="11" t="n">
        <v>287</v>
      </c>
      <c r="F3871" s="8" t="str">
        <f aca="false">IFERROR(INDEX(Section_Master!$D$2:$D$477,MATCH($E3871,Section_Master!$A$2:$A$477,0))&amp;"","")</f>
        <v>Imprisonment up to 6 months, or fine, or both</v>
      </c>
      <c r="G3871" s="10" t="str">
        <f aca="false">IFERROR(INDEX(Section_Master!$E$2:$E$477,MATCH($E3871,Section_Master!$A$2:$A$477,0))&amp;"","")</f>
        <v>Yes</v>
      </c>
      <c r="H3871" s="10" t="str">
        <f aca="false">IFERROR(INDEX(Section_Master!$F$2:$F$477,MATCH($E3871,Section_Master!$A$2:$A$477,0))&amp;"","")</f>
        <v>Yes</v>
      </c>
      <c r="I3871" s="10" t="str">
        <f aca="false">IFERROR(INDEX(Section_Master!$G$2:$G$477,MATCH($E3871,Section_Master!$A$2:$A$477,0))&amp;"","")</f>
        <v>No</v>
      </c>
      <c r="J3871" s="10" t="s">
        <v>64</v>
      </c>
      <c r="K3871" s="8" t="s">
        <v>9059</v>
      </c>
    </row>
    <row r="3872" customFormat="false" ht="34.5" hidden="false" customHeight="true" outlineLevel="0" collapsed="false">
      <c r="A3872" s="10" t="s">
        <v>9070</v>
      </c>
      <c r="B3872" s="10" t="s">
        <v>45</v>
      </c>
      <c r="C3872" s="8" t="s">
        <v>9071</v>
      </c>
      <c r="D3872" s="8" t="s">
        <v>9072</v>
      </c>
      <c r="E3872" s="11" t="n">
        <v>288</v>
      </c>
      <c r="F3872" s="8" t="str">
        <f aca="false">IFERROR(INDEX(Section_Master!$D$2:$D$477,MATCH($E3872,Section_Master!$A$2:$A$477,0))&amp;"","")</f>
        <v>Imprisonment up to 6 months, or fine, or both; higher terms if hurt or death results [s.288]</v>
      </c>
      <c r="G3872" s="10" t="str">
        <f aca="false">IFERROR(INDEX(Section_Master!$E$2:$E$477,MATCH($E3872,Section_Master!$A$2:$A$477,0))&amp;"","")</f>
        <v>Yes</v>
      </c>
      <c r="H3872" s="10" t="str">
        <f aca="false">IFERROR(INDEX(Section_Master!$F$2:$F$477,MATCH($E3872,Section_Master!$A$2:$A$477,0))&amp;"","")</f>
        <v>Yes</v>
      </c>
      <c r="I3872" s="10" t="str">
        <f aca="false">IFERROR(INDEX(Section_Master!$G$2:$G$477,MATCH($E3872,Section_Master!$A$2:$A$477,0))&amp;"","")</f>
        <v>No</v>
      </c>
      <c r="J3872" s="10" t="s">
        <v>48</v>
      </c>
      <c r="K3872" s="8" t="s">
        <v>9073</v>
      </c>
    </row>
    <row r="3873" customFormat="false" ht="45.75" hidden="false" customHeight="true" outlineLevel="0" collapsed="false">
      <c r="A3873" s="10" t="s">
        <v>9074</v>
      </c>
      <c r="B3873" s="10" t="s">
        <v>45</v>
      </c>
      <c r="C3873" s="8" t="s">
        <v>9071</v>
      </c>
      <c r="D3873" s="8" t="s">
        <v>9075</v>
      </c>
      <c r="E3873" s="11" t="n">
        <v>288</v>
      </c>
      <c r="F3873" s="8" t="str">
        <f aca="false">IFERROR(INDEX(Section_Master!$D$2:$D$477,MATCH($E3873,Section_Master!$A$2:$A$477,0))&amp;"","")</f>
        <v>Imprisonment up to 6 months, or fine, or both; higher terms if hurt or death results [s.288]</v>
      </c>
      <c r="G3873" s="10" t="str">
        <f aca="false">IFERROR(INDEX(Section_Master!$E$2:$E$477,MATCH($E3873,Section_Master!$A$2:$A$477,0))&amp;"","")</f>
        <v>Yes</v>
      </c>
      <c r="H3873" s="10" t="str">
        <f aca="false">IFERROR(INDEX(Section_Master!$F$2:$F$477,MATCH($E3873,Section_Master!$A$2:$A$477,0))&amp;"","")</f>
        <v>Yes</v>
      </c>
      <c r="I3873" s="10" t="str">
        <f aca="false">IFERROR(INDEX(Section_Master!$G$2:$G$477,MATCH($E3873,Section_Master!$A$2:$A$477,0))&amp;"","")</f>
        <v>No</v>
      </c>
      <c r="J3873" s="10" t="s">
        <v>52</v>
      </c>
      <c r="K3873" s="8" t="s">
        <v>9073</v>
      </c>
    </row>
    <row r="3874" customFormat="false" ht="34.5" hidden="false" customHeight="true" outlineLevel="0" collapsed="false">
      <c r="A3874" s="10" t="s">
        <v>9076</v>
      </c>
      <c r="B3874" s="10" t="s">
        <v>45</v>
      </c>
      <c r="C3874" s="8" t="s">
        <v>9071</v>
      </c>
      <c r="D3874" s="8" t="s">
        <v>9077</v>
      </c>
      <c r="E3874" s="11" t="n">
        <v>288</v>
      </c>
      <c r="F3874" s="8" t="str">
        <f aca="false">IFERROR(INDEX(Section_Master!$D$2:$D$477,MATCH($E3874,Section_Master!$A$2:$A$477,0))&amp;"","")</f>
        <v>Imprisonment up to 6 months, or fine, or both; higher terms if hurt or death results [s.288]</v>
      </c>
      <c r="G3874" s="10" t="str">
        <f aca="false">IFERROR(INDEX(Section_Master!$E$2:$E$477,MATCH($E3874,Section_Master!$A$2:$A$477,0))&amp;"","")</f>
        <v>Yes</v>
      </c>
      <c r="H3874" s="10" t="str">
        <f aca="false">IFERROR(INDEX(Section_Master!$F$2:$F$477,MATCH($E3874,Section_Master!$A$2:$A$477,0))&amp;"","")</f>
        <v>Yes</v>
      </c>
      <c r="I3874" s="10" t="str">
        <f aca="false">IFERROR(INDEX(Section_Master!$G$2:$G$477,MATCH($E3874,Section_Master!$A$2:$A$477,0))&amp;"","")</f>
        <v>No</v>
      </c>
      <c r="J3874" s="10" t="s">
        <v>55</v>
      </c>
      <c r="K3874" s="8" t="s">
        <v>9073</v>
      </c>
    </row>
    <row r="3875" customFormat="false" ht="23.25" hidden="false" customHeight="true" outlineLevel="0" collapsed="false">
      <c r="A3875" s="10" t="s">
        <v>9078</v>
      </c>
      <c r="B3875" s="10" t="s">
        <v>45</v>
      </c>
      <c r="C3875" s="8" t="s">
        <v>9071</v>
      </c>
      <c r="D3875" s="8" t="s">
        <v>9079</v>
      </c>
      <c r="E3875" s="11" t="n">
        <v>288</v>
      </c>
      <c r="F3875" s="8" t="str">
        <f aca="false">IFERROR(INDEX(Section_Master!$D$2:$D$477,MATCH($E3875,Section_Master!$A$2:$A$477,0))&amp;"","")</f>
        <v>Imprisonment up to 6 months, or fine, or both; higher terms if hurt or death results [s.288]</v>
      </c>
      <c r="G3875" s="10" t="str">
        <f aca="false">IFERROR(INDEX(Section_Master!$E$2:$E$477,MATCH($E3875,Section_Master!$A$2:$A$477,0))&amp;"","")</f>
        <v>Yes</v>
      </c>
      <c r="H3875" s="10" t="str">
        <f aca="false">IFERROR(INDEX(Section_Master!$F$2:$F$477,MATCH($E3875,Section_Master!$A$2:$A$477,0))&amp;"","")</f>
        <v>Yes</v>
      </c>
      <c r="I3875" s="10" t="str">
        <f aca="false">IFERROR(INDEX(Section_Master!$G$2:$G$477,MATCH($E3875,Section_Master!$A$2:$A$477,0))&amp;"","")</f>
        <v>No</v>
      </c>
      <c r="J3875" s="10" t="s">
        <v>58</v>
      </c>
      <c r="K3875" s="8" t="s">
        <v>9073</v>
      </c>
    </row>
    <row r="3876" customFormat="false" ht="23.25" hidden="false" customHeight="true" outlineLevel="0" collapsed="false">
      <c r="A3876" s="10" t="s">
        <v>9080</v>
      </c>
      <c r="B3876" s="10" t="s">
        <v>45</v>
      </c>
      <c r="C3876" s="8" t="s">
        <v>9071</v>
      </c>
      <c r="D3876" s="8" t="s">
        <v>9081</v>
      </c>
      <c r="E3876" s="11" t="n">
        <v>288</v>
      </c>
      <c r="F3876" s="8" t="str">
        <f aca="false">IFERROR(INDEX(Section_Master!$D$2:$D$477,MATCH($E3876,Section_Master!$A$2:$A$477,0))&amp;"","")</f>
        <v>Imprisonment up to 6 months, or fine, or both; higher terms if hurt or death results [s.288]</v>
      </c>
      <c r="G3876" s="10" t="str">
        <f aca="false">IFERROR(INDEX(Section_Master!$E$2:$E$477,MATCH($E3876,Section_Master!$A$2:$A$477,0))&amp;"","")</f>
        <v>Yes</v>
      </c>
      <c r="H3876" s="10" t="str">
        <f aca="false">IFERROR(INDEX(Section_Master!$F$2:$F$477,MATCH($E3876,Section_Master!$A$2:$A$477,0))&amp;"","")</f>
        <v>Yes</v>
      </c>
      <c r="I3876" s="10" t="str">
        <f aca="false">IFERROR(INDEX(Section_Master!$G$2:$G$477,MATCH($E3876,Section_Master!$A$2:$A$477,0))&amp;"","")</f>
        <v>No</v>
      </c>
      <c r="J3876" s="10" t="s">
        <v>61</v>
      </c>
      <c r="K3876" s="8" t="s">
        <v>9073</v>
      </c>
    </row>
    <row r="3877" customFormat="false" ht="34.5" hidden="false" customHeight="true" outlineLevel="0" collapsed="false">
      <c r="A3877" s="10" t="s">
        <v>9082</v>
      </c>
      <c r="B3877" s="10" t="s">
        <v>45</v>
      </c>
      <c r="C3877" s="8" t="s">
        <v>9071</v>
      </c>
      <c r="D3877" s="8" t="s">
        <v>9083</v>
      </c>
      <c r="E3877" s="11" t="n">
        <v>288</v>
      </c>
      <c r="F3877" s="8" t="str">
        <f aca="false">IFERROR(INDEX(Section_Master!$D$2:$D$477,MATCH($E3877,Section_Master!$A$2:$A$477,0))&amp;"","")</f>
        <v>Imprisonment up to 6 months, or fine, or both; higher terms if hurt or death results [s.288]</v>
      </c>
      <c r="G3877" s="10" t="str">
        <f aca="false">IFERROR(INDEX(Section_Master!$E$2:$E$477,MATCH($E3877,Section_Master!$A$2:$A$477,0))&amp;"","")</f>
        <v>Yes</v>
      </c>
      <c r="H3877" s="10" t="str">
        <f aca="false">IFERROR(INDEX(Section_Master!$F$2:$F$477,MATCH($E3877,Section_Master!$A$2:$A$477,0))&amp;"","")</f>
        <v>Yes</v>
      </c>
      <c r="I3877" s="10" t="str">
        <f aca="false">IFERROR(INDEX(Section_Master!$G$2:$G$477,MATCH($E3877,Section_Master!$A$2:$A$477,0))&amp;"","")</f>
        <v>No</v>
      </c>
      <c r="J3877" s="10" t="s">
        <v>64</v>
      </c>
      <c r="K3877" s="8" t="s">
        <v>9073</v>
      </c>
    </row>
    <row r="3878" customFormat="false" ht="45.75" hidden="false" customHeight="true" outlineLevel="0" collapsed="false">
      <c r="A3878" s="10" t="s">
        <v>9084</v>
      </c>
      <c r="B3878" s="10" t="s">
        <v>45</v>
      </c>
      <c r="C3878" s="8" t="s">
        <v>9085</v>
      </c>
      <c r="D3878" s="8" t="s">
        <v>9086</v>
      </c>
      <c r="E3878" s="11" t="n">
        <v>289</v>
      </c>
      <c r="F3878" s="8" t="str">
        <f aca="false">IFERROR(INDEX(Section_Master!$D$2:$D$477,MATCH($E3878,Section_Master!$A$2:$A$477,0))&amp;"","")</f>
        <v>Imprisonment up to 6 months, or fine, or both</v>
      </c>
      <c r="G3878" s="10" t="str">
        <f aca="false">IFERROR(INDEX(Section_Master!$E$2:$E$477,MATCH($E3878,Section_Master!$A$2:$A$477,0))&amp;"","")</f>
        <v>Yes</v>
      </c>
      <c r="H3878" s="10" t="str">
        <f aca="false">IFERROR(INDEX(Section_Master!$F$2:$F$477,MATCH($E3878,Section_Master!$A$2:$A$477,0))&amp;"","")</f>
        <v>Yes</v>
      </c>
      <c r="I3878" s="10" t="str">
        <f aca="false">IFERROR(INDEX(Section_Master!$G$2:$G$477,MATCH($E3878,Section_Master!$A$2:$A$477,0))&amp;"","")</f>
        <v>No</v>
      </c>
      <c r="J3878" s="10" t="s">
        <v>48</v>
      </c>
      <c r="K3878" s="8" t="s">
        <v>9087</v>
      </c>
    </row>
    <row r="3879" customFormat="false" ht="45.75" hidden="false" customHeight="true" outlineLevel="0" collapsed="false">
      <c r="A3879" s="10" t="s">
        <v>9088</v>
      </c>
      <c r="B3879" s="10" t="s">
        <v>45</v>
      </c>
      <c r="C3879" s="8" t="s">
        <v>9085</v>
      </c>
      <c r="D3879" s="8" t="s">
        <v>9089</v>
      </c>
      <c r="E3879" s="11" t="n">
        <v>289</v>
      </c>
      <c r="F3879" s="8" t="str">
        <f aca="false">IFERROR(INDEX(Section_Master!$D$2:$D$477,MATCH($E3879,Section_Master!$A$2:$A$477,0))&amp;"","")</f>
        <v>Imprisonment up to 6 months, or fine, or both</v>
      </c>
      <c r="G3879" s="10" t="str">
        <f aca="false">IFERROR(INDEX(Section_Master!$E$2:$E$477,MATCH($E3879,Section_Master!$A$2:$A$477,0))&amp;"","")</f>
        <v>Yes</v>
      </c>
      <c r="H3879" s="10" t="str">
        <f aca="false">IFERROR(INDEX(Section_Master!$F$2:$F$477,MATCH($E3879,Section_Master!$A$2:$A$477,0))&amp;"","")</f>
        <v>Yes</v>
      </c>
      <c r="I3879" s="10" t="str">
        <f aca="false">IFERROR(INDEX(Section_Master!$G$2:$G$477,MATCH($E3879,Section_Master!$A$2:$A$477,0))&amp;"","")</f>
        <v>No</v>
      </c>
      <c r="J3879" s="10" t="s">
        <v>52</v>
      </c>
      <c r="K3879" s="8" t="s">
        <v>9087</v>
      </c>
    </row>
    <row r="3880" customFormat="false" ht="23.25" hidden="false" customHeight="true" outlineLevel="0" collapsed="false">
      <c r="A3880" s="10" t="s">
        <v>9090</v>
      </c>
      <c r="B3880" s="10" t="s">
        <v>45</v>
      </c>
      <c r="C3880" s="8" t="s">
        <v>9085</v>
      </c>
      <c r="D3880" s="8" t="s">
        <v>9091</v>
      </c>
      <c r="E3880" s="11" t="n">
        <v>289</v>
      </c>
      <c r="F3880" s="8" t="str">
        <f aca="false">IFERROR(INDEX(Section_Master!$D$2:$D$477,MATCH($E3880,Section_Master!$A$2:$A$477,0))&amp;"","")</f>
        <v>Imprisonment up to 6 months, or fine, or both</v>
      </c>
      <c r="G3880" s="10" t="str">
        <f aca="false">IFERROR(INDEX(Section_Master!$E$2:$E$477,MATCH($E3880,Section_Master!$A$2:$A$477,0))&amp;"","")</f>
        <v>Yes</v>
      </c>
      <c r="H3880" s="10" t="str">
        <f aca="false">IFERROR(INDEX(Section_Master!$F$2:$F$477,MATCH($E3880,Section_Master!$A$2:$A$477,0))&amp;"","")</f>
        <v>Yes</v>
      </c>
      <c r="I3880" s="10" t="str">
        <f aca="false">IFERROR(INDEX(Section_Master!$G$2:$G$477,MATCH($E3880,Section_Master!$A$2:$A$477,0))&amp;"","")</f>
        <v>No</v>
      </c>
      <c r="J3880" s="10" t="s">
        <v>55</v>
      </c>
      <c r="K3880" s="8" t="s">
        <v>9087</v>
      </c>
    </row>
    <row r="3881" customFormat="false" ht="34.5" hidden="false" customHeight="true" outlineLevel="0" collapsed="false">
      <c r="A3881" s="10" t="s">
        <v>9092</v>
      </c>
      <c r="B3881" s="10" t="s">
        <v>45</v>
      </c>
      <c r="C3881" s="8" t="s">
        <v>9085</v>
      </c>
      <c r="D3881" s="8" t="s">
        <v>9093</v>
      </c>
      <c r="E3881" s="11" t="n">
        <v>289</v>
      </c>
      <c r="F3881" s="8" t="str">
        <f aca="false">IFERROR(INDEX(Section_Master!$D$2:$D$477,MATCH($E3881,Section_Master!$A$2:$A$477,0))&amp;"","")</f>
        <v>Imprisonment up to 6 months, or fine, or both</v>
      </c>
      <c r="G3881" s="10" t="str">
        <f aca="false">IFERROR(INDEX(Section_Master!$E$2:$E$477,MATCH($E3881,Section_Master!$A$2:$A$477,0))&amp;"","")</f>
        <v>Yes</v>
      </c>
      <c r="H3881" s="10" t="str">
        <f aca="false">IFERROR(INDEX(Section_Master!$F$2:$F$477,MATCH($E3881,Section_Master!$A$2:$A$477,0))&amp;"","")</f>
        <v>Yes</v>
      </c>
      <c r="I3881" s="10" t="str">
        <f aca="false">IFERROR(INDEX(Section_Master!$G$2:$G$477,MATCH($E3881,Section_Master!$A$2:$A$477,0))&amp;"","")</f>
        <v>No</v>
      </c>
      <c r="J3881" s="10" t="s">
        <v>58</v>
      </c>
      <c r="K3881" s="8" t="s">
        <v>9087</v>
      </c>
    </row>
    <row r="3882" customFormat="false" ht="34.5" hidden="false" customHeight="true" outlineLevel="0" collapsed="false">
      <c r="A3882" s="10" t="s">
        <v>9094</v>
      </c>
      <c r="B3882" s="10" t="s">
        <v>45</v>
      </c>
      <c r="C3882" s="8" t="s">
        <v>9085</v>
      </c>
      <c r="D3882" s="8" t="s">
        <v>9095</v>
      </c>
      <c r="E3882" s="11" t="n">
        <v>289</v>
      </c>
      <c r="F3882" s="8" t="str">
        <f aca="false">IFERROR(INDEX(Section_Master!$D$2:$D$477,MATCH($E3882,Section_Master!$A$2:$A$477,0))&amp;"","")</f>
        <v>Imprisonment up to 6 months, or fine, or both</v>
      </c>
      <c r="G3882" s="10" t="str">
        <f aca="false">IFERROR(INDEX(Section_Master!$E$2:$E$477,MATCH($E3882,Section_Master!$A$2:$A$477,0))&amp;"","")</f>
        <v>Yes</v>
      </c>
      <c r="H3882" s="10" t="str">
        <f aca="false">IFERROR(INDEX(Section_Master!$F$2:$F$477,MATCH($E3882,Section_Master!$A$2:$A$477,0))&amp;"","")</f>
        <v>Yes</v>
      </c>
      <c r="I3882" s="10" t="str">
        <f aca="false">IFERROR(INDEX(Section_Master!$G$2:$G$477,MATCH($E3882,Section_Master!$A$2:$A$477,0))&amp;"","")</f>
        <v>No</v>
      </c>
      <c r="J3882" s="10" t="s">
        <v>61</v>
      </c>
      <c r="K3882" s="8" t="s">
        <v>9087</v>
      </c>
    </row>
    <row r="3883" customFormat="false" ht="45.75" hidden="false" customHeight="true" outlineLevel="0" collapsed="false">
      <c r="A3883" s="10" t="s">
        <v>9096</v>
      </c>
      <c r="B3883" s="10" t="s">
        <v>45</v>
      </c>
      <c r="C3883" s="8" t="s">
        <v>9085</v>
      </c>
      <c r="D3883" s="8" t="s">
        <v>9097</v>
      </c>
      <c r="E3883" s="11" t="n">
        <v>289</v>
      </c>
      <c r="F3883" s="8" t="str">
        <f aca="false">IFERROR(INDEX(Section_Master!$D$2:$D$477,MATCH($E3883,Section_Master!$A$2:$A$477,0))&amp;"","")</f>
        <v>Imprisonment up to 6 months, or fine, or both</v>
      </c>
      <c r="G3883" s="10" t="str">
        <f aca="false">IFERROR(INDEX(Section_Master!$E$2:$E$477,MATCH($E3883,Section_Master!$A$2:$A$477,0))&amp;"","")</f>
        <v>Yes</v>
      </c>
      <c r="H3883" s="10" t="str">
        <f aca="false">IFERROR(INDEX(Section_Master!$F$2:$F$477,MATCH($E3883,Section_Master!$A$2:$A$477,0))&amp;"","")</f>
        <v>Yes</v>
      </c>
      <c r="I3883" s="10" t="str">
        <f aca="false">IFERROR(INDEX(Section_Master!$G$2:$G$477,MATCH($E3883,Section_Master!$A$2:$A$477,0))&amp;"","")</f>
        <v>No</v>
      </c>
      <c r="J3883" s="10" t="s">
        <v>64</v>
      </c>
      <c r="K3883" s="8" t="s">
        <v>9087</v>
      </c>
    </row>
    <row r="3884" customFormat="false" ht="45.75" hidden="false" customHeight="true" outlineLevel="0" collapsed="false">
      <c r="A3884" s="10" t="s">
        <v>9098</v>
      </c>
      <c r="B3884" s="10" t="s">
        <v>45</v>
      </c>
      <c r="C3884" s="8" t="s">
        <v>9099</v>
      </c>
      <c r="D3884" s="8" t="s">
        <v>9100</v>
      </c>
      <c r="E3884" s="11" t="n">
        <v>290</v>
      </c>
      <c r="F3884" s="8" t="str">
        <f aca="false">IFERROR(INDEX(Section_Master!$D$2:$D$477,MATCH($E3884,Section_Master!$A$2:$A$477,0))&amp;"","")</f>
        <v>Imprisonment up to 6 months, or fine, or both</v>
      </c>
      <c r="G3884" s="10" t="str">
        <f aca="false">IFERROR(INDEX(Section_Master!$E$2:$E$477,MATCH($E3884,Section_Master!$A$2:$A$477,0))&amp;"","")</f>
        <v>Yes</v>
      </c>
      <c r="H3884" s="10" t="str">
        <f aca="false">IFERROR(INDEX(Section_Master!$F$2:$F$477,MATCH($E3884,Section_Master!$A$2:$A$477,0))&amp;"","")</f>
        <v>Yes</v>
      </c>
      <c r="I3884" s="10" t="str">
        <f aca="false">IFERROR(INDEX(Section_Master!$G$2:$G$477,MATCH($E3884,Section_Master!$A$2:$A$477,0))&amp;"","")</f>
        <v>No</v>
      </c>
      <c r="J3884" s="10" t="s">
        <v>48</v>
      </c>
      <c r="K3884" s="8" t="s">
        <v>9101</v>
      </c>
    </row>
    <row r="3885" customFormat="false" ht="45.75" hidden="false" customHeight="true" outlineLevel="0" collapsed="false">
      <c r="A3885" s="10" t="s">
        <v>9102</v>
      </c>
      <c r="B3885" s="10" t="s">
        <v>45</v>
      </c>
      <c r="C3885" s="8" t="s">
        <v>9099</v>
      </c>
      <c r="D3885" s="8" t="s">
        <v>9103</v>
      </c>
      <c r="E3885" s="11" t="n">
        <v>290</v>
      </c>
      <c r="F3885" s="8" t="str">
        <f aca="false">IFERROR(INDEX(Section_Master!$D$2:$D$477,MATCH($E3885,Section_Master!$A$2:$A$477,0))&amp;"","")</f>
        <v>Imprisonment up to 6 months, or fine, or both</v>
      </c>
      <c r="G3885" s="10" t="str">
        <f aca="false">IFERROR(INDEX(Section_Master!$E$2:$E$477,MATCH($E3885,Section_Master!$A$2:$A$477,0))&amp;"","")</f>
        <v>Yes</v>
      </c>
      <c r="H3885" s="10" t="str">
        <f aca="false">IFERROR(INDEX(Section_Master!$F$2:$F$477,MATCH($E3885,Section_Master!$A$2:$A$477,0))&amp;"","")</f>
        <v>Yes</v>
      </c>
      <c r="I3885" s="10" t="str">
        <f aca="false">IFERROR(INDEX(Section_Master!$G$2:$G$477,MATCH($E3885,Section_Master!$A$2:$A$477,0))&amp;"","")</f>
        <v>No</v>
      </c>
      <c r="J3885" s="10" t="s">
        <v>52</v>
      </c>
      <c r="K3885" s="8" t="s">
        <v>9101</v>
      </c>
    </row>
    <row r="3886" customFormat="false" ht="34.5" hidden="false" customHeight="true" outlineLevel="0" collapsed="false">
      <c r="A3886" s="10" t="s">
        <v>9104</v>
      </c>
      <c r="B3886" s="10" t="s">
        <v>45</v>
      </c>
      <c r="C3886" s="8" t="s">
        <v>9099</v>
      </c>
      <c r="D3886" s="8" t="s">
        <v>9105</v>
      </c>
      <c r="E3886" s="11" t="n">
        <v>290</v>
      </c>
      <c r="F3886" s="8" t="str">
        <f aca="false">IFERROR(INDEX(Section_Master!$D$2:$D$477,MATCH($E3886,Section_Master!$A$2:$A$477,0))&amp;"","")</f>
        <v>Imprisonment up to 6 months, or fine, or both</v>
      </c>
      <c r="G3886" s="10" t="str">
        <f aca="false">IFERROR(INDEX(Section_Master!$E$2:$E$477,MATCH($E3886,Section_Master!$A$2:$A$477,0))&amp;"","")</f>
        <v>Yes</v>
      </c>
      <c r="H3886" s="10" t="str">
        <f aca="false">IFERROR(INDEX(Section_Master!$F$2:$F$477,MATCH($E3886,Section_Master!$A$2:$A$477,0))&amp;"","")</f>
        <v>Yes</v>
      </c>
      <c r="I3886" s="10" t="str">
        <f aca="false">IFERROR(INDEX(Section_Master!$G$2:$G$477,MATCH($E3886,Section_Master!$A$2:$A$477,0))&amp;"","")</f>
        <v>No</v>
      </c>
      <c r="J3886" s="10" t="s">
        <v>55</v>
      </c>
      <c r="K3886" s="8" t="s">
        <v>9101</v>
      </c>
    </row>
    <row r="3887" customFormat="false" ht="34.5" hidden="false" customHeight="true" outlineLevel="0" collapsed="false">
      <c r="A3887" s="10" t="s">
        <v>9106</v>
      </c>
      <c r="B3887" s="10" t="s">
        <v>45</v>
      </c>
      <c r="C3887" s="8" t="s">
        <v>9099</v>
      </c>
      <c r="D3887" s="8" t="s">
        <v>9107</v>
      </c>
      <c r="E3887" s="11" t="n">
        <v>290</v>
      </c>
      <c r="F3887" s="8" t="str">
        <f aca="false">IFERROR(INDEX(Section_Master!$D$2:$D$477,MATCH($E3887,Section_Master!$A$2:$A$477,0))&amp;"","")</f>
        <v>Imprisonment up to 6 months, or fine, or both</v>
      </c>
      <c r="G3887" s="10" t="str">
        <f aca="false">IFERROR(INDEX(Section_Master!$E$2:$E$477,MATCH($E3887,Section_Master!$A$2:$A$477,0))&amp;"","")</f>
        <v>Yes</v>
      </c>
      <c r="H3887" s="10" t="str">
        <f aca="false">IFERROR(INDEX(Section_Master!$F$2:$F$477,MATCH($E3887,Section_Master!$A$2:$A$477,0))&amp;"","")</f>
        <v>Yes</v>
      </c>
      <c r="I3887" s="10" t="str">
        <f aca="false">IFERROR(INDEX(Section_Master!$G$2:$G$477,MATCH($E3887,Section_Master!$A$2:$A$477,0))&amp;"","")</f>
        <v>No</v>
      </c>
      <c r="J3887" s="10" t="s">
        <v>58</v>
      </c>
      <c r="K3887" s="8" t="s">
        <v>9101</v>
      </c>
    </row>
    <row r="3888" customFormat="false" ht="34.5" hidden="false" customHeight="true" outlineLevel="0" collapsed="false">
      <c r="A3888" s="10" t="s">
        <v>9108</v>
      </c>
      <c r="B3888" s="10" t="s">
        <v>45</v>
      </c>
      <c r="C3888" s="8" t="s">
        <v>9099</v>
      </c>
      <c r="D3888" s="8" t="s">
        <v>9109</v>
      </c>
      <c r="E3888" s="11" t="n">
        <v>290</v>
      </c>
      <c r="F3888" s="8" t="str">
        <f aca="false">IFERROR(INDEX(Section_Master!$D$2:$D$477,MATCH($E3888,Section_Master!$A$2:$A$477,0))&amp;"","")</f>
        <v>Imprisonment up to 6 months, or fine, or both</v>
      </c>
      <c r="G3888" s="10" t="str">
        <f aca="false">IFERROR(INDEX(Section_Master!$E$2:$E$477,MATCH($E3888,Section_Master!$A$2:$A$477,0))&amp;"","")</f>
        <v>Yes</v>
      </c>
      <c r="H3888" s="10" t="str">
        <f aca="false">IFERROR(INDEX(Section_Master!$F$2:$F$477,MATCH($E3888,Section_Master!$A$2:$A$477,0))&amp;"","")</f>
        <v>Yes</v>
      </c>
      <c r="I3888" s="10" t="str">
        <f aca="false">IFERROR(INDEX(Section_Master!$G$2:$G$477,MATCH($E3888,Section_Master!$A$2:$A$477,0))&amp;"","")</f>
        <v>No</v>
      </c>
      <c r="J3888" s="10" t="s">
        <v>61</v>
      </c>
      <c r="K3888" s="8" t="s">
        <v>9101</v>
      </c>
    </row>
    <row r="3889" customFormat="false" ht="45.75" hidden="false" customHeight="true" outlineLevel="0" collapsed="false">
      <c r="A3889" s="10" t="s">
        <v>9110</v>
      </c>
      <c r="B3889" s="10" t="s">
        <v>45</v>
      </c>
      <c r="C3889" s="8" t="s">
        <v>9099</v>
      </c>
      <c r="D3889" s="8" t="s">
        <v>9111</v>
      </c>
      <c r="E3889" s="11" t="n">
        <v>290</v>
      </c>
      <c r="F3889" s="8" t="str">
        <f aca="false">IFERROR(INDEX(Section_Master!$D$2:$D$477,MATCH($E3889,Section_Master!$A$2:$A$477,0))&amp;"","")</f>
        <v>Imprisonment up to 6 months, or fine, or both</v>
      </c>
      <c r="G3889" s="10" t="str">
        <f aca="false">IFERROR(INDEX(Section_Master!$E$2:$E$477,MATCH($E3889,Section_Master!$A$2:$A$477,0))&amp;"","")</f>
        <v>Yes</v>
      </c>
      <c r="H3889" s="10" t="str">
        <f aca="false">IFERROR(INDEX(Section_Master!$F$2:$F$477,MATCH($E3889,Section_Master!$A$2:$A$477,0))&amp;"","")</f>
        <v>Yes</v>
      </c>
      <c r="I3889" s="10" t="str">
        <f aca="false">IFERROR(INDEX(Section_Master!$G$2:$G$477,MATCH($E3889,Section_Master!$A$2:$A$477,0))&amp;"","")</f>
        <v>No</v>
      </c>
      <c r="J3889" s="10" t="s">
        <v>64</v>
      </c>
      <c r="K3889" s="8" t="s">
        <v>9101</v>
      </c>
    </row>
    <row r="3890" customFormat="false" ht="34.5" hidden="false" customHeight="true" outlineLevel="0" collapsed="false">
      <c r="A3890" s="10" t="s">
        <v>9112</v>
      </c>
      <c r="B3890" s="10" t="s">
        <v>45</v>
      </c>
      <c r="C3890" s="8" t="s">
        <v>9113</v>
      </c>
      <c r="D3890" s="8" t="s">
        <v>9114</v>
      </c>
      <c r="E3890" s="11" t="n">
        <v>291</v>
      </c>
      <c r="F3890" s="8" t="str">
        <f aca="false">IFERROR(INDEX(Section_Master!$D$2:$D$477,MATCH($E3890,Section_Master!$A$2:$A$477,0))&amp;"","")</f>
        <v>Imprisonment up to 6 months, or fine, or both</v>
      </c>
      <c r="G3890" s="10" t="str">
        <f aca="false">IFERROR(INDEX(Section_Master!$E$2:$E$477,MATCH($E3890,Section_Master!$A$2:$A$477,0))&amp;"","")</f>
        <v>Yes</v>
      </c>
      <c r="H3890" s="10" t="str">
        <f aca="false">IFERROR(INDEX(Section_Master!$F$2:$F$477,MATCH($E3890,Section_Master!$A$2:$A$477,0))&amp;"","")</f>
        <v>Yes</v>
      </c>
      <c r="I3890" s="10" t="str">
        <f aca="false">IFERROR(INDEX(Section_Master!$G$2:$G$477,MATCH($E3890,Section_Master!$A$2:$A$477,0))&amp;"","")</f>
        <v>No</v>
      </c>
      <c r="J3890" s="10" t="s">
        <v>48</v>
      </c>
      <c r="K3890" s="8" t="s">
        <v>9115</v>
      </c>
    </row>
    <row r="3891" customFormat="false" ht="45.75" hidden="false" customHeight="true" outlineLevel="0" collapsed="false">
      <c r="A3891" s="10" t="s">
        <v>9116</v>
      </c>
      <c r="B3891" s="10" t="s">
        <v>45</v>
      </c>
      <c r="C3891" s="8" t="s">
        <v>9113</v>
      </c>
      <c r="D3891" s="8" t="s">
        <v>9117</v>
      </c>
      <c r="E3891" s="11" t="n">
        <v>291</v>
      </c>
      <c r="F3891" s="8" t="str">
        <f aca="false">IFERROR(INDEX(Section_Master!$D$2:$D$477,MATCH($E3891,Section_Master!$A$2:$A$477,0))&amp;"","")</f>
        <v>Imprisonment up to 6 months, or fine, or both</v>
      </c>
      <c r="G3891" s="10" t="str">
        <f aca="false">IFERROR(INDEX(Section_Master!$E$2:$E$477,MATCH($E3891,Section_Master!$A$2:$A$477,0))&amp;"","")</f>
        <v>Yes</v>
      </c>
      <c r="H3891" s="10" t="str">
        <f aca="false">IFERROR(INDEX(Section_Master!$F$2:$F$477,MATCH($E3891,Section_Master!$A$2:$A$477,0))&amp;"","")</f>
        <v>Yes</v>
      </c>
      <c r="I3891" s="10" t="str">
        <f aca="false">IFERROR(INDEX(Section_Master!$G$2:$G$477,MATCH($E3891,Section_Master!$A$2:$A$477,0))&amp;"","")</f>
        <v>No</v>
      </c>
      <c r="J3891" s="10" t="s">
        <v>52</v>
      </c>
      <c r="K3891" s="8" t="s">
        <v>9115</v>
      </c>
    </row>
    <row r="3892" customFormat="false" ht="45.75" hidden="false" customHeight="true" outlineLevel="0" collapsed="false">
      <c r="A3892" s="10" t="s">
        <v>9118</v>
      </c>
      <c r="B3892" s="10" t="s">
        <v>45</v>
      </c>
      <c r="C3892" s="8" t="s">
        <v>9113</v>
      </c>
      <c r="D3892" s="8" t="s">
        <v>9119</v>
      </c>
      <c r="E3892" s="11" t="n">
        <v>291</v>
      </c>
      <c r="F3892" s="8" t="str">
        <f aca="false">IFERROR(INDEX(Section_Master!$D$2:$D$477,MATCH($E3892,Section_Master!$A$2:$A$477,0))&amp;"","")</f>
        <v>Imprisonment up to 6 months, or fine, or both</v>
      </c>
      <c r="G3892" s="10" t="str">
        <f aca="false">IFERROR(INDEX(Section_Master!$E$2:$E$477,MATCH($E3892,Section_Master!$A$2:$A$477,0))&amp;"","")</f>
        <v>Yes</v>
      </c>
      <c r="H3892" s="10" t="str">
        <f aca="false">IFERROR(INDEX(Section_Master!$F$2:$F$477,MATCH($E3892,Section_Master!$A$2:$A$477,0))&amp;"","")</f>
        <v>Yes</v>
      </c>
      <c r="I3892" s="10" t="str">
        <f aca="false">IFERROR(INDEX(Section_Master!$G$2:$G$477,MATCH($E3892,Section_Master!$A$2:$A$477,0))&amp;"","")</f>
        <v>No</v>
      </c>
      <c r="J3892" s="10" t="s">
        <v>55</v>
      </c>
      <c r="K3892" s="8" t="s">
        <v>9115</v>
      </c>
    </row>
    <row r="3893" customFormat="false" ht="23.25" hidden="false" customHeight="true" outlineLevel="0" collapsed="false">
      <c r="A3893" s="10" t="s">
        <v>9120</v>
      </c>
      <c r="B3893" s="10" t="s">
        <v>45</v>
      </c>
      <c r="C3893" s="8" t="s">
        <v>9113</v>
      </c>
      <c r="D3893" s="8" t="s">
        <v>9121</v>
      </c>
      <c r="E3893" s="11" t="n">
        <v>291</v>
      </c>
      <c r="F3893" s="8" t="str">
        <f aca="false">IFERROR(INDEX(Section_Master!$D$2:$D$477,MATCH($E3893,Section_Master!$A$2:$A$477,0))&amp;"","")</f>
        <v>Imprisonment up to 6 months, or fine, or both</v>
      </c>
      <c r="G3893" s="10" t="str">
        <f aca="false">IFERROR(INDEX(Section_Master!$E$2:$E$477,MATCH($E3893,Section_Master!$A$2:$A$477,0))&amp;"","")</f>
        <v>Yes</v>
      </c>
      <c r="H3893" s="10" t="str">
        <f aca="false">IFERROR(INDEX(Section_Master!$F$2:$F$477,MATCH($E3893,Section_Master!$A$2:$A$477,0))&amp;"","")</f>
        <v>Yes</v>
      </c>
      <c r="I3893" s="10" t="str">
        <f aca="false">IFERROR(INDEX(Section_Master!$G$2:$G$477,MATCH($E3893,Section_Master!$A$2:$A$477,0))&amp;"","")</f>
        <v>No</v>
      </c>
      <c r="J3893" s="10" t="s">
        <v>58</v>
      </c>
      <c r="K3893" s="8" t="s">
        <v>9115</v>
      </c>
    </row>
    <row r="3894" customFormat="false" ht="34.5" hidden="false" customHeight="true" outlineLevel="0" collapsed="false">
      <c r="A3894" s="10" t="s">
        <v>9122</v>
      </c>
      <c r="B3894" s="10" t="s">
        <v>45</v>
      </c>
      <c r="C3894" s="8" t="s">
        <v>9113</v>
      </c>
      <c r="D3894" s="8" t="s">
        <v>9123</v>
      </c>
      <c r="E3894" s="11" t="n">
        <v>291</v>
      </c>
      <c r="F3894" s="8" t="str">
        <f aca="false">IFERROR(INDEX(Section_Master!$D$2:$D$477,MATCH($E3894,Section_Master!$A$2:$A$477,0))&amp;"","")</f>
        <v>Imprisonment up to 6 months, or fine, or both</v>
      </c>
      <c r="G3894" s="10" t="str">
        <f aca="false">IFERROR(INDEX(Section_Master!$E$2:$E$477,MATCH($E3894,Section_Master!$A$2:$A$477,0))&amp;"","")</f>
        <v>Yes</v>
      </c>
      <c r="H3894" s="10" t="str">
        <f aca="false">IFERROR(INDEX(Section_Master!$F$2:$F$477,MATCH($E3894,Section_Master!$A$2:$A$477,0))&amp;"","")</f>
        <v>Yes</v>
      </c>
      <c r="I3894" s="10" t="str">
        <f aca="false">IFERROR(INDEX(Section_Master!$G$2:$G$477,MATCH($E3894,Section_Master!$A$2:$A$477,0))&amp;"","")</f>
        <v>No</v>
      </c>
      <c r="J3894" s="10" t="s">
        <v>61</v>
      </c>
      <c r="K3894" s="8" t="s">
        <v>9115</v>
      </c>
    </row>
    <row r="3895" customFormat="false" ht="45.75" hidden="false" customHeight="true" outlineLevel="0" collapsed="false">
      <c r="A3895" s="10" t="s">
        <v>9124</v>
      </c>
      <c r="B3895" s="10" t="s">
        <v>45</v>
      </c>
      <c r="C3895" s="8" t="s">
        <v>9113</v>
      </c>
      <c r="D3895" s="8" t="s">
        <v>9125</v>
      </c>
      <c r="E3895" s="11" t="n">
        <v>291</v>
      </c>
      <c r="F3895" s="8" t="str">
        <f aca="false">IFERROR(INDEX(Section_Master!$D$2:$D$477,MATCH($E3895,Section_Master!$A$2:$A$477,0))&amp;"","")</f>
        <v>Imprisonment up to 6 months, or fine, or both</v>
      </c>
      <c r="G3895" s="10" t="str">
        <f aca="false">IFERROR(INDEX(Section_Master!$E$2:$E$477,MATCH($E3895,Section_Master!$A$2:$A$477,0))&amp;"","")</f>
        <v>Yes</v>
      </c>
      <c r="H3895" s="10" t="str">
        <f aca="false">IFERROR(INDEX(Section_Master!$F$2:$F$477,MATCH($E3895,Section_Master!$A$2:$A$477,0))&amp;"","")</f>
        <v>Yes</v>
      </c>
      <c r="I3895" s="10" t="str">
        <f aca="false">IFERROR(INDEX(Section_Master!$G$2:$G$477,MATCH($E3895,Section_Master!$A$2:$A$477,0))&amp;"","")</f>
        <v>No</v>
      </c>
      <c r="J3895" s="10" t="s">
        <v>64</v>
      </c>
      <c r="K3895" s="8" t="s">
        <v>9115</v>
      </c>
    </row>
    <row r="3896" customFormat="false" ht="34.5" hidden="false" customHeight="true" outlineLevel="0" collapsed="false">
      <c r="A3896" s="10" t="s">
        <v>9126</v>
      </c>
      <c r="B3896" s="10" t="s">
        <v>45</v>
      </c>
      <c r="C3896" s="8" t="s">
        <v>9127</v>
      </c>
      <c r="D3896" s="8" t="s">
        <v>9128</v>
      </c>
      <c r="E3896" s="11" t="n">
        <v>292</v>
      </c>
      <c r="F3896" s="8" t="str">
        <f aca="false">IFERROR(INDEX(Section_Master!$D$2:$D$477,MATCH($E3896,Section_Master!$A$2:$A$477,0))&amp;"","")</f>
        <v>Fine</v>
      </c>
      <c r="G3896" s="10" t="str">
        <f aca="false">IFERROR(INDEX(Section_Master!$E$2:$E$477,MATCH($E3896,Section_Master!$A$2:$A$477,0))&amp;"","")</f>
        <v>No</v>
      </c>
      <c r="H3896" s="10" t="str">
        <f aca="false">IFERROR(INDEX(Section_Master!$F$2:$F$477,MATCH($E3896,Section_Master!$A$2:$A$477,0))&amp;"","")</f>
        <v>Yes</v>
      </c>
      <c r="I3896" s="10" t="str">
        <f aca="false">IFERROR(INDEX(Section_Master!$G$2:$G$477,MATCH($E3896,Section_Master!$A$2:$A$477,0))&amp;"","")</f>
        <v>No</v>
      </c>
      <c r="J3896" s="10" t="s">
        <v>48</v>
      </c>
      <c r="K3896" s="8" t="s">
        <v>9129</v>
      </c>
    </row>
    <row r="3897" customFormat="false" ht="34.5" hidden="false" customHeight="true" outlineLevel="0" collapsed="false">
      <c r="A3897" s="10" t="s">
        <v>9130</v>
      </c>
      <c r="B3897" s="10" t="s">
        <v>45</v>
      </c>
      <c r="C3897" s="8" t="s">
        <v>9127</v>
      </c>
      <c r="D3897" s="8" t="s">
        <v>9131</v>
      </c>
      <c r="E3897" s="11" t="n">
        <v>292</v>
      </c>
      <c r="F3897" s="8" t="str">
        <f aca="false">IFERROR(INDEX(Section_Master!$D$2:$D$477,MATCH($E3897,Section_Master!$A$2:$A$477,0))&amp;"","")</f>
        <v>Fine</v>
      </c>
      <c r="G3897" s="10" t="str">
        <f aca="false">IFERROR(INDEX(Section_Master!$E$2:$E$477,MATCH($E3897,Section_Master!$A$2:$A$477,0))&amp;"","")</f>
        <v>No</v>
      </c>
      <c r="H3897" s="10" t="str">
        <f aca="false">IFERROR(INDEX(Section_Master!$F$2:$F$477,MATCH($E3897,Section_Master!$A$2:$A$477,0))&amp;"","")</f>
        <v>Yes</v>
      </c>
      <c r="I3897" s="10" t="str">
        <f aca="false">IFERROR(INDEX(Section_Master!$G$2:$G$477,MATCH($E3897,Section_Master!$A$2:$A$477,0))&amp;"","")</f>
        <v>No</v>
      </c>
      <c r="J3897" s="10" t="s">
        <v>52</v>
      </c>
      <c r="K3897" s="8" t="s">
        <v>9129</v>
      </c>
    </row>
    <row r="3898" customFormat="false" ht="34.5" hidden="false" customHeight="true" outlineLevel="0" collapsed="false">
      <c r="A3898" s="10" t="s">
        <v>9132</v>
      </c>
      <c r="B3898" s="10" t="s">
        <v>45</v>
      </c>
      <c r="C3898" s="8" t="s">
        <v>9127</v>
      </c>
      <c r="D3898" s="8" t="s">
        <v>9133</v>
      </c>
      <c r="E3898" s="11" t="n">
        <v>292</v>
      </c>
      <c r="F3898" s="8" t="str">
        <f aca="false">IFERROR(INDEX(Section_Master!$D$2:$D$477,MATCH($E3898,Section_Master!$A$2:$A$477,0))&amp;"","")</f>
        <v>Fine</v>
      </c>
      <c r="G3898" s="10" t="str">
        <f aca="false">IFERROR(INDEX(Section_Master!$E$2:$E$477,MATCH($E3898,Section_Master!$A$2:$A$477,0))&amp;"","")</f>
        <v>No</v>
      </c>
      <c r="H3898" s="10" t="str">
        <f aca="false">IFERROR(INDEX(Section_Master!$F$2:$F$477,MATCH($E3898,Section_Master!$A$2:$A$477,0))&amp;"","")</f>
        <v>Yes</v>
      </c>
      <c r="I3898" s="10" t="str">
        <f aca="false">IFERROR(INDEX(Section_Master!$G$2:$G$477,MATCH($E3898,Section_Master!$A$2:$A$477,0))&amp;"","")</f>
        <v>No</v>
      </c>
      <c r="J3898" s="10" t="s">
        <v>55</v>
      </c>
      <c r="K3898" s="8" t="s">
        <v>9129</v>
      </c>
    </row>
    <row r="3899" customFormat="false" ht="34.5" hidden="false" customHeight="true" outlineLevel="0" collapsed="false">
      <c r="A3899" s="10" t="s">
        <v>9134</v>
      </c>
      <c r="B3899" s="10" t="s">
        <v>45</v>
      </c>
      <c r="C3899" s="8" t="s">
        <v>9127</v>
      </c>
      <c r="D3899" s="8" t="s">
        <v>9135</v>
      </c>
      <c r="E3899" s="11" t="n">
        <v>292</v>
      </c>
      <c r="F3899" s="8" t="str">
        <f aca="false">IFERROR(INDEX(Section_Master!$D$2:$D$477,MATCH($E3899,Section_Master!$A$2:$A$477,0))&amp;"","")</f>
        <v>Fine</v>
      </c>
      <c r="G3899" s="10" t="str">
        <f aca="false">IFERROR(INDEX(Section_Master!$E$2:$E$477,MATCH($E3899,Section_Master!$A$2:$A$477,0))&amp;"","")</f>
        <v>No</v>
      </c>
      <c r="H3899" s="10" t="str">
        <f aca="false">IFERROR(INDEX(Section_Master!$F$2:$F$477,MATCH($E3899,Section_Master!$A$2:$A$477,0))&amp;"","")</f>
        <v>Yes</v>
      </c>
      <c r="I3899" s="10" t="str">
        <f aca="false">IFERROR(INDEX(Section_Master!$G$2:$G$477,MATCH($E3899,Section_Master!$A$2:$A$477,0))&amp;"","")</f>
        <v>No</v>
      </c>
      <c r="J3899" s="10" t="s">
        <v>58</v>
      </c>
      <c r="K3899" s="8" t="s">
        <v>9129</v>
      </c>
    </row>
    <row r="3900" customFormat="false" ht="34.5" hidden="false" customHeight="true" outlineLevel="0" collapsed="false">
      <c r="A3900" s="10" t="s">
        <v>9136</v>
      </c>
      <c r="B3900" s="10" t="s">
        <v>45</v>
      </c>
      <c r="C3900" s="8" t="s">
        <v>9127</v>
      </c>
      <c r="D3900" s="8" t="s">
        <v>9137</v>
      </c>
      <c r="E3900" s="11" t="n">
        <v>292</v>
      </c>
      <c r="F3900" s="8" t="str">
        <f aca="false">IFERROR(INDEX(Section_Master!$D$2:$D$477,MATCH($E3900,Section_Master!$A$2:$A$477,0))&amp;"","")</f>
        <v>Fine</v>
      </c>
      <c r="G3900" s="10" t="str">
        <f aca="false">IFERROR(INDEX(Section_Master!$E$2:$E$477,MATCH($E3900,Section_Master!$A$2:$A$477,0))&amp;"","")</f>
        <v>No</v>
      </c>
      <c r="H3900" s="10" t="str">
        <f aca="false">IFERROR(INDEX(Section_Master!$F$2:$F$477,MATCH($E3900,Section_Master!$A$2:$A$477,0))&amp;"","")</f>
        <v>Yes</v>
      </c>
      <c r="I3900" s="10" t="str">
        <f aca="false">IFERROR(INDEX(Section_Master!$G$2:$G$477,MATCH($E3900,Section_Master!$A$2:$A$477,0))&amp;"","")</f>
        <v>No</v>
      </c>
      <c r="J3900" s="10" t="s">
        <v>61</v>
      </c>
      <c r="K3900" s="8" t="s">
        <v>9129</v>
      </c>
    </row>
    <row r="3901" customFormat="false" ht="45.75" hidden="false" customHeight="true" outlineLevel="0" collapsed="false">
      <c r="A3901" s="10" t="s">
        <v>9138</v>
      </c>
      <c r="B3901" s="10" t="s">
        <v>45</v>
      </c>
      <c r="C3901" s="8" t="s">
        <v>9127</v>
      </c>
      <c r="D3901" s="8" t="s">
        <v>9139</v>
      </c>
      <c r="E3901" s="11" t="n">
        <v>292</v>
      </c>
      <c r="F3901" s="8" t="str">
        <f aca="false">IFERROR(INDEX(Section_Master!$D$2:$D$477,MATCH($E3901,Section_Master!$A$2:$A$477,0))&amp;"","")</f>
        <v>Fine</v>
      </c>
      <c r="G3901" s="10" t="str">
        <f aca="false">IFERROR(INDEX(Section_Master!$E$2:$E$477,MATCH($E3901,Section_Master!$A$2:$A$477,0))&amp;"","")</f>
        <v>No</v>
      </c>
      <c r="H3901" s="10" t="str">
        <f aca="false">IFERROR(INDEX(Section_Master!$F$2:$F$477,MATCH($E3901,Section_Master!$A$2:$A$477,0))&amp;"","")</f>
        <v>Yes</v>
      </c>
      <c r="I3901" s="10" t="str">
        <f aca="false">IFERROR(INDEX(Section_Master!$G$2:$G$477,MATCH($E3901,Section_Master!$A$2:$A$477,0))&amp;"","")</f>
        <v>No</v>
      </c>
      <c r="J3901" s="10" t="s">
        <v>64</v>
      </c>
      <c r="K3901" s="8" t="s">
        <v>9129</v>
      </c>
    </row>
    <row r="3902" customFormat="false" ht="57" hidden="false" customHeight="true" outlineLevel="0" collapsed="false">
      <c r="A3902" s="10" t="s">
        <v>9140</v>
      </c>
      <c r="B3902" s="10" t="s">
        <v>45</v>
      </c>
      <c r="C3902" s="8" t="s">
        <v>9141</v>
      </c>
      <c r="D3902" s="8" t="s">
        <v>9142</v>
      </c>
      <c r="E3902" s="11" t="n">
        <v>293</v>
      </c>
      <c r="F3902" s="8" t="str">
        <f aca="false">IFERROR(INDEX(Section_Master!$D$2:$D$477,MATCH($E3902,Section_Master!$A$2:$A$477,0))&amp;"","")</f>
        <v>Imprisonment up to 6 months, or fine, or both</v>
      </c>
      <c r="G3902" s="10" t="str">
        <f aca="false">IFERROR(INDEX(Section_Master!$E$2:$E$477,MATCH($E3902,Section_Master!$A$2:$A$477,0))&amp;"","")</f>
        <v>No</v>
      </c>
      <c r="H3902" s="10" t="str">
        <f aca="false">IFERROR(INDEX(Section_Master!$F$2:$F$477,MATCH($E3902,Section_Master!$A$2:$A$477,0))&amp;"","")</f>
        <v>Yes</v>
      </c>
      <c r="I3902" s="10" t="str">
        <f aca="false">IFERROR(INDEX(Section_Master!$G$2:$G$477,MATCH($E3902,Section_Master!$A$2:$A$477,0))&amp;"","")</f>
        <v>No</v>
      </c>
      <c r="J3902" s="10" t="s">
        <v>48</v>
      </c>
      <c r="K3902" s="8" t="s">
        <v>9143</v>
      </c>
    </row>
    <row r="3903" customFormat="false" ht="45.75" hidden="false" customHeight="true" outlineLevel="0" collapsed="false">
      <c r="A3903" s="10" t="s">
        <v>9144</v>
      </c>
      <c r="B3903" s="10" t="s">
        <v>45</v>
      </c>
      <c r="C3903" s="8" t="s">
        <v>9141</v>
      </c>
      <c r="D3903" s="8" t="s">
        <v>9145</v>
      </c>
      <c r="E3903" s="11" t="n">
        <v>293</v>
      </c>
      <c r="F3903" s="8" t="str">
        <f aca="false">IFERROR(INDEX(Section_Master!$D$2:$D$477,MATCH($E3903,Section_Master!$A$2:$A$477,0))&amp;"","")</f>
        <v>Imprisonment up to 6 months, or fine, or both</v>
      </c>
      <c r="G3903" s="10" t="str">
        <f aca="false">IFERROR(INDEX(Section_Master!$E$2:$E$477,MATCH($E3903,Section_Master!$A$2:$A$477,0))&amp;"","")</f>
        <v>No</v>
      </c>
      <c r="H3903" s="10" t="str">
        <f aca="false">IFERROR(INDEX(Section_Master!$F$2:$F$477,MATCH($E3903,Section_Master!$A$2:$A$477,0))&amp;"","")</f>
        <v>Yes</v>
      </c>
      <c r="I3903" s="10" t="str">
        <f aca="false">IFERROR(INDEX(Section_Master!$G$2:$G$477,MATCH($E3903,Section_Master!$A$2:$A$477,0))&amp;"","")</f>
        <v>No</v>
      </c>
      <c r="J3903" s="10" t="s">
        <v>52</v>
      </c>
      <c r="K3903" s="8" t="s">
        <v>9143</v>
      </c>
    </row>
    <row r="3904" customFormat="false" ht="34.5" hidden="false" customHeight="true" outlineLevel="0" collapsed="false">
      <c r="A3904" s="10" t="s">
        <v>9146</v>
      </c>
      <c r="B3904" s="10" t="s">
        <v>45</v>
      </c>
      <c r="C3904" s="8" t="s">
        <v>9141</v>
      </c>
      <c r="D3904" s="8" t="s">
        <v>9147</v>
      </c>
      <c r="E3904" s="11" t="n">
        <v>293</v>
      </c>
      <c r="F3904" s="8" t="str">
        <f aca="false">IFERROR(INDEX(Section_Master!$D$2:$D$477,MATCH($E3904,Section_Master!$A$2:$A$477,0))&amp;"","")</f>
        <v>Imprisonment up to 6 months, or fine, or both</v>
      </c>
      <c r="G3904" s="10" t="str">
        <f aca="false">IFERROR(INDEX(Section_Master!$E$2:$E$477,MATCH($E3904,Section_Master!$A$2:$A$477,0))&amp;"","")</f>
        <v>No</v>
      </c>
      <c r="H3904" s="10" t="str">
        <f aca="false">IFERROR(INDEX(Section_Master!$F$2:$F$477,MATCH($E3904,Section_Master!$A$2:$A$477,0))&amp;"","")</f>
        <v>Yes</v>
      </c>
      <c r="I3904" s="10" t="str">
        <f aca="false">IFERROR(INDEX(Section_Master!$G$2:$G$477,MATCH($E3904,Section_Master!$A$2:$A$477,0))&amp;"","")</f>
        <v>No</v>
      </c>
      <c r="J3904" s="10" t="s">
        <v>55</v>
      </c>
      <c r="K3904" s="8" t="s">
        <v>9143</v>
      </c>
    </row>
    <row r="3905" customFormat="false" ht="23.25" hidden="false" customHeight="true" outlineLevel="0" collapsed="false">
      <c r="A3905" s="10" t="s">
        <v>9148</v>
      </c>
      <c r="B3905" s="10" t="s">
        <v>45</v>
      </c>
      <c r="C3905" s="8" t="s">
        <v>9141</v>
      </c>
      <c r="D3905" s="8" t="s">
        <v>9149</v>
      </c>
      <c r="E3905" s="11" t="n">
        <v>293</v>
      </c>
      <c r="F3905" s="8" t="str">
        <f aca="false">IFERROR(INDEX(Section_Master!$D$2:$D$477,MATCH($E3905,Section_Master!$A$2:$A$477,0))&amp;"","")</f>
        <v>Imprisonment up to 6 months, or fine, or both</v>
      </c>
      <c r="G3905" s="10" t="str">
        <f aca="false">IFERROR(INDEX(Section_Master!$E$2:$E$477,MATCH($E3905,Section_Master!$A$2:$A$477,0))&amp;"","")</f>
        <v>No</v>
      </c>
      <c r="H3905" s="10" t="str">
        <f aca="false">IFERROR(INDEX(Section_Master!$F$2:$F$477,MATCH($E3905,Section_Master!$A$2:$A$477,0))&amp;"","")</f>
        <v>Yes</v>
      </c>
      <c r="I3905" s="10" t="str">
        <f aca="false">IFERROR(INDEX(Section_Master!$G$2:$G$477,MATCH($E3905,Section_Master!$A$2:$A$477,0))&amp;"","")</f>
        <v>No</v>
      </c>
      <c r="J3905" s="10" t="s">
        <v>58</v>
      </c>
      <c r="K3905" s="8" t="s">
        <v>9143</v>
      </c>
    </row>
    <row r="3906" customFormat="false" ht="34.5" hidden="false" customHeight="true" outlineLevel="0" collapsed="false">
      <c r="A3906" s="10" t="s">
        <v>9150</v>
      </c>
      <c r="B3906" s="10" t="s">
        <v>45</v>
      </c>
      <c r="C3906" s="8" t="s">
        <v>9141</v>
      </c>
      <c r="D3906" s="8" t="s">
        <v>9151</v>
      </c>
      <c r="E3906" s="11" t="n">
        <v>293</v>
      </c>
      <c r="F3906" s="8" t="str">
        <f aca="false">IFERROR(INDEX(Section_Master!$D$2:$D$477,MATCH($E3906,Section_Master!$A$2:$A$477,0))&amp;"","")</f>
        <v>Imprisonment up to 6 months, or fine, or both</v>
      </c>
      <c r="G3906" s="10" t="str">
        <f aca="false">IFERROR(INDEX(Section_Master!$E$2:$E$477,MATCH($E3906,Section_Master!$A$2:$A$477,0))&amp;"","")</f>
        <v>No</v>
      </c>
      <c r="H3906" s="10" t="str">
        <f aca="false">IFERROR(INDEX(Section_Master!$F$2:$F$477,MATCH($E3906,Section_Master!$A$2:$A$477,0))&amp;"","")</f>
        <v>Yes</v>
      </c>
      <c r="I3906" s="10" t="str">
        <f aca="false">IFERROR(INDEX(Section_Master!$G$2:$G$477,MATCH($E3906,Section_Master!$A$2:$A$477,0))&amp;"","")</f>
        <v>No</v>
      </c>
      <c r="J3906" s="10" t="s">
        <v>61</v>
      </c>
      <c r="K3906" s="8" t="s">
        <v>9143</v>
      </c>
    </row>
    <row r="3907" customFormat="false" ht="34.5" hidden="false" customHeight="true" outlineLevel="0" collapsed="false">
      <c r="A3907" s="10" t="s">
        <v>9152</v>
      </c>
      <c r="B3907" s="10" t="s">
        <v>45</v>
      </c>
      <c r="C3907" s="8" t="s">
        <v>9141</v>
      </c>
      <c r="D3907" s="8" t="s">
        <v>9153</v>
      </c>
      <c r="E3907" s="11" t="n">
        <v>293</v>
      </c>
      <c r="F3907" s="8" t="str">
        <f aca="false">IFERROR(INDEX(Section_Master!$D$2:$D$477,MATCH($E3907,Section_Master!$A$2:$A$477,0))&amp;"","")</f>
        <v>Imprisonment up to 6 months, or fine, or both</v>
      </c>
      <c r="G3907" s="10" t="str">
        <f aca="false">IFERROR(INDEX(Section_Master!$E$2:$E$477,MATCH($E3907,Section_Master!$A$2:$A$477,0))&amp;"","")</f>
        <v>No</v>
      </c>
      <c r="H3907" s="10" t="str">
        <f aca="false">IFERROR(INDEX(Section_Master!$F$2:$F$477,MATCH($E3907,Section_Master!$A$2:$A$477,0))&amp;"","")</f>
        <v>Yes</v>
      </c>
      <c r="I3907" s="10" t="str">
        <f aca="false">IFERROR(INDEX(Section_Master!$G$2:$G$477,MATCH($E3907,Section_Master!$A$2:$A$477,0))&amp;"","")</f>
        <v>No</v>
      </c>
      <c r="J3907" s="10" t="s">
        <v>64</v>
      </c>
      <c r="K3907" s="8" t="s">
        <v>9143</v>
      </c>
    </row>
    <row r="3908" customFormat="false" ht="23.25" hidden="false" customHeight="true" outlineLevel="0" collapsed="false">
      <c r="A3908" s="10" t="s">
        <v>9154</v>
      </c>
      <c r="B3908" s="10" t="s">
        <v>45</v>
      </c>
      <c r="C3908" s="8" t="s">
        <v>9155</v>
      </c>
      <c r="D3908" s="8" t="s">
        <v>9156</v>
      </c>
      <c r="E3908" s="11" t="n">
        <v>294</v>
      </c>
      <c r="F3908" s="8" t="str">
        <f aca="false">IFERROR(INDEX(Section_Master!$D$2:$D$477,MATCH($E3908,Section_Master!$A$2:$A$477,0))&amp;"","")</f>
        <v>First conviction: up to 2 years and fine; repeat conviction: up to 5 years and fine [s.294]</v>
      </c>
      <c r="G3908" s="10" t="str">
        <f aca="false">IFERROR(INDEX(Section_Master!$E$2:$E$477,MATCH($E3908,Section_Master!$A$2:$A$477,0))&amp;"","")</f>
        <v>Yes</v>
      </c>
      <c r="H3908" s="10" t="str">
        <f aca="false">IFERROR(INDEX(Section_Master!$F$2:$F$477,MATCH($E3908,Section_Master!$A$2:$A$477,0))&amp;"","")</f>
        <v>Yes (first conviction); No (repeat)</v>
      </c>
      <c r="I3908" s="10" t="str">
        <f aca="false">IFERROR(INDEX(Section_Master!$G$2:$G$477,MATCH($E3908,Section_Master!$A$2:$A$477,0))&amp;"","")</f>
        <v>No</v>
      </c>
      <c r="J3908" s="10" t="s">
        <v>48</v>
      </c>
      <c r="K3908" s="8" t="s">
        <v>9157</v>
      </c>
    </row>
    <row r="3909" customFormat="false" ht="34.5" hidden="false" customHeight="true" outlineLevel="0" collapsed="false">
      <c r="A3909" s="10" t="s">
        <v>9158</v>
      </c>
      <c r="B3909" s="10" t="s">
        <v>45</v>
      </c>
      <c r="C3909" s="8" t="s">
        <v>9155</v>
      </c>
      <c r="D3909" s="8" t="s">
        <v>9159</v>
      </c>
      <c r="E3909" s="11" t="n">
        <v>294</v>
      </c>
      <c r="F3909" s="8" t="str">
        <f aca="false">IFERROR(INDEX(Section_Master!$D$2:$D$477,MATCH($E3909,Section_Master!$A$2:$A$477,0))&amp;"","")</f>
        <v>First conviction: up to 2 years and fine; repeat conviction: up to 5 years and fine [s.294]</v>
      </c>
      <c r="G3909" s="10" t="str">
        <f aca="false">IFERROR(INDEX(Section_Master!$E$2:$E$477,MATCH($E3909,Section_Master!$A$2:$A$477,0))&amp;"","")</f>
        <v>Yes</v>
      </c>
      <c r="H3909" s="10" t="str">
        <f aca="false">IFERROR(INDEX(Section_Master!$F$2:$F$477,MATCH($E3909,Section_Master!$A$2:$A$477,0))&amp;"","")</f>
        <v>Yes (first conviction); No (repeat)</v>
      </c>
      <c r="I3909" s="10" t="str">
        <f aca="false">IFERROR(INDEX(Section_Master!$G$2:$G$477,MATCH($E3909,Section_Master!$A$2:$A$477,0))&amp;"","")</f>
        <v>No</v>
      </c>
      <c r="J3909" s="10" t="s">
        <v>52</v>
      </c>
      <c r="K3909" s="8" t="s">
        <v>9157</v>
      </c>
    </row>
    <row r="3910" customFormat="false" ht="23.25" hidden="false" customHeight="true" outlineLevel="0" collapsed="false">
      <c r="A3910" s="10" t="s">
        <v>9160</v>
      </c>
      <c r="B3910" s="10" t="s">
        <v>45</v>
      </c>
      <c r="C3910" s="8" t="s">
        <v>9155</v>
      </c>
      <c r="D3910" s="8" t="s">
        <v>9161</v>
      </c>
      <c r="E3910" s="11" t="n">
        <v>294</v>
      </c>
      <c r="F3910" s="8" t="str">
        <f aca="false">IFERROR(INDEX(Section_Master!$D$2:$D$477,MATCH($E3910,Section_Master!$A$2:$A$477,0))&amp;"","")</f>
        <v>First conviction: up to 2 years and fine; repeat conviction: up to 5 years and fine [s.294]</v>
      </c>
      <c r="G3910" s="10" t="str">
        <f aca="false">IFERROR(INDEX(Section_Master!$E$2:$E$477,MATCH($E3910,Section_Master!$A$2:$A$477,0))&amp;"","")</f>
        <v>Yes</v>
      </c>
      <c r="H3910" s="10" t="str">
        <f aca="false">IFERROR(INDEX(Section_Master!$F$2:$F$477,MATCH($E3910,Section_Master!$A$2:$A$477,0))&amp;"","")</f>
        <v>Yes (first conviction); No (repeat)</v>
      </c>
      <c r="I3910" s="10" t="str">
        <f aca="false">IFERROR(INDEX(Section_Master!$G$2:$G$477,MATCH($E3910,Section_Master!$A$2:$A$477,0))&amp;"","")</f>
        <v>No</v>
      </c>
      <c r="J3910" s="10" t="s">
        <v>55</v>
      </c>
      <c r="K3910" s="8" t="s">
        <v>9157</v>
      </c>
    </row>
    <row r="3911" customFormat="false" ht="23.25" hidden="false" customHeight="true" outlineLevel="0" collapsed="false">
      <c r="A3911" s="10" t="s">
        <v>9162</v>
      </c>
      <c r="B3911" s="10" t="s">
        <v>45</v>
      </c>
      <c r="C3911" s="8" t="s">
        <v>9155</v>
      </c>
      <c r="D3911" s="8" t="s">
        <v>9163</v>
      </c>
      <c r="E3911" s="11" t="n">
        <v>294</v>
      </c>
      <c r="F3911" s="8" t="str">
        <f aca="false">IFERROR(INDEX(Section_Master!$D$2:$D$477,MATCH($E3911,Section_Master!$A$2:$A$477,0))&amp;"","")</f>
        <v>First conviction: up to 2 years and fine; repeat conviction: up to 5 years and fine [s.294]</v>
      </c>
      <c r="G3911" s="10" t="str">
        <f aca="false">IFERROR(INDEX(Section_Master!$E$2:$E$477,MATCH($E3911,Section_Master!$A$2:$A$477,0))&amp;"","")</f>
        <v>Yes</v>
      </c>
      <c r="H3911" s="10" t="str">
        <f aca="false">IFERROR(INDEX(Section_Master!$F$2:$F$477,MATCH($E3911,Section_Master!$A$2:$A$477,0))&amp;"","")</f>
        <v>Yes (first conviction); No (repeat)</v>
      </c>
      <c r="I3911" s="10" t="str">
        <f aca="false">IFERROR(INDEX(Section_Master!$G$2:$G$477,MATCH($E3911,Section_Master!$A$2:$A$477,0))&amp;"","")</f>
        <v>No</v>
      </c>
      <c r="J3911" s="10" t="s">
        <v>58</v>
      </c>
      <c r="K3911" s="8" t="s">
        <v>9157</v>
      </c>
    </row>
    <row r="3912" customFormat="false" ht="23.25" hidden="false" customHeight="true" outlineLevel="0" collapsed="false">
      <c r="A3912" s="10" t="s">
        <v>9164</v>
      </c>
      <c r="B3912" s="10" t="s">
        <v>45</v>
      </c>
      <c r="C3912" s="8" t="s">
        <v>9155</v>
      </c>
      <c r="D3912" s="8" t="s">
        <v>9165</v>
      </c>
      <c r="E3912" s="11" t="n">
        <v>294</v>
      </c>
      <c r="F3912" s="8" t="str">
        <f aca="false">IFERROR(INDEX(Section_Master!$D$2:$D$477,MATCH($E3912,Section_Master!$A$2:$A$477,0))&amp;"","")</f>
        <v>First conviction: up to 2 years and fine; repeat conviction: up to 5 years and fine [s.294]</v>
      </c>
      <c r="G3912" s="10" t="str">
        <f aca="false">IFERROR(INDEX(Section_Master!$E$2:$E$477,MATCH($E3912,Section_Master!$A$2:$A$477,0))&amp;"","")</f>
        <v>Yes</v>
      </c>
      <c r="H3912" s="10" t="str">
        <f aca="false">IFERROR(INDEX(Section_Master!$F$2:$F$477,MATCH($E3912,Section_Master!$A$2:$A$477,0))&amp;"","")</f>
        <v>Yes (first conviction); No (repeat)</v>
      </c>
      <c r="I3912" s="10" t="str">
        <f aca="false">IFERROR(INDEX(Section_Master!$G$2:$G$477,MATCH($E3912,Section_Master!$A$2:$A$477,0))&amp;"","")</f>
        <v>No</v>
      </c>
      <c r="J3912" s="10" t="s">
        <v>61</v>
      </c>
      <c r="K3912" s="8" t="s">
        <v>9157</v>
      </c>
    </row>
    <row r="3913" customFormat="false" ht="45.75" hidden="false" customHeight="true" outlineLevel="0" collapsed="false">
      <c r="A3913" s="10" t="s">
        <v>9166</v>
      </c>
      <c r="B3913" s="10" t="s">
        <v>45</v>
      </c>
      <c r="C3913" s="8" t="s">
        <v>9155</v>
      </c>
      <c r="D3913" s="8" t="s">
        <v>9167</v>
      </c>
      <c r="E3913" s="11" t="n">
        <v>294</v>
      </c>
      <c r="F3913" s="8" t="str">
        <f aca="false">IFERROR(INDEX(Section_Master!$D$2:$D$477,MATCH($E3913,Section_Master!$A$2:$A$477,0))&amp;"","")</f>
        <v>First conviction: up to 2 years and fine; repeat conviction: up to 5 years and fine [s.294]</v>
      </c>
      <c r="G3913" s="10" t="str">
        <f aca="false">IFERROR(INDEX(Section_Master!$E$2:$E$477,MATCH($E3913,Section_Master!$A$2:$A$477,0))&amp;"","")</f>
        <v>Yes</v>
      </c>
      <c r="H3913" s="10" t="str">
        <f aca="false">IFERROR(INDEX(Section_Master!$F$2:$F$477,MATCH($E3913,Section_Master!$A$2:$A$477,0))&amp;"","")</f>
        <v>Yes (first conviction); No (repeat)</v>
      </c>
      <c r="I3913" s="10" t="str">
        <f aca="false">IFERROR(INDEX(Section_Master!$G$2:$G$477,MATCH($E3913,Section_Master!$A$2:$A$477,0))&amp;"","")</f>
        <v>No</v>
      </c>
      <c r="J3913" s="10" t="s">
        <v>64</v>
      </c>
      <c r="K3913" s="8" t="s">
        <v>9157</v>
      </c>
    </row>
    <row r="3914" customFormat="false" ht="34.5" hidden="false" customHeight="true" outlineLevel="0" collapsed="false">
      <c r="A3914" s="10" t="s">
        <v>9168</v>
      </c>
      <c r="B3914" s="10" t="s">
        <v>45</v>
      </c>
      <c r="C3914" s="8" t="s">
        <v>9169</v>
      </c>
      <c r="D3914" s="8" t="s">
        <v>9170</v>
      </c>
      <c r="E3914" s="11" t="n">
        <v>295</v>
      </c>
      <c r="F3914" s="8" t="str">
        <f aca="false">IFERROR(INDEX(Section_Master!$D$2:$D$477,MATCH($E3914,Section_Master!$A$2:$A$477,0))&amp;"","")</f>
        <v>First conviction: up to 3 years and fine; repeat conviction: up to 7 years and fine [s.295]</v>
      </c>
      <c r="G3914" s="10" t="str">
        <f aca="false">IFERROR(INDEX(Section_Master!$E$2:$E$477,MATCH($E3914,Section_Master!$A$2:$A$477,0))&amp;"","")</f>
        <v>Yes</v>
      </c>
      <c r="H3914" s="10" t="str">
        <f aca="false">IFERROR(INDEX(Section_Master!$F$2:$F$477,MATCH($E3914,Section_Master!$A$2:$A$477,0))&amp;"","")</f>
        <v>Yes (first conviction); No (repeat)</v>
      </c>
      <c r="I3914" s="10" t="str">
        <f aca="false">IFERROR(INDEX(Section_Master!$G$2:$G$477,MATCH($E3914,Section_Master!$A$2:$A$477,0))&amp;"","")</f>
        <v>No</v>
      </c>
      <c r="J3914" s="10" t="s">
        <v>48</v>
      </c>
      <c r="K3914" s="8" t="s">
        <v>9171</v>
      </c>
    </row>
    <row r="3915" customFormat="false" ht="34.5" hidden="false" customHeight="true" outlineLevel="0" collapsed="false">
      <c r="A3915" s="10" t="s">
        <v>9172</v>
      </c>
      <c r="B3915" s="10" t="s">
        <v>45</v>
      </c>
      <c r="C3915" s="8" t="s">
        <v>9169</v>
      </c>
      <c r="D3915" s="8" t="s">
        <v>9173</v>
      </c>
      <c r="E3915" s="11" t="n">
        <v>295</v>
      </c>
      <c r="F3915" s="8" t="str">
        <f aca="false">IFERROR(INDEX(Section_Master!$D$2:$D$477,MATCH($E3915,Section_Master!$A$2:$A$477,0))&amp;"","")</f>
        <v>First conviction: up to 3 years and fine; repeat conviction: up to 7 years and fine [s.295]</v>
      </c>
      <c r="G3915" s="10" t="str">
        <f aca="false">IFERROR(INDEX(Section_Master!$E$2:$E$477,MATCH($E3915,Section_Master!$A$2:$A$477,0))&amp;"","")</f>
        <v>Yes</v>
      </c>
      <c r="H3915" s="10" t="str">
        <f aca="false">IFERROR(INDEX(Section_Master!$F$2:$F$477,MATCH($E3915,Section_Master!$A$2:$A$477,0))&amp;"","")</f>
        <v>Yes (first conviction); No (repeat)</v>
      </c>
      <c r="I3915" s="10" t="str">
        <f aca="false">IFERROR(INDEX(Section_Master!$G$2:$G$477,MATCH($E3915,Section_Master!$A$2:$A$477,0))&amp;"","")</f>
        <v>No</v>
      </c>
      <c r="J3915" s="10" t="s">
        <v>52</v>
      </c>
      <c r="K3915" s="8" t="s">
        <v>9171</v>
      </c>
    </row>
    <row r="3916" customFormat="false" ht="34.5" hidden="false" customHeight="true" outlineLevel="0" collapsed="false">
      <c r="A3916" s="10" t="s">
        <v>9174</v>
      </c>
      <c r="B3916" s="10" t="s">
        <v>45</v>
      </c>
      <c r="C3916" s="8" t="s">
        <v>9169</v>
      </c>
      <c r="D3916" s="8" t="s">
        <v>9175</v>
      </c>
      <c r="E3916" s="11" t="n">
        <v>295</v>
      </c>
      <c r="F3916" s="8" t="str">
        <f aca="false">IFERROR(INDEX(Section_Master!$D$2:$D$477,MATCH($E3916,Section_Master!$A$2:$A$477,0))&amp;"","")</f>
        <v>First conviction: up to 3 years and fine; repeat conviction: up to 7 years and fine [s.295]</v>
      </c>
      <c r="G3916" s="10" t="str">
        <f aca="false">IFERROR(INDEX(Section_Master!$E$2:$E$477,MATCH($E3916,Section_Master!$A$2:$A$477,0))&amp;"","")</f>
        <v>Yes</v>
      </c>
      <c r="H3916" s="10" t="str">
        <f aca="false">IFERROR(INDEX(Section_Master!$F$2:$F$477,MATCH($E3916,Section_Master!$A$2:$A$477,0))&amp;"","")</f>
        <v>Yes (first conviction); No (repeat)</v>
      </c>
      <c r="I3916" s="10" t="str">
        <f aca="false">IFERROR(INDEX(Section_Master!$G$2:$G$477,MATCH($E3916,Section_Master!$A$2:$A$477,0))&amp;"","")</f>
        <v>No</v>
      </c>
      <c r="J3916" s="10" t="s">
        <v>55</v>
      </c>
      <c r="K3916" s="8" t="s">
        <v>9171</v>
      </c>
    </row>
    <row r="3917" customFormat="false" ht="23.25" hidden="false" customHeight="true" outlineLevel="0" collapsed="false">
      <c r="A3917" s="10" t="s">
        <v>9176</v>
      </c>
      <c r="B3917" s="10" t="s">
        <v>45</v>
      </c>
      <c r="C3917" s="8" t="s">
        <v>9169</v>
      </c>
      <c r="D3917" s="8" t="s">
        <v>9177</v>
      </c>
      <c r="E3917" s="11" t="n">
        <v>295</v>
      </c>
      <c r="F3917" s="8" t="str">
        <f aca="false">IFERROR(INDEX(Section_Master!$D$2:$D$477,MATCH($E3917,Section_Master!$A$2:$A$477,0))&amp;"","")</f>
        <v>First conviction: up to 3 years and fine; repeat conviction: up to 7 years and fine [s.295]</v>
      </c>
      <c r="G3917" s="10" t="str">
        <f aca="false">IFERROR(INDEX(Section_Master!$E$2:$E$477,MATCH($E3917,Section_Master!$A$2:$A$477,0))&amp;"","")</f>
        <v>Yes</v>
      </c>
      <c r="H3917" s="10" t="str">
        <f aca="false">IFERROR(INDEX(Section_Master!$F$2:$F$477,MATCH($E3917,Section_Master!$A$2:$A$477,0))&amp;"","")</f>
        <v>Yes (first conviction); No (repeat)</v>
      </c>
      <c r="I3917" s="10" t="str">
        <f aca="false">IFERROR(INDEX(Section_Master!$G$2:$G$477,MATCH($E3917,Section_Master!$A$2:$A$477,0))&amp;"","")</f>
        <v>No</v>
      </c>
      <c r="J3917" s="10" t="s">
        <v>58</v>
      </c>
      <c r="K3917" s="8" t="s">
        <v>9171</v>
      </c>
    </row>
    <row r="3918" customFormat="false" ht="34.5" hidden="false" customHeight="true" outlineLevel="0" collapsed="false">
      <c r="A3918" s="10" t="s">
        <v>9178</v>
      </c>
      <c r="B3918" s="10" t="s">
        <v>45</v>
      </c>
      <c r="C3918" s="8" t="s">
        <v>9169</v>
      </c>
      <c r="D3918" s="8" t="s">
        <v>9179</v>
      </c>
      <c r="E3918" s="11" t="n">
        <v>295</v>
      </c>
      <c r="F3918" s="8" t="str">
        <f aca="false">IFERROR(INDEX(Section_Master!$D$2:$D$477,MATCH($E3918,Section_Master!$A$2:$A$477,0))&amp;"","")</f>
        <v>First conviction: up to 3 years and fine; repeat conviction: up to 7 years and fine [s.295]</v>
      </c>
      <c r="G3918" s="10" t="str">
        <f aca="false">IFERROR(INDEX(Section_Master!$E$2:$E$477,MATCH($E3918,Section_Master!$A$2:$A$477,0))&amp;"","")</f>
        <v>Yes</v>
      </c>
      <c r="H3918" s="10" t="str">
        <f aca="false">IFERROR(INDEX(Section_Master!$F$2:$F$477,MATCH($E3918,Section_Master!$A$2:$A$477,0))&amp;"","")</f>
        <v>Yes (first conviction); No (repeat)</v>
      </c>
      <c r="I3918" s="10" t="str">
        <f aca="false">IFERROR(INDEX(Section_Master!$G$2:$G$477,MATCH($E3918,Section_Master!$A$2:$A$477,0))&amp;"","")</f>
        <v>No</v>
      </c>
      <c r="J3918" s="10" t="s">
        <v>61</v>
      </c>
      <c r="K3918" s="8" t="s">
        <v>9171</v>
      </c>
    </row>
    <row r="3919" customFormat="false" ht="45.75" hidden="false" customHeight="true" outlineLevel="0" collapsed="false">
      <c r="A3919" s="10" t="s">
        <v>9180</v>
      </c>
      <c r="B3919" s="10" t="s">
        <v>45</v>
      </c>
      <c r="C3919" s="8" t="s">
        <v>9169</v>
      </c>
      <c r="D3919" s="8" t="s">
        <v>9181</v>
      </c>
      <c r="E3919" s="11" t="n">
        <v>295</v>
      </c>
      <c r="F3919" s="8" t="str">
        <f aca="false">IFERROR(INDEX(Section_Master!$D$2:$D$477,MATCH($E3919,Section_Master!$A$2:$A$477,0))&amp;"","")</f>
        <v>First conviction: up to 3 years and fine; repeat conviction: up to 7 years and fine [s.295]</v>
      </c>
      <c r="G3919" s="10" t="str">
        <f aca="false">IFERROR(INDEX(Section_Master!$E$2:$E$477,MATCH($E3919,Section_Master!$A$2:$A$477,0))&amp;"","")</f>
        <v>Yes</v>
      </c>
      <c r="H3919" s="10" t="str">
        <f aca="false">IFERROR(INDEX(Section_Master!$F$2:$F$477,MATCH($E3919,Section_Master!$A$2:$A$477,0))&amp;"","")</f>
        <v>Yes (first conviction); No (repeat)</v>
      </c>
      <c r="I3919" s="10" t="str">
        <f aca="false">IFERROR(INDEX(Section_Master!$G$2:$G$477,MATCH($E3919,Section_Master!$A$2:$A$477,0))&amp;"","")</f>
        <v>No</v>
      </c>
      <c r="J3919" s="10" t="s">
        <v>64</v>
      </c>
      <c r="K3919" s="8" t="s">
        <v>9171</v>
      </c>
    </row>
    <row r="3920" customFormat="false" ht="23.25" hidden="false" customHeight="true" outlineLevel="0" collapsed="false">
      <c r="A3920" s="10" t="s">
        <v>9182</v>
      </c>
      <c r="B3920" s="10" t="s">
        <v>45</v>
      </c>
      <c r="C3920" s="8" t="s">
        <v>9183</v>
      </c>
      <c r="D3920" s="8" t="s">
        <v>9184</v>
      </c>
      <c r="E3920" s="11" t="n">
        <v>296</v>
      </c>
      <c r="F3920" s="8" t="str">
        <f aca="false">IFERROR(INDEX(Section_Master!$D$2:$D$477,MATCH($E3920,Section_Master!$A$2:$A$477,0))&amp;"","")</f>
        <v>Imprisonment up to 3 months, or fine, or both</v>
      </c>
      <c r="G3920" s="10" t="str">
        <f aca="false">IFERROR(INDEX(Section_Master!$E$2:$E$477,MATCH($E3920,Section_Master!$A$2:$A$477,0))&amp;"","")</f>
        <v>Yes</v>
      </c>
      <c r="H3920" s="10" t="str">
        <f aca="false">IFERROR(INDEX(Section_Master!$F$2:$F$477,MATCH($E3920,Section_Master!$A$2:$A$477,0))&amp;"","")</f>
        <v>Yes</v>
      </c>
      <c r="I3920" s="10" t="str">
        <f aca="false">IFERROR(INDEX(Section_Master!$G$2:$G$477,MATCH($E3920,Section_Master!$A$2:$A$477,0))&amp;"","")</f>
        <v>No</v>
      </c>
      <c r="J3920" s="10" t="s">
        <v>48</v>
      </c>
      <c r="K3920" s="8" t="s">
        <v>9185</v>
      </c>
    </row>
    <row r="3921" customFormat="false" ht="34.5" hidden="false" customHeight="true" outlineLevel="0" collapsed="false">
      <c r="A3921" s="10" t="s">
        <v>9186</v>
      </c>
      <c r="B3921" s="10" t="s">
        <v>45</v>
      </c>
      <c r="C3921" s="8" t="s">
        <v>9183</v>
      </c>
      <c r="D3921" s="8" t="s">
        <v>9187</v>
      </c>
      <c r="E3921" s="11" t="n">
        <v>296</v>
      </c>
      <c r="F3921" s="8" t="str">
        <f aca="false">IFERROR(INDEX(Section_Master!$D$2:$D$477,MATCH($E3921,Section_Master!$A$2:$A$477,0))&amp;"","")</f>
        <v>Imprisonment up to 3 months, or fine, or both</v>
      </c>
      <c r="G3921" s="10" t="str">
        <f aca="false">IFERROR(INDEX(Section_Master!$E$2:$E$477,MATCH($E3921,Section_Master!$A$2:$A$477,0))&amp;"","")</f>
        <v>Yes</v>
      </c>
      <c r="H3921" s="10" t="str">
        <f aca="false">IFERROR(INDEX(Section_Master!$F$2:$F$477,MATCH($E3921,Section_Master!$A$2:$A$477,0))&amp;"","")</f>
        <v>Yes</v>
      </c>
      <c r="I3921" s="10" t="str">
        <f aca="false">IFERROR(INDEX(Section_Master!$G$2:$G$477,MATCH($E3921,Section_Master!$A$2:$A$477,0))&amp;"","")</f>
        <v>No</v>
      </c>
      <c r="J3921" s="10" t="s">
        <v>52</v>
      </c>
      <c r="K3921" s="8" t="s">
        <v>9185</v>
      </c>
    </row>
    <row r="3922" customFormat="false" ht="34.5" hidden="false" customHeight="true" outlineLevel="0" collapsed="false">
      <c r="A3922" s="10" t="s">
        <v>9188</v>
      </c>
      <c r="B3922" s="10" t="s">
        <v>45</v>
      </c>
      <c r="C3922" s="8" t="s">
        <v>9183</v>
      </c>
      <c r="D3922" s="8" t="s">
        <v>9189</v>
      </c>
      <c r="E3922" s="11" t="n">
        <v>296</v>
      </c>
      <c r="F3922" s="8" t="str">
        <f aca="false">IFERROR(INDEX(Section_Master!$D$2:$D$477,MATCH($E3922,Section_Master!$A$2:$A$477,0))&amp;"","")</f>
        <v>Imprisonment up to 3 months, or fine, or both</v>
      </c>
      <c r="G3922" s="10" t="str">
        <f aca="false">IFERROR(INDEX(Section_Master!$E$2:$E$477,MATCH($E3922,Section_Master!$A$2:$A$477,0))&amp;"","")</f>
        <v>Yes</v>
      </c>
      <c r="H3922" s="10" t="str">
        <f aca="false">IFERROR(INDEX(Section_Master!$F$2:$F$477,MATCH($E3922,Section_Master!$A$2:$A$477,0))&amp;"","")</f>
        <v>Yes</v>
      </c>
      <c r="I3922" s="10" t="str">
        <f aca="false">IFERROR(INDEX(Section_Master!$G$2:$G$477,MATCH($E3922,Section_Master!$A$2:$A$477,0))&amp;"","")</f>
        <v>No</v>
      </c>
      <c r="J3922" s="10" t="s">
        <v>55</v>
      </c>
      <c r="K3922" s="8" t="s">
        <v>9185</v>
      </c>
    </row>
    <row r="3923" customFormat="false" ht="23.25" hidden="false" customHeight="true" outlineLevel="0" collapsed="false">
      <c r="A3923" s="10" t="s">
        <v>9190</v>
      </c>
      <c r="B3923" s="10" t="s">
        <v>45</v>
      </c>
      <c r="C3923" s="8" t="s">
        <v>9183</v>
      </c>
      <c r="D3923" s="8" t="s">
        <v>9191</v>
      </c>
      <c r="E3923" s="11" t="n">
        <v>296</v>
      </c>
      <c r="F3923" s="8" t="str">
        <f aca="false">IFERROR(INDEX(Section_Master!$D$2:$D$477,MATCH($E3923,Section_Master!$A$2:$A$477,0))&amp;"","")</f>
        <v>Imprisonment up to 3 months, or fine, or both</v>
      </c>
      <c r="G3923" s="10" t="str">
        <f aca="false">IFERROR(INDEX(Section_Master!$E$2:$E$477,MATCH($E3923,Section_Master!$A$2:$A$477,0))&amp;"","")</f>
        <v>Yes</v>
      </c>
      <c r="H3923" s="10" t="str">
        <f aca="false">IFERROR(INDEX(Section_Master!$F$2:$F$477,MATCH($E3923,Section_Master!$A$2:$A$477,0))&amp;"","")</f>
        <v>Yes</v>
      </c>
      <c r="I3923" s="10" t="str">
        <f aca="false">IFERROR(INDEX(Section_Master!$G$2:$G$477,MATCH($E3923,Section_Master!$A$2:$A$477,0))&amp;"","")</f>
        <v>No</v>
      </c>
      <c r="J3923" s="10" t="s">
        <v>58</v>
      </c>
      <c r="K3923" s="8" t="s">
        <v>9185</v>
      </c>
    </row>
    <row r="3924" customFormat="false" ht="34.5" hidden="false" customHeight="true" outlineLevel="0" collapsed="false">
      <c r="A3924" s="10" t="s">
        <v>9192</v>
      </c>
      <c r="B3924" s="10" t="s">
        <v>45</v>
      </c>
      <c r="C3924" s="8" t="s">
        <v>9183</v>
      </c>
      <c r="D3924" s="8" t="s">
        <v>9193</v>
      </c>
      <c r="E3924" s="11" t="n">
        <v>296</v>
      </c>
      <c r="F3924" s="8" t="str">
        <f aca="false">IFERROR(INDEX(Section_Master!$D$2:$D$477,MATCH($E3924,Section_Master!$A$2:$A$477,0))&amp;"","")</f>
        <v>Imprisonment up to 3 months, or fine, or both</v>
      </c>
      <c r="G3924" s="10" t="str">
        <f aca="false">IFERROR(INDEX(Section_Master!$E$2:$E$477,MATCH($E3924,Section_Master!$A$2:$A$477,0))&amp;"","")</f>
        <v>Yes</v>
      </c>
      <c r="H3924" s="10" t="str">
        <f aca="false">IFERROR(INDEX(Section_Master!$F$2:$F$477,MATCH($E3924,Section_Master!$A$2:$A$477,0))&amp;"","")</f>
        <v>Yes</v>
      </c>
      <c r="I3924" s="10" t="str">
        <f aca="false">IFERROR(INDEX(Section_Master!$G$2:$G$477,MATCH($E3924,Section_Master!$A$2:$A$477,0))&amp;"","")</f>
        <v>No</v>
      </c>
      <c r="J3924" s="10" t="s">
        <v>61</v>
      </c>
      <c r="K3924" s="8" t="s">
        <v>9185</v>
      </c>
    </row>
    <row r="3925" customFormat="false" ht="34.5" hidden="false" customHeight="true" outlineLevel="0" collapsed="false">
      <c r="A3925" s="10" t="s">
        <v>9194</v>
      </c>
      <c r="B3925" s="10" t="s">
        <v>45</v>
      </c>
      <c r="C3925" s="8" t="s">
        <v>9183</v>
      </c>
      <c r="D3925" s="8" t="s">
        <v>9195</v>
      </c>
      <c r="E3925" s="11" t="n">
        <v>296</v>
      </c>
      <c r="F3925" s="8" t="str">
        <f aca="false">IFERROR(INDEX(Section_Master!$D$2:$D$477,MATCH($E3925,Section_Master!$A$2:$A$477,0))&amp;"","")</f>
        <v>Imprisonment up to 3 months, or fine, or both</v>
      </c>
      <c r="G3925" s="10" t="str">
        <f aca="false">IFERROR(INDEX(Section_Master!$E$2:$E$477,MATCH($E3925,Section_Master!$A$2:$A$477,0))&amp;"","")</f>
        <v>Yes</v>
      </c>
      <c r="H3925" s="10" t="str">
        <f aca="false">IFERROR(INDEX(Section_Master!$F$2:$F$477,MATCH($E3925,Section_Master!$A$2:$A$477,0))&amp;"","")</f>
        <v>Yes</v>
      </c>
      <c r="I3925" s="10" t="str">
        <f aca="false">IFERROR(INDEX(Section_Master!$G$2:$G$477,MATCH($E3925,Section_Master!$A$2:$A$477,0))&amp;"","")</f>
        <v>No</v>
      </c>
      <c r="J3925" s="10" t="s">
        <v>64</v>
      </c>
      <c r="K3925" s="8" t="s">
        <v>9185</v>
      </c>
    </row>
    <row r="3926" customFormat="false" ht="34.5" hidden="false" customHeight="true" outlineLevel="0" collapsed="false">
      <c r="A3926" s="10" t="s">
        <v>9196</v>
      </c>
      <c r="B3926" s="10" t="s">
        <v>45</v>
      </c>
      <c r="C3926" s="8" t="s">
        <v>9197</v>
      </c>
      <c r="D3926" s="8" t="s">
        <v>9198</v>
      </c>
      <c r="E3926" s="11" t="n">
        <v>297</v>
      </c>
      <c r="F3926" s="8" t="str">
        <f aca="false">IFERROR(INDEX(Section_Master!$D$2:$D$477,MATCH($E3926,Section_Master!$A$2:$A$477,0))&amp;"","")</f>
        <v>Imprisonment up to 6 months, or fine, or both</v>
      </c>
      <c r="G3926" s="10" t="str">
        <f aca="false">IFERROR(INDEX(Section_Master!$E$2:$E$477,MATCH($E3926,Section_Master!$A$2:$A$477,0))&amp;"","")</f>
        <v>Yes</v>
      </c>
      <c r="H3926" s="10" t="str">
        <f aca="false">IFERROR(INDEX(Section_Master!$F$2:$F$477,MATCH($E3926,Section_Master!$A$2:$A$477,0))&amp;"","")</f>
        <v>Yes</v>
      </c>
      <c r="I3926" s="10" t="str">
        <f aca="false">IFERROR(INDEX(Section_Master!$G$2:$G$477,MATCH($E3926,Section_Master!$A$2:$A$477,0))&amp;"","")</f>
        <v>No</v>
      </c>
      <c r="J3926" s="10" t="s">
        <v>48</v>
      </c>
      <c r="K3926" s="8" t="s">
        <v>9199</v>
      </c>
    </row>
    <row r="3927" customFormat="false" ht="34.5" hidden="false" customHeight="true" outlineLevel="0" collapsed="false">
      <c r="A3927" s="10" t="s">
        <v>9200</v>
      </c>
      <c r="B3927" s="10" t="s">
        <v>45</v>
      </c>
      <c r="C3927" s="8" t="s">
        <v>9197</v>
      </c>
      <c r="D3927" s="8" t="s">
        <v>9201</v>
      </c>
      <c r="E3927" s="11" t="n">
        <v>297</v>
      </c>
      <c r="F3927" s="8" t="str">
        <f aca="false">IFERROR(INDEX(Section_Master!$D$2:$D$477,MATCH($E3927,Section_Master!$A$2:$A$477,0))&amp;"","")</f>
        <v>Imprisonment up to 6 months, or fine, or both</v>
      </c>
      <c r="G3927" s="10" t="str">
        <f aca="false">IFERROR(INDEX(Section_Master!$E$2:$E$477,MATCH($E3927,Section_Master!$A$2:$A$477,0))&amp;"","")</f>
        <v>Yes</v>
      </c>
      <c r="H3927" s="10" t="str">
        <f aca="false">IFERROR(INDEX(Section_Master!$F$2:$F$477,MATCH($E3927,Section_Master!$A$2:$A$477,0))&amp;"","")</f>
        <v>Yes</v>
      </c>
      <c r="I3927" s="10" t="str">
        <f aca="false">IFERROR(INDEX(Section_Master!$G$2:$G$477,MATCH($E3927,Section_Master!$A$2:$A$477,0))&amp;"","")</f>
        <v>No</v>
      </c>
      <c r="J3927" s="10" t="s">
        <v>52</v>
      </c>
      <c r="K3927" s="8" t="s">
        <v>9199</v>
      </c>
    </row>
    <row r="3928" customFormat="false" ht="34.5" hidden="false" customHeight="true" outlineLevel="0" collapsed="false">
      <c r="A3928" s="10" t="s">
        <v>9202</v>
      </c>
      <c r="B3928" s="10" t="s">
        <v>45</v>
      </c>
      <c r="C3928" s="8" t="s">
        <v>9197</v>
      </c>
      <c r="D3928" s="8" t="s">
        <v>9203</v>
      </c>
      <c r="E3928" s="11" t="n">
        <v>297</v>
      </c>
      <c r="F3928" s="8" t="str">
        <f aca="false">IFERROR(INDEX(Section_Master!$D$2:$D$477,MATCH($E3928,Section_Master!$A$2:$A$477,0))&amp;"","")</f>
        <v>Imprisonment up to 6 months, or fine, or both</v>
      </c>
      <c r="G3928" s="10" t="str">
        <f aca="false">IFERROR(INDEX(Section_Master!$E$2:$E$477,MATCH($E3928,Section_Master!$A$2:$A$477,0))&amp;"","")</f>
        <v>Yes</v>
      </c>
      <c r="H3928" s="10" t="str">
        <f aca="false">IFERROR(INDEX(Section_Master!$F$2:$F$477,MATCH($E3928,Section_Master!$A$2:$A$477,0))&amp;"","")</f>
        <v>Yes</v>
      </c>
      <c r="I3928" s="10" t="str">
        <f aca="false">IFERROR(INDEX(Section_Master!$G$2:$G$477,MATCH($E3928,Section_Master!$A$2:$A$477,0))&amp;"","")</f>
        <v>No</v>
      </c>
      <c r="J3928" s="10" t="s">
        <v>55</v>
      </c>
      <c r="K3928" s="8" t="s">
        <v>9199</v>
      </c>
    </row>
    <row r="3929" customFormat="false" ht="34.5" hidden="false" customHeight="true" outlineLevel="0" collapsed="false">
      <c r="A3929" s="10" t="s">
        <v>9204</v>
      </c>
      <c r="B3929" s="10" t="s">
        <v>45</v>
      </c>
      <c r="C3929" s="8" t="s">
        <v>9197</v>
      </c>
      <c r="D3929" s="8" t="s">
        <v>9205</v>
      </c>
      <c r="E3929" s="11" t="n">
        <v>297</v>
      </c>
      <c r="F3929" s="8" t="str">
        <f aca="false">IFERROR(INDEX(Section_Master!$D$2:$D$477,MATCH($E3929,Section_Master!$A$2:$A$477,0))&amp;"","")</f>
        <v>Imprisonment up to 6 months, or fine, or both</v>
      </c>
      <c r="G3929" s="10" t="str">
        <f aca="false">IFERROR(INDEX(Section_Master!$E$2:$E$477,MATCH($E3929,Section_Master!$A$2:$A$477,0))&amp;"","")</f>
        <v>Yes</v>
      </c>
      <c r="H3929" s="10" t="str">
        <f aca="false">IFERROR(INDEX(Section_Master!$F$2:$F$477,MATCH($E3929,Section_Master!$A$2:$A$477,0))&amp;"","")</f>
        <v>Yes</v>
      </c>
      <c r="I3929" s="10" t="str">
        <f aca="false">IFERROR(INDEX(Section_Master!$G$2:$G$477,MATCH($E3929,Section_Master!$A$2:$A$477,0))&amp;"","")</f>
        <v>No</v>
      </c>
      <c r="J3929" s="10" t="s">
        <v>58</v>
      </c>
      <c r="K3929" s="8" t="s">
        <v>9199</v>
      </c>
    </row>
    <row r="3930" customFormat="false" ht="34.5" hidden="false" customHeight="true" outlineLevel="0" collapsed="false">
      <c r="A3930" s="10" t="s">
        <v>9206</v>
      </c>
      <c r="B3930" s="10" t="s">
        <v>45</v>
      </c>
      <c r="C3930" s="8" t="s">
        <v>9197</v>
      </c>
      <c r="D3930" s="8" t="s">
        <v>9207</v>
      </c>
      <c r="E3930" s="11" t="n">
        <v>297</v>
      </c>
      <c r="F3930" s="8" t="str">
        <f aca="false">IFERROR(INDEX(Section_Master!$D$2:$D$477,MATCH($E3930,Section_Master!$A$2:$A$477,0))&amp;"","")</f>
        <v>Imprisonment up to 6 months, or fine, or both</v>
      </c>
      <c r="G3930" s="10" t="str">
        <f aca="false">IFERROR(INDEX(Section_Master!$E$2:$E$477,MATCH($E3930,Section_Master!$A$2:$A$477,0))&amp;"","")</f>
        <v>Yes</v>
      </c>
      <c r="H3930" s="10" t="str">
        <f aca="false">IFERROR(INDEX(Section_Master!$F$2:$F$477,MATCH($E3930,Section_Master!$A$2:$A$477,0))&amp;"","")</f>
        <v>Yes</v>
      </c>
      <c r="I3930" s="10" t="str">
        <f aca="false">IFERROR(INDEX(Section_Master!$G$2:$G$477,MATCH($E3930,Section_Master!$A$2:$A$477,0))&amp;"","")</f>
        <v>No</v>
      </c>
      <c r="J3930" s="10" t="s">
        <v>61</v>
      </c>
      <c r="K3930" s="8" t="s">
        <v>9199</v>
      </c>
    </row>
    <row r="3931" customFormat="false" ht="45.75" hidden="false" customHeight="true" outlineLevel="0" collapsed="false">
      <c r="A3931" s="10" t="s">
        <v>9208</v>
      </c>
      <c r="B3931" s="10" t="s">
        <v>45</v>
      </c>
      <c r="C3931" s="8" t="s">
        <v>9197</v>
      </c>
      <c r="D3931" s="8" t="s">
        <v>9209</v>
      </c>
      <c r="E3931" s="11" t="n">
        <v>297</v>
      </c>
      <c r="F3931" s="8" t="str">
        <f aca="false">IFERROR(INDEX(Section_Master!$D$2:$D$477,MATCH($E3931,Section_Master!$A$2:$A$477,0))&amp;"","")</f>
        <v>Imprisonment up to 6 months, or fine, or both</v>
      </c>
      <c r="G3931" s="10" t="str">
        <f aca="false">IFERROR(INDEX(Section_Master!$E$2:$E$477,MATCH($E3931,Section_Master!$A$2:$A$477,0))&amp;"","")</f>
        <v>Yes</v>
      </c>
      <c r="H3931" s="10" t="str">
        <f aca="false">IFERROR(INDEX(Section_Master!$F$2:$F$477,MATCH($E3931,Section_Master!$A$2:$A$477,0))&amp;"","")</f>
        <v>Yes</v>
      </c>
      <c r="I3931" s="10" t="str">
        <f aca="false">IFERROR(INDEX(Section_Master!$G$2:$G$477,MATCH($E3931,Section_Master!$A$2:$A$477,0))&amp;"","")</f>
        <v>No</v>
      </c>
      <c r="J3931" s="10" t="s">
        <v>64</v>
      </c>
      <c r="K3931" s="8" t="s">
        <v>9199</v>
      </c>
    </row>
    <row r="3932" customFormat="false" ht="23.25" hidden="false" customHeight="true" outlineLevel="0" collapsed="false">
      <c r="A3932" s="10" t="s">
        <v>9210</v>
      </c>
      <c r="B3932" s="10" t="s">
        <v>45</v>
      </c>
      <c r="C3932" s="8" t="s">
        <v>9211</v>
      </c>
      <c r="D3932" s="8" t="s">
        <v>9212</v>
      </c>
      <c r="E3932" s="11" t="n">
        <v>298</v>
      </c>
      <c r="F3932" s="8" t="str">
        <f aca="false">IFERROR(INDEX(Section_Master!$D$2:$D$477,MATCH($E3932,Section_Master!$A$2:$A$477,0))&amp;"","")</f>
        <v>Imprisonment up to 2 years, or fine, or both</v>
      </c>
      <c r="G3932" s="10" t="str">
        <f aca="false">IFERROR(INDEX(Section_Master!$E$2:$E$477,MATCH($E3932,Section_Master!$A$2:$A$477,0))&amp;"","")</f>
        <v>No</v>
      </c>
      <c r="H3932" s="10" t="str">
        <f aca="false">IFERROR(INDEX(Section_Master!$F$2:$F$477,MATCH($E3932,Section_Master!$A$2:$A$477,0))&amp;"","")</f>
        <v>Yes</v>
      </c>
      <c r="I3932" s="10" t="str">
        <f aca="false">IFERROR(INDEX(Section_Master!$G$2:$G$477,MATCH($E3932,Section_Master!$A$2:$A$477,0))&amp;"","")</f>
        <v>No</v>
      </c>
      <c r="J3932" s="10" t="s">
        <v>48</v>
      </c>
      <c r="K3932" s="8" t="s">
        <v>9213</v>
      </c>
    </row>
    <row r="3933" customFormat="false" ht="34.5" hidden="false" customHeight="true" outlineLevel="0" collapsed="false">
      <c r="A3933" s="10" t="s">
        <v>9214</v>
      </c>
      <c r="B3933" s="10" t="s">
        <v>45</v>
      </c>
      <c r="C3933" s="8" t="s">
        <v>9211</v>
      </c>
      <c r="D3933" s="8" t="s">
        <v>9215</v>
      </c>
      <c r="E3933" s="11" t="n">
        <v>298</v>
      </c>
      <c r="F3933" s="8" t="str">
        <f aca="false">IFERROR(INDEX(Section_Master!$D$2:$D$477,MATCH($E3933,Section_Master!$A$2:$A$477,0))&amp;"","")</f>
        <v>Imprisonment up to 2 years, or fine, or both</v>
      </c>
      <c r="G3933" s="10" t="str">
        <f aca="false">IFERROR(INDEX(Section_Master!$E$2:$E$477,MATCH($E3933,Section_Master!$A$2:$A$477,0))&amp;"","")</f>
        <v>No</v>
      </c>
      <c r="H3933" s="10" t="str">
        <f aca="false">IFERROR(INDEX(Section_Master!$F$2:$F$477,MATCH($E3933,Section_Master!$A$2:$A$477,0))&amp;"","")</f>
        <v>Yes</v>
      </c>
      <c r="I3933" s="10" t="str">
        <f aca="false">IFERROR(INDEX(Section_Master!$G$2:$G$477,MATCH($E3933,Section_Master!$A$2:$A$477,0))&amp;"","")</f>
        <v>No</v>
      </c>
      <c r="J3933" s="10" t="s">
        <v>52</v>
      </c>
      <c r="K3933" s="8" t="s">
        <v>9213</v>
      </c>
    </row>
    <row r="3934" customFormat="false" ht="34.5" hidden="false" customHeight="true" outlineLevel="0" collapsed="false">
      <c r="A3934" s="10" t="s">
        <v>9216</v>
      </c>
      <c r="B3934" s="10" t="s">
        <v>45</v>
      </c>
      <c r="C3934" s="8" t="s">
        <v>9211</v>
      </c>
      <c r="D3934" s="8" t="s">
        <v>9217</v>
      </c>
      <c r="E3934" s="11" t="n">
        <v>298</v>
      </c>
      <c r="F3934" s="8" t="str">
        <f aca="false">IFERROR(INDEX(Section_Master!$D$2:$D$477,MATCH($E3934,Section_Master!$A$2:$A$477,0))&amp;"","")</f>
        <v>Imprisonment up to 2 years, or fine, or both</v>
      </c>
      <c r="G3934" s="10" t="str">
        <f aca="false">IFERROR(INDEX(Section_Master!$E$2:$E$477,MATCH($E3934,Section_Master!$A$2:$A$477,0))&amp;"","")</f>
        <v>No</v>
      </c>
      <c r="H3934" s="10" t="str">
        <f aca="false">IFERROR(INDEX(Section_Master!$F$2:$F$477,MATCH($E3934,Section_Master!$A$2:$A$477,0))&amp;"","")</f>
        <v>Yes</v>
      </c>
      <c r="I3934" s="10" t="str">
        <f aca="false">IFERROR(INDEX(Section_Master!$G$2:$G$477,MATCH($E3934,Section_Master!$A$2:$A$477,0))&amp;"","")</f>
        <v>No</v>
      </c>
      <c r="J3934" s="10" t="s">
        <v>55</v>
      </c>
      <c r="K3934" s="8" t="s">
        <v>9213</v>
      </c>
    </row>
    <row r="3935" customFormat="false" ht="23.25" hidden="false" customHeight="true" outlineLevel="0" collapsed="false">
      <c r="A3935" s="10" t="s">
        <v>9218</v>
      </c>
      <c r="B3935" s="10" t="s">
        <v>45</v>
      </c>
      <c r="C3935" s="8" t="s">
        <v>9211</v>
      </c>
      <c r="D3935" s="8" t="s">
        <v>9219</v>
      </c>
      <c r="E3935" s="11" t="n">
        <v>298</v>
      </c>
      <c r="F3935" s="8" t="str">
        <f aca="false">IFERROR(INDEX(Section_Master!$D$2:$D$477,MATCH($E3935,Section_Master!$A$2:$A$477,0))&amp;"","")</f>
        <v>Imprisonment up to 2 years, or fine, or both</v>
      </c>
      <c r="G3935" s="10" t="str">
        <f aca="false">IFERROR(INDEX(Section_Master!$E$2:$E$477,MATCH($E3935,Section_Master!$A$2:$A$477,0))&amp;"","")</f>
        <v>No</v>
      </c>
      <c r="H3935" s="10" t="str">
        <f aca="false">IFERROR(INDEX(Section_Master!$F$2:$F$477,MATCH($E3935,Section_Master!$A$2:$A$477,0))&amp;"","")</f>
        <v>Yes</v>
      </c>
      <c r="I3935" s="10" t="str">
        <f aca="false">IFERROR(INDEX(Section_Master!$G$2:$G$477,MATCH($E3935,Section_Master!$A$2:$A$477,0))&amp;"","")</f>
        <v>No</v>
      </c>
      <c r="J3935" s="10" t="s">
        <v>58</v>
      </c>
      <c r="K3935" s="8" t="s">
        <v>9213</v>
      </c>
    </row>
    <row r="3936" customFormat="false" ht="23.25" hidden="false" customHeight="true" outlineLevel="0" collapsed="false">
      <c r="A3936" s="10" t="s">
        <v>9220</v>
      </c>
      <c r="B3936" s="10" t="s">
        <v>45</v>
      </c>
      <c r="C3936" s="8" t="s">
        <v>9211</v>
      </c>
      <c r="D3936" s="8" t="s">
        <v>9221</v>
      </c>
      <c r="E3936" s="11" t="n">
        <v>298</v>
      </c>
      <c r="F3936" s="8" t="str">
        <f aca="false">IFERROR(INDEX(Section_Master!$D$2:$D$477,MATCH($E3936,Section_Master!$A$2:$A$477,0))&amp;"","")</f>
        <v>Imprisonment up to 2 years, or fine, or both</v>
      </c>
      <c r="G3936" s="10" t="str">
        <f aca="false">IFERROR(INDEX(Section_Master!$E$2:$E$477,MATCH($E3936,Section_Master!$A$2:$A$477,0))&amp;"","")</f>
        <v>No</v>
      </c>
      <c r="H3936" s="10" t="str">
        <f aca="false">IFERROR(INDEX(Section_Master!$F$2:$F$477,MATCH($E3936,Section_Master!$A$2:$A$477,0))&amp;"","")</f>
        <v>Yes</v>
      </c>
      <c r="I3936" s="10" t="str">
        <f aca="false">IFERROR(INDEX(Section_Master!$G$2:$G$477,MATCH($E3936,Section_Master!$A$2:$A$477,0))&amp;"","")</f>
        <v>No</v>
      </c>
      <c r="J3936" s="10" t="s">
        <v>61</v>
      </c>
      <c r="K3936" s="8" t="s">
        <v>9213</v>
      </c>
    </row>
    <row r="3937" customFormat="false" ht="45.75" hidden="false" customHeight="true" outlineLevel="0" collapsed="false">
      <c r="A3937" s="10" t="s">
        <v>9222</v>
      </c>
      <c r="B3937" s="10" t="s">
        <v>45</v>
      </c>
      <c r="C3937" s="8" t="s">
        <v>9211</v>
      </c>
      <c r="D3937" s="8" t="s">
        <v>9223</v>
      </c>
      <c r="E3937" s="11" t="n">
        <v>298</v>
      </c>
      <c r="F3937" s="8" t="str">
        <f aca="false">IFERROR(INDEX(Section_Master!$D$2:$D$477,MATCH($E3937,Section_Master!$A$2:$A$477,0))&amp;"","")</f>
        <v>Imprisonment up to 2 years, or fine, or both</v>
      </c>
      <c r="G3937" s="10" t="str">
        <f aca="false">IFERROR(INDEX(Section_Master!$E$2:$E$477,MATCH($E3937,Section_Master!$A$2:$A$477,0))&amp;"","")</f>
        <v>No</v>
      </c>
      <c r="H3937" s="10" t="str">
        <f aca="false">IFERROR(INDEX(Section_Master!$F$2:$F$477,MATCH($E3937,Section_Master!$A$2:$A$477,0))&amp;"","")</f>
        <v>Yes</v>
      </c>
      <c r="I3937" s="10" t="str">
        <f aca="false">IFERROR(INDEX(Section_Master!$G$2:$G$477,MATCH($E3937,Section_Master!$A$2:$A$477,0))&amp;"","")</f>
        <v>No</v>
      </c>
      <c r="J3937" s="10" t="s">
        <v>64</v>
      </c>
      <c r="K3937" s="8" t="s">
        <v>9213</v>
      </c>
    </row>
    <row r="3938" customFormat="false" ht="23.25" hidden="false" customHeight="true" outlineLevel="0" collapsed="false">
      <c r="A3938" s="10" t="s">
        <v>9224</v>
      </c>
      <c r="B3938" s="10" t="s">
        <v>45</v>
      </c>
      <c r="C3938" s="8" t="s">
        <v>9225</v>
      </c>
      <c r="D3938" s="8" t="s">
        <v>9226</v>
      </c>
      <c r="E3938" s="11" t="n">
        <v>299</v>
      </c>
      <c r="F3938" s="8" t="str">
        <f aca="false">IFERROR(INDEX(Section_Master!$D$2:$D$477,MATCH($E3938,Section_Master!$A$2:$A$477,0))&amp;"","")</f>
        <v>Imprisonment up to 3 years, or fine, or both</v>
      </c>
      <c r="G3938" s="10" t="str">
        <f aca="false">IFERROR(INDEX(Section_Master!$E$2:$E$477,MATCH($E3938,Section_Master!$A$2:$A$477,0))&amp;"","")</f>
        <v>Yes</v>
      </c>
      <c r="H3938" s="10" t="str">
        <f aca="false">IFERROR(INDEX(Section_Master!$F$2:$F$477,MATCH($E3938,Section_Master!$A$2:$A$477,0))&amp;"","")</f>
        <v>No</v>
      </c>
      <c r="I3938" s="10" t="str">
        <f aca="false">IFERROR(INDEX(Section_Master!$G$2:$G$477,MATCH($E3938,Section_Master!$A$2:$A$477,0))&amp;"","")</f>
        <v>No</v>
      </c>
      <c r="J3938" s="10" t="s">
        <v>48</v>
      </c>
      <c r="K3938" s="8" t="s">
        <v>9227</v>
      </c>
    </row>
    <row r="3939" customFormat="false" ht="34.5" hidden="false" customHeight="true" outlineLevel="0" collapsed="false">
      <c r="A3939" s="10" t="s">
        <v>9228</v>
      </c>
      <c r="B3939" s="10" t="s">
        <v>45</v>
      </c>
      <c r="C3939" s="8" t="s">
        <v>9225</v>
      </c>
      <c r="D3939" s="8" t="s">
        <v>9229</v>
      </c>
      <c r="E3939" s="11" t="n">
        <v>299</v>
      </c>
      <c r="F3939" s="8" t="str">
        <f aca="false">IFERROR(INDEX(Section_Master!$D$2:$D$477,MATCH($E3939,Section_Master!$A$2:$A$477,0))&amp;"","")</f>
        <v>Imprisonment up to 3 years, or fine, or both</v>
      </c>
      <c r="G3939" s="10" t="str">
        <f aca="false">IFERROR(INDEX(Section_Master!$E$2:$E$477,MATCH($E3939,Section_Master!$A$2:$A$477,0))&amp;"","")</f>
        <v>Yes</v>
      </c>
      <c r="H3939" s="10" t="str">
        <f aca="false">IFERROR(INDEX(Section_Master!$F$2:$F$477,MATCH($E3939,Section_Master!$A$2:$A$477,0))&amp;"","")</f>
        <v>No</v>
      </c>
      <c r="I3939" s="10" t="str">
        <f aca="false">IFERROR(INDEX(Section_Master!$G$2:$G$477,MATCH($E3939,Section_Master!$A$2:$A$477,0))&amp;"","")</f>
        <v>No</v>
      </c>
      <c r="J3939" s="10" t="s">
        <v>52</v>
      </c>
      <c r="K3939" s="8" t="s">
        <v>9227</v>
      </c>
    </row>
    <row r="3940" customFormat="false" ht="34.5" hidden="false" customHeight="true" outlineLevel="0" collapsed="false">
      <c r="A3940" s="10" t="s">
        <v>9230</v>
      </c>
      <c r="B3940" s="10" t="s">
        <v>45</v>
      </c>
      <c r="C3940" s="8" t="s">
        <v>9225</v>
      </c>
      <c r="D3940" s="8" t="s">
        <v>9231</v>
      </c>
      <c r="E3940" s="11" t="n">
        <v>299</v>
      </c>
      <c r="F3940" s="8" t="str">
        <f aca="false">IFERROR(INDEX(Section_Master!$D$2:$D$477,MATCH($E3940,Section_Master!$A$2:$A$477,0))&amp;"","")</f>
        <v>Imprisonment up to 3 years, or fine, or both</v>
      </c>
      <c r="G3940" s="10" t="str">
        <f aca="false">IFERROR(INDEX(Section_Master!$E$2:$E$477,MATCH($E3940,Section_Master!$A$2:$A$477,0))&amp;"","")</f>
        <v>Yes</v>
      </c>
      <c r="H3940" s="10" t="str">
        <f aca="false">IFERROR(INDEX(Section_Master!$F$2:$F$477,MATCH($E3940,Section_Master!$A$2:$A$477,0))&amp;"","")</f>
        <v>No</v>
      </c>
      <c r="I3940" s="10" t="str">
        <f aca="false">IFERROR(INDEX(Section_Master!$G$2:$G$477,MATCH($E3940,Section_Master!$A$2:$A$477,0))&amp;"","")</f>
        <v>No</v>
      </c>
      <c r="J3940" s="10" t="s">
        <v>55</v>
      </c>
      <c r="K3940" s="8" t="s">
        <v>9227</v>
      </c>
    </row>
    <row r="3941" customFormat="false" ht="23.25" hidden="false" customHeight="true" outlineLevel="0" collapsed="false">
      <c r="A3941" s="10" t="s">
        <v>9232</v>
      </c>
      <c r="B3941" s="10" t="s">
        <v>45</v>
      </c>
      <c r="C3941" s="8" t="s">
        <v>9225</v>
      </c>
      <c r="D3941" s="8" t="s">
        <v>9233</v>
      </c>
      <c r="E3941" s="11" t="n">
        <v>299</v>
      </c>
      <c r="F3941" s="8" t="str">
        <f aca="false">IFERROR(INDEX(Section_Master!$D$2:$D$477,MATCH($E3941,Section_Master!$A$2:$A$477,0))&amp;"","")</f>
        <v>Imprisonment up to 3 years, or fine, or both</v>
      </c>
      <c r="G3941" s="10" t="str">
        <f aca="false">IFERROR(INDEX(Section_Master!$E$2:$E$477,MATCH($E3941,Section_Master!$A$2:$A$477,0))&amp;"","")</f>
        <v>Yes</v>
      </c>
      <c r="H3941" s="10" t="str">
        <f aca="false">IFERROR(INDEX(Section_Master!$F$2:$F$477,MATCH($E3941,Section_Master!$A$2:$A$477,0))&amp;"","")</f>
        <v>No</v>
      </c>
      <c r="I3941" s="10" t="str">
        <f aca="false">IFERROR(INDEX(Section_Master!$G$2:$G$477,MATCH($E3941,Section_Master!$A$2:$A$477,0))&amp;"","")</f>
        <v>No</v>
      </c>
      <c r="J3941" s="10" t="s">
        <v>58</v>
      </c>
      <c r="K3941" s="8" t="s">
        <v>9227</v>
      </c>
    </row>
    <row r="3942" customFormat="false" ht="23.25" hidden="false" customHeight="true" outlineLevel="0" collapsed="false">
      <c r="A3942" s="10" t="s">
        <v>9234</v>
      </c>
      <c r="B3942" s="10" t="s">
        <v>45</v>
      </c>
      <c r="C3942" s="8" t="s">
        <v>9225</v>
      </c>
      <c r="D3942" s="8" t="s">
        <v>9235</v>
      </c>
      <c r="E3942" s="11" t="n">
        <v>299</v>
      </c>
      <c r="F3942" s="8" t="str">
        <f aca="false">IFERROR(INDEX(Section_Master!$D$2:$D$477,MATCH($E3942,Section_Master!$A$2:$A$477,0))&amp;"","")</f>
        <v>Imprisonment up to 3 years, or fine, or both</v>
      </c>
      <c r="G3942" s="10" t="str">
        <f aca="false">IFERROR(INDEX(Section_Master!$E$2:$E$477,MATCH($E3942,Section_Master!$A$2:$A$477,0))&amp;"","")</f>
        <v>Yes</v>
      </c>
      <c r="H3942" s="10" t="str">
        <f aca="false">IFERROR(INDEX(Section_Master!$F$2:$F$477,MATCH($E3942,Section_Master!$A$2:$A$477,0))&amp;"","")</f>
        <v>No</v>
      </c>
      <c r="I3942" s="10" t="str">
        <f aca="false">IFERROR(INDEX(Section_Master!$G$2:$G$477,MATCH($E3942,Section_Master!$A$2:$A$477,0))&amp;"","")</f>
        <v>No</v>
      </c>
      <c r="J3942" s="10" t="s">
        <v>61</v>
      </c>
      <c r="K3942" s="8" t="s">
        <v>9227</v>
      </c>
    </row>
    <row r="3943" customFormat="false" ht="45.75" hidden="false" customHeight="true" outlineLevel="0" collapsed="false">
      <c r="A3943" s="10" t="s">
        <v>9236</v>
      </c>
      <c r="B3943" s="10" t="s">
        <v>45</v>
      </c>
      <c r="C3943" s="8" t="s">
        <v>9225</v>
      </c>
      <c r="D3943" s="8" t="s">
        <v>9237</v>
      </c>
      <c r="E3943" s="11" t="n">
        <v>299</v>
      </c>
      <c r="F3943" s="8" t="str">
        <f aca="false">IFERROR(INDEX(Section_Master!$D$2:$D$477,MATCH($E3943,Section_Master!$A$2:$A$477,0))&amp;"","")</f>
        <v>Imprisonment up to 3 years, or fine, or both</v>
      </c>
      <c r="G3943" s="10" t="str">
        <f aca="false">IFERROR(INDEX(Section_Master!$E$2:$E$477,MATCH($E3943,Section_Master!$A$2:$A$477,0))&amp;"","")</f>
        <v>Yes</v>
      </c>
      <c r="H3943" s="10" t="str">
        <f aca="false">IFERROR(INDEX(Section_Master!$F$2:$F$477,MATCH($E3943,Section_Master!$A$2:$A$477,0))&amp;"","")</f>
        <v>No</v>
      </c>
      <c r="I3943" s="10" t="str">
        <f aca="false">IFERROR(INDEX(Section_Master!$G$2:$G$477,MATCH($E3943,Section_Master!$A$2:$A$477,0))&amp;"","")</f>
        <v>No</v>
      </c>
      <c r="J3943" s="10" t="s">
        <v>64</v>
      </c>
      <c r="K3943" s="8" t="s">
        <v>9227</v>
      </c>
    </row>
    <row r="3944" customFormat="false" ht="23.25" hidden="false" customHeight="true" outlineLevel="0" collapsed="false">
      <c r="A3944" s="10" t="s">
        <v>9238</v>
      </c>
      <c r="B3944" s="10" t="s">
        <v>45</v>
      </c>
      <c r="C3944" s="8" t="s">
        <v>9239</v>
      </c>
      <c r="D3944" s="8" t="s">
        <v>9240</v>
      </c>
      <c r="E3944" s="11" t="n">
        <v>300</v>
      </c>
      <c r="F3944" s="8" t="str">
        <f aca="false">IFERROR(INDEX(Section_Master!$D$2:$D$477,MATCH($E3944,Section_Master!$A$2:$A$477,0))&amp;"","")</f>
        <v>Imprisonment up to 1 year, or fine, or both</v>
      </c>
      <c r="G3944" s="10" t="str">
        <f aca="false">IFERROR(INDEX(Section_Master!$E$2:$E$477,MATCH($E3944,Section_Master!$A$2:$A$477,0))&amp;"","")</f>
        <v>Yes</v>
      </c>
      <c r="H3944" s="10" t="str">
        <f aca="false">IFERROR(INDEX(Section_Master!$F$2:$F$477,MATCH($E3944,Section_Master!$A$2:$A$477,0))&amp;"","")</f>
        <v>Yes</v>
      </c>
      <c r="I3944" s="10" t="str">
        <f aca="false">IFERROR(INDEX(Section_Master!$G$2:$G$477,MATCH($E3944,Section_Master!$A$2:$A$477,0))&amp;"","")</f>
        <v>No</v>
      </c>
      <c r="J3944" s="10" t="s">
        <v>48</v>
      </c>
      <c r="K3944" s="8" t="s">
        <v>9241</v>
      </c>
    </row>
    <row r="3945" customFormat="false" ht="34.5" hidden="false" customHeight="true" outlineLevel="0" collapsed="false">
      <c r="A3945" s="10" t="s">
        <v>9242</v>
      </c>
      <c r="B3945" s="10" t="s">
        <v>45</v>
      </c>
      <c r="C3945" s="8" t="s">
        <v>9239</v>
      </c>
      <c r="D3945" s="8" t="s">
        <v>9243</v>
      </c>
      <c r="E3945" s="11" t="n">
        <v>300</v>
      </c>
      <c r="F3945" s="8" t="str">
        <f aca="false">IFERROR(INDEX(Section_Master!$D$2:$D$477,MATCH($E3945,Section_Master!$A$2:$A$477,0))&amp;"","")</f>
        <v>Imprisonment up to 1 year, or fine, or both</v>
      </c>
      <c r="G3945" s="10" t="str">
        <f aca="false">IFERROR(INDEX(Section_Master!$E$2:$E$477,MATCH($E3945,Section_Master!$A$2:$A$477,0))&amp;"","")</f>
        <v>Yes</v>
      </c>
      <c r="H3945" s="10" t="str">
        <f aca="false">IFERROR(INDEX(Section_Master!$F$2:$F$477,MATCH($E3945,Section_Master!$A$2:$A$477,0))&amp;"","")</f>
        <v>Yes</v>
      </c>
      <c r="I3945" s="10" t="str">
        <f aca="false">IFERROR(INDEX(Section_Master!$G$2:$G$477,MATCH($E3945,Section_Master!$A$2:$A$477,0))&amp;"","")</f>
        <v>No</v>
      </c>
      <c r="J3945" s="10" t="s">
        <v>52</v>
      </c>
      <c r="K3945" s="8" t="s">
        <v>9241</v>
      </c>
    </row>
    <row r="3946" customFormat="false" ht="34.5" hidden="false" customHeight="true" outlineLevel="0" collapsed="false">
      <c r="A3946" s="10" t="s">
        <v>9244</v>
      </c>
      <c r="B3946" s="10" t="s">
        <v>45</v>
      </c>
      <c r="C3946" s="8" t="s">
        <v>9239</v>
      </c>
      <c r="D3946" s="8" t="s">
        <v>9245</v>
      </c>
      <c r="E3946" s="11" t="n">
        <v>300</v>
      </c>
      <c r="F3946" s="8" t="str">
        <f aca="false">IFERROR(INDEX(Section_Master!$D$2:$D$477,MATCH($E3946,Section_Master!$A$2:$A$477,0))&amp;"","")</f>
        <v>Imprisonment up to 1 year, or fine, or both</v>
      </c>
      <c r="G3946" s="10" t="str">
        <f aca="false">IFERROR(INDEX(Section_Master!$E$2:$E$477,MATCH($E3946,Section_Master!$A$2:$A$477,0))&amp;"","")</f>
        <v>Yes</v>
      </c>
      <c r="H3946" s="10" t="str">
        <f aca="false">IFERROR(INDEX(Section_Master!$F$2:$F$477,MATCH($E3946,Section_Master!$A$2:$A$477,0))&amp;"","")</f>
        <v>Yes</v>
      </c>
      <c r="I3946" s="10" t="str">
        <f aca="false">IFERROR(INDEX(Section_Master!$G$2:$G$477,MATCH($E3946,Section_Master!$A$2:$A$477,0))&amp;"","")</f>
        <v>No</v>
      </c>
      <c r="J3946" s="10" t="s">
        <v>55</v>
      </c>
      <c r="K3946" s="8" t="s">
        <v>9241</v>
      </c>
    </row>
    <row r="3947" customFormat="false" ht="23.25" hidden="false" customHeight="true" outlineLevel="0" collapsed="false">
      <c r="A3947" s="10" t="s">
        <v>9246</v>
      </c>
      <c r="B3947" s="10" t="s">
        <v>45</v>
      </c>
      <c r="C3947" s="8" t="s">
        <v>9239</v>
      </c>
      <c r="D3947" s="8" t="s">
        <v>9247</v>
      </c>
      <c r="E3947" s="11" t="n">
        <v>300</v>
      </c>
      <c r="F3947" s="8" t="str">
        <f aca="false">IFERROR(INDEX(Section_Master!$D$2:$D$477,MATCH($E3947,Section_Master!$A$2:$A$477,0))&amp;"","")</f>
        <v>Imprisonment up to 1 year, or fine, or both</v>
      </c>
      <c r="G3947" s="10" t="str">
        <f aca="false">IFERROR(INDEX(Section_Master!$E$2:$E$477,MATCH($E3947,Section_Master!$A$2:$A$477,0))&amp;"","")</f>
        <v>Yes</v>
      </c>
      <c r="H3947" s="10" t="str">
        <f aca="false">IFERROR(INDEX(Section_Master!$F$2:$F$477,MATCH($E3947,Section_Master!$A$2:$A$477,0))&amp;"","")</f>
        <v>Yes</v>
      </c>
      <c r="I3947" s="10" t="str">
        <f aca="false">IFERROR(INDEX(Section_Master!$G$2:$G$477,MATCH($E3947,Section_Master!$A$2:$A$477,0))&amp;"","")</f>
        <v>No</v>
      </c>
      <c r="J3947" s="10" t="s">
        <v>58</v>
      </c>
      <c r="K3947" s="8" t="s">
        <v>9241</v>
      </c>
    </row>
    <row r="3948" customFormat="false" ht="23.25" hidden="false" customHeight="true" outlineLevel="0" collapsed="false">
      <c r="A3948" s="10" t="s">
        <v>9248</v>
      </c>
      <c r="B3948" s="10" t="s">
        <v>45</v>
      </c>
      <c r="C3948" s="8" t="s">
        <v>9239</v>
      </c>
      <c r="D3948" s="8" t="s">
        <v>9249</v>
      </c>
      <c r="E3948" s="11" t="n">
        <v>300</v>
      </c>
      <c r="F3948" s="8" t="str">
        <f aca="false">IFERROR(INDEX(Section_Master!$D$2:$D$477,MATCH($E3948,Section_Master!$A$2:$A$477,0))&amp;"","")</f>
        <v>Imprisonment up to 1 year, or fine, or both</v>
      </c>
      <c r="G3948" s="10" t="str">
        <f aca="false">IFERROR(INDEX(Section_Master!$E$2:$E$477,MATCH($E3948,Section_Master!$A$2:$A$477,0))&amp;"","")</f>
        <v>Yes</v>
      </c>
      <c r="H3948" s="10" t="str">
        <f aca="false">IFERROR(INDEX(Section_Master!$F$2:$F$477,MATCH($E3948,Section_Master!$A$2:$A$477,0))&amp;"","")</f>
        <v>Yes</v>
      </c>
      <c r="I3948" s="10" t="str">
        <f aca="false">IFERROR(INDEX(Section_Master!$G$2:$G$477,MATCH($E3948,Section_Master!$A$2:$A$477,0))&amp;"","")</f>
        <v>No</v>
      </c>
      <c r="J3948" s="10" t="s">
        <v>61</v>
      </c>
      <c r="K3948" s="8" t="s">
        <v>9241</v>
      </c>
    </row>
    <row r="3949" customFormat="false" ht="45.75" hidden="false" customHeight="true" outlineLevel="0" collapsed="false">
      <c r="A3949" s="10" t="s">
        <v>9250</v>
      </c>
      <c r="B3949" s="10" t="s">
        <v>45</v>
      </c>
      <c r="C3949" s="8" t="s">
        <v>9239</v>
      </c>
      <c r="D3949" s="8" t="s">
        <v>9251</v>
      </c>
      <c r="E3949" s="11" t="n">
        <v>300</v>
      </c>
      <c r="F3949" s="8" t="str">
        <f aca="false">IFERROR(INDEX(Section_Master!$D$2:$D$477,MATCH($E3949,Section_Master!$A$2:$A$477,0))&amp;"","")</f>
        <v>Imprisonment up to 1 year, or fine, or both</v>
      </c>
      <c r="G3949" s="10" t="str">
        <f aca="false">IFERROR(INDEX(Section_Master!$E$2:$E$477,MATCH($E3949,Section_Master!$A$2:$A$477,0))&amp;"","")</f>
        <v>Yes</v>
      </c>
      <c r="H3949" s="10" t="str">
        <f aca="false">IFERROR(INDEX(Section_Master!$F$2:$F$477,MATCH($E3949,Section_Master!$A$2:$A$477,0))&amp;"","")</f>
        <v>Yes</v>
      </c>
      <c r="I3949" s="10" t="str">
        <f aca="false">IFERROR(INDEX(Section_Master!$G$2:$G$477,MATCH($E3949,Section_Master!$A$2:$A$477,0))&amp;"","")</f>
        <v>No</v>
      </c>
      <c r="J3949" s="10" t="s">
        <v>64</v>
      </c>
      <c r="K3949" s="8" t="s">
        <v>9241</v>
      </c>
    </row>
    <row r="3950" customFormat="false" ht="23.25" hidden="false" customHeight="true" outlineLevel="0" collapsed="false">
      <c r="A3950" s="10" t="s">
        <v>9252</v>
      </c>
      <c r="B3950" s="10" t="s">
        <v>45</v>
      </c>
      <c r="C3950" s="8" t="s">
        <v>66</v>
      </c>
      <c r="D3950" s="8" t="s">
        <v>9253</v>
      </c>
      <c r="E3950" s="11" t="n">
        <v>301</v>
      </c>
      <c r="F3950" s="8" t="str">
        <f aca="false">IFERROR(INDEX(Section_Master!$D$2:$D$477,MATCH($E3950,Section_Master!$A$2:$A$477,0))&amp;"","")</f>
        <v>Imprisonment up to 1 year, or fine, or both</v>
      </c>
      <c r="G3950" s="10" t="str">
        <f aca="false">IFERROR(INDEX(Section_Master!$E$2:$E$477,MATCH($E3950,Section_Master!$A$2:$A$477,0))&amp;"","")</f>
        <v>Yes</v>
      </c>
      <c r="H3950" s="10" t="str">
        <f aca="false">IFERROR(INDEX(Section_Master!$F$2:$F$477,MATCH($E3950,Section_Master!$A$2:$A$477,0))&amp;"","")</f>
        <v>Yes</v>
      </c>
      <c r="I3950" s="10" t="str">
        <f aca="false">IFERROR(INDEX(Section_Master!$G$2:$G$477,MATCH($E3950,Section_Master!$A$2:$A$477,0))&amp;"","")</f>
        <v>No</v>
      </c>
      <c r="J3950" s="10" t="s">
        <v>48</v>
      </c>
      <c r="K3950" s="8" t="s">
        <v>9254</v>
      </c>
    </row>
    <row r="3951" customFormat="false" ht="34.5" hidden="false" customHeight="true" outlineLevel="0" collapsed="false">
      <c r="A3951" s="10" t="s">
        <v>9255</v>
      </c>
      <c r="B3951" s="10" t="s">
        <v>45</v>
      </c>
      <c r="C3951" s="8" t="s">
        <v>66</v>
      </c>
      <c r="D3951" s="8" t="s">
        <v>9256</v>
      </c>
      <c r="E3951" s="11" t="n">
        <v>301</v>
      </c>
      <c r="F3951" s="8" t="str">
        <f aca="false">IFERROR(INDEX(Section_Master!$D$2:$D$477,MATCH($E3951,Section_Master!$A$2:$A$477,0))&amp;"","")</f>
        <v>Imprisonment up to 1 year, or fine, or both</v>
      </c>
      <c r="G3951" s="10" t="str">
        <f aca="false">IFERROR(INDEX(Section_Master!$E$2:$E$477,MATCH($E3951,Section_Master!$A$2:$A$477,0))&amp;"","")</f>
        <v>Yes</v>
      </c>
      <c r="H3951" s="10" t="str">
        <f aca="false">IFERROR(INDEX(Section_Master!$F$2:$F$477,MATCH($E3951,Section_Master!$A$2:$A$477,0))&amp;"","")</f>
        <v>Yes</v>
      </c>
      <c r="I3951" s="10" t="str">
        <f aca="false">IFERROR(INDEX(Section_Master!$G$2:$G$477,MATCH($E3951,Section_Master!$A$2:$A$477,0))&amp;"","")</f>
        <v>No</v>
      </c>
      <c r="J3951" s="10" t="s">
        <v>52</v>
      </c>
      <c r="K3951" s="8" t="s">
        <v>9254</v>
      </c>
    </row>
    <row r="3952" customFormat="false" ht="34.5" hidden="false" customHeight="true" outlineLevel="0" collapsed="false">
      <c r="A3952" s="10" t="s">
        <v>9257</v>
      </c>
      <c r="B3952" s="10" t="s">
        <v>45</v>
      </c>
      <c r="C3952" s="8" t="s">
        <v>66</v>
      </c>
      <c r="D3952" s="8" t="s">
        <v>9258</v>
      </c>
      <c r="E3952" s="11" t="n">
        <v>301</v>
      </c>
      <c r="F3952" s="8" t="str">
        <f aca="false">IFERROR(INDEX(Section_Master!$D$2:$D$477,MATCH($E3952,Section_Master!$A$2:$A$477,0))&amp;"","")</f>
        <v>Imprisonment up to 1 year, or fine, or both</v>
      </c>
      <c r="G3952" s="10" t="str">
        <f aca="false">IFERROR(INDEX(Section_Master!$E$2:$E$477,MATCH($E3952,Section_Master!$A$2:$A$477,0))&amp;"","")</f>
        <v>Yes</v>
      </c>
      <c r="H3952" s="10" t="str">
        <f aca="false">IFERROR(INDEX(Section_Master!$F$2:$F$477,MATCH($E3952,Section_Master!$A$2:$A$477,0))&amp;"","")</f>
        <v>Yes</v>
      </c>
      <c r="I3952" s="10" t="str">
        <f aca="false">IFERROR(INDEX(Section_Master!$G$2:$G$477,MATCH($E3952,Section_Master!$A$2:$A$477,0))&amp;"","")</f>
        <v>No</v>
      </c>
      <c r="J3952" s="10" t="s">
        <v>55</v>
      </c>
      <c r="K3952" s="8" t="s">
        <v>9254</v>
      </c>
    </row>
    <row r="3953" customFormat="false" ht="23.25" hidden="false" customHeight="true" outlineLevel="0" collapsed="false">
      <c r="A3953" s="10" t="s">
        <v>9259</v>
      </c>
      <c r="B3953" s="10" t="s">
        <v>45</v>
      </c>
      <c r="C3953" s="8" t="s">
        <v>66</v>
      </c>
      <c r="D3953" s="8" t="s">
        <v>9260</v>
      </c>
      <c r="E3953" s="11" t="n">
        <v>301</v>
      </c>
      <c r="F3953" s="8" t="str">
        <f aca="false">IFERROR(INDEX(Section_Master!$D$2:$D$477,MATCH($E3953,Section_Master!$A$2:$A$477,0))&amp;"","")</f>
        <v>Imprisonment up to 1 year, or fine, or both</v>
      </c>
      <c r="G3953" s="10" t="str">
        <f aca="false">IFERROR(INDEX(Section_Master!$E$2:$E$477,MATCH($E3953,Section_Master!$A$2:$A$477,0))&amp;"","")</f>
        <v>Yes</v>
      </c>
      <c r="H3953" s="10" t="str">
        <f aca="false">IFERROR(INDEX(Section_Master!$F$2:$F$477,MATCH($E3953,Section_Master!$A$2:$A$477,0))&amp;"","")</f>
        <v>Yes</v>
      </c>
      <c r="I3953" s="10" t="str">
        <f aca="false">IFERROR(INDEX(Section_Master!$G$2:$G$477,MATCH($E3953,Section_Master!$A$2:$A$477,0))&amp;"","")</f>
        <v>No</v>
      </c>
      <c r="J3953" s="10" t="s">
        <v>58</v>
      </c>
      <c r="K3953" s="8" t="s">
        <v>9254</v>
      </c>
    </row>
    <row r="3954" customFormat="false" ht="34.5" hidden="false" customHeight="true" outlineLevel="0" collapsed="false">
      <c r="A3954" s="10" t="s">
        <v>9261</v>
      </c>
      <c r="B3954" s="10" t="s">
        <v>45</v>
      </c>
      <c r="C3954" s="8" t="s">
        <v>66</v>
      </c>
      <c r="D3954" s="8" t="s">
        <v>9262</v>
      </c>
      <c r="E3954" s="11" t="n">
        <v>301</v>
      </c>
      <c r="F3954" s="8" t="str">
        <f aca="false">IFERROR(INDEX(Section_Master!$D$2:$D$477,MATCH($E3954,Section_Master!$A$2:$A$477,0))&amp;"","")</f>
        <v>Imprisonment up to 1 year, or fine, or both</v>
      </c>
      <c r="G3954" s="10" t="str">
        <f aca="false">IFERROR(INDEX(Section_Master!$E$2:$E$477,MATCH($E3954,Section_Master!$A$2:$A$477,0))&amp;"","")</f>
        <v>Yes</v>
      </c>
      <c r="H3954" s="10" t="str">
        <f aca="false">IFERROR(INDEX(Section_Master!$F$2:$F$477,MATCH($E3954,Section_Master!$A$2:$A$477,0))&amp;"","")</f>
        <v>Yes</v>
      </c>
      <c r="I3954" s="10" t="str">
        <f aca="false">IFERROR(INDEX(Section_Master!$G$2:$G$477,MATCH($E3954,Section_Master!$A$2:$A$477,0))&amp;"","")</f>
        <v>No</v>
      </c>
      <c r="J3954" s="10" t="s">
        <v>61</v>
      </c>
      <c r="K3954" s="8" t="s">
        <v>9254</v>
      </c>
    </row>
    <row r="3955" customFormat="false" ht="45.75" hidden="false" customHeight="true" outlineLevel="0" collapsed="false">
      <c r="A3955" s="10" t="s">
        <v>9263</v>
      </c>
      <c r="B3955" s="10" t="s">
        <v>45</v>
      </c>
      <c r="C3955" s="8" t="s">
        <v>66</v>
      </c>
      <c r="D3955" s="8" t="s">
        <v>9264</v>
      </c>
      <c r="E3955" s="11" t="n">
        <v>301</v>
      </c>
      <c r="F3955" s="8" t="str">
        <f aca="false">IFERROR(INDEX(Section_Master!$D$2:$D$477,MATCH($E3955,Section_Master!$A$2:$A$477,0))&amp;"","")</f>
        <v>Imprisonment up to 1 year, or fine, or both</v>
      </c>
      <c r="G3955" s="10" t="str">
        <f aca="false">IFERROR(INDEX(Section_Master!$E$2:$E$477,MATCH($E3955,Section_Master!$A$2:$A$477,0))&amp;"","")</f>
        <v>Yes</v>
      </c>
      <c r="H3955" s="10" t="str">
        <f aca="false">IFERROR(INDEX(Section_Master!$F$2:$F$477,MATCH($E3955,Section_Master!$A$2:$A$477,0))&amp;"","")</f>
        <v>Yes</v>
      </c>
      <c r="I3955" s="10" t="str">
        <f aca="false">IFERROR(INDEX(Section_Master!$G$2:$G$477,MATCH($E3955,Section_Master!$A$2:$A$477,0))&amp;"","")</f>
        <v>No</v>
      </c>
      <c r="J3955" s="10" t="s">
        <v>64</v>
      </c>
      <c r="K3955" s="8" t="s">
        <v>9254</v>
      </c>
    </row>
    <row r="3956" customFormat="false" ht="23.25" hidden="false" customHeight="true" outlineLevel="0" collapsed="false">
      <c r="A3956" s="10" t="s">
        <v>9265</v>
      </c>
      <c r="B3956" s="10" t="s">
        <v>45</v>
      </c>
      <c r="C3956" s="8" t="s">
        <v>9266</v>
      </c>
      <c r="D3956" s="8" t="s">
        <v>9267</v>
      </c>
      <c r="E3956" s="11" t="n">
        <v>302</v>
      </c>
      <c r="F3956" s="8" t="str">
        <f aca="false">IFERROR(INDEX(Section_Master!$D$2:$D$477,MATCH($E3956,Section_Master!$A$2:$A$477,0))&amp;"","")</f>
        <v>Imprisonment up to 1 year, or fine, or both</v>
      </c>
      <c r="G3956" s="10" t="str">
        <f aca="false">IFERROR(INDEX(Section_Master!$E$2:$E$477,MATCH($E3956,Section_Master!$A$2:$A$477,0))&amp;"","")</f>
        <v>No</v>
      </c>
      <c r="H3956" s="10" t="str">
        <f aca="false">IFERROR(INDEX(Section_Master!$F$2:$F$477,MATCH($E3956,Section_Master!$A$2:$A$477,0))&amp;"","")</f>
        <v>Yes</v>
      </c>
      <c r="I3956" s="10" t="str">
        <f aca="false">IFERROR(INDEX(Section_Master!$G$2:$G$477,MATCH($E3956,Section_Master!$A$2:$A$477,0))&amp;"","")</f>
        <v>Yes</v>
      </c>
      <c r="J3956" s="10" t="s">
        <v>48</v>
      </c>
      <c r="K3956" s="8" t="s">
        <v>9268</v>
      </c>
    </row>
    <row r="3957" customFormat="false" ht="45.75" hidden="false" customHeight="true" outlineLevel="0" collapsed="false">
      <c r="A3957" s="10" t="s">
        <v>9269</v>
      </c>
      <c r="B3957" s="10" t="s">
        <v>45</v>
      </c>
      <c r="C3957" s="8" t="s">
        <v>9266</v>
      </c>
      <c r="D3957" s="8" t="s">
        <v>9270</v>
      </c>
      <c r="E3957" s="11" t="n">
        <v>302</v>
      </c>
      <c r="F3957" s="8" t="str">
        <f aca="false">IFERROR(INDEX(Section_Master!$D$2:$D$477,MATCH($E3957,Section_Master!$A$2:$A$477,0))&amp;"","")</f>
        <v>Imprisonment up to 1 year, or fine, or both</v>
      </c>
      <c r="G3957" s="10" t="str">
        <f aca="false">IFERROR(INDEX(Section_Master!$E$2:$E$477,MATCH($E3957,Section_Master!$A$2:$A$477,0))&amp;"","")</f>
        <v>No</v>
      </c>
      <c r="H3957" s="10" t="str">
        <f aca="false">IFERROR(INDEX(Section_Master!$F$2:$F$477,MATCH($E3957,Section_Master!$A$2:$A$477,0))&amp;"","")</f>
        <v>Yes</v>
      </c>
      <c r="I3957" s="10" t="str">
        <f aca="false">IFERROR(INDEX(Section_Master!$G$2:$G$477,MATCH($E3957,Section_Master!$A$2:$A$477,0))&amp;"","")</f>
        <v>Yes</v>
      </c>
      <c r="J3957" s="10" t="s">
        <v>52</v>
      </c>
      <c r="K3957" s="8" t="s">
        <v>9268</v>
      </c>
    </row>
    <row r="3958" customFormat="false" ht="34.5" hidden="false" customHeight="true" outlineLevel="0" collapsed="false">
      <c r="A3958" s="10" t="s">
        <v>9271</v>
      </c>
      <c r="B3958" s="10" t="s">
        <v>45</v>
      </c>
      <c r="C3958" s="8" t="s">
        <v>9266</v>
      </c>
      <c r="D3958" s="8" t="s">
        <v>9272</v>
      </c>
      <c r="E3958" s="11" t="n">
        <v>302</v>
      </c>
      <c r="F3958" s="8" t="str">
        <f aca="false">IFERROR(INDEX(Section_Master!$D$2:$D$477,MATCH($E3958,Section_Master!$A$2:$A$477,0))&amp;"","")</f>
        <v>Imprisonment up to 1 year, or fine, or both</v>
      </c>
      <c r="G3958" s="10" t="str">
        <f aca="false">IFERROR(INDEX(Section_Master!$E$2:$E$477,MATCH($E3958,Section_Master!$A$2:$A$477,0))&amp;"","")</f>
        <v>No</v>
      </c>
      <c r="H3958" s="10" t="str">
        <f aca="false">IFERROR(INDEX(Section_Master!$F$2:$F$477,MATCH($E3958,Section_Master!$A$2:$A$477,0))&amp;"","")</f>
        <v>Yes</v>
      </c>
      <c r="I3958" s="10" t="str">
        <f aca="false">IFERROR(INDEX(Section_Master!$G$2:$G$477,MATCH($E3958,Section_Master!$A$2:$A$477,0))&amp;"","")</f>
        <v>Yes</v>
      </c>
      <c r="J3958" s="10" t="s">
        <v>55</v>
      </c>
      <c r="K3958" s="8" t="s">
        <v>9268</v>
      </c>
    </row>
    <row r="3959" customFormat="false" ht="34.5" hidden="false" customHeight="true" outlineLevel="0" collapsed="false">
      <c r="A3959" s="10" t="s">
        <v>9273</v>
      </c>
      <c r="B3959" s="10" t="s">
        <v>45</v>
      </c>
      <c r="C3959" s="8" t="s">
        <v>9266</v>
      </c>
      <c r="D3959" s="8" t="s">
        <v>9274</v>
      </c>
      <c r="E3959" s="11" t="n">
        <v>302</v>
      </c>
      <c r="F3959" s="8" t="str">
        <f aca="false">IFERROR(INDEX(Section_Master!$D$2:$D$477,MATCH($E3959,Section_Master!$A$2:$A$477,0))&amp;"","")</f>
        <v>Imprisonment up to 1 year, or fine, or both</v>
      </c>
      <c r="G3959" s="10" t="str">
        <f aca="false">IFERROR(INDEX(Section_Master!$E$2:$E$477,MATCH($E3959,Section_Master!$A$2:$A$477,0))&amp;"","")</f>
        <v>No</v>
      </c>
      <c r="H3959" s="10" t="str">
        <f aca="false">IFERROR(INDEX(Section_Master!$F$2:$F$477,MATCH($E3959,Section_Master!$A$2:$A$477,0))&amp;"","")</f>
        <v>Yes</v>
      </c>
      <c r="I3959" s="10" t="str">
        <f aca="false">IFERROR(INDEX(Section_Master!$G$2:$G$477,MATCH($E3959,Section_Master!$A$2:$A$477,0))&amp;"","")</f>
        <v>Yes</v>
      </c>
      <c r="J3959" s="10" t="s">
        <v>58</v>
      </c>
      <c r="K3959" s="8" t="s">
        <v>9268</v>
      </c>
    </row>
    <row r="3960" customFormat="false" ht="23.25" hidden="false" customHeight="true" outlineLevel="0" collapsed="false">
      <c r="A3960" s="10" t="s">
        <v>9275</v>
      </c>
      <c r="B3960" s="10" t="s">
        <v>45</v>
      </c>
      <c r="C3960" s="8" t="s">
        <v>9266</v>
      </c>
      <c r="D3960" s="8" t="s">
        <v>9276</v>
      </c>
      <c r="E3960" s="11" t="n">
        <v>302</v>
      </c>
      <c r="F3960" s="8" t="str">
        <f aca="false">IFERROR(INDEX(Section_Master!$D$2:$D$477,MATCH($E3960,Section_Master!$A$2:$A$477,0))&amp;"","")</f>
        <v>Imprisonment up to 1 year, or fine, or both</v>
      </c>
      <c r="G3960" s="10" t="str">
        <f aca="false">IFERROR(INDEX(Section_Master!$E$2:$E$477,MATCH($E3960,Section_Master!$A$2:$A$477,0))&amp;"","")</f>
        <v>No</v>
      </c>
      <c r="H3960" s="10" t="str">
        <f aca="false">IFERROR(INDEX(Section_Master!$F$2:$F$477,MATCH($E3960,Section_Master!$A$2:$A$477,0))&amp;"","")</f>
        <v>Yes</v>
      </c>
      <c r="I3960" s="10" t="str">
        <f aca="false">IFERROR(INDEX(Section_Master!$G$2:$G$477,MATCH($E3960,Section_Master!$A$2:$A$477,0))&amp;"","")</f>
        <v>Yes</v>
      </c>
      <c r="J3960" s="10" t="s">
        <v>61</v>
      </c>
      <c r="K3960" s="8" t="s">
        <v>9268</v>
      </c>
    </row>
    <row r="3961" customFormat="false" ht="45.75" hidden="false" customHeight="true" outlineLevel="0" collapsed="false">
      <c r="A3961" s="10" t="s">
        <v>9277</v>
      </c>
      <c r="B3961" s="10" t="s">
        <v>45</v>
      </c>
      <c r="C3961" s="8" t="s">
        <v>9266</v>
      </c>
      <c r="D3961" s="8" t="s">
        <v>9278</v>
      </c>
      <c r="E3961" s="11" t="n">
        <v>302</v>
      </c>
      <c r="F3961" s="8" t="str">
        <f aca="false">IFERROR(INDEX(Section_Master!$D$2:$D$477,MATCH($E3961,Section_Master!$A$2:$A$477,0))&amp;"","")</f>
        <v>Imprisonment up to 1 year, or fine, or both</v>
      </c>
      <c r="G3961" s="10" t="str">
        <f aca="false">IFERROR(INDEX(Section_Master!$E$2:$E$477,MATCH($E3961,Section_Master!$A$2:$A$477,0))&amp;"","")</f>
        <v>No</v>
      </c>
      <c r="H3961" s="10" t="str">
        <f aca="false">IFERROR(INDEX(Section_Master!$F$2:$F$477,MATCH($E3961,Section_Master!$A$2:$A$477,0))&amp;"","")</f>
        <v>Yes</v>
      </c>
      <c r="I3961" s="10" t="str">
        <f aca="false">IFERROR(INDEX(Section_Master!$G$2:$G$477,MATCH($E3961,Section_Master!$A$2:$A$477,0))&amp;"","")</f>
        <v>Yes</v>
      </c>
      <c r="J3961" s="10" t="s">
        <v>64</v>
      </c>
      <c r="K3961" s="8" t="s">
        <v>9268</v>
      </c>
    </row>
    <row r="3962" customFormat="false" ht="34.5" hidden="false" customHeight="true" outlineLevel="0" collapsed="false">
      <c r="A3962" s="10" t="s">
        <v>9279</v>
      </c>
      <c r="B3962" s="10" t="s">
        <v>45</v>
      </c>
      <c r="C3962" s="8" t="s">
        <v>9280</v>
      </c>
      <c r="D3962" s="8" t="s">
        <v>9281</v>
      </c>
      <c r="E3962" s="11" t="n">
        <v>303</v>
      </c>
      <c r="F3962" s="8" t="str">
        <f aca="false">IFERROR(INDEX(Section_Master!$D$2:$D$477,MATCH($E3962,Section_Master!$A$2:$A$477,0))&amp;"","")</f>
        <v>Imprisonment up to 3 years, or fine, or both [s.303(2)]</v>
      </c>
      <c r="G3962" s="10" t="str">
        <f aca="false">IFERROR(INDEX(Section_Master!$E$2:$E$477,MATCH($E3962,Section_Master!$A$2:$A$477,0))&amp;"","")</f>
        <v>Yes</v>
      </c>
      <c r="H3962" s="10" t="str">
        <f aca="false">IFERROR(INDEX(Section_Master!$F$2:$F$477,MATCH($E3962,Section_Master!$A$2:$A$477,0))&amp;"","")</f>
        <v>No</v>
      </c>
      <c r="I3962" s="10" t="str">
        <f aca="false">IFERROR(INDEX(Section_Master!$G$2:$G$477,MATCH($E3962,Section_Master!$A$2:$A$477,0))&amp;"","")</f>
        <v>With court permission</v>
      </c>
      <c r="J3962" s="10" t="s">
        <v>48</v>
      </c>
      <c r="K3962" s="8" t="s">
        <v>9282</v>
      </c>
    </row>
    <row r="3963" customFormat="false" ht="45.75" hidden="false" customHeight="true" outlineLevel="0" collapsed="false">
      <c r="A3963" s="10" t="s">
        <v>9283</v>
      </c>
      <c r="B3963" s="10" t="s">
        <v>45</v>
      </c>
      <c r="C3963" s="8" t="s">
        <v>9280</v>
      </c>
      <c r="D3963" s="8" t="s">
        <v>9284</v>
      </c>
      <c r="E3963" s="11" t="n">
        <v>303</v>
      </c>
      <c r="F3963" s="8" t="str">
        <f aca="false">IFERROR(INDEX(Section_Master!$D$2:$D$477,MATCH($E3963,Section_Master!$A$2:$A$477,0))&amp;"","")</f>
        <v>Imprisonment up to 3 years, or fine, or both [s.303(2)]</v>
      </c>
      <c r="G3963" s="10" t="str">
        <f aca="false">IFERROR(INDEX(Section_Master!$E$2:$E$477,MATCH($E3963,Section_Master!$A$2:$A$477,0))&amp;"","")</f>
        <v>Yes</v>
      </c>
      <c r="H3963" s="10" t="str">
        <f aca="false">IFERROR(INDEX(Section_Master!$F$2:$F$477,MATCH($E3963,Section_Master!$A$2:$A$477,0))&amp;"","")</f>
        <v>No</v>
      </c>
      <c r="I3963" s="10" t="str">
        <f aca="false">IFERROR(INDEX(Section_Master!$G$2:$G$477,MATCH($E3963,Section_Master!$A$2:$A$477,0))&amp;"","")</f>
        <v>With court permission</v>
      </c>
      <c r="J3963" s="10" t="s">
        <v>52</v>
      </c>
      <c r="K3963" s="8" t="s">
        <v>9282</v>
      </c>
    </row>
    <row r="3964" customFormat="false" ht="34.5" hidden="false" customHeight="true" outlineLevel="0" collapsed="false">
      <c r="A3964" s="10" t="s">
        <v>9285</v>
      </c>
      <c r="B3964" s="10" t="s">
        <v>45</v>
      </c>
      <c r="C3964" s="8" t="s">
        <v>9280</v>
      </c>
      <c r="D3964" s="8" t="s">
        <v>9286</v>
      </c>
      <c r="E3964" s="11" t="n">
        <v>303</v>
      </c>
      <c r="F3964" s="8" t="str">
        <f aca="false">IFERROR(INDEX(Section_Master!$D$2:$D$477,MATCH($E3964,Section_Master!$A$2:$A$477,0))&amp;"","")</f>
        <v>Imprisonment up to 3 years, or fine, or both [s.303(2)]</v>
      </c>
      <c r="G3964" s="10" t="str">
        <f aca="false">IFERROR(INDEX(Section_Master!$E$2:$E$477,MATCH($E3964,Section_Master!$A$2:$A$477,0))&amp;"","")</f>
        <v>Yes</v>
      </c>
      <c r="H3964" s="10" t="str">
        <f aca="false">IFERROR(INDEX(Section_Master!$F$2:$F$477,MATCH($E3964,Section_Master!$A$2:$A$477,0))&amp;"","")</f>
        <v>No</v>
      </c>
      <c r="I3964" s="10" t="str">
        <f aca="false">IFERROR(INDEX(Section_Master!$G$2:$G$477,MATCH($E3964,Section_Master!$A$2:$A$477,0))&amp;"","")</f>
        <v>With court permission</v>
      </c>
      <c r="J3964" s="10" t="s">
        <v>55</v>
      </c>
      <c r="K3964" s="8" t="s">
        <v>9282</v>
      </c>
    </row>
    <row r="3965" customFormat="false" ht="34.5" hidden="false" customHeight="true" outlineLevel="0" collapsed="false">
      <c r="A3965" s="10" t="s">
        <v>9287</v>
      </c>
      <c r="B3965" s="10" t="s">
        <v>45</v>
      </c>
      <c r="C3965" s="8" t="s">
        <v>9280</v>
      </c>
      <c r="D3965" s="8" t="s">
        <v>9288</v>
      </c>
      <c r="E3965" s="11" t="n">
        <v>303</v>
      </c>
      <c r="F3965" s="8" t="str">
        <f aca="false">IFERROR(INDEX(Section_Master!$D$2:$D$477,MATCH($E3965,Section_Master!$A$2:$A$477,0))&amp;"","")</f>
        <v>Imprisonment up to 3 years, or fine, or both [s.303(2)]</v>
      </c>
      <c r="G3965" s="10" t="str">
        <f aca="false">IFERROR(INDEX(Section_Master!$E$2:$E$477,MATCH($E3965,Section_Master!$A$2:$A$477,0))&amp;"","")</f>
        <v>Yes</v>
      </c>
      <c r="H3965" s="10" t="str">
        <f aca="false">IFERROR(INDEX(Section_Master!$F$2:$F$477,MATCH($E3965,Section_Master!$A$2:$A$477,0))&amp;"","")</f>
        <v>No</v>
      </c>
      <c r="I3965" s="10" t="str">
        <f aca="false">IFERROR(INDEX(Section_Master!$G$2:$G$477,MATCH($E3965,Section_Master!$A$2:$A$477,0))&amp;"","")</f>
        <v>With court permission</v>
      </c>
      <c r="J3965" s="10" t="s">
        <v>58</v>
      </c>
      <c r="K3965" s="8" t="s">
        <v>9282</v>
      </c>
    </row>
    <row r="3966" customFormat="false" ht="34.5" hidden="false" customHeight="true" outlineLevel="0" collapsed="false">
      <c r="A3966" s="10" t="s">
        <v>9289</v>
      </c>
      <c r="B3966" s="10" t="s">
        <v>45</v>
      </c>
      <c r="C3966" s="8" t="s">
        <v>9280</v>
      </c>
      <c r="D3966" s="8" t="s">
        <v>9290</v>
      </c>
      <c r="E3966" s="11" t="n">
        <v>303</v>
      </c>
      <c r="F3966" s="8" t="str">
        <f aca="false">IFERROR(INDEX(Section_Master!$D$2:$D$477,MATCH($E3966,Section_Master!$A$2:$A$477,0))&amp;"","")</f>
        <v>Imprisonment up to 3 years, or fine, or both [s.303(2)]</v>
      </c>
      <c r="G3966" s="10" t="str">
        <f aca="false">IFERROR(INDEX(Section_Master!$E$2:$E$477,MATCH($E3966,Section_Master!$A$2:$A$477,0))&amp;"","")</f>
        <v>Yes</v>
      </c>
      <c r="H3966" s="10" t="str">
        <f aca="false">IFERROR(INDEX(Section_Master!$F$2:$F$477,MATCH($E3966,Section_Master!$A$2:$A$477,0))&amp;"","")</f>
        <v>No</v>
      </c>
      <c r="I3966" s="10" t="str">
        <f aca="false">IFERROR(INDEX(Section_Master!$G$2:$G$477,MATCH($E3966,Section_Master!$A$2:$A$477,0))&amp;"","")</f>
        <v>With court permission</v>
      </c>
      <c r="J3966" s="10" t="s">
        <v>61</v>
      </c>
      <c r="K3966" s="8" t="s">
        <v>9282</v>
      </c>
    </row>
    <row r="3967" customFormat="false" ht="45.75" hidden="false" customHeight="true" outlineLevel="0" collapsed="false">
      <c r="A3967" s="10" t="s">
        <v>9291</v>
      </c>
      <c r="B3967" s="10" t="s">
        <v>45</v>
      </c>
      <c r="C3967" s="8" t="s">
        <v>9280</v>
      </c>
      <c r="D3967" s="8" t="s">
        <v>9292</v>
      </c>
      <c r="E3967" s="11" t="n">
        <v>303</v>
      </c>
      <c r="F3967" s="8" t="str">
        <f aca="false">IFERROR(INDEX(Section_Master!$D$2:$D$477,MATCH($E3967,Section_Master!$A$2:$A$477,0))&amp;"","")</f>
        <v>Imprisonment up to 3 years, or fine, or both [s.303(2)]</v>
      </c>
      <c r="G3967" s="10" t="str">
        <f aca="false">IFERROR(INDEX(Section_Master!$E$2:$E$477,MATCH($E3967,Section_Master!$A$2:$A$477,0))&amp;"","")</f>
        <v>Yes</v>
      </c>
      <c r="H3967" s="10" t="str">
        <f aca="false">IFERROR(INDEX(Section_Master!$F$2:$F$477,MATCH($E3967,Section_Master!$A$2:$A$477,0))&amp;"","")</f>
        <v>No</v>
      </c>
      <c r="I3967" s="10" t="str">
        <f aca="false">IFERROR(INDEX(Section_Master!$G$2:$G$477,MATCH($E3967,Section_Master!$A$2:$A$477,0))&amp;"","")</f>
        <v>With court permission</v>
      </c>
      <c r="J3967" s="10" t="s">
        <v>64</v>
      </c>
      <c r="K3967" s="8" t="s">
        <v>9282</v>
      </c>
    </row>
    <row r="3968" customFormat="false" ht="34.5" hidden="false" customHeight="true" outlineLevel="0" collapsed="false">
      <c r="A3968" s="10" t="s">
        <v>9293</v>
      </c>
      <c r="B3968" s="10" t="s">
        <v>45</v>
      </c>
      <c r="C3968" s="8" t="s">
        <v>9294</v>
      </c>
      <c r="D3968" s="8" t="s">
        <v>9295</v>
      </c>
      <c r="E3968" s="11" t="n">
        <v>304</v>
      </c>
      <c r="F3968" s="8" t="str">
        <f aca="false">IFERROR(INDEX(Section_Master!$D$2:$D$477,MATCH($E3968,Section_Master!$A$2:$A$477,0))&amp;"","")</f>
        <v>Imprisonment up to 3 years and fine</v>
      </c>
      <c r="G3968" s="10" t="str">
        <f aca="false">IFERROR(INDEX(Section_Master!$E$2:$E$477,MATCH($E3968,Section_Master!$A$2:$A$477,0))&amp;"","")</f>
        <v>Yes</v>
      </c>
      <c r="H3968" s="10" t="str">
        <f aca="false">IFERROR(INDEX(Section_Master!$F$2:$F$477,MATCH($E3968,Section_Master!$A$2:$A$477,0))&amp;"","")</f>
        <v>No</v>
      </c>
      <c r="I3968" s="10" t="str">
        <f aca="false">IFERROR(INDEX(Section_Master!$G$2:$G$477,MATCH($E3968,Section_Master!$A$2:$A$477,0))&amp;"","")</f>
        <v>No</v>
      </c>
      <c r="J3968" s="10" t="s">
        <v>48</v>
      </c>
      <c r="K3968" s="8" t="s">
        <v>9296</v>
      </c>
    </row>
    <row r="3969" customFormat="false" ht="45.75" hidden="false" customHeight="true" outlineLevel="0" collapsed="false">
      <c r="A3969" s="10" t="s">
        <v>9297</v>
      </c>
      <c r="B3969" s="10" t="s">
        <v>45</v>
      </c>
      <c r="C3969" s="8" t="s">
        <v>9294</v>
      </c>
      <c r="D3969" s="8" t="s">
        <v>9298</v>
      </c>
      <c r="E3969" s="11" t="n">
        <v>304</v>
      </c>
      <c r="F3969" s="8" t="str">
        <f aca="false">IFERROR(INDEX(Section_Master!$D$2:$D$477,MATCH($E3969,Section_Master!$A$2:$A$477,0))&amp;"","")</f>
        <v>Imprisonment up to 3 years and fine</v>
      </c>
      <c r="G3969" s="10" t="str">
        <f aca="false">IFERROR(INDEX(Section_Master!$E$2:$E$477,MATCH($E3969,Section_Master!$A$2:$A$477,0))&amp;"","")</f>
        <v>Yes</v>
      </c>
      <c r="H3969" s="10" t="str">
        <f aca="false">IFERROR(INDEX(Section_Master!$F$2:$F$477,MATCH($E3969,Section_Master!$A$2:$A$477,0))&amp;"","")</f>
        <v>No</v>
      </c>
      <c r="I3969" s="10" t="str">
        <f aca="false">IFERROR(INDEX(Section_Master!$G$2:$G$477,MATCH($E3969,Section_Master!$A$2:$A$477,0))&amp;"","")</f>
        <v>No</v>
      </c>
      <c r="J3969" s="10" t="s">
        <v>52</v>
      </c>
      <c r="K3969" s="8" t="s">
        <v>9296</v>
      </c>
    </row>
    <row r="3970" customFormat="false" ht="34.5" hidden="false" customHeight="true" outlineLevel="0" collapsed="false">
      <c r="A3970" s="10" t="s">
        <v>9299</v>
      </c>
      <c r="B3970" s="10" t="s">
        <v>45</v>
      </c>
      <c r="C3970" s="8" t="s">
        <v>9294</v>
      </c>
      <c r="D3970" s="8" t="s">
        <v>9300</v>
      </c>
      <c r="E3970" s="11" t="n">
        <v>304</v>
      </c>
      <c r="F3970" s="8" t="str">
        <f aca="false">IFERROR(INDEX(Section_Master!$D$2:$D$477,MATCH($E3970,Section_Master!$A$2:$A$477,0))&amp;"","")</f>
        <v>Imprisonment up to 3 years and fine</v>
      </c>
      <c r="G3970" s="10" t="str">
        <f aca="false">IFERROR(INDEX(Section_Master!$E$2:$E$477,MATCH($E3970,Section_Master!$A$2:$A$477,0))&amp;"","")</f>
        <v>Yes</v>
      </c>
      <c r="H3970" s="10" t="str">
        <f aca="false">IFERROR(INDEX(Section_Master!$F$2:$F$477,MATCH($E3970,Section_Master!$A$2:$A$477,0))&amp;"","")</f>
        <v>No</v>
      </c>
      <c r="I3970" s="10" t="str">
        <f aca="false">IFERROR(INDEX(Section_Master!$G$2:$G$477,MATCH($E3970,Section_Master!$A$2:$A$477,0))&amp;"","")</f>
        <v>No</v>
      </c>
      <c r="J3970" s="10" t="s">
        <v>55</v>
      </c>
      <c r="K3970" s="8" t="s">
        <v>9296</v>
      </c>
    </row>
    <row r="3971" customFormat="false" ht="34.5" hidden="false" customHeight="true" outlineLevel="0" collapsed="false">
      <c r="A3971" s="10" t="s">
        <v>9301</v>
      </c>
      <c r="B3971" s="10" t="s">
        <v>45</v>
      </c>
      <c r="C3971" s="8" t="s">
        <v>9294</v>
      </c>
      <c r="D3971" s="8" t="s">
        <v>9302</v>
      </c>
      <c r="E3971" s="11" t="n">
        <v>304</v>
      </c>
      <c r="F3971" s="8" t="str">
        <f aca="false">IFERROR(INDEX(Section_Master!$D$2:$D$477,MATCH($E3971,Section_Master!$A$2:$A$477,0))&amp;"","")</f>
        <v>Imprisonment up to 3 years and fine</v>
      </c>
      <c r="G3971" s="10" t="str">
        <f aca="false">IFERROR(INDEX(Section_Master!$E$2:$E$477,MATCH($E3971,Section_Master!$A$2:$A$477,0))&amp;"","")</f>
        <v>Yes</v>
      </c>
      <c r="H3971" s="10" t="str">
        <f aca="false">IFERROR(INDEX(Section_Master!$F$2:$F$477,MATCH($E3971,Section_Master!$A$2:$A$477,0))&amp;"","")</f>
        <v>No</v>
      </c>
      <c r="I3971" s="10" t="str">
        <f aca="false">IFERROR(INDEX(Section_Master!$G$2:$G$477,MATCH($E3971,Section_Master!$A$2:$A$477,0))&amp;"","")</f>
        <v>No</v>
      </c>
      <c r="J3971" s="10" t="s">
        <v>58</v>
      </c>
      <c r="K3971" s="8" t="s">
        <v>9296</v>
      </c>
    </row>
    <row r="3972" customFormat="false" ht="34.5" hidden="false" customHeight="true" outlineLevel="0" collapsed="false">
      <c r="A3972" s="10" t="s">
        <v>9303</v>
      </c>
      <c r="B3972" s="10" t="s">
        <v>45</v>
      </c>
      <c r="C3972" s="8" t="s">
        <v>9294</v>
      </c>
      <c r="D3972" s="8" t="s">
        <v>9304</v>
      </c>
      <c r="E3972" s="11" t="n">
        <v>304</v>
      </c>
      <c r="F3972" s="8" t="str">
        <f aca="false">IFERROR(INDEX(Section_Master!$D$2:$D$477,MATCH($E3972,Section_Master!$A$2:$A$477,0))&amp;"","")</f>
        <v>Imprisonment up to 3 years and fine</v>
      </c>
      <c r="G3972" s="10" t="str">
        <f aca="false">IFERROR(INDEX(Section_Master!$E$2:$E$477,MATCH($E3972,Section_Master!$A$2:$A$477,0))&amp;"","")</f>
        <v>Yes</v>
      </c>
      <c r="H3972" s="10" t="str">
        <f aca="false">IFERROR(INDEX(Section_Master!$F$2:$F$477,MATCH($E3972,Section_Master!$A$2:$A$477,0))&amp;"","")</f>
        <v>No</v>
      </c>
      <c r="I3972" s="10" t="str">
        <f aca="false">IFERROR(INDEX(Section_Master!$G$2:$G$477,MATCH($E3972,Section_Master!$A$2:$A$477,0))&amp;"","")</f>
        <v>No</v>
      </c>
      <c r="J3972" s="10" t="s">
        <v>61</v>
      </c>
      <c r="K3972" s="8" t="s">
        <v>9296</v>
      </c>
    </row>
    <row r="3973" customFormat="false" ht="45.75" hidden="false" customHeight="true" outlineLevel="0" collapsed="false">
      <c r="A3973" s="10" t="s">
        <v>9305</v>
      </c>
      <c r="B3973" s="10" t="s">
        <v>45</v>
      </c>
      <c r="C3973" s="8" t="s">
        <v>9294</v>
      </c>
      <c r="D3973" s="8" t="s">
        <v>9306</v>
      </c>
      <c r="E3973" s="11" t="n">
        <v>304</v>
      </c>
      <c r="F3973" s="8" t="str">
        <f aca="false">IFERROR(INDEX(Section_Master!$D$2:$D$477,MATCH($E3973,Section_Master!$A$2:$A$477,0))&amp;"","")</f>
        <v>Imprisonment up to 3 years and fine</v>
      </c>
      <c r="G3973" s="10" t="str">
        <f aca="false">IFERROR(INDEX(Section_Master!$E$2:$E$477,MATCH($E3973,Section_Master!$A$2:$A$477,0))&amp;"","")</f>
        <v>Yes</v>
      </c>
      <c r="H3973" s="10" t="str">
        <f aca="false">IFERROR(INDEX(Section_Master!$F$2:$F$477,MATCH($E3973,Section_Master!$A$2:$A$477,0))&amp;"","")</f>
        <v>No</v>
      </c>
      <c r="I3973" s="10" t="str">
        <f aca="false">IFERROR(INDEX(Section_Master!$G$2:$G$477,MATCH($E3973,Section_Master!$A$2:$A$477,0))&amp;"","")</f>
        <v>No</v>
      </c>
      <c r="J3973" s="10" t="s">
        <v>64</v>
      </c>
      <c r="K3973" s="8" t="s">
        <v>9296</v>
      </c>
    </row>
    <row r="3974" customFormat="false" ht="34.5" hidden="false" customHeight="true" outlineLevel="0" collapsed="false">
      <c r="A3974" s="10" t="s">
        <v>9307</v>
      </c>
      <c r="B3974" s="10" t="s">
        <v>45</v>
      </c>
      <c r="C3974" s="8" t="s">
        <v>9308</v>
      </c>
      <c r="D3974" s="8" t="s">
        <v>9309</v>
      </c>
      <c r="E3974" s="11" t="n">
        <v>305</v>
      </c>
      <c r="F3974" s="8" t="str">
        <f aca="false">IFERROR(INDEX(Section_Master!$D$2:$D$477,MATCH($E3974,Section_Master!$A$2:$A$477,0))&amp;"","")</f>
        <v>Imprisonment up to 7 years and fine</v>
      </c>
      <c r="G3974" s="10" t="str">
        <f aca="false">IFERROR(INDEX(Section_Master!$E$2:$E$477,MATCH($E3974,Section_Master!$A$2:$A$477,0))&amp;"","")</f>
        <v>Yes</v>
      </c>
      <c r="H3974" s="10" t="str">
        <f aca="false">IFERROR(INDEX(Section_Master!$F$2:$F$477,MATCH($E3974,Section_Master!$A$2:$A$477,0))&amp;"","")</f>
        <v>No</v>
      </c>
      <c r="I3974" s="10" t="str">
        <f aca="false">IFERROR(INDEX(Section_Master!$G$2:$G$477,MATCH($E3974,Section_Master!$A$2:$A$477,0))&amp;"","")</f>
        <v>With court permission</v>
      </c>
      <c r="J3974" s="10" t="s">
        <v>48</v>
      </c>
      <c r="K3974" s="8" t="s">
        <v>9310</v>
      </c>
    </row>
    <row r="3975" customFormat="false" ht="45.75" hidden="false" customHeight="true" outlineLevel="0" collapsed="false">
      <c r="A3975" s="10" t="s">
        <v>9311</v>
      </c>
      <c r="B3975" s="10" t="s">
        <v>45</v>
      </c>
      <c r="C3975" s="8" t="s">
        <v>9308</v>
      </c>
      <c r="D3975" s="8" t="s">
        <v>9312</v>
      </c>
      <c r="E3975" s="11" t="n">
        <v>305</v>
      </c>
      <c r="F3975" s="8" t="str">
        <f aca="false">IFERROR(INDEX(Section_Master!$D$2:$D$477,MATCH($E3975,Section_Master!$A$2:$A$477,0))&amp;"","")</f>
        <v>Imprisonment up to 7 years and fine</v>
      </c>
      <c r="G3975" s="10" t="str">
        <f aca="false">IFERROR(INDEX(Section_Master!$E$2:$E$477,MATCH($E3975,Section_Master!$A$2:$A$477,0))&amp;"","")</f>
        <v>Yes</v>
      </c>
      <c r="H3975" s="10" t="str">
        <f aca="false">IFERROR(INDEX(Section_Master!$F$2:$F$477,MATCH($E3975,Section_Master!$A$2:$A$477,0))&amp;"","")</f>
        <v>No</v>
      </c>
      <c r="I3975" s="10" t="str">
        <f aca="false">IFERROR(INDEX(Section_Master!$G$2:$G$477,MATCH($E3975,Section_Master!$A$2:$A$477,0))&amp;"","")</f>
        <v>With court permission</v>
      </c>
      <c r="J3975" s="10" t="s">
        <v>52</v>
      </c>
      <c r="K3975" s="8" t="s">
        <v>9310</v>
      </c>
    </row>
    <row r="3976" customFormat="false" ht="34.5" hidden="false" customHeight="true" outlineLevel="0" collapsed="false">
      <c r="A3976" s="10" t="s">
        <v>9313</v>
      </c>
      <c r="B3976" s="10" t="s">
        <v>45</v>
      </c>
      <c r="C3976" s="8" t="s">
        <v>9308</v>
      </c>
      <c r="D3976" s="8" t="s">
        <v>9314</v>
      </c>
      <c r="E3976" s="11" t="n">
        <v>305</v>
      </c>
      <c r="F3976" s="8" t="str">
        <f aca="false">IFERROR(INDEX(Section_Master!$D$2:$D$477,MATCH($E3976,Section_Master!$A$2:$A$477,0))&amp;"","")</f>
        <v>Imprisonment up to 7 years and fine</v>
      </c>
      <c r="G3976" s="10" t="str">
        <f aca="false">IFERROR(INDEX(Section_Master!$E$2:$E$477,MATCH($E3976,Section_Master!$A$2:$A$477,0))&amp;"","")</f>
        <v>Yes</v>
      </c>
      <c r="H3976" s="10" t="str">
        <f aca="false">IFERROR(INDEX(Section_Master!$F$2:$F$477,MATCH($E3976,Section_Master!$A$2:$A$477,0))&amp;"","")</f>
        <v>No</v>
      </c>
      <c r="I3976" s="10" t="str">
        <f aca="false">IFERROR(INDEX(Section_Master!$G$2:$G$477,MATCH($E3976,Section_Master!$A$2:$A$477,0))&amp;"","")</f>
        <v>With court permission</v>
      </c>
      <c r="J3976" s="10" t="s">
        <v>55</v>
      </c>
      <c r="K3976" s="8" t="s">
        <v>9310</v>
      </c>
    </row>
    <row r="3977" customFormat="false" ht="23.25" hidden="false" customHeight="true" outlineLevel="0" collapsed="false">
      <c r="A3977" s="10" t="s">
        <v>9315</v>
      </c>
      <c r="B3977" s="10" t="s">
        <v>45</v>
      </c>
      <c r="C3977" s="8" t="s">
        <v>9308</v>
      </c>
      <c r="D3977" s="8" t="s">
        <v>9316</v>
      </c>
      <c r="E3977" s="11" t="n">
        <v>305</v>
      </c>
      <c r="F3977" s="8" t="str">
        <f aca="false">IFERROR(INDEX(Section_Master!$D$2:$D$477,MATCH($E3977,Section_Master!$A$2:$A$477,0))&amp;"","")</f>
        <v>Imprisonment up to 7 years and fine</v>
      </c>
      <c r="G3977" s="10" t="str">
        <f aca="false">IFERROR(INDEX(Section_Master!$E$2:$E$477,MATCH($E3977,Section_Master!$A$2:$A$477,0))&amp;"","")</f>
        <v>Yes</v>
      </c>
      <c r="H3977" s="10" t="str">
        <f aca="false">IFERROR(INDEX(Section_Master!$F$2:$F$477,MATCH($E3977,Section_Master!$A$2:$A$477,0))&amp;"","")</f>
        <v>No</v>
      </c>
      <c r="I3977" s="10" t="str">
        <f aca="false">IFERROR(INDEX(Section_Master!$G$2:$G$477,MATCH($E3977,Section_Master!$A$2:$A$477,0))&amp;"","")</f>
        <v>With court permission</v>
      </c>
      <c r="J3977" s="10" t="s">
        <v>58</v>
      </c>
      <c r="K3977" s="8" t="s">
        <v>9310</v>
      </c>
    </row>
    <row r="3978" customFormat="false" ht="34.5" hidden="false" customHeight="true" outlineLevel="0" collapsed="false">
      <c r="A3978" s="10" t="s">
        <v>9317</v>
      </c>
      <c r="B3978" s="10" t="s">
        <v>45</v>
      </c>
      <c r="C3978" s="8" t="s">
        <v>9308</v>
      </c>
      <c r="D3978" s="8" t="s">
        <v>9318</v>
      </c>
      <c r="E3978" s="11" t="n">
        <v>305</v>
      </c>
      <c r="F3978" s="8" t="str">
        <f aca="false">IFERROR(INDEX(Section_Master!$D$2:$D$477,MATCH($E3978,Section_Master!$A$2:$A$477,0))&amp;"","")</f>
        <v>Imprisonment up to 7 years and fine</v>
      </c>
      <c r="G3978" s="10" t="str">
        <f aca="false">IFERROR(INDEX(Section_Master!$E$2:$E$477,MATCH($E3978,Section_Master!$A$2:$A$477,0))&amp;"","")</f>
        <v>Yes</v>
      </c>
      <c r="H3978" s="10" t="str">
        <f aca="false">IFERROR(INDEX(Section_Master!$F$2:$F$477,MATCH($E3978,Section_Master!$A$2:$A$477,0))&amp;"","")</f>
        <v>No</v>
      </c>
      <c r="I3978" s="10" t="str">
        <f aca="false">IFERROR(INDEX(Section_Master!$G$2:$G$477,MATCH($E3978,Section_Master!$A$2:$A$477,0))&amp;"","")</f>
        <v>With court permission</v>
      </c>
      <c r="J3978" s="10" t="s">
        <v>61</v>
      </c>
      <c r="K3978" s="8" t="s">
        <v>9310</v>
      </c>
    </row>
    <row r="3979" customFormat="false" ht="45.75" hidden="false" customHeight="true" outlineLevel="0" collapsed="false">
      <c r="A3979" s="10" t="s">
        <v>9319</v>
      </c>
      <c r="B3979" s="10" t="s">
        <v>45</v>
      </c>
      <c r="C3979" s="8" t="s">
        <v>9308</v>
      </c>
      <c r="D3979" s="8" t="s">
        <v>9320</v>
      </c>
      <c r="E3979" s="11" t="n">
        <v>305</v>
      </c>
      <c r="F3979" s="8" t="str">
        <f aca="false">IFERROR(INDEX(Section_Master!$D$2:$D$477,MATCH($E3979,Section_Master!$A$2:$A$477,0))&amp;"","")</f>
        <v>Imprisonment up to 7 years and fine</v>
      </c>
      <c r="G3979" s="10" t="str">
        <f aca="false">IFERROR(INDEX(Section_Master!$E$2:$E$477,MATCH($E3979,Section_Master!$A$2:$A$477,0))&amp;"","")</f>
        <v>Yes</v>
      </c>
      <c r="H3979" s="10" t="str">
        <f aca="false">IFERROR(INDEX(Section_Master!$F$2:$F$477,MATCH($E3979,Section_Master!$A$2:$A$477,0))&amp;"","")</f>
        <v>No</v>
      </c>
      <c r="I3979" s="10" t="str">
        <f aca="false">IFERROR(INDEX(Section_Master!$G$2:$G$477,MATCH($E3979,Section_Master!$A$2:$A$477,0))&amp;"","")</f>
        <v>With court permission</v>
      </c>
      <c r="J3979" s="10" t="s">
        <v>64</v>
      </c>
      <c r="K3979" s="8" t="s">
        <v>9310</v>
      </c>
    </row>
    <row r="3980" customFormat="false" ht="23.25" hidden="false" customHeight="true" outlineLevel="0" collapsed="false">
      <c r="A3980" s="10" t="s">
        <v>9321</v>
      </c>
      <c r="B3980" s="10" t="s">
        <v>45</v>
      </c>
      <c r="C3980" s="8" t="s">
        <v>9322</v>
      </c>
      <c r="D3980" s="8" t="s">
        <v>9323</v>
      </c>
      <c r="E3980" s="11" t="n">
        <v>306</v>
      </c>
      <c r="F3980" s="8" t="str">
        <f aca="false">IFERROR(INDEX(Section_Master!$D$2:$D$477,MATCH($E3980,Section_Master!$A$2:$A$477,0))&amp;"","")</f>
        <v>Imprisonment up to 7 years and fine</v>
      </c>
      <c r="G3980" s="10" t="str">
        <f aca="false">IFERROR(INDEX(Section_Master!$E$2:$E$477,MATCH($E3980,Section_Master!$A$2:$A$477,0))&amp;"","")</f>
        <v>Yes</v>
      </c>
      <c r="H3980" s="10" t="str">
        <f aca="false">IFERROR(INDEX(Section_Master!$F$2:$F$477,MATCH($E3980,Section_Master!$A$2:$A$477,0))&amp;"","")</f>
        <v>No</v>
      </c>
      <c r="I3980" s="10" t="str">
        <f aca="false">IFERROR(INDEX(Section_Master!$G$2:$G$477,MATCH($E3980,Section_Master!$A$2:$A$477,0))&amp;"","")</f>
        <v>With court permission</v>
      </c>
      <c r="J3980" s="10" t="s">
        <v>48</v>
      </c>
      <c r="K3980" s="8" t="s">
        <v>9324</v>
      </c>
    </row>
    <row r="3981" customFormat="false" ht="34.5" hidden="false" customHeight="true" outlineLevel="0" collapsed="false">
      <c r="A3981" s="10" t="s">
        <v>9325</v>
      </c>
      <c r="B3981" s="10" t="s">
        <v>45</v>
      </c>
      <c r="C3981" s="8" t="s">
        <v>9322</v>
      </c>
      <c r="D3981" s="8" t="s">
        <v>9326</v>
      </c>
      <c r="E3981" s="11" t="n">
        <v>306</v>
      </c>
      <c r="F3981" s="8" t="str">
        <f aca="false">IFERROR(INDEX(Section_Master!$D$2:$D$477,MATCH($E3981,Section_Master!$A$2:$A$477,0))&amp;"","")</f>
        <v>Imprisonment up to 7 years and fine</v>
      </c>
      <c r="G3981" s="10" t="str">
        <f aca="false">IFERROR(INDEX(Section_Master!$E$2:$E$477,MATCH($E3981,Section_Master!$A$2:$A$477,0))&amp;"","")</f>
        <v>Yes</v>
      </c>
      <c r="H3981" s="10" t="str">
        <f aca="false">IFERROR(INDEX(Section_Master!$F$2:$F$477,MATCH($E3981,Section_Master!$A$2:$A$477,0))&amp;"","")</f>
        <v>No</v>
      </c>
      <c r="I3981" s="10" t="str">
        <f aca="false">IFERROR(INDEX(Section_Master!$G$2:$G$477,MATCH($E3981,Section_Master!$A$2:$A$477,0))&amp;"","")</f>
        <v>With court permission</v>
      </c>
      <c r="J3981" s="10" t="s">
        <v>52</v>
      </c>
      <c r="K3981" s="8" t="s">
        <v>9324</v>
      </c>
    </row>
    <row r="3982" customFormat="false" ht="34.5" hidden="false" customHeight="true" outlineLevel="0" collapsed="false">
      <c r="A3982" s="10" t="s">
        <v>9327</v>
      </c>
      <c r="B3982" s="10" t="s">
        <v>45</v>
      </c>
      <c r="C3982" s="8" t="s">
        <v>9322</v>
      </c>
      <c r="D3982" s="8" t="s">
        <v>9328</v>
      </c>
      <c r="E3982" s="11" t="n">
        <v>306</v>
      </c>
      <c r="F3982" s="8" t="str">
        <f aca="false">IFERROR(INDEX(Section_Master!$D$2:$D$477,MATCH($E3982,Section_Master!$A$2:$A$477,0))&amp;"","")</f>
        <v>Imprisonment up to 7 years and fine</v>
      </c>
      <c r="G3982" s="10" t="str">
        <f aca="false">IFERROR(INDEX(Section_Master!$E$2:$E$477,MATCH($E3982,Section_Master!$A$2:$A$477,0))&amp;"","")</f>
        <v>Yes</v>
      </c>
      <c r="H3982" s="10" t="str">
        <f aca="false">IFERROR(INDEX(Section_Master!$F$2:$F$477,MATCH($E3982,Section_Master!$A$2:$A$477,0))&amp;"","")</f>
        <v>No</v>
      </c>
      <c r="I3982" s="10" t="str">
        <f aca="false">IFERROR(INDEX(Section_Master!$G$2:$G$477,MATCH($E3982,Section_Master!$A$2:$A$477,0))&amp;"","")</f>
        <v>With court permission</v>
      </c>
      <c r="J3982" s="10" t="s">
        <v>55</v>
      </c>
      <c r="K3982" s="8" t="s">
        <v>9324</v>
      </c>
    </row>
    <row r="3983" customFormat="false" ht="23.25" hidden="false" customHeight="true" outlineLevel="0" collapsed="false">
      <c r="A3983" s="10" t="s">
        <v>9329</v>
      </c>
      <c r="B3983" s="10" t="s">
        <v>45</v>
      </c>
      <c r="C3983" s="8" t="s">
        <v>9322</v>
      </c>
      <c r="D3983" s="8" t="s">
        <v>9330</v>
      </c>
      <c r="E3983" s="11" t="n">
        <v>306</v>
      </c>
      <c r="F3983" s="8" t="str">
        <f aca="false">IFERROR(INDEX(Section_Master!$D$2:$D$477,MATCH($E3983,Section_Master!$A$2:$A$477,0))&amp;"","")</f>
        <v>Imprisonment up to 7 years and fine</v>
      </c>
      <c r="G3983" s="10" t="str">
        <f aca="false">IFERROR(INDEX(Section_Master!$E$2:$E$477,MATCH($E3983,Section_Master!$A$2:$A$477,0))&amp;"","")</f>
        <v>Yes</v>
      </c>
      <c r="H3983" s="10" t="str">
        <f aca="false">IFERROR(INDEX(Section_Master!$F$2:$F$477,MATCH($E3983,Section_Master!$A$2:$A$477,0))&amp;"","")</f>
        <v>No</v>
      </c>
      <c r="I3983" s="10" t="str">
        <f aca="false">IFERROR(INDEX(Section_Master!$G$2:$G$477,MATCH($E3983,Section_Master!$A$2:$A$477,0))&amp;"","")</f>
        <v>With court permission</v>
      </c>
      <c r="J3983" s="10" t="s">
        <v>58</v>
      </c>
      <c r="K3983" s="8" t="s">
        <v>9324</v>
      </c>
    </row>
    <row r="3984" customFormat="false" ht="45.75" hidden="false" customHeight="true" outlineLevel="0" collapsed="false">
      <c r="A3984" s="10" t="s">
        <v>9331</v>
      </c>
      <c r="B3984" s="10" t="s">
        <v>45</v>
      </c>
      <c r="C3984" s="8" t="s">
        <v>9322</v>
      </c>
      <c r="D3984" s="8" t="s">
        <v>9332</v>
      </c>
      <c r="E3984" s="11" t="n">
        <v>306</v>
      </c>
      <c r="F3984" s="8" t="str">
        <f aca="false">IFERROR(INDEX(Section_Master!$D$2:$D$477,MATCH($E3984,Section_Master!$A$2:$A$477,0))&amp;"","")</f>
        <v>Imprisonment up to 7 years and fine</v>
      </c>
      <c r="G3984" s="10" t="str">
        <f aca="false">IFERROR(INDEX(Section_Master!$E$2:$E$477,MATCH($E3984,Section_Master!$A$2:$A$477,0))&amp;"","")</f>
        <v>Yes</v>
      </c>
      <c r="H3984" s="10" t="str">
        <f aca="false">IFERROR(INDEX(Section_Master!$F$2:$F$477,MATCH($E3984,Section_Master!$A$2:$A$477,0))&amp;"","")</f>
        <v>No</v>
      </c>
      <c r="I3984" s="10" t="str">
        <f aca="false">IFERROR(INDEX(Section_Master!$G$2:$G$477,MATCH($E3984,Section_Master!$A$2:$A$477,0))&amp;"","")</f>
        <v>With court permission</v>
      </c>
      <c r="J3984" s="10" t="s">
        <v>61</v>
      </c>
      <c r="K3984" s="8" t="s">
        <v>9324</v>
      </c>
    </row>
    <row r="3985" customFormat="false" ht="45.75" hidden="false" customHeight="true" outlineLevel="0" collapsed="false">
      <c r="A3985" s="10" t="s">
        <v>9333</v>
      </c>
      <c r="B3985" s="10" t="s">
        <v>45</v>
      </c>
      <c r="C3985" s="8" t="s">
        <v>9322</v>
      </c>
      <c r="D3985" s="8" t="s">
        <v>9334</v>
      </c>
      <c r="E3985" s="11" t="n">
        <v>306</v>
      </c>
      <c r="F3985" s="8" t="str">
        <f aca="false">IFERROR(INDEX(Section_Master!$D$2:$D$477,MATCH($E3985,Section_Master!$A$2:$A$477,0))&amp;"","")</f>
        <v>Imprisonment up to 7 years and fine</v>
      </c>
      <c r="G3985" s="10" t="str">
        <f aca="false">IFERROR(INDEX(Section_Master!$E$2:$E$477,MATCH($E3985,Section_Master!$A$2:$A$477,0))&amp;"","")</f>
        <v>Yes</v>
      </c>
      <c r="H3985" s="10" t="str">
        <f aca="false">IFERROR(INDEX(Section_Master!$F$2:$F$477,MATCH($E3985,Section_Master!$A$2:$A$477,0))&amp;"","")</f>
        <v>No</v>
      </c>
      <c r="I3985" s="10" t="str">
        <f aca="false">IFERROR(INDEX(Section_Master!$G$2:$G$477,MATCH($E3985,Section_Master!$A$2:$A$477,0))&amp;"","")</f>
        <v>With court permission</v>
      </c>
      <c r="J3985" s="10" t="s">
        <v>64</v>
      </c>
      <c r="K3985" s="8" t="s">
        <v>9324</v>
      </c>
    </row>
    <row r="3986" customFormat="false" ht="23.25" hidden="false" customHeight="true" outlineLevel="0" collapsed="false">
      <c r="A3986" s="10" t="s">
        <v>9335</v>
      </c>
      <c r="B3986" s="10" t="s">
        <v>45</v>
      </c>
      <c r="C3986" s="8" t="s">
        <v>9336</v>
      </c>
      <c r="D3986" s="8" t="s">
        <v>9337</v>
      </c>
      <c r="E3986" s="11" t="n">
        <v>307</v>
      </c>
      <c r="F3986" s="8" t="str">
        <f aca="false">IFERROR(INDEX(Section_Master!$D$2:$D$477,MATCH($E3986,Section_Master!$A$2:$A$477,0))&amp;"","")</f>
        <v>Rigorous imprisonment up to 10 years and fine</v>
      </c>
      <c r="G3986" s="10" t="str">
        <f aca="false">IFERROR(INDEX(Section_Master!$E$2:$E$477,MATCH($E3986,Section_Master!$A$2:$A$477,0))&amp;"","")</f>
        <v>Yes</v>
      </c>
      <c r="H3986" s="10" t="str">
        <f aca="false">IFERROR(INDEX(Section_Master!$F$2:$F$477,MATCH($E3986,Section_Master!$A$2:$A$477,0))&amp;"","")</f>
        <v>No</v>
      </c>
      <c r="I3986" s="10" t="str">
        <f aca="false">IFERROR(INDEX(Section_Master!$G$2:$G$477,MATCH($E3986,Section_Master!$A$2:$A$477,0))&amp;"","")</f>
        <v>No</v>
      </c>
      <c r="J3986" s="10" t="s">
        <v>48</v>
      </c>
      <c r="K3986" s="8" t="s">
        <v>9338</v>
      </c>
    </row>
    <row r="3987" customFormat="false" ht="34.5" hidden="false" customHeight="true" outlineLevel="0" collapsed="false">
      <c r="A3987" s="10" t="s">
        <v>9339</v>
      </c>
      <c r="B3987" s="10" t="s">
        <v>45</v>
      </c>
      <c r="C3987" s="8" t="s">
        <v>9336</v>
      </c>
      <c r="D3987" s="8" t="s">
        <v>9340</v>
      </c>
      <c r="E3987" s="11" t="n">
        <v>307</v>
      </c>
      <c r="F3987" s="8" t="str">
        <f aca="false">IFERROR(INDEX(Section_Master!$D$2:$D$477,MATCH($E3987,Section_Master!$A$2:$A$477,0))&amp;"","")</f>
        <v>Rigorous imprisonment up to 10 years and fine</v>
      </c>
      <c r="G3987" s="10" t="str">
        <f aca="false">IFERROR(INDEX(Section_Master!$E$2:$E$477,MATCH($E3987,Section_Master!$A$2:$A$477,0))&amp;"","")</f>
        <v>Yes</v>
      </c>
      <c r="H3987" s="10" t="str">
        <f aca="false">IFERROR(INDEX(Section_Master!$F$2:$F$477,MATCH($E3987,Section_Master!$A$2:$A$477,0))&amp;"","")</f>
        <v>No</v>
      </c>
      <c r="I3987" s="10" t="str">
        <f aca="false">IFERROR(INDEX(Section_Master!$G$2:$G$477,MATCH($E3987,Section_Master!$A$2:$A$477,0))&amp;"","")</f>
        <v>No</v>
      </c>
      <c r="J3987" s="10" t="s">
        <v>52</v>
      </c>
      <c r="K3987" s="8" t="s">
        <v>9338</v>
      </c>
    </row>
    <row r="3988" customFormat="false" ht="34.5" hidden="false" customHeight="true" outlineLevel="0" collapsed="false">
      <c r="A3988" s="10" t="s">
        <v>9341</v>
      </c>
      <c r="B3988" s="10" t="s">
        <v>45</v>
      </c>
      <c r="C3988" s="8" t="s">
        <v>9336</v>
      </c>
      <c r="D3988" s="8" t="s">
        <v>9342</v>
      </c>
      <c r="E3988" s="11" t="n">
        <v>307</v>
      </c>
      <c r="F3988" s="8" t="str">
        <f aca="false">IFERROR(INDEX(Section_Master!$D$2:$D$477,MATCH($E3988,Section_Master!$A$2:$A$477,0))&amp;"","")</f>
        <v>Rigorous imprisonment up to 10 years and fine</v>
      </c>
      <c r="G3988" s="10" t="str">
        <f aca="false">IFERROR(INDEX(Section_Master!$E$2:$E$477,MATCH($E3988,Section_Master!$A$2:$A$477,0))&amp;"","")</f>
        <v>Yes</v>
      </c>
      <c r="H3988" s="10" t="str">
        <f aca="false">IFERROR(INDEX(Section_Master!$F$2:$F$477,MATCH($E3988,Section_Master!$A$2:$A$477,0))&amp;"","")</f>
        <v>No</v>
      </c>
      <c r="I3988" s="10" t="str">
        <f aca="false">IFERROR(INDEX(Section_Master!$G$2:$G$477,MATCH($E3988,Section_Master!$A$2:$A$477,0))&amp;"","")</f>
        <v>No</v>
      </c>
      <c r="J3988" s="10" t="s">
        <v>55</v>
      </c>
      <c r="K3988" s="8" t="s">
        <v>9338</v>
      </c>
    </row>
    <row r="3989" customFormat="false" ht="23.25" hidden="false" customHeight="true" outlineLevel="0" collapsed="false">
      <c r="A3989" s="10" t="s">
        <v>9343</v>
      </c>
      <c r="B3989" s="10" t="s">
        <v>45</v>
      </c>
      <c r="C3989" s="8" t="s">
        <v>9336</v>
      </c>
      <c r="D3989" s="8" t="s">
        <v>9344</v>
      </c>
      <c r="E3989" s="11" t="n">
        <v>307</v>
      </c>
      <c r="F3989" s="8" t="str">
        <f aca="false">IFERROR(INDEX(Section_Master!$D$2:$D$477,MATCH($E3989,Section_Master!$A$2:$A$477,0))&amp;"","")</f>
        <v>Rigorous imprisonment up to 10 years and fine</v>
      </c>
      <c r="G3989" s="10" t="str">
        <f aca="false">IFERROR(INDEX(Section_Master!$E$2:$E$477,MATCH($E3989,Section_Master!$A$2:$A$477,0))&amp;"","")</f>
        <v>Yes</v>
      </c>
      <c r="H3989" s="10" t="str">
        <f aca="false">IFERROR(INDEX(Section_Master!$F$2:$F$477,MATCH($E3989,Section_Master!$A$2:$A$477,0))&amp;"","")</f>
        <v>No</v>
      </c>
      <c r="I3989" s="10" t="str">
        <f aca="false">IFERROR(INDEX(Section_Master!$G$2:$G$477,MATCH($E3989,Section_Master!$A$2:$A$477,0))&amp;"","")</f>
        <v>No</v>
      </c>
      <c r="J3989" s="10" t="s">
        <v>58</v>
      </c>
      <c r="K3989" s="8" t="s">
        <v>9338</v>
      </c>
    </row>
    <row r="3990" customFormat="false" ht="23.25" hidden="false" customHeight="true" outlineLevel="0" collapsed="false">
      <c r="A3990" s="10" t="s">
        <v>9345</v>
      </c>
      <c r="B3990" s="10" t="s">
        <v>45</v>
      </c>
      <c r="C3990" s="8" t="s">
        <v>9336</v>
      </c>
      <c r="D3990" s="8" t="s">
        <v>9346</v>
      </c>
      <c r="E3990" s="11" t="n">
        <v>307</v>
      </c>
      <c r="F3990" s="8" t="str">
        <f aca="false">IFERROR(INDEX(Section_Master!$D$2:$D$477,MATCH($E3990,Section_Master!$A$2:$A$477,0))&amp;"","")</f>
        <v>Rigorous imprisonment up to 10 years and fine</v>
      </c>
      <c r="G3990" s="10" t="str">
        <f aca="false">IFERROR(INDEX(Section_Master!$E$2:$E$477,MATCH($E3990,Section_Master!$A$2:$A$477,0))&amp;"","")</f>
        <v>Yes</v>
      </c>
      <c r="H3990" s="10" t="str">
        <f aca="false">IFERROR(INDEX(Section_Master!$F$2:$F$477,MATCH($E3990,Section_Master!$A$2:$A$477,0))&amp;"","")</f>
        <v>No</v>
      </c>
      <c r="I3990" s="10" t="str">
        <f aca="false">IFERROR(INDEX(Section_Master!$G$2:$G$477,MATCH($E3990,Section_Master!$A$2:$A$477,0))&amp;"","")</f>
        <v>No</v>
      </c>
      <c r="J3990" s="10" t="s">
        <v>61</v>
      </c>
      <c r="K3990" s="8" t="s">
        <v>9338</v>
      </c>
    </row>
    <row r="3991" customFormat="false" ht="45.75" hidden="false" customHeight="true" outlineLevel="0" collapsed="false">
      <c r="A3991" s="10" t="s">
        <v>9347</v>
      </c>
      <c r="B3991" s="10" t="s">
        <v>45</v>
      </c>
      <c r="C3991" s="8" t="s">
        <v>9336</v>
      </c>
      <c r="D3991" s="8" t="s">
        <v>9348</v>
      </c>
      <c r="E3991" s="11" t="n">
        <v>307</v>
      </c>
      <c r="F3991" s="8" t="str">
        <f aca="false">IFERROR(INDEX(Section_Master!$D$2:$D$477,MATCH($E3991,Section_Master!$A$2:$A$477,0))&amp;"","")</f>
        <v>Rigorous imprisonment up to 10 years and fine</v>
      </c>
      <c r="G3991" s="10" t="str">
        <f aca="false">IFERROR(INDEX(Section_Master!$E$2:$E$477,MATCH($E3991,Section_Master!$A$2:$A$477,0))&amp;"","")</f>
        <v>Yes</v>
      </c>
      <c r="H3991" s="10" t="str">
        <f aca="false">IFERROR(INDEX(Section_Master!$F$2:$F$477,MATCH($E3991,Section_Master!$A$2:$A$477,0))&amp;"","")</f>
        <v>No</v>
      </c>
      <c r="I3991" s="10" t="str">
        <f aca="false">IFERROR(INDEX(Section_Master!$G$2:$G$477,MATCH($E3991,Section_Master!$A$2:$A$477,0))&amp;"","")</f>
        <v>No</v>
      </c>
      <c r="J3991" s="10" t="s">
        <v>64</v>
      </c>
      <c r="K3991" s="8" t="s">
        <v>9338</v>
      </c>
    </row>
    <row r="3992" customFormat="false" ht="34.5" hidden="false" customHeight="true" outlineLevel="0" collapsed="false">
      <c r="A3992" s="10" t="s">
        <v>9349</v>
      </c>
      <c r="B3992" s="10" t="s">
        <v>45</v>
      </c>
      <c r="C3992" s="8" t="s">
        <v>9350</v>
      </c>
      <c r="D3992" s="8" t="s">
        <v>9351</v>
      </c>
      <c r="E3992" s="11" t="n">
        <v>308</v>
      </c>
      <c r="F3992" s="8" t="str">
        <f aca="false">IFERROR(INDEX(Section_Master!$D$2:$D$477,MATCH($E3992,Section_Master!$A$2:$A$477,0))&amp;"","")</f>
        <v>Up to 7 years, or fine, or both [s.308(2)]; up to 7 years and fine, up to 10 years and fine, or life for graver forms [s.308(3)-(7)]</v>
      </c>
      <c r="G3992" s="10" t="str">
        <f aca="false">IFERROR(INDEX(Section_Master!$E$2:$E$477,MATCH($E3992,Section_Master!$A$2:$A$477,0))&amp;"","")</f>
        <v>Yes</v>
      </c>
      <c r="H3992" s="10" t="str">
        <f aca="false">IFERROR(INDEX(Section_Master!$F$2:$F$477,MATCH($E3992,Section_Master!$A$2:$A$477,0))&amp;"","")</f>
        <v>No</v>
      </c>
      <c r="I3992" s="10" t="str">
        <f aca="false">IFERROR(INDEX(Section_Master!$G$2:$G$477,MATCH($E3992,Section_Master!$A$2:$A$477,0))&amp;"","")</f>
        <v>No</v>
      </c>
      <c r="J3992" s="10" t="s">
        <v>48</v>
      </c>
      <c r="K3992" s="8" t="s">
        <v>9352</v>
      </c>
    </row>
    <row r="3993" customFormat="false" ht="45.75" hidden="false" customHeight="true" outlineLevel="0" collapsed="false">
      <c r="A3993" s="10" t="s">
        <v>9353</v>
      </c>
      <c r="B3993" s="10" t="s">
        <v>45</v>
      </c>
      <c r="C3993" s="8" t="s">
        <v>9350</v>
      </c>
      <c r="D3993" s="8" t="s">
        <v>9354</v>
      </c>
      <c r="E3993" s="11" t="n">
        <v>308</v>
      </c>
      <c r="F3993" s="8" t="str">
        <f aca="false">IFERROR(INDEX(Section_Master!$D$2:$D$477,MATCH($E3993,Section_Master!$A$2:$A$477,0))&amp;"","")</f>
        <v>Up to 7 years, or fine, or both [s.308(2)]; up to 7 years and fine, up to 10 years and fine, or life for graver forms [s.308(3)-(7)]</v>
      </c>
      <c r="G3993" s="10" t="str">
        <f aca="false">IFERROR(INDEX(Section_Master!$E$2:$E$477,MATCH($E3993,Section_Master!$A$2:$A$477,0))&amp;"","")</f>
        <v>Yes</v>
      </c>
      <c r="H3993" s="10" t="str">
        <f aca="false">IFERROR(INDEX(Section_Master!$F$2:$F$477,MATCH($E3993,Section_Master!$A$2:$A$477,0))&amp;"","")</f>
        <v>No</v>
      </c>
      <c r="I3993" s="10" t="str">
        <f aca="false">IFERROR(INDEX(Section_Master!$G$2:$G$477,MATCH($E3993,Section_Master!$A$2:$A$477,0))&amp;"","")</f>
        <v>No</v>
      </c>
      <c r="J3993" s="10" t="s">
        <v>52</v>
      </c>
      <c r="K3993" s="8" t="s">
        <v>9352</v>
      </c>
    </row>
    <row r="3994" customFormat="false" ht="34.5" hidden="false" customHeight="true" outlineLevel="0" collapsed="false">
      <c r="A3994" s="10" t="s">
        <v>9355</v>
      </c>
      <c r="B3994" s="10" t="s">
        <v>45</v>
      </c>
      <c r="C3994" s="8" t="s">
        <v>9350</v>
      </c>
      <c r="D3994" s="8" t="s">
        <v>9356</v>
      </c>
      <c r="E3994" s="11" t="n">
        <v>308</v>
      </c>
      <c r="F3994" s="8" t="str">
        <f aca="false">IFERROR(INDEX(Section_Master!$D$2:$D$477,MATCH($E3994,Section_Master!$A$2:$A$477,0))&amp;"","")</f>
        <v>Up to 7 years, or fine, or both [s.308(2)]; up to 7 years and fine, up to 10 years and fine, or life for graver forms [s.308(3)-(7)]</v>
      </c>
      <c r="G3994" s="10" t="str">
        <f aca="false">IFERROR(INDEX(Section_Master!$E$2:$E$477,MATCH($E3994,Section_Master!$A$2:$A$477,0))&amp;"","")</f>
        <v>Yes</v>
      </c>
      <c r="H3994" s="10" t="str">
        <f aca="false">IFERROR(INDEX(Section_Master!$F$2:$F$477,MATCH($E3994,Section_Master!$A$2:$A$477,0))&amp;"","")</f>
        <v>No</v>
      </c>
      <c r="I3994" s="10" t="str">
        <f aca="false">IFERROR(INDEX(Section_Master!$G$2:$G$477,MATCH($E3994,Section_Master!$A$2:$A$477,0))&amp;"","")</f>
        <v>No</v>
      </c>
      <c r="J3994" s="10" t="s">
        <v>55</v>
      </c>
      <c r="K3994" s="8" t="s">
        <v>9352</v>
      </c>
    </row>
    <row r="3995" customFormat="false" ht="23.25" hidden="false" customHeight="true" outlineLevel="0" collapsed="false">
      <c r="A3995" s="10" t="s">
        <v>9357</v>
      </c>
      <c r="B3995" s="10" t="s">
        <v>45</v>
      </c>
      <c r="C3995" s="8" t="s">
        <v>9350</v>
      </c>
      <c r="D3995" s="8" t="s">
        <v>9358</v>
      </c>
      <c r="E3995" s="11" t="n">
        <v>308</v>
      </c>
      <c r="F3995" s="8" t="str">
        <f aca="false">IFERROR(INDEX(Section_Master!$D$2:$D$477,MATCH($E3995,Section_Master!$A$2:$A$477,0))&amp;"","")</f>
        <v>Up to 7 years, or fine, or both [s.308(2)]; up to 7 years and fine, up to 10 years and fine, or life for graver forms [s.308(3)-(7)]</v>
      </c>
      <c r="G3995" s="10" t="str">
        <f aca="false">IFERROR(INDEX(Section_Master!$E$2:$E$477,MATCH($E3995,Section_Master!$A$2:$A$477,0))&amp;"","")</f>
        <v>Yes</v>
      </c>
      <c r="H3995" s="10" t="str">
        <f aca="false">IFERROR(INDEX(Section_Master!$F$2:$F$477,MATCH($E3995,Section_Master!$A$2:$A$477,0))&amp;"","")</f>
        <v>No</v>
      </c>
      <c r="I3995" s="10" t="str">
        <f aca="false">IFERROR(INDEX(Section_Master!$G$2:$G$477,MATCH($E3995,Section_Master!$A$2:$A$477,0))&amp;"","")</f>
        <v>No</v>
      </c>
      <c r="J3995" s="10" t="s">
        <v>58</v>
      </c>
      <c r="K3995" s="8" t="s">
        <v>9352</v>
      </c>
    </row>
    <row r="3996" customFormat="false" ht="34.5" hidden="false" customHeight="true" outlineLevel="0" collapsed="false">
      <c r="A3996" s="10" t="s">
        <v>9359</v>
      </c>
      <c r="B3996" s="10" t="s">
        <v>45</v>
      </c>
      <c r="C3996" s="8" t="s">
        <v>9350</v>
      </c>
      <c r="D3996" s="8" t="s">
        <v>9360</v>
      </c>
      <c r="E3996" s="11" t="n">
        <v>308</v>
      </c>
      <c r="F3996" s="8" t="str">
        <f aca="false">IFERROR(INDEX(Section_Master!$D$2:$D$477,MATCH($E3996,Section_Master!$A$2:$A$477,0))&amp;"","")</f>
        <v>Up to 7 years, or fine, or both [s.308(2)]; up to 7 years and fine, up to 10 years and fine, or life for graver forms [s.308(3)-(7)]</v>
      </c>
      <c r="G3996" s="10" t="str">
        <f aca="false">IFERROR(INDEX(Section_Master!$E$2:$E$477,MATCH($E3996,Section_Master!$A$2:$A$477,0))&amp;"","")</f>
        <v>Yes</v>
      </c>
      <c r="H3996" s="10" t="str">
        <f aca="false">IFERROR(INDEX(Section_Master!$F$2:$F$477,MATCH($E3996,Section_Master!$A$2:$A$477,0))&amp;"","")</f>
        <v>No</v>
      </c>
      <c r="I3996" s="10" t="str">
        <f aca="false">IFERROR(INDEX(Section_Master!$G$2:$G$477,MATCH($E3996,Section_Master!$A$2:$A$477,0))&amp;"","")</f>
        <v>No</v>
      </c>
      <c r="J3996" s="10" t="s">
        <v>61</v>
      </c>
      <c r="K3996" s="8" t="s">
        <v>9352</v>
      </c>
    </row>
    <row r="3997" customFormat="false" ht="45.75" hidden="false" customHeight="true" outlineLevel="0" collapsed="false">
      <c r="A3997" s="10" t="s">
        <v>9361</v>
      </c>
      <c r="B3997" s="10" t="s">
        <v>45</v>
      </c>
      <c r="C3997" s="8" t="s">
        <v>9350</v>
      </c>
      <c r="D3997" s="8" t="s">
        <v>9362</v>
      </c>
      <c r="E3997" s="11" t="n">
        <v>308</v>
      </c>
      <c r="F3997" s="8" t="str">
        <f aca="false">IFERROR(INDEX(Section_Master!$D$2:$D$477,MATCH($E3997,Section_Master!$A$2:$A$477,0))&amp;"","")</f>
        <v>Up to 7 years, or fine, or both [s.308(2)]; up to 7 years and fine, up to 10 years and fine, or life for graver forms [s.308(3)-(7)]</v>
      </c>
      <c r="G3997" s="10" t="str">
        <f aca="false">IFERROR(INDEX(Section_Master!$E$2:$E$477,MATCH($E3997,Section_Master!$A$2:$A$477,0))&amp;"","")</f>
        <v>Yes</v>
      </c>
      <c r="H3997" s="10" t="str">
        <f aca="false">IFERROR(INDEX(Section_Master!$F$2:$F$477,MATCH($E3997,Section_Master!$A$2:$A$477,0))&amp;"","")</f>
        <v>No</v>
      </c>
      <c r="I3997" s="10" t="str">
        <f aca="false">IFERROR(INDEX(Section_Master!$G$2:$G$477,MATCH($E3997,Section_Master!$A$2:$A$477,0))&amp;"","")</f>
        <v>No</v>
      </c>
      <c r="J3997" s="10" t="s">
        <v>64</v>
      </c>
      <c r="K3997" s="8" t="s">
        <v>9352</v>
      </c>
    </row>
    <row r="3998" customFormat="false" ht="34.5" hidden="false" customHeight="true" outlineLevel="0" collapsed="false">
      <c r="A3998" s="10" t="s">
        <v>9363</v>
      </c>
      <c r="B3998" s="10" t="s">
        <v>45</v>
      </c>
      <c r="C3998" s="8" t="s">
        <v>9364</v>
      </c>
      <c r="D3998" s="8" t="s">
        <v>9365</v>
      </c>
      <c r="E3998" s="11" t="n">
        <v>309</v>
      </c>
      <c r="F3998" s="8" t="str">
        <f aca="false">IFERROR(INDEX(Section_Master!$D$2:$D$477,MATCH($E3998,Section_Master!$A$2:$A$477,0))&amp;"","")</f>
        <v>Rigorous imprisonment up to 10 years and fine [s.309(4)]</v>
      </c>
      <c r="G3998" s="10" t="str">
        <f aca="false">IFERROR(INDEX(Section_Master!$E$2:$E$477,MATCH($E3998,Section_Master!$A$2:$A$477,0))&amp;"","")</f>
        <v>Yes</v>
      </c>
      <c r="H3998" s="10" t="str">
        <f aca="false">IFERROR(INDEX(Section_Master!$F$2:$F$477,MATCH($E3998,Section_Master!$A$2:$A$477,0))&amp;"","")</f>
        <v>No</v>
      </c>
      <c r="I3998" s="10" t="str">
        <f aca="false">IFERROR(INDEX(Section_Master!$G$2:$G$477,MATCH($E3998,Section_Master!$A$2:$A$477,0))&amp;"","")</f>
        <v>No</v>
      </c>
      <c r="J3998" s="10" t="s">
        <v>48</v>
      </c>
      <c r="K3998" s="8" t="s">
        <v>9366</v>
      </c>
    </row>
    <row r="3999" customFormat="false" ht="34.5" hidden="false" customHeight="true" outlineLevel="0" collapsed="false">
      <c r="A3999" s="10" t="s">
        <v>9367</v>
      </c>
      <c r="B3999" s="10" t="s">
        <v>45</v>
      </c>
      <c r="C3999" s="8" t="s">
        <v>9364</v>
      </c>
      <c r="D3999" s="8" t="s">
        <v>9368</v>
      </c>
      <c r="E3999" s="11" t="n">
        <v>309</v>
      </c>
      <c r="F3999" s="8" t="str">
        <f aca="false">IFERROR(INDEX(Section_Master!$D$2:$D$477,MATCH($E3999,Section_Master!$A$2:$A$477,0))&amp;"","")</f>
        <v>Rigorous imprisonment up to 10 years and fine [s.309(4)]</v>
      </c>
      <c r="G3999" s="10" t="str">
        <f aca="false">IFERROR(INDEX(Section_Master!$E$2:$E$477,MATCH($E3999,Section_Master!$A$2:$A$477,0))&amp;"","")</f>
        <v>Yes</v>
      </c>
      <c r="H3999" s="10" t="str">
        <f aca="false">IFERROR(INDEX(Section_Master!$F$2:$F$477,MATCH($E3999,Section_Master!$A$2:$A$477,0))&amp;"","")</f>
        <v>No</v>
      </c>
      <c r="I3999" s="10" t="str">
        <f aca="false">IFERROR(INDEX(Section_Master!$G$2:$G$477,MATCH($E3999,Section_Master!$A$2:$A$477,0))&amp;"","")</f>
        <v>No</v>
      </c>
      <c r="J3999" s="10" t="s">
        <v>52</v>
      </c>
      <c r="K3999" s="8" t="s">
        <v>9366</v>
      </c>
    </row>
    <row r="4000" customFormat="false" ht="34.5" hidden="false" customHeight="true" outlineLevel="0" collapsed="false">
      <c r="A4000" s="10" t="s">
        <v>9369</v>
      </c>
      <c r="B4000" s="10" t="s">
        <v>45</v>
      </c>
      <c r="C4000" s="8" t="s">
        <v>9364</v>
      </c>
      <c r="D4000" s="8" t="s">
        <v>9370</v>
      </c>
      <c r="E4000" s="11" t="n">
        <v>309</v>
      </c>
      <c r="F4000" s="8" t="str">
        <f aca="false">IFERROR(INDEX(Section_Master!$D$2:$D$477,MATCH($E4000,Section_Master!$A$2:$A$477,0))&amp;"","")</f>
        <v>Rigorous imprisonment up to 10 years and fine [s.309(4)]</v>
      </c>
      <c r="G4000" s="10" t="str">
        <f aca="false">IFERROR(INDEX(Section_Master!$E$2:$E$477,MATCH($E4000,Section_Master!$A$2:$A$477,0))&amp;"","")</f>
        <v>Yes</v>
      </c>
      <c r="H4000" s="10" t="str">
        <f aca="false">IFERROR(INDEX(Section_Master!$F$2:$F$477,MATCH($E4000,Section_Master!$A$2:$A$477,0))&amp;"","")</f>
        <v>No</v>
      </c>
      <c r="I4000" s="10" t="str">
        <f aca="false">IFERROR(INDEX(Section_Master!$G$2:$G$477,MATCH($E4000,Section_Master!$A$2:$A$477,0))&amp;"","")</f>
        <v>No</v>
      </c>
      <c r="J4000" s="10" t="s">
        <v>55</v>
      </c>
      <c r="K4000" s="8" t="s">
        <v>9366</v>
      </c>
    </row>
    <row r="4001" customFormat="false" ht="23.25" hidden="false" customHeight="true" outlineLevel="0" collapsed="false">
      <c r="A4001" s="10" t="s">
        <v>9371</v>
      </c>
      <c r="B4001" s="10" t="s">
        <v>45</v>
      </c>
      <c r="C4001" s="8" t="s">
        <v>9364</v>
      </c>
      <c r="D4001" s="8" t="s">
        <v>9372</v>
      </c>
      <c r="E4001" s="11" t="n">
        <v>309</v>
      </c>
      <c r="F4001" s="8" t="str">
        <f aca="false">IFERROR(INDEX(Section_Master!$D$2:$D$477,MATCH($E4001,Section_Master!$A$2:$A$477,0))&amp;"","")</f>
        <v>Rigorous imprisonment up to 10 years and fine [s.309(4)]</v>
      </c>
      <c r="G4001" s="10" t="str">
        <f aca="false">IFERROR(INDEX(Section_Master!$E$2:$E$477,MATCH($E4001,Section_Master!$A$2:$A$477,0))&amp;"","")</f>
        <v>Yes</v>
      </c>
      <c r="H4001" s="10" t="str">
        <f aca="false">IFERROR(INDEX(Section_Master!$F$2:$F$477,MATCH($E4001,Section_Master!$A$2:$A$477,0))&amp;"","")</f>
        <v>No</v>
      </c>
      <c r="I4001" s="10" t="str">
        <f aca="false">IFERROR(INDEX(Section_Master!$G$2:$G$477,MATCH($E4001,Section_Master!$A$2:$A$477,0))&amp;"","")</f>
        <v>No</v>
      </c>
      <c r="J4001" s="10" t="s">
        <v>58</v>
      </c>
      <c r="K4001" s="8" t="s">
        <v>9366</v>
      </c>
    </row>
    <row r="4002" customFormat="false" ht="34.5" hidden="false" customHeight="true" outlineLevel="0" collapsed="false">
      <c r="A4002" s="10" t="s">
        <v>9373</v>
      </c>
      <c r="B4002" s="10" t="s">
        <v>45</v>
      </c>
      <c r="C4002" s="8" t="s">
        <v>9364</v>
      </c>
      <c r="D4002" s="8" t="s">
        <v>9374</v>
      </c>
      <c r="E4002" s="11" t="n">
        <v>309</v>
      </c>
      <c r="F4002" s="8" t="str">
        <f aca="false">IFERROR(INDEX(Section_Master!$D$2:$D$477,MATCH($E4002,Section_Master!$A$2:$A$477,0))&amp;"","")</f>
        <v>Rigorous imprisonment up to 10 years and fine [s.309(4)]</v>
      </c>
      <c r="G4002" s="10" t="str">
        <f aca="false">IFERROR(INDEX(Section_Master!$E$2:$E$477,MATCH($E4002,Section_Master!$A$2:$A$477,0))&amp;"","")</f>
        <v>Yes</v>
      </c>
      <c r="H4002" s="10" t="str">
        <f aca="false">IFERROR(INDEX(Section_Master!$F$2:$F$477,MATCH($E4002,Section_Master!$A$2:$A$477,0))&amp;"","")</f>
        <v>No</v>
      </c>
      <c r="I4002" s="10" t="str">
        <f aca="false">IFERROR(INDEX(Section_Master!$G$2:$G$477,MATCH($E4002,Section_Master!$A$2:$A$477,0))&amp;"","")</f>
        <v>No</v>
      </c>
      <c r="J4002" s="10" t="s">
        <v>61</v>
      </c>
      <c r="K4002" s="8" t="s">
        <v>9366</v>
      </c>
    </row>
    <row r="4003" customFormat="false" ht="34.5" hidden="false" customHeight="true" outlineLevel="0" collapsed="false">
      <c r="A4003" s="10" t="s">
        <v>9375</v>
      </c>
      <c r="B4003" s="10" t="s">
        <v>45</v>
      </c>
      <c r="C4003" s="8" t="s">
        <v>9364</v>
      </c>
      <c r="D4003" s="8" t="s">
        <v>9376</v>
      </c>
      <c r="E4003" s="11" t="n">
        <v>309</v>
      </c>
      <c r="F4003" s="8" t="str">
        <f aca="false">IFERROR(INDEX(Section_Master!$D$2:$D$477,MATCH($E4003,Section_Master!$A$2:$A$477,0))&amp;"","")</f>
        <v>Rigorous imprisonment up to 10 years and fine [s.309(4)]</v>
      </c>
      <c r="G4003" s="10" t="str">
        <f aca="false">IFERROR(INDEX(Section_Master!$E$2:$E$477,MATCH($E4003,Section_Master!$A$2:$A$477,0))&amp;"","")</f>
        <v>Yes</v>
      </c>
      <c r="H4003" s="10" t="str">
        <f aca="false">IFERROR(INDEX(Section_Master!$F$2:$F$477,MATCH($E4003,Section_Master!$A$2:$A$477,0))&amp;"","")</f>
        <v>No</v>
      </c>
      <c r="I4003" s="10" t="str">
        <f aca="false">IFERROR(INDEX(Section_Master!$G$2:$G$477,MATCH($E4003,Section_Master!$A$2:$A$477,0))&amp;"","")</f>
        <v>No</v>
      </c>
      <c r="J4003" s="10" t="s">
        <v>64</v>
      </c>
      <c r="K4003" s="8" t="s">
        <v>9366</v>
      </c>
    </row>
    <row r="4004" customFormat="false" ht="34.5" hidden="false" customHeight="true" outlineLevel="0" collapsed="false">
      <c r="A4004" s="10" t="s">
        <v>9377</v>
      </c>
      <c r="B4004" s="10" t="s">
        <v>45</v>
      </c>
      <c r="C4004" s="8" t="s">
        <v>9378</v>
      </c>
      <c r="D4004" s="8" t="s">
        <v>9379</v>
      </c>
      <c r="E4004" s="11" t="n">
        <v>310</v>
      </c>
      <c r="F4004" s="8" t="str">
        <f aca="false">IFERROR(INDEX(Section_Master!$D$2:$D$477,MATCH($E4004,Section_Master!$A$2:$A$477,0))&amp;"","")</f>
        <v>Imprisonment for life, or rigorous imprisonment up to 10 years, and fine [s.310(2)]</v>
      </c>
      <c r="G4004" s="10" t="str">
        <f aca="false">IFERROR(INDEX(Section_Master!$E$2:$E$477,MATCH($E4004,Section_Master!$A$2:$A$477,0))&amp;"","")</f>
        <v>Yes</v>
      </c>
      <c r="H4004" s="10" t="str">
        <f aca="false">IFERROR(INDEX(Section_Master!$F$2:$F$477,MATCH($E4004,Section_Master!$A$2:$A$477,0))&amp;"","")</f>
        <v>No</v>
      </c>
      <c r="I4004" s="10" t="str">
        <f aca="false">IFERROR(INDEX(Section_Master!$G$2:$G$477,MATCH($E4004,Section_Master!$A$2:$A$477,0))&amp;"","")</f>
        <v>No</v>
      </c>
      <c r="J4004" s="10" t="s">
        <v>48</v>
      </c>
      <c r="K4004" s="8" t="s">
        <v>9380</v>
      </c>
    </row>
    <row r="4005" customFormat="false" ht="45.75" hidden="false" customHeight="true" outlineLevel="0" collapsed="false">
      <c r="A4005" s="10" t="s">
        <v>9381</v>
      </c>
      <c r="B4005" s="10" t="s">
        <v>45</v>
      </c>
      <c r="C4005" s="8" t="s">
        <v>9378</v>
      </c>
      <c r="D4005" s="8" t="s">
        <v>9382</v>
      </c>
      <c r="E4005" s="11" t="n">
        <v>310</v>
      </c>
      <c r="F4005" s="8" t="str">
        <f aca="false">IFERROR(INDEX(Section_Master!$D$2:$D$477,MATCH($E4005,Section_Master!$A$2:$A$477,0))&amp;"","")</f>
        <v>Imprisonment for life, or rigorous imprisonment up to 10 years, and fine [s.310(2)]</v>
      </c>
      <c r="G4005" s="10" t="str">
        <f aca="false">IFERROR(INDEX(Section_Master!$E$2:$E$477,MATCH($E4005,Section_Master!$A$2:$A$477,0))&amp;"","")</f>
        <v>Yes</v>
      </c>
      <c r="H4005" s="10" t="str">
        <f aca="false">IFERROR(INDEX(Section_Master!$F$2:$F$477,MATCH($E4005,Section_Master!$A$2:$A$477,0))&amp;"","")</f>
        <v>No</v>
      </c>
      <c r="I4005" s="10" t="str">
        <f aca="false">IFERROR(INDEX(Section_Master!$G$2:$G$477,MATCH($E4005,Section_Master!$A$2:$A$477,0))&amp;"","")</f>
        <v>No</v>
      </c>
      <c r="J4005" s="10" t="s">
        <v>52</v>
      </c>
      <c r="K4005" s="8" t="s">
        <v>9380</v>
      </c>
    </row>
    <row r="4006" customFormat="false" ht="34.5" hidden="false" customHeight="true" outlineLevel="0" collapsed="false">
      <c r="A4006" s="10" t="s">
        <v>9383</v>
      </c>
      <c r="B4006" s="10" t="s">
        <v>45</v>
      </c>
      <c r="C4006" s="8" t="s">
        <v>9378</v>
      </c>
      <c r="D4006" s="8" t="s">
        <v>9384</v>
      </c>
      <c r="E4006" s="11" t="n">
        <v>310</v>
      </c>
      <c r="F4006" s="8" t="str">
        <f aca="false">IFERROR(INDEX(Section_Master!$D$2:$D$477,MATCH($E4006,Section_Master!$A$2:$A$477,0))&amp;"","")</f>
        <v>Imprisonment for life, or rigorous imprisonment up to 10 years, and fine [s.310(2)]</v>
      </c>
      <c r="G4006" s="10" t="str">
        <f aca="false">IFERROR(INDEX(Section_Master!$E$2:$E$477,MATCH($E4006,Section_Master!$A$2:$A$477,0))&amp;"","")</f>
        <v>Yes</v>
      </c>
      <c r="H4006" s="10" t="str">
        <f aca="false">IFERROR(INDEX(Section_Master!$F$2:$F$477,MATCH($E4006,Section_Master!$A$2:$A$477,0))&amp;"","")</f>
        <v>No</v>
      </c>
      <c r="I4006" s="10" t="str">
        <f aca="false">IFERROR(INDEX(Section_Master!$G$2:$G$477,MATCH($E4006,Section_Master!$A$2:$A$477,0))&amp;"","")</f>
        <v>No</v>
      </c>
      <c r="J4006" s="10" t="s">
        <v>55</v>
      </c>
      <c r="K4006" s="8" t="s">
        <v>9380</v>
      </c>
    </row>
    <row r="4007" customFormat="false" ht="23.25" hidden="false" customHeight="true" outlineLevel="0" collapsed="false">
      <c r="A4007" s="10" t="s">
        <v>9385</v>
      </c>
      <c r="B4007" s="10" t="s">
        <v>45</v>
      </c>
      <c r="C4007" s="8" t="s">
        <v>9378</v>
      </c>
      <c r="D4007" s="8" t="s">
        <v>9386</v>
      </c>
      <c r="E4007" s="11" t="n">
        <v>310</v>
      </c>
      <c r="F4007" s="8" t="str">
        <f aca="false">IFERROR(INDEX(Section_Master!$D$2:$D$477,MATCH($E4007,Section_Master!$A$2:$A$477,0))&amp;"","")</f>
        <v>Imprisonment for life, or rigorous imprisonment up to 10 years, and fine [s.310(2)]</v>
      </c>
      <c r="G4007" s="10" t="str">
        <f aca="false">IFERROR(INDEX(Section_Master!$E$2:$E$477,MATCH($E4007,Section_Master!$A$2:$A$477,0))&amp;"","")</f>
        <v>Yes</v>
      </c>
      <c r="H4007" s="10" t="str">
        <f aca="false">IFERROR(INDEX(Section_Master!$F$2:$F$477,MATCH($E4007,Section_Master!$A$2:$A$477,0))&amp;"","")</f>
        <v>No</v>
      </c>
      <c r="I4007" s="10" t="str">
        <f aca="false">IFERROR(INDEX(Section_Master!$G$2:$G$477,MATCH($E4007,Section_Master!$A$2:$A$477,0))&amp;"","")</f>
        <v>No</v>
      </c>
      <c r="J4007" s="10" t="s">
        <v>58</v>
      </c>
      <c r="K4007" s="8" t="s">
        <v>9380</v>
      </c>
    </row>
    <row r="4008" customFormat="false" ht="34.5" hidden="false" customHeight="true" outlineLevel="0" collapsed="false">
      <c r="A4008" s="10" t="s">
        <v>9387</v>
      </c>
      <c r="B4008" s="10" t="s">
        <v>45</v>
      </c>
      <c r="C4008" s="8" t="s">
        <v>9378</v>
      </c>
      <c r="D4008" s="8" t="s">
        <v>9388</v>
      </c>
      <c r="E4008" s="11" t="n">
        <v>310</v>
      </c>
      <c r="F4008" s="8" t="str">
        <f aca="false">IFERROR(INDEX(Section_Master!$D$2:$D$477,MATCH($E4008,Section_Master!$A$2:$A$477,0))&amp;"","")</f>
        <v>Imprisonment for life, or rigorous imprisonment up to 10 years, and fine [s.310(2)]</v>
      </c>
      <c r="G4008" s="10" t="str">
        <f aca="false">IFERROR(INDEX(Section_Master!$E$2:$E$477,MATCH($E4008,Section_Master!$A$2:$A$477,0))&amp;"","")</f>
        <v>Yes</v>
      </c>
      <c r="H4008" s="10" t="str">
        <f aca="false">IFERROR(INDEX(Section_Master!$F$2:$F$477,MATCH($E4008,Section_Master!$A$2:$A$477,0))&amp;"","")</f>
        <v>No</v>
      </c>
      <c r="I4008" s="10" t="str">
        <f aca="false">IFERROR(INDEX(Section_Master!$G$2:$G$477,MATCH($E4008,Section_Master!$A$2:$A$477,0))&amp;"","")</f>
        <v>No</v>
      </c>
      <c r="J4008" s="10" t="s">
        <v>61</v>
      </c>
      <c r="K4008" s="8" t="s">
        <v>9380</v>
      </c>
    </row>
    <row r="4009" customFormat="false" ht="34.5" hidden="false" customHeight="true" outlineLevel="0" collapsed="false">
      <c r="A4009" s="10" t="s">
        <v>9389</v>
      </c>
      <c r="B4009" s="10" t="s">
        <v>45</v>
      </c>
      <c r="C4009" s="8" t="s">
        <v>9378</v>
      </c>
      <c r="D4009" s="8" t="s">
        <v>9390</v>
      </c>
      <c r="E4009" s="11" t="n">
        <v>310</v>
      </c>
      <c r="F4009" s="8" t="str">
        <f aca="false">IFERROR(INDEX(Section_Master!$D$2:$D$477,MATCH($E4009,Section_Master!$A$2:$A$477,0))&amp;"","")</f>
        <v>Imprisonment for life, or rigorous imprisonment up to 10 years, and fine [s.310(2)]</v>
      </c>
      <c r="G4009" s="10" t="str">
        <f aca="false">IFERROR(INDEX(Section_Master!$E$2:$E$477,MATCH($E4009,Section_Master!$A$2:$A$477,0))&amp;"","")</f>
        <v>Yes</v>
      </c>
      <c r="H4009" s="10" t="str">
        <f aca="false">IFERROR(INDEX(Section_Master!$F$2:$F$477,MATCH($E4009,Section_Master!$A$2:$A$477,0))&amp;"","")</f>
        <v>No</v>
      </c>
      <c r="I4009" s="10" t="str">
        <f aca="false">IFERROR(INDEX(Section_Master!$G$2:$G$477,MATCH($E4009,Section_Master!$A$2:$A$477,0))&amp;"","")</f>
        <v>No</v>
      </c>
      <c r="J4009" s="10" t="s">
        <v>64</v>
      </c>
      <c r="K4009" s="8" t="s">
        <v>9380</v>
      </c>
    </row>
    <row r="4010" customFormat="false" ht="34.5" hidden="false" customHeight="true" outlineLevel="0" collapsed="false">
      <c r="A4010" s="10" t="s">
        <v>9391</v>
      </c>
      <c r="B4010" s="10" t="s">
        <v>45</v>
      </c>
      <c r="C4010" s="8" t="s">
        <v>9392</v>
      </c>
      <c r="D4010" s="8" t="s">
        <v>9393</v>
      </c>
      <c r="E4010" s="11" t="n">
        <v>311</v>
      </c>
      <c r="F4010" s="8" t="str">
        <f aca="false">IFERROR(INDEX(Section_Master!$D$2:$D$477,MATCH($E4010,Section_Master!$A$2:$A$477,0))&amp;"","")</f>
        <v>Imprisonment not less than 7 years</v>
      </c>
      <c r="G4010" s="10" t="str">
        <f aca="false">IFERROR(INDEX(Section_Master!$E$2:$E$477,MATCH($E4010,Section_Master!$A$2:$A$477,0))&amp;"","")</f>
        <v>Yes</v>
      </c>
      <c r="H4010" s="10" t="str">
        <f aca="false">IFERROR(INDEX(Section_Master!$F$2:$F$477,MATCH($E4010,Section_Master!$A$2:$A$477,0))&amp;"","")</f>
        <v>No</v>
      </c>
      <c r="I4010" s="10" t="str">
        <f aca="false">IFERROR(INDEX(Section_Master!$G$2:$G$477,MATCH($E4010,Section_Master!$A$2:$A$477,0))&amp;"","")</f>
        <v>No</v>
      </c>
      <c r="J4010" s="10" t="s">
        <v>48</v>
      </c>
      <c r="K4010" s="8" t="s">
        <v>9394</v>
      </c>
    </row>
    <row r="4011" customFormat="false" ht="34.5" hidden="false" customHeight="true" outlineLevel="0" collapsed="false">
      <c r="A4011" s="10" t="s">
        <v>9395</v>
      </c>
      <c r="B4011" s="10" t="s">
        <v>45</v>
      </c>
      <c r="C4011" s="8" t="s">
        <v>9392</v>
      </c>
      <c r="D4011" s="8" t="s">
        <v>9396</v>
      </c>
      <c r="E4011" s="11" t="n">
        <v>311</v>
      </c>
      <c r="F4011" s="8" t="str">
        <f aca="false">IFERROR(INDEX(Section_Master!$D$2:$D$477,MATCH($E4011,Section_Master!$A$2:$A$477,0))&amp;"","")</f>
        <v>Imprisonment not less than 7 years</v>
      </c>
      <c r="G4011" s="10" t="str">
        <f aca="false">IFERROR(INDEX(Section_Master!$E$2:$E$477,MATCH($E4011,Section_Master!$A$2:$A$477,0))&amp;"","")</f>
        <v>Yes</v>
      </c>
      <c r="H4011" s="10" t="str">
        <f aca="false">IFERROR(INDEX(Section_Master!$F$2:$F$477,MATCH($E4011,Section_Master!$A$2:$A$477,0))&amp;"","")</f>
        <v>No</v>
      </c>
      <c r="I4011" s="10" t="str">
        <f aca="false">IFERROR(INDEX(Section_Master!$G$2:$G$477,MATCH($E4011,Section_Master!$A$2:$A$477,0))&amp;"","")</f>
        <v>No</v>
      </c>
      <c r="J4011" s="10" t="s">
        <v>52</v>
      </c>
      <c r="K4011" s="8" t="s">
        <v>9394</v>
      </c>
    </row>
    <row r="4012" customFormat="false" ht="34.5" hidden="false" customHeight="true" outlineLevel="0" collapsed="false">
      <c r="A4012" s="10" t="s">
        <v>9397</v>
      </c>
      <c r="B4012" s="10" t="s">
        <v>45</v>
      </c>
      <c r="C4012" s="8" t="s">
        <v>9392</v>
      </c>
      <c r="D4012" s="8" t="s">
        <v>9398</v>
      </c>
      <c r="E4012" s="11" t="n">
        <v>311</v>
      </c>
      <c r="F4012" s="8" t="str">
        <f aca="false">IFERROR(INDEX(Section_Master!$D$2:$D$477,MATCH($E4012,Section_Master!$A$2:$A$477,0))&amp;"","")</f>
        <v>Imprisonment not less than 7 years</v>
      </c>
      <c r="G4012" s="10" t="str">
        <f aca="false">IFERROR(INDEX(Section_Master!$E$2:$E$477,MATCH($E4012,Section_Master!$A$2:$A$477,0))&amp;"","")</f>
        <v>Yes</v>
      </c>
      <c r="H4012" s="10" t="str">
        <f aca="false">IFERROR(INDEX(Section_Master!$F$2:$F$477,MATCH($E4012,Section_Master!$A$2:$A$477,0))&amp;"","")</f>
        <v>No</v>
      </c>
      <c r="I4012" s="10" t="str">
        <f aca="false">IFERROR(INDEX(Section_Master!$G$2:$G$477,MATCH($E4012,Section_Master!$A$2:$A$477,0))&amp;"","")</f>
        <v>No</v>
      </c>
      <c r="J4012" s="10" t="s">
        <v>55</v>
      </c>
      <c r="K4012" s="8" t="s">
        <v>9394</v>
      </c>
    </row>
    <row r="4013" customFormat="false" ht="23.25" hidden="false" customHeight="true" outlineLevel="0" collapsed="false">
      <c r="A4013" s="10" t="s">
        <v>9399</v>
      </c>
      <c r="B4013" s="10" t="s">
        <v>45</v>
      </c>
      <c r="C4013" s="8" t="s">
        <v>9392</v>
      </c>
      <c r="D4013" s="8" t="s">
        <v>9400</v>
      </c>
      <c r="E4013" s="11" t="n">
        <v>311</v>
      </c>
      <c r="F4013" s="8" t="str">
        <f aca="false">IFERROR(INDEX(Section_Master!$D$2:$D$477,MATCH($E4013,Section_Master!$A$2:$A$477,0))&amp;"","")</f>
        <v>Imprisonment not less than 7 years</v>
      </c>
      <c r="G4013" s="10" t="str">
        <f aca="false">IFERROR(INDEX(Section_Master!$E$2:$E$477,MATCH($E4013,Section_Master!$A$2:$A$477,0))&amp;"","")</f>
        <v>Yes</v>
      </c>
      <c r="H4013" s="10" t="str">
        <f aca="false">IFERROR(INDEX(Section_Master!$F$2:$F$477,MATCH($E4013,Section_Master!$A$2:$A$477,0))&amp;"","")</f>
        <v>No</v>
      </c>
      <c r="I4013" s="10" t="str">
        <f aca="false">IFERROR(INDEX(Section_Master!$G$2:$G$477,MATCH($E4013,Section_Master!$A$2:$A$477,0))&amp;"","")</f>
        <v>No</v>
      </c>
      <c r="J4013" s="10" t="s">
        <v>58</v>
      </c>
      <c r="K4013" s="8" t="s">
        <v>9394</v>
      </c>
    </row>
    <row r="4014" customFormat="false" ht="34.5" hidden="false" customHeight="true" outlineLevel="0" collapsed="false">
      <c r="A4014" s="10" t="s">
        <v>9401</v>
      </c>
      <c r="B4014" s="10" t="s">
        <v>45</v>
      </c>
      <c r="C4014" s="8" t="s">
        <v>9392</v>
      </c>
      <c r="D4014" s="8" t="s">
        <v>9402</v>
      </c>
      <c r="E4014" s="11" t="n">
        <v>311</v>
      </c>
      <c r="F4014" s="8" t="str">
        <f aca="false">IFERROR(INDEX(Section_Master!$D$2:$D$477,MATCH($E4014,Section_Master!$A$2:$A$477,0))&amp;"","")</f>
        <v>Imprisonment not less than 7 years</v>
      </c>
      <c r="G4014" s="10" t="str">
        <f aca="false">IFERROR(INDEX(Section_Master!$E$2:$E$477,MATCH($E4014,Section_Master!$A$2:$A$477,0))&amp;"","")</f>
        <v>Yes</v>
      </c>
      <c r="H4014" s="10" t="str">
        <f aca="false">IFERROR(INDEX(Section_Master!$F$2:$F$477,MATCH($E4014,Section_Master!$A$2:$A$477,0))&amp;"","")</f>
        <v>No</v>
      </c>
      <c r="I4014" s="10" t="str">
        <f aca="false">IFERROR(INDEX(Section_Master!$G$2:$G$477,MATCH($E4014,Section_Master!$A$2:$A$477,0))&amp;"","")</f>
        <v>No</v>
      </c>
      <c r="J4014" s="10" t="s">
        <v>61</v>
      </c>
      <c r="K4014" s="8" t="s">
        <v>9394</v>
      </c>
    </row>
    <row r="4015" customFormat="false" ht="34.5" hidden="false" customHeight="true" outlineLevel="0" collapsed="false">
      <c r="A4015" s="10" t="s">
        <v>9403</v>
      </c>
      <c r="B4015" s="10" t="s">
        <v>45</v>
      </c>
      <c r="C4015" s="8" t="s">
        <v>9392</v>
      </c>
      <c r="D4015" s="8" t="s">
        <v>9404</v>
      </c>
      <c r="E4015" s="11" t="n">
        <v>311</v>
      </c>
      <c r="F4015" s="8" t="str">
        <f aca="false">IFERROR(INDEX(Section_Master!$D$2:$D$477,MATCH($E4015,Section_Master!$A$2:$A$477,0))&amp;"","")</f>
        <v>Imprisonment not less than 7 years</v>
      </c>
      <c r="G4015" s="10" t="str">
        <f aca="false">IFERROR(INDEX(Section_Master!$E$2:$E$477,MATCH($E4015,Section_Master!$A$2:$A$477,0))&amp;"","")</f>
        <v>Yes</v>
      </c>
      <c r="H4015" s="10" t="str">
        <f aca="false">IFERROR(INDEX(Section_Master!$F$2:$F$477,MATCH($E4015,Section_Master!$A$2:$A$477,0))&amp;"","")</f>
        <v>No</v>
      </c>
      <c r="I4015" s="10" t="str">
        <f aca="false">IFERROR(INDEX(Section_Master!$G$2:$G$477,MATCH($E4015,Section_Master!$A$2:$A$477,0))&amp;"","")</f>
        <v>No</v>
      </c>
      <c r="J4015" s="10" t="s">
        <v>64</v>
      </c>
      <c r="K4015" s="8" t="s">
        <v>9394</v>
      </c>
    </row>
    <row r="4016" customFormat="false" ht="45.75" hidden="false" customHeight="true" outlineLevel="0" collapsed="false">
      <c r="A4016" s="10" t="s">
        <v>9405</v>
      </c>
      <c r="B4016" s="10" t="s">
        <v>45</v>
      </c>
      <c r="C4016" s="8" t="s">
        <v>9406</v>
      </c>
      <c r="D4016" s="8" t="s">
        <v>9407</v>
      </c>
      <c r="E4016" s="11" t="n">
        <v>312</v>
      </c>
      <c r="F4016" s="8" t="str">
        <f aca="false">IFERROR(INDEX(Section_Master!$D$2:$D$477,MATCH($E4016,Section_Master!$A$2:$A$477,0))&amp;"","")</f>
        <v>Imprisonment not less than 7 years</v>
      </c>
      <c r="G4016" s="10" t="str">
        <f aca="false">IFERROR(INDEX(Section_Master!$E$2:$E$477,MATCH($E4016,Section_Master!$A$2:$A$477,0))&amp;"","")</f>
        <v>Yes</v>
      </c>
      <c r="H4016" s="10" t="str">
        <f aca="false">IFERROR(INDEX(Section_Master!$F$2:$F$477,MATCH($E4016,Section_Master!$A$2:$A$477,0))&amp;"","")</f>
        <v>No</v>
      </c>
      <c r="I4016" s="10" t="str">
        <f aca="false">IFERROR(INDEX(Section_Master!$G$2:$G$477,MATCH($E4016,Section_Master!$A$2:$A$477,0))&amp;"","")</f>
        <v>No</v>
      </c>
      <c r="J4016" s="10" t="s">
        <v>48</v>
      </c>
      <c r="K4016" s="8" t="s">
        <v>9408</v>
      </c>
    </row>
    <row r="4017" customFormat="false" ht="34.5" hidden="false" customHeight="true" outlineLevel="0" collapsed="false">
      <c r="A4017" s="10" t="s">
        <v>9409</v>
      </c>
      <c r="B4017" s="10" t="s">
        <v>45</v>
      </c>
      <c r="C4017" s="8" t="s">
        <v>9406</v>
      </c>
      <c r="D4017" s="8" t="s">
        <v>9410</v>
      </c>
      <c r="E4017" s="11" t="n">
        <v>312</v>
      </c>
      <c r="F4017" s="8" t="str">
        <f aca="false">IFERROR(INDEX(Section_Master!$D$2:$D$477,MATCH($E4017,Section_Master!$A$2:$A$477,0))&amp;"","")</f>
        <v>Imprisonment not less than 7 years</v>
      </c>
      <c r="G4017" s="10" t="str">
        <f aca="false">IFERROR(INDEX(Section_Master!$E$2:$E$477,MATCH($E4017,Section_Master!$A$2:$A$477,0))&amp;"","")</f>
        <v>Yes</v>
      </c>
      <c r="H4017" s="10" t="str">
        <f aca="false">IFERROR(INDEX(Section_Master!$F$2:$F$477,MATCH($E4017,Section_Master!$A$2:$A$477,0))&amp;"","")</f>
        <v>No</v>
      </c>
      <c r="I4017" s="10" t="str">
        <f aca="false">IFERROR(INDEX(Section_Master!$G$2:$G$477,MATCH($E4017,Section_Master!$A$2:$A$477,0))&amp;"","")</f>
        <v>No</v>
      </c>
      <c r="J4017" s="10" t="s">
        <v>52</v>
      </c>
      <c r="K4017" s="8" t="s">
        <v>9408</v>
      </c>
    </row>
    <row r="4018" customFormat="false" ht="34.5" hidden="false" customHeight="true" outlineLevel="0" collapsed="false">
      <c r="A4018" s="10" t="s">
        <v>9411</v>
      </c>
      <c r="B4018" s="10" t="s">
        <v>45</v>
      </c>
      <c r="C4018" s="8" t="s">
        <v>9406</v>
      </c>
      <c r="D4018" s="8" t="s">
        <v>9412</v>
      </c>
      <c r="E4018" s="11" t="n">
        <v>312</v>
      </c>
      <c r="F4018" s="8" t="str">
        <f aca="false">IFERROR(INDEX(Section_Master!$D$2:$D$477,MATCH($E4018,Section_Master!$A$2:$A$477,0))&amp;"","")</f>
        <v>Imprisonment not less than 7 years</v>
      </c>
      <c r="G4018" s="10" t="str">
        <f aca="false">IFERROR(INDEX(Section_Master!$E$2:$E$477,MATCH($E4018,Section_Master!$A$2:$A$477,0))&amp;"","")</f>
        <v>Yes</v>
      </c>
      <c r="H4018" s="10" t="str">
        <f aca="false">IFERROR(INDEX(Section_Master!$F$2:$F$477,MATCH($E4018,Section_Master!$A$2:$A$477,0))&amp;"","")</f>
        <v>No</v>
      </c>
      <c r="I4018" s="10" t="str">
        <f aca="false">IFERROR(INDEX(Section_Master!$G$2:$G$477,MATCH($E4018,Section_Master!$A$2:$A$477,0))&amp;"","")</f>
        <v>No</v>
      </c>
      <c r="J4018" s="10" t="s">
        <v>55</v>
      </c>
      <c r="K4018" s="8" t="s">
        <v>9408</v>
      </c>
    </row>
    <row r="4019" customFormat="false" ht="23.25" hidden="false" customHeight="true" outlineLevel="0" collapsed="false">
      <c r="A4019" s="10" t="s">
        <v>9413</v>
      </c>
      <c r="B4019" s="10" t="s">
        <v>45</v>
      </c>
      <c r="C4019" s="8" t="s">
        <v>9406</v>
      </c>
      <c r="D4019" s="8" t="s">
        <v>9414</v>
      </c>
      <c r="E4019" s="11" t="n">
        <v>312</v>
      </c>
      <c r="F4019" s="8" t="str">
        <f aca="false">IFERROR(INDEX(Section_Master!$D$2:$D$477,MATCH($E4019,Section_Master!$A$2:$A$477,0))&amp;"","")</f>
        <v>Imprisonment not less than 7 years</v>
      </c>
      <c r="G4019" s="10" t="str">
        <f aca="false">IFERROR(INDEX(Section_Master!$E$2:$E$477,MATCH($E4019,Section_Master!$A$2:$A$477,0))&amp;"","")</f>
        <v>Yes</v>
      </c>
      <c r="H4019" s="10" t="str">
        <f aca="false">IFERROR(INDEX(Section_Master!$F$2:$F$477,MATCH($E4019,Section_Master!$A$2:$A$477,0))&amp;"","")</f>
        <v>No</v>
      </c>
      <c r="I4019" s="10" t="str">
        <f aca="false">IFERROR(INDEX(Section_Master!$G$2:$G$477,MATCH($E4019,Section_Master!$A$2:$A$477,0))&amp;"","")</f>
        <v>No</v>
      </c>
      <c r="J4019" s="10" t="s">
        <v>58</v>
      </c>
      <c r="K4019" s="8" t="s">
        <v>9408</v>
      </c>
    </row>
    <row r="4020" customFormat="false" ht="34.5" hidden="false" customHeight="true" outlineLevel="0" collapsed="false">
      <c r="A4020" s="10" t="s">
        <v>9415</v>
      </c>
      <c r="B4020" s="10" t="s">
        <v>45</v>
      </c>
      <c r="C4020" s="8" t="s">
        <v>9406</v>
      </c>
      <c r="D4020" s="8" t="s">
        <v>9416</v>
      </c>
      <c r="E4020" s="11" t="n">
        <v>312</v>
      </c>
      <c r="F4020" s="8" t="str">
        <f aca="false">IFERROR(INDEX(Section_Master!$D$2:$D$477,MATCH($E4020,Section_Master!$A$2:$A$477,0))&amp;"","")</f>
        <v>Imprisonment not less than 7 years</v>
      </c>
      <c r="G4020" s="10" t="str">
        <f aca="false">IFERROR(INDEX(Section_Master!$E$2:$E$477,MATCH($E4020,Section_Master!$A$2:$A$477,0))&amp;"","")</f>
        <v>Yes</v>
      </c>
      <c r="H4020" s="10" t="str">
        <f aca="false">IFERROR(INDEX(Section_Master!$F$2:$F$477,MATCH($E4020,Section_Master!$A$2:$A$477,0))&amp;"","")</f>
        <v>No</v>
      </c>
      <c r="I4020" s="10" t="str">
        <f aca="false">IFERROR(INDEX(Section_Master!$G$2:$G$477,MATCH($E4020,Section_Master!$A$2:$A$477,0))&amp;"","")</f>
        <v>No</v>
      </c>
      <c r="J4020" s="10" t="s">
        <v>61</v>
      </c>
      <c r="K4020" s="8" t="s">
        <v>9408</v>
      </c>
    </row>
    <row r="4021" customFormat="false" ht="45.75" hidden="false" customHeight="true" outlineLevel="0" collapsed="false">
      <c r="A4021" s="10" t="s">
        <v>9417</v>
      </c>
      <c r="B4021" s="10" t="s">
        <v>45</v>
      </c>
      <c r="C4021" s="8" t="s">
        <v>9406</v>
      </c>
      <c r="D4021" s="8" t="s">
        <v>9418</v>
      </c>
      <c r="E4021" s="11" t="n">
        <v>312</v>
      </c>
      <c r="F4021" s="8" t="str">
        <f aca="false">IFERROR(INDEX(Section_Master!$D$2:$D$477,MATCH($E4021,Section_Master!$A$2:$A$477,0))&amp;"","")</f>
        <v>Imprisonment not less than 7 years</v>
      </c>
      <c r="G4021" s="10" t="str">
        <f aca="false">IFERROR(INDEX(Section_Master!$E$2:$E$477,MATCH($E4021,Section_Master!$A$2:$A$477,0))&amp;"","")</f>
        <v>Yes</v>
      </c>
      <c r="H4021" s="10" t="str">
        <f aca="false">IFERROR(INDEX(Section_Master!$F$2:$F$477,MATCH($E4021,Section_Master!$A$2:$A$477,0))&amp;"","")</f>
        <v>No</v>
      </c>
      <c r="I4021" s="10" t="str">
        <f aca="false">IFERROR(INDEX(Section_Master!$G$2:$G$477,MATCH($E4021,Section_Master!$A$2:$A$477,0))&amp;"","")</f>
        <v>No</v>
      </c>
      <c r="J4021" s="10" t="s">
        <v>64</v>
      </c>
      <c r="K4021" s="8" t="s">
        <v>9408</v>
      </c>
    </row>
    <row r="4022" customFormat="false" ht="34.5" hidden="false" customHeight="true" outlineLevel="0" collapsed="false">
      <c r="A4022" s="10" t="s">
        <v>9419</v>
      </c>
      <c r="B4022" s="10" t="s">
        <v>45</v>
      </c>
      <c r="C4022" s="8" t="s">
        <v>9420</v>
      </c>
      <c r="D4022" s="8" t="s">
        <v>9421</v>
      </c>
      <c r="E4022" s="11" t="n">
        <v>313</v>
      </c>
      <c r="F4022" s="8" t="str">
        <f aca="false">IFERROR(INDEX(Section_Master!$D$2:$D$477,MATCH($E4022,Section_Master!$A$2:$A$477,0))&amp;"","")</f>
        <v>Rigorous imprisonment for life, or up to 10 years, and fine</v>
      </c>
      <c r="G4022" s="10" t="str">
        <f aca="false">IFERROR(INDEX(Section_Master!$E$2:$E$477,MATCH($E4022,Section_Master!$A$2:$A$477,0))&amp;"","")</f>
        <v>Yes</v>
      </c>
      <c r="H4022" s="10" t="str">
        <f aca="false">IFERROR(INDEX(Section_Master!$F$2:$F$477,MATCH($E4022,Section_Master!$A$2:$A$477,0))&amp;"","")</f>
        <v>No</v>
      </c>
      <c r="I4022" s="10" t="str">
        <f aca="false">IFERROR(INDEX(Section_Master!$G$2:$G$477,MATCH($E4022,Section_Master!$A$2:$A$477,0))&amp;"","")</f>
        <v>No</v>
      </c>
      <c r="J4022" s="10" t="s">
        <v>48</v>
      </c>
      <c r="K4022" s="8" t="s">
        <v>9422</v>
      </c>
    </row>
    <row r="4023" customFormat="false" ht="34.5" hidden="false" customHeight="true" outlineLevel="0" collapsed="false">
      <c r="A4023" s="10" t="s">
        <v>9423</v>
      </c>
      <c r="B4023" s="10" t="s">
        <v>45</v>
      </c>
      <c r="C4023" s="8" t="s">
        <v>9420</v>
      </c>
      <c r="D4023" s="8" t="s">
        <v>9424</v>
      </c>
      <c r="E4023" s="11" t="n">
        <v>313</v>
      </c>
      <c r="F4023" s="8" t="str">
        <f aca="false">IFERROR(INDEX(Section_Master!$D$2:$D$477,MATCH($E4023,Section_Master!$A$2:$A$477,0))&amp;"","")</f>
        <v>Rigorous imprisonment for life, or up to 10 years, and fine</v>
      </c>
      <c r="G4023" s="10" t="str">
        <f aca="false">IFERROR(INDEX(Section_Master!$E$2:$E$477,MATCH($E4023,Section_Master!$A$2:$A$477,0))&amp;"","")</f>
        <v>Yes</v>
      </c>
      <c r="H4023" s="10" t="str">
        <f aca="false">IFERROR(INDEX(Section_Master!$F$2:$F$477,MATCH($E4023,Section_Master!$A$2:$A$477,0))&amp;"","")</f>
        <v>No</v>
      </c>
      <c r="I4023" s="10" t="str">
        <f aca="false">IFERROR(INDEX(Section_Master!$G$2:$G$477,MATCH($E4023,Section_Master!$A$2:$A$477,0))&amp;"","")</f>
        <v>No</v>
      </c>
      <c r="J4023" s="10" t="s">
        <v>52</v>
      </c>
      <c r="K4023" s="8" t="s">
        <v>9422</v>
      </c>
    </row>
    <row r="4024" customFormat="false" ht="45.75" hidden="false" customHeight="true" outlineLevel="0" collapsed="false">
      <c r="A4024" s="10" t="s">
        <v>9425</v>
      </c>
      <c r="B4024" s="10" t="s">
        <v>45</v>
      </c>
      <c r="C4024" s="8" t="s">
        <v>9420</v>
      </c>
      <c r="D4024" s="8" t="s">
        <v>9426</v>
      </c>
      <c r="E4024" s="11" t="n">
        <v>313</v>
      </c>
      <c r="F4024" s="8" t="str">
        <f aca="false">IFERROR(INDEX(Section_Master!$D$2:$D$477,MATCH($E4024,Section_Master!$A$2:$A$477,0))&amp;"","")</f>
        <v>Rigorous imprisonment for life, or up to 10 years, and fine</v>
      </c>
      <c r="G4024" s="10" t="str">
        <f aca="false">IFERROR(INDEX(Section_Master!$E$2:$E$477,MATCH($E4024,Section_Master!$A$2:$A$477,0))&amp;"","")</f>
        <v>Yes</v>
      </c>
      <c r="H4024" s="10" t="str">
        <f aca="false">IFERROR(INDEX(Section_Master!$F$2:$F$477,MATCH($E4024,Section_Master!$A$2:$A$477,0))&amp;"","")</f>
        <v>No</v>
      </c>
      <c r="I4024" s="10" t="str">
        <f aca="false">IFERROR(INDEX(Section_Master!$G$2:$G$477,MATCH($E4024,Section_Master!$A$2:$A$477,0))&amp;"","")</f>
        <v>No</v>
      </c>
      <c r="J4024" s="10" t="s">
        <v>55</v>
      </c>
      <c r="K4024" s="8" t="s">
        <v>9422</v>
      </c>
    </row>
    <row r="4025" customFormat="false" ht="23.25" hidden="false" customHeight="true" outlineLevel="0" collapsed="false">
      <c r="A4025" s="10" t="s">
        <v>9427</v>
      </c>
      <c r="B4025" s="10" t="s">
        <v>45</v>
      </c>
      <c r="C4025" s="8" t="s">
        <v>9420</v>
      </c>
      <c r="D4025" s="8" t="s">
        <v>9428</v>
      </c>
      <c r="E4025" s="11" t="n">
        <v>313</v>
      </c>
      <c r="F4025" s="8" t="str">
        <f aca="false">IFERROR(INDEX(Section_Master!$D$2:$D$477,MATCH($E4025,Section_Master!$A$2:$A$477,0))&amp;"","")</f>
        <v>Rigorous imprisonment for life, or up to 10 years, and fine</v>
      </c>
      <c r="G4025" s="10" t="str">
        <f aca="false">IFERROR(INDEX(Section_Master!$E$2:$E$477,MATCH($E4025,Section_Master!$A$2:$A$477,0))&amp;"","")</f>
        <v>Yes</v>
      </c>
      <c r="H4025" s="10" t="str">
        <f aca="false">IFERROR(INDEX(Section_Master!$F$2:$F$477,MATCH($E4025,Section_Master!$A$2:$A$477,0))&amp;"","")</f>
        <v>No</v>
      </c>
      <c r="I4025" s="10" t="str">
        <f aca="false">IFERROR(INDEX(Section_Master!$G$2:$G$477,MATCH($E4025,Section_Master!$A$2:$A$477,0))&amp;"","")</f>
        <v>No</v>
      </c>
      <c r="J4025" s="10" t="s">
        <v>58</v>
      </c>
      <c r="K4025" s="8" t="s">
        <v>9422</v>
      </c>
    </row>
    <row r="4026" customFormat="false" ht="34.5" hidden="false" customHeight="true" outlineLevel="0" collapsed="false">
      <c r="A4026" s="10" t="s">
        <v>9429</v>
      </c>
      <c r="B4026" s="10" t="s">
        <v>45</v>
      </c>
      <c r="C4026" s="8" t="s">
        <v>9420</v>
      </c>
      <c r="D4026" s="8" t="s">
        <v>9430</v>
      </c>
      <c r="E4026" s="11" t="n">
        <v>313</v>
      </c>
      <c r="F4026" s="8" t="str">
        <f aca="false">IFERROR(INDEX(Section_Master!$D$2:$D$477,MATCH($E4026,Section_Master!$A$2:$A$477,0))&amp;"","")</f>
        <v>Rigorous imprisonment for life, or up to 10 years, and fine</v>
      </c>
      <c r="G4026" s="10" t="str">
        <f aca="false">IFERROR(INDEX(Section_Master!$E$2:$E$477,MATCH($E4026,Section_Master!$A$2:$A$477,0))&amp;"","")</f>
        <v>Yes</v>
      </c>
      <c r="H4026" s="10" t="str">
        <f aca="false">IFERROR(INDEX(Section_Master!$F$2:$F$477,MATCH($E4026,Section_Master!$A$2:$A$477,0))&amp;"","")</f>
        <v>No</v>
      </c>
      <c r="I4026" s="10" t="str">
        <f aca="false">IFERROR(INDEX(Section_Master!$G$2:$G$477,MATCH($E4026,Section_Master!$A$2:$A$477,0))&amp;"","")</f>
        <v>No</v>
      </c>
      <c r="J4026" s="10" t="s">
        <v>61</v>
      </c>
      <c r="K4026" s="8" t="s">
        <v>9422</v>
      </c>
    </row>
    <row r="4027" customFormat="false" ht="45.75" hidden="false" customHeight="true" outlineLevel="0" collapsed="false">
      <c r="A4027" s="10" t="s">
        <v>9431</v>
      </c>
      <c r="B4027" s="10" t="s">
        <v>45</v>
      </c>
      <c r="C4027" s="8" t="s">
        <v>9420</v>
      </c>
      <c r="D4027" s="8" t="s">
        <v>9432</v>
      </c>
      <c r="E4027" s="11" t="n">
        <v>313</v>
      </c>
      <c r="F4027" s="8" t="str">
        <f aca="false">IFERROR(INDEX(Section_Master!$D$2:$D$477,MATCH($E4027,Section_Master!$A$2:$A$477,0))&amp;"","")</f>
        <v>Rigorous imprisonment for life, or up to 10 years, and fine</v>
      </c>
      <c r="G4027" s="10" t="str">
        <f aca="false">IFERROR(INDEX(Section_Master!$E$2:$E$477,MATCH($E4027,Section_Master!$A$2:$A$477,0))&amp;"","")</f>
        <v>Yes</v>
      </c>
      <c r="H4027" s="10" t="str">
        <f aca="false">IFERROR(INDEX(Section_Master!$F$2:$F$477,MATCH($E4027,Section_Master!$A$2:$A$477,0))&amp;"","")</f>
        <v>No</v>
      </c>
      <c r="I4027" s="10" t="str">
        <f aca="false">IFERROR(INDEX(Section_Master!$G$2:$G$477,MATCH($E4027,Section_Master!$A$2:$A$477,0))&amp;"","")</f>
        <v>No</v>
      </c>
      <c r="J4027" s="10" t="s">
        <v>64</v>
      </c>
      <c r="K4027" s="8" t="s">
        <v>9422</v>
      </c>
    </row>
    <row r="4028" customFormat="false" ht="34.5" hidden="false" customHeight="true" outlineLevel="0" collapsed="false">
      <c r="A4028" s="10" t="s">
        <v>9433</v>
      </c>
      <c r="B4028" s="10" t="s">
        <v>45</v>
      </c>
      <c r="C4028" s="8" t="s">
        <v>9434</v>
      </c>
      <c r="D4028" s="8" t="s">
        <v>9435</v>
      </c>
      <c r="E4028" s="11" t="n">
        <v>314</v>
      </c>
      <c r="F4028" s="8" t="str">
        <f aca="false">IFERROR(INDEX(Section_Master!$D$2:$D$477,MATCH($E4028,Section_Master!$A$2:$A$477,0))&amp;"","")</f>
        <v>Imprisonment 6 months to 2 years and fine</v>
      </c>
      <c r="G4028" s="10" t="str">
        <f aca="false">IFERROR(INDEX(Section_Master!$E$2:$E$477,MATCH($E4028,Section_Master!$A$2:$A$477,0))&amp;"","")</f>
        <v>No</v>
      </c>
      <c r="H4028" s="10" t="str">
        <f aca="false">IFERROR(INDEX(Section_Master!$F$2:$F$477,MATCH($E4028,Section_Master!$A$2:$A$477,0))&amp;"","")</f>
        <v>Yes</v>
      </c>
      <c r="I4028" s="10" t="str">
        <f aca="false">IFERROR(INDEX(Section_Master!$G$2:$G$477,MATCH($E4028,Section_Master!$A$2:$A$477,0))&amp;"","")</f>
        <v>With court permission</v>
      </c>
      <c r="J4028" s="10" t="s">
        <v>48</v>
      </c>
      <c r="K4028" s="8" t="s">
        <v>9436</v>
      </c>
    </row>
    <row r="4029" customFormat="false" ht="34.5" hidden="false" customHeight="true" outlineLevel="0" collapsed="false">
      <c r="A4029" s="10" t="s">
        <v>9437</v>
      </c>
      <c r="B4029" s="10" t="s">
        <v>45</v>
      </c>
      <c r="C4029" s="8" t="s">
        <v>9434</v>
      </c>
      <c r="D4029" s="8" t="s">
        <v>9438</v>
      </c>
      <c r="E4029" s="11" t="n">
        <v>314</v>
      </c>
      <c r="F4029" s="8" t="str">
        <f aca="false">IFERROR(INDEX(Section_Master!$D$2:$D$477,MATCH($E4029,Section_Master!$A$2:$A$477,0))&amp;"","")</f>
        <v>Imprisonment 6 months to 2 years and fine</v>
      </c>
      <c r="G4029" s="10" t="str">
        <f aca="false">IFERROR(INDEX(Section_Master!$E$2:$E$477,MATCH($E4029,Section_Master!$A$2:$A$477,0))&amp;"","")</f>
        <v>No</v>
      </c>
      <c r="H4029" s="10" t="str">
        <f aca="false">IFERROR(INDEX(Section_Master!$F$2:$F$477,MATCH($E4029,Section_Master!$A$2:$A$477,0))&amp;"","")</f>
        <v>Yes</v>
      </c>
      <c r="I4029" s="10" t="str">
        <f aca="false">IFERROR(INDEX(Section_Master!$G$2:$G$477,MATCH($E4029,Section_Master!$A$2:$A$477,0))&amp;"","")</f>
        <v>With court permission</v>
      </c>
      <c r="J4029" s="10" t="s">
        <v>52</v>
      </c>
      <c r="K4029" s="8" t="s">
        <v>9436</v>
      </c>
    </row>
    <row r="4030" customFormat="false" ht="34.5" hidden="false" customHeight="true" outlineLevel="0" collapsed="false">
      <c r="A4030" s="10" t="s">
        <v>9439</v>
      </c>
      <c r="B4030" s="10" t="s">
        <v>45</v>
      </c>
      <c r="C4030" s="8" t="s">
        <v>9434</v>
      </c>
      <c r="D4030" s="8" t="s">
        <v>9440</v>
      </c>
      <c r="E4030" s="11" t="n">
        <v>314</v>
      </c>
      <c r="F4030" s="8" t="str">
        <f aca="false">IFERROR(INDEX(Section_Master!$D$2:$D$477,MATCH($E4030,Section_Master!$A$2:$A$477,0))&amp;"","")</f>
        <v>Imprisonment 6 months to 2 years and fine</v>
      </c>
      <c r="G4030" s="10" t="str">
        <f aca="false">IFERROR(INDEX(Section_Master!$E$2:$E$477,MATCH($E4030,Section_Master!$A$2:$A$477,0))&amp;"","")</f>
        <v>No</v>
      </c>
      <c r="H4030" s="10" t="str">
        <f aca="false">IFERROR(INDEX(Section_Master!$F$2:$F$477,MATCH($E4030,Section_Master!$A$2:$A$477,0))&amp;"","")</f>
        <v>Yes</v>
      </c>
      <c r="I4030" s="10" t="str">
        <f aca="false">IFERROR(INDEX(Section_Master!$G$2:$G$477,MATCH($E4030,Section_Master!$A$2:$A$477,0))&amp;"","")</f>
        <v>With court permission</v>
      </c>
      <c r="J4030" s="10" t="s">
        <v>55</v>
      </c>
      <c r="K4030" s="8" t="s">
        <v>9436</v>
      </c>
    </row>
    <row r="4031" customFormat="false" ht="23.25" hidden="false" customHeight="true" outlineLevel="0" collapsed="false">
      <c r="A4031" s="10" t="s">
        <v>9441</v>
      </c>
      <c r="B4031" s="10" t="s">
        <v>45</v>
      </c>
      <c r="C4031" s="8" t="s">
        <v>9434</v>
      </c>
      <c r="D4031" s="8" t="s">
        <v>9442</v>
      </c>
      <c r="E4031" s="11" t="n">
        <v>314</v>
      </c>
      <c r="F4031" s="8" t="str">
        <f aca="false">IFERROR(INDEX(Section_Master!$D$2:$D$477,MATCH($E4031,Section_Master!$A$2:$A$477,0))&amp;"","")</f>
        <v>Imprisonment 6 months to 2 years and fine</v>
      </c>
      <c r="G4031" s="10" t="str">
        <f aca="false">IFERROR(INDEX(Section_Master!$E$2:$E$477,MATCH($E4031,Section_Master!$A$2:$A$477,0))&amp;"","")</f>
        <v>No</v>
      </c>
      <c r="H4031" s="10" t="str">
        <f aca="false">IFERROR(INDEX(Section_Master!$F$2:$F$477,MATCH($E4031,Section_Master!$A$2:$A$477,0))&amp;"","")</f>
        <v>Yes</v>
      </c>
      <c r="I4031" s="10" t="str">
        <f aca="false">IFERROR(INDEX(Section_Master!$G$2:$G$477,MATCH($E4031,Section_Master!$A$2:$A$477,0))&amp;"","")</f>
        <v>With court permission</v>
      </c>
      <c r="J4031" s="10" t="s">
        <v>58</v>
      </c>
      <c r="K4031" s="8" t="s">
        <v>9436</v>
      </c>
    </row>
    <row r="4032" customFormat="false" ht="34.5" hidden="false" customHeight="true" outlineLevel="0" collapsed="false">
      <c r="A4032" s="10" t="s">
        <v>9443</v>
      </c>
      <c r="B4032" s="10" t="s">
        <v>45</v>
      </c>
      <c r="C4032" s="8" t="s">
        <v>9434</v>
      </c>
      <c r="D4032" s="8" t="s">
        <v>9444</v>
      </c>
      <c r="E4032" s="11" t="n">
        <v>314</v>
      </c>
      <c r="F4032" s="8" t="str">
        <f aca="false">IFERROR(INDEX(Section_Master!$D$2:$D$477,MATCH($E4032,Section_Master!$A$2:$A$477,0))&amp;"","")</f>
        <v>Imprisonment 6 months to 2 years and fine</v>
      </c>
      <c r="G4032" s="10" t="str">
        <f aca="false">IFERROR(INDEX(Section_Master!$E$2:$E$477,MATCH($E4032,Section_Master!$A$2:$A$477,0))&amp;"","")</f>
        <v>No</v>
      </c>
      <c r="H4032" s="10" t="str">
        <f aca="false">IFERROR(INDEX(Section_Master!$F$2:$F$477,MATCH($E4032,Section_Master!$A$2:$A$477,0))&amp;"","")</f>
        <v>Yes</v>
      </c>
      <c r="I4032" s="10" t="str">
        <f aca="false">IFERROR(INDEX(Section_Master!$G$2:$G$477,MATCH($E4032,Section_Master!$A$2:$A$477,0))&amp;"","")</f>
        <v>With court permission</v>
      </c>
      <c r="J4032" s="10" t="s">
        <v>61</v>
      </c>
      <c r="K4032" s="8" t="s">
        <v>9436</v>
      </c>
    </row>
    <row r="4033" customFormat="false" ht="45.75" hidden="false" customHeight="true" outlineLevel="0" collapsed="false">
      <c r="A4033" s="10" t="s">
        <v>9445</v>
      </c>
      <c r="B4033" s="10" t="s">
        <v>45</v>
      </c>
      <c r="C4033" s="8" t="s">
        <v>9434</v>
      </c>
      <c r="D4033" s="8" t="s">
        <v>9446</v>
      </c>
      <c r="E4033" s="11" t="n">
        <v>314</v>
      </c>
      <c r="F4033" s="8" t="str">
        <f aca="false">IFERROR(INDEX(Section_Master!$D$2:$D$477,MATCH($E4033,Section_Master!$A$2:$A$477,0))&amp;"","")</f>
        <v>Imprisonment 6 months to 2 years and fine</v>
      </c>
      <c r="G4033" s="10" t="str">
        <f aca="false">IFERROR(INDEX(Section_Master!$E$2:$E$477,MATCH($E4033,Section_Master!$A$2:$A$477,0))&amp;"","")</f>
        <v>No</v>
      </c>
      <c r="H4033" s="10" t="str">
        <f aca="false">IFERROR(INDEX(Section_Master!$F$2:$F$477,MATCH($E4033,Section_Master!$A$2:$A$477,0))&amp;"","")</f>
        <v>Yes</v>
      </c>
      <c r="I4033" s="10" t="str">
        <f aca="false">IFERROR(INDEX(Section_Master!$G$2:$G$477,MATCH($E4033,Section_Master!$A$2:$A$477,0))&amp;"","")</f>
        <v>With court permission</v>
      </c>
      <c r="J4033" s="10" t="s">
        <v>64</v>
      </c>
      <c r="K4033" s="8" t="s">
        <v>9436</v>
      </c>
    </row>
    <row r="4034" customFormat="false" ht="23.25" hidden="false" customHeight="true" outlineLevel="0" collapsed="false">
      <c r="A4034" s="10" t="s">
        <v>9447</v>
      </c>
      <c r="B4034" s="10" t="s">
        <v>45</v>
      </c>
      <c r="C4034" s="8" t="s">
        <v>9448</v>
      </c>
      <c r="D4034" s="8" t="s">
        <v>9449</v>
      </c>
      <c r="E4034" s="11" t="n">
        <v>315</v>
      </c>
      <c r="F4034" s="8" t="str">
        <f aca="false">IFERROR(INDEX(Section_Master!$D$2:$D$477,MATCH($E4034,Section_Master!$A$2:$A$477,0))&amp;"","")</f>
        <v>Imprisonment up to 3 years and fine; up to 7 years and fine for clerk or servant [s.315]</v>
      </c>
      <c r="G4034" s="10" t="str">
        <f aca="false">IFERROR(INDEX(Section_Master!$E$2:$E$477,MATCH($E4034,Section_Master!$A$2:$A$477,0))&amp;"","")</f>
        <v>No</v>
      </c>
      <c r="H4034" s="10" t="str">
        <f aca="false">IFERROR(INDEX(Section_Master!$F$2:$F$477,MATCH($E4034,Section_Master!$A$2:$A$477,0))&amp;"","")</f>
        <v>No</v>
      </c>
      <c r="I4034" s="10" t="str">
        <f aca="false">IFERROR(INDEX(Section_Master!$G$2:$G$477,MATCH($E4034,Section_Master!$A$2:$A$477,0))&amp;"","")</f>
        <v>With court permission</v>
      </c>
      <c r="J4034" s="10" t="s">
        <v>48</v>
      </c>
      <c r="K4034" s="8" t="s">
        <v>9450</v>
      </c>
    </row>
    <row r="4035" customFormat="false" ht="34.5" hidden="false" customHeight="true" outlineLevel="0" collapsed="false">
      <c r="A4035" s="10" t="s">
        <v>9451</v>
      </c>
      <c r="B4035" s="10" t="s">
        <v>45</v>
      </c>
      <c r="C4035" s="8" t="s">
        <v>9448</v>
      </c>
      <c r="D4035" s="8" t="s">
        <v>9452</v>
      </c>
      <c r="E4035" s="11" t="n">
        <v>315</v>
      </c>
      <c r="F4035" s="8" t="str">
        <f aca="false">IFERROR(INDEX(Section_Master!$D$2:$D$477,MATCH($E4035,Section_Master!$A$2:$A$477,0))&amp;"","")</f>
        <v>Imprisonment up to 3 years and fine; up to 7 years and fine for clerk or servant [s.315]</v>
      </c>
      <c r="G4035" s="10" t="str">
        <f aca="false">IFERROR(INDEX(Section_Master!$E$2:$E$477,MATCH($E4035,Section_Master!$A$2:$A$477,0))&amp;"","")</f>
        <v>No</v>
      </c>
      <c r="H4035" s="10" t="str">
        <f aca="false">IFERROR(INDEX(Section_Master!$F$2:$F$477,MATCH($E4035,Section_Master!$A$2:$A$477,0))&amp;"","")</f>
        <v>No</v>
      </c>
      <c r="I4035" s="10" t="str">
        <f aca="false">IFERROR(INDEX(Section_Master!$G$2:$G$477,MATCH($E4035,Section_Master!$A$2:$A$477,0))&amp;"","")</f>
        <v>With court permission</v>
      </c>
      <c r="J4035" s="10" t="s">
        <v>52</v>
      </c>
      <c r="K4035" s="8" t="s">
        <v>9450</v>
      </c>
    </row>
    <row r="4036" customFormat="false" ht="34.5" hidden="false" customHeight="true" outlineLevel="0" collapsed="false">
      <c r="A4036" s="10" t="s">
        <v>9453</v>
      </c>
      <c r="B4036" s="10" t="s">
        <v>45</v>
      </c>
      <c r="C4036" s="8" t="s">
        <v>9448</v>
      </c>
      <c r="D4036" s="8" t="s">
        <v>9454</v>
      </c>
      <c r="E4036" s="11" t="n">
        <v>315</v>
      </c>
      <c r="F4036" s="8" t="str">
        <f aca="false">IFERROR(INDEX(Section_Master!$D$2:$D$477,MATCH($E4036,Section_Master!$A$2:$A$477,0))&amp;"","")</f>
        <v>Imprisonment up to 3 years and fine; up to 7 years and fine for clerk or servant [s.315]</v>
      </c>
      <c r="G4036" s="10" t="str">
        <f aca="false">IFERROR(INDEX(Section_Master!$E$2:$E$477,MATCH($E4036,Section_Master!$A$2:$A$477,0))&amp;"","")</f>
        <v>No</v>
      </c>
      <c r="H4036" s="10" t="str">
        <f aca="false">IFERROR(INDEX(Section_Master!$F$2:$F$477,MATCH($E4036,Section_Master!$A$2:$A$477,0))&amp;"","")</f>
        <v>No</v>
      </c>
      <c r="I4036" s="10" t="str">
        <f aca="false">IFERROR(INDEX(Section_Master!$G$2:$G$477,MATCH($E4036,Section_Master!$A$2:$A$477,0))&amp;"","")</f>
        <v>With court permission</v>
      </c>
      <c r="J4036" s="10" t="s">
        <v>55</v>
      </c>
      <c r="K4036" s="8" t="s">
        <v>9450</v>
      </c>
    </row>
    <row r="4037" customFormat="false" ht="23.25" hidden="false" customHeight="true" outlineLevel="0" collapsed="false">
      <c r="A4037" s="10" t="s">
        <v>9455</v>
      </c>
      <c r="B4037" s="10" t="s">
        <v>45</v>
      </c>
      <c r="C4037" s="8" t="s">
        <v>9448</v>
      </c>
      <c r="D4037" s="8" t="s">
        <v>9456</v>
      </c>
      <c r="E4037" s="11" t="n">
        <v>315</v>
      </c>
      <c r="F4037" s="8" t="str">
        <f aca="false">IFERROR(INDEX(Section_Master!$D$2:$D$477,MATCH($E4037,Section_Master!$A$2:$A$477,0))&amp;"","")</f>
        <v>Imprisonment up to 3 years and fine; up to 7 years and fine for clerk or servant [s.315]</v>
      </c>
      <c r="G4037" s="10" t="str">
        <f aca="false">IFERROR(INDEX(Section_Master!$E$2:$E$477,MATCH($E4037,Section_Master!$A$2:$A$477,0))&amp;"","")</f>
        <v>No</v>
      </c>
      <c r="H4037" s="10" t="str">
        <f aca="false">IFERROR(INDEX(Section_Master!$F$2:$F$477,MATCH($E4037,Section_Master!$A$2:$A$477,0))&amp;"","")</f>
        <v>No</v>
      </c>
      <c r="I4037" s="10" t="str">
        <f aca="false">IFERROR(INDEX(Section_Master!$G$2:$G$477,MATCH($E4037,Section_Master!$A$2:$A$477,0))&amp;"","")</f>
        <v>With court permission</v>
      </c>
      <c r="J4037" s="10" t="s">
        <v>58</v>
      </c>
      <c r="K4037" s="8" t="s">
        <v>9450</v>
      </c>
    </row>
    <row r="4038" customFormat="false" ht="34.5" hidden="false" customHeight="true" outlineLevel="0" collapsed="false">
      <c r="A4038" s="10" t="s">
        <v>9457</v>
      </c>
      <c r="B4038" s="10" t="s">
        <v>45</v>
      </c>
      <c r="C4038" s="8" t="s">
        <v>9448</v>
      </c>
      <c r="D4038" s="8" t="s">
        <v>9458</v>
      </c>
      <c r="E4038" s="11" t="n">
        <v>315</v>
      </c>
      <c r="F4038" s="8" t="str">
        <f aca="false">IFERROR(INDEX(Section_Master!$D$2:$D$477,MATCH($E4038,Section_Master!$A$2:$A$477,0))&amp;"","")</f>
        <v>Imprisonment up to 3 years and fine; up to 7 years and fine for clerk or servant [s.315]</v>
      </c>
      <c r="G4038" s="10" t="str">
        <f aca="false">IFERROR(INDEX(Section_Master!$E$2:$E$477,MATCH($E4038,Section_Master!$A$2:$A$477,0))&amp;"","")</f>
        <v>No</v>
      </c>
      <c r="H4038" s="10" t="str">
        <f aca="false">IFERROR(INDEX(Section_Master!$F$2:$F$477,MATCH($E4038,Section_Master!$A$2:$A$477,0))&amp;"","")</f>
        <v>No</v>
      </c>
      <c r="I4038" s="10" t="str">
        <f aca="false">IFERROR(INDEX(Section_Master!$G$2:$G$477,MATCH($E4038,Section_Master!$A$2:$A$477,0))&amp;"","")</f>
        <v>With court permission</v>
      </c>
      <c r="J4038" s="10" t="s">
        <v>61</v>
      </c>
      <c r="K4038" s="8" t="s">
        <v>9450</v>
      </c>
    </row>
    <row r="4039" customFormat="false" ht="45.75" hidden="false" customHeight="true" outlineLevel="0" collapsed="false">
      <c r="A4039" s="10" t="s">
        <v>9459</v>
      </c>
      <c r="B4039" s="10" t="s">
        <v>45</v>
      </c>
      <c r="C4039" s="8" t="s">
        <v>9448</v>
      </c>
      <c r="D4039" s="8" t="s">
        <v>9460</v>
      </c>
      <c r="E4039" s="11" t="n">
        <v>315</v>
      </c>
      <c r="F4039" s="8" t="str">
        <f aca="false">IFERROR(INDEX(Section_Master!$D$2:$D$477,MATCH($E4039,Section_Master!$A$2:$A$477,0))&amp;"","")</f>
        <v>Imprisonment up to 3 years and fine; up to 7 years and fine for clerk or servant [s.315]</v>
      </c>
      <c r="G4039" s="10" t="str">
        <f aca="false">IFERROR(INDEX(Section_Master!$E$2:$E$477,MATCH($E4039,Section_Master!$A$2:$A$477,0))&amp;"","")</f>
        <v>No</v>
      </c>
      <c r="H4039" s="10" t="str">
        <f aca="false">IFERROR(INDEX(Section_Master!$F$2:$F$477,MATCH($E4039,Section_Master!$A$2:$A$477,0))&amp;"","")</f>
        <v>No</v>
      </c>
      <c r="I4039" s="10" t="str">
        <f aca="false">IFERROR(INDEX(Section_Master!$G$2:$G$477,MATCH($E4039,Section_Master!$A$2:$A$477,0))&amp;"","")</f>
        <v>With court permission</v>
      </c>
      <c r="J4039" s="10" t="s">
        <v>64</v>
      </c>
      <c r="K4039" s="8" t="s">
        <v>9450</v>
      </c>
    </row>
    <row r="4040" customFormat="false" ht="34.5" hidden="false" customHeight="true" outlineLevel="0" collapsed="false">
      <c r="A4040" s="10" t="s">
        <v>9461</v>
      </c>
      <c r="B4040" s="10" t="s">
        <v>45</v>
      </c>
      <c r="C4040" s="8" t="s">
        <v>9462</v>
      </c>
      <c r="D4040" s="8" t="s">
        <v>9463</v>
      </c>
      <c r="E4040" s="11" t="n">
        <v>316</v>
      </c>
      <c r="F4040" s="8" t="str">
        <f aca="false">IFERROR(INDEX(Section_Master!$D$2:$D$477,MATCH($E4040,Section_Master!$A$2:$A$477,0))&amp;"","")</f>
        <v>Imprisonment up to 5 years, or fine, or both [s.316(2)]</v>
      </c>
      <c r="G4040" s="10" t="str">
        <f aca="false">IFERROR(INDEX(Section_Master!$E$2:$E$477,MATCH($E4040,Section_Master!$A$2:$A$477,0))&amp;"","")</f>
        <v>Yes</v>
      </c>
      <c r="H4040" s="10" t="str">
        <f aca="false">IFERROR(INDEX(Section_Master!$F$2:$F$477,MATCH($E4040,Section_Master!$A$2:$A$477,0))&amp;"","")</f>
        <v>No</v>
      </c>
      <c r="I4040" s="10" t="str">
        <f aca="false">IFERROR(INDEX(Section_Master!$G$2:$G$477,MATCH($E4040,Section_Master!$A$2:$A$477,0))&amp;"","")</f>
        <v>With court permission</v>
      </c>
      <c r="J4040" s="10" t="s">
        <v>48</v>
      </c>
      <c r="K4040" s="8" t="s">
        <v>9464</v>
      </c>
    </row>
    <row r="4041" customFormat="false" ht="34.5" hidden="false" customHeight="true" outlineLevel="0" collapsed="false">
      <c r="A4041" s="10" t="s">
        <v>9465</v>
      </c>
      <c r="B4041" s="10" t="s">
        <v>45</v>
      </c>
      <c r="C4041" s="8" t="s">
        <v>9462</v>
      </c>
      <c r="D4041" s="8" t="s">
        <v>9466</v>
      </c>
      <c r="E4041" s="11" t="n">
        <v>316</v>
      </c>
      <c r="F4041" s="8" t="str">
        <f aca="false">IFERROR(INDEX(Section_Master!$D$2:$D$477,MATCH($E4041,Section_Master!$A$2:$A$477,0))&amp;"","")</f>
        <v>Imprisonment up to 5 years, or fine, or both [s.316(2)]</v>
      </c>
      <c r="G4041" s="10" t="str">
        <f aca="false">IFERROR(INDEX(Section_Master!$E$2:$E$477,MATCH($E4041,Section_Master!$A$2:$A$477,0))&amp;"","")</f>
        <v>Yes</v>
      </c>
      <c r="H4041" s="10" t="str">
        <f aca="false">IFERROR(INDEX(Section_Master!$F$2:$F$477,MATCH($E4041,Section_Master!$A$2:$A$477,0))&amp;"","")</f>
        <v>No</v>
      </c>
      <c r="I4041" s="10" t="str">
        <f aca="false">IFERROR(INDEX(Section_Master!$G$2:$G$477,MATCH($E4041,Section_Master!$A$2:$A$477,0))&amp;"","")</f>
        <v>With court permission</v>
      </c>
      <c r="J4041" s="10" t="s">
        <v>52</v>
      </c>
      <c r="K4041" s="8" t="s">
        <v>9464</v>
      </c>
    </row>
    <row r="4042" customFormat="false" ht="34.5" hidden="false" customHeight="true" outlineLevel="0" collapsed="false">
      <c r="A4042" s="10" t="s">
        <v>9467</v>
      </c>
      <c r="B4042" s="10" t="s">
        <v>45</v>
      </c>
      <c r="C4042" s="8" t="s">
        <v>9462</v>
      </c>
      <c r="D4042" s="8" t="s">
        <v>9468</v>
      </c>
      <c r="E4042" s="11" t="n">
        <v>316</v>
      </c>
      <c r="F4042" s="8" t="str">
        <f aca="false">IFERROR(INDEX(Section_Master!$D$2:$D$477,MATCH($E4042,Section_Master!$A$2:$A$477,0))&amp;"","")</f>
        <v>Imprisonment up to 5 years, or fine, or both [s.316(2)]</v>
      </c>
      <c r="G4042" s="10" t="str">
        <f aca="false">IFERROR(INDEX(Section_Master!$E$2:$E$477,MATCH($E4042,Section_Master!$A$2:$A$477,0))&amp;"","")</f>
        <v>Yes</v>
      </c>
      <c r="H4042" s="10" t="str">
        <f aca="false">IFERROR(INDEX(Section_Master!$F$2:$F$477,MATCH($E4042,Section_Master!$A$2:$A$477,0))&amp;"","")</f>
        <v>No</v>
      </c>
      <c r="I4042" s="10" t="str">
        <f aca="false">IFERROR(INDEX(Section_Master!$G$2:$G$477,MATCH($E4042,Section_Master!$A$2:$A$477,0))&amp;"","")</f>
        <v>With court permission</v>
      </c>
      <c r="J4042" s="10" t="s">
        <v>55</v>
      </c>
      <c r="K4042" s="8" t="s">
        <v>9464</v>
      </c>
    </row>
    <row r="4043" customFormat="false" ht="23.25" hidden="false" customHeight="true" outlineLevel="0" collapsed="false">
      <c r="A4043" s="10" t="s">
        <v>9469</v>
      </c>
      <c r="B4043" s="10" t="s">
        <v>45</v>
      </c>
      <c r="C4043" s="8" t="s">
        <v>9462</v>
      </c>
      <c r="D4043" s="8" t="s">
        <v>9470</v>
      </c>
      <c r="E4043" s="11" t="n">
        <v>316</v>
      </c>
      <c r="F4043" s="8" t="str">
        <f aca="false">IFERROR(INDEX(Section_Master!$D$2:$D$477,MATCH($E4043,Section_Master!$A$2:$A$477,0))&amp;"","")</f>
        <v>Imprisonment up to 5 years, or fine, or both [s.316(2)]</v>
      </c>
      <c r="G4043" s="10" t="str">
        <f aca="false">IFERROR(INDEX(Section_Master!$E$2:$E$477,MATCH($E4043,Section_Master!$A$2:$A$477,0))&amp;"","")</f>
        <v>Yes</v>
      </c>
      <c r="H4043" s="10" t="str">
        <f aca="false">IFERROR(INDEX(Section_Master!$F$2:$F$477,MATCH($E4043,Section_Master!$A$2:$A$477,0))&amp;"","")</f>
        <v>No</v>
      </c>
      <c r="I4043" s="10" t="str">
        <f aca="false">IFERROR(INDEX(Section_Master!$G$2:$G$477,MATCH($E4043,Section_Master!$A$2:$A$477,0))&amp;"","")</f>
        <v>With court permission</v>
      </c>
      <c r="J4043" s="10" t="s">
        <v>58</v>
      </c>
      <c r="K4043" s="8" t="s">
        <v>9464</v>
      </c>
    </row>
    <row r="4044" customFormat="false" ht="34.5" hidden="false" customHeight="true" outlineLevel="0" collapsed="false">
      <c r="A4044" s="10" t="s">
        <v>9471</v>
      </c>
      <c r="B4044" s="10" t="s">
        <v>45</v>
      </c>
      <c r="C4044" s="8" t="s">
        <v>9462</v>
      </c>
      <c r="D4044" s="8" t="s">
        <v>9472</v>
      </c>
      <c r="E4044" s="11" t="n">
        <v>316</v>
      </c>
      <c r="F4044" s="8" t="str">
        <f aca="false">IFERROR(INDEX(Section_Master!$D$2:$D$477,MATCH($E4044,Section_Master!$A$2:$A$477,0))&amp;"","")</f>
        <v>Imprisonment up to 5 years, or fine, or both [s.316(2)]</v>
      </c>
      <c r="G4044" s="10" t="str">
        <f aca="false">IFERROR(INDEX(Section_Master!$E$2:$E$477,MATCH($E4044,Section_Master!$A$2:$A$477,0))&amp;"","")</f>
        <v>Yes</v>
      </c>
      <c r="H4044" s="10" t="str">
        <f aca="false">IFERROR(INDEX(Section_Master!$F$2:$F$477,MATCH($E4044,Section_Master!$A$2:$A$477,0))&amp;"","")</f>
        <v>No</v>
      </c>
      <c r="I4044" s="10" t="str">
        <f aca="false">IFERROR(INDEX(Section_Master!$G$2:$G$477,MATCH($E4044,Section_Master!$A$2:$A$477,0))&amp;"","")</f>
        <v>With court permission</v>
      </c>
      <c r="J4044" s="10" t="s">
        <v>61</v>
      </c>
      <c r="K4044" s="8" t="s">
        <v>9464</v>
      </c>
    </row>
    <row r="4045" customFormat="false" ht="45.75" hidden="false" customHeight="true" outlineLevel="0" collapsed="false">
      <c r="A4045" s="10" t="s">
        <v>9473</v>
      </c>
      <c r="B4045" s="10" t="s">
        <v>45</v>
      </c>
      <c r="C4045" s="8" t="s">
        <v>9462</v>
      </c>
      <c r="D4045" s="8" t="s">
        <v>9474</v>
      </c>
      <c r="E4045" s="11" t="n">
        <v>316</v>
      </c>
      <c r="F4045" s="8" t="str">
        <f aca="false">IFERROR(INDEX(Section_Master!$D$2:$D$477,MATCH($E4045,Section_Master!$A$2:$A$477,0))&amp;"","")</f>
        <v>Imprisonment up to 5 years, or fine, or both [s.316(2)]</v>
      </c>
      <c r="G4045" s="10" t="str">
        <f aca="false">IFERROR(INDEX(Section_Master!$E$2:$E$477,MATCH($E4045,Section_Master!$A$2:$A$477,0))&amp;"","")</f>
        <v>Yes</v>
      </c>
      <c r="H4045" s="10" t="str">
        <f aca="false">IFERROR(INDEX(Section_Master!$F$2:$F$477,MATCH($E4045,Section_Master!$A$2:$A$477,0))&amp;"","")</f>
        <v>No</v>
      </c>
      <c r="I4045" s="10" t="str">
        <f aca="false">IFERROR(INDEX(Section_Master!$G$2:$G$477,MATCH($E4045,Section_Master!$A$2:$A$477,0))&amp;"","")</f>
        <v>With court permission</v>
      </c>
      <c r="J4045" s="10" t="s">
        <v>64</v>
      </c>
      <c r="K4045" s="8" t="s">
        <v>9464</v>
      </c>
    </row>
    <row r="4046" customFormat="false" ht="23.25" hidden="false" customHeight="true" outlineLevel="0" collapsed="false">
      <c r="A4046" s="10" t="s">
        <v>9475</v>
      </c>
      <c r="B4046" s="10" t="s">
        <v>45</v>
      </c>
      <c r="C4046" s="8" t="s">
        <v>9476</v>
      </c>
      <c r="D4046" s="8" t="s">
        <v>9477</v>
      </c>
      <c r="E4046" s="11" t="n">
        <v>317</v>
      </c>
      <c r="F4046" s="8" t="str">
        <f aca="false">IFERROR(INDEX(Section_Master!$D$2:$D$477,MATCH($E4046,Section_Master!$A$2:$A$477,0))&amp;"","")</f>
        <v>Not applicable - no offence or penalty defined here (definition, exception or general provision)</v>
      </c>
      <c r="G4046" s="10" t="str">
        <f aca="false">IFERROR(INDEX(Section_Master!$E$2:$E$477,MATCH($E4046,Section_Master!$A$2:$A$477,0))&amp;"","")</f>
        <v>N/A</v>
      </c>
      <c r="H4046" s="10" t="str">
        <f aca="false">IFERROR(INDEX(Section_Master!$F$2:$F$477,MATCH($E4046,Section_Master!$A$2:$A$477,0))&amp;"","")</f>
        <v>N/A</v>
      </c>
      <c r="I4046" s="10" t="str">
        <f aca="false">IFERROR(INDEX(Section_Master!$G$2:$G$477,MATCH($E4046,Section_Master!$A$2:$A$477,0))&amp;"","")</f>
        <v>N/A</v>
      </c>
      <c r="J4046" s="10" t="s">
        <v>48</v>
      </c>
      <c r="K4046" s="8" t="s">
        <v>9478</v>
      </c>
    </row>
    <row r="4047" customFormat="false" ht="34.5" hidden="false" customHeight="true" outlineLevel="0" collapsed="false">
      <c r="A4047" s="10" t="s">
        <v>9479</v>
      </c>
      <c r="B4047" s="10" t="s">
        <v>45</v>
      </c>
      <c r="C4047" s="8" t="s">
        <v>9476</v>
      </c>
      <c r="D4047" s="8" t="s">
        <v>9480</v>
      </c>
      <c r="E4047" s="11" t="n">
        <v>317</v>
      </c>
      <c r="F4047" s="8" t="str">
        <f aca="false">IFERROR(INDEX(Section_Master!$D$2:$D$477,MATCH($E4047,Section_Master!$A$2:$A$477,0))&amp;"","")</f>
        <v>Not applicable - no offence or penalty defined here (definition, exception or general provision)</v>
      </c>
      <c r="G4047" s="10" t="str">
        <f aca="false">IFERROR(INDEX(Section_Master!$E$2:$E$477,MATCH($E4047,Section_Master!$A$2:$A$477,0))&amp;"","")</f>
        <v>N/A</v>
      </c>
      <c r="H4047" s="10" t="str">
        <f aca="false">IFERROR(INDEX(Section_Master!$F$2:$F$477,MATCH($E4047,Section_Master!$A$2:$A$477,0))&amp;"","")</f>
        <v>N/A</v>
      </c>
      <c r="I4047" s="10" t="str">
        <f aca="false">IFERROR(INDEX(Section_Master!$G$2:$G$477,MATCH($E4047,Section_Master!$A$2:$A$477,0))&amp;"","")</f>
        <v>N/A</v>
      </c>
      <c r="J4047" s="10" t="s">
        <v>52</v>
      </c>
      <c r="K4047" s="8" t="s">
        <v>9478</v>
      </c>
    </row>
    <row r="4048" customFormat="false" ht="34.5" hidden="false" customHeight="true" outlineLevel="0" collapsed="false">
      <c r="A4048" s="10" t="s">
        <v>9481</v>
      </c>
      <c r="B4048" s="10" t="s">
        <v>45</v>
      </c>
      <c r="C4048" s="8" t="s">
        <v>9476</v>
      </c>
      <c r="D4048" s="8" t="s">
        <v>9482</v>
      </c>
      <c r="E4048" s="11" t="n">
        <v>317</v>
      </c>
      <c r="F4048" s="8" t="str">
        <f aca="false">IFERROR(INDEX(Section_Master!$D$2:$D$477,MATCH($E4048,Section_Master!$A$2:$A$477,0))&amp;"","")</f>
        <v>Not applicable - no offence or penalty defined here (definition, exception or general provision)</v>
      </c>
      <c r="G4048" s="10" t="str">
        <f aca="false">IFERROR(INDEX(Section_Master!$E$2:$E$477,MATCH($E4048,Section_Master!$A$2:$A$477,0))&amp;"","")</f>
        <v>N/A</v>
      </c>
      <c r="H4048" s="10" t="str">
        <f aca="false">IFERROR(INDEX(Section_Master!$F$2:$F$477,MATCH($E4048,Section_Master!$A$2:$A$477,0))&amp;"","")</f>
        <v>N/A</v>
      </c>
      <c r="I4048" s="10" t="str">
        <f aca="false">IFERROR(INDEX(Section_Master!$G$2:$G$477,MATCH($E4048,Section_Master!$A$2:$A$477,0))&amp;"","")</f>
        <v>N/A</v>
      </c>
      <c r="J4048" s="10" t="s">
        <v>55</v>
      </c>
      <c r="K4048" s="8" t="s">
        <v>9478</v>
      </c>
    </row>
    <row r="4049" customFormat="false" ht="23.25" hidden="false" customHeight="true" outlineLevel="0" collapsed="false">
      <c r="A4049" s="10" t="s">
        <v>9483</v>
      </c>
      <c r="B4049" s="10" t="s">
        <v>45</v>
      </c>
      <c r="C4049" s="8" t="s">
        <v>9476</v>
      </c>
      <c r="D4049" s="8" t="s">
        <v>9484</v>
      </c>
      <c r="E4049" s="11" t="n">
        <v>317</v>
      </c>
      <c r="F4049" s="8" t="str">
        <f aca="false">IFERROR(INDEX(Section_Master!$D$2:$D$477,MATCH($E4049,Section_Master!$A$2:$A$477,0))&amp;"","")</f>
        <v>Not applicable - no offence or penalty defined here (definition, exception or general provision)</v>
      </c>
      <c r="G4049" s="10" t="str">
        <f aca="false">IFERROR(INDEX(Section_Master!$E$2:$E$477,MATCH($E4049,Section_Master!$A$2:$A$477,0))&amp;"","")</f>
        <v>N/A</v>
      </c>
      <c r="H4049" s="10" t="str">
        <f aca="false">IFERROR(INDEX(Section_Master!$F$2:$F$477,MATCH($E4049,Section_Master!$A$2:$A$477,0))&amp;"","")</f>
        <v>N/A</v>
      </c>
      <c r="I4049" s="10" t="str">
        <f aca="false">IFERROR(INDEX(Section_Master!$G$2:$G$477,MATCH($E4049,Section_Master!$A$2:$A$477,0))&amp;"","")</f>
        <v>N/A</v>
      </c>
      <c r="J4049" s="10" t="s">
        <v>58</v>
      </c>
      <c r="K4049" s="8" t="s">
        <v>9478</v>
      </c>
    </row>
    <row r="4050" customFormat="false" ht="23.25" hidden="false" customHeight="true" outlineLevel="0" collapsed="false">
      <c r="A4050" s="10" t="s">
        <v>9485</v>
      </c>
      <c r="B4050" s="10" t="s">
        <v>45</v>
      </c>
      <c r="C4050" s="8" t="s">
        <v>9476</v>
      </c>
      <c r="D4050" s="8" t="s">
        <v>9486</v>
      </c>
      <c r="E4050" s="11" t="n">
        <v>317</v>
      </c>
      <c r="F4050" s="8" t="str">
        <f aca="false">IFERROR(INDEX(Section_Master!$D$2:$D$477,MATCH($E4050,Section_Master!$A$2:$A$477,0))&amp;"","")</f>
        <v>Not applicable - no offence or penalty defined here (definition, exception or general provision)</v>
      </c>
      <c r="G4050" s="10" t="str">
        <f aca="false">IFERROR(INDEX(Section_Master!$E$2:$E$477,MATCH($E4050,Section_Master!$A$2:$A$477,0))&amp;"","")</f>
        <v>N/A</v>
      </c>
      <c r="H4050" s="10" t="str">
        <f aca="false">IFERROR(INDEX(Section_Master!$F$2:$F$477,MATCH($E4050,Section_Master!$A$2:$A$477,0))&amp;"","")</f>
        <v>N/A</v>
      </c>
      <c r="I4050" s="10" t="str">
        <f aca="false">IFERROR(INDEX(Section_Master!$G$2:$G$477,MATCH($E4050,Section_Master!$A$2:$A$477,0))&amp;"","")</f>
        <v>N/A</v>
      </c>
      <c r="J4050" s="10" t="s">
        <v>61</v>
      </c>
      <c r="K4050" s="8" t="s">
        <v>9478</v>
      </c>
    </row>
    <row r="4051" customFormat="false" ht="45.75" hidden="false" customHeight="true" outlineLevel="0" collapsed="false">
      <c r="A4051" s="10" t="s">
        <v>9487</v>
      </c>
      <c r="B4051" s="10" t="s">
        <v>45</v>
      </c>
      <c r="C4051" s="8" t="s">
        <v>9476</v>
      </c>
      <c r="D4051" s="8" t="s">
        <v>9488</v>
      </c>
      <c r="E4051" s="11" t="n">
        <v>317</v>
      </c>
      <c r="F4051" s="8" t="str">
        <f aca="false">IFERROR(INDEX(Section_Master!$D$2:$D$477,MATCH($E4051,Section_Master!$A$2:$A$477,0))&amp;"","")</f>
        <v>Not applicable - no offence or penalty defined here (definition, exception or general provision)</v>
      </c>
      <c r="G4051" s="10" t="str">
        <f aca="false">IFERROR(INDEX(Section_Master!$E$2:$E$477,MATCH($E4051,Section_Master!$A$2:$A$477,0))&amp;"","")</f>
        <v>N/A</v>
      </c>
      <c r="H4051" s="10" t="str">
        <f aca="false">IFERROR(INDEX(Section_Master!$F$2:$F$477,MATCH($E4051,Section_Master!$A$2:$A$477,0))&amp;"","")</f>
        <v>N/A</v>
      </c>
      <c r="I4051" s="10" t="str">
        <f aca="false">IFERROR(INDEX(Section_Master!$G$2:$G$477,MATCH($E4051,Section_Master!$A$2:$A$477,0))&amp;"","")</f>
        <v>N/A</v>
      </c>
      <c r="J4051" s="10" t="s">
        <v>64</v>
      </c>
      <c r="K4051" s="8" t="s">
        <v>9478</v>
      </c>
    </row>
    <row r="4052" customFormat="false" ht="34.5" hidden="false" customHeight="true" outlineLevel="0" collapsed="false">
      <c r="A4052" s="10" t="s">
        <v>9489</v>
      </c>
      <c r="B4052" s="10" t="s">
        <v>45</v>
      </c>
      <c r="C4052" s="8" t="s">
        <v>9490</v>
      </c>
      <c r="D4052" s="8" t="s">
        <v>9491</v>
      </c>
      <c r="E4052" s="11" t="n">
        <v>318</v>
      </c>
      <c r="F4052" s="8" t="str">
        <f aca="false">IFERROR(INDEX(Section_Master!$D$2:$D$477,MATCH($E4052,Section_Master!$A$2:$A$477,0))&amp;"","")</f>
        <v>Imprisonment up to 7 years and fine [s.318(4)]</v>
      </c>
      <c r="G4052" s="10" t="str">
        <f aca="false">IFERROR(INDEX(Section_Master!$E$2:$E$477,MATCH($E4052,Section_Master!$A$2:$A$477,0))&amp;"","")</f>
        <v>Yes</v>
      </c>
      <c r="H4052" s="10" t="str">
        <f aca="false">IFERROR(INDEX(Section_Master!$F$2:$F$477,MATCH($E4052,Section_Master!$A$2:$A$477,0))&amp;"","")</f>
        <v>No</v>
      </c>
      <c r="I4052" s="10" t="str">
        <f aca="false">IFERROR(INDEX(Section_Master!$G$2:$G$477,MATCH($E4052,Section_Master!$A$2:$A$477,0))&amp;"","")</f>
        <v>With court permission</v>
      </c>
      <c r="J4052" s="10" t="s">
        <v>48</v>
      </c>
      <c r="K4052" s="8" t="s">
        <v>9492</v>
      </c>
    </row>
    <row r="4053" customFormat="false" ht="34.5" hidden="false" customHeight="true" outlineLevel="0" collapsed="false">
      <c r="A4053" s="10" t="s">
        <v>9493</v>
      </c>
      <c r="B4053" s="10" t="s">
        <v>45</v>
      </c>
      <c r="C4053" s="8" t="s">
        <v>9490</v>
      </c>
      <c r="D4053" s="8" t="s">
        <v>9494</v>
      </c>
      <c r="E4053" s="11" t="n">
        <v>318</v>
      </c>
      <c r="F4053" s="8" t="str">
        <f aca="false">IFERROR(INDEX(Section_Master!$D$2:$D$477,MATCH($E4053,Section_Master!$A$2:$A$477,0))&amp;"","")</f>
        <v>Imprisonment up to 7 years and fine [s.318(4)]</v>
      </c>
      <c r="G4053" s="10" t="str">
        <f aca="false">IFERROR(INDEX(Section_Master!$E$2:$E$477,MATCH($E4053,Section_Master!$A$2:$A$477,0))&amp;"","")</f>
        <v>Yes</v>
      </c>
      <c r="H4053" s="10" t="str">
        <f aca="false">IFERROR(INDEX(Section_Master!$F$2:$F$477,MATCH($E4053,Section_Master!$A$2:$A$477,0))&amp;"","")</f>
        <v>No</v>
      </c>
      <c r="I4053" s="10" t="str">
        <f aca="false">IFERROR(INDEX(Section_Master!$G$2:$G$477,MATCH($E4053,Section_Master!$A$2:$A$477,0))&amp;"","")</f>
        <v>With court permission</v>
      </c>
      <c r="J4053" s="10" t="s">
        <v>52</v>
      </c>
      <c r="K4053" s="8" t="s">
        <v>9492</v>
      </c>
    </row>
    <row r="4054" customFormat="false" ht="34.5" hidden="false" customHeight="true" outlineLevel="0" collapsed="false">
      <c r="A4054" s="10" t="s">
        <v>9495</v>
      </c>
      <c r="B4054" s="10" t="s">
        <v>45</v>
      </c>
      <c r="C4054" s="8" t="s">
        <v>9490</v>
      </c>
      <c r="D4054" s="8" t="s">
        <v>9496</v>
      </c>
      <c r="E4054" s="11" t="n">
        <v>318</v>
      </c>
      <c r="F4054" s="8" t="str">
        <f aca="false">IFERROR(INDEX(Section_Master!$D$2:$D$477,MATCH($E4054,Section_Master!$A$2:$A$477,0))&amp;"","")</f>
        <v>Imprisonment up to 7 years and fine [s.318(4)]</v>
      </c>
      <c r="G4054" s="10" t="str">
        <f aca="false">IFERROR(INDEX(Section_Master!$E$2:$E$477,MATCH($E4054,Section_Master!$A$2:$A$477,0))&amp;"","")</f>
        <v>Yes</v>
      </c>
      <c r="H4054" s="10" t="str">
        <f aca="false">IFERROR(INDEX(Section_Master!$F$2:$F$477,MATCH($E4054,Section_Master!$A$2:$A$477,0))&amp;"","")</f>
        <v>No</v>
      </c>
      <c r="I4054" s="10" t="str">
        <f aca="false">IFERROR(INDEX(Section_Master!$G$2:$G$477,MATCH($E4054,Section_Master!$A$2:$A$477,0))&amp;"","")</f>
        <v>With court permission</v>
      </c>
      <c r="J4054" s="10" t="s">
        <v>55</v>
      </c>
      <c r="K4054" s="8" t="s">
        <v>9492</v>
      </c>
    </row>
    <row r="4055" customFormat="false" ht="23.25" hidden="false" customHeight="true" outlineLevel="0" collapsed="false">
      <c r="A4055" s="10" t="s">
        <v>9497</v>
      </c>
      <c r="B4055" s="10" t="s">
        <v>45</v>
      </c>
      <c r="C4055" s="8" t="s">
        <v>9490</v>
      </c>
      <c r="D4055" s="8" t="s">
        <v>9498</v>
      </c>
      <c r="E4055" s="11" t="n">
        <v>318</v>
      </c>
      <c r="F4055" s="8" t="str">
        <f aca="false">IFERROR(INDEX(Section_Master!$D$2:$D$477,MATCH($E4055,Section_Master!$A$2:$A$477,0))&amp;"","")</f>
        <v>Imprisonment up to 7 years and fine [s.318(4)]</v>
      </c>
      <c r="G4055" s="10" t="str">
        <f aca="false">IFERROR(INDEX(Section_Master!$E$2:$E$477,MATCH($E4055,Section_Master!$A$2:$A$477,0))&amp;"","")</f>
        <v>Yes</v>
      </c>
      <c r="H4055" s="10" t="str">
        <f aca="false">IFERROR(INDEX(Section_Master!$F$2:$F$477,MATCH($E4055,Section_Master!$A$2:$A$477,0))&amp;"","")</f>
        <v>No</v>
      </c>
      <c r="I4055" s="10" t="str">
        <f aca="false">IFERROR(INDEX(Section_Master!$G$2:$G$477,MATCH($E4055,Section_Master!$A$2:$A$477,0))&amp;"","")</f>
        <v>With court permission</v>
      </c>
      <c r="J4055" s="10" t="s">
        <v>58</v>
      </c>
      <c r="K4055" s="8" t="s">
        <v>9492</v>
      </c>
    </row>
    <row r="4056" customFormat="false" ht="34.5" hidden="false" customHeight="true" outlineLevel="0" collapsed="false">
      <c r="A4056" s="10" t="s">
        <v>9499</v>
      </c>
      <c r="B4056" s="10" t="s">
        <v>45</v>
      </c>
      <c r="C4056" s="8" t="s">
        <v>9490</v>
      </c>
      <c r="D4056" s="8" t="s">
        <v>9500</v>
      </c>
      <c r="E4056" s="11" t="n">
        <v>318</v>
      </c>
      <c r="F4056" s="8" t="str">
        <f aca="false">IFERROR(INDEX(Section_Master!$D$2:$D$477,MATCH($E4056,Section_Master!$A$2:$A$477,0))&amp;"","")</f>
        <v>Imprisonment up to 7 years and fine [s.318(4)]</v>
      </c>
      <c r="G4056" s="10" t="str">
        <f aca="false">IFERROR(INDEX(Section_Master!$E$2:$E$477,MATCH($E4056,Section_Master!$A$2:$A$477,0))&amp;"","")</f>
        <v>Yes</v>
      </c>
      <c r="H4056" s="10" t="str">
        <f aca="false">IFERROR(INDEX(Section_Master!$F$2:$F$477,MATCH($E4056,Section_Master!$A$2:$A$477,0))&amp;"","")</f>
        <v>No</v>
      </c>
      <c r="I4056" s="10" t="str">
        <f aca="false">IFERROR(INDEX(Section_Master!$G$2:$G$477,MATCH($E4056,Section_Master!$A$2:$A$477,0))&amp;"","")</f>
        <v>With court permission</v>
      </c>
      <c r="J4056" s="10" t="s">
        <v>61</v>
      </c>
      <c r="K4056" s="8" t="s">
        <v>9492</v>
      </c>
    </row>
    <row r="4057" customFormat="false" ht="57" hidden="false" customHeight="true" outlineLevel="0" collapsed="false">
      <c r="A4057" s="10" t="s">
        <v>9501</v>
      </c>
      <c r="B4057" s="10" t="s">
        <v>45</v>
      </c>
      <c r="C4057" s="8" t="s">
        <v>9490</v>
      </c>
      <c r="D4057" s="8" t="s">
        <v>9502</v>
      </c>
      <c r="E4057" s="11" t="n">
        <v>318</v>
      </c>
      <c r="F4057" s="8" t="str">
        <f aca="false">IFERROR(INDEX(Section_Master!$D$2:$D$477,MATCH($E4057,Section_Master!$A$2:$A$477,0))&amp;"","")</f>
        <v>Imprisonment up to 7 years and fine [s.318(4)]</v>
      </c>
      <c r="G4057" s="10" t="str">
        <f aca="false">IFERROR(INDEX(Section_Master!$E$2:$E$477,MATCH($E4057,Section_Master!$A$2:$A$477,0))&amp;"","")</f>
        <v>Yes</v>
      </c>
      <c r="H4057" s="10" t="str">
        <f aca="false">IFERROR(INDEX(Section_Master!$F$2:$F$477,MATCH($E4057,Section_Master!$A$2:$A$477,0))&amp;"","")</f>
        <v>No</v>
      </c>
      <c r="I4057" s="10" t="str">
        <f aca="false">IFERROR(INDEX(Section_Master!$G$2:$G$477,MATCH($E4057,Section_Master!$A$2:$A$477,0))&amp;"","")</f>
        <v>With court permission</v>
      </c>
      <c r="J4057" s="10" t="s">
        <v>64</v>
      </c>
      <c r="K4057" s="8" t="s">
        <v>9492</v>
      </c>
    </row>
    <row r="4058" customFormat="false" ht="34.5" hidden="false" customHeight="true" outlineLevel="0" collapsed="false">
      <c r="A4058" s="10" t="s">
        <v>9503</v>
      </c>
      <c r="B4058" s="10" t="s">
        <v>45</v>
      </c>
      <c r="C4058" s="8" t="s">
        <v>9504</v>
      </c>
      <c r="D4058" s="8" t="s">
        <v>9505</v>
      </c>
      <c r="E4058" s="11" t="n">
        <v>319</v>
      </c>
      <c r="F4058" s="8" t="str">
        <f aca="false">IFERROR(INDEX(Section_Master!$D$2:$D$477,MATCH($E4058,Section_Master!$A$2:$A$477,0))&amp;"","")</f>
        <v>Imprisonment up to 5 years, or fine, or both [s.319(2)]</v>
      </c>
      <c r="G4058" s="10" t="str">
        <f aca="false">IFERROR(INDEX(Section_Master!$E$2:$E$477,MATCH($E4058,Section_Master!$A$2:$A$477,0))&amp;"","")</f>
        <v>Yes</v>
      </c>
      <c r="H4058" s="10" t="str">
        <f aca="false">IFERROR(INDEX(Section_Master!$F$2:$F$477,MATCH($E4058,Section_Master!$A$2:$A$477,0))&amp;"","")</f>
        <v>Yes</v>
      </c>
      <c r="I4058" s="10" t="str">
        <f aca="false">IFERROR(INDEX(Section_Master!$G$2:$G$477,MATCH($E4058,Section_Master!$A$2:$A$477,0))&amp;"","")</f>
        <v>With court permission</v>
      </c>
      <c r="J4058" s="10" t="s">
        <v>48</v>
      </c>
      <c r="K4058" s="8" t="s">
        <v>9506</v>
      </c>
    </row>
    <row r="4059" customFormat="false" ht="45.75" hidden="false" customHeight="true" outlineLevel="0" collapsed="false">
      <c r="A4059" s="10" t="s">
        <v>9507</v>
      </c>
      <c r="B4059" s="10" t="s">
        <v>45</v>
      </c>
      <c r="C4059" s="8" t="s">
        <v>9504</v>
      </c>
      <c r="D4059" s="8" t="s">
        <v>9508</v>
      </c>
      <c r="E4059" s="11" t="n">
        <v>319</v>
      </c>
      <c r="F4059" s="8" t="str">
        <f aca="false">IFERROR(INDEX(Section_Master!$D$2:$D$477,MATCH($E4059,Section_Master!$A$2:$A$477,0))&amp;"","")</f>
        <v>Imprisonment up to 5 years, or fine, or both [s.319(2)]</v>
      </c>
      <c r="G4059" s="10" t="str">
        <f aca="false">IFERROR(INDEX(Section_Master!$E$2:$E$477,MATCH($E4059,Section_Master!$A$2:$A$477,0))&amp;"","")</f>
        <v>Yes</v>
      </c>
      <c r="H4059" s="10" t="str">
        <f aca="false">IFERROR(INDEX(Section_Master!$F$2:$F$477,MATCH($E4059,Section_Master!$A$2:$A$477,0))&amp;"","")</f>
        <v>Yes</v>
      </c>
      <c r="I4059" s="10" t="str">
        <f aca="false">IFERROR(INDEX(Section_Master!$G$2:$G$477,MATCH($E4059,Section_Master!$A$2:$A$477,0))&amp;"","")</f>
        <v>With court permission</v>
      </c>
      <c r="J4059" s="10" t="s">
        <v>52</v>
      </c>
      <c r="K4059" s="8" t="s">
        <v>9506</v>
      </c>
    </row>
    <row r="4060" customFormat="false" ht="34.5" hidden="false" customHeight="true" outlineLevel="0" collapsed="false">
      <c r="A4060" s="10" t="s">
        <v>9509</v>
      </c>
      <c r="B4060" s="10" t="s">
        <v>45</v>
      </c>
      <c r="C4060" s="8" t="s">
        <v>9504</v>
      </c>
      <c r="D4060" s="8" t="s">
        <v>9510</v>
      </c>
      <c r="E4060" s="11" t="n">
        <v>319</v>
      </c>
      <c r="F4060" s="8" t="str">
        <f aca="false">IFERROR(INDEX(Section_Master!$D$2:$D$477,MATCH($E4060,Section_Master!$A$2:$A$477,0))&amp;"","")</f>
        <v>Imprisonment up to 5 years, or fine, or both [s.319(2)]</v>
      </c>
      <c r="G4060" s="10" t="str">
        <f aca="false">IFERROR(INDEX(Section_Master!$E$2:$E$477,MATCH($E4060,Section_Master!$A$2:$A$477,0))&amp;"","")</f>
        <v>Yes</v>
      </c>
      <c r="H4060" s="10" t="str">
        <f aca="false">IFERROR(INDEX(Section_Master!$F$2:$F$477,MATCH($E4060,Section_Master!$A$2:$A$477,0))&amp;"","")</f>
        <v>Yes</v>
      </c>
      <c r="I4060" s="10" t="str">
        <f aca="false">IFERROR(INDEX(Section_Master!$G$2:$G$477,MATCH($E4060,Section_Master!$A$2:$A$477,0))&amp;"","")</f>
        <v>With court permission</v>
      </c>
      <c r="J4060" s="10" t="s">
        <v>55</v>
      </c>
      <c r="K4060" s="8" t="s">
        <v>9506</v>
      </c>
    </row>
    <row r="4061" customFormat="false" ht="23.25" hidden="false" customHeight="true" outlineLevel="0" collapsed="false">
      <c r="A4061" s="10" t="s">
        <v>9511</v>
      </c>
      <c r="B4061" s="10" t="s">
        <v>45</v>
      </c>
      <c r="C4061" s="8" t="s">
        <v>9504</v>
      </c>
      <c r="D4061" s="8" t="s">
        <v>9512</v>
      </c>
      <c r="E4061" s="11" t="n">
        <v>319</v>
      </c>
      <c r="F4061" s="8" t="str">
        <f aca="false">IFERROR(INDEX(Section_Master!$D$2:$D$477,MATCH($E4061,Section_Master!$A$2:$A$477,0))&amp;"","")</f>
        <v>Imprisonment up to 5 years, or fine, or both [s.319(2)]</v>
      </c>
      <c r="G4061" s="10" t="str">
        <f aca="false">IFERROR(INDEX(Section_Master!$E$2:$E$477,MATCH($E4061,Section_Master!$A$2:$A$477,0))&amp;"","")</f>
        <v>Yes</v>
      </c>
      <c r="H4061" s="10" t="str">
        <f aca="false">IFERROR(INDEX(Section_Master!$F$2:$F$477,MATCH($E4061,Section_Master!$A$2:$A$477,0))&amp;"","")</f>
        <v>Yes</v>
      </c>
      <c r="I4061" s="10" t="str">
        <f aca="false">IFERROR(INDEX(Section_Master!$G$2:$G$477,MATCH($E4061,Section_Master!$A$2:$A$477,0))&amp;"","")</f>
        <v>With court permission</v>
      </c>
      <c r="J4061" s="10" t="s">
        <v>58</v>
      </c>
      <c r="K4061" s="8" t="s">
        <v>9506</v>
      </c>
    </row>
    <row r="4062" customFormat="false" ht="34.5" hidden="false" customHeight="true" outlineLevel="0" collapsed="false">
      <c r="A4062" s="10" t="s">
        <v>9513</v>
      </c>
      <c r="B4062" s="10" t="s">
        <v>45</v>
      </c>
      <c r="C4062" s="8" t="s">
        <v>9504</v>
      </c>
      <c r="D4062" s="8" t="s">
        <v>9514</v>
      </c>
      <c r="E4062" s="11" t="n">
        <v>319</v>
      </c>
      <c r="F4062" s="8" t="str">
        <f aca="false">IFERROR(INDEX(Section_Master!$D$2:$D$477,MATCH($E4062,Section_Master!$A$2:$A$477,0))&amp;"","")</f>
        <v>Imprisonment up to 5 years, or fine, or both [s.319(2)]</v>
      </c>
      <c r="G4062" s="10" t="str">
        <f aca="false">IFERROR(INDEX(Section_Master!$E$2:$E$477,MATCH($E4062,Section_Master!$A$2:$A$477,0))&amp;"","")</f>
        <v>Yes</v>
      </c>
      <c r="H4062" s="10" t="str">
        <f aca="false">IFERROR(INDEX(Section_Master!$F$2:$F$477,MATCH($E4062,Section_Master!$A$2:$A$477,0))&amp;"","")</f>
        <v>Yes</v>
      </c>
      <c r="I4062" s="10" t="str">
        <f aca="false">IFERROR(INDEX(Section_Master!$G$2:$G$477,MATCH($E4062,Section_Master!$A$2:$A$477,0))&amp;"","")</f>
        <v>With court permission</v>
      </c>
      <c r="J4062" s="10" t="s">
        <v>61</v>
      </c>
      <c r="K4062" s="8" t="s">
        <v>9506</v>
      </c>
    </row>
    <row r="4063" customFormat="false" ht="45.75" hidden="false" customHeight="true" outlineLevel="0" collapsed="false">
      <c r="A4063" s="10" t="s">
        <v>9515</v>
      </c>
      <c r="B4063" s="10" t="s">
        <v>45</v>
      </c>
      <c r="C4063" s="8" t="s">
        <v>9504</v>
      </c>
      <c r="D4063" s="8" t="s">
        <v>9516</v>
      </c>
      <c r="E4063" s="11" t="n">
        <v>319</v>
      </c>
      <c r="F4063" s="8" t="str">
        <f aca="false">IFERROR(INDEX(Section_Master!$D$2:$D$477,MATCH($E4063,Section_Master!$A$2:$A$477,0))&amp;"","")</f>
        <v>Imprisonment up to 5 years, or fine, or both [s.319(2)]</v>
      </c>
      <c r="G4063" s="10" t="str">
        <f aca="false">IFERROR(INDEX(Section_Master!$E$2:$E$477,MATCH($E4063,Section_Master!$A$2:$A$477,0))&amp;"","")</f>
        <v>Yes</v>
      </c>
      <c r="H4063" s="10" t="str">
        <f aca="false">IFERROR(INDEX(Section_Master!$F$2:$F$477,MATCH($E4063,Section_Master!$A$2:$A$477,0))&amp;"","")</f>
        <v>Yes</v>
      </c>
      <c r="I4063" s="10" t="str">
        <f aca="false">IFERROR(INDEX(Section_Master!$G$2:$G$477,MATCH($E4063,Section_Master!$A$2:$A$477,0))&amp;"","")</f>
        <v>With court permission</v>
      </c>
      <c r="J4063" s="10" t="s">
        <v>64</v>
      </c>
      <c r="K4063" s="8" t="s">
        <v>9506</v>
      </c>
    </row>
    <row r="4064" customFormat="false" ht="34.5" hidden="false" customHeight="true" outlineLevel="0" collapsed="false">
      <c r="A4064" s="10" t="s">
        <v>9517</v>
      </c>
      <c r="B4064" s="10" t="s">
        <v>45</v>
      </c>
      <c r="C4064" s="8" t="s">
        <v>9518</v>
      </c>
      <c r="D4064" s="8" t="s">
        <v>9519</v>
      </c>
      <c r="E4064" s="11" t="n">
        <v>320</v>
      </c>
      <c r="F4064" s="8" t="str">
        <f aca="false">IFERROR(INDEX(Section_Master!$D$2:$D$477,MATCH($E4064,Section_Master!$A$2:$A$477,0))&amp;"","")</f>
        <v>Imprisonment up to 2 years, or fine, or both</v>
      </c>
      <c r="G4064" s="10" t="str">
        <f aca="false">IFERROR(INDEX(Section_Master!$E$2:$E$477,MATCH($E4064,Section_Master!$A$2:$A$477,0))&amp;"","")</f>
        <v>No</v>
      </c>
      <c r="H4064" s="10" t="str">
        <f aca="false">IFERROR(INDEX(Section_Master!$F$2:$F$477,MATCH($E4064,Section_Master!$A$2:$A$477,0))&amp;"","")</f>
        <v>Yes</v>
      </c>
      <c r="I4064" s="10" t="str">
        <f aca="false">IFERROR(INDEX(Section_Master!$G$2:$G$477,MATCH($E4064,Section_Master!$A$2:$A$477,0))&amp;"","")</f>
        <v>With court permission</v>
      </c>
      <c r="J4064" s="10" t="s">
        <v>48</v>
      </c>
      <c r="K4064" s="8" t="s">
        <v>9520</v>
      </c>
    </row>
    <row r="4065" customFormat="false" ht="45.75" hidden="false" customHeight="true" outlineLevel="0" collapsed="false">
      <c r="A4065" s="10" t="s">
        <v>9521</v>
      </c>
      <c r="B4065" s="10" t="s">
        <v>45</v>
      </c>
      <c r="C4065" s="8" t="s">
        <v>9518</v>
      </c>
      <c r="D4065" s="8" t="s">
        <v>9522</v>
      </c>
      <c r="E4065" s="11" t="n">
        <v>320</v>
      </c>
      <c r="F4065" s="8" t="str">
        <f aca="false">IFERROR(INDEX(Section_Master!$D$2:$D$477,MATCH($E4065,Section_Master!$A$2:$A$477,0))&amp;"","")</f>
        <v>Imprisonment up to 2 years, or fine, or both</v>
      </c>
      <c r="G4065" s="10" t="str">
        <f aca="false">IFERROR(INDEX(Section_Master!$E$2:$E$477,MATCH($E4065,Section_Master!$A$2:$A$477,0))&amp;"","")</f>
        <v>No</v>
      </c>
      <c r="H4065" s="10" t="str">
        <f aca="false">IFERROR(INDEX(Section_Master!$F$2:$F$477,MATCH($E4065,Section_Master!$A$2:$A$477,0))&amp;"","")</f>
        <v>Yes</v>
      </c>
      <c r="I4065" s="10" t="str">
        <f aca="false">IFERROR(INDEX(Section_Master!$G$2:$G$477,MATCH($E4065,Section_Master!$A$2:$A$477,0))&amp;"","")</f>
        <v>With court permission</v>
      </c>
      <c r="J4065" s="10" t="s">
        <v>52</v>
      </c>
      <c r="K4065" s="8" t="s">
        <v>9520</v>
      </c>
    </row>
    <row r="4066" customFormat="false" ht="34.5" hidden="false" customHeight="true" outlineLevel="0" collapsed="false">
      <c r="A4066" s="10" t="s">
        <v>9523</v>
      </c>
      <c r="B4066" s="10" t="s">
        <v>45</v>
      </c>
      <c r="C4066" s="8" t="s">
        <v>9518</v>
      </c>
      <c r="D4066" s="8" t="s">
        <v>9524</v>
      </c>
      <c r="E4066" s="11" t="n">
        <v>320</v>
      </c>
      <c r="F4066" s="8" t="str">
        <f aca="false">IFERROR(INDEX(Section_Master!$D$2:$D$477,MATCH($E4066,Section_Master!$A$2:$A$477,0))&amp;"","")</f>
        <v>Imprisonment up to 2 years, or fine, or both</v>
      </c>
      <c r="G4066" s="10" t="str">
        <f aca="false">IFERROR(INDEX(Section_Master!$E$2:$E$477,MATCH($E4066,Section_Master!$A$2:$A$477,0))&amp;"","")</f>
        <v>No</v>
      </c>
      <c r="H4066" s="10" t="str">
        <f aca="false">IFERROR(INDEX(Section_Master!$F$2:$F$477,MATCH($E4066,Section_Master!$A$2:$A$477,0))&amp;"","")</f>
        <v>Yes</v>
      </c>
      <c r="I4066" s="10" t="str">
        <f aca="false">IFERROR(INDEX(Section_Master!$G$2:$G$477,MATCH($E4066,Section_Master!$A$2:$A$477,0))&amp;"","")</f>
        <v>With court permission</v>
      </c>
      <c r="J4066" s="10" t="s">
        <v>55</v>
      </c>
      <c r="K4066" s="8" t="s">
        <v>9520</v>
      </c>
    </row>
    <row r="4067" customFormat="false" ht="34.5" hidden="false" customHeight="true" outlineLevel="0" collapsed="false">
      <c r="A4067" s="10" t="s">
        <v>9525</v>
      </c>
      <c r="B4067" s="10" t="s">
        <v>45</v>
      </c>
      <c r="C4067" s="8" t="s">
        <v>9518</v>
      </c>
      <c r="D4067" s="8" t="s">
        <v>9526</v>
      </c>
      <c r="E4067" s="11" t="n">
        <v>320</v>
      </c>
      <c r="F4067" s="8" t="str">
        <f aca="false">IFERROR(INDEX(Section_Master!$D$2:$D$477,MATCH($E4067,Section_Master!$A$2:$A$477,0))&amp;"","")</f>
        <v>Imprisonment up to 2 years, or fine, or both</v>
      </c>
      <c r="G4067" s="10" t="str">
        <f aca="false">IFERROR(INDEX(Section_Master!$E$2:$E$477,MATCH($E4067,Section_Master!$A$2:$A$477,0))&amp;"","")</f>
        <v>No</v>
      </c>
      <c r="H4067" s="10" t="str">
        <f aca="false">IFERROR(INDEX(Section_Master!$F$2:$F$477,MATCH($E4067,Section_Master!$A$2:$A$477,0))&amp;"","")</f>
        <v>Yes</v>
      </c>
      <c r="I4067" s="10" t="str">
        <f aca="false">IFERROR(INDEX(Section_Master!$G$2:$G$477,MATCH($E4067,Section_Master!$A$2:$A$477,0))&amp;"","")</f>
        <v>With court permission</v>
      </c>
      <c r="J4067" s="10" t="s">
        <v>58</v>
      </c>
      <c r="K4067" s="8" t="s">
        <v>9520</v>
      </c>
    </row>
    <row r="4068" customFormat="false" ht="34.5" hidden="false" customHeight="true" outlineLevel="0" collapsed="false">
      <c r="A4068" s="10" t="s">
        <v>9527</v>
      </c>
      <c r="B4068" s="10" t="s">
        <v>45</v>
      </c>
      <c r="C4068" s="8" t="s">
        <v>9518</v>
      </c>
      <c r="D4068" s="8" t="s">
        <v>9528</v>
      </c>
      <c r="E4068" s="11" t="n">
        <v>320</v>
      </c>
      <c r="F4068" s="8" t="str">
        <f aca="false">IFERROR(INDEX(Section_Master!$D$2:$D$477,MATCH($E4068,Section_Master!$A$2:$A$477,0))&amp;"","")</f>
        <v>Imprisonment up to 2 years, or fine, or both</v>
      </c>
      <c r="G4068" s="10" t="str">
        <f aca="false">IFERROR(INDEX(Section_Master!$E$2:$E$477,MATCH($E4068,Section_Master!$A$2:$A$477,0))&amp;"","")</f>
        <v>No</v>
      </c>
      <c r="H4068" s="10" t="str">
        <f aca="false">IFERROR(INDEX(Section_Master!$F$2:$F$477,MATCH($E4068,Section_Master!$A$2:$A$477,0))&amp;"","")</f>
        <v>Yes</v>
      </c>
      <c r="I4068" s="10" t="str">
        <f aca="false">IFERROR(INDEX(Section_Master!$G$2:$G$477,MATCH($E4068,Section_Master!$A$2:$A$477,0))&amp;"","")</f>
        <v>With court permission</v>
      </c>
      <c r="J4068" s="10" t="s">
        <v>61</v>
      </c>
      <c r="K4068" s="8" t="s">
        <v>9520</v>
      </c>
    </row>
    <row r="4069" customFormat="false" ht="45.75" hidden="false" customHeight="true" outlineLevel="0" collapsed="false">
      <c r="A4069" s="10" t="s">
        <v>9529</v>
      </c>
      <c r="B4069" s="10" t="s">
        <v>45</v>
      </c>
      <c r="C4069" s="8" t="s">
        <v>9518</v>
      </c>
      <c r="D4069" s="8" t="s">
        <v>9530</v>
      </c>
      <c r="E4069" s="11" t="n">
        <v>320</v>
      </c>
      <c r="F4069" s="8" t="str">
        <f aca="false">IFERROR(INDEX(Section_Master!$D$2:$D$477,MATCH($E4069,Section_Master!$A$2:$A$477,0))&amp;"","")</f>
        <v>Imprisonment up to 2 years, or fine, or both</v>
      </c>
      <c r="G4069" s="10" t="str">
        <f aca="false">IFERROR(INDEX(Section_Master!$E$2:$E$477,MATCH($E4069,Section_Master!$A$2:$A$477,0))&amp;"","")</f>
        <v>No</v>
      </c>
      <c r="H4069" s="10" t="str">
        <f aca="false">IFERROR(INDEX(Section_Master!$F$2:$F$477,MATCH($E4069,Section_Master!$A$2:$A$477,0))&amp;"","")</f>
        <v>Yes</v>
      </c>
      <c r="I4069" s="10" t="str">
        <f aca="false">IFERROR(INDEX(Section_Master!$G$2:$G$477,MATCH($E4069,Section_Master!$A$2:$A$477,0))&amp;"","")</f>
        <v>With court permission</v>
      </c>
      <c r="J4069" s="10" t="s">
        <v>64</v>
      </c>
      <c r="K4069" s="8" t="s">
        <v>9520</v>
      </c>
    </row>
    <row r="4070" customFormat="false" ht="34.5" hidden="false" customHeight="true" outlineLevel="0" collapsed="false">
      <c r="A4070" s="10" t="s">
        <v>9531</v>
      </c>
      <c r="B4070" s="10" t="s">
        <v>45</v>
      </c>
      <c r="C4070" s="8" t="s">
        <v>9532</v>
      </c>
      <c r="D4070" s="8" t="s">
        <v>9533</v>
      </c>
      <c r="E4070" s="11" t="n">
        <v>321</v>
      </c>
      <c r="F4070" s="8" t="str">
        <f aca="false">IFERROR(INDEX(Section_Master!$D$2:$D$477,MATCH($E4070,Section_Master!$A$2:$A$477,0))&amp;"","")</f>
        <v>Imprisonment up to 2 years, or fine, or both</v>
      </c>
      <c r="G4070" s="10" t="str">
        <f aca="false">IFERROR(INDEX(Section_Master!$E$2:$E$477,MATCH($E4070,Section_Master!$A$2:$A$477,0))&amp;"","")</f>
        <v>No</v>
      </c>
      <c r="H4070" s="10" t="str">
        <f aca="false">IFERROR(INDEX(Section_Master!$F$2:$F$477,MATCH($E4070,Section_Master!$A$2:$A$477,0))&amp;"","")</f>
        <v>Yes</v>
      </c>
      <c r="I4070" s="10" t="str">
        <f aca="false">IFERROR(INDEX(Section_Master!$G$2:$G$477,MATCH($E4070,Section_Master!$A$2:$A$477,0))&amp;"","")</f>
        <v>With court permission</v>
      </c>
      <c r="J4070" s="10" t="s">
        <v>48</v>
      </c>
      <c r="K4070" s="8" t="s">
        <v>9534</v>
      </c>
    </row>
    <row r="4071" customFormat="false" ht="34.5" hidden="false" customHeight="true" outlineLevel="0" collapsed="false">
      <c r="A4071" s="10" t="s">
        <v>9535</v>
      </c>
      <c r="B4071" s="10" t="s">
        <v>45</v>
      </c>
      <c r="C4071" s="8" t="s">
        <v>9532</v>
      </c>
      <c r="D4071" s="8" t="s">
        <v>9536</v>
      </c>
      <c r="E4071" s="11" t="n">
        <v>321</v>
      </c>
      <c r="F4071" s="8" t="str">
        <f aca="false">IFERROR(INDEX(Section_Master!$D$2:$D$477,MATCH($E4071,Section_Master!$A$2:$A$477,0))&amp;"","")</f>
        <v>Imprisonment up to 2 years, or fine, or both</v>
      </c>
      <c r="G4071" s="10" t="str">
        <f aca="false">IFERROR(INDEX(Section_Master!$E$2:$E$477,MATCH($E4071,Section_Master!$A$2:$A$477,0))&amp;"","")</f>
        <v>No</v>
      </c>
      <c r="H4071" s="10" t="str">
        <f aca="false">IFERROR(INDEX(Section_Master!$F$2:$F$477,MATCH($E4071,Section_Master!$A$2:$A$477,0))&amp;"","")</f>
        <v>Yes</v>
      </c>
      <c r="I4071" s="10" t="str">
        <f aca="false">IFERROR(INDEX(Section_Master!$G$2:$G$477,MATCH($E4071,Section_Master!$A$2:$A$477,0))&amp;"","")</f>
        <v>With court permission</v>
      </c>
      <c r="J4071" s="10" t="s">
        <v>52</v>
      </c>
      <c r="K4071" s="8" t="s">
        <v>9534</v>
      </c>
    </row>
    <row r="4072" customFormat="false" ht="34.5" hidden="false" customHeight="true" outlineLevel="0" collapsed="false">
      <c r="A4072" s="10" t="s">
        <v>9537</v>
      </c>
      <c r="B4072" s="10" t="s">
        <v>45</v>
      </c>
      <c r="C4072" s="8" t="s">
        <v>9532</v>
      </c>
      <c r="D4072" s="8" t="s">
        <v>9538</v>
      </c>
      <c r="E4072" s="11" t="n">
        <v>321</v>
      </c>
      <c r="F4072" s="8" t="str">
        <f aca="false">IFERROR(INDEX(Section_Master!$D$2:$D$477,MATCH($E4072,Section_Master!$A$2:$A$477,0))&amp;"","")</f>
        <v>Imprisonment up to 2 years, or fine, or both</v>
      </c>
      <c r="G4072" s="10" t="str">
        <f aca="false">IFERROR(INDEX(Section_Master!$E$2:$E$477,MATCH($E4072,Section_Master!$A$2:$A$477,0))&amp;"","")</f>
        <v>No</v>
      </c>
      <c r="H4072" s="10" t="str">
        <f aca="false">IFERROR(INDEX(Section_Master!$F$2:$F$477,MATCH($E4072,Section_Master!$A$2:$A$477,0))&amp;"","")</f>
        <v>Yes</v>
      </c>
      <c r="I4072" s="10" t="str">
        <f aca="false">IFERROR(INDEX(Section_Master!$G$2:$G$477,MATCH($E4072,Section_Master!$A$2:$A$477,0))&amp;"","")</f>
        <v>With court permission</v>
      </c>
      <c r="J4072" s="10" t="s">
        <v>55</v>
      </c>
      <c r="K4072" s="8" t="s">
        <v>9534</v>
      </c>
    </row>
    <row r="4073" customFormat="false" ht="34.5" hidden="false" customHeight="true" outlineLevel="0" collapsed="false">
      <c r="A4073" s="10" t="s">
        <v>9539</v>
      </c>
      <c r="B4073" s="10" t="s">
        <v>45</v>
      </c>
      <c r="C4073" s="8" t="s">
        <v>9532</v>
      </c>
      <c r="D4073" s="8" t="s">
        <v>9540</v>
      </c>
      <c r="E4073" s="11" t="n">
        <v>321</v>
      </c>
      <c r="F4073" s="8" t="str">
        <f aca="false">IFERROR(INDEX(Section_Master!$D$2:$D$477,MATCH($E4073,Section_Master!$A$2:$A$477,0))&amp;"","")</f>
        <v>Imprisonment up to 2 years, or fine, or both</v>
      </c>
      <c r="G4073" s="10" t="str">
        <f aca="false">IFERROR(INDEX(Section_Master!$E$2:$E$477,MATCH($E4073,Section_Master!$A$2:$A$477,0))&amp;"","")</f>
        <v>No</v>
      </c>
      <c r="H4073" s="10" t="str">
        <f aca="false">IFERROR(INDEX(Section_Master!$F$2:$F$477,MATCH($E4073,Section_Master!$A$2:$A$477,0))&amp;"","")</f>
        <v>Yes</v>
      </c>
      <c r="I4073" s="10" t="str">
        <f aca="false">IFERROR(INDEX(Section_Master!$G$2:$G$477,MATCH($E4073,Section_Master!$A$2:$A$477,0))&amp;"","")</f>
        <v>With court permission</v>
      </c>
      <c r="J4073" s="10" t="s">
        <v>58</v>
      </c>
      <c r="K4073" s="8" t="s">
        <v>9534</v>
      </c>
    </row>
    <row r="4074" customFormat="false" ht="23.25" hidden="false" customHeight="true" outlineLevel="0" collapsed="false">
      <c r="A4074" s="10" t="s">
        <v>9541</v>
      </c>
      <c r="B4074" s="10" t="s">
        <v>45</v>
      </c>
      <c r="C4074" s="8" t="s">
        <v>9532</v>
      </c>
      <c r="D4074" s="8" t="s">
        <v>9542</v>
      </c>
      <c r="E4074" s="11" t="n">
        <v>321</v>
      </c>
      <c r="F4074" s="8" t="str">
        <f aca="false">IFERROR(INDEX(Section_Master!$D$2:$D$477,MATCH($E4074,Section_Master!$A$2:$A$477,0))&amp;"","")</f>
        <v>Imprisonment up to 2 years, or fine, or both</v>
      </c>
      <c r="G4074" s="10" t="str">
        <f aca="false">IFERROR(INDEX(Section_Master!$E$2:$E$477,MATCH($E4074,Section_Master!$A$2:$A$477,0))&amp;"","")</f>
        <v>No</v>
      </c>
      <c r="H4074" s="10" t="str">
        <f aca="false">IFERROR(INDEX(Section_Master!$F$2:$F$477,MATCH($E4074,Section_Master!$A$2:$A$477,0))&amp;"","")</f>
        <v>Yes</v>
      </c>
      <c r="I4074" s="10" t="str">
        <f aca="false">IFERROR(INDEX(Section_Master!$G$2:$G$477,MATCH($E4074,Section_Master!$A$2:$A$477,0))&amp;"","")</f>
        <v>With court permission</v>
      </c>
      <c r="J4074" s="10" t="s">
        <v>61</v>
      </c>
      <c r="K4074" s="8" t="s">
        <v>9534</v>
      </c>
    </row>
    <row r="4075" customFormat="false" ht="45.75" hidden="false" customHeight="true" outlineLevel="0" collapsed="false">
      <c r="A4075" s="10" t="s">
        <v>9543</v>
      </c>
      <c r="B4075" s="10" t="s">
        <v>45</v>
      </c>
      <c r="C4075" s="8" t="s">
        <v>9532</v>
      </c>
      <c r="D4075" s="8" t="s">
        <v>9544</v>
      </c>
      <c r="E4075" s="11" t="n">
        <v>321</v>
      </c>
      <c r="F4075" s="8" t="str">
        <f aca="false">IFERROR(INDEX(Section_Master!$D$2:$D$477,MATCH($E4075,Section_Master!$A$2:$A$477,0))&amp;"","")</f>
        <v>Imprisonment up to 2 years, or fine, or both</v>
      </c>
      <c r="G4075" s="10" t="str">
        <f aca="false">IFERROR(INDEX(Section_Master!$E$2:$E$477,MATCH($E4075,Section_Master!$A$2:$A$477,0))&amp;"","")</f>
        <v>No</v>
      </c>
      <c r="H4075" s="10" t="str">
        <f aca="false">IFERROR(INDEX(Section_Master!$F$2:$F$477,MATCH($E4075,Section_Master!$A$2:$A$477,0))&amp;"","")</f>
        <v>Yes</v>
      </c>
      <c r="I4075" s="10" t="str">
        <f aca="false">IFERROR(INDEX(Section_Master!$G$2:$G$477,MATCH($E4075,Section_Master!$A$2:$A$477,0))&amp;"","")</f>
        <v>With court permission</v>
      </c>
      <c r="J4075" s="10" t="s">
        <v>64</v>
      </c>
      <c r="K4075" s="8" t="s">
        <v>9534</v>
      </c>
    </row>
    <row r="4076" customFormat="false" ht="34.5" hidden="false" customHeight="true" outlineLevel="0" collapsed="false">
      <c r="A4076" s="10" t="s">
        <v>9545</v>
      </c>
      <c r="B4076" s="10" t="s">
        <v>45</v>
      </c>
      <c r="C4076" s="8" t="s">
        <v>9546</v>
      </c>
      <c r="D4076" s="8" t="s">
        <v>9547</v>
      </c>
      <c r="E4076" s="11" t="n">
        <v>322</v>
      </c>
      <c r="F4076" s="8" t="str">
        <f aca="false">IFERROR(INDEX(Section_Master!$D$2:$D$477,MATCH($E4076,Section_Master!$A$2:$A$477,0))&amp;"","")</f>
        <v>Imprisonment up to 2 years, or fine, or both</v>
      </c>
      <c r="G4076" s="10" t="str">
        <f aca="false">IFERROR(INDEX(Section_Master!$E$2:$E$477,MATCH($E4076,Section_Master!$A$2:$A$477,0))&amp;"","")</f>
        <v>No</v>
      </c>
      <c r="H4076" s="10" t="str">
        <f aca="false">IFERROR(INDEX(Section_Master!$F$2:$F$477,MATCH($E4076,Section_Master!$A$2:$A$477,0))&amp;"","")</f>
        <v>Yes</v>
      </c>
      <c r="I4076" s="10" t="str">
        <f aca="false">IFERROR(INDEX(Section_Master!$G$2:$G$477,MATCH($E4076,Section_Master!$A$2:$A$477,0))&amp;"","")</f>
        <v>With court permission</v>
      </c>
      <c r="J4076" s="10" t="s">
        <v>48</v>
      </c>
      <c r="K4076" s="8" t="s">
        <v>9548</v>
      </c>
    </row>
    <row r="4077" customFormat="false" ht="45.75" hidden="false" customHeight="true" outlineLevel="0" collapsed="false">
      <c r="A4077" s="10" t="s">
        <v>9549</v>
      </c>
      <c r="B4077" s="10" t="s">
        <v>45</v>
      </c>
      <c r="C4077" s="8" t="s">
        <v>9546</v>
      </c>
      <c r="D4077" s="8" t="s">
        <v>9550</v>
      </c>
      <c r="E4077" s="11" t="n">
        <v>322</v>
      </c>
      <c r="F4077" s="8" t="str">
        <f aca="false">IFERROR(INDEX(Section_Master!$D$2:$D$477,MATCH($E4077,Section_Master!$A$2:$A$477,0))&amp;"","")</f>
        <v>Imprisonment up to 2 years, or fine, or both</v>
      </c>
      <c r="G4077" s="10" t="str">
        <f aca="false">IFERROR(INDEX(Section_Master!$E$2:$E$477,MATCH($E4077,Section_Master!$A$2:$A$477,0))&amp;"","")</f>
        <v>No</v>
      </c>
      <c r="H4077" s="10" t="str">
        <f aca="false">IFERROR(INDEX(Section_Master!$F$2:$F$477,MATCH($E4077,Section_Master!$A$2:$A$477,0))&amp;"","")</f>
        <v>Yes</v>
      </c>
      <c r="I4077" s="10" t="str">
        <f aca="false">IFERROR(INDEX(Section_Master!$G$2:$G$477,MATCH($E4077,Section_Master!$A$2:$A$477,0))&amp;"","")</f>
        <v>With court permission</v>
      </c>
      <c r="J4077" s="10" t="s">
        <v>52</v>
      </c>
      <c r="K4077" s="8" t="s">
        <v>9548</v>
      </c>
    </row>
    <row r="4078" customFormat="false" ht="34.5" hidden="false" customHeight="true" outlineLevel="0" collapsed="false">
      <c r="A4078" s="10" t="s">
        <v>9551</v>
      </c>
      <c r="B4078" s="10" t="s">
        <v>45</v>
      </c>
      <c r="C4078" s="8" t="s">
        <v>9546</v>
      </c>
      <c r="D4078" s="8" t="s">
        <v>9552</v>
      </c>
      <c r="E4078" s="11" t="n">
        <v>322</v>
      </c>
      <c r="F4078" s="8" t="str">
        <f aca="false">IFERROR(INDEX(Section_Master!$D$2:$D$477,MATCH($E4078,Section_Master!$A$2:$A$477,0))&amp;"","")</f>
        <v>Imprisonment up to 2 years, or fine, or both</v>
      </c>
      <c r="G4078" s="10" t="str">
        <f aca="false">IFERROR(INDEX(Section_Master!$E$2:$E$477,MATCH($E4078,Section_Master!$A$2:$A$477,0))&amp;"","")</f>
        <v>No</v>
      </c>
      <c r="H4078" s="10" t="str">
        <f aca="false">IFERROR(INDEX(Section_Master!$F$2:$F$477,MATCH($E4078,Section_Master!$A$2:$A$477,0))&amp;"","")</f>
        <v>Yes</v>
      </c>
      <c r="I4078" s="10" t="str">
        <f aca="false">IFERROR(INDEX(Section_Master!$G$2:$G$477,MATCH($E4078,Section_Master!$A$2:$A$477,0))&amp;"","")</f>
        <v>With court permission</v>
      </c>
      <c r="J4078" s="10" t="s">
        <v>55</v>
      </c>
      <c r="K4078" s="8" t="s">
        <v>9548</v>
      </c>
    </row>
    <row r="4079" customFormat="false" ht="23.25" hidden="false" customHeight="true" outlineLevel="0" collapsed="false">
      <c r="A4079" s="10" t="s">
        <v>9553</v>
      </c>
      <c r="B4079" s="10" t="s">
        <v>45</v>
      </c>
      <c r="C4079" s="8" t="s">
        <v>9546</v>
      </c>
      <c r="D4079" s="8" t="s">
        <v>9554</v>
      </c>
      <c r="E4079" s="11" t="n">
        <v>322</v>
      </c>
      <c r="F4079" s="8" t="str">
        <f aca="false">IFERROR(INDEX(Section_Master!$D$2:$D$477,MATCH($E4079,Section_Master!$A$2:$A$477,0))&amp;"","")</f>
        <v>Imprisonment up to 2 years, or fine, or both</v>
      </c>
      <c r="G4079" s="10" t="str">
        <f aca="false">IFERROR(INDEX(Section_Master!$E$2:$E$477,MATCH($E4079,Section_Master!$A$2:$A$477,0))&amp;"","")</f>
        <v>No</v>
      </c>
      <c r="H4079" s="10" t="str">
        <f aca="false">IFERROR(INDEX(Section_Master!$F$2:$F$477,MATCH($E4079,Section_Master!$A$2:$A$477,0))&amp;"","")</f>
        <v>Yes</v>
      </c>
      <c r="I4079" s="10" t="str">
        <f aca="false">IFERROR(INDEX(Section_Master!$G$2:$G$477,MATCH($E4079,Section_Master!$A$2:$A$477,0))&amp;"","")</f>
        <v>With court permission</v>
      </c>
      <c r="J4079" s="10" t="s">
        <v>58</v>
      </c>
      <c r="K4079" s="8" t="s">
        <v>9548</v>
      </c>
    </row>
    <row r="4080" customFormat="false" ht="34.5" hidden="false" customHeight="true" outlineLevel="0" collapsed="false">
      <c r="A4080" s="10" t="s">
        <v>9555</v>
      </c>
      <c r="B4080" s="10" t="s">
        <v>45</v>
      </c>
      <c r="C4080" s="8" t="s">
        <v>9546</v>
      </c>
      <c r="D4080" s="8" t="s">
        <v>9556</v>
      </c>
      <c r="E4080" s="11" t="n">
        <v>322</v>
      </c>
      <c r="F4080" s="8" t="str">
        <f aca="false">IFERROR(INDEX(Section_Master!$D$2:$D$477,MATCH($E4080,Section_Master!$A$2:$A$477,0))&amp;"","")</f>
        <v>Imprisonment up to 2 years, or fine, or both</v>
      </c>
      <c r="G4080" s="10" t="str">
        <f aca="false">IFERROR(INDEX(Section_Master!$E$2:$E$477,MATCH($E4080,Section_Master!$A$2:$A$477,0))&amp;"","")</f>
        <v>No</v>
      </c>
      <c r="H4080" s="10" t="str">
        <f aca="false">IFERROR(INDEX(Section_Master!$F$2:$F$477,MATCH($E4080,Section_Master!$A$2:$A$477,0))&amp;"","")</f>
        <v>Yes</v>
      </c>
      <c r="I4080" s="10" t="str">
        <f aca="false">IFERROR(INDEX(Section_Master!$G$2:$G$477,MATCH($E4080,Section_Master!$A$2:$A$477,0))&amp;"","")</f>
        <v>With court permission</v>
      </c>
      <c r="J4080" s="10" t="s">
        <v>61</v>
      </c>
      <c r="K4080" s="8" t="s">
        <v>9548</v>
      </c>
    </row>
    <row r="4081" customFormat="false" ht="45.75" hidden="false" customHeight="true" outlineLevel="0" collapsed="false">
      <c r="A4081" s="10" t="s">
        <v>9557</v>
      </c>
      <c r="B4081" s="10" t="s">
        <v>45</v>
      </c>
      <c r="C4081" s="8" t="s">
        <v>9546</v>
      </c>
      <c r="D4081" s="8" t="s">
        <v>9558</v>
      </c>
      <c r="E4081" s="11" t="n">
        <v>322</v>
      </c>
      <c r="F4081" s="8" t="str">
        <f aca="false">IFERROR(INDEX(Section_Master!$D$2:$D$477,MATCH($E4081,Section_Master!$A$2:$A$477,0))&amp;"","")</f>
        <v>Imprisonment up to 2 years, or fine, or both</v>
      </c>
      <c r="G4081" s="10" t="str">
        <f aca="false">IFERROR(INDEX(Section_Master!$E$2:$E$477,MATCH($E4081,Section_Master!$A$2:$A$477,0))&amp;"","")</f>
        <v>No</v>
      </c>
      <c r="H4081" s="10" t="str">
        <f aca="false">IFERROR(INDEX(Section_Master!$F$2:$F$477,MATCH($E4081,Section_Master!$A$2:$A$477,0))&amp;"","")</f>
        <v>Yes</v>
      </c>
      <c r="I4081" s="10" t="str">
        <f aca="false">IFERROR(INDEX(Section_Master!$G$2:$G$477,MATCH($E4081,Section_Master!$A$2:$A$477,0))&amp;"","")</f>
        <v>With court permission</v>
      </c>
      <c r="J4081" s="10" t="s">
        <v>64</v>
      </c>
      <c r="K4081" s="8" t="s">
        <v>9548</v>
      </c>
    </row>
    <row r="4082" customFormat="false" ht="34.5" hidden="false" customHeight="true" outlineLevel="0" collapsed="false">
      <c r="A4082" s="10" t="s">
        <v>9559</v>
      </c>
      <c r="B4082" s="10" t="s">
        <v>45</v>
      </c>
      <c r="C4082" s="8" t="s">
        <v>9560</v>
      </c>
      <c r="D4082" s="8" t="s">
        <v>9561</v>
      </c>
      <c r="E4082" s="11" t="n">
        <v>323</v>
      </c>
      <c r="F4082" s="8" t="str">
        <f aca="false">IFERROR(INDEX(Section_Master!$D$2:$D$477,MATCH($E4082,Section_Master!$A$2:$A$477,0))&amp;"","")</f>
        <v>Imprisonment up to 2 years, or fine, or both</v>
      </c>
      <c r="G4082" s="10" t="str">
        <f aca="false">IFERROR(INDEX(Section_Master!$E$2:$E$477,MATCH($E4082,Section_Master!$A$2:$A$477,0))&amp;"","")</f>
        <v>No</v>
      </c>
      <c r="H4082" s="10" t="str">
        <f aca="false">IFERROR(INDEX(Section_Master!$F$2:$F$477,MATCH($E4082,Section_Master!$A$2:$A$477,0))&amp;"","")</f>
        <v>Yes</v>
      </c>
      <c r="I4082" s="10" t="str">
        <f aca="false">IFERROR(INDEX(Section_Master!$G$2:$G$477,MATCH($E4082,Section_Master!$A$2:$A$477,0))&amp;"","")</f>
        <v>With court permission</v>
      </c>
      <c r="J4082" s="10" t="s">
        <v>48</v>
      </c>
      <c r="K4082" s="8" t="s">
        <v>9562</v>
      </c>
    </row>
    <row r="4083" customFormat="false" ht="45.75" hidden="false" customHeight="true" outlineLevel="0" collapsed="false">
      <c r="A4083" s="10" t="s">
        <v>9563</v>
      </c>
      <c r="B4083" s="10" t="s">
        <v>45</v>
      </c>
      <c r="C4083" s="8" t="s">
        <v>9560</v>
      </c>
      <c r="D4083" s="8" t="s">
        <v>9564</v>
      </c>
      <c r="E4083" s="11" t="n">
        <v>323</v>
      </c>
      <c r="F4083" s="8" t="str">
        <f aca="false">IFERROR(INDEX(Section_Master!$D$2:$D$477,MATCH($E4083,Section_Master!$A$2:$A$477,0))&amp;"","")</f>
        <v>Imprisonment up to 2 years, or fine, or both</v>
      </c>
      <c r="G4083" s="10" t="str">
        <f aca="false">IFERROR(INDEX(Section_Master!$E$2:$E$477,MATCH($E4083,Section_Master!$A$2:$A$477,0))&amp;"","")</f>
        <v>No</v>
      </c>
      <c r="H4083" s="10" t="str">
        <f aca="false">IFERROR(INDEX(Section_Master!$F$2:$F$477,MATCH($E4083,Section_Master!$A$2:$A$477,0))&amp;"","")</f>
        <v>Yes</v>
      </c>
      <c r="I4083" s="10" t="str">
        <f aca="false">IFERROR(INDEX(Section_Master!$G$2:$G$477,MATCH($E4083,Section_Master!$A$2:$A$477,0))&amp;"","")</f>
        <v>With court permission</v>
      </c>
      <c r="J4083" s="10" t="s">
        <v>52</v>
      </c>
      <c r="K4083" s="8" t="s">
        <v>9562</v>
      </c>
    </row>
    <row r="4084" customFormat="false" ht="34.5" hidden="false" customHeight="true" outlineLevel="0" collapsed="false">
      <c r="A4084" s="10" t="s">
        <v>9565</v>
      </c>
      <c r="B4084" s="10" t="s">
        <v>45</v>
      </c>
      <c r="C4084" s="8" t="s">
        <v>9560</v>
      </c>
      <c r="D4084" s="8" t="s">
        <v>9566</v>
      </c>
      <c r="E4084" s="11" t="n">
        <v>323</v>
      </c>
      <c r="F4084" s="8" t="str">
        <f aca="false">IFERROR(INDEX(Section_Master!$D$2:$D$477,MATCH($E4084,Section_Master!$A$2:$A$477,0))&amp;"","")</f>
        <v>Imprisonment up to 2 years, or fine, or both</v>
      </c>
      <c r="G4084" s="10" t="str">
        <f aca="false">IFERROR(INDEX(Section_Master!$E$2:$E$477,MATCH($E4084,Section_Master!$A$2:$A$477,0))&amp;"","")</f>
        <v>No</v>
      </c>
      <c r="H4084" s="10" t="str">
        <f aca="false">IFERROR(INDEX(Section_Master!$F$2:$F$477,MATCH($E4084,Section_Master!$A$2:$A$477,0))&amp;"","")</f>
        <v>Yes</v>
      </c>
      <c r="I4084" s="10" t="str">
        <f aca="false">IFERROR(INDEX(Section_Master!$G$2:$G$477,MATCH($E4084,Section_Master!$A$2:$A$477,0))&amp;"","")</f>
        <v>With court permission</v>
      </c>
      <c r="J4084" s="10" t="s">
        <v>55</v>
      </c>
      <c r="K4084" s="8" t="s">
        <v>9562</v>
      </c>
    </row>
    <row r="4085" customFormat="false" ht="23.25" hidden="false" customHeight="true" outlineLevel="0" collapsed="false">
      <c r="A4085" s="10" t="s">
        <v>9567</v>
      </c>
      <c r="B4085" s="10" t="s">
        <v>45</v>
      </c>
      <c r="C4085" s="8" t="s">
        <v>9560</v>
      </c>
      <c r="D4085" s="8" t="s">
        <v>9568</v>
      </c>
      <c r="E4085" s="11" t="n">
        <v>323</v>
      </c>
      <c r="F4085" s="8" t="str">
        <f aca="false">IFERROR(INDEX(Section_Master!$D$2:$D$477,MATCH($E4085,Section_Master!$A$2:$A$477,0))&amp;"","")</f>
        <v>Imprisonment up to 2 years, or fine, or both</v>
      </c>
      <c r="G4085" s="10" t="str">
        <f aca="false">IFERROR(INDEX(Section_Master!$E$2:$E$477,MATCH($E4085,Section_Master!$A$2:$A$477,0))&amp;"","")</f>
        <v>No</v>
      </c>
      <c r="H4085" s="10" t="str">
        <f aca="false">IFERROR(INDEX(Section_Master!$F$2:$F$477,MATCH($E4085,Section_Master!$A$2:$A$477,0))&amp;"","")</f>
        <v>Yes</v>
      </c>
      <c r="I4085" s="10" t="str">
        <f aca="false">IFERROR(INDEX(Section_Master!$G$2:$G$477,MATCH($E4085,Section_Master!$A$2:$A$477,0))&amp;"","")</f>
        <v>With court permission</v>
      </c>
      <c r="J4085" s="10" t="s">
        <v>58</v>
      </c>
      <c r="K4085" s="8" t="s">
        <v>9562</v>
      </c>
    </row>
    <row r="4086" customFormat="false" ht="34.5" hidden="false" customHeight="true" outlineLevel="0" collapsed="false">
      <c r="A4086" s="10" t="s">
        <v>9569</v>
      </c>
      <c r="B4086" s="10" t="s">
        <v>45</v>
      </c>
      <c r="C4086" s="8" t="s">
        <v>9560</v>
      </c>
      <c r="D4086" s="8" t="s">
        <v>9570</v>
      </c>
      <c r="E4086" s="11" t="n">
        <v>323</v>
      </c>
      <c r="F4086" s="8" t="str">
        <f aca="false">IFERROR(INDEX(Section_Master!$D$2:$D$477,MATCH($E4086,Section_Master!$A$2:$A$477,0))&amp;"","")</f>
        <v>Imprisonment up to 2 years, or fine, or both</v>
      </c>
      <c r="G4086" s="10" t="str">
        <f aca="false">IFERROR(INDEX(Section_Master!$E$2:$E$477,MATCH($E4086,Section_Master!$A$2:$A$477,0))&amp;"","")</f>
        <v>No</v>
      </c>
      <c r="H4086" s="10" t="str">
        <f aca="false">IFERROR(INDEX(Section_Master!$F$2:$F$477,MATCH($E4086,Section_Master!$A$2:$A$477,0))&amp;"","")</f>
        <v>Yes</v>
      </c>
      <c r="I4086" s="10" t="str">
        <f aca="false">IFERROR(INDEX(Section_Master!$G$2:$G$477,MATCH($E4086,Section_Master!$A$2:$A$477,0))&amp;"","")</f>
        <v>With court permission</v>
      </c>
      <c r="J4086" s="10" t="s">
        <v>61</v>
      </c>
      <c r="K4086" s="8" t="s">
        <v>9562</v>
      </c>
    </row>
    <row r="4087" customFormat="false" ht="45.75" hidden="false" customHeight="true" outlineLevel="0" collapsed="false">
      <c r="A4087" s="10" t="s">
        <v>9571</v>
      </c>
      <c r="B4087" s="10" t="s">
        <v>45</v>
      </c>
      <c r="C4087" s="8" t="s">
        <v>9560</v>
      </c>
      <c r="D4087" s="8" t="s">
        <v>9572</v>
      </c>
      <c r="E4087" s="11" t="n">
        <v>323</v>
      </c>
      <c r="F4087" s="8" t="str">
        <f aca="false">IFERROR(INDEX(Section_Master!$D$2:$D$477,MATCH($E4087,Section_Master!$A$2:$A$477,0))&amp;"","")</f>
        <v>Imprisonment up to 2 years, or fine, or both</v>
      </c>
      <c r="G4087" s="10" t="str">
        <f aca="false">IFERROR(INDEX(Section_Master!$E$2:$E$477,MATCH($E4087,Section_Master!$A$2:$A$477,0))&amp;"","")</f>
        <v>No</v>
      </c>
      <c r="H4087" s="10" t="str">
        <f aca="false">IFERROR(INDEX(Section_Master!$F$2:$F$477,MATCH($E4087,Section_Master!$A$2:$A$477,0))&amp;"","")</f>
        <v>Yes</v>
      </c>
      <c r="I4087" s="10" t="str">
        <f aca="false">IFERROR(INDEX(Section_Master!$G$2:$G$477,MATCH($E4087,Section_Master!$A$2:$A$477,0))&amp;"","")</f>
        <v>With court permission</v>
      </c>
      <c r="J4087" s="10" t="s">
        <v>64</v>
      </c>
      <c r="K4087" s="8" t="s">
        <v>9562</v>
      </c>
    </row>
    <row r="4088" customFormat="false" ht="23.25" hidden="false" customHeight="true" outlineLevel="0" collapsed="false">
      <c r="A4088" s="10" t="s">
        <v>9573</v>
      </c>
      <c r="B4088" s="10" t="s">
        <v>45</v>
      </c>
      <c r="C4088" s="8" t="s">
        <v>9574</v>
      </c>
      <c r="D4088" s="8" t="s">
        <v>9575</v>
      </c>
      <c r="E4088" s="11" t="n">
        <v>324</v>
      </c>
      <c r="F4088" s="8" t="str">
        <f aca="false">IFERROR(INDEX(Section_Master!$D$2:$D$477,MATCH($E4088,Section_Master!$A$2:$A$477,0))&amp;"","")</f>
        <v>Imprisonment up to 6 months, or fine, or both [s.324(2)]; higher terms (up to 5 years) for larger loss or damage to public property [s.324(3)-(5)]</v>
      </c>
      <c r="G4088" s="10" t="str">
        <f aca="false">IFERROR(INDEX(Section_Master!$E$2:$E$477,MATCH($E4088,Section_Master!$A$2:$A$477,0))&amp;"","")</f>
        <v>Varies by sub-section</v>
      </c>
      <c r="H4088" s="10" t="str">
        <f aca="false">IFERROR(INDEX(Section_Master!$F$2:$F$477,MATCH($E4088,Section_Master!$A$2:$A$477,0))&amp;"","")</f>
        <v>Varies by sub-section</v>
      </c>
      <c r="I4088" s="10" t="str">
        <f aca="false">IFERROR(INDEX(Section_Master!$G$2:$G$477,MATCH($E4088,Section_Master!$A$2:$A$477,0))&amp;"","")</f>
        <v>Varies by sub-section</v>
      </c>
      <c r="J4088" s="10" t="s">
        <v>48</v>
      </c>
      <c r="K4088" s="8" t="s">
        <v>9576</v>
      </c>
    </row>
    <row r="4089" customFormat="false" ht="34.5" hidden="false" customHeight="true" outlineLevel="0" collapsed="false">
      <c r="A4089" s="10" t="s">
        <v>9577</v>
      </c>
      <c r="B4089" s="10" t="s">
        <v>45</v>
      </c>
      <c r="C4089" s="8" t="s">
        <v>9574</v>
      </c>
      <c r="D4089" s="8" t="s">
        <v>9578</v>
      </c>
      <c r="E4089" s="11" t="n">
        <v>324</v>
      </c>
      <c r="F4089" s="8" t="str">
        <f aca="false">IFERROR(INDEX(Section_Master!$D$2:$D$477,MATCH($E4089,Section_Master!$A$2:$A$477,0))&amp;"","")</f>
        <v>Imprisonment up to 6 months, or fine, or both [s.324(2)]; higher terms (up to 5 years) for larger loss or damage to public property [s.324(3)-(5)]</v>
      </c>
      <c r="G4089" s="10" t="str">
        <f aca="false">IFERROR(INDEX(Section_Master!$E$2:$E$477,MATCH($E4089,Section_Master!$A$2:$A$477,0))&amp;"","")</f>
        <v>Varies by sub-section</v>
      </c>
      <c r="H4089" s="10" t="str">
        <f aca="false">IFERROR(INDEX(Section_Master!$F$2:$F$477,MATCH($E4089,Section_Master!$A$2:$A$477,0))&amp;"","")</f>
        <v>Varies by sub-section</v>
      </c>
      <c r="I4089" s="10" t="str">
        <f aca="false">IFERROR(INDEX(Section_Master!$G$2:$G$477,MATCH($E4089,Section_Master!$A$2:$A$477,0))&amp;"","")</f>
        <v>Varies by sub-section</v>
      </c>
      <c r="J4089" s="10" t="s">
        <v>52</v>
      </c>
      <c r="K4089" s="8" t="s">
        <v>9576</v>
      </c>
    </row>
    <row r="4090" customFormat="false" ht="34.5" hidden="false" customHeight="true" outlineLevel="0" collapsed="false">
      <c r="A4090" s="10" t="s">
        <v>9579</v>
      </c>
      <c r="B4090" s="10" t="s">
        <v>45</v>
      </c>
      <c r="C4090" s="8" t="s">
        <v>9574</v>
      </c>
      <c r="D4090" s="8" t="s">
        <v>9580</v>
      </c>
      <c r="E4090" s="11" t="n">
        <v>324</v>
      </c>
      <c r="F4090" s="8" t="str">
        <f aca="false">IFERROR(INDEX(Section_Master!$D$2:$D$477,MATCH($E4090,Section_Master!$A$2:$A$477,0))&amp;"","")</f>
        <v>Imprisonment up to 6 months, or fine, or both [s.324(2)]; higher terms (up to 5 years) for larger loss or damage to public property [s.324(3)-(5)]</v>
      </c>
      <c r="G4090" s="10" t="str">
        <f aca="false">IFERROR(INDEX(Section_Master!$E$2:$E$477,MATCH($E4090,Section_Master!$A$2:$A$477,0))&amp;"","")</f>
        <v>Varies by sub-section</v>
      </c>
      <c r="H4090" s="10" t="str">
        <f aca="false">IFERROR(INDEX(Section_Master!$F$2:$F$477,MATCH($E4090,Section_Master!$A$2:$A$477,0))&amp;"","")</f>
        <v>Varies by sub-section</v>
      </c>
      <c r="I4090" s="10" t="str">
        <f aca="false">IFERROR(INDEX(Section_Master!$G$2:$G$477,MATCH($E4090,Section_Master!$A$2:$A$477,0))&amp;"","")</f>
        <v>Varies by sub-section</v>
      </c>
      <c r="J4090" s="10" t="s">
        <v>55</v>
      </c>
      <c r="K4090" s="8" t="s">
        <v>9576</v>
      </c>
    </row>
    <row r="4091" customFormat="false" ht="23.25" hidden="false" customHeight="true" outlineLevel="0" collapsed="false">
      <c r="A4091" s="10" t="s">
        <v>9581</v>
      </c>
      <c r="B4091" s="10" t="s">
        <v>45</v>
      </c>
      <c r="C4091" s="8" t="s">
        <v>9574</v>
      </c>
      <c r="D4091" s="8" t="s">
        <v>9582</v>
      </c>
      <c r="E4091" s="11" t="n">
        <v>324</v>
      </c>
      <c r="F4091" s="8" t="str">
        <f aca="false">IFERROR(INDEX(Section_Master!$D$2:$D$477,MATCH($E4091,Section_Master!$A$2:$A$477,0))&amp;"","")</f>
        <v>Imprisonment up to 6 months, or fine, or both [s.324(2)]; higher terms (up to 5 years) for larger loss or damage to public property [s.324(3)-(5)]</v>
      </c>
      <c r="G4091" s="10" t="str">
        <f aca="false">IFERROR(INDEX(Section_Master!$E$2:$E$477,MATCH($E4091,Section_Master!$A$2:$A$477,0))&amp;"","")</f>
        <v>Varies by sub-section</v>
      </c>
      <c r="H4091" s="10" t="str">
        <f aca="false">IFERROR(INDEX(Section_Master!$F$2:$F$477,MATCH($E4091,Section_Master!$A$2:$A$477,0))&amp;"","")</f>
        <v>Varies by sub-section</v>
      </c>
      <c r="I4091" s="10" t="str">
        <f aca="false">IFERROR(INDEX(Section_Master!$G$2:$G$477,MATCH($E4091,Section_Master!$A$2:$A$477,0))&amp;"","")</f>
        <v>Varies by sub-section</v>
      </c>
      <c r="J4091" s="10" t="s">
        <v>58</v>
      </c>
      <c r="K4091" s="8" t="s">
        <v>9576</v>
      </c>
    </row>
    <row r="4092" customFormat="false" ht="34.5" hidden="false" customHeight="true" outlineLevel="0" collapsed="false">
      <c r="A4092" s="10" t="s">
        <v>9583</v>
      </c>
      <c r="B4092" s="10" t="s">
        <v>45</v>
      </c>
      <c r="C4092" s="8" t="s">
        <v>9574</v>
      </c>
      <c r="D4092" s="8" t="s">
        <v>9584</v>
      </c>
      <c r="E4092" s="11" t="n">
        <v>324</v>
      </c>
      <c r="F4092" s="8" t="str">
        <f aca="false">IFERROR(INDEX(Section_Master!$D$2:$D$477,MATCH($E4092,Section_Master!$A$2:$A$477,0))&amp;"","")</f>
        <v>Imprisonment up to 6 months, or fine, or both [s.324(2)]; higher terms (up to 5 years) for larger loss or damage to public property [s.324(3)-(5)]</v>
      </c>
      <c r="G4092" s="10" t="str">
        <f aca="false">IFERROR(INDEX(Section_Master!$E$2:$E$477,MATCH($E4092,Section_Master!$A$2:$A$477,0))&amp;"","")</f>
        <v>Varies by sub-section</v>
      </c>
      <c r="H4092" s="10" t="str">
        <f aca="false">IFERROR(INDEX(Section_Master!$F$2:$F$477,MATCH($E4092,Section_Master!$A$2:$A$477,0))&amp;"","")</f>
        <v>Varies by sub-section</v>
      </c>
      <c r="I4092" s="10" t="str">
        <f aca="false">IFERROR(INDEX(Section_Master!$G$2:$G$477,MATCH($E4092,Section_Master!$A$2:$A$477,0))&amp;"","")</f>
        <v>Varies by sub-section</v>
      </c>
      <c r="J4092" s="10" t="s">
        <v>61</v>
      </c>
      <c r="K4092" s="8" t="s">
        <v>9576</v>
      </c>
    </row>
    <row r="4093" customFormat="false" ht="45.75" hidden="false" customHeight="true" outlineLevel="0" collapsed="false">
      <c r="A4093" s="10" t="s">
        <v>9585</v>
      </c>
      <c r="B4093" s="10" t="s">
        <v>45</v>
      </c>
      <c r="C4093" s="8" t="s">
        <v>9574</v>
      </c>
      <c r="D4093" s="8" t="s">
        <v>9586</v>
      </c>
      <c r="E4093" s="11" t="n">
        <v>324</v>
      </c>
      <c r="F4093" s="8" t="str">
        <f aca="false">IFERROR(INDEX(Section_Master!$D$2:$D$477,MATCH($E4093,Section_Master!$A$2:$A$477,0))&amp;"","")</f>
        <v>Imprisonment up to 6 months, or fine, or both [s.324(2)]; higher terms (up to 5 years) for larger loss or damage to public property [s.324(3)-(5)]</v>
      </c>
      <c r="G4093" s="10" t="str">
        <f aca="false">IFERROR(INDEX(Section_Master!$E$2:$E$477,MATCH($E4093,Section_Master!$A$2:$A$477,0))&amp;"","")</f>
        <v>Varies by sub-section</v>
      </c>
      <c r="H4093" s="10" t="str">
        <f aca="false">IFERROR(INDEX(Section_Master!$F$2:$F$477,MATCH($E4093,Section_Master!$A$2:$A$477,0))&amp;"","")</f>
        <v>Varies by sub-section</v>
      </c>
      <c r="I4093" s="10" t="str">
        <f aca="false">IFERROR(INDEX(Section_Master!$G$2:$G$477,MATCH($E4093,Section_Master!$A$2:$A$477,0))&amp;"","")</f>
        <v>Varies by sub-section</v>
      </c>
      <c r="J4093" s="10" t="s">
        <v>64</v>
      </c>
      <c r="K4093" s="8" t="s">
        <v>9576</v>
      </c>
    </row>
    <row r="4094" customFormat="false" ht="34.5" hidden="false" customHeight="true" outlineLevel="0" collapsed="false">
      <c r="A4094" s="10" t="s">
        <v>9587</v>
      </c>
      <c r="B4094" s="10" t="s">
        <v>45</v>
      </c>
      <c r="C4094" s="8" t="s">
        <v>9588</v>
      </c>
      <c r="D4094" s="8" t="s">
        <v>9589</v>
      </c>
      <c r="E4094" s="11" t="n">
        <v>325</v>
      </c>
      <c r="F4094" s="8" t="str">
        <f aca="false">IFERROR(INDEX(Section_Master!$D$2:$D$477,MATCH($E4094,Section_Master!$A$2:$A$477,0))&amp;"","")</f>
        <v>Imprisonment up to 5 years, or fine, or both</v>
      </c>
      <c r="G4094" s="10" t="str">
        <f aca="false">IFERROR(INDEX(Section_Master!$E$2:$E$477,MATCH($E4094,Section_Master!$A$2:$A$477,0))&amp;"","")</f>
        <v>Yes</v>
      </c>
      <c r="H4094" s="10" t="str">
        <f aca="false">IFERROR(INDEX(Section_Master!$F$2:$F$477,MATCH($E4094,Section_Master!$A$2:$A$477,0))&amp;"","")</f>
        <v>Yes</v>
      </c>
      <c r="I4094" s="10" t="str">
        <f aca="false">IFERROR(INDEX(Section_Master!$G$2:$G$477,MATCH($E4094,Section_Master!$A$2:$A$477,0))&amp;"","")</f>
        <v>No</v>
      </c>
      <c r="J4094" s="10" t="s">
        <v>48</v>
      </c>
      <c r="K4094" s="8" t="s">
        <v>9590</v>
      </c>
    </row>
    <row r="4095" customFormat="false" ht="45.75" hidden="false" customHeight="true" outlineLevel="0" collapsed="false">
      <c r="A4095" s="10" t="s">
        <v>9591</v>
      </c>
      <c r="B4095" s="10" t="s">
        <v>45</v>
      </c>
      <c r="C4095" s="8" t="s">
        <v>9588</v>
      </c>
      <c r="D4095" s="8" t="s">
        <v>9592</v>
      </c>
      <c r="E4095" s="11" t="n">
        <v>325</v>
      </c>
      <c r="F4095" s="8" t="str">
        <f aca="false">IFERROR(INDEX(Section_Master!$D$2:$D$477,MATCH($E4095,Section_Master!$A$2:$A$477,0))&amp;"","")</f>
        <v>Imprisonment up to 5 years, or fine, or both</v>
      </c>
      <c r="G4095" s="10" t="str">
        <f aca="false">IFERROR(INDEX(Section_Master!$E$2:$E$477,MATCH($E4095,Section_Master!$A$2:$A$477,0))&amp;"","")</f>
        <v>Yes</v>
      </c>
      <c r="H4095" s="10" t="str">
        <f aca="false">IFERROR(INDEX(Section_Master!$F$2:$F$477,MATCH($E4095,Section_Master!$A$2:$A$477,0))&amp;"","")</f>
        <v>Yes</v>
      </c>
      <c r="I4095" s="10" t="str">
        <f aca="false">IFERROR(INDEX(Section_Master!$G$2:$G$477,MATCH($E4095,Section_Master!$A$2:$A$477,0))&amp;"","")</f>
        <v>No</v>
      </c>
      <c r="J4095" s="10" t="s">
        <v>52</v>
      </c>
      <c r="K4095" s="8" t="s">
        <v>9590</v>
      </c>
    </row>
    <row r="4096" customFormat="false" ht="34.5" hidden="false" customHeight="true" outlineLevel="0" collapsed="false">
      <c r="A4096" s="10" t="s">
        <v>9593</v>
      </c>
      <c r="B4096" s="10" t="s">
        <v>45</v>
      </c>
      <c r="C4096" s="8" t="s">
        <v>9588</v>
      </c>
      <c r="D4096" s="8" t="s">
        <v>9594</v>
      </c>
      <c r="E4096" s="11" t="n">
        <v>325</v>
      </c>
      <c r="F4096" s="8" t="str">
        <f aca="false">IFERROR(INDEX(Section_Master!$D$2:$D$477,MATCH($E4096,Section_Master!$A$2:$A$477,0))&amp;"","")</f>
        <v>Imprisonment up to 5 years, or fine, or both</v>
      </c>
      <c r="G4096" s="10" t="str">
        <f aca="false">IFERROR(INDEX(Section_Master!$E$2:$E$477,MATCH($E4096,Section_Master!$A$2:$A$477,0))&amp;"","")</f>
        <v>Yes</v>
      </c>
      <c r="H4096" s="10" t="str">
        <f aca="false">IFERROR(INDEX(Section_Master!$F$2:$F$477,MATCH($E4096,Section_Master!$A$2:$A$477,0))&amp;"","")</f>
        <v>Yes</v>
      </c>
      <c r="I4096" s="10" t="str">
        <f aca="false">IFERROR(INDEX(Section_Master!$G$2:$G$477,MATCH($E4096,Section_Master!$A$2:$A$477,0))&amp;"","")</f>
        <v>No</v>
      </c>
      <c r="J4096" s="10" t="s">
        <v>55</v>
      </c>
      <c r="K4096" s="8" t="s">
        <v>9590</v>
      </c>
    </row>
    <row r="4097" customFormat="false" ht="23.25" hidden="false" customHeight="true" outlineLevel="0" collapsed="false">
      <c r="A4097" s="10" t="s">
        <v>9595</v>
      </c>
      <c r="B4097" s="10" t="s">
        <v>45</v>
      </c>
      <c r="C4097" s="8" t="s">
        <v>9588</v>
      </c>
      <c r="D4097" s="8" t="s">
        <v>9596</v>
      </c>
      <c r="E4097" s="11" t="n">
        <v>325</v>
      </c>
      <c r="F4097" s="8" t="str">
        <f aca="false">IFERROR(INDEX(Section_Master!$D$2:$D$477,MATCH($E4097,Section_Master!$A$2:$A$477,0))&amp;"","")</f>
        <v>Imprisonment up to 5 years, or fine, or both</v>
      </c>
      <c r="G4097" s="10" t="str">
        <f aca="false">IFERROR(INDEX(Section_Master!$E$2:$E$477,MATCH($E4097,Section_Master!$A$2:$A$477,0))&amp;"","")</f>
        <v>Yes</v>
      </c>
      <c r="H4097" s="10" t="str">
        <f aca="false">IFERROR(INDEX(Section_Master!$F$2:$F$477,MATCH($E4097,Section_Master!$A$2:$A$477,0))&amp;"","")</f>
        <v>Yes</v>
      </c>
      <c r="I4097" s="10" t="str">
        <f aca="false">IFERROR(INDEX(Section_Master!$G$2:$G$477,MATCH($E4097,Section_Master!$A$2:$A$477,0))&amp;"","")</f>
        <v>No</v>
      </c>
      <c r="J4097" s="10" t="s">
        <v>58</v>
      </c>
      <c r="K4097" s="8" t="s">
        <v>9590</v>
      </c>
    </row>
    <row r="4098" customFormat="false" ht="34.5" hidden="false" customHeight="true" outlineLevel="0" collapsed="false">
      <c r="A4098" s="10" t="s">
        <v>9597</v>
      </c>
      <c r="B4098" s="10" t="s">
        <v>45</v>
      </c>
      <c r="C4098" s="8" t="s">
        <v>9588</v>
      </c>
      <c r="D4098" s="8" t="s">
        <v>9598</v>
      </c>
      <c r="E4098" s="11" t="n">
        <v>325</v>
      </c>
      <c r="F4098" s="8" t="str">
        <f aca="false">IFERROR(INDEX(Section_Master!$D$2:$D$477,MATCH($E4098,Section_Master!$A$2:$A$477,0))&amp;"","")</f>
        <v>Imprisonment up to 5 years, or fine, or both</v>
      </c>
      <c r="G4098" s="10" t="str">
        <f aca="false">IFERROR(INDEX(Section_Master!$E$2:$E$477,MATCH($E4098,Section_Master!$A$2:$A$477,0))&amp;"","")</f>
        <v>Yes</v>
      </c>
      <c r="H4098" s="10" t="str">
        <f aca="false">IFERROR(INDEX(Section_Master!$F$2:$F$477,MATCH($E4098,Section_Master!$A$2:$A$477,0))&amp;"","")</f>
        <v>Yes</v>
      </c>
      <c r="I4098" s="10" t="str">
        <f aca="false">IFERROR(INDEX(Section_Master!$G$2:$G$477,MATCH($E4098,Section_Master!$A$2:$A$477,0))&amp;"","")</f>
        <v>No</v>
      </c>
      <c r="J4098" s="10" t="s">
        <v>61</v>
      </c>
      <c r="K4098" s="8" t="s">
        <v>9590</v>
      </c>
    </row>
    <row r="4099" customFormat="false" ht="45.75" hidden="false" customHeight="true" outlineLevel="0" collapsed="false">
      <c r="A4099" s="10" t="s">
        <v>9599</v>
      </c>
      <c r="B4099" s="10" t="s">
        <v>45</v>
      </c>
      <c r="C4099" s="8" t="s">
        <v>9588</v>
      </c>
      <c r="D4099" s="8" t="s">
        <v>9600</v>
      </c>
      <c r="E4099" s="11" t="n">
        <v>325</v>
      </c>
      <c r="F4099" s="8" t="str">
        <f aca="false">IFERROR(INDEX(Section_Master!$D$2:$D$477,MATCH($E4099,Section_Master!$A$2:$A$477,0))&amp;"","")</f>
        <v>Imprisonment up to 5 years, or fine, or both</v>
      </c>
      <c r="G4099" s="10" t="str">
        <f aca="false">IFERROR(INDEX(Section_Master!$E$2:$E$477,MATCH($E4099,Section_Master!$A$2:$A$477,0))&amp;"","")</f>
        <v>Yes</v>
      </c>
      <c r="H4099" s="10" t="str">
        <f aca="false">IFERROR(INDEX(Section_Master!$F$2:$F$477,MATCH($E4099,Section_Master!$A$2:$A$477,0))&amp;"","")</f>
        <v>Yes</v>
      </c>
      <c r="I4099" s="10" t="str">
        <f aca="false">IFERROR(INDEX(Section_Master!$G$2:$G$477,MATCH($E4099,Section_Master!$A$2:$A$477,0))&amp;"","")</f>
        <v>No</v>
      </c>
      <c r="J4099" s="10" t="s">
        <v>64</v>
      </c>
      <c r="K4099" s="8" t="s">
        <v>9590</v>
      </c>
    </row>
    <row r="4100" customFormat="false" ht="34.5" hidden="false" customHeight="true" outlineLevel="0" collapsed="false">
      <c r="A4100" s="10" t="s">
        <v>9601</v>
      </c>
      <c r="B4100" s="10" t="s">
        <v>45</v>
      </c>
      <c r="C4100" s="8" t="s">
        <v>9602</v>
      </c>
      <c r="D4100" s="8" t="s">
        <v>9603</v>
      </c>
      <c r="E4100" s="11" t="n">
        <v>326</v>
      </c>
      <c r="F4100" s="8" t="str">
        <f aca="false">IFERROR(INDEX(Section_Master!$D$2:$D$477,MATCH($E4100,Section_Master!$A$2:$A$477,0))&amp;"","")</f>
        <v>Imprisonment up to 5 years, 7 years, 10 years or life, depending on the nature of mischief [s.326]</v>
      </c>
      <c r="G4100" s="10" t="str">
        <f aca="false">IFERROR(INDEX(Section_Master!$E$2:$E$477,MATCH($E4100,Section_Master!$A$2:$A$477,0))&amp;"","")</f>
        <v>Varies by sub-section</v>
      </c>
      <c r="H4100" s="10" t="str">
        <f aca="false">IFERROR(INDEX(Section_Master!$F$2:$F$477,MATCH($E4100,Section_Master!$A$2:$A$477,0))&amp;"","")</f>
        <v>Varies by sub-section</v>
      </c>
      <c r="I4100" s="10" t="str">
        <f aca="false">IFERROR(INDEX(Section_Master!$G$2:$G$477,MATCH($E4100,Section_Master!$A$2:$A$477,0))&amp;"","")</f>
        <v>Varies by sub-section</v>
      </c>
      <c r="J4100" s="10" t="s">
        <v>48</v>
      </c>
      <c r="K4100" s="8" t="s">
        <v>9604</v>
      </c>
    </row>
    <row r="4101" customFormat="false" ht="34.5" hidden="false" customHeight="true" outlineLevel="0" collapsed="false">
      <c r="A4101" s="10" t="s">
        <v>9605</v>
      </c>
      <c r="B4101" s="10" t="s">
        <v>45</v>
      </c>
      <c r="C4101" s="8" t="s">
        <v>9602</v>
      </c>
      <c r="D4101" s="8" t="s">
        <v>9606</v>
      </c>
      <c r="E4101" s="11" t="n">
        <v>326</v>
      </c>
      <c r="F4101" s="8" t="str">
        <f aca="false">IFERROR(INDEX(Section_Master!$D$2:$D$477,MATCH($E4101,Section_Master!$A$2:$A$477,0))&amp;"","")</f>
        <v>Imprisonment up to 5 years, 7 years, 10 years or life, depending on the nature of mischief [s.326]</v>
      </c>
      <c r="G4101" s="10" t="str">
        <f aca="false">IFERROR(INDEX(Section_Master!$E$2:$E$477,MATCH($E4101,Section_Master!$A$2:$A$477,0))&amp;"","")</f>
        <v>Varies by sub-section</v>
      </c>
      <c r="H4101" s="10" t="str">
        <f aca="false">IFERROR(INDEX(Section_Master!$F$2:$F$477,MATCH($E4101,Section_Master!$A$2:$A$477,0))&amp;"","")</f>
        <v>Varies by sub-section</v>
      </c>
      <c r="I4101" s="10" t="str">
        <f aca="false">IFERROR(INDEX(Section_Master!$G$2:$G$477,MATCH($E4101,Section_Master!$A$2:$A$477,0))&amp;"","")</f>
        <v>Varies by sub-section</v>
      </c>
      <c r="J4101" s="10" t="s">
        <v>52</v>
      </c>
      <c r="K4101" s="8" t="s">
        <v>9604</v>
      </c>
    </row>
    <row r="4102" customFormat="false" ht="34.5" hidden="false" customHeight="true" outlineLevel="0" collapsed="false">
      <c r="A4102" s="10" t="s">
        <v>9607</v>
      </c>
      <c r="B4102" s="10" t="s">
        <v>45</v>
      </c>
      <c r="C4102" s="8" t="s">
        <v>9602</v>
      </c>
      <c r="D4102" s="8" t="s">
        <v>9608</v>
      </c>
      <c r="E4102" s="11" t="n">
        <v>326</v>
      </c>
      <c r="F4102" s="8" t="str">
        <f aca="false">IFERROR(INDEX(Section_Master!$D$2:$D$477,MATCH($E4102,Section_Master!$A$2:$A$477,0))&amp;"","")</f>
        <v>Imprisonment up to 5 years, 7 years, 10 years or life, depending on the nature of mischief [s.326]</v>
      </c>
      <c r="G4102" s="10" t="str">
        <f aca="false">IFERROR(INDEX(Section_Master!$E$2:$E$477,MATCH($E4102,Section_Master!$A$2:$A$477,0))&amp;"","")</f>
        <v>Varies by sub-section</v>
      </c>
      <c r="H4102" s="10" t="str">
        <f aca="false">IFERROR(INDEX(Section_Master!$F$2:$F$477,MATCH($E4102,Section_Master!$A$2:$A$477,0))&amp;"","")</f>
        <v>Varies by sub-section</v>
      </c>
      <c r="I4102" s="10" t="str">
        <f aca="false">IFERROR(INDEX(Section_Master!$G$2:$G$477,MATCH($E4102,Section_Master!$A$2:$A$477,0))&amp;"","")</f>
        <v>Varies by sub-section</v>
      </c>
      <c r="J4102" s="10" t="s">
        <v>55</v>
      </c>
      <c r="K4102" s="8" t="s">
        <v>9604</v>
      </c>
    </row>
    <row r="4103" customFormat="false" ht="23.25" hidden="false" customHeight="true" outlineLevel="0" collapsed="false">
      <c r="A4103" s="10" t="s">
        <v>9609</v>
      </c>
      <c r="B4103" s="10" t="s">
        <v>45</v>
      </c>
      <c r="C4103" s="8" t="s">
        <v>9602</v>
      </c>
      <c r="D4103" s="8" t="s">
        <v>9610</v>
      </c>
      <c r="E4103" s="11" t="n">
        <v>326</v>
      </c>
      <c r="F4103" s="8" t="str">
        <f aca="false">IFERROR(INDEX(Section_Master!$D$2:$D$477,MATCH($E4103,Section_Master!$A$2:$A$477,0))&amp;"","")</f>
        <v>Imprisonment up to 5 years, 7 years, 10 years or life, depending on the nature of mischief [s.326]</v>
      </c>
      <c r="G4103" s="10" t="str">
        <f aca="false">IFERROR(INDEX(Section_Master!$E$2:$E$477,MATCH($E4103,Section_Master!$A$2:$A$477,0))&amp;"","")</f>
        <v>Varies by sub-section</v>
      </c>
      <c r="H4103" s="10" t="str">
        <f aca="false">IFERROR(INDEX(Section_Master!$F$2:$F$477,MATCH($E4103,Section_Master!$A$2:$A$477,0))&amp;"","")</f>
        <v>Varies by sub-section</v>
      </c>
      <c r="I4103" s="10" t="str">
        <f aca="false">IFERROR(INDEX(Section_Master!$G$2:$G$477,MATCH($E4103,Section_Master!$A$2:$A$477,0))&amp;"","")</f>
        <v>Varies by sub-section</v>
      </c>
      <c r="J4103" s="10" t="s">
        <v>58</v>
      </c>
      <c r="K4103" s="8" t="s">
        <v>9604</v>
      </c>
    </row>
    <row r="4104" customFormat="false" ht="23.25" hidden="false" customHeight="true" outlineLevel="0" collapsed="false">
      <c r="A4104" s="10" t="s">
        <v>9611</v>
      </c>
      <c r="B4104" s="10" t="s">
        <v>45</v>
      </c>
      <c r="C4104" s="8" t="s">
        <v>9602</v>
      </c>
      <c r="D4104" s="8" t="s">
        <v>9612</v>
      </c>
      <c r="E4104" s="11" t="n">
        <v>326</v>
      </c>
      <c r="F4104" s="8" t="str">
        <f aca="false">IFERROR(INDEX(Section_Master!$D$2:$D$477,MATCH($E4104,Section_Master!$A$2:$A$477,0))&amp;"","")</f>
        <v>Imprisonment up to 5 years, 7 years, 10 years or life, depending on the nature of mischief [s.326]</v>
      </c>
      <c r="G4104" s="10" t="str">
        <f aca="false">IFERROR(INDEX(Section_Master!$E$2:$E$477,MATCH($E4104,Section_Master!$A$2:$A$477,0))&amp;"","")</f>
        <v>Varies by sub-section</v>
      </c>
      <c r="H4104" s="10" t="str">
        <f aca="false">IFERROR(INDEX(Section_Master!$F$2:$F$477,MATCH($E4104,Section_Master!$A$2:$A$477,0))&amp;"","")</f>
        <v>Varies by sub-section</v>
      </c>
      <c r="I4104" s="10" t="str">
        <f aca="false">IFERROR(INDEX(Section_Master!$G$2:$G$477,MATCH($E4104,Section_Master!$A$2:$A$477,0))&amp;"","")</f>
        <v>Varies by sub-section</v>
      </c>
      <c r="J4104" s="10" t="s">
        <v>61</v>
      </c>
      <c r="K4104" s="8" t="s">
        <v>9604</v>
      </c>
    </row>
    <row r="4105" customFormat="false" ht="45.75" hidden="false" customHeight="true" outlineLevel="0" collapsed="false">
      <c r="A4105" s="10" t="s">
        <v>9613</v>
      </c>
      <c r="B4105" s="10" t="s">
        <v>45</v>
      </c>
      <c r="C4105" s="8" t="s">
        <v>9602</v>
      </c>
      <c r="D4105" s="8" t="s">
        <v>9614</v>
      </c>
      <c r="E4105" s="11" t="n">
        <v>326</v>
      </c>
      <c r="F4105" s="8" t="str">
        <f aca="false">IFERROR(INDEX(Section_Master!$D$2:$D$477,MATCH($E4105,Section_Master!$A$2:$A$477,0))&amp;"","")</f>
        <v>Imprisonment up to 5 years, 7 years, 10 years or life, depending on the nature of mischief [s.326]</v>
      </c>
      <c r="G4105" s="10" t="str">
        <f aca="false">IFERROR(INDEX(Section_Master!$E$2:$E$477,MATCH($E4105,Section_Master!$A$2:$A$477,0))&amp;"","")</f>
        <v>Varies by sub-section</v>
      </c>
      <c r="H4105" s="10" t="str">
        <f aca="false">IFERROR(INDEX(Section_Master!$F$2:$F$477,MATCH($E4105,Section_Master!$A$2:$A$477,0))&amp;"","")</f>
        <v>Varies by sub-section</v>
      </c>
      <c r="I4105" s="10" t="str">
        <f aca="false">IFERROR(INDEX(Section_Master!$G$2:$G$477,MATCH($E4105,Section_Master!$A$2:$A$477,0))&amp;"","")</f>
        <v>Varies by sub-section</v>
      </c>
      <c r="J4105" s="10" t="s">
        <v>64</v>
      </c>
      <c r="K4105" s="8" t="s">
        <v>9604</v>
      </c>
    </row>
    <row r="4106" customFormat="false" ht="34.5" hidden="false" customHeight="true" outlineLevel="0" collapsed="false">
      <c r="A4106" s="10" t="s">
        <v>9615</v>
      </c>
      <c r="B4106" s="10" t="s">
        <v>45</v>
      </c>
      <c r="C4106" s="8" t="s">
        <v>9616</v>
      </c>
      <c r="D4106" s="8" t="s">
        <v>9617</v>
      </c>
      <c r="E4106" s="11" t="n">
        <v>327</v>
      </c>
      <c r="F4106" s="8" t="str">
        <f aca="false">IFERROR(INDEX(Section_Master!$D$2:$D$477,MATCH($E4106,Section_Master!$A$2:$A$477,0))&amp;"","")</f>
        <v>Imprisonment for life, or up to 10 years, and fine</v>
      </c>
      <c r="G4106" s="10" t="str">
        <f aca="false">IFERROR(INDEX(Section_Master!$E$2:$E$477,MATCH($E4106,Section_Master!$A$2:$A$477,0))&amp;"","")</f>
        <v>Yes</v>
      </c>
      <c r="H4106" s="10" t="str">
        <f aca="false">IFERROR(INDEX(Section_Master!$F$2:$F$477,MATCH($E4106,Section_Master!$A$2:$A$477,0))&amp;"","")</f>
        <v>No</v>
      </c>
      <c r="I4106" s="10" t="str">
        <f aca="false">IFERROR(INDEX(Section_Master!$G$2:$G$477,MATCH($E4106,Section_Master!$A$2:$A$477,0))&amp;"","")</f>
        <v>No</v>
      </c>
      <c r="J4106" s="10" t="s">
        <v>48</v>
      </c>
      <c r="K4106" s="8" t="s">
        <v>9618</v>
      </c>
    </row>
    <row r="4107" customFormat="false" ht="34.5" hidden="false" customHeight="true" outlineLevel="0" collapsed="false">
      <c r="A4107" s="10" t="s">
        <v>9619</v>
      </c>
      <c r="B4107" s="10" t="s">
        <v>45</v>
      </c>
      <c r="C4107" s="8" t="s">
        <v>9616</v>
      </c>
      <c r="D4107" s="8" t="s">
        <v>9620</v>
      </c>
      <c r="E4107" s="11" t="n">
        <v>327</v>
      </c>
      <c r="F4107" s="8" t="str">
        <f aca="false">IFERROR(INDEX(Section_Master!$D$2:$D$477,MATCH($E4107,Section_Master!$A$2:$A$477,0))&amp;"","")</f>
        <v>Imprisonment for life, or up to 10 years, and fine</v>
      </c>
      <c r="G4107" s="10" t="str">
        <f aca="false">IFERROR(INDEX(Section_Master!$E$2:$E$477,MATCH($E4107,Section_Master!$A$2:$A$477,0))&amp;"","")</f>
        <v>Yes</v>
      </c>
      <c r="H4107" s="10" t="str">
        <f aca="false">IFERROR(INDEX(Section_Master!$F$2:$F$477,MATCH($E4107,Section_Master!$A$2:$A$477,0))&amp;"","")</f>
        <v>No</v>
      </c>
      <c r="I4107" s="10" t="str">
        <f aca="false">IFERROR(INDEX(Section_Master!$G$2:$G$477,MATCH($E4107,Section_Master!$A$2:$A$477,0))&amp;"","")</f>
        <v>No</v>
      </c>
      <c r="J4107" s="10" t="s">
        <v>52</v>
      </c>
      <c r="K4107" s="8" t="s">
        <v>9618</v>
      </c>
    </row>
    <row r="4108" customFormat="false" ht="34.5" hidden="false" customHeight="true" outlineLevel="0" collapsed="false">
      <c r="A4108" s="10" t="s">
        <v>9621</v>
      </c>
      <c r="B4108" s="10" t="s">
        <v>45</v>
      </c>
      <c r="C4108" s="8" t="s">
        <v>9616</v>
      </c>
      <c r="D4108" s="8" t="s">
        <v>9622</v>
      </c>
      <c r="E4108" s="11" t="n">
        <v>327</v>
      </c>
      <c r="F4108" s="8" t="str">
        <f aca="false">IFERROR(INDEX(Section_Master!$D$2:$D$477,MATCH($E4108,Section_Master!$A$2:$A$477,0))&amp;"","")</f>
        <v>Imprisonment for life, or up to 10 years, and fine</v>
      </c>
      <c r="G4108" s="10" t="str">
        <f aca="false">IFERROR(INDEX(Section_Master!$E$2:$E$477,MATCH($E4108,Section_Master!$A$2:$A$477,0))&amp;"","")</f>
        <v>Yes</v>
      </c>
      <c r="H4108" s="10" t="str">
        <f aca="false">IFERROR(INDEX(Section_Master!$F$2:$F$477,MATCH($E4108,Section_Master!$A$2:$A$477,0))&amp;"","")</f>
        <v>No</v>
      </c>
      <c r="I4108" s="10" t="str">
        <f aca="false">IFERROR(INDEX(Section_Master!$G$2:$G$477,MATCH($E4108,Section_Master!$A$2:$A$477,0))&amp;"","")</f>
        <v>No</v>
      </c>
      <c r="J4108" s="10" t="s">
        <v>55</v>
      </c>
      <c r="K4108" s="8" t="s">
        <v>9618</v>
      </c>
    </row>
    <row r="4109" customFormat="false" ht="23.25" hidden="false" customHeight="true" outlineLevel="0" collapsed="false">
      <c r="A4109" s="10" t="s">
        <v>9623</v>
      </c>
      <c r="B4109" s="10" t="s">
        <v>45</v>
      </c>
      <c r="C4109" s="8" t="s">
        <v>9616</v>
      </c>
      <c r="D4109" s="8" t="s">
        <v>9624</v>
      </c>
      <c r="E4109" s="11" t="n">
        <v>327</v>
      </c>
      <c r="F4109" s="8" t="str">
        <f aca="false">IFERROR(INDEX(Section_Master!$D$2:$D$477,MATCH($E4109,Section_Master!$A$2:$A$477,0))&amp;"","")</f>
        <v>Imprisonment for life, or up to 10 years, and fine</v>
      </c>
      <c r="G4109" s="10" t="str">
        <f aca="false">IFERROR(INDEX(Section_Master!$E$2:$E$477,MATCH($E4109,Section_Master!$A$2:$A$477,0))&amp;"","")</f>
        <v>Yes</v>
      </c>
      <c r="H4109" s="10" t="str">
        <f aca="false">IFERROR(INDEX(Section_Master!$F$2:$F$477,MATCH($E4109,Section_Master!$A$2:$A$477,0))&amp;"","")</f>
        <v>No</v>
      </c>
      <c r="I4109" s="10" t="str">
        <f aca="false">IFERROR(INDEX(Section_Master!$G$2:$G$477,MATCH($E4109,Section_Master!$A$2:$A$477,0))&amp;"","")</f>
        <v>No</v>
      </c>
      <c r="J4109" s="10" t="s">
        <v>58</v>
      </c>
      <c r="K4109" s="8" t="s">
        <v>9618</v>
      </c>
    </row>
    <row r="4110" customFormat="false" ht="45.75" hidden="false" customHeight="true" outlineLevel="0" collapsed="false">
      <c r="A4110" s="10" t="s">
        <v>9625</v>
      </c>
      <c r="B4110" s="10" t="s">
        <v>45</v>
      </c>
      <c r="C4110" s="8" t="s">
        <v>9616</v>
      </c>
      <c r="D4110" s="8" t="s">
        <v>9626</v>
      </c>
      <c r="E4110" s="11" t="n">
        <v>327</v>
      </c>
      <c r="F4110" s="8" t="str">
        <f aca="false">IFERROR(INDEX(Section_Master!$D$2:$D$477,MATCH($E4110,Section_Master!$A$2:$A$477,0))&amp;"","")</f>
        <v>Imprisonment for life, or up to 10 years, and fine</v>
      </c>
      <c r="G4110" s="10" t="str">
        <f aca="false">IFERROR(INDEX(Section_Master!$E$2:$E$477,MATCH($E4110,Section_Master!$A$2:$A$477,0))&amp;"","")</f>
        <v>Yes</v>
      </c>
      <c r="H4110" s="10" t="str">
        <f aca="false">IFERROR(INDEX(Section_Master!$F$2:$F$477,MATCH($E4110,Section_Master!$A$2:$A$477,0))&amp;"","")</f>
        <v>No</v>
      </c>
      <c r="I4110" s="10" t="str">
        <f aca="false">IFERROR(INDEX(Section_Master!$G$2:$G$477,MATCH($E4110,Section_Master!$A$2:$A$477,0))&amp;"","")</f>
        <v>No</v>
      </c>
      <c r="J4110" s="10" t="s">
        <v>61</v>
      </c>
      <c r="K4110" s="8" t="s">
        <v>9618</v>
      </c>
    </row>
    <row r="4111" customFormat="false" ht="45.75" hidden="false" customHeight="true" outlineLevel="0" collapsed="false">
      <c r="A4111" s="10" t="s">
        <v>9627</v>
      </c>
      <c r="B4111" s="10" t="s">
        <v>45</v>
      </c>
      <c r="C4111" s="8" t="s">
        <v>9616</v>
      </c>
      <c r="D4111" s="8" t="s">
        <v>9628</v>
      </c>
      <c r="E4111" s="11" t="n">
        <v>327</v>
      </c>
      <c r="F4111" s="8" t="str">
        <f aca="false">IFERROR(INDEX(Section_Master!$D$2:$D$477,MATCH($E4111,Section_Master!$A$2:$A$477,0))&amp;"","")</f>
        <v>Imprisonment for life, or up to 10 years, and fine</v>
      </c>
      <c r="G4111" s="10" t="str">
        <f aca="false">IFERROR(INDEX(Section_Master!$E$2:$E$477,MATCH($E4111,Section_Master!$A$2:$A$477,0))&amp;"","")</f>
        <v>Yes</v>
      </c>
      <c r="H4111" s="10" t="str">
        <f aca="false">IFERROR(INDEX(Section_Master!$F$2:$F$477,MATCH($E4111,Section_Master!$A$2:$A$477,0))&amp;"","")</f>
        <v>No</v>
      </c>
      <c r="I4111" s="10" t="str">
        <f aca="false">IFERROR(INDEX(Section_Master!$G$2:$G$477,MATCH($E4111,Section_Master!$A$2:$A$477,0))&amp;"","")</f>
        <v>No</v>
      </c>
      <c r="J4111" s="10" t="s">
        <v>64</v>
      </c>
      <c r="K4111" s="8" t="s">
        <v>9618</v>
      </c>
    </row>
    <row r="4112" customFormat="false" ht="34.5" hidden="false" customHeight="true" outlineLevel="0" collapsed="false">
      <c r="A4112" s="10" t="s">
        <v>9629</v>
      </c>
      <c r="B4112" s="10" t="s">
        <v>45</v>
      </c>
      <c r="C4112" s="8" t="s">
        <v>9630</v>
      </c>
      <c r="D4112" s="8" t="s">
        <v>9631</v>
      </c>
      <c r="E4112" s="11" t="n">
        <v>328</v>
      </c>
      <c r="F4112" s="8" t="str">
        <f aca="false">IFERROR(INDEX(Section_Master!$D$2:$D$477,MATCH($E4112,Section_Master!$A$2:$A$477,0))&amp;"","")</f>
        <v>Imprisonment up to 10 years and fine</v>
      </c>
      <c r="G4112" s="10" t="str">
        <f aca="false">IFERROR(INDEX(Section_Master!$E$2:$E$477,MATCH($E4112,Section_Master!$A$2:$A$477,0))&amp;"","")</f>
        <v>Yes</v>
      </c>
      <c r="H4112" s="10" t="str">
        <f aca="false">IFERROR(INDEX(Section_Master!$F$2:$F$477,MATCH($E4112,Section_Master!$A$2:$A$477,0))&amp;"","")</f>
        <v>No</v>
      </c>
      <c r="I4112" s="10" t="str">
        <f aca="false">IFERROR(INDEX(Section_Master!$G$2:$G$477,MATCH($E4112,Section_Master!$A$2:$A$477,0))&amp;"","")</f>
        <v>No</v>
      </c>
      <c r="J4112" s="10" t="s">
        <v>48</v>
      </c>
      <c r="K4112" s="8" t="s">
        <v>9632</v>
      </c>
    </row>
    <row r="4113" customFormat="false" ht="45.75" hidden="false" customHeight="true" outlineLevel="0" collapsed="false">
      <c r="A4113" s="10" t="s">
        <v>9633</v>
      </c>
      <c r="B4113" s="10" t="s">
        <v>45</v>
      </c>
      <c r="C4113" s="8" t="s">
        <v>9630</v>
      </c>
      <c r="D4113" s="8" t="s">
        <v>9634</v>
      </c>
      <c r="E4113" s="11" t="n">
        <v>328</v>
      </c>
      <c r="F4113" s="8" t="str">
        <f aca="false">IFERROR(INDEX(Section_Master!$D$2:$D$477,MATCH($E4113,Section_Master!$A$2:$A$477,0))&amp;"","")</f>
        <v>Imprisonment up to 10 years and fine</v>
      </c>
      <c r="G4113" s="10" t="str">
        <f aca="false">IFERROR(INDEX(Section_Master!$E$2:$E$477,MATCH($E4113,Section_Master!$A$2:$A$477,0))&amp;"","")</f>
        <v>Yes</v>
      </c>
      <c r="H4113" s="10" t="str">
        <f aca="false">IFERROR(INDEX(Section_Master!$F$2:$F$477,MATCH($E4113,Section_Master!$A$2:$A$477,0))&amp;"","")</f>
        <v>No</v>
      </c>
      <c r="I4113" s="10" t="str">
        <f aca="false">IFERROR(INDEX(Section_Master!$G$2:$G$477,MATCH($E4113,Section_Master!$A$2:$A$477,0))&amp;"","")</f>
        <v>No</v>
      </c>
      <c r="J4113" s="10" t="s">
        <v>52</v>
      </c>
      <c r="K4113" s="8" t="s">
        <v>9632</v>
      </c>
    </row>
    <row r="4114" customFormat="false" ht="34.5" hidden="false" customHeight="true" outlineLevel="0" collapsed="false">
      <c r="A4114" s="10" t="s">
        <v>9635</v>
      </c>
      <c r="B4114" s="10" t="s">
        <v>45</v>
      </c>
      <c r="C4114" s="8" t="s">
        <v>9630</v>
      </c>
      <c r="D4114" s="8" t="s">
        <v>9636</v>
      </c>
      <c r="E4114" s="11" t="n">
        <v>328</v>
      </c>
      <c r="F4114" s="8" t="str">
        <f aca="false">IFERROR(INDEX(Section_Master!$D$2:$D$477,MATCH($E4114,Section_Master!$A$2:$A$477,0))&amp;"","")</f>
        <v>Imprisonment up to 10 years and fine</v>
      </c>
      <c r="G4114" s="10" t="str">
        <f aca="false">IFERROR(INDEX(Section_Master!$E$2:$E$477,MATCH($E4114,Section_Master!$A$2:$A$477,0))&amp;"","")</f>
        <v>Yes</v>
      </c>
      <c r="H4114" s="10" t="str">
        <f aca="false">IFERROR(INDEX(Section_Master!$F$2:$F$477,MATCH($E4114,Section_Master!$A$2:$A$477,0))&amp;"","")</f>
        <v>No</v>
      </c>
      <c r="I4114" s="10" t="str">
        <f aca="false">IFERROR(INDEX(Section_Master!$G$2:$G$477,MATCH($E4114,Section_Master!$A$2:$A$477,0))&amp;"","")</f>
        <v>No</v>
      </c>
      <c r="J4114" s="10" t="s">
        <v>55</v>
      </c>
      <c r="K4114" s="8" t="s">
        <v>9632</v>
      </c>
    </row>
    <row r="4115" customFormat="false" ht="23.25" hidden="false" customHeight="true" outlineLevel="0" collapsed="false">
      <c r="A4115" s="10" t="s">
        <v>9637</v>
      </c>
      <c r="B4115" s="10" t="s">
        <v>45</v>
      </c>
      <c r="C4115" s="8" t="s">
        <v>9630</v>
      </c>
      <c r="D4115" s="8" t="s">
        <v>9638</v>
      </c>
      <c r="E4115" s="11" t="n">
        <v>328</v>
      </c>
      <c r="F4115" s="8" t="str">
        <f aca="false">IFERROR(INDEX(Section_Master!$D$2:$D$477,MATCH($E4115,Section_Master!$A$2:$A$477,0))&amp;"","")</f>
        <v>Imprisonment up to 10 years and fine</v>
      </c>
      <c r="G4115" s="10" t="str">
        <f aca="false">IFERROR(INDEX(Section_Master!$E$2:$E$477,MATCH($E4115,Section_Master!$A$2:$A$477,0))&amp;"","")</f>
        <v>Yes</v>
      </c>
      <c r="H4115" s="10" t="str">
        <f aca="false">IFERROR(INDEX(Section_Master!$F$2:$F$477,MATCH($E4115,Section_Master!$A$2:$A$477,0))&amp;"","")</f>
        <v>No</v>
      </c>
      <c r="I4115" s="10" t="str">
        <f aca="false">IFERROR(INDEX(Section_Master!$G$2:$G$477,MATCH($E4115,Section_Master!$A$2:$A$477,0))&amp;"","")</f>
        <v>No</v>
      </c>
      <c r="J4115" s="10" t="s">
        <v>58</v>
      </c>
      <c r="K4115" s="8" t="s">
        <v>9632</v>
      </c>
    </row>
    <row r="4116" customFormat="false" ht="34.5" hidden="false" customHeight="true" outlineLevel="0" collapsed="false">
      <c r="A4116" s="10" t="s">
        <v>9639</v>
      </c>
      <c r="B4116" s="10" t="s">
        <v>45</v>
      </c>
      <c r="C4116" s="8" t="s">
        <v>9630</v>
      </c>
      <c r="D4116" s="8" t="s">
        <v>9640</v>
      </c>
      <c r="E4116" s="11" t="n">
        <v>328</v>
      </c>
      <c r="F4116" s="8" t="str">
        <f aca="false">IFERROR(INDEX(Section_Master!$D$2:$D$477,MATCH($E4116,Section_Master!$A$2:$A$477,0))&amp;"","")</f>
        <v>Imprisonment up to 10 years and fine</v>
      </c>
      <c r="G4116" s="10" t="str">
        <f aca="false">IFERROR(INDEX(Section_Master!$E$2:$E$477,MATCH($E4116,Section_Master!$A$2:$A$477,0))&amp;"","")</f>
        <v>Yes</v>
      </c>
      <c r="H4116" s="10" t="str">
        <f aca="false">IFERROR(INDEX(Section_Master!$F$2:$F$477,MATCH($E4116,Section_Master!$A$2:$A$477,0))&amp;"","")</f>
        <v>No</v>
      </c>
      <c r="I4116" s="10" t="str">
        <f aca="false">IFERROR(INDEX(Section_Master!$G$2:$G$477,MATCH($E4116,Section_Master!$A$2:$A$477,0))&amp;"","")</f>
        <v>No</v>
      </c>
      <c r="J4116" s="10" t="s">
        <v>61</v>
      </c>
      <c r="K4116" s="8" t="s">
        <v>9632</v>
      </c>
    </row>
    <row r="4117" customFormat="false" ht="45.75" hidden="false" customHeight="true" outlineLevel="0" collapsed="false">
      <c r="A4117" s="10" t="s">
        <v>9641</v>
      </c>
      <c r="B4117" s="10" t="s">
        <v>45</v>
      </c>
      <c r="C4117" s="8" t="s">
        <v>9630</v>
      </c>
      <c r="D4117" s="8" t="s">
        <v>9642</v>
      </c>
      <c r="E4117" s="11" t="n">
        <v>328</v>
      </c>
      <c r="F4117" s="8" t="str">
        <f aca="false">IFERROR(INDEX(Section_Master!$D$2:$D$477,MATCH($E4117,Section_Master!$A$2:$A$477,0))&amp;"","")</f>
        <v>Imprisonment up to 10 years and fine</v>
      </c>
      <c r="G4117" s="10" t="str">
        <f aca="false">IFERROR(INDEX(Section_Master!$E$2:$E$477,MATCH($E4117,Section_Master!$A$2:$A$477,0))&amp;"","")</f>
        <v>Yes</v>
      </c>
      <c r="H4117" s="10" t="str">
        <f aca="false">IFERROR(INDEX(Section_Master!$F$2:$F$477,MATCH($E4117,Section_Master!$A$2:$A$477,0))&amp;"","")</f>
        <v>No</v>
      </c>
      <c r="I4117" s="10" t="str">
        <f aca="false">IFERROR(INDEX(Section_Master!$G$2:$G$477,MATCH($E4117,Section_Master!$A$2:$A$477,0))&amp;"","")</f>
        <v>No</v>
      </c>
      <c r="J4117" s="10" t="s">
        <v>64</v>
      </c>
      <c r="K4117" s="8" t="s">
        <v>9632</v>
      </c>
    </row>
    <row r="4118" customFormat="false" ht="34.5" hidden="false" customHeight="true" outlineLevel="0" collapsed="false">
      <c r="A4118" s="10" t="s">
        <v>9643</v>
      </c>
      <c r="B4118" s="10" t="s">
        <v>45</v>
      </c>
      <c r="C4118" s="8" t="s">
        <v>9644</v>
      </c>
      <c r="D4118" s="8" t="s">
        <v>9645</v>
      </c>
      <c r="E4118" s="11" t="n">
        <v>329</v>
      </c>
      <c r="F4118" s="8" t="str">
        <f aca="false">IFERROR(INDEX(Section_Master!$D$2:$D$477,MATCH($E4118,Section_Master!$A$2:$A$477,0))&amp;"","")</f>
        <v>Imprisonment up to 3 months, or fine, or both [s.329(3)]; up to 1 year, or fine, or both for house-trespass [s.329(4)]</v>
      </c>
      <c r="G4118" s="10" t="str">
        <f aca="false">IFERROR(INDEX(Section_Master!$E$2:$E$477,MATCH($E4118,Section_Master!$A$2:$A$477,0))&amp;"","")</f>
        <v>No</v>
      </c>
      <c r="H4118" s="10" t="str">
        <f aca="false">IFERROR(INDEX(Section_Master!$F$2:$F$477,MATCH($E4118,Section_Master!$A$2:$A$477,0))&amp;"","")</f>
        <v>Yes</v>
      </c>
      <c r="I4118" s="10" t="str">
        <f aca="false">IFERROR(INDEX(Section_Master!$G$2:$G$477,MATCH($E4118,Section_Master!$A$2:$A$477,0))&amp;"","")</f>
        <v>Yes</v>
      </c>
      <c r="J4118" s="10" t="s">
        <v>48</v>
      </c>
      <c r="K4118" s="8" t="s">
        <v>9646</v>
      </c>
    </row>
    <row r="4119" customFormat="false" ht="34.5" hidden="false" customHeight="true" outlineLevel="0" collapsed="false">
      <c r="A4119" s="10" t="s">
        <v>9647</v>
      </c>
      <c r="B4119" s="10" t="s">
        <v>45</v>
      </c>
      <c r="C4119" s="8" t="s">
        <v>9644</v>
      </c>
      <c r="D4119" s="8" t="s">
        <v>9648</v>
      </c>
      <c r="E4119" s="11" t="n">
        <v>329</v>
      </c>
      <c r="F4119" s="8" t="str">
        <f aca="false">IFERROR(INDEX(Section_Master!$D$2:$D$477,MATCH($E4119,Section_Master!$A$2:$A$477,0))&amp;"","")</f>
        <v>Imprisonment up to 3 months, or fine, or both [s.329(3)]; up to 1 year, or fine, or both for house-trespass [s.329(4)]</v>
      </c>
      <c r="G4119" s="10" t="str">
        <f aca="false">IFERROR(INDEX(Section_Master!$E$2:$E$477,MATCH($E4119,Section_Master!$A$2:$A$477,0))&amp;"","")</f>
        <v>No</v>
      </c>
      <c r="H4119" s="10" t="str">
        <f aca="false">IFERROR(INDEX(Section_Master!$F$2:$F$477,MATCH($E4119,Section_Master!$A$2:$A$477,0))&amp;"","")</f>
        <v>Yes</v>
      </c>
      <c r="I4119" s="10" t="str">
        <f aca="false">IFERROR(INDEX(Section_Master!$G$2:$G$477,MATCH($E4119,Section_Master!$A$2:$A$477,0))&amp;"","")</f>
        <v>Yes</v>
      </c>
      <c r="J4119" s="10" t="s">
        <v>52</v>
      </c>
      <c r="K4119" s="8" t="s">
        <v>9646</v>
      </c>
    </row>
    <row r="4120" customFormat="false" ht="34.5" hidden="false" customHeight="true" outlineLevel="0" collapsed="false">
      <c r="A4120" s="10" t="s">
        <v>9649</v>
      </c>
      <c r="B4120" s="10" t="s">
        <v>45</v>
      </c>
      <c r="C4120" s="8" t="s">
        <v>9644</v>
      </c>
      <c r="D4120" s="8" t="s">
        <v>9650</v>
      </c>
      <c r="E4120" s="11" t="n">
        <v>329</v>
      </c>
      <c r="F4120" s="8" t="str">
        <f aca="false">IFERROR(INDEX(Section_Master!$D$2:$D$477,MATCH($E4120,Section_Master!$A$2:$A$477,0))&amp;"","")</f>
        <v>Imprisonment up to 3 months, or fine, or both [s.329(3)]; up to 1 year, or fine, or both for house-trespass [s.329(4)]</v>
      </c>
      <c r="G4120" s="10" t="str">
        <f aca="false">IFERROR(INDEX(Section_Master!$E$2:$E$477,MATCH($E4120,Section_Master!$A$2:$A$477,0))&amp;"","")</f>
        <v>No</v>
      </c>
      <c r="H4120" s="10" t="str">
        <f aca="false">IFERROR(INDEX(Section_Master!$F$2:$F$477,MATCH($E4120,Section_Master!$A$2:$A$477,0))&amp;"","")</f>
        <v>Yes</v>
      </c>
      <c r="I4120" s="10" t="str">
        <f aca="false">IFERROR(INDEX(Section_Master!$G$2:$G$477,MATCH($E4120,Section_Master!$A$2:$A$477,0))&amp;"","")</f>
        <v>Yes</v>
      </c>
      <c r="J4120" s="10" t="s">
        <v>55</v>
      </c>
      <c r="K4120" s="8" t="s">
        <v>9646</v>
      </c>
    </row>
    <row r="4121" customFormat="false" ht="34.5" hidden="false" customHeight="true" outlineLevel="0" collapsed="false">
      <c r="A4121" s="10" t="s">
        <v>9651</v>
      </c>
      <c r="B4121" s="10" t="s">
        <v>45</v>
      </c>
      <c r="C4121" s="8" t="s">
        <v>9644</v>
      </c>
      <c r="D4121" s="8" t="s">
        <v>9652</v>
      </c>
      <c r="E4121" s="11" t="n">
        <v>329</v>
      </c>
      <c r="F4121" s="8" t="str">
        <f aca="false">IFERROR(INDEX(Section_Master!$D$2:$D$477,MATCH($E4121,Section_Master!$A$2:$A$477,0))&amp;"","")</f>
        <v>Imprisonment up to 3 months, or fine, or both [s.329(3)]; up to 1 year, or fine, or both for house-trespass [s.329(4)]</v>
      </c>
      <c r="G4121" s="10" t="str">
        <f aca="false">IFERROR(INDEX(Section_Master!$E$2:$E$477,MATCH($E4121,Section_Master!$A$2:$A$477,0))&amp;"","")</f>
        <v>No</v>
      </c>
      <c r="H4121" s="10" t="str">
        <f aca="false">IFERROR(INDEX(Section_Master!$F$2:$F$477,MATCH($E4121,Section_Master!$A$2:$A$477,0))&amp;"","")</f>
        <v>Yes</v>
      </c>
      <c r="I4121" s="10" t="str">
        <f aca="false">IFERROR(INDEX(Section_Master!$G$2:$G$477,MATCH($E4121,Section_Master!$A$2:$A$477,0))&amp;"","")</f>
        <v>Yes</v>
      </c>
      <c r="J4121" s="10" t="s">
        <v>58</v>
      </c>
      <c r="K4121" s="8" t="s">
        <v>9646</v>
      </c>
    </row>
    <row r="4122" customFormat="false" ht="23.25" hidden="false" customHeight="true" outlineLevel="0" collapsed="false">
      <c r="A4122" s="10" t="s">
        <v>9653</v>
      </c>
      <c r="B4122" s="10" t="s">
        <v>45</v>
      </c>
      <c r="C4122" s="8" t="s">
        <v>9644</v>
      </c>
      <c r="D4122" s="8" t="s">
        <v>9654</v>
      </c>
      <c r="E4122" s="11" t="n">
        <v>329</v>
      </c>
      <c r="F4122" s="8" t="str">
        <f aca="false">IFERROR(INDEX(Section_Master!$D$2:$D$477,MATCH($E4122,Section_Master!$A$2:$A$477,0))&amp;"","")</f>
        <v>Imprisonment up to 3 months, or fine, or both [s.329(3)]; up to 1 year, or fine, or both for house-trespass [s.329(4)]</v>
      </c>
      <c r="G4122" s="10" t="str">
        <f aca="false">IFERROR(INDEX(Section_Master!$E$2:$E$477,MATCH($E4122,Section_Master!$A$2:$A$477,0))&amp;"","")</f>
        <v>No</v>
      </c>
      <c r="H4122" s="10" t="str">
        <f aca="false">IFERROR(INDEX(Section_Master!$F$2:$F$477,MATCH($E4122,Section_Master!$A$2:$A$477,0))&amp;"","")</f>
        <v>Yes</v>
      </c>
      <c r="I4122" s="10" t="str">
        <f aca="false">IFERROR(INDEX(Section_Master!$G$2:$G$477,MATCH($E4122,Section_Master!$A$2:$A$477,0))&amp;"","")</f>
        <v>Yes</v>
      </c>
      <c r="J4122" s="10" t="s">
        <v>61</v>
      </c>
      <c r="K4122" s="8" t="s">
        <v>9646</v>
      </c>
    </row>
    <row r="4123" customFormat="false" ht="45.75" hidden="false" customHeight="true" outlineLevel="0" collapsed="false">
      <c r="A4123" s="10" t="s">
        <v>9655</v>
      </c>
      <c r="B4123" s="10" t="s">
        <v>45</v>
      </c>
      <c r="C4123" s="8" t="s">
        <v>9644</v>
      </c>
      <c r="D4123" s="8" t="s">
        <v>9656</v>
      </c>
      <c r="E4123" s="11" t="n">
        <v>329</v>
      </c>
      <c r="F4123" s="8" t="str">
        <f aca="false">IFERROR(INDEX(Section_Master!$D$2:$D$477,MATCH($E4123,Section_Master!$A$2:$A$477,0))&amp;"","")</f>
        <v>Imprisonment up to 3 months, or fine, or both [s.329(3)]; up to 1 year, or fine, or both for house-trespass [s.329(4)]</v>
      </c>
      <c r="G4123" s="10" t="str">
        <f aca="false">IFERROR(INDEX(Section_Master!$E$2:$E$477,MATCH($E4123,Section_Master!$A$2:$A$477,0))&amp;"","")</f>
        <v>No</v>
      </c>
      <c r="H4123" s="10" t="str">
        <f aca="false">IFERROR(INDEX(Section_Master!$F$2:$F$477,MATCH($E4123,Section_Master!$A$2:$A$477,0))&amp;"","")</f>
        <v>Yes</v>
      </c>
      <c r="I4123" s="10" t="str">
        <f aca="false">IFERROR(INDEX(Section_Master!$G$2:$G$477,MATCH($E4123,Section_Master!$A$2:$A$477,0))&amp;"","")</f>
        <v>Yes</v>
      </c>
      <c r="J4123" s="10" t="s">
        <v>64</v>
      </c>
      <c r="K4123" s="8" t="s">
        <v>9646</v>
      </c>
    </row>
    <row r="4124" customFormat="false" ht="34.5" hidden="false" customHeight="true" outlineLevel="0" collapsed="false">
      <c r="A4124" s="10" t="s">
        <v>9657</v>
      </c>
      <c r="B4124" s="10" t="s">
        <v>45</v>
      </c>
      <c r="C4124" s="8" t="s">
        <v>9658</v>
      </c>
      <c r="D4124" s="8" t="s">
        <v>9659</v>
      </c>
      <c r="E4124" s="11" t="n">
        <v>330</v>
      </c>
      <c r="F4124" s="8" t="str">
        <f aca="false">IFERROR(INDEX(Section_Master!$D$2:$D$477,MATCH($E4124,Section_Master!$A$2:$A$477,0))&amp;"","")</f>
        <v>Not applicable - definitions of lurking house-trespass and house-breaking; penalties are in s.331</v>
      </c>
      <c r="G4124" s="10" t="str">
        <f aca="false">IFERROR(INDEX(Section_Master!$E$2:$E$477,MATCH($E4124,Section_Master!$A$2:$A$477,0))&amp;"","")</f>
        <v>N/A</v>
      </c>
      <c r="H4124" s="10" t="str">
        <f aca="false">IFERROR(INDEX(Section_Master!$F$2:$F$477,MATCH($E4124,Section_Master!$A$2:$A$477,0))&amp;"","")</f>
        <v>N/A</v>
      </c>
      <c r="I4124" s="10" t="str">
        <f aca="false">IFERROR(INDEX(Section_Master!$G$2:$G$477,MATCH($E4124,Section_Master!$A$2:$A$477,0))&amp;"","")</f>
        <v>N/A</v>
      </c>
      <c r="J4124" s="10" t="s">
        <v>48</v>
      </c>
      <c r="K4124" s="8" t="s">
        <v>9660</v>
      </c>
    </row>
    <row r="4125" customFormat="false" ht="34.5" hidden="false" customHeight="true" outlineLevel="0" collapsed="false">
      <c r="A4125" s="10" t="s">
        <v>9661</v>
      </c>
      <c r="B4125" s="10" t="s">
        <v>45</v>
      </c>
      <c r="C4125" s="8" t="s">
        <v>9658</v>
      </c>
      <c r="D4125" s="8" t="s">
        <v>9662</v>
      </c>
      <c r="E4125" s="11" t="n">
        <v>330</v>
      </c>
      <c r="F4125" s="8" t="str">
        <f aca="false">IFERROR(INDEX(Section_Master!$D$2:$D$477,MATCH($E4125,Section_Master!$A$2:$A$477,0))&amp;"","")</f>
        <v>Not applicable - definitions of lurking house-trespass and house-breaking; penalties are in s.331</v>
      </c>
      <c r="G4125" s="10" t="str">
        <f aca="false">IFERROR(INDEX(Section_Master!$E$2:$E$477,MATCH($E4125,Section_Master!$A$2:$A$477,0))&amp;"","")</f>
        <v>N/A</v>
      </c>
      <c r="H4125" s="10" t="str">
        <f aca="false">IFERROR(INDEX(Section_Master!$F$2:$F$477,MATCH($E4125,Section_Master!$A$2:$A$477,0))&amp;"","")</f>
        <v>N/A</v>
      </c>
      <c r="I4125" s="10" t="str">
        <f aca="false">IFERROR(INDEX(Section_Master!$G$2:$G$477,MATCH($E4125,Section_Master!$A$2:$A$477,0))&amp;"","")</f>
        <v>N/A</v>
      </c>
      <c r="J4125" s="10" t="s">
        <v>52</v>
      </c>
      <c r="K4125" s="8" t="s">
        <v>9660</v>
      </c>
    </row>
    <row r="4126" customFormat="false" ht="34.5" hidden="false" customHeight="true" outlineLevel="0" collapsed="false">
      <c r="A4126" s="10" t="s">
        <v>9663</v>
      </c>
      <c r="B4126" s="10" t="s">
        <v>45</v>
      </c>
      <c r="C4126" s="8" t="s">
        <v>9658</v>
      </c>
      <c r="D4126" s="8" t="s">
        <v>9664</v>
      </c>
      <c r="E4126" s="11" t="n">
        <v>330</v>
      </c>
      <c r="F4126" s="8" t="str">
        <f aca="false">IFERROR(INDEX(Section_Master!$D$2:$D$477,MATCH($E4126,Section_Master!$A$2:$A$477,0))&amp;"","")</f>
        <v>Not applicable - definitions of lurking house-trespass and house-breaking; penalties are in s.331</v>
      </c>
      <c r="G4126" s="10" t="str">
        <f aca="false">IFERROR(INDEX(Section_Master!$E$2:$E$477,MATCH($E4126,Section_Master!$A$2:$A$477,0))&amp;"","")</f>
        <v>N/A</v>
      </c>
      <c r="H4126" s="10" t="str">
        <f aca="false">IFERROR(INDEX(Section_Master!$F$2:$F$477,MATCH($E4126,Section_Master!$A$2:$A$477,0))&amp;"","")</f>
        <v>N/A</v>
      </c>
      <c r="I4126" s="10" t="str">
        <f aca="false">IFERROR(INDEX(Section_Master!$G$2:$G$477,MATCH($E4126,Section_Master!$A$2:$A$477,0))&amp;"","")</f>
        <v>N/A</v>
      </c>
      <c r="J4126" s="10" t="s">
        <v>55</v>
      </c>
      <c r="K4126" s="8" t="s">
        <v>9660</v>
      </c>
    </row>
    <row r="4127" customFormat="false" ht="23.25" hidden="false" customHeight="true" outlineLevel="0" collapsed="false">
      <c r="A4127" s="10" t="s">
        <v>9665</v>
      </c>
      <c r="B4127" s="10" t="s">
        <v>45</v>
      </c>
      <c r="C4127" s="8" t="s">
        <v>9658</v>
      </c>
      <c r="D4127" s="8" t="s">
        <v>9666</v>
      </c>
      <c r="E4127" s="11" t="n">
        <v>330</v>
      </c>
      <c r="F4127" s="8" t="str">
        <f aca="false">IFERROR(INDEX(Section_Master!$D$2:$D$477,MATCH($E4127,Section_Master!$A$2:$A$477,0))&amp;"","")</f>
        <v>Not applicable - definitions of lurking house-trespass and house-breaking; penalties are in s.331</v>
      </c>
      <c r="G4127" s="10" t="str">
        <f aca="false">IFERROR(INDEX(Section_Master!$E$2:$E$477,MATCH($E4127,Section_Master!$A$2:$A$477,0))&amp;"","")</f>
        <v>N/A</v>
      </c>
      <c r="H4127" s="10" t="str">
        <f aca="false">IFERROR(INDEX(Section_Master!$F$2:$F$477,MATCH($E4127,Section_Master!$A$2:$A$477,0))&amp;"","")</f>
        <v>N/A</v>
      </c>
      <c r="I4127" s="10" t="str">
        <f aca="false">IFERROR(INDEX(Section_Master!$G$2:$G$477,MATCH($E4127,Section_Master!$A$2:$A$477,0))&amp;"","")</f>
        <v>N/A</v>
      </c>
      <c r="J4127" s="10" t="s">
        <v>58</v>
      </c>
      <c r="K4127" s="8" t="s">
        <v>9660</v>
      </c>
    </row>
    <row r="4128" customFormat="false" ht="23.25" hidden="false" customHeight="true" outlineLevel="0" collapsed="false">
      <c r="A4128" s="10" t="s">
        <v>9667</v>
      </c>
      <c r="B4128" s="10" t="s">
        <v>45</v>
      </c>
      <c r="C4128" s="8" t="s">
        <v>9658</v>
      </c>
      <c r="D4128" s="8" t="s">
        <v>9668</v>
      </c>
      <c r="E4128" s="11" t="n">
        <v>330</v>
      </c>
      <c r="F4128" s="8" t="str">
        <f aca="false">IFERROR(INDEX(Section_Master!$D$2:$D$477,MATCH($E4128,Section_Master!$A$2:$A$477,0))&amp;"","")</f>
        <v>Not applicable - definitions of lurking house-trespass and house-breaking; penalties are in s.331</v>
      </c>
      <c r="G4128" s="10" t="str">
        <f aca="false">IFERROR(INDEX(Section_Master!$E$2:$E$477,MATCH($E4128,Section_Master!$A$2:$A$477,0))&amp;"","")</f>
        <v>N/A</v>
      </c>
      <c r="H4128" s="10" t="str">
        <f aca="false">IFERROR(INDEX(Section_Master!$F$2:$F$477,MATCH($E4128,Section_Master!$A$2:$A$477,0))&amp;"","")</f>
        <v>N/A</v>
      </c>
      <c r="I4128" s="10" t="str">
        <f aca="false">IFERROR(INDEX(Section_Master!$G$2:$G$477,MATCH($E4128,Section_Master!$A$2:$A$477,0))&amp;"","")</f>
        <v>N/A</v>
      </c>
      <c r="J4128" s="10" t="s">
        <v>61</v>
      </c>
      <c r="K4128" s="8" t="s">
        <v>9660</v>
      </c>
    </row>
    <row r="4129" customFormat="false" ht="45.75" hidden="false" customHeight="true" outlineLevel="0" collapsed="false">
      <c r="A4129" s="10" t="s">
        <v>9669</v>
      </c>
      <c r="B4129" s="10" t="s">
        <v>45</v>
      </c>
      <c r="C4129" s="8" t="s">
        <v>9658</v>
      </c>
      <c r="D4129" s="8" t="s">
        <v>9670</v>
      </c>
      <c r="E4129" s="11" t="n">
        <v>330</v>
      </c>
      <c r="F4129" s="8" t="str">
        <f aca="false">IFERROR(INDEX(Section_Master!$D$2:$D$477,MATCH($E4129,Section_Master!$A$2:$A$477,0))&amp;"","")</f>
        <v>Not applicable - definitions of lurking house-trespass and house-breaking; penalties are in s.331</v>
      </c>
      <c r="G4129" s="10" t="str">
        <f aca="false">IFERROR(INDEX(Section_Master!$E$2:$E$477,MATCH($E4129,Section_Master!$A$2:$A$477,0))&amp;"","")</f>
        <v>N/A</v>
      </c>
      <c r="H4129" s="10" t="str">
        <f aca="false">IFERROR(INDEX(Section_Master!$F$2:$F$477,MATCH($E4129,Section_Master!$A$2:$A$477,0))&amp;"","")</f>
        <v>N/A</v>
      </c>
      <c r="I4129" s="10" t="str">
        <f aca="false">IFERROR(INDEX(Section_Master!$G$2:$G$477,MATCH($E4129,Section_Master!$A$2:$A$477,0))&amp;"","")</f>
        <v>N/A</v>
      </c>
      <c r="J4129" s="10" t="s">
        <v>64</v>
      </c>
      <c r="K4129" s="8" t="s">
        <v>9660</v>
      </c>
    </row>
    <row r="4130" customFormat="false" ht="23.25" hidden="false" customHeight="true" outlineLevel="0" collapsed="false">
      <c r="A4130" s="10" t="s">
        <v>9671</v>
      </c>
      <c r="B4130" s="10" t="s">
        <v>45</v>
      </c>
      <c r="C4130" s="8" t="s">
        <v>9672</v>
      </c>
      <c r="D4130" s="8" t="s">
        <v>9673</v>
      </c>
      <c r="E4130" s="11" t="n">
        <v>331</v>
      </c>
      <c r="F4130" s="8" t="str">
        <f aca="false">IFERROR(INDEX(Section_Master!$D$2:$D$477,MATCH($E4130,Section_Master!$A$2:$A$477,0))&amp;"","")</f>
        <v>Up to 2 years and fine for house-trespass; 3 to 14 years or life and fine for graver forms (night, with weapons, hurt) [s.331]</v>
      </c>
      <c r="G4130" s="10" t="str">
        <f aca="false">IFERROR(INDEX(Section_Master!$E$2:$E$477,MATCH($E4130,Section_Master!$A$2:$A$477,0))&amp;"","")</f>
        <v>Varies by sub-section</v>
      </c>
      <c r="H4130" s="10" t="str">
        <f aca="false">IFERROR(INDEX(Section_Master!$F$2:$F$477,MATCH($E4130,Section_Master!$A$2:$A$477,0))&amp;"","")</f>
        <v>Varies by sub-section</v>
      </c>
      <c r="I4130" s="10" t="str">
        <f aca="false">IFERROR(INDEX(Section_Master!$G$2:$G$477,MATCH($E4130,Section_Master!$A$2:$A$477,0))&amp;"","")</f>
        <v>No</v>
      </c>
      <c r="J4130" s="10" t="s">
        <v>48</v>
      </c>
      <c r="K4130" s="8" t="s">
        <v>9674</v>
      </c>
    </row>
    <row r="4131" customFormat="false" ht="45.75" hidden="false" customHeight="true" outlineLevel="0" collapsed="false">
      <c r="A4131" s="10" t="s">
        <v>9675</v>
      </c>
      <c r="B4131" s="10" t="s">
        <v>45</v>
      </c>
      <c r="C4131" s="8" t="s">
        <v>9672</v>
      </c>
      <c r="D4131" s="8" t="s">
        <v>9676</v>
      </c>
      <c r="E4131" s="11" t="n">
        <v>331</v>
      </c>
      <c r="F4131" s="8" t="str">
        <f aca="false">IFERROR(INDEX(Section_Master!$D$2:$D$477,MATCH($E4131,Section_Master!$A$2:$A$477,0))&amp;"","")</f>
        <v>Up to 2 years and fine for house-trespass; 3 to 14 years or life and fine for graver forms (night, with weapons, hurt) [s.331]</v>
      </c>
      <c r="G4131" s="10" t="str">
        <f aca="false">IFERROR(INDEX(Section_Master!$E$2:$E$477,MATCH($E4131,Section_Master!$A$2:$A$477,0))&amp;"","")</f>
        <v>Varies by sub-section</v>
      </c>
      <c r="H4131" s="10" t="str">
        <f aca="false">IFERROR(INDEX(Section_Master!$F$2:$F$477,MATCH($E4131,Section_Master!$A$2:$A$477,0))&amp;"","")</f>
        <v>Varies by sub-section</v>
      </c>
      <c r="I4131" s="10" t="str">
        <f aca="false">IFERROR(INDEX(Section_Master!$G$2:$G$477,MATCH($E4131,Section_Master!$A$2:$A$477,0))&amp;"","")</f>
        <v>No</v>
      </c>
      <c r="J4131" s="10" t="s">
        <v>52</v>
      </c>
      <c r="K4131" s="8" t="s">
        <v>9674</v>
      </c>
    </row>
    <row r="4132" customFormat="false" ht="34.5" hidden="false" customHeight="true" outlineLevel="0" collapsed="false">
      <c r="A4132" s="10" t="s">
        <v>9677</v>
      </c>
      <c r="B4132" s="10" t="s">
        <v>45</v>
      </c>
      <c r="C4132" s="8" t="s">
        <v>9672</v>
      </c>
      <c r="D4132" s="8" t="s">
        <v>9678</v>
      </c>
      <c r="E4132" s="11" t="n">
        <v>331</v>
      </c>
      <c r="F4132" s="8" t="str">
        <f aca="false">IFERROR(INDEX(Section_Master!$D$2:$D$477,MATCH($E4132,Section_Master!$A$2:$A$477,0))&amp;"","")</f>
        <v>Up to 2 years and fine for house-trespass; 3 to 14 years or life and fine for graver forms (night, with weapons, hurt) [s.331]</v>
      </c>
      <c r="G4132" s="10" t="str">
        <f aca="false">IFERROR(INDEX(Section_Master!$E$2:$E$477,MATCH($E4132,Section_Master!$A$2:$A$477,0))&amp;"","")</f>
        <v>Varies by sub-section</v>
      </c>
      <c r="H4132" s="10" t="str">
        <f aca="false">IFERROR(INDEX(Section_Master!$F$2:$F$477,MATCH($E4132,Section_Master!$A$2:$A$477,0))&amp;"","")</f>
        <v>Varies by sub-section</v>
      </c>
      <c r="I4132" s="10" t="str">
        <f aca="false">IFERROR(INDEX(Section_Master!$G$2:$G$477,MATCH($E4132,Section_Master!$A$2:$A$477,0))&amp;"","")</f>
        <v>No</v>
      </c>
      <c r="J4132" s="10" t="s">
        <v>55</v>
      </c>
      <c r="K4132" s="8" t="s">
        <v>9674</v>
      </c>
    </row>
    <row r="4133" customFormat="false" ht="23.25" hidden="false" customHeight="true" outlineLevel="0" collapsed="false">
      <c r="A4133" s="10" t="s">
        <v>9679</v>
      </c>
      <c r="B4133" s="10" t="s">
        <v>45</v>
      </c>
      <c r="C4133" s="8" t="s">
        <v>9672</v>
      </c>
      <c r="D4133" s="8" t="s">
        <v>9680</v>
      </c>
      <c r="E4133" s="11" t="n">
        <v>331</v>
      </c>
      <c r="F4133" s="8" t="str">
        <f aca="false">IFERROR(INDEX(Section_Master!$D$2:$D$477,MATCH($E4133,Section_Master!$A$2:$A$477,0))&amp;"","")</f>
        <v>Up to 2 years and fine for house-trespass; 3 to 14 years or life and fine for graver forms (night, with weapons, hurt) [s.331]</v>
      </c>
      <c r="G4133" s="10" t="str">
        <f aca="false">IFERROR(INDEX(Section_Master!$E$2:$E$477,MATCH($E4133,Section_Master!$A$2:$A$477,0))&amp;"","")</f>
        <v>Varies by sub-section</v>
      </c>
      <c r="H4133" s="10" t="str">
        <f aca="false">IFERROR(INDEX(Section_Master!$F$2:$F$477,MATCH($E4133,Section_Master!$A$2:$A$477,0))&amp;"","")</f>
        <v>Varies by sub-section</v>
      </c>
      <c r="I4133" s="10" t="str">
        <f aca="false">IFERROR(INDEX(Section_Master!$G$2:$G$477,MATCH($E4133,Section_Master!$A$2:$A$477,0))&amp;"","")</f>
        <v>No</v>
      </c>
      <c r="J4133" s="10" t="s">
        <v>58</v>
      </c>
      <c r="K4133" s="8" t="s">
        <v>9674</v>
      </c>
    </row>
    <row r="4134" customFormat="false" ht="34.5" hidden="false" customHeight="true" outlineLevel="0" collapsed="false">
      <c r="A4134" s="10" t="s">
        <v>9681</v>
      </c>
      <c r="B4134" s="10" t="s">
        <v>45</v>
      </c>
      <c r="C4134" s="8" t="s">
        <v>9672</v>
      </c>
      <c r="D4134" s="8" t="s">
        <v>9682</v>
      </c>
      <c r="E4134" s="11" t="n">
        <v>331</v>
      </c>
      <c r="F4134" s="8" t="str">
        <f aca="false">IFERROR(INDEX(Section_Master!$D$2:$D$477,MATCH($E4134,Section_Master!$A$2:$A$477,0))&amp;"","")</f>
        <v>Up to 2 years and fine for house-trespass; 3 to 14 years or life and fine for graver forms (night, with weapons, hurt) [s.331]</v>
      </c>
      <c r="G4134" s="10" t="str">
        <f aca="false">IFERROR(INDEX(Section_Master!$E$2:$E$477,MATCH($E4134,Section_Master!$A$2:$A$477,0))&amp;"","")</f>
        <v>Varies by sub-section</v>
      </c>
      <c r="H4134" s="10" t="str">
        <f aca="false">IFERROR(INDEX(Section_Master!$F$2:$F$477,MATCH($E4134,Section_Master!$A$2:$A$477,0))&amp;"","")</f>
        <v>Varies by sub-section</v>
      </c>
      <c r="I4134" s="10" t="str">
        <f aca="false">IFERROR(INDEX(Section_Master!$G$2:$G$477,MATCH($E4134,Section_Master!$A$2:$A$477,0))&amp;"","")</f>
        <v>No</v>
      </c>
      <c r="J4134" s="10" t="s">
        <v>61</v>
      </c>
      <c r="K4134" s="8" t="s">
        <v>9674</v>
      </c>
    </row>
    <row r="4135" customFormat="false" ht="45.75" hidden="false" customHeight="true" outlineLevel="0" collapsed="false">
      <c r="A4135" s="10" t="s">
        <v>9683</v>
      </c>
      <c r="B4135" s="10" t="s">
        <v>45</v>
      </c>
      <c r="C4135" s="8" t="s">
        <v>9672</v>
      </c>
      <c r="D4135" s="8" t="s">
        <v>9684</v>
      </c>
      <c r="E4135" s="11" t="n">
        <v>331</v>
      </c>
      <c r="F4135" s="8" t="str">
        <f aca="false">IFERROR(INDEX(Section_Master!$D$2:$D$477,MATCH($E4135,Section_Master!$A$2:$A$477,0))&amp;"","")</f>
        <v>Up to 2 years and fine for house-trespass; 3 to 14 years or life and fine for graver forms (night, with weapons, hurt) [s.331]</v>
      </c>
      <c r="G4135" s="10" t="str">
        <f aca="false">IFERROR(INDEX(Section_Master!$E$2:$E$477,MATCH($E4135,Section_Master!$A$2:$A$477,0))&amp;"","")</f>
        <v>Varies by sub-section</v>
      </c>
      <c r="H4135" s="10" t="str">
        <f aca="false">IFERROR(INDEX(Section_Master!$F$2:$F$477,MATCH($E4135,Section_Master!$A$2:$A$477,0))&amp;"","")</f>
        <v>Varies by sub-section</v>
      </c>
      <c r="I4135" s="10" t="str">
        <f aca="false">IFERROR(INDEX(Section_Master!$G$2:$G$477,MATCH($E4135,Section_Master!$A$2:$A$477,0))&amp;"","")</f>
        <v>No</v>
      </c>
      <c r="J4135" s="10" t="s">
        <v>64</v>
      </c>
      <c r="K4135" s="8" t="s">
        <v>9674</v>
      </c>
    </row>
    <row r="4136" customFormat="false" ht="34.5" hidden="false" customHeight="true" outlineLevel="0" collapsed="false">
      <c r="A4136" s="10" t="s">
        <v>9685</v>
      </c>
      <c r="B4136" s="10" t="s">
        <v>45</v>
      </c>
      <c r="C4136" s="8" t="s">
        <v>9686</v>
      </c>
      <c r="D4136" s="8" t="s">
        <v>9687</v>
      </c>
      <c r="E4136" s="11" t="n">
        <v>332</v>
      </c>
      <c r="F4136" s="8" t="str">
        <f aca="false">IFERROR(INDEX(Section_Master!$D$2:$D$477,MATCH($E4136,Section_Master!$A$2:$A$477,0))&amp;"","")</f>
        <v>Up to 2 years and fine, rising to 10 years or life depending on the offence intended [s.332]</v>
      </c>
      <c r="G4136" s="10" t="str">
        <f aca="false">IFERROR(INDEX(Section_Master!$E$2:$E$477,MATCH($E4136,Section_Master!$A$2:$A$477,0))&amp;"","")</f>
        <v>Yes</v>
      </c>
      <c r="H4136" s="10" t="str">
        <f aca="false">IFERROR(INDEX(Section_Master!$F$2:$F$477,MATCH($E4136,Section_Master!$A$2:$A$477,0))&amp;"","")</f>
        <v>No</v>
      </c>
      <c r="I4136" s="10" t="str">
        <f aca="false">IFERROR(INDEX(Section_Master!$G$2:$G$477,MATCH($E4136,Section_Master!$A$2:$A$477,0))&amp;"","")</f>
        <v>No</v>
      </c>
      <c r="J4136" s="10" t="s">
        <v>48</v>
      </c>
      <c r="K4136" s="8" t="s">
        <v>9688</v>
      </c>
    </row>
    <row r="4137" customFormat="false" ht="45.75" hidden="false" customHeight="true" outlineLevel="0" collapsed="false">
      <c r="A4137" s="10" t="s">
        <v>9689</v>
      </c>
      <c r="B4137" s="10" t="s">
        <v>45</v>
      </c>
      <c r="C4137" s="8" t="s">
        <v>9686</v>
      </c>
      <c r="D4137" s="8" t="s">
        <v>9690</v>
      </c>
      <c r="E4137" s="11" t="n">
        <v>332</v>
      </c>
      <c r="F4137" s="8" t="str">
        <f aca="false">IFERROR(INDEX(Section_Master!$D$2:$D$477,MATCH($E4137,Section_Master!$A$2:$A$477,0))&amp;"","")</f>
        <v>Up to 2 years and fine, rising to 10 years or life depending on the offence intended [s.332]</v>
      </c>
      <c r="G4137" s="10" t="str">
        <f aca="false">IFERROR(INDEX(Section_Master!$E$2:$E$477,MATCH($E4137,Section_Master!$A$2:$A$477,0))&amp;"","")</f>
        <v>Yes</v>
      </c>
      <c r="H4137" s="10" t="str">
        <f aca="false">IFERROR(INDEX(Section_Master!$F$2:$F$477,MATCH($E4137,Section_Master!$A$2:$A$477,0))&amp;"","")</f>
        <v>No</v>
      </c>
      <c r="I4137" s="10" t="str">
        <f aca="false">IFERROR(INDEX(Section_Master!$G$2:$G$477,MATCH($E4137,Section_Master!$A$2:$A$477,0))&amp;"","")</f>
        <v>No</v>
      </c>
      <c r="J4137" s="10" t="s">
        <v>52</v>
      </c>
      <c r="K4137" s="8" t="s">
        <v>9688</v>
      </c>
    </row>
    <row r="4138" customFormat="false" ht="34.5" hidden="false" customHeight="true" outlineLevel="0" collapsed="false">
      <c r="A4138" s="10" t="s">
        <v>9691</v>
      </c>
      <c r="B4138" s="10" t="s">
        <v>45</v>
      </c>
      <c r="C4138" s="8" t="s">
        <v>9686</v>
      </c>
      <c r="D4138" s="8" t="s">
        <v>9692</v>
      </c>
      <c r="E4138" s="11" t="n">
        <v>332</v>
      </c>
      <c r="F4138" s="8" t="str">
        <f aca="false">IFERROR(INDEX(Section_Master!$D$2:$D$477,MATCH($E4138,Section_Master!$A$2:$A$477,0))&amp;"","")</f>
        <v>Up to 2 years and fine, rising to 10 years or life depending on the offence intended [s.332]</v>
      </c>
      <c r="G4138" s="10" t="str">
        <f aca="false">IFERROR(INDEX(Section_Master!$E$2:$E$477,MATCH($E4138,Section_Master!$A$2:$A$477,0))&amp;"","")</f>
        <v>Yes</v>
      </c>
      <c r="H4138" s="10" t="str">
        <f aca="false">IFERROR(INDEX(Section_Master!$F$2:$F$477,MATCH($E4138,Section_Master!$A$2:$A$477,0))&amp;"","")</f>
        <v>No</v>
      </c>
      <c r="I4138" s="10" t="str">
        <f aca="false">IFERROR(INDEX(Section_Master!$G$2:$G$477,MATCH($E4138,Section_Master!$A$2:$A$477,0))&amp;"","")</f>
        <v>No</v>
      </c>
      <c r="J4138" s="10" t="s">
        <v>55</v>
      </c>
      <c r="K4138" s="8" t="s">
        <v>9688</v>
      </c>
    </row>
    <row r="4139" customFormat="false" ht="23.25" hidden="false" customHeight="true" outlineLevel="0" collapsed="false">
      <c r="A4139" s="10" t="s">
        <v>9693</v>
      </c>
      <c r="B4139" s="10" t="s">
        <v>45</v>
      </c>
      <c r="C4139" s="8" t="s">
        <v>9686</v>
      </c>
      <c r="D4139" s="8" t="s">
        <v>9694</v>
      </c>
      <c r="E4139" s="11" t="n">
        <v>332</v>
      </c>
      <c r="F4139" s="8" t="str">
        <f aca="false">IFERROR(INDEX(Section_Master!$D$2:$D$477,MATCH($E4139,Section_Master!$A$2:$A$477,0))&amp;"","")</f>
        <v>Up to 2 years and fine, rising to 10 years or life depending on the offence intended [s.332]</v>
      </c>
      <c r="G4139" s="10" t="str">
        <f aca="false">IFERROR(INDEX(Section_Master!$E$2:$E$477,MATCH($E4139,Section_Master!$A$2:$A$477,0))&amp;"","")</f>
        <v>Yes</v>
      </c>
      <c r="H4139" s="10" t="str">
        <f aca="false">IFERROR(INDEX(Section_Master!$F$2:$F$477,MATCH($E4139,Section_Master!$A$2:$A$477,0))&amp;"","")</f>
        <v>No</v>
      </c>
      <c r="I4139" s="10" t="str">
        <f aca="false">IFERROR(INDEX(Section_Master!$G$2:$G$477,MATCH($E4139,Section_Master!$A$2:$A$477,0))&amp;"","")</f>
        <v>No</v>
      </c>
      <c r="J4139" s="10" t="s">
        <v>58</v>
      </c>
      <c r="K4139" s="8" t="s">
        <v>9688</v>
      </c>
    </row>
    <row r="4140" customFormat="false" ht="34.5" hidden="false" customHeight="true" outlineLevel="0" collapsed="false">
      <c r="A4140" s="10" t="s">
        <v>9695</v>
      </c>
      <c r="B4140" s="10" t="s">
        <v>45</v>
      </c>
      <c r="C4140" s="8" t="s">
        <v>9686</v>
      </c>
      <c r="D4140" s="8" t="s">
        <v>9696</v>
      </c>
      <c r="E4140" s="11" t="n">
        <v>332</v>
      </c>
      <c r="F4140" s="8" t="str">
        <f aca="false">IFERROR(INDEX(Section_Master!$D$2:$D$477,MATCH($E4140,Section_Master!$A$2:$A$477,0))&amp;"","")</f>
        <v>Up to 2 years and fine, rising to 10 years or life depending on the offence intended [s.332]</v>
      </c>
      <c r="G4140" s="10" t="str">
        <f aca="false">IFERROR(INDEX(Section_Master!$E$2:$E$477,MATCH($E4140,Section_Master!$A$2:$A$477,0))&amp;"","")</f>
        <v>Yes</v>
      </c>
      <c r="H4140" s="10" t="str">
        <f aca="false">IFERROR(INDEX(Section_Master!$F$2:$F$477,MATCH($E4140,Section_Master!$A$2:$A$477,0))&amp;"","")</f>
        <v>No</v>
      </c>
      <c r="I4140" s="10" t="str">
        <f aca="false">IFERROR(INDEX(Section_Master!$G$2:$G$477,MATCH($E4140,Section_Master!$A$2:$A$477,0))&amp;"","")</f>
        <v>No</v>
      </c>
      <c r="J4140" s="10" t="s">
        <v>61</v>
      </c>
      <c r="K4140" s="8" t="s">
        <v>9688</v>
      </c>
    </row>
    <row r="4141" customFormat="false" ht="45.75" hidden="false" customHeight="true" outlineLevel="0" collapsed="false">
      <c r="A4141" s="10" t="s">
        <v>9697</v>
      </c>
      <c r="B4141" s="10" t="s">
        <v>45</v>
      </c>
      <c r="C4141" s="8" t="s">
        <v>9686</v>
      </c>
      <c r="D4141" s="8" t="s">
        <v>9698</v>
      </c>
      <c r="E4141" s="11" t="n">
        <v>332</v>
      </c>
      <c r="F4141" s="8" t="str">
        <f aca="false">IFERROR(INDEX(Section_Master!$D$2:$D$477,MATCH($E4141,Section_Master!$A$2:$A$477,0))&amp;"","")</f>
        <v>Up to 2 years and fine, rising to 10 years or life depending on the offence intended [s.332]</v>
      </c>
      <c r="G4141" s="10" t="str">
        <f aca="false">IFERROR(INDEX(Section_Master!$E$2:$E$477,MATCH($E4141,Section_Master!$A$2:$A$477,0))&amp;"","")</f>
        <v>Yes</v>
      </c>
      <c r="H4141" s="10" t="str">
        <f aca="false">IFERROR(INDEX(Section_Master!$F$2:$F$477,MATCH($E4141,Section_Master!$A$2:$A$477,0))&amp;"","")</f>
        <v>No</v>
      </c>
      <c r="I4141" s="10" t="str">
        <f aca="false">IFERROR(INDEX(Section_Master!$G$2:$G$477,MATCH($E4141,Section_Master!$A$2:$A$477,0))&amp;"","")</f>
        <v>No</v>
      </c>
      <c r="J4141" s="10" t="s">
        <v>64</v>
      </c>
      <c r="K4141" s="8" t="s">
        <v>9688</v>
      </c>
    </row>
    <row r="4142" customFormat="false" ht="34.5" hidden="false" customHeight="true" outlineLevel="0" collapsed="false">
      <c r="A4142" s="10" t="s">
        <v>9699</v>
      </c>
      <c r="B4142" s="10" t="s">
        <v>45</v>
      </c>
      <c r="C4142" s="8" t="s">
        <v>9700</v>
      </c>
      <c r="D4142" s="8" t="s">
        <v>9701</v>
      </c>
      <c r="E4142" s="11" t="n">
        <v>333</v>
      </c>
      <c r="F4142" s="8" t="str">
        <f aca="false">IFERROR(INDEX(Section_Master!$D$2:$D$477,MATCH($E4142,Section_Master!$A$2:$A$477,0))&amp;"","")</f>
        <v>Imprisonment up to 7 years and fine</v>
      </c>
      <c r="G4142" s="10" t="str">
        <f aca="false">IFERROR(INDEX(Section_Master!$E$2:$E$477,MATCH($E4142,Section_Master!$A$2:$A$477,0))&amp;"","")</f>
        <v>Yes</v>
      </c>
      <c r="H4142" s="10" t="str">
        <f aca="false">IFERROR(INDEX(Section_Master!$F$2:$F$477,MATCH($E4142,Section_Master!$A$2:$A$477,0))&amp;"","")</f>
        <v>No</v>
      </c>
      <c r="I4142" s="10" t="str">
        <f aca="false">IFERROR(INDEX(Section_Master!$G$2:$G$477,MATCH($E4142,Section_Master!$A$2:$A$477,0))&amp;"","")</f>
        <v>No</v>
      </c>
      <c r="J4142" s="10" t="s">
        <v>48</v>
      </c>
      <c r="K4142" s="8" t="s">
        <v>9702</v>
      </c>
    </row>
    <row r="4143" customFormat="false" ht="45.75" hidden="false" customHeight="true" outlineLevel="0" collapsed="false">
      <c r="A4143" s="10" t="s">
        <v>9703</v>
      </c>
      <c r="B4143" s="10" t="s">
        <v>45</v>
      </c>
      <c r="C4143" s="8" t="s">
        <v>9700</v>
      </c>
      <c r="D4143" s="8" t="s">
        <v>9704</v>
      </c>
      <c r="E4143" s="11" t="n">
        <v>333</v>
      </c>
      <c r="F4143" s="8" t="str">
        <f aca="false">IFERROR(INDEX(Section_Master!$D$2:$D$477,MATCH($E4143,Section_Master!$A$2:$A$477,0))&amp;"","")</f>
        <v>Imprisonment up to 7 years and fine</v>
      </c>
      <c r="G4143" s="10" t="str">
        <f aca="false">IFERROR(INDEX(Section_Master!$E$2:$E$477,MATCH($E4143,Section_Master!$A$2:$A$477,0))&amp;"","")</f>
        <v>Yes</v>
      </c>
      <c r="H4143" s="10" t="str">
        <f aca="false">IFERROR(INDEX(Section_Master!$F$2:$F$477,MATCH($E4143,Section_Master!$A$2:$A$477,0))&amp;"","")</f>
        <v>No</v>
      </c>
      <c r="I4143" s="10" t="str">
        <f aca="false">IFERROR(INDEX(Section_Master!$G$2:$G$477,MATCH($E4143,Section_Master!$A$2:$A$477,0))&amp;"","")</f>
        <v>No</v>
      </c>
      <c r="J4143" s="10" t="s">
        <v>52</v>
      </c>
      <c r="K4143" s="8" t="s">
        <v>9702</v>
      </c>
    </row>
    <row r="4144" customFormat="false" ht="23.25" hidden="false" customHeight="true" outlineLevel="0" collapsed="false">
      <c r="A4144" s="10" t="s">
        <v>9705</v>
      </c>
      <c r="B4144" s="10" t="s">
        <v>45</v>
      </c>
      <c r="C4144" s="8" t="s">
        <v>9700</v>
      </c>
      <c r="D4144" s="8" t="s">
        <v>9706</v>
      </c>
      <c r="E4144" s="11" t="n">
        <v>333</v>
      </c>
      <c r="F4144" s="8" t="str">
        <f aca="false">IFERROR(INDEX(Section_Master!$D$2:$D$477,MATCH($E4144,Section_Master!$A$2:$A$477,0))&amp;"","")</f>
        <v>Imprisonment up to 7 years and fine</v>
      </c>
      <c r="G4144" s="10" t="str">
        <f aca="false">IFERROR(INDEX(Section_Master!$E$2:$E$477,MATCH($E4144,Section_Master!$A$2:$A$477,0))&amp;"","")</f>
        <v>Yes</v>
      </c>
      <c r="H4144" s="10" t="str">
        <f aca="false">IFERROR(INDEX(Section_Master!$F$2:$F$477,MATCH($E4144,Section_Master!$A$2:$A$477,0))&amp;"","")</f>
        <v>No</v>
      </c>
      <c r="I4144" s="10" t="str">
        <f aca="false">IFERROR(INDEX(Section_Master!$G$2:$G$477,MATCH($E4144,Section_Master!$A$2:$A$477,0))&amp;"","")</f>
        <v>No</v>
      </c>
      <c r="J4144" s="10" t="s">
        <v>55</v>
      </c>
      <c r="K4144" s="8" t="s">
        <v>9702</v>
      </c>
    </row>
    <row r="4145" customFormat="false" ht="23.25" hidden="false" customHeight="true" outlineLevel="0" collapsed="false">
      <c r="A4145" s="10" t="s">
        <v>9707</v>
      </c>
      <c r="B4145" s="10" t="s">
        <v>45</v>
      </c>
      <c r="C4145" s="8" t="s">
        <v>9700</v>
      </c>
      <c r="D4145" s="8" t="s">
        <v>9708</v>
      </c>
      <c r="E4145" s="11" t="n">
        <v>333</v>
      </c>
      <c r="F4145" s="8" t="str">
        <f aca="false">IFERROR(INDEX(Section_Master!$D$2:$D$477,MATCH($E4145,Section_Master!$A$2:$A$477,0))&amp;"","")</f>
        <v>Imprisonment up to 7 years and fine</v>
      </c>
      <c r="G4145" s="10" t="str">
        <f aca="false">IFERROR(INDEX(Section_Master!$E$2:$E$477,MATCH($E4145,Section_Master!$A$2:$A$477,0))&amp;"","")</f>
        <v>Yes</v>
      </c>
      <c r="H4145" s="10" t="str">
        <f aca="false">IFERROR(INDEX(Section_Master!$F$2:$F$477,MATCH($E4145,Section_Master!$A$2:$A$477,0))&amp;"","")</f>
        <v>No</v>
      </c>
      <c r="I4145" s="10" t="str">
        <f aca="false">IFERROR(INDEX(Section_Master!$G$2:$G$477,MATCH($E4145,Section_Master!$A$2:$A$477,0))&amp;"","")</f>
        <v>No</v>
      </c>
      <c r="J4145" s="10" t="s">
        <v>58</v>
      </c>
      <c r="K4145" s="8" t="s">
        <v>9702</v>
      </c>
    </row>
    <row r="4146" customFormat="false" ht="23.25" hidden="false" customHeight="true" outlineLevel="0" collapsed="false">
      <c r="A4146" s="10" t="s">
        <v>9709</v>
      </c>
      <c r="B4146" s="10" t="s">
        <v>45</v>
      </c>
      <c r="C4146" s="8" t="s">
        <v>9700</v>
      </c>
      <c r="D4146" s="8" t="s">
        <v>9710</v>
      </c>
      <c r="E4146" s="11" t="n">
        <v>333</v>
      </c>
      <c r="F4146" s="8" t="str">
        <f aca="false">IFERROR(INDEX(Section_Master!$D$2:$D$477,MATCH($E4146,Section_Master!$A$2:$A$477,0))&amp;"","")</f>
        <v>Imprisonment up to 7 years and fine</v>
      </c>
      <c r="G4146" s="10" t="str">
        <f aca="false">IFERROR(INDEX(Section_Master!$E$2:$E$477,MATCH($E4146,Section_Master!$A$2:$A$477,0))&amp;"","")</f>
        <v>Yes</v>
      </c>
      <c r="H4146" s="10" t="str">
        <f aca="false">IFERROR(INDEX(Section_Master!$F$2:$F$477,MATCH($E4146,Section_Master!$A$2:$A$477,0))&amp;"","")</f>
        <v>No</v>
      </c>
      <c r="I4146" s="10" t="str">
        <f aca="false">IFERROR(INDEX(Section_Master!$G$2:$G$477,MATCH($E4146,Section_Master!$A$2:$A$477,0))&amp;"","")</f>
        <v>No</v>
      </c>
      <c r="J4146" s="10" t="s">
        <v>61</v>
      </c>
      <c r="K4146" s="8" t="s">
        <v>9702</v>
      </c>
    </row>
    <row r="4147" customFormat="false" ht="45.75" hidden="false" customHeight="true" outlineLevel="0" collapsed="false">
      <c r="A4147" s="10" t="s">
        <v>9711</v>
      </c>
      <c r="B4147" s="10" t="s">
        <v>45</v>
      </c>
      <c r="C4147" s="8" t="s">
        <v>9700</v>
      </c>
      <c r="D4147" s="8" t="s">
        <v>9712</v>
      </c>
      <c r="E4147" s="11" t="n">
        <v>333</v>
      </c>
      <c r="F4147" s="8" t="str">
        <f aca="false">IFERROR(INDEX(Section_Master!$D$2:$D$477,MATCH($E4147,Section_Master!$A$2:$A$477,0))&amp;"","")</f>
        <v>Imprisonment up to 7 years and fine</v>
      </c>
      <c r="G4147" s="10" t="str">
        <f aca="false">IFERROR(INDEX(Section_Master!$E$2:$E$477,MATCH($E4147,Section_Master!$A$2:$A$477,0))&amp;"","")</f>
        <v>Yes</v>
      </c>
      <c r="H4147" s="10" t="str">
        <f aca="false">IFERROR(INDEX(Section_Master!$F$2:$F$477,MATCH($E4147,Section_Master!$A$2:$A$477,0))&amp;"","")</f>
        <v>No</v>
      </c>
      <c r="I4147" s="10" t="str">
        <f aca="false">IFERROR(INDEX(Section_Master!$G$2:$G$477,MATCH($E4147,Section_Master!$A$2:$A$477,0))&amp;"","")</f>
        <v>No</v>
      </c>
      <c r="J4147" s="10" t="s">
        <v>64</v>
      </c>
      <c r="K4147" s="8" t="s">
        <v>9702</v>
      </c>
    </row>
    <row r="4148" customFormat="false" ht="34.5" hidden="false" customHeight="true" outlineLevel="0" collapsed="false">
      <c r="A4148" s="10" t="s">
        <v>9713</v>
      </c>
      <c r="B4148" s="10" t="s">
        <v>45</v>
      </c>
      <c r="C4148" s="8" t="s">
        <v>9714</v>
      </c>
      <c r="D4148" s="8" t="s">
        <v>9715</v>
      </c>
      <c r="E4148" s="11" t="n">
        <v>334</v>
      </c>
      <c r="F4148" s="8" t="str">
        <f aca="false">IFERROR(INDEX(Section_Master!$D$2:$D$477,MATCH($E4148,Section_Master!$A$2:$A$477,0))&amp;"","")</f>
        <v>Imprisonment up to 2 years, or fine, or both; up to 7 years if by a clerk or servant [s.334]</v>
      </c>
      <c r="G4148" s="10" t="str">
        <f aca="false">IFERROR(INDEX(Section_Master!$E$2:$E$477,MATCH($E4148,Section_Master!$A$2:$A$477,0))&amp;"","")</f>
        <v>No</v>
      </c>
      <c r="H4148" s="10" t="str">
        <f aca="false">IFERROR(INDEX(Section_Master!$F$2:$F$477,MATCH($E4148,Section_Master!$A$2:$A$477,0))&amp;"","")</f>
        <v>Yes</v>
      </c>
      <c r="I4148" s="10" t="str">
        <f aca="false">IFERROR(INDEX(Section_Master!$G$2:$G$477,MATCH($E4148,Section_Master!$A$2:$A$477,0))&amp;"","")</f>
        <v>No</v>
      </c>
      <c r="J4148" s="10" t="s">
        <v>48</v>
      </c>
      <c r="K4148" s="8" t="s">
        <v>9716</v>
      </c>
    </row>
    <row r="4149" customFormat="false" ht="45.75" hidden="false" customHeight="true" outlineLevel="0" collapsed="false">
      <c r="A4149" s="10" t="s">
        <v>9717</v>
      </c>
      <c r="B4149" s="10" t="s">
        <v>45</v>
      </c>
      <c r="C4149" s="8" t="s">
        <v>9714</v>
      </c>
      <c r="D4149" s="8" t="s">
        <v>9718</v>
      </c>
      <c r="E4149" s="11" t="n">
        <v>334</v>
      </c>
      <c r="F4149" s="8" t="str">
        <f aca="false">IFERROR(INDEX(Section_Master!$D$2:$D$477,MATCH($E4149,Section_Master!$A$2:$A$477,0))&amp;"","")</f>
        <v>Imprisonment up to 2 years, or fine, or both; up to 7 years if by a clerk or servant [s.334]</v>
      </c>
      <c r="G4149" s="10" t="str">
        <f aca="false">IFERROR(INDEX(Section_Master!$E$2:$E$477,MATCH($E4149,Section_Master!$A$2:$A$477,0))&amp;"","")</f>
        <v>No</v>
      </c>
      <c r="H4149" s="10" t="str">
        <f aca="false">IFERROR(INDEX(Section_Master!$F$2:$F$477,MATCH($E4149,Section_Master!$A$2:$A$477,0))&amp;"","")</f>
        <v>Yes</v>
      </c>
      <c r="I4149" s="10" t="str">
        <f aca="false">IFERROR(INDEX(Section_Master!$G$2:$G$477,MATCH($E4149,Section_Master!$A$2:$A$477,0))&amp;"","")</f>
        <v>No</v>
      </c>
      <c r="J4149" s="10" t="s">
        <v>52</v>
      </c>
      <c r="K4149" s="8" t="s">
        <v>9716</v>
      </c>
    </row>
    <row r="4150" customFormat="false" ht="34.5" hidden="false" customHeight="true" outlineLevel="0" collapsed="false">
      <c r="A4150" s="10" t="s">
        <v>9719</v>
      </c>
      <c r="B4150" s="10" t="s">
        <v>45</v>
      </c>
      <c r="C4150" s="8" t="s">
        <v>9714</v>
      </c>
      <c r="D4150" s="8" t="s">
        <v>9720</v>
      </c>
      <c r="E4150" s="11" t="n">
        <v>334</v>
      </c>
      <c r="F4150" s="8" t="str">
        <f aca="false">IFERROR(INDEX(Section_Master!$D$2:$D$477,MATCH($E4150,Section_Master!$A$2:$A$477,0))&amp;"","")</f>
        <v>Imprisonment up to 2 years, or fine, or both; up to 7 years if by a clerk or servant [s.334]</v>
      </c>
      <c r="G4150" s="10" t="str">
        <f aca="false">IFERROR(INDEX(Section_Master!$E$2:$E$477,MATCH($E4150,Section_Master!$A$2:$A$477,0))&amp;"","")</f>
        <v>No</v>
      </c>
      <c r="H4150" s="10" t="str">
        <f aca="false">IFERROR(INDEX(Section_Master!$F$2:$F$477,MATCH($E4150,Section_Master!$A$2:$A$477,0))&amp;"","")</f>
        <v>Yes</v>
      </c>
      <c r="I4150" s="10" t="str">
        <f aca="false">IFERROR(INDEX(Section_Master!$G$2:$G$477,MATCH($E4150,Section_Master!$A$2:$A$477,0))&amp;"","")</f>
        <v>No</v>
      </c>
      <c r="J4150" s="10" t="s">
        <v>55</v>
      </c>
      <c r="K4150" s="8" t="s">
        <v>9716</v>
      </c>
    </row>
    <row r="4151" customFormat="false" ht="23.25" hidden="false" customHeight="true" outlineLevel="0" collapsed="false">
      <c r="A4151" s="10" t="s">
        <v>9721</v>
      </c>
      <c r="B4151" s="10" t="s">
        <v>45</v>
      </c>
      <c r="C4151" s="8" t="s">
        <v>9714</v>
      </c>
      <c r="D4151" s="8" t="s">
        <v>9722</v>
      </c>
      <c r="E4151" s="11" t="n">
        <v>334</v>
      </c>
      <c r="F4151" s="8" t="str">
        <f aca="false">IFERROR(INDEX(Section_Master!$D$2:$D$477,MATCH($E4151,Section_Master!$A$2:$A$477,0))&amp;"","")</f>
        <v>Imprisonment up to 2 years, or fine, or both; up to 7 years if by a clerk or servant [s.334]</v>
      </c>
      <c r="G4151" s="10" t="str">
        <f aca="false">IFERROR(INDEX(Section_Master!$E$2:$E$477,MATCH($E4151,Section_Master!$A$2:$A$477,0))&amp;"","")</f>
        <v>No</v>
      </c>
      <c r="H4151" s="10" t="str">
        <f aca="false">IFERROR(INDEX(Section_Master!$F$2:$F$477,MATCH($E4151,Section_Master!$A$2:$A$477,0))&amp;"","")</f>
        <v>Yes</v>
      </c>
      <c r="I4151" s="10" t="str">
        <f aca="false">IFERROR(INDEX(Section_Master!$G$2:$G$477,MATCH($E4151,Section_Master!$A$2:$A$477,0))&amp;"","")</f>
        <v>No</v>
      </c>
      <c r="J4151" s="10" t="s">
        <v>58</v>
      </c>
      <c r="K4151" s="8" t="s">
        <v>9716</v>
      </c>
    </row>
    <row r="4152" customFormat="false" ht="23.25" hidden="false" customHeight="true" outlineLevel="0" collapsed="false">
      <c r="A4152" s="10" t="s">
        <v>9723</v>
      </c>
      <c r="B4152" s="10" t="s">
        <v>45</v>
      </c>
      <c r="C4152" s="8" t="s">
        <v>9714</v>
      </c>
      <c r="D4152" s="8" t="s">
        <v>9724</v>
      </c>
      <c r="E4152" s="11" t="n">
        <v>334</v>
      </c>
      <c r="F4152" s="8" t="str">
        <f aca="false">IFERROR(INDEX(Section_Master!$D$2:$D$477,MATCH($E4152,Section_Master!$A$2:$A$477,0))&amp;"","")</f>
        <v>Imprisonment up to 2 years, or fine, or both; up to 7 years if by a clerk or servant [s.334]</v>
      </c>
      <c r="G4152" s="10" t="str">
        <f aca="false">IFERROR(INDEX(Section_Master!$E$2:$E$477,MATCH($E4152,Section_Master!$A$2:$A$477,0))&amp;"","")</f>
        <v>No</v>
      </c>
      <c r="H4152" s="10" t="str">
        <f aca="false">IFERROR(INDEX(Section_Master!$F$2:$F$477,MATCH($E4152,Section_Master!$A$2:$A$477,0))&amp;"","")</f>
        <v>Yes</v>
      </c>
      <c r="I4152" s="10" t="str">
        <f aca="false">IFERROR(INDEX(Section_Master!$G$2:$G$477,MATCH($E4152,Section_Master!$A$2:$A$477,0))&amp;"","")</f>
        <v>No</v>
      </c>
      <c r="J4152" s="10" t="s">
        <v>61</v>
      </c>
      <c r="K4152" s="8" t="s">
        <v>9716</v>
      </c>
    </row>
    <row r="4153" customFormat="false" ht="45.75" hidden="false" customHeight="true" outlineLevel="0" collapsed="false">
      <c r="A4153" s="10" t="s">
        <v>9725</v>
      </c>
      <c r="B4153" s="10" t="s">
        <v>45</v>
      </c>
      <c r="C4153" s="8" t="s">
        <v>9714</v>
      </c>
      <c r="D4153" s="8" t="s">
        <v>9726</v>
      </c>
      <c r="E4153" s="11" t="n">
        <v>334</v>
      </c>
      <c r="F4153" s="8" t="str">
        <f aca="false">IFERROR(INDEX(Section_Master!$D$2:$D$477,MATCH($E4153,Section_Master!$A$2:$A$477,0))&amp;"","")</f>
        <v>Imprisonment up to 2 years, or fine, or both; up to 7 years if by a clerk or servant [s.334]</v>
      </c>
      <c r="G4153" s="10" t="str">
        <f aca="false">IFERROR(INDEX(Section_Master!$E$2:$E$477,MATCH($E4153,Section_Master!$A$2:$A$477,0))&amp;"","")</f>
        <v>No</v>
      </c>
      <c r="H4153" s="10" t="str">
        <f aca="false">IFERROR(INDEX(Section_Master!$F$2:$F$477,MATCH($E4153,Section_Master!$A$2:$A$477,0))&amp;"","")</f>
        <v>Yes</v>
      </c>
      <c r="I4153" s="10" t="str">
        <f aca="false">IFERROR(INDEX(Section_Master!$G$2:$G$477,MATCH($E4153,Section_Master!$A$2:$A$477,0))&amp;"","")</f>
        <v>No</v>
      </c>
      <c r="J4153" s="10" t="s">
        <v>64</v>
      </c>
      <c r="K4153" s="8" t="s">
        <v>9716</v>
      </c>
    </row>
    <row r="4154" customFormat="false" ht="34.5" hidden="false" customHeight="true" outlineLevel="0" collapsed="false">
      <c r="A4154" s="10" t="s">
        <v>9727</v>
      </c>
      <c r="B4154" s="10" t="s">
        <v>45</v>
      </c>
      <c r="C4154" s="8" t="s">
        <v>9728</v>
      </c>
      <c r="D4154" s="8" t="s">
        <v>9729</v>
      </c>
      <c r="E4154" s="11" t="n">
        <v>335</v>
      </c>
      <c r="F4154" s="8" t="str">
        <f aca="false">IFERROR(INDEX(Section_Master!$D$2:$D$477,MATCH($E4154,Section_Master!$A$2:$A$477,0))&amp;"","")</f>
        <v>Not applicable - no offence or penalty defined here (definition, exception or general provision)</v>
      </c>
      <c r="G4154" s="10" t="str">
        <f aca="false">IFERROR(INDEX(Section_Master!$E$2:$E$477,MATCH($E4154,Section_Master!$A$2:$A$477,0))&amp;"","")</f>
        <v>N/A</v>
      </c>
      <c r="H4154" s="10" t="str">
        <f aca="false">IFERROR(INDEX(Section_Master!$F$2:$F$477,MATCH($E4154,Section_Master!$A$2:$A$477,0))&amp;"","")</f>
        <v>N/A</v>
      </c>
      <c r="I4154" s="10" t="str">
        <f aca="false">IFERROR(INDEX(Section_Master!$G$2:$G$477,MATCH($E4154,Section_Master!$A$2:$A$477,0))&amp;"","")</f>
        <v>N/A</v>
      </c>
      <c r="J4154" s="10" t="s">
        <v>48</v>
      </c>
      <c r="K4154" s="8" t="s">
        <v>9730</v>
      </c>
    </row>
    <row r="4155" customFormat="false" ht="45.75" hidden="false" customHeight="true" outlineLevel="0" collapsed="false">
      <c r="A4155" s="10" t="s">
        <v>9731</v>
      </c>
      <c r="B4155" s="10" t="s">
        <v>45</v>
      </c>
      <c r="C4155" s="8" t="s">
        <v>9728</v>
      </c>
      <c r="D4155" s="8" t="s">
        <v>9732</v>
      </c>
      <c r="E4155" s="11" t="n">
        <v>335</v>
      </c>
      <c r="F4155" s="8" t="str">
        <f aca="false">IFERROR(INDEX(Section_Master!$D$2:$D$477,MATCH($E4155,Section_Master!$A$2:$A$477,0))&amp;"","")</f>
        <v>Not applicable - no offence or penalty defined here (definition, exception or general provision)</v>
      </c>
      <c r="G4155" s="10" t="str">
        <f aca="false">IFERROR(INDEX(Section_Master!$E$2:$E$477,MATCH($E4155,Section_Master!$A$2:$A$477,0))&amp;"","")</f>
        <v>N/A</v>
      </c>
      <c r="H4155" s="10" t="str">
        <f aca="false">IFERROR(INDEX(Section_Master!$F$2:$F$477,MATCH($E4155,Section_Master!$A$2:$A$477,0))&amp;"","")</f>
        <v>N/A</v>
      </c>
      <c r="I4155" s="10" t="str">
        <f aca="false">IFERROR(INDEX(Section_Master!$G$2:$G$477,MATCH($E4155,Section_Master!$A$2:$A$477,0))&amp;"","")</f>
        <v>N/A</v>
      </c>
      <c r="J4155" s="10" t="s">
        <v>52</v>
      </c>
      <c r="K4155" s="8" t="s">
        <v>9730</v>
      </c>
    </row>
    <row r="4156" customFormat="false" ht="34.5" hidden="false" customHeight="true" outlineLevel="0" collapsed="false">
      <c r="A4156" s="10" t="s">
        <v>9733</v>
      </c>
      <c r="B4156" s="10" t="s">
        <v>45</v>
      </c>
      <c r="C4156" s="8" t="s">
        <v>9728</v>
      </c>
      <c r="D4156" s="8" t="s">
        <v>9734</v>
      </c>
      <c r="E4156" s="11" t="n">
        <v>335</v>
      </c>
      <c r="F4156" s="8" t="str">
        <f aca="false">IFERROR(INDEX(Section_Master!$D$2:$D$477,MATCH($E4156,Section_Master!$A$2:$A$477,0))&amp;"","")</f>
        <v>Not applicable - no offence or penalty defined here (definition, exception or general provision)</v>
      </c>
      <c r="G4156" s="10" t="str">
        <f aca="false">IFERROR(INDEX(Section_Master!$E$2:$E$477,MATCH($E4156,Section_Master!$A$2:$A$477,0))&amp;"","")</f>
        <v>N/A</v>
      </c>
      <c r="H4156" s="10" t="str">
        <f aca="false">IFERROR(INDEX(Section_Master!$F$2:$F$477,MATCH($E4156,Section_Master!$A$2:$A$477,0))&amp;"","")</f>
        <v>N/A</v>
      </c>
      <c r="I4156" s="10" t="str">
        <f aca="false">IFERROR(INDEX(Section_Master!$G$2:$G$477,MATCH($E4156,Section_Master!$A$2:$A$477,0))&amp;"","")</f>
        <v>N/A</v>
      </c>
      <c r="J4156" s="10" t="s">
        <v>55</v>
      </c>
      <c r="K4156" s="8" t="s">
        <v>9730</v>
      </c>
    </row>
    <row r="4157" customFormat="false" ht="23.25" hidden="false" customHeight="true" outlineLevel="0" collapsed="false">
      <c r="A4157" s="10" t="s">
        <v>9735</v>
      </c>
      <c r="B4157" s="10" t="s">
        <v>45</v>
      </c>
      <c r="C4157" s="8" t="s">
        <v>9728</v>
      </c>
      <c r="D4157" s="8" t="s">
        <v>9736</v>
      </c>
      <c r="E4157" s="11" t="n">
        <v>335</v>
      </c>
      <c r="F4157" s="8" t="str">
        <f aca="false">IFERROR(INDEX(Section_Master!$D$2:$D$477,MATCH($E4157,Section_Master!$A$2:$A$477,0))&amp;"","")</f>
        <v>Not applicable - no offence or penalty defined here (definition, exception or general provision)</v>
      </c>
      <c r="G4157" s="10" t="str">
        <f aca="false">IFERROR(INDEX(Section_Master!$E$2:$E$477,MATCH($E4157,Section_Master!$A$2:$A$477,0))&amp;"","")</f>
        <v>N/A</v>
      </c>
      <c r="H4157" s="10" t="str">
        <f aca="false">IFERROR(INDEX(Section_Master!$F$2:$F$477,MATCH($E4157,Section_Master!$A$2:$A$477,0))&amp;"","")</f>
        <v>N/A</v>
      </c>
      <c r="I4157" s="10" t="str">
        <f aca="false">IFERROR(INDEX(Section_Master!$G$2:$G$477,MATCH($E4157,Section_Master!$A$2:$A$477,0))&amp;"","")</f>
        <v>N/A</v>
      </c>
      <c r="J4157" s="10" t="s">
        <v>58</v>
      </c>
      <c r="K4157" s="8" t="s">
        <v>9730</v>
      </c>
    </row>
    <row r="4158" customFormat="false" ht="34.5" hidden="false" customHeight="true" outlineLevel="0" collapsed="false">
      <c r="A4158" s="10" t="s">
        <v>9737</v>
      </c>
      <c r="B4158" s="10" t="s">
        <v>45</v>
      </c>
      <c r="C4158" s="8" t="s">
        <v>9728</v>
      </c>
      <c r="D4158" s="8" t="s">
        <v>9738</v>
      </c>
      <c r="E4158" s="11" t="n">
        <v>335</v>
      </c>
      <c r="F4158" s="8" t="str">
        <f aca="false">IFERROR(INDEX(Section_Master!$D$2:$D$477,MATCH($E4158,Section_Master!$A$2:$A$477,0))&amp;"","")</f>
        <v>Not applicable - no offence or penalty defined here (definition, exception or general provision)</v>
      </c>
      <c r="G4158" s="10" t="str">
        <f aca="false">IFERROR(INDEX(Section_Master!$E$2:$E$477,MATCH($E4158,Section_Master!$A$2:$A$477,0))&amp;"","")</f>
        <v>N/A</v>
      </c>
      <c r="H4158" s="10" t="str">
        <f aca="false">IFERROR(INDEX(Section_Master!$F$2:$F$477,MATCH($E4158,Section_Master!$A$2:$A$477,0))&amp;"","")</f>
        <v>N/A</v>
      </c>
      <c r="I4158" s="10" t="str">
        <f aca="false">IFERROR(INDEX(Section_Master!$G$2:$G$477,MATCH($E4158,Section_Master!$A$2:$A$477,0))&amp;"","")</f>
        <v>N/A</v>
      </c>
      <c r="J4158" s="10" t="s">
        <v>61</v>
      </c>
      <c r="K4158" s="8" t="s">
        <v>9730</v>
      </c>
    </row>
    <row r="4159" customFormat="false" ht="45.75" hidden="false" customHeight="true" outlineLevel="0" collapsed="false">
      <c r="A4159" s="10" t="s">
        <v>9739</v>
      </c>
      <c r="B4159" s="10" t="s">
        <v>45</v>
      </c>
      <c r="C4159" s="8" t="s">
        <v>9728</v>
      </c>
      <c r="D4159" s="8" t="s">
        <v>9740</v>
      </c>
      <c r="E4159" s="11" t="n">
        <v>335</v>
      </c>
      <c r="F4159" s="8" t="str">
        <f aca="false">IFERROR(INDEX(Section_Master!$D$2:$D$477,MATCH($E4159,Section_Master!$A$2:$A$477,0))&amp;"","")</f>
        <v>Not applicable - no offence or penalty defined here (definition, exception or general provision)</v>
      </c>
      <c r="G4159" s="10" t="str">
        <f aca="false">IFERROR(INDEX(Section_Master!$E$2:$E$477,MATCH($E4159,Section_Master!$A$2:$A$477,0))&amp;"","")</f>
        <v>N/A</v>
      </c>
      <c r="H4159" s="10" t="str">
        <f aca="false">IFERROR(INDEX(Section_Master!$F$2:$F$477,MATCH($E4159,Section_Master!$A$2:$A$477,0))&amp;"","")</f>
        <v>N/A</v>
      </c>
      <c r="I4159" s="10" t="str">
        <f aca="false">IFERROR(INDEX(Section_Master!$G$2:$G$477,MATCH($E4159,Section_Master!$A$2:$A$477,0))&amp;"","")</f>
        <v>N/A</v>
      </c>
      <c r="J4159" s="10" t="s">
        <v>64</v>
      </c>
      <c r="K4159" s="8" t="s">
        <v>9730</v>
      </c>
    </row>
    <row r="4160" customFormat="false" ht="34.5" hidden="false" customHeight="true" outlineLevel="0" collapsed="false">
      <c r="A4160" s="10" t="s">
        <v>9741</v>
      </c>
      <c r="B4160" s="10" t="s">
        <v>45</v>
      </c>
      <c r="C4160" s="8" t="s">
        <v>9742</v>
      </c>
      <c r="D4160" s="8" t="s">
        <v>9743</v>
      </c>
      <c r="E4160" s="11" t="n">
        <v>336</v>
      </c>
      <c r="F4160" s="8" t="str">
        <f aca="false">IFERROR(INDEX(Section_Master!$D$2:$D$477,MATCH($E4160,Section_Master!$A$2:$A$477,0))&amp;"","")</f>
        <v>Imprisonment up to 2 years, or fine, or both [s.336(2)]</v>
      </c>
      <c r="G4160" s="10" t="str">
        <f aca="false">IFERROR(INDEX(Section_Master!$E$2:$E$477,MATCH($E4160,Section_Master!$A$2:$A$477,0))&amp;"","")</f>
        <v>No</v>
      </c>
      <c r="H4160" s="10" t="str">
        <f aca="false">IFERROR(INDEX(Section_Master!$F$2:$F$477,MATCH($E4160,Section_Master!$A$2:$A$477,0))&amp;"","")</f>
        <v>Yes</v>
      </c>
      <c r="I4160" s="10" t="str">
        <f aca="false">IFERROR(INDEX(Section_Master!$G$2:$G$477,MATCH($E4160,Section_Master!$A$2:$A$477,0))&amp;"","")</f>
        <v>No</v>
      </c>
      <c r="J4160" s="10" t="s">
        <v>48</v>
      </c>
      <c r="K4160" s="8" t="s">
        <v>9744</v>
      </c>
    </row>
    <row r="4161" customFormat="false" ht="45.75" hidden="false" customHeight="true" outlineLevel="0" collapsed="false">
      <c r="A4161" s="10" t="s">
        <v>9745</v>
      </c>
      <c r="B4161" s="10" t="s">
        <v>45</v>
      </c>
      <c r="C4161" s="8" t="s">
        <v>9742</v>
      </c>
      <c r="D4161" s="8" t="s">
        <v>9746</v>
      </c>
      <c r="E4161" s="11" t="n">
        <v>336</v>
      </c>
      <c r="F4161" s="8" t="str">
        <f aca="false">IFERROR(INDEX(Section_Master!$D$2:$D$477,MATCH($E4161,Section_Master!$A$2:$A$477,0))&amp;"","")</f>
        <v>Imprisonment up to 2 years, or fine, or both [s.336(2)]</v>
      </c>
      <c r="G4161" s="10" t="str">
        <f aca="false">IFERROR(INDEX(Section_Master!$E$2:$E$477,MATCH($E4161,Section_Master!$A$2:$A$477,0))&amp;"","")</f>
        <v>No</v>
      </c>
      <c r="H4161" s="10" t="str">
        <f aca="false">IFERROR(INDEX(Section_Master!$F$2:$F$477,MATCH($E4161,Section_Master!$A$2:$A$477,0))&amp;"","")</f>
        <v>Yes</v>
      </c>
      <c r="I4161" s="10" t="str">
        <f aca="false">IFERROR(INDEX(Section_Master!$G$2:$G$477,MATCH($E4161,Section_Master!$A$2:$A$477,0))&amp;"","")</f>
        <v>No</v>
      </c>
      <c r="J4161" s="10" t="s">
        <v>52</v>
      </c>
      <c r="K4161" s="8" t="s">
        <v>9744</v>
      </c>
    </row>
    <row r="4162" customFormat="false" ht="34.5" hidden="false" customHeight="true" outlineLevel="0" collapsed="false">
      <c r="A4162" s="10" t="s">
        <v>9747</v>
      </c>
      <c r="B4162" s="10" t="s">
        <v>45</v>
      </c>
      <c r="C4162" s="8" t="s">
        <v>9742</v>
      </c>
      <c r="D4162" s="8" t="s">
        <v>9748</v>
      </c>
      <c r="E4162" s="11" t="n">
        <v>336</v>
      </c>
      <c r="F4162" s="8" t="str">
        <f aca="false">IFERROR(INDEX(Section_Master!$D$2:$D$477,MATCH($E4162,Section_Master!$A$2:$A$477,0))&amp;"","")</f>
        <v>Imprisonment up to 2 years, or fine, or both [s.336(2)]</v>
      </c>
      <c r="G4162" s="10" t="str">
        <f aca="false">IFERROR(INDEX(Section_Master!$E$2:$E$477,MATCH($E4162,Section_Master!$A$2:$A$477,0))&amp;"","")</f>
        <v>No</v>
      </c>
      <c r="H4162" s="10" t="str">
        <f aca="false">IFERROR(INDEX(Section_Master!$F$2:$F$477,MATCH($E4162,Section_Master!$A$2:$A$477,0))&amp;"","")</f>
        <v>Yes</v>
      </c>
      <c r="I4162" s="10" t="str">
        <f aca="false">IFERROR(INDEX(Section_Master!$G$2:$G$477,MATCH($E4162,Section_Master!$A$2:$A$477,0))&amp;"","")</f>
        <v>No</v>
      </c>
      <c r="J4162" s="10" t="s">
        <v>55</v>
      </c>
      <c r="K4162" s="8" t="s">
        <v>9744</v>
      </c>
    </row>
    <row r="4163" customFormat="false" ht="23.25" hidden="false" customHeight="true" outlineLevel="0" collapsed="false">
      <c r="A4163" s="10" t="s">
        <v>9749</v>
      </c>
      <c r="B4163" s="10" t="s">
        <v>45</v>
      </c>
      <c r="C4163" s="8" t="s">
        <v>9742</v>
      </c>
      <c r="D4163" s="8" t="s">
        <v>9750</v>
      </c>
      <c r="E4163" s="11" t="n">
        <v>336</v>
      </c>
      <c r="F4163" s="8" t="str">
        <f aca="false">IFERROR(INDEX(Section_Master!$D$2:$D$477,MATCH($E4163,Section_Master!$A$2:$A$477,0))&amp;"","")</f>
        <v>Imprisonment up to 2 years, or fine, or both [s.336(2)]</v>
      </c>
      <c r="G4163" s="10" t="str">
        <f aca="false">IFERROR(INDEX(Section_Master!$E$2:$E$477,MATCH($E4163,Section_Master!$A$2:$A$477,0))&amp;"","")</f>
        <v>No</v>
      </c>
      <c r="H4163" s="10" t="str">
        <f aca="false">IFERROR(INDEX(Section_Master!$F$2:$F$477,MATCH($E4163,Section_Master!$A$2:$A$477,0))&amp;"","")</f>
        <v>Yes</v>
      </c>
      <c r="I4163" s="10" t="str">
        <f aca="false">IFERROR(INDEX(Section_Master!$G$2:$G$477,MATCH($E4163,Section_Master!$A$2:$A$477,0))&amp;"","")</f>
        <v>No</v>
      </c>
      <c r="J4163" s="10" t="s">
        <v>58</v>
      </c>
      <c r="K4163" s="8" t="s">
        <v>9744</v>
      </c>
    </row>
    <row r="4164" customFormat="false" ht="34.5" hidden="false" customHeight="true" outlineLevel="0" collapsed="false">
      <c r="A4164" s="10" t="s">
        <v>9751</v>
      </c>
      <c r="B4164" s="10" t="s">
        <v>45</v>
      </c>
      <c r="C4164" s="8" t="s">
        <v>9742</v>
      </c>
      <c r="D4164" s="8" t="s">
        <v>9752</v>
      </c>
      <c r="E4164" s="11" t="n">
        <v>336</v>
      </c>
      <c r="F4164" s="8" t="str">
        <f aca="false">IFERROR(INDEX(Section_Master!$D$2:$D$477,MATCH($E4164,Section_Master!$A$2:$A$477,0))&amp;"","")</f>
        <v>Imprisonment up to 2 years, or fine, or both [s.336(2)]</v>
      </c>
      <c r="G4164" s="10" t="str">
        <f aca="false">IFERROR(INDEX(Section_Master!$E$2:$E$477,MATCH($E4164,Section_Master!$A$2:$A$477,0))&amp;"","")</f>
        <v>No</v>
      </c>
      <c r="H4164" s="10" t="str">
        <f aca="false">IFERROR(INDEX(Section_Master!$F$2:$F$477,MATCH($E4164,Section_Master!$A$2:$A$477,0))&amp;"","")</f>
        <v>Yes</v>
      </c>
      <c r="I4164" s="10" t="str">
        <f aca="false">IFERROR(INDEX(Section_Master!$G$2:$G$477,MATCH($E4164,Section_Master!$A$2:$A$477,0))&amp;"","")</f>
        <v>No</v>
      </c>
      <c r="J4164" s="10" t="s">
        <v>61</v>
      </c>
      <c r="K4164" s="8" t="s">
        <v>9744</v>
      </c>
    </row>
    <row r="4165" customFormat="false" ht="45.75" hidden="false" customHeight="true" outlineLevel="0" collapsed="false">
      <c r="A4165" s="10" t="s">
        <v>9753</v>
      </c>
      <c r="B4165" s="10" t="s">
        <v>45</v>
      </c>
      <c r="C4165" s="8" t="s">
        <v>9742</v>
      </c>
      <c r="D4165" s="8" t="s">
        <v>9754</v>
      </c>
      <c r="E4165" s="11" t="n">
        <v>336</v>
      </c>
      <c r="F4165" s="8" t="str">
        <f aca="false">IFERROR(INDEX(Section_Master!$D$2:$D$477,MATCH($E4165,Section_Master!$A$2:$A$477,0))&amp;"","")</f>
        <v>Imprisonment up to 2 years, or fine, or both [s.336(2)]</v>
      </c>
      <c r="G4165" s="10" t="str">
        <f aca="false">IFERROR(INDEX(Section_Master!$E$2:$E$477,MATCH($E4165,Section_Master!$A$2:$A$477,0))&amp;"","")</f>
        <v>No</v>
      </c>
      <c r="H4165" s="10" t="str">
        <f aca="false">IFERROR(INDEX(Section_Master!$F$2:$F$477,MATCH($E4165,Section_Master!$A$2:$A$477,0))&amp;"","")</f>
        <v>Yes</v>
      </c>
      <c r="I4165" s="10" t="str">
        <f aca="false">IFERROR(INDEX(Section_Master!$G$2:$G$477,MATCH($E4165,Section_Master!$A$2:$A$477,0))&amp;"","")</f>
        <v>No</v>
      </c>
      <c r="J4165" s="10" t="s">
        <v>64</v>
      </c>
      <c r="K4165" s="8" t="s">
        <v>9744</v>
      </c>
    </row>
    <row r="4166" customFormat="false" ht="34.5" hidden="false" customHeight="true" outlineLevel="0" collapsed="false">
      <c r="A4166" s="10" t="s">
        <v>9755</v>
      </c>
      <c r="B4166" s="10" t="s">
        <v>45</v>
      </c>
      <c r="C4166" s="8" t="s">
        <v>9756</v>
      </c>
      <c r="D4166" s="8" t="s">
        <v>9757</v>
      </c>
      <c r="E4166" s="11" t="n">
        <v>337</v>
      </c>
      <c r="F4166" s="8" t="str">
        <f aca="false">IFERROR(INDEX(Section_Master!$D$2:$D$477,MATCH($E4166,Section_Master!$A$2:$A$477,0))&amp;"","")</f>
        <v>Imprisonment up to 7 years and fine</v>
      </c>
      <c r="G4166" s="10" t="str">
        <f aca="false">IFERROR(INDEX(Section_Master!$E$2:$E$477,MATCH($E4166,Section_Master!$A$2:$A$477,0))&amp;"","")</f>
        <v>No</v>
      </c>
      <c r="H4166" s="10" t="str">
        <f aca="false">IFERROR(INDEX(Section_Master!$F$2:$F$477,MATCH($E4166,Section_Master!$A$2:$A$477,0))&amp;"","")</f>
        <v>No</v>
      </c>
      <c r="I4166" s="10" t="str">
        <f aca="false">IFERROR(INDEX(Section_Master!$G$2:$G$477,MATCH($E4166,Section_Master!$A$2:$A$477,0))&amp;"","")</f>
        <v>No</v>
      </c>
      <c r="J4166" s="10" t="s">
        <v>48</v>
      </c>
      <c r="K4166" s="8" t="s">
        <v>9758</v>
      </c>
    </row>
    <row r="4167" customFormat="false" ht="34.5" hidden="false" customHeight="true" outlineLevel="0" collapsed="false">
      <c r="A4167" s="10" t="s">
        <v>9759</v>
      </c>
      <c r="B4167" s="10" t="s">
        <v>45</v>
      </c>
      <c r="C4167" s="8" t="s">
        <v>9756</v>
      </c>
      <c r="D4167" s="8" t="s">
        <v>9760</v>
      </c>
      <c r="E4167" s="11" t="n">
        <v>337</v>
      </c>
      <c r="F4167" s="8" t="str">
        <f aca="false">IFERROR(INDEX(Section_Master!$D$2:$D$477,MATCH($E4167,Section_Master!$A$2:$A$477,0))&amp;"","")</f>
        <v>Imprisonment up to 7 years and fine</v>
      </c>
      <c r="G4167" s="10" t="str">
        <f aca="false">IFERROR(INDEX(Section_Master!$E$2:$E$477,MATCH($E4167,Section_Master!$A$2:$A$477,0))&amp;"","")</f>
        <v>No</v>
      </c>
      <c r="H4167" s="10" t="str">
        <f aca="false">IFERROR(INDEX(Section_Master!$F$2:$F$477,MATCH($E4167,Section_Master!$A$2:$A$477,0))&amp;"","")</f>
        <v>No</v>
      </c>
      <c r="I4167" s="10" t="str">
        <f aca="false">IFERROR(INDEX(Section_Master!$G$2:$G$477,MATCH($E4167,Section_Master!$A$2:$A$477,0))&amp;"","")</f>
        <v>No</v>
      </c>
      <c r="J4167" s="10" t="s">
        <v>52</v>
      </c>
      <c r="K4167" s="8" t="s">
        <v>9758</v>
      </c>
    </row>
    <row r="4168" customFormat="false" ht="45.75" hidden="false" customHeight="true" outlineLevel="0" collapsed="false">
      <c r="A4168" s="10" t="s">
        <v>9761</v>
      </c>
      <c r="B4168" s="10" t="s">
        <v>45</v>
      </c>
      <c r="C4168" s="8" t="s">
        <v>9756</v>
      </c>
      <c r="D4168" s="8" t="s">
        <v>9762</v>
      </c>
      <c r="E4168" s="11" t="n">
        <v>337</v>
      </c>
      <c r="F4168" s="8" t="str">
        <f aca="false">IFERROR(INDEX(Section_Master!$D$2:$D$477,MATCH($E4168,Section_Master!$A$2:$A$477,0))&amp;"","")</f>
        <v>Imprisonment up to 7 years and fine</v>
      </c>
      <c r="G4168" s="10" t="str">
        <f aca="false">IFERROR(INDEX(Section_Master!$E$2:$E$477,MATCH($E4168,Section_Master!$A$2:$A$477,0))&amp;"","")</f>
        <v>No</v>
      </c>
      <c r="H4168" s="10" t="str">
        <f aca="false">IFERROR(INDEX(Section_Master!$F$2:$F$477,MATCH($E4168,Section_Master!$A$2:$A$477,0))&amp;"","")</f>
        <v>No</v>
      </c>
      <c r="I4168" s="10" t="str">
        <f aca="false">IFERROR(INDEX(Section_Master!$G$2:$G$477,MATCH($E4168,Section_Master!$A$2:$A$477,0))&amp;"","")</f>
        <v>No</v>
      </c>
      <c r="J4168" s="10" t="s">
        <v>55</v>
      </c>
      <c r="K4168" s="8" t="s">
        <v>9758</v>
      </c>
    </row>
    <row r="4169" customFormat="false" ht="23.25" hidden="false" customHeight="true" outlineLevel="0" collapsed="false">
      <c r="A4169" s="10" t="s">
        <v>9763</v>
      </c>
      <c r="B4169" s="10" t="s">
        <v>45</v>
      </c>
      <c r="C4169" s="8" t="s">
        <v>9756</v>
      </c>
      <c r="D4169" s="8" t="s">
        <v>9764</v>
      </c>
      <c r="E4169" s="11" t="n">
        <v>337</v>
      </c>
      <c r="F4169" s="8" t="str">
        <f aca="false">IFERROR(INDEX(Section_Master!$D$2:$D$477,MATCH($E4169,Section_Master!$A$2:$A$477,0))&amp;"","")</f>
        <v>Imprisonment up to 7 years and fine</v>
      </c>
      <c r="G4169" s="10" t="str">
        <f aca="false">IFERROR(INDEX(Section_Master!$E$2:$E$477,MATCH($E4169,Section_Master!$A$2:$A$477,0))&amp;"","")</f>
        <v>No</v>
      </c>
      <c r="H4169" s="10" t="str">
        <f aca="false">IFERROR(INDEX(Section_Master!$F$2:$F$477,MATCH($E4169,Section_Master!$A$2:$A$477,0))&amp;"","")</f>
        <v>No</v>
      </c>
      <c r="I4169" s="10" t="str">
        <f aca="false">IFERROR(INDEX(Section_Master!$G$2:$G$477,MATCH($E4169,Section_Master!$A$2:$A$477,0))&amp;"","")</f>
        <v>No</v>
      </c>
      <c r="J4169" s="10" t="s">
        <v>58</v>
      </c>
      <c r="K4169" s="8" t="s">
        <v>9758</v>
      </c>
    </row>
    <row r="4170" customFormat="false" ht="34.5" hidden="false" customHeight="true" outlineLevel="0" collapsed="false">
      <c r="A4170" s="10" t="s">
        <v>9765</v>
      </c>
      <c r="B4170" s="10" t="s">
        <v>45</v>
      </c>
      <c r="C4170" s="8" t="s">
        <v>9756</v>
      </c>
      <c r="D4170" s="8" t="s">
        <v>9766</v>
      </c>
      <c r="E4170" s="11" t="n">
        <v>337</v>
      </c>
      <c r="F4170" s="8" t="str">
        <f aca="false">IFERROR(INDEX(Section_Master!$D$2:$D$477,MATCH($E4170,Section_Master!$A$2:$A$477,0))&amp;"","")</f>
        <v>Imprisonment up to 7 years and fine</v>
      </c>
      <c r="G4170" s="10" t="str">
        <f aca="false">IFERROR(INDEX(Section_Master!$E$2:$E$477,MATCH($E4170,Section_Master!$A$2:$A$477,0))&amp;"","")</f>
        <v>No</v>
      </c>
      <c r="H4170" s="10" t="str">
        <f aca="false">IFERROR(INDEX(Section_Master!$F$2:$F$477,MATCH($E4170,Section_Master!$A$2:$A$477,0))&amp;"","")</f>
        <v>No</v>
      </c>
      <c r="I4170" s="10" t="str">
        <f aca="false">IFERROR(INDEX(Section_Master!$G$2:$G$477,MATCH($E4170,Section_Master!$A$2:$A$477,0))&amp;"","")</f>
        <v>No</v>
      </c>
      <c r="J4170" s="10" t="s">
        <v>61</v>
      </c>
      <c r="K4170" s="8" t="s">
        <v>9758</v>
      </c>
    </row>
    <row r="4171" customFormat="false" ht="45.75" hidden="false" customHeight="true" outlineLevel="0" collapsed="false">
      <c r="A4171" s="10" t="s">
        <v>9767</v>
      </c>
      <c r="B4171" s="10" t="s">
        <v>45</v>
      </c>
      <c r="C4171" s="8" t="s">
        <v>9756</v>
      </c>
      <c r="D4171" s="8" t="s">
        <v>9768</v>
      </c>
      <c r="E4171" s="11" t="n">
        <v>337</v>
      </c>
      <c r="F4171" s="8" t="str">
        <f aca="false">IFERROR(INDEX(Section_Master!$D$2:$D$477,MATCH($E4171,Section_Master!$A$2:$A$477,0))&amp;"","")</f>
        <v>Imprisonment up to 7 years and fine</v>
      </c>
      <c r="G4171" s="10" t="str">
        <f aca="false">IFERROR(INDEX(Section_Master!$E$2:$E$477,MATCH($E4171,Section_Master!$A$2:$A$477,0))&amp;"","")</f>
        <v>No</v>
      </c>
      <c r="H4171" s="10" t="str">
        <f aca="false">IFERROR(INDEX(Section_Master!$F$2:$F$477,MATCH($E4171,Section_Master!$A$2:$A$477,0))&amp;"","")</f>
        <v>No</v>
      </c>
      <c r="I4171" s="10" t="str">
        <f aca="false">IFERROR(INDEX(Section_Master!$G$2:$G$477,MATCH($E4171,Section_Master!$A$2:$A$477,0))&amp;"","")</f>
        <v>No</v>
      </c>
      <c r="J4171" s="10" t="s">
        <v>64</v>
      </c>
      <c r="K4171" s="8" t="s">
        <v>9758</v>
      </c>
    </row>
    <row r="4172" customFormat="false" ht="23.25" hidden="false" customHeight="true" outlineLevel="0" collapsed="false">
      <c r="A4172" s="10" t="s">
        <v>9769</v>
      </c>
      <c r="B4172" s="10" t="s">
        <v>45</v>
      </c>
      <c r="C4172" s="8" t="s">
        <v>9770</v>
      </c>
      <c r="D4172" s="8" t="s">
        <v>9771</v>
      </c>
      <c r="E4172" s="11" t="n">
        <v>338</v>
      </c>
      <c r="F4172" s="8" t="str">
        <f aca="false">IFERROR(INDEX(Section_Master!$D$2:$D$477,MATCH($E4172,Section_Master!$A$2:$A$477,0))&amp;"","")</f>
        <v>Imprisonment for life, or up to 7 years, and fine</v>
      </c>
      <c r="G4172" s="10" t="str">
        <f aca="false">IFERROR(INDEX(Section_Master!$E$2:$E$477,MATCH($E4172,Section_Master!$A$2:$A$477,0))&amp;"","")</f>
        <v>Yes</v>
      </c>
      <c r="H4172" s="10" t="str">
        <f aca="false">IFERROR(INDEX(Section_Master!$F$2:$F$477,MATCH($E4172,Section_Master!$A$2:$A$477,0))&amp;"","")</f>
        <v>No</v>
      </c>
      <c r="I4172" s="10" t="str">
        <f aca="false">IFERROR(INDEX(Section_Master!$G$2:$G$477,MATCH($E4172,Section_Master!$A$2:$A$477,0))&amp;"","")</f>
        <v>No</v>
      </c>
      <c r="J4172" s="10" t="s">
        <v>48</v>
      </c>
      <c r="K4172" s="8" t="s">
        <v>9772</v>
      </c>
    </row>
    <row r="4173" customFormat="false" ht="34.5" hidden="false" customHeight="true" outlineLevel="0" collapsed="false">
      <c r="A4173" s="10" t="s">
        <v>9773</v>
      </c>
      <c r="B4173" s="10" t="s">
        <v>45</v>
      </c>
      <c r="C4173" s="8" t="s">
        <v>9770</v>
      </c>
      <c r="D4173" s="8" t="s">
        <v>9774</v>
      </c>
      <c r="E4173" s="11" t="n">
        <v>338</v>
      </c>
      <c r="F4173" s="8" t="str">
        <f aca="false">IFERROR(INDEX(Section_Master!$D$2:$D$477,MATCH($E4173,Section_Master!$A$2:$A$477,0))&amp;"","")</f>
        <v>Imprisonment for life, or up to 7 years, and fine</v>
      </c>
      <c r="G4173" s="10" t="str">
        <f aca="false">IFERROR(INDEX(Section_Master!$E$2:$E$477,MATCH($E4173,Section_Master!$A$2:$A$477,0))&amp;"","")</f>
        <v>Yes</v>
      </c>
      <c r="H4173" s="10" t="str">
        <f aca="false">IFERROR(INDEX(Section_Master!$F$2:$F$477,MATCH($E4173,Section_Master!$A$2:$A$477,0))&amp;"","")</f>
        <v>No</v>
      </c>
      <c r="I4173" s="10" t="str">
        <f aca="false">IFERROR(INDEX(Section_Master!$G$2:$G$477,MATCH($E4173,Section_Master!$A$2:$A$477,0))&amp;"","")</f>
        <v>No</v>
      </c>
      <c r="J4173" s="10" t="s">
        <v>52</v>
      </c>
      <c r="K4173" s="8" t="s">
        <v>9772</v>
      </c>
    </row>
    <row r="4174" customFormat="false" ht="34.5" hidden="false" customHeight="true" outlineLevel="0" collapsed="false">
      <c r="A4174" s="10" t="s">
        <v>9775</v>
      </c>
      <c r="B4174" s="10" t="s">
        <v>45</v>
      </c>
      <c r="C4174" s="8" t="s">
        <v>9770</v>
      </c>
      <c r="D4174" s="8" t="s">
        <v>9776</v>
      </c>
      <c r="E4174" s="11" t="n">
        <v>338</v>
      </c>
      <c r="F4174" s="8" t="str">
        <f aca="false">IFERROR(INDEX(Section_Master!$D$2:$D$477,MATCH($E4174,Section_Master!$A$2:$A$477,0))&amp;"","")</f>
        <v>Imprisonment for life, or up to 7 years, and fine</v>
      </c>
      <c r="G4174" s="10" t="str">
        <f aca="false">IFERROR(INDEX(Section_Master!$E$2:$E$477,MATCH($E4174,Section_Master!$A$2:$A$477,0))&amp;"","")</f>
        <v>Yes</v>
      </c>
      <c r="H4174" s="10" t="str">
        <f aca="false">IFERROR(INDEX(Section_Master!$F$2:$F$477,MATCH($E4174,Section_Master!$A$2:$A$477,0))&amp;"","")</f>
        <v>No</v>
      </c>
      <c r="I4174" s="10" t="str">
        <f aca="false">IFERROR(INDEX(Section_Master!$G$2:$G$477,MATCH($E4174,Section_Master!$A$2:$A$477,0))&amp;"","")</f>
        <v>No</v>
      </c>
      <c r="J4174" s="10" t="s">
        <v>55</v>
      </c>
      <c r="K4174" s="8" t="s">
        <v>9772</v>
      </c>
    </row>
    <row r="4175" customFormat="false" ht="23.25" hidden="false" customHeight="true" outlineLevel="0" collapsed="false">
      <c r="A4175" s="10" t="s">
        <v>9777</v>
      </c>
      <c r="B4175" s="10" t="s">
        <v>45</v>
      </c>
      <c r="C4175" s="8" t="s">
        <v>9770</v>
      </c>
      <c r="D4175" s="8" t="s">
        <v>9778</v>
      </c>
      <c r="E4175" s="11" t="n">
        <v>338</v>
      </c>
      <c r="F4175" s="8" t="str">
        <f aca="false">IFERROR(INDEX(Section_Master!$D$2:$D$477,MATCH($E4175,Section_Master!$A$2:$A$477,0))&amp;"","")</f>
        <v>Imprisonment for life, or up to 7 years, and fine</v>
      </c>
      <c r="G4175" s="10" t="str">
        <f aca="false">IFERROR(INDEX(Section_Master!$E$2:$E$477,MATCH($E4175,Section_Master!$A$2:$A$477,0))&amp;"","")</f>
        <v>Yes</v>
      </c>
      <c r="H4175" s="10" t="str">
        <f aca="false">IFERROR(INDEX(Section_Master!$F$2:$F$477,MATCH($E4175,Section_Master!$A$2:$A$477,0))&amp;"","")</f>
        <v>No</v>
      </c>
      <c r="I4175" s="10" t="str">
        <f aca="false">IFERROR(INDEX(Section_Master!$G$2:$G$477,MATCH($E4175,Section_Master!$A$2:$A$477,0))&amp;"","")</f>
        <v>No</v>
      </c>
      <c r="J4175" s="10" t="s">
        <v>58</v>
      </c>
      <c r="K4175" s="8" t="s">
        <v>9772</v>
      </c>
    </row>
    <row r="4176" customFormat="false" ht="34.5" hidden="false" customHeight="true" outlineLevel="0" collapsed="false">
      <c r="A4176" s="10" t="s">
        <v>9779</v>
      </c>
      <c r="B4176" s="10" t="s">
        <v>45</v>
      </c>
      <c r="C4176" s="8" t="s">
        <v>9770</v>
      </c>
      <c r="D4176" s="8" t="s">
        <v>9780</v>
      </c>
      <c r="E4176" s="11" t="n">
        <v>338</v>
      </c>
      <c r="F4176" s="8" t="str">
        <f aca="false">IFERROR(INDEX(Section_Master!$D$2:$D$477,MATCH($E4176,Section_Master!$A$2:$A$477,0))&amp;"","")</f>
        <v>Imprisonment for life, or up to 7 years, and fine</v>
      </c>
      <c r="G4176" s="10" t="str">
        <f aca="false">IFERROR(INDEX(Section_Master!$E$2:$E$477,MATCH($E4176,Section_Master!$A$2:$A$477,0))&amp;"","")</f>
        <v>Yes</v>
      </c>
      <c r="H4176" s="10" t="str">
        <f aca="false">IFERROR(INDEX(Section_Master!$F$2:$F$477,MATCH($E4176,Section_Master!$A$2:$A$477,0))&amp;"","")</f>
        <v>No</v>
      </c>
      <c r="I4176" s="10" t="str">
        <f aca="false">IFERROR(INDEX(Section_Master!$G$2:$G$477,MATCH($E4176,Section_Master!$A$2:$A$477,0))&amp;"","")</f>
        <v>No</v>
      </c>
      <c r="J4176" s="10" t="s">
        <v>61</v>
      </c>
      <c r="K4176" s="8" t="s">
        <v>9772</v>
      </c>
    </row>
    <row r="4177" customFormat="false" ht="45.75" hidden="false" customHeight="true" outlineLevel="0" collapsed="false">
      <c r="A4177" s="10" t="s">
        <v>9781</v>
      </c>
      <c r="B4177" s="10" t="s">
        <v>45</v>
      </c>
      <c r="C4177" s="8" t="s">
        <v>9770</v>
      </c>
      <c r="D4177" s="8" t="s">
        <v>9782</v>
      </c>
      <c r="E4177" s="11" t="n">
        <v>338</v>
      </c>
      <c r="F4177" s="8" t="str">
        <f aca="false">IFERROR(INDEX(Section_Master!$D$2:$D$477,MATCH($E4177,Section_Master!$A$2:$A$477,0))&amp;"","")</f>
        <v>Imprisonment for life, or up to 7 years, and fine</v>
      </c>
      <c r="G4177" s="10" t="str">
        <f aca="false">IFERROR(INDEX(Section_Master!$E$2:$E$477,MATCH($E4177,Section_Master!$A$2:$A$477,0))&amp;"","")</f>
        <v>Yes</v>
      </c>
      <c r="H4177" s="10" t="str">
        <f aca="false">IFERROR(INDEX(Section_Master!$F$2:$F$477,MATCH($E4177,Section_Master!$A$2:$A$477,0))&amp;"","")</f>
        <v>No</v>
      </c>
      <c r="I4177" s="10" t="str">
        <f aca="false">IFERROR(INDEX(Section_Master!$G$2:$G$477,MATCH($E4177,Section_Master!$A$2:$A$477,0))&amp;"","")</f>
        <v>No</v>
      </c>
      <c r="J4177" s="10" t="s">
        <v>64</v>
      </c>
      <c r="K4177" s="8" t="s">
        <v>9772</v>
      </c>
    </row>
    <row r="4178" customFormat="false" ht="45.75" hidden="false" customHeight="true" outlineLevel="0" collapsed="false">
      <c r="A4178" s="10" t="s">
        <v>9783</v>
      </c>
      <c r="B4178" s="10" t="s">
        <v>45</v>
      </c>
      <c r="C4178" s="8" t="s">
        <v>9784</v>
      </c>
      <c r="D4178" s="8" t="s">
        <v>9785</v>
      </c>
      <c r="E4178" s="11" t="n">
        <v>339</v>
      </c>
      <c r="F4178" s="8" t="str">
        <f aca="false">IFERROR(INDEX(Section_Master!$D$2:$D$477,MATCH($E4178,Section_Master!$A$2:$A$477,0))&amp;"","")</f>
        <v>Imprisonment up to 7 years and fine; life or 7 years for documents under s.338 [s.339]</v>
      </c>
      <c r="G4178" s="10" t="str">
        <f aca="false">IFERROR(INDEX(Section_Master!$E$2:$E$477,MATCH($E4178,Section_Master!$A$2:$A$477,0))&amp;"","")</f>
        <v>Varies by sub-section</v>
      </c>
      <c r="H4178" s="10" t="str">
        <f aca="false">IFERROR(INDEX(Section_Master!$F$2:$F$477,MATCH($E4178,Section_Master!$A$2:$A$477,0))&amp;"","")</f>
        <v>No</v>
      </c>
      <c r="I4178" s="10" t="str">
        <f aca="false">IFERROR(INDEX(Section_Master!$G$2:$G$477,MATCH($E4178,Section_Master!$A$2:$A$477,0))&amp;"","")</f>
        <v>No</v>
      </c>
      <c r="J4178" s="10" t="s">
        <v>48</v>
      </c>
      <c r="K4178" s="8" t="s">
        <v>9786</v>
      </c>
    </row>
    <row r="4179" customFormat="false" ht="45.75" hidden="false" customHeight="true" outlineLevel="0" collapsed="false">
      <c r="A4179" s="10" t="s">
        <v>9787</v>
      </c>
      <c r="B4179" s="10" t="s">
        <v>45</v>
      </c>
      <c r="C4179" s="8" t="s">
        <v>9784</v>
      </c>
      <c r="D4179" s="8" t="s">
        <v>9788</v>
      </c>
      <c r="E4179" s="11" t="n">
        <v>339</v>
      </c>
      <c r="F4179" s="8" t="str">
        <f aca="false">IFERROR(INDEX(Section_Master!$D$2:$D$477,MATCH($E4179,Section_Master!$A$2:$A$477,0))&amp;"","")</f>
        <v>Imprisonment up to 7 years and fine; life or 7 years for documents under s.338 [s.339]</v>
      </c>
      <c r="G4179" s="10" t="str">
        <f aca="false">IFERROR(INDEX(Section_Master!$E$2:$E$477,MATCH($E4179,Section_Master!$A$2:$A$477,0))&amp;"","")</f>
        <v>Varies by sub-section</v>
      </c>
      <c r="H4179" s="10" t="str">
        <f aca="false">IFERROR(INDEX(Section_Master!$F$2:$F$477,MATCH($E4179,Section_Master!$A$2:$A$477,0))&amp;"","")</f>
        <v>No</v>
      </c>
      <c r="I4179" s="10" t="str">
        <f aca="false">IFERROR(INDEX(Section_Master!$G$2:$G$477,MATCH($E4179,Section_Master!$A$2:$A$477,0))&amp;"","")</f>
        <v>No</v>
      </c>
      <c r="J4179" s="10" t="s">
        <v>52</v>
      </c>
      <c r="K4179" s="8" t="s">
        <v>9786</v>
      </c>
    </row>
    <row r="4180" customFormat="false" ht="34.5" hidden="false" customHeight="true" outlineLevel="0" collapsed="false">
      <c r="A4180" s="10" t="s">
        <v>9789</v>
      </c>
      <c r="B4180" s="10" t="s">
        <v>45</v>
      </c>
      <c r="C4180" s="8" t="s">
        <v>9784</v>
      </c>
      <c r="D4180" s="8" t="s">
        <v>9790</v>
      </c>
      <c r="E4180" s="11" t="n">
        <v>339</v>
      </c>
      <c r="F4180" s="8" t="str">
        <f aca="false">IFERROR(INDEX(Section_Master!$D$2:$D$477,MATCH($E4180,Section_Master!$A$2:$A$477,0))&amp;"","")</f>
        <v>Imprisonment up to 7 years and fine; life or 7 years for documents under s.338 [s.339]</v>
      </c>
      <c r="G4180" s="10" t="str">
        <f aca="false">IFERROR(INDEX(Section_Master!$E$2:$E$477,MATCH($E4180,Section_Master!$A$2:$A$477,0))&amp;"","")</f>
        <v>Varies by sub-section</v>
      </c>
      <c r="H4180" s="10" t="str">
        <f aca="false">IFERROR(INDEX(Section_Master!$F$2:$F$477,MATCH($E4180,Section_Master!$A$2:$A$477,0))&amp;"","")</f>
        <v>No</v>
      </c>
      <c r="I4180" s="10" t="str">
        <f aca="false">IFERROR(INDEX(Section_Master!$G$2:$G$477,MATCH($E4180,Section_Master!$A$2:$A$477,0))&amp;"","")</f>
        <v>No</v>
      </c>
      <c r="J4180" s="10" t="s">
        <v>55</v>
      </c>
      <c r="K4180" s="8" t="s">
        <v>9786</v>
      </c>
    </row>
    <row r="4181" customFormat="false" ht="23.25" hidden="false" customHeight="true" outlineLevel="0" collapsed="false">
      <c r="A4181" s="10" t="s">
        <v>9791</v>
      </c>
      <c r="B4181" s="10" t="s">
        <v>45</v>
      </c>
      <c r="C4181" s="8" t="s">
        <v>9784</v>
      </c>
      <c r="D4181" s="8" t="s">
        <v>9792</v>
      </c>
      <c r="E4181" s="11" t="n">
        <v>339</v>
      </c>
      <c r="F4181" s="8" t="str">
        <f aca="false">IFERROR(INDEX(Section_Master!$D$2:$D$477,MATCH($E4181,Section_Master!$A$2:$A$477,0))&amp;"","")</f>
        <v>Imprisonment up to 7 years and fine; life or 7 years for documents under s.338 [s.339]</v>
      </c>
      <c r="G4181" s="10" t="str">
        <f aca="false">IFERROR(INDEX(Section_Master!$E$2:$E$477,MATCH($E4181,Section_Master!$A$2:$A$477,0))&amp;"","")</f>
        <v>Varies by sub-section</v>
      </c>
      <c r="H4181" s="10" t="str">
        <f aca="false">IFERROR(INDEX(Section_Master!$F$2:$F$477,MATCH($E4181,Section_Master!$A$2:$A$477,0))&amp;"","")</f>
        <v>No</v>
      </c>
      <c r="I4181" s="10" t="str">
        <f aca="false">IFERROR(INDEX(Section_Master!$G$2:$G$477,MATCH($E4181,Section_Master!$A$2:$A$477,0))&amp;"","")</f>
        <v>No</v>
      </c>
      <c r="J4181" s="10" t="s">
        <v>58</v>
      </c>
      <c r="K4181" s="8" t="s">
        <v>9786</v>
      </c>
    </row>
    <row r="4182" customFormat="false" ht="34.5" hidden="false" customHeight="true" outlineLevel="0" collapsed="false">
      <c r="A4182" s="10" t="s">
        <v>9793</v>
      </c>
      <c r="B4182" s="10" t="s">
        <v>45</v>
      </c>
      <c r="C4182" s="8" t="s">
        <v>9784</v>
      </c>
      <c r="D4182" s="8" t="s">
        <v>9794</v>
      </c>
      <c r="E4182" s="11" t="n">
        <v>339</v>
      </c>
      <c r="F4182" s="8" t="str">
        <f aca="false">IFERROR(INDEX(Section_Master!$D$2:$D$477,MATCH($E4182,Section_Master!$A$2:$A$477,0))&amp;"","")</f>
        <v>Imprisonment up to 7 years and fine; life or 7 years for documents under s.338 [s.339]</v>
      </c>
      <c r="G4182" s="10" t="str">
        <f aca="false">IFERROR(INDEX(Section_Master!$E$2:$E$477,MATCH($E4182,Section_Master!$A$2:$A$477,0))&amp;"","")</f>
        <v>Varies by sub-section</v>
      </c>
      <c r="H4182" s="10" t="str">
        <f aca="false">IFERROR(INDEX(Section_Master!$F$2:$F$477,MATCH($E4182,Section_Master!$A$2:$A$477,0))&amp;"","")</f>
        <v>No</v>
      </c>
      <c r="I4182" s="10" t="str">
        <f aca="false">IFERROR(INDEX(Section_Master!$G$2:$G$477,MATCH($E4182,Section_Master!$A$2:$A$477,0))&amp;"","")</f>
        <v>No</v>
      </c>
      <c r="J4182" s="10" t="s">
        <v>61</v>
      </c>
      <c r="K4182" s="8" t="s">
        <v>9786</v>
      </c>
    </row>
    <row r="4183" customFormat="false" ht="45.75" hidden="false" customHeight="true" outlineLevel="0" collapsed="false">
      <c r="A4183" s="10" t="s">
        <v>9795</v>
      </c>
      <c r="B4183" s="10" t="s">
        <v>45</v>
      </c>
      <c r="C4183" s="8" t="s">
        <v>9784</v>
      </c>
      <c r="D4183" s="8" t="s">
        <v>9796</v>
      </c>
      <c r="E4183" s="11" t="n">
        <v>339</v>
      </c>
      <c r="F4183" s="8" t="str">
        <f aca="false">IFERROR(INDEX(Section_Master!$D$2:$D$477,MATCH($E4183,Section_Master!$A$2:$A$477,0))&amp;"","")</f>
        <v>Imprisonment up to 7 years and fine; life or 7 years for documents under s.338 [s.339]</v>
      </c>
      <c r="G4183" s="10" t="str">
        <f aca="false">IFERROR(INDEX(Section_Master!$E$2:$E$477,MATCH($E4183,Section_Master!$A$2:$A$477,0))&amp;"","")</f>
        <v>Varies by sub-section</v>
      </c>
      <c r="H4183" s="10" t="str">
        <f aca="false">IFERROR(INDEX(Section_Master!$F$2:$F$477,MATCH($E4183,Section_Master!$A$2:$A$477,0))&amp;"","")</f>
        <v>No</v>
      </c>
      <c r="I4183" s="10" t="str">
        <f aca="false">IFERROR(INDEX(Section_Master!$G$2:$G$477,MATCH($E4183,Section_Master!$A$2:$A$477,0))&amp;"","")</f>
        <v>No</v>
      </c>
      <c r="J4183" s="10" t="s">
        <v>64</v>
      </c>
      <c r="K4183" s="8" t="s">
        <v>9786</v>
      </c>
    </row>
    <row r="4184" customFormat="false" ht="34.5" hidden="false" customHeight="true" outlineLevel="0" collapsed="false">
      <c r="A4184" s="10" t="s">
        <v>9797</v>
      </c>
      <c r="B4184" s="10" t="s">
        <v>45</v>
      </c>
      <c r="C4184" s="8" t="s">
        <v>9798</v>
      </c>
      <c r="D4184" s="8" t="s">
        <v>9799</v>
      </c>
      <c r="E4184" s="11" t="n">
        <v>340</v>
      </c>
      <c r="F4184" s="8" t="str">
        <f aca="false">IFERROR(INDEX(Section_Master!$D$2:$D$477,MATCH($E4184,Section_Master!$A$2:$A$477,0))&amp;"","")</f>
        <v>Same punishment as for forging that document</v>
      </c>
      <c r="G4184" s="10" t="str">
        <f aca="false">IFERROR(INDEX(Section_Master!$E$2:$E$477,MATCH($E4184,Section_Master!$A$2:$A$477,0))&amp;"","")</f>
        <v>Varies by sub-section</v>
      </c>
      <c r="H4184" s="10" t="str">
        <f aca="false">IFERROR(INDEX(Section_Master!$F$2:$F$477,MATCH($E4184,Section_Master!$A$2:$A$477,0))&amp;"","")</f>
        <v>Varies by sub-section</v>
      </c>
      <c r="I4184" s="10" t="str">
        <f aca="false">IFERROR(INDEX(Section_Master!$G$2:$G$477,MATCH($E4184,Section_Master!$A$2:$A$477,0))&amp;"","")</f>
        <v>No</v>
      </c>
      <c r="J4184" s="10" t="s">
        <v>48</v>
      </c>
      <c r="K4184" s="8" t="s">
        <v>9800</v>
      </c>
    </row>
    <row r="4185" customFormat="false" ht="34.5" hidden="false" customHeight="true" outlineLevel="0" collapsed="false">
      <c r="A4185" s="10" t="s">
        <v>9801</v>
      </c>
      <c r="B4185" s="10" t="s">
        <v>45</v>
      </c>
      <c r="C4185" s="8" t="s">
        <v>9798</v>
      </c>
      <c r="D4185" s="8" t="s">
        <v>9802</v>
      </c>
      <c r="E4185" s="11" t="n">
        <v>340</v>
      </c>
      <c r="F4185" s="8" t="str">
        <f aca="false">IFERROR(INDEX(Section_Master!$D$2:$D$477,MATCH($E4185,Section_Master!$A$2:$A$477,0))&amp;"","")</f>
        <v>Same punishment as for forging that document</v>
      </c>
      <c r="G4185" s="10" t="str">
        <f aca="false">IFERROR(INDEX(Section_Master!$E$2:$E$477,MATCH($E4185,Section_Master!$A$2:$A$477,0))&amp;"","")</f>
        <v>Varies by sub-section</v>
      </c>
      <c r="H4185" s="10" t="str">
        <f aca="false">IFERROR(INDEX(Section_Master!$F$2:$F$477,MATCH($E4185,Section_Master!$A$2:$A$477,0))&amp;"","")</f>
        <v>Varies by sub-section</v>
      </c>
      <c r="I4185" s="10" t="str">
        <f aca="false">IFERROR(INDEX(Section_Master!$G$2:$G$477,MATCH($E4185,Section_Master!$A$2:$A$477,0))&amp;"","")</f>
        <v>No</v>
      </c>
      <c r="J4185" s="10" t="s">
        <v>52</v>
      </c>
      <c r="K4185" s="8" t="s">
        <v>9800</v>
      </c>
    </row>
    <row r="4186" customFormat="false" ht="34.5" hidden="false" customHeight="true" outlineLevel="0" collapsed="false">
      <c r="A4186" s="10" t="s">
        <v>9803</v>
      </c>
      <c r="B4186" s="10" t="s">
        <v>45</v>
      </c>
      <c r="C4186" s="8" t="s">
        <v>9798</v>
      </c>
      <c r="D4186" s="8" t="s">
        <v>9804</v>
      </c>
      <c r="E4186" s="11" t="n">
        <v>340</v>
      </c>
      <c r="F4186" s="8" t="str">
        <f aca="false">IFERROR(INDEX(Section_Master!$D$2:$D$477,MATCH($E4186,Section_Master!$A$2:$A$477,0))&amp;"","")</f>
        <v>Same punishment as for forging that document</v>
      </c>
      <c r="G4186" s="10" t="str">
        <f aca="false">IFERROR(INDEX(Section_Master!$E$2:$E$477,MATCH($E4186,Section_Master!$A$2:$A$477,0))&amp;"","")</f>
        <v>Varies by sub-section</v>
      </c>
      <c r="H4186" s="10" t="str">
        <f aca="false">IFERROR(INDEX(Section_Master!$F$2:$F$477,MATCH($E4186,Section_Master!$A$2:$A$477,0))&amp;"","")</f>
        <v>Varies by sub-section</v>
      </c>
      <c r="I4186" s="10" t="str">
        <f aca="false">IFERROR(INDEX(Section_Master!$G$2:$G$477,MATCH($E4186,Section_Master!$A$2:$A$477,0))&amp;"","")</f>
        <v>No</v>
      </c>
      <c r="J4186" s="10" t="s">
        <v>55</v>
      </c>
      <c r="K4186" s="8" t="s">
        <v>9800</v>
      </c>
    </row>
    <row r="4187" customFormat="false" ht="34.5" hidden="false" customHeight="true" outlineLevel="0" collapsed="false">
      <c r="A4187" s="10" t="s">
        <v>9805</v>
      </c>
      <c r="B4187" s="10" t="s">
        <v>45</v>
      </c>
      <c r="C4187" s="8" t="s">
        <v>9798</v>
      </c>
      <c r="D4187" s="8" t="s">
        <v>9806</v>
      </c>
      <c r="E4187" s="11" t="n">
        <v>340</v>
      </c>
      <c r="F4187" s="8" t="str">
        <f aca="false">IFERROR(INDEX(Section_Master!$D$2:$D$477,MATCH($E4187,Section_Master!$A$2:$A$477,0))&amp;"","")</f>
        <v>Same punishment as for forging that document</v>
      </c>
      <c r="G4187" s="10" t="str">
        <f aca="false">IFERROR(INDEX(Section_Master!$E$2:$E$477,MATCH($E4187,Section_Master!$A$2:$A$477,0))&amp;"","")</f>
        <v>Varies by sub-section</v>
      </c>
      <c r="H4187" s="10" t="str">
        <f aca="false">IFERROR(INDEX(Section_Master!$F$2:$F$477,MATCH($E4187,Section_Master!$A$2:$A$477,0))&amp;"","")</f>
        <v>Varies by sub-section</v>
      </c>
      <c r="I4187" s="10" t="str">
        <f aca="false">IFERROR(INDEX(Section_Master!$G$2:$G$477,MATCH($E4187,Section_Master!$A$2:$A$477,0))&amp;"","")</f>
        <v>No</v>
      </c>
      <c r="J4187" s="10" t="s">
        <v>58</v>
      </c>
      <c r="K4187" s="8" t="s">
        <v>9800</v>
      </c>
    </row>
    <row r="4188" customFormat="false" ht="34.5" hidden="false" customHeight="true" outlineLevel="0" collapsed="false">
      <c r="A4188" s="10" t="s">
        <v>9807</v>
      </c>
      <c r="B4188" s="10" t="s">
        <v>45</v>
      </c>
      <c r="C4188" s="8" t="s">
        <v>9798</v>
      </c>
      <c r="D4188" s="8" t="s">
        <v>9808</v>
      </c>
      <c r="E4188" s="11" t="n">
        <v>340</v>
      </c>
      <c r="F4188" s="8" t="str">
        <f aca="false">IFERROR(INDEX(Section_Master!$D$2:$D$477,MATCH($E4188,Section_Master!$A$2:$A$477,0))&amp;"","")</f>
        <v>Same punishment as for forging that document</v>
      </c>
      <c r="G4188" s="10" t="str">
        <f aca="false">IFERROR(INDEX(Section_Master!$E$2:$E$477,MATCH($E4188,Section_Master!$A$2:$A$477,0))&amp;"","")</f>
        <v>Varies by sub-section</v>
      </c>
      <c r="H4188" s="10" t="str">
        <f aca="false">IFERROR(INDEX(Section_Master!$F$2:$F$477,MATCH($E4188,Section_Master!$A$2:$A$477,0))&amp;"","")</f>
        <v>Varies by sub-section</v>
      </c>
      <c r="I4188" s="10" t="str">
        <f aca="false">IFERROR(INDEX(Section_Master!$G$2:$G$477,MATCH($E4188,Section_Master!$A$2:$A$477,0))&amp;"","")</f>
        <v>No</v>
      </c>
      <c r="J4188" s="10" t="s">
        <v>61</v>
      </c>
      <c r="K4188" s="8" t="s">
        <v>9800</v>
      </c>
    </row>
    <row r="4189" customFormat="false" ht="45.75" hidden="false" customHeight="true" outlineLevel="0" collapsed="false">
      <c r="A4189" s="10" t="s">
        <v>9809</v>
      </c>
      <c r="B4189" s="10" t="s">
        <v>45</v>
      </c>
      <c r="C4189" s="8" t="s">
        <v>9798</v>
      </c>
      <c r="D4189" s="8" t="s">
        <v>9810</v>
      </c>
      <c r="E4189" s="11" t="n">
        <v>340</v>
      </c>
      <c r="F4189" s="8" t="str">
        <f aca="false">IFERROR(INDEX(Section_Master!$D$2:$D$477,MATCH($E4189,Section_Master!$A$2:$A$477,0))&amp;"","")</f>
        <v>Same punishment as for forging that document</v>
      </c>
      <c r="G4189" s="10" t="str">
        <f aca="false">IFERROR(INDEX(Section_Master!$E$2:$E$477,MATCH($E4189,Section_Master!$A$2:$A$477,0))&amp;"","")</f>
        <v>Varies by sub-section</v>
      </c>
      <c r="H4189" s="10" t="str">
        <f aca="false">IFERROR(INDEX(Section_Master!$F$2:$F$477,MATCH($E4189,Section_Master!$A$2:$A$477,0))&amp;"","")</f>
        <v>Varies by sub-section</v>
      </c>
      <c r="I4189" s="10" t="str">
        <f aca="false">IFERROR(INDEX(Section_Master!$G$2:$G$477,MATCH($E4189,Section_Master!$A$2:$A$477,0))&amp;"","")</f>
        <v>No</v>
      </c>
      <c r="J4189" s="10" t="s">
        <v>64</v>
      </c>
      <c r="K4189" s="8" t="s">
        <v>9800</v>
      </c>
    </row>
    <row r="4190" customFormat="false" ht="34.5" hidden="false" customHeight="true" outlineLevel="0" collapsed="false">
      <c r="A4190" s="10" t="s">
        <v>9811</v>
      </c>
      <c r="B4190" s="10" t="s">
        <v>45</v>
      </c>
      <c r="C4190" s="8" t="s">
        <v>9812</v>
      </c>
      <c r="D4190" s="8" t="s">
        <v>9813</v>
      </c>
      <c r="E4190" s="11" t="n">
        <v>341</v>
      </c>
      <c r="F4190" s="8" t="str">
        <f aca="false">IFERROR(INDEX(Section_Master!$D$2:$D$477,MATCH($E4190,Section_Master!$A$2:$A$477,0))&amp;"","")</f>
        <v>Imprisonment for life, or up to 7 years, and fine [s.341]</v>
      </c>
      <c r="G4190" s="10" t="str">
        <f aca="false">IFERROR(INDEX(Section_Master!$E$2:$E$477,MATCH($E4190,Section_Master!$A$2:$A$477,0))&amp;"","")</f>
        <v>Varies by sub-section</v>
      </c>
      <c r="H4190" s="10" t="str">
        <f aca="false">IFERROR(INDEX(Section_Master!$F$2:$F$477,MATCH($E4190,Section_Master!$A$2:$A$477,0))&amp;"","")</f>
        <v>No</v>
      </c>
      <c r="I4190" s="10" t="str">
        <f aca="false">IFERROR(INDEX(Section_Master!$G$2:$G$477,MATCH($E4190,Section_Master!$A$2:$A$477,0))&amp;"","")</f>
        <v>No</v>
      </c>
      <c r="J4190" s="10" t="s">
        <v>48</v>
      </c>
      <c r="K4190" s="8" t="s">
        <v>9814</v>
      </c>
    </row>
    <row r="4191" customFormat="false" ht="34.5" hidden="false" customHeight="true" outlineLevel="0" collapsed="false">
      <c r="A4191" s="10" t="s">
        <v>9815</v>
      </c>
      <c r="B4191" s="10" t="s">
        <v>45</v>
      </c>
      <c r="C4191" s="8" t="s">
        <v>9812</v>
      </c>
      <c r="D4191" s="8" t="s">
        <v>9816</v>
      </c>
      <c r="E4191" s="11" t="n">
        <v>341</v>
      </c>
      <c r="F4191" s="8" t="str">
        <f aca="false">IFERROR(INDEX(Section_Master!$D$2:$D$477,MATCH($E4191,Section_Master!$A$2:$A$477,0))&amp;"","")</f>
        <v>Imprisonment for life, or up to 7 years, and fine [s.341]</v>
      </c>
      <c r="G4191" s="10" t="str">
        <f aca="false">IFERROR(INDEX(Section_Master!$E$2:$E$477,MATCH($E4191,Section_Master!$A$2:$A$477,0))&amp;"","")</f>
        <v>Varies by sub-section</v>
      </c>
      <c r="H4191" s="10" t="str">
        <f aca="false">IFERROR(INDEX(Section_Master!$F$2:$F$477,MATCH($E4191,Section_Master!$A$2:$A$477,0))&amp;"","")</f>
        <v>No</v>
      </c>
      <c r="I4191" s="10" t="str">
        <f aca="false">IFERROR(INDEX(Section_Master!$G$2:$G$477,MATCH($E4191,Section_Master!$A$2:$A$477,0))&amp;"","")</f>
        <v>No</v>
      </c>
      <c r="J4191" s="10" t="s">
        <v>52</v>
      </c>
      <c r="K4191" s="8" t="s">
        <v>9814</v>
      </c>
    </row>
    <row r="4192" customFormat="false" ht="34.5" hidden="false" customHeight="true" outlineLevel="0" collapsed="false">
      <c r="A4192" s="10" t="s">
        <v>9817</v>
      </c>
      <c r="B4192" s="10" t="s">
        <v>45</v>
      </c>
      <c r="C4192" s="8" t="s">
        <v>9812</v>
      </c>
      <c r="D4192" s="8" t="s">
        <v>9818</v>
      </c>
      <c r="E4192" s="11" t="n">
        <v>341</v>
      </c>
      <c r="F4192" s="8" t="str">
        <f aca="false">IFERROR(INDEX(Section_Master!$D$2:$D$477,MATCH($E4192,Section_Master!$A$2:$A$477,0))&amp;"","")</f>
        <v>Imprisonment for life, or up to 7 years, and fine [s.341]</v>
      </c>
      <c r="G4192" s="10" t="str">
        <f aca="false">IFERROR(INDEX(Section_Master!$E$2:$E$477,MATCH($E4192,Section_Master!$A$2:$A$477,0))&amp;"","")</f>
        <v>Varies by sub-section</v>
      </c>
      <c r="H4192" s="10" t="str">
        <f aca="false">IFERROR(INDEX(Section_Master!$F$2:$F$477,MATCH($E4192,Section_Master!$A$2:$A$477,0))&amp;"","")</f>
        <v>No</v>
      </c>
      <c r="I4192" s="10" t="str">
        <f aca="false">IFERROR(INDEX(Section_Master!$G$2:$G$477,MATCH($E4192,Section_Master!$A$2:$A$477,0))&amp;"","")</f>
        <v>No</v>
      </c>
      <c r="J4192" s="10" t="s">
        <v>55</v>
      </c>
      <c r="K4192" s="8" t="s">
        <v>9814</v>
      </c>
    </row>
    <row r="4193" customFormat="false" ht="23.25" hidden="false" customHeight="true" outlineLevel="0" collapsed="false">
      <c r="A4193" s="10" t="s">
        <v>9819</v>
      </c>
      <c r="B4193" s="10" t="s">
        <v>45</v>
      </c>
      <c r="C4193" s="8" t="s">
        <v>9812</v>
      </c>
      <c r="D4193" s="8" t="s">
        <v>9820</v>
      </c>
      <c r="E4193" s="11" t="n">
        <v>341</v>
      </c>
      <c r="F4193" s="8" t="str">
        <f aca="false">IFERROR(INDEX(Section_Master!$D$2:$D$477,MATCH($E4193,Section_Master!$A$2:$A$477,0))&amp;"","")</f>
        <v>Imprisonment for life, or up to 7 years, and fine [s.341]</v>
      </c>
      <c r="G4193" s="10" t="str">
        <f aca="false">IFERROR(INDEX(Section_Master!$E$2:$E$477,MATCH($E4193,Section_Master!$A$2:$A$477,0))&amp;"","")</f>
        <v>Varies by sub-section</v>
      </c>
      <c r="H4193" s="10" t="str">
        <f aca="false">IFERROR(INDEX(Section_Master!$F$2:$F$477,MATCH($E4193,Section_Master!$A$2:$A$477,0))&amp;"","")</f>
        <v>No</v>
      </c>
      <c r="I4193" s="10" t="str">
        <f aca="false">IFERROR(INDEX(Section_Master!$G$2:$G$477,MATCH($E4193,Section_Master!$A$2:$A$477,0))&amp;"","")</f>
        <v>No</v>
      </c>
      <c r="J4193" s="10" t="s">
        <v>58</v>
      </c>
      <c r="K4193" s="8" t="s">
        <v>9814</v>
      </c>
    </row>
    <row r="4194" customFormat="false" ht="45.75" hidden="false" customHeight="true" outlineLevel="0" collapsed="false">
      <c r="A4194" s="10" t="s">
        <v>9821</v>
      </c>
      <c r="B4194" s="10" t="s">
        <v>45</v>
      </c>
      <c r="C4194" s="8" t="s">
        <v>9812</v>
      </c>
      <c r="D4194" s="8" t="s">
        <v>9822</v>
      </c>
      <c r="E4194" s="11" t="n">
        <v>341</v>
      </c>
      <c r="F4194" s="8" t="str">
        <f aca="false">IFERROR(INDEX(Section_Master!$D$2:$D$477,MATCH($E4194,Section_Master!$A$2:$A$477,0))&amp;"","")</f>
        <v>Imprisonment for life, or up to 7 years, and fine [s.341]</v>
      </c>
      <c r="G4194" s="10" t="str">
        <f aca="false">IFERROR(INDEX(Section_Master!$E$2:$E$477,MATCH($E4194,Section_Master!$A$2:$A$477,0))&amp;"","")</f>
        <v>Varies by sub-section</v>
      </c>
      <c r="H4194" s="10" t="str">
        <f aca="false">IFERROR(INDEX(Section_Master!$F$2:$F$477,MATCH($E4194,Section_Master!$A$2:$A$477,0))&amp;"","")</f>
        <v>No</v>
      </c>
      <c r="I4194" s="10" t="str">
        <f aca="false">IFERROR(INDEX(Section_Master!$G$2:$G$477,MATCH($E4194,Section_Master!$A$2:$A$477,0))&amp;"","")</f>
        <v>No</v>
      </c>
      <c r="J4194" s="10" t="s">
        <v>61</v>
      </c>
      <c r="K4194" s="8" t="s">
        <v>9814</v>
      </c>
    </row>
    <row r="4195" customFormat="false" ht="45.75" hidden="false" customHeight="true" outlineLevel="0" collapsed="false">
      <c r="A4195" s="10" t="s">
        <v>9823</v>
      </c>
      <c r="B4195" s="10" t="s">
        <v>45</v>
      </c>
      <c r="C4195" s="8" t="s">
        <v>9812</v>
      </c>
      <c r="D4195" s="8" t="s">
        <v>9824</v>
      </c>
      <c r="E4195" s="11" t="n">
        <v>341</v>
      </c>
      <c r="F4195" s="8" t="str">
        <f aca="false">IFERROR(INDEX(Section_Master!$D$2:$D$477,MATCH($E4195,Section_Master!$A$2:$A$477,0))&amp;"","")</f>
        <v>Imprisonment for life, or up to 7 years, and fine [s.341]</v>
      </c>
      <c r="G4195" s="10" t="str">
        <f aca="false">IFERROR(INDEX(Section_Master!$E$2:$E$477,MATCH($E4195,Section_Master!$A$2:$A$477,0))&amp;"","")</f>
        <v>Varies by sub-section</v>
      </c>
      <c r="H4195" s="10" t="str">
        <f aca="false">IFERROR(INDEX(Section_Master!$F$2:$F$477,MATCH($E4195,Section_Master!$A$2:$A$477,0))&amp;"","")</f>
        <v>No</v>
      </c>
      <c r="I4195" s="10" t="str">
        <f aca="false">IFERROR(INDEX(Section_Master!$G$2:$G$477,MATCH($E4195,Section_Master!$A$2:$A$477,0))&amp;"","")</f>
        <v>No</v>
      </c>
      <c r="J4195" s="10" t="s">
        <v>64</v>
      </c>
      <c r="K4195" s="8" t="s">
        <v>9814</v>
      </c>
    </row>
    <row r="4196" customFormat="false" ht="34.5" hidden="false" customHeight="true" outlineLevel="0" collapsed="false">
      <c r="A4196" s="10" t="s">
        <v>9825</v>
      </c>
      <c r="B4196" s="10" t="s">
        <v>45</v>
      </c>
      <c r="C4196" s="8" t="s">
        <v>9826</v>
      </c>
      <c r="D4196" s="8" t="s">
        <v>9827</v>
      </c>
      <c r="E4196" s="11" t="n">
        <v>342</v>
      </c>
      <c r="F4196" s="8" t="str">
        <f aca="false">IFERROR(INDEX(Section_Master!$D$2:$D$477,MATCH($E4196,Section_Master!$A$2:$A$477,0))&amp;"","")</f>
        <v>Imprisonment for life, or up to 7 years, and fine; up to 7 years and fine for lesser cases [s.342]</v>
      </c>
      <c r="G4196" s="10" t="str">
        <f aca="false">IFERROR(INDEX(Section_Master!$E$2:$E$477,MATCH($E4196,Section_Master!$A$2:$A$477,0))&amp;"","")</f>
        <v>Varies by sub-section</v>
      </c>
      <c r="H4196" s="10" t="str">
        <f aca="false">IFERROR(INDEX(Section_Master!$F$2:$F$477,MATCH($E4196,Section_Master!$A$2:$A$477,0))&amp;"","")</f>
        <v>No</v>
      </c>
      <c r="I4196" s="10" t="str">
        <f aca="false">IFERROR(INDEX(Section_Master!$G$2:$G$477,MATCH($E4196,Section_Master!$A$2:$A$477,0))&amp;"","")</f>
        <v>No</v>
      </c>
      <c r="J4196" s="10" t="s">
        <v>48</v>
      </c>
      <c r="K4196" s="8" t="s">
        <v>9828</v>
      </c>
    </row>
    <row r="4197" customFormat="false" ht="45.75" hidden="false" customHeight="true" outlineLevel="0" collapsed="false">
      <c r="A4197" s="10" t="s">
        <v>9829</v>
      </c>
      <c r="B4197" s="10" t="s">
        <v>45</v>
      </c>
      <c r="C4197" s="8" t="s">
        <v>9826</v>
      </c>
      <c r="D4197" s="8" t="s">
        <v>9830</v>
      </c>
      <c r="E4197" s="11" t="n">
        <v>342</v>
      </c>
      <c r="F4197" s="8" t="str">
        <f aca="false">IFERROR(INDEX(Section_Master!$D$2:$D$477,MATCH($E4197,Section_Master!$A$2:$A$477,0))&amp;"","")</f>
        <v>Imprisonment for life, or up to 7 years, and fine; up to 7 years and fine for lesser cases [s.342]</v>
      </c>
      <c r="G4197" s="10" t="str">
        <f aca="false">IFERROR(INDEX(Section_Master!$E$2:$E$477,MATCH($E4197,Section_Master!$A$2:$A$477,0))&amp;"","")</f>
        <v>Varies by sub-section</v>
      </c>
      <c r="H4197" s="10" t="str">
        <f aca="false">IFERROR(INDEX(Section_Master!$F$2:$F$477,MATCH($E4197,Section_Master!$A$2:$A$477,0))&amp;"","")</f>
        <v>No</v>
      </c>
      <c r="I4197" s="10" t="str">
        <f aca="false">IFERROR(INDEX(Section_Master!$G$2:$G$477,MATCH($E4197,Section_Master!$A$2:$A$477,0))&amp;"","")</f>
        <v>No</v>
      </c>
      <c r="J4197" s="10" t="s">
        <v>52</v>
      </c>
      <c r="K4197" s="8" t="s">
        <v>9828</v>
      </c>
    </row>
    <row r="4198" customFormat="false" ht="34.5" hidden="false" customHeight="true" outlineLevel="0" collapsed="false">
      <c r="A4198" s="10" t="s">
        <v>9831</v>
      </c>
      <c r="B4198" s="10" t="s">
        <v>45</v>
      </c>
      <c r="C4198" s="8" t="s">
        <v>9826</v>
      </c>
      <c r="D4198" s="8" t="s">
        <v>9832</v>
      </c>
      <c r="E4198" s="11" t="n">
        <v>342</v>
      </c>
      <c r="F4198" s="8" t="str">
        <f aca="false">IFERROR(INDEX(Section_Master!$D$2:$D$477,MATCH($E4198,Section_Master!$A$2:$A$477,0))&amp;"","")</f>
        <v>Imprisonment for life, or up to 7 years, and fine; up to 7 years and fine for lesser cases [s.342]</v>
      </c>
      <c r="G4198" s="10" t="str">
        <f aca="false">IFERROR(INDEX(Section_Master!$E$2:$E$477,MATCH($E4198,Section_Master!$A$2:$A$477,0))&amp;"","")</f>
        <v>Varies by sub-section</v>
      </c>
      <c r="H4198" s="10" t="str">
        <f aca="false">IFERROR(INDEX(Section_Master!$F$2:$F$477,MATCH($E4198,Section_Master!$A$2:$A$477,0))&amp;"","")</f>
        <v>No</v>
      </c>
      <c r="I4198" s="10" t="str">
        <f aca="false">IFERROR(INDEX(Section_Master!$G$2:$G$477,MATCH($E4198,Section_Master!$A$2:$A$477,0))&amp;"","")</f>
        <v>No</v>
      </c>
      <c r="J4198" s="10" t="s">
        <v>55</v>
      </c>
      <c r="K4198" s="8" t="s">
        <v>9828</v>
      </c>
    </row>
    <row r="4199" customFormat="false" ht="23.25" hidden="false" customHeight="true" outlineLevel="0" collapsed="false">
      <c r="A4199" s="10" t="s">
        <v>9833</v>
      </c>
      <c r="B4199" s="10" t="s">
        <v>45</v>
      </c>
      <c r="C4199" s="8" t="s">
        <v>9826</v>
      </c>
      <c r="D4199" s="8" t="s">
        <v>9834</v>
      </c>
      <c r="E4199" s="11" t="n">
        <v>342</v>
      </c>
      <c r="F4199" s="8" t="str">
        <f aca="false">IFERROR(INDEX(Section_Master!$D$2:$D$477,MATCH($E4199,Section_Master!$A$2:$A$477,0))&amp;"","")</f>
        <v>Imprisonment for life, or up to 7 years, and fine; up to 7 years and fine for lesser cases [s.342]</v>
      </c>
      <c r="G4199" s="10" t="str">
        <f aca="false">IFERROR(INDEX(Section_Master!$E$2:$E$477,MATCH($E4199,Section_Master!$A$2:$A$477,0))&amp;"","")</f>
        <v>Varies by sub-section</v>
      </c>
      <c r="H4199" s="10" t="str">
        <f aca="false">IFERROR(INDEX(Section_Master!$F$2:$F$477,MATCH($E4199,Section_Master!$A$2:$A$477,0))&amp;"","")</f>
        <v>No</v>
      </c>
      <c r="I4199" s="10" t="str">
        <f aca="false">IFERROR(INDEX(Section_Master!$G$2:$G$477,MATCH($E4199,Section_Master!$A$2:$A$477,0))&amp;"","")</f>
        <v>No</v>
      </c>
      <c r="J4199" s="10" t="s">
        <v>58</v>
      </c>
      <c r="K4199" s="8" t="s">
        <v>9828</v>
      </c>
    </row>
    <row r="4200" customFormat="false" ht="23.25" hidden="false" customHeight="true" outlineLevel="0" collapsed="false">
      <c r="A4200" s="10" t="s">
        <v>9835</v>
      </c>
      <c r="B4200" s="10" t="s">
        <v>45</v>
      </c>
      <c r="C4200" s="8" t="s">
        <v>9826</v>
      </c>
      <c r="D4200" s="8" t="s">
        <v>9836</v>
      </c>
      <c r="E4200" s="11" t="n">
        <v>342</v>
      </c>
      <c r="F4200" s="8" t="str">
        <f aca="false">IFERROR(INDEX(Section_Master!$D$2:$D$477,MATCH($E4200,Section_Master!$A$2:$A$477,0))&amp;"","")</f>
        <v>Imprisonment for life, or up to 7 years, and fine; up to 7 years and fine for lesser cases [s.342]</v>
      </c>
      <c r="G4200" s="10" t="str">
        <f aca="false">IFERROR(INDEX(Section_Master!$E$2:$E$477,MATCH($E4200,Section_Master!$A$2:$A$477,0))&amp;"","")</f>
        <v>Varies by sub-section</v>
      </c>
      <c r="H4200" s="10" t="str">
        <f aca="false">IFERROR(INDEX(Section_Master!$F$2:$F$477,MATCH($E4200,Section_Master!$A$2:$A$477,0))&amp;"","")</f>
        <v>No</v>
      </c>
      <c r="I4200" s="10" t="str">
        <f aca="false">IFERROR(INDEX(Section_Master!$G$2:$G$477,MATCH($E4200,Section_Master!$A$2:$A$477,0))&amp;"","")</f>
        <v>No</v>
      </c>
      <c r="J4200" s="10" t="s">
        <v>61</v>
      </c>
      <c r="K4200" s="8" t="s">
        <v>9828</v>
      </c>
    </row>
    <row r="4201" customFormat="false" ht="45.75" hidden="false" customHeight="true" outlineLevel="0" collapsed="false">
      <c r="A4201" s="10" t="s">
        <v>9837</v>
      </c>
      <c r="B4201" s="10" t="s">
        <v>45</v>
      </c>
      <c r="C4201" s="8" t="s">
        <v>9826</v>
      </c>
      <c r="D4201" s="8" t="s">
        <v>9838</v>
      </c>
      <c r="E4201" s="11" t="n">
        <v>342</v>
      </c>
      <c r="F4201" s="8" t="str">
        <f aca="false">IFERROR(INDEX(Section_Master!$D$2:$D$477,MATCH($E4201,Section_Master!$A$2:$A$477,0))&amp;"","")</f>
        <v>Imprisonment for life, or up to 7 years, and fine; up to 7 years and fine for lesser cases [s.342]</v>
      </c>
      <c r="G4201" s="10" t="str">
        <f aca="false">IFERROR(INDEX(Section_Master!$E$2:$E$477,MATCH($E4201,Section_Master!$A$2:$A$477,0))&amp;"","")</f>
        <v>Varies by sub-section</v>
      </c>
      <c r="H4201" s="10" t="str">
        <f aca="false">IFERROR(INDEX(Section_Master!$F$2:$F$477,MATCH($E4201,Section_Master!$A$2:$A$477,0))&amp;"","")</f>
        <v>No</v>
      </c>
      <c r="I4201" s="10" t="str">
        <f aca="false">IFERROR(INDEX(Section_Master!$G$2:$G$477,MATCH($E4201,Section_Master!$A$2:$A$477,0))&amp;"","")</f>
        <v>No</v>
      </c>
      <c r="J4201" s="10" t="s">
        <v>64</v>
      </c>
      <c r="K4201" s="8" t="s">
        <v>9828</v>
      </c>
    </row>
    <row r="4202" customFormat="false" ht="34.5" hidden="false" customHeight="true" outlineLevel="0" collapsed="false">
      <c r="A4202" s="10" t="s">
        <v>9839</v>
      </c>
      <c r="B4202" s="10" t="s">
        <v>45</v>
      </c>
      <c r="C4202" s="8" t="s">
        <v>9840</v>
      </c>
      <c r="D4202" s="8" t="s">
        <v>9841</v>
      </c>
      <c r="E4202" s="11" t="n">
        <v>343</v>
      </c>
      <c r="F4202" s="8" t="str">
        <f aca="false">IFERROR(INDEX(Section_Master!$D$2:$D$477,MATCH($E4202,Section_Master!$A$2:$A$477,0))&amp;"","")</f>
        <v>Imprisonment for life, or up to 7 years, and fine</v>
      </c>
      <c r="G4202" s="10" t="str">
        <f aca="false">IFERROR(INDEX(Section_Master!$E$2:$E$477,MATCH($E4202,Section_Master!$A$2:$A$477,0))&amp;"","")</f>
        <v>Varies by sub-section</v>
      </c>
      <c r="H4202" s="10" t="str">
        <f aca="false">IFERROR(INDEX(Section_Master!$F$2:$F$477,MATCH($E4202,Section_Master!$A$2:$A$477,0))&amp;"","")</f>
        <v>No</v>
      </c>
      <c r="I4202" s="10" t="str">
        <f aca="false">IFERROR(INDEX(Section_Master!$G$2:$G$477,MATCH($E4202,Section_Master!$A$2:$A$477,0))&amp;"","")</f>
        <v>No</v>
      </c>
      <c r="J4202" s="10" t="s">
        <v>48</v>
      </c>
      <c r="K4202" s="8" t="s">
        <v>9842</v>
      </c>
    </row>
    <row r="4203" customFormat="false" ht="34.5" hidden="false" customHeight="true" outlineLevel="0" collapsed="false">
      <c r="A4203" s="10" t="s">
        <v>9843</v>
      </c>
      <c r="B4203" s="10" t="s">
        <v>45</v>
      </c>
      <c r="C4203" s="8" t="s">
        <v>9840</v>
      </c>
      <c r="D4203" s="8" t="s">
        <v>9844</v>
      </c>
      <c r="E4203" s="11" t="n">
        <v>343</v>
      </c>
      <c r="F4203" s="8" t="str">
        <f aca="false">IFERROR(INDEX(Section_Master!$D$2:$D$477,MATCH($E4203,Section_Master!$A$2:$A$477,0))&amp;"","")</f>
        <v>Imprisonment for life, or up to 7 years, and fine</v>
      </c>
      <c r="G4203" s="10" t="str">
        <f aca="false">IFERROR(INDEX(Section_Master!$E$2:$E$477,MATCH($E4203,Section_Master!$A$2:$A$477,0))&amp;"","")</f>
        <v>Varies by sub-section</v>
      </c>
      <c r="H4203" s="10" t="str">
        <f aca="false">IFERROR(INDEX(Section_Master!$F$2:$F$477,MATCH($E4203,Section_Master!$A$2:$A$477,0))&amp;"","")</f>
        <v>No</v>
      </c>
      <c r="I4203" s="10" t="str">
        <f aca="false">IFERROR(INDEX(Section_Master!$G$2:$G$477,MATCH($E4203,Section_Master!$A$2:$A$477,0))&amp;"","")</f>
        <v>No</v>
      </c>
      <c r="J4203" s="10" t="s">
        <v>52</v>
      </c>
      <c r="K4203" s="8" t="s">
        <v>9842</v>
      </c>
    </row>
    <row r="4204" customFormat="false" ht="34.5" hidden="false" customHeight="true" outlineLevel="0" collapsed="false">
      <c r="A4204" s="10" t="s">
        <v>9845</v>
      </c>
      <c r="B4204" s="10" t="s">
        <v>45</v>
      </c>
      <c r="C4204" s="8" t="s">
        <v>9840</v>
      </c>
      <c r="D4204" s="8" t="s">
        <v>9846</v>
      </c>
      <c r="E4204" s="11" t="n">
        <v>343</v>
      </c>
      <c r="F4204" s="8" t="str">
        <f aca="false">IFERROR(INDEX(Section_Master!$D$2:$D$477,MATCH($E4204,Section_Master!$A$2:$A$477,0))&amp;"","")</f>
        <v>Imprisonment for life, or up to 7 years, and fine</v>
      </c>
      <c r="G4204" s="10" t="str">
        <f aca="false">IFERROR(INDEX(Section_Master!$E$2:$E$477,MATCH($E4204,Section_Master!$A$2:$A$477,0))&amp;"","")</f>
        <v>Varies by sub-section</v>
      </c>
      <c r="H4204" s="10" t="str">
        <f aca="false">IFERROR(INDEX(Section_Master!$F$2:$F$477,MATCH($E4204,Section_Master!$A$2:$A$477,0))&amp;"","")</f>
        <v>No</v>
      </c>
      <c r="I4204" s="10" t="str">
        <f aca="false">IFERROR(INDEX(Section_Master!$G$2:$G$477,MATCH($E4204,Section_Master!$A$2:$A$477,0))&amp;"","")</f>
        <v>No</v>
      </c>
      <c r="J4204" s="10" t="s">
        <v>55</v>
      </c>
      <c r="K4204" s="8" t="s">
        <v>9842</v>
      </c>
    </row>
    <row r="4205" customFormat="false" ht="23.25" hidden="false" customHeight="true" outlineLevel="0" collapsed="false">
      <c r="A4205" s="10" t="s">
        <v>9847</v>
      </c>
      <c r="B4205" s="10" t="s">
        <v>45</v>
      </c>
      <c r="C4205" s="8" t="s">
        <v>9840</v>
      </c>
      <c r="D4205" s="8" t="s">
        <v>9848</v>
      </c>
      <c r="E4205" s="11" t="n">
        <v>343</v>
      </c>
      <c r="F4205" s="8" t="str">
        <f aca="false">IFERROR(INDEX(Section_Master!$D$2:$D$477,MATCH($E4205,Section_Master!$A$2:$A$477,0))&amp;"","")</f>
        <v>Imprisonment for life, or up to 7 years, and fine</v>
      </c>
      <c r="G4205" s="10" t="str">
        <f aca="false">IFERROR(INDEX(Section_Master!$E$2:$E$477,MATCH($E4205,Section_Master!$A$2:$A$477,0))&amp;"","")</f>
        <v>Varies by sub-section</v>
      </c>
      <c r="H4205" s="10" t="str">
        <f aca="false">IFERROR(INDEX(Section_Master!$F$2:$F$477,MATCH($E4205,Section_Master!$A$2:$A$477,0))&amp;"","")</f>
        <v>No</v>
      </c>
      <c r="I4205" s="10" t="str">
        <f aca="false">IFERROR(INDEX(Section_Master!$G$2:$G$477,MATCH($E4205,Section_Master!$A$2:$A$477,0))&amp;"","")</f>
        <v>No</v>
      </c>
      <c r="J4205" s="10" t="s">
        <v>58</v>
      </c>
      <c r="K4205" s="8" t="s">
        <v>9842</v>
      </c>
    </row>
    <row r="4206" customFormat="false" ht="23.25" hidden="false" customHeight="true" outlineLevel="0" collapsed="false">
      <c r="A4206" s="10" t="s">
        <v>9849</v>
      </c>
      <c r="B4206" s="10" t="s">
        <v>45</v>
      </c>
      <c r="C4206" s="8" t="s">
        <v>9840</v>
      </c>
      <c r="D4206" s="8" t="s">
        <v>9850</v>
      </c>
      <c r="E4206" s="11" t="n">
        <v>343</v>
      </c>
      <c r="F4206" s="8" t="str">
        <f aca="false">IFERROR(INDEX(Section_Master!$D$2:$D$477,MATCH($E4206,Section_Master!$A$2:$A$477,0))&amp;"","")</f>
        <v>Imprisonment for life, or up to 7 years, and fine</v>
      </c>
      <c r="G4206" s="10" t="str">
        <f aca="false">IFERROR(INDEX(Section_Master!$E$2:$E$477,MATCH($E4206,Section_Master!$A$2:$A$477,0))&amp;"","")</f>
        <v>Varies by sub-section</v>
      </c>
      <c r="H4206" s="10" t="str">
        <f aca="false">IFERROR(INDEX(Section_Master!$F$2:$F$477,MATCH($E4206,Section_Master!$A$2:$A$477,0))&amp;"","")</f>
        <v>No</v>
      </c>
      <c r="I4206" s="10" t="str">
        <f aca="false">IFERROR(INDEX(Section_Master!$G$2:$G$477,MATCH($E4206,Section_Master!$A$2:$A$477,0))&amp;"","")</f>
        <v>No</v>
      </c>
      <c r="J4206" s="10" t="s">
        <v>61</v>
      </c>
      <c r="K4206" s="8" t="s">
        <v>9842</v>
      </c>
    </row>
    <row r="4207" customFormat="false" ht="45.75" hidden="false" customHeight="true" outlineLevel="0" collapsed="false">
      <c r="A4207" s="10" t="s">
        <v>9851</v>
      </c>
      <c r="B4207" s="10" t="s">
        <v>45</v>
      </c>
      <c r="C4207" s="8" t="s">
        <v>9840</v>
      </c>
      <c r="D4207" s="8" t="s">
        <v>9852</v>
      </c>
      <c r="E4207" s="11" t="n">
        <v>343</v>
      </c>
      <c r="F4207" s="8" t="str">
        <f aca="false">IFERROR(INDEX(Section_Master!$D$2:$D$477,MATCH($E4207,Section_Master!$A$2:$A$477,0))&amp;"","")</f>
        <v>Imprisonment for life, or up to 7 years, and fine</v>
      </c>
      <c r="G4207" s="10" t="str">
        <f aca="false">IFERROR(INDEX(Section_Master!$E$2:$E$477,MATCH($E4207,Section_Master!$A$2:$A$477,0))&amp;"","")</f>
        <v>Varies by sub-section</v>
      </c>
      <c r="H4207" s="10" t="str">
        <f aca="false">IFERROR(INDEX(Section_Master!$F$2:$F$477,MATCH($E4207,Section_Master!$A$2:$A$477,0))&amp;"","")</f>
        <v>No</v>
      </c>
      <c r="I4207" s="10" t="str">
        <f aca="false">IFERROR(INDEX(Section_Master!$G$2:$G$477,MATCH($E4207,Section_Master!$A$2:$A$477,0))&amp;"","")</f>
        <v>No</v>
      </c>
      <c r="J4207" s="10" t="s">
        <v>64</v>
      </c>
      <c r="K4207" s="8" t="s">
        <v>9842</v>
      </c>
    </row>
    <row r="4208" customFormat="false" ht="23.25" hidden="false" customHeight="true" outlineLevel="0" collapsed="false">
      <c r="A4208" s="10" t="s">
        <v>9853</v>
      </c>
      <c r="B4208" s="10" t="s">
        <v>45</v>
      </c>
      <c r="C4208" s="8" t="s">
        <v>9854</v>
      </c>
      <c r="D4208" s="8" t="s">
        <v>9855</v>
      </c>
      <c r="E4208" s="11" t="n">
        <v>344</v>
      </c>
      <c r="F4208" s="8" t="str">
        <f aca="false">IFERROR(INDEX(Section_Master!$D$2:$D$477,MATCH($E4208,Section_Master!$A$2:$A$477,0))&amp;"","")</f>
        <v>Imprisonment up to 7 years, or fine, or both</v>
      </c>
      <c r="G4208" s="10" t="str">
        <f aca="false">IFERROR(INDEX(Section_Master!$E$2:$E$477,MATCH($E4208,Section_Master!$A$2:$A$477,0))&amp;"","")</f>
        <v>No</v>
      </c>
      <c r="H4208" s="10" t="str">
        <f aca="false">IFERROR(INDEX(Section_Master!$F$2:$F$477,MATCH($E4208,Section_Master!$A$2:$A$477,0))&amp;"","")</f>
        <v>Yes</v>
      </c>
      <c r="I4208" s="10" t="str">
        <f aca="false">IFERROR(INDEX(Section_Master!$G$2:$G$477,MATCH($E4208,Section_Master!$A$2:$A$477,0))&amp;"","")</f>
        <v>No</v>
      </c>
      <c r="J4208" s="10" t="s">
        <v>48</v>
      </c>
      <c r="K4208" s="8" t="s">
        <v>9856</v>
      </c>
    </row>
    <row r="4209" customFormat="false" ht="34.5" hidden="false" customHeight="true" outlineLevel="0" collapsed="false">
      <c r="A4209" s="10" t="s">
        <v>9857</v>
      </c>
      <c r="B4209" s="10" t="s">
        <v>45</v>
      </c>
      <c r="C4209" s="8" t="s">
        <v>9854</v>
      </c>
      <c r="D4209" s="8" t="s">
        <v>9858</v>
      </c>
      <c r="E4209" s="11" t="n">
        <v>344</v>
      </c>
      <c r="F4209" s="8" t="str">
        <f aca="false">IFERROR(INDEX(Section_Master!$D$2:$D$477,MATCH($E4209,Section_Master!$A$2:$A$477,0))&amp;"","")</f>
        <v>Imprisonment up to 7 years, or fine, or both</v>
      </c>
      <c r="G4209" s="10" t="str">
        <f aca="false">IFERROR(INDEX(Section_Master!$E$2:$E$477,MATCH($E4209,Section_Master!$A$2:$A$477,0))&amp;"","")</f>
        <v>No</v>
      </c>
      <c r="H4209" s="10" t="str">
        <f aca="false">IFERROR(INDEX(Section_Master!$F$2:$F$477,MATCH($E4209,Section_Master!$A$2:$A$477,0))&amp;"","")</f>
        <v>Yes</v>
      </c>
      <c r="I4209" s="10" t="str">
        <f aca="false">IFERROR(INDEX(Section_Master!$G$2:$G$477,MATCH($E4209,Section_Master!$A$2:$A$477,0))&amp;"","")</f>
        <v>No</v>
      </c>
      <c r="J4209" s="10" t="s">
        <v>52</v>
      </c>
      <c r="K4209" s="8" t="s">
        <v>9856</v>
      </c>
    </row>
    <row r="4210" customFormat="false" ht="34.5" hidden="false" customHeight="true" outlineLevel="0" collapsed="false">
      <c r="A4210" s="10" t="s">
        <v>9859</v>
      </c>
      <c r="B4210" s="10" t="s">
        <v>45</v>
      </c>
      <c r="C4210" s="8" t="s">
        <v>9854</v>
      </c>
      <c r="D4210" s="8" t="s">
        <v>9860</v>
      </c>
      <c r="E4210" s="11" t="n">
        <v>344</v>
      </c>
      <c r="F4210" s="8" t="str">
        <f aca="false">IFERROR(INDEX(Section_Master!$D$2:$D$477,MATCH($E4210,Section_Master!$A$2:$A$477,0))&amp;"","")</f>
        <v>Imprisonment up to 7 years, or fine, or both</v>
      </c>
      <c r="G4210" s="10" t="str">
        <f aca="false">IFERROR(INDEX(Section_Master!$E$2:$E$477,MATCH($E4210,Section_Master!$A$2:$A$477,0))&amp;"","")</f>
        <v>No</v>
      </c>
      <c r="H4210" s="10" t="str">
        <f aca="false">IFERROR(INDEX(Section_Master!$F$2:$F$477,MATCH($E4210,Section_Master!$A$2:$A$477,0))&amp;"","")</f>
        <v>Yes</v>
      </c>
      <c r="I4210" s="10" t="str">
        <f aca="false">IFERROR(INDEX(Section_Master!$G$2:$G$477,MATCH($E4210,Section_Master!$A$2:$A$477,0))&amp;"","")</f>
        <v>No</v>
      </c>
      <c r="J4210" s="10" t="s">
        <v>55</v>
      </c>
      <c r="K4210" s="8" t="s">
        <v>9856</v>
      </c>
    </row>
    <row r="4211" customFormat="false" ht="23.25" hidden="false" customHeight="true" outlineLevel="0" collapsed="false">
      <c r="A4211" s="10" t="s">
        <v>9861</v>
      </c>
      <c r="B4211" s="10" t="s">
        <v>45</v>
      </c>
      <c r="C4211" s="8" t="s">
        <v>9854</v>
      </c>
      <c r="D4211" s="8" t="s">
        <v>9862</v>
      </c>
      <c r="E4211" s="11" t="n">
        <v>344</v>
      </c>
      <c r="F4211" s="8" t="str">
        <f aca="false">IFERROR(INDEX(Section_Master!$D$2:$D$477,MATCH($E4211,Section_Master!$A$2:$A$477,0))&amp;"","")</f>
        <v>Imprisonment up to 7 years, or fine, or both</v>
      </c>
      <c r="G4211" s="10" t="str">
        <f aca="false">IFERROR(INDEX(Section_Master!$E$2:$E$477,MATCH($E4211,Section_Master!$A$2:$A$477,0))&amp;"","")</f>
        <v>No</v>
      </c>
      <c r="H4211" s="10" t="str">
        <f aca="false">IFERROR(INDEX(Section_Master!$F$2:$F$477,MATCH($E4211,Section_Master!$A$2:$A$477,0))&amp;"","")</f>
        <v>Yes</v>
      </c>
      <c r="I4211" s="10" t="str">
        <f aca="false">IFERROR(INDEX(Section_Master!$G$2:$G$477,MATCH($E4211,Section_Master!$A$2:$A$477,0))&amp;"","")</f>
        <v>No</v>
      </c>
      <c r="J4211" s="10" t="s">
        <v>58</v>
      </c>
      <c r="K4211" s="8" t="s">
        <v>9856</v>
      </c>
    </row>
    <row r="4212" customFormat="false" ht="34.5" hidden="false" customHeight="true" outlineLevel="0" collapsed="false">
      <c r="A4212" s="10" t="s">
        <v>9863</v>
      </c>
      <c r="B4212" s="10" t="s">
        <v>45</v>
      </c>
      <c r="C4212" s="8" t="s">
        <v>9854</v>
      </c>
      <c r="D4212" s="8" t="s">
        <v>9864</v>
      </c>
      <c r="E4212" s="11" t="n">
        <v>344</v>
      </c>
      <c r="F4212" s="8" t="str">
        <f aca="false">IFERROR(INDEX(Section_Master!$D$2:$D$477,MATCH($E4212,Section_Master!$A$2:$A$477,0))&amp;"","")</f>
        <v>Imprisonment up to 7 years, or fine, or both</v>
      </c>
      <c r="G4212" s="10" t="str">
        <f aca="false">IFERROR(INDEX(Section_Master!$E$2:$E$477,MATCH($E4212,Section_Master!$A$2:$A$477,0))&amp;"","")</f>
        <v>No</v>
      </c>
      <c r="H4212" s="10" t="str">
        <f aca="false">IFERROR(INDEX(Section_Master!$F$2:$F$477,MATCH($E4212,Section_Master!$A$2:$A$477,0))&amp;"","")</f>
        <v>Yes</v>
      </c>
      <c r="I4212" s="10" t="str">
        <f aca="false">IFERROR(INDEX(Section_Master!$G$2:$G$477,MATCH($E4212,Section_Master!$A$2:$A$477,0))&amp;"","")</f>
        <v>No</v>
      </c>
      <c r="J4212" s="10" t="s">
        <v>61</v>
      </c>
      <c r="K4212" s="8" t="s">
        <v>9856</v>
      </c>
    </row>
    <row r="4213" customFormat="false" ht="45.75" hidden="false" customHeight="true" outlineLevel="0" collapsed="false">
      <c r="A4213" s="10" t="s">
        <v>9865</v>
      </c>
      <c r="B4213" s="10" t="s">
        <v>45</v>
      </c>
      <c r="C4213" s="8" t="s">
        <v>9854</v>
      </c>
      <c r="D4213" s="8" t="s">
        <v>9866</v>
      </c>
      <c r="E4213" s="11" t="n">
        <v>344</v>
      </c>
      <c r="F4213" s="8" t="str">
        <f aca="false">IFERROR(INDEX(Section_Master!$D$2:$D$477,MATCH($E4213,Section_Master!$A$2:$A$477,0))&amp;"","")</f>
        <v>Imprisonment up to 7 years, or fine, or both</v>
      </c>
      <c r="G4213" s="10" t="str">
        <f aca="false">IFERROR(INDEX(Section_Master!$E$2:$E$477,MATCH($E4213,Section_Master!$A$2:$A$477,0))&amp;"","")</f>
        <v>No</v>
      </c>
      <c r="H4213" s="10" t="str">
        <f aca="false">IFERROR(INDEX(Section_Master!$F$2:$F$477,MATCH($E4213,Section_Master!$A$2:$A$477,0))&amp;"","")</f>
        <v>Yes</v>
      </c>
      <c r="I4213" s="10" t="str">
        <f aca="false">IFERROR(INDEX(Section_Master!$G$2:$G$477,MATCH($E4213,Section_Master!$A$2:$A$477,0))&amp;"","")</f>
        <v>No</v>
      </c>
      <c r="J4213" s="10" t="s">
        <v>64</v>
      </c>
      <c r="K4213" s="8" t="s">
        <v>9856</v>
      </c>
    </row>
    <row r="4214" customFormat="false" ht="23.25" hidden="false" customHeight="true" outlineLevel="0" collapsed="false">
      <c r="A4214" s="10" t="s">
        <v>9867</v>
      </c>
      <c r="B4214" s="10" t="s">
        <v>45</v>
      </c>
      <c r="C4214" s="8" t="s">
        <v>9868</v>
      </c>
      <c r="D4214" s="8" t="s">
        <v>9869</v>
      </c>
      <c r="E4214" s="11" t="n">
        <v>345</v>
      </c>
      <c r="F4214" s="8" t="str">
        <f aca="false">IFERROR(INDEX(Section_Master!$D$2:$D$477,MATCH($E4214,Section_Master!$A$2:$A$477,0))&amp;"","")</f>
        <v>Not applicable - no offence or penalty defined here (definition, exception or general provision)</v>
      </c>
      <c r="G4214" s="10" t="str">
        <f aca="false">IFERROR(INDEX(Section_Master!$E$2:$E$477,MATCH($E4214,Section_Master!$A$2:$A$477,0))&amp;"","")</f>
        <v>N/A</v>
      </c>
      <c r="H4214" s="10" t="str">
        <f aca="false">IFERROR(INDEX(Section_Master!$F$2:$F$477,MATCH($E4214,Section_Master!$A$2:$A$477,0))&amp;"","")</f>
        <v>N/A</v>
      </c>
      <c r="I4214" s="10" t="str">
        <f aca="false">IFERROR(INDEX(Section_Master!$G$2:$G$477,MATCH($E4214,Section_Master!$A$2:$A$477,0))&amp;"","")</f>
        <v>N/A</v>
      </c>
      <c r="J4214" s="10" t="s">
        <v>48</v>
      </c>
      <c r="K4214" s="8" t="s">
        <v>9870</v>
      </c>
    </row>
    <row r="4215" customFormat="false" ht="45.75" hidden="false" customHeight="true" outlineLevel="0" collapsed="false">
      <c r="A4215" s="10" t="s">
        <v>9871</v>
      </c>
      <c r="B4215" s="10" t="s">
        <v>45</v>
      </c>
      <c r="C4215" s="8" t="s">
        <v>9868</v>
      </c>
      <c r="D4215" s="8" t="s">
        <v>9872</v>
      </c>
      <c r="E4215" s="11" t="n">
        <v>345</v>
      </c>
      <c r="F4215" s="8" t="str">
        <f aca="false">IFERROR(INDEX(Section_Master!$D$2:$D$477,MATCH($E4215,Section_Master!$A$2:$A$477,0))&amp;"","")</f>
        <v>Not applicable - no offence or penalty defined here (definition, exception or general provision)</v>
      </c>
      <c r="G4215" s="10" t="str">
        <f aca="false">IFERROR(INDEX(Section_Master!$E$2:$E$477,MATCH($E4215,Section_Master!$A$2:$A$477,0))&amp;"","")</f>
        <v>N/A</v>
      </c>
      <c r="H4215" s="10" t="str">
        <f aca="false">IFERROR(INDEX(Section_Master!$F$2:$F$477,MATCH($E4215,Section_Master!$A$2:$A$477,0))&amp;"","")</f>
        <v>N/A</v>
      </c>
      <c r="I4215" s="10" t="str">
        <f aca="false">IFERROR(INDEX(Section_Master!$G$2:$G$477,MATCH($E4215,Section_Master!$A$2:$A$477,0))&amp;"","")</f>
        <v>N/A</v>
      </c>
      <c r="J4215" s="10" t="s">
        <v>52</v>
      </c>
      <c r="K4215" s="8" t="s">
        <v>9870</v>
      </c>
    </row>
    <row r="4216" customFormat="false" ht="34.5" hidden="false" customHeight="true" outlineLevel="0" collapsed="false">
      <c r="A4216" s="10" t="s">
        <v>9873</v>
      </c>
      <c r="B4216" s="10" t="s">
        <v>45</v>
      </c>
      <c r="C4216" s="8" t="s">
        <v>9868</v>
      </c>
      <c r="D4216" s="8" t="s">
        <v>9874</v>
      </c>
      <c r="E4216" s="11" t="n">
        <v>345</v>
      </c>
      <c r="F4216" s="8" t="str">
        <f aca="false">IFERROR(INDEX(Section_Master!$D$2:$D$477,MATCH($E4216,Section_Master!$A$2:$A$477,0))&amp;"","")</f>
        <v>Not applicable - no offence or penalty defined here (definition, exception or general provision)</v>
      </c>
      <c r="G4216" s="10" t="str">
        <f aca="false">IFERROR(INDEX(Section_Master!$E$2:$E$477,MATCH($E4216,Section_Master!$A$2:$A$477,0))&amp;"","")</f>
        <v>N/A</v>
      </c>
      <c r="H4216" s="10" t="str">
        <f aca="false">IFERROR(INDEX(Section_Master!$F$2:$F$477,MATCH($E4216,Section_Master!$A$2:$A$477,0))&amp;"","")</f>
        <v>N/A</v>
      </c>
      <c r="I4216" s="10" t="str">
        <f aca="false">IFERROR(INDEX(Section_Master!$G$2:$G$477,MATCH($E4216,Section_Master!$A$2:$A$477,0))&amp;"","")</f>
        <v>N/A</v>
      </c>
      <c r="J4216" s="10" t="s">
        <v>55</v>
      </c>
      <c r="K4216" s="8" t="s">
        <v>9870</v>
      </c>
    </row>
    <row r="4217" customFormat="false" ht="23.25" hidden="false" customHeight="true" outlineLevel="0" collapsed="false">
      <c r="A4217" s="10" t="s">
        <v>9875</v>
      </c>
      <c r="B4217" s="10" t="s">
        <v>45</v>
      </c>
      <c r="C4217" s="8" t="s">
        <v>9868</v>
      </c>
      <c r="D4217" s="8" t="s">
        <v>9876</v>
      </c>
      <c r="E4217" s="11" t="n">
        <v>345</v>
      </c>
      <c r="F4217" s="8" t="str">
        <f aca="false">IFERROR(INDEX(Section_Master!$D$2:$D$477,MATCH($E4217,Section_Master!$A$2:$A$477,0))&amp;"","")</f>
        <v>Not applicable - no offence or penalty defined here (definition, exception or general provision)</v>
      </c>
      <c r="G4217" s="10" t="str">
        <f aca="false">IFERROR(INDEX(Section_Master!$E$2:$E$477,MATCH($E4217,Section_Master!$A$2:$A$477,0))&amp;"","")</f>
        <v>N/A</v>
      </c>
      <c r="H4217" s="10" t="str">
        <f aca="false">IFERROR(INDEX(Section_Master!$F$2:$F$477,MATCH($E4217,Section_Master!$A$2:$A$477,0))&amp;"","")</f>
        <v>N/A</v>
      </c>
      <c r="I4217" s="10" t="str">
        <f aca="false">IFERROR(INDEX(Section_Master!$G$2:$G$477,MATCH($E4217,Section_Master!$A$2:$A$477,0))&amp;"","")</f>
        <v>N/A</v>
      </c>
      <c r="J4217" s="10" t="s">
        <v>58</v>
      </c>
      <c r="K4217" s="8" t="s">
        <v>9870</v>
      </c>
    </row>
    <row r="4218" customFormat="false" ht="34.5" hidden="false" customHeight="true" outlineLevel="0" collapsed="false">
      <c r="A4218" s="10" t="s">
        <v>9877</v>
      </c>
      <c r="B4218" s="10" t="s">
        <v>45</v>
      </c>
      <c r="C4218" s="8" t="s">
        <v>9868</v>
      </c>
      <c r="D4218" s="8" t="s">
        <v>9878</v>
      </c>
      <c r="E4218" s="11" t="n">
        <v>345</v>
      </c>
      <c r="F4218" s="8" t="str">
        <f aca="false">IFERROR(INDEX(Section_Master!$D$2:$D$477,MATCH($E4218,Section_Master!$A$2:$A$477,0))&amp;"","")</f>
        <v>Not applicable - no offence or penalty defined here (definition, exception or general provision)</v>
      </c>
      <c r="G4218" s="10" t="str">
        <f aca="false">IFERROR(INDEX(Section_Master!$E$2:$E$477,MATCH($E4218,Section_Master!$A$2:$A$477,0))&amp;"","")</f>
        <v>N/A</v>
      </c>
      <c r="H4218" s="10" t="str">
        <f aca="false">IFERROR(INDEX(Section_Master!$F$2:$F$477,MATCH($E4218,Section_Master!$A$2:$A$477,0))&amp;"","")</f>
        <v>N/A</v>
      </c>
      <c r="I4218" s="10" t="str">
        <f aca="false">IFERROR(INDEX(Section_Master!$G$2:$G$477,MATCH($E4218,Section_Master!$A$2:$A$477,0))&amp;"","")</f>
        <v>N/A</v>
      </c>
      <c r="J4218" s="10" t="s">
        <v>61</v>
      </c>
      <c r="K4218" s="8" t="s">
        <v>9870</v>
      </c>
    </row>
    <row r="4219" customFormat="false" ht="45.75" hidden="false" customHeight="true" outlineLevel="0" collapsed="false">
      <c r="A4219" s="10" t="s">
        <v>9879</v>
      </c>
      <c r="B4219" s="10" t="s">
        <v>45</v>
      </c>
      <c r="C4219" s="8" t="s">
        <v>9868</v>
      </c>
      <c r="D4219" s="8" t="s">
        <v>9880</v>
      </c>
      <c r="E4219" s="11" t="n">
        <v>345</v>
      </c>
      <c r="F4219" s="8" t="str">
        <f aca="false">IFERROR(INDEX(Section_Master!$D$2:$D$477,MATCH($E4219,Section_Master!$A$2:$A$477,0))&amp;"","")</f>
        <v>Not applicable - no offence or penalty defined here (definition, exception or general provision)</v>
      </c>
      <c r="G4219" s="10" t="str">
        <f aca="false">IFERROR(INDEX(Section_Master!$E$2:$E$477,MATCH($E4219,Section_Master!$A$2:$A$477,0))&amp;"","")</f>
        <v>N/A</v>
      </c>
      <c r="H4219" s="10" t="str">
        <f aca="false">IFERROR(INDEX(Section_Master!$F$2:$F$477,MATCH($E4219,Section_Master!$A$2:$A$477,0))&amp;"","")</f>
        <v>N/A</v>
      </c>
      <c r="I4219" s="10" t="str">
        <f aca="false">IFERROR(INDEX(Section_Master!$G$2:$G$477,MATCH($E4219,Section_Master!$A$2:$A$477,0))&amp;"","")</f>
        <v>N/A</v>
      </c>
      <c r="J4219" s="10" t="s">
        <v>64</v>
      </c>
      <c r="K4219" s="8" t="s">
        <v>9870</v>
      </c>
    </row>
    <row r="4220" customFormat="false" ht="34.5" hidden="false" customHeight="true" outlineLevel="0" collapsed="false">
      <c r="A4220" s="10" t="s">
        <v>9881</v>
      </c>
      <c r="B4220" s="10" t="s">
        <v>45</v>
      </c>
      <c r="C4220" s="8" t="s">
        <v>9882</v>
      </c>
      <c r="D4220" s="8" t="s">
        <v>9883</v>
      </c>
      <c r="E4220" s="11" t="n">
        <v>346</v>
      </c>
      <c r="F4220" s="8" t="str">
        <f aca="false">IFERROR(INDEX(Section_Master!$D$2:$D$477,MATCH($E4220,Section_Master!$A$2:$A$477,0))&amp;"","")</f>
        <v>Imprisonment up to 1 year, or fine, or both</v>
      </c>
      <c r="G4220" s="10" t="str">
        <f aca="false">IFERROR(INDEX(Section_Master!$E$2:$E$477,MATCH($E4220,Section_Master!$A$2:$A$477,0))&amp;"","")</f>
        <v>No</v>
      </c>
      <c r="H4220" s="10" t="str">
        <f aca="false">IFERROR(INDEX(Section_Master!$F$2:$F$477,MATCH($E4220,Section_Master!$A$2:$A$477,0))&amp;"","")</f>
        <v>Yes</v>
      </c>
      <c r="I4220" s="10" t="str">
        <f aca="false">IFERROR(INDEX(Section_Master!$G$2:$G$477,MATCH($E4220,Section_Master!$A$2:$A$477,0))&amp;"","")</f>
        <v>No</v>
      </c>
      <c r="J4220" s="10" t="s">
        <v>48</v>
      </c>
      <c r="K4220" s="8" t="s">
        <v>9884</v>
      </c>
    </row>
    <row r="4221" customFormat="false" ht="45.75" hidden="false" customHeight="true" outlineLevel="0" collapsed="false">
      <c r="A4221" s="10" t="s">
        <v>9885</v>
      </c>
      <c r="B4221" s="10" t="s">
        <v>45</v>
      </c>
      <c r="C4221" s="8" t="s">
        <v>9882</v>
      </c>
      <c r="D4221" s="8" t="s">
        <v>9886</v>
      </c>
      <c r="E4221" s="11" t="n">
        <v>346</v>
      </c>
      <c r="F4221" s="8" t="str">
        <f aca="false">IFERROR(INDEX(Section_Master!$D$2:$D$477,MATCH($E4221,Section_Master!$A$2:$A$477,0))&amp;"","")</f>
        <v>Imprisonment up to 1 year, or fine, or both</v>
      </c>
      <c r="G4221" s="10" t="str">
        <f aca="false">IFERROR(INDEX(Section_Master!$E$2:$E$477,MATCH($E4221,Section_Master!$A$2:$A$477,0))&amp;"","")</f>
        <v>No</v>
      </c>
      <c r="H4221" s="10" t="str">
        <f aca="false">IFERROR(INDEX(Section_Master!$F$2:$F$477,MATCH($E4221,Section_Master!$A$2:$A$477,0))&amp;"","")</f>
        <v>Yes</v>
      </c>
      <c r="I4221" s="10" t="str">
        <f aca="false">IFERROR(INDEX(Section_Master!$G$2:$G$477,MATCH($E4221,Section_Master!$A$2:$A$477,0))&amp;"","")</f>
        <v>No</v>
      </c>
      <c r="J4221" s="10" t="s">
        <v>52</v>
      </c>
      <c r="K4221" s="8" t="s">
        <v>9884</v>
      </c>
    </row>
    <row r="4222" customFormat="false" ht="34.5" hidden="false" customHeight="true" outlineLevel="0" collapsed="false">
      <c r="A4222" s="10" t="s">
        <v>9887</v>
      </c>
      <c r="B4222" s="10" t="s">
        <v>45</v>
      </c>
      <c r="C4222" s="8" t="s">
        <v>9882</v>
      </c>
      <c r="D4222" s="8" t="s">
        <v>9888</v>
      </c>
      <c r="E4222" s="11" t="n">
        <v>346</v>
      </c>
      <c r="F4222" s="8" t="str">
        <f aca="false">IFERROR(INDEX(Section_Master!$D$2:$D$477,MATCH($E4222,Section_Master!$A$2:$A$477,0))&amp;"","")</f>
        <v>Imprisonment up to 1 year, or fine, or both</v>
      </c>
      <c r="G4222" s="10" t="str">
        <f aca="false">IFERROR(INDEX(Section_Master!$E$2:$E$477,MATCH($E4222,Section_Master!$A$2:$A$477,0))&amp;"","")</f>
        <v>No</v>
      </c>
      <c r="H4222" s="10" t="str">
        <f aca="false">IFERROR(INDEX(Section_Master!$F$2:$F$477,MATCH($E4222,Section_Master!$A$2:$A$477,0))&amp;"","")</f>
        <v>Yes</v>
      </c>
      <c r="I4222" s="10" t="str">
        <f aca="false">IFERROR(INDEX(Section_Master!$G$2:$G$477,MATCH($E4222,Section_Master!$A$2:$A$477,0))&amp;"","")</f>
        <v>No</v>
      </c>
      <c r="J4222" s="10" t="s">
        <v>55</v>
      </c>
      <c r="K4222" s="8" t="s">
        <v>9884</v>
      </c>
    </row>
    <row r="4223" customFormat="false" ht="23.25" hidden="false" customHeight="true" outlineLevel="0" collapsed="false">
      <c r="A4223" s="10" t="s">
        <v>9889</v>
      </c>
      <c r="B4223" s="10" t="s">
        <v>45</v>
      </c>
      <c r="C4223" s="8" t="s">
        <v>9882</v>
      </c>
      <c r="D4223" s="8" t="s">
        <v>9890</v>
      </c>
      <c r="E4223" s="11" t="n">
        <v>346</v>
      </c>
      <c r="F4223" s="8" t="str">
        <f aca="false">IFERROR(INDEX(Section_Master!$D$2:$D$477,MATCH($E4223,Section_Master!$A$2:$A$477,0))&amp;"","")</f>
        <v>Imprisonment up to 1 year, or fine, or both</v>
      </c>
      <c r="G4223" s="10" t="str">
        <f aca="false">IFERROR(INDEX(Section_Master!$E$2:$E$477,MATCH($E4223,Section_Master!$A$2:$A$477,0))&amp;"","")</f>
        <v>No</v>
      </c>
      <c r="H4223" s="10" t="str">
        <f aca="false">IFERROR(INDEX(Section_Master!$F$2:$F$477,MATCH($E4223,Section_Master!$A$2:$A$477,0))&amp;"","")</f>
        <v>Yes</v>
      </c>
      <c r="I4223" s="10" t="str">
        <f aca="false">IFERROR(INDEX(Section_Master!$G$2:$G$477,MATCH($E4223,Section_Master!$A$2:$A$477,0))&amp;"","")</f>
        <v>No</v>
      </c>
      <c r="J4223" s="10" t="s">
        <v>58</v>
      </c>
      <c r="K4223" s="8" t="s">
        <v>9884</v>
      </c>
    </row>
    <row r="4224" customFormat="false" ht="34.5" hidden="false" customHeight="true" outlineLevel="0" collapsed="false">
      <c r="A4224" s="10" t="s">
        <v>9891</v>
      </c>
      <c r="B4224" s="10" t="s">
        <v>45</v>
      </c>
      <c r="C4224" s="8" t="s">
        <v>9882</v>
      </c>
      <c r="D4224" s="8" t="s">
        <v>9892</v>
      </c>
      <c r="E4224" s="11" t="n">
        <v>346</v>
      </c>
      <c r="F4224" s="8" t="str">
        <f aca="false">IFERROR(INDEX(Section_Master!$D$2:$D$477,MATCH($E4224,Section_Master!$A$2:$A$477,0))&amp;"","")</f>
        <v>Imprisonment up to 1 year, or fine, or both</v>
      </c>
      <c r="G4224" s="10" t="str">
        <f aca="false">IFERROR(INDEX(Section_Master!$E$2:$E$477,MATCH($E4224,Section_Master!$A$2:$A$477,0))&amp;"","")</f>
        <v>No</v>
      </c>
      <c r="H4224" s="10" t="str">
        <f aca="false">IFERROR(INDEX(Section_Master!$F$2:$F$477,MATCH($E4224,Section_Master!$A$2:$A$477,0))&amp;"","")</f>
        <v>Yes</v>
      </c>
      <c r="I4224" s="10" t="str">
        <f aca="false">IFERROR(INDEX(Section_Master!$G$2:$G$477,MATCH($E4224,Section_Master!$A$2:$A$477,0))&amp;"","")</f>
        <v>No</v>
      </c>
      <c r="J4224" s="10" t="s">
        <v>61</v>
      </c>
      <c r="K4224" s="8" t="s">
        <v>9884</v>
      </c>
    </row>
    <row r="4225" customFormat="false" ht="45.75" hidden="false" customHeight="true" outlineLevel="0" collapsed="false">
      <c r="A4225" s="10" t="s">
        <v>9893</v>
      </c>
      <c r="B4225" s="10" t="s">
        <v>45</v>
      </c>
      <c r="C4225" s="8" t="s">
        <v>9882</v>
      </c>
      <c r="D4225" s="8" t="s">
        <v>9894</v>
      </c>
      <c r="E4225" s="11" t="n">
        <v>346</v>
      </c>
      <c r="F4225" s="8" t="str">
        <f aca="false">IFERROR(INDEX(Section_Master!$D$2:$D$477,MATCH($E4225,Section_Master!$A$2:$A$477,0))&amp;"","")</f>
        <v>Imprisonment up to 1 year, or fine, or both</v>
      </c>
      <c r="G4225" s="10" t="str">
        <f aca="false">IFERROR(INDEX(Section_Master!$E$2:$E$477,MATCH($E4225,Section_Master!$A$2:$A$477,0))&amp;"","")</f>
        <v>No</v>
      </c>
      <c r="H4225" s="10" t="str">
        <f aca="false">IFERROR(INDEX(Section_Master!$F$2:$F$477,MATCH($E4225,Section_Master!$A$2:$A$477,0))&amp;"","")</f>
        <v>Yes</v>
      </c>
      <c r="I4225" s="10" t="str">
        <f aca="false">IFERROR(INDEX(Section_Master!$G$2:$G$477,MATCH($E4225,Section_Master!$A$2:$A$477,0))&amp;"","")</f>
        <v>No</v>
      </c>
      <c r="J4225" s="10" t="s">
        <v>64</v>
      </c>
      <c r="K4225" s="8" t="s">
        <v>9884</v>
      </c>
    </row>
    <row r="4226" customFormat="false" ht="34.5" hidden="false" customHeight="true" outlineLevel="0" collapsed="false">
      <c r="A4226" s="10" t="s">
        <v>9895</v>
      </c>
      <c r="B4226" s="10" t="s">
        <v>45</v>
      </c>
      <c r="C4226" s="8" t="s">
        <v>9896</v>
      </c>
      <c r="D4226" s="8" t="s">
        <v>9897</v>
      </c>
      <c r="E4226" s="11" t="n">
        <v>347</v>
      </c>
      <c r="F4226" s="8" t="str">
        <f aca="false">IFERROR(INDEX(Section_Master!$D$2:$D$477,MATCH($E4226,Section_Master!$A$2:$A$477,0))&amp;"","")</f>
        <v>Imprisonment up to 2 years, or fine, or both</v>
      </c>
      <c r="G4226" s="10" t="str">
        <f aca="false">IFERROR(INDEX(Section_Master!$E$2:$E$477,MATCH($E4226,Section_Master!$A$2:$A$477,0))&amp;"","")</f>
        <v>No</v>
      </c>
      <c r="H4226" s="10" t="str">
        <f aca="false">IFERROR(INDEX(Section_Master!$F$2:$F$477,MATCH($E4226,Section_Master!$A$2:$A$477,0))&amp;"","")</f>
        <v>Yes</v>
      </c>
      <c r="I4226" s="10" t="str">
        <f aca="false">IFERROR(INDEX(Section_Master!$G$2:$G$477,MATCH($E4226,Section_Master!$A$2:$A$477,0))&amp;"","")</f>
        <v>No</v>
      </c>
      <c r="J4226" s="10" t="s">
        <v>48</v>
      </c>
      <c r="K4226" s="8" t="s">
        <v>9898</v>
      </c>
    </row>
    <row r="4227" customFormat="false" ht="34.5" hidden="false" customHeight="true" outlineLevel="0" collapsed="false">
      <c r="A4227" s="10" t="s">
        <v>9899</v>
      </c>
      <c r="B4227" s="10" t="s">
        <v>45</v>
      </c>
      <c r="C4227" s="8" t="s">
        <v>9896</v>
      </c>
      <c r="D4227" s="8" t="s">
        <v>9900</v>
      </c>
      <c r="E4227" s="11" t="n">
        <v>347</v>
      </c>
      <c r="F4227" s="8" t="str">
        <f aca="false">IFERROR(INDEX(Section_Master!$D$2:$D$477,MATCH($E4227,Section_Master!$A$2:$A$477,0))&amp;"","")</f>
        <v>Imprisonment up to 2 years, or fine, or both</v>
      </c>
      <c r="G4227" s="10" t="str">
        <f aca="false">IFERROR(INDEX(Section_Master!$E$2:$E$477,MATCH($E4227,Section_Master!$A$2:$A$477,0))&amp;"","")</f>
        <v>No</v>
      </c>
      <c r="H4227" s="10" t="str">
        <f aca="false">IFERROR(INDEX(Section_Master!$F$2:$F$477,MATCH($E4227,Section_Master!$A$2:$A$477,0))&amp;"","")</f>
        <v>Yes</v>
      </c>
      <c r="I4227" s="10" t="str">
        <f aca="false">IFERROR(INDEX(Section_Master!$G$2:$G$477,MATCH($E4227,Section_Master!$A$2:$A$477,0))&amp;"","")</f>
        <v>No</v>
      </c>
      <c r="J4227" s="10" t="s">
        <v>52</v>
      </c>
      <c r="K4227" s="8" t="s">
        <v>9898</v>
      </c>
    </row>
    <row r="4228" customFormat="false" ht="34.5" hidden="false" customHeight="true" outlineLevel="0" collapsed="false">
      <c r="A4228" s="10" t="s">
        <v>9901</v>
      </c>
      <c r="B4228" s="10" t="s">
        <v>45</v>
      </c>
      <c r="C4228" s="8" t="s">
        <v>9896</v>
      </c>
      <c r="D4228" s="8" t="s">
        <v>9902</v>
      </c>
      <c r="E4228" s="11" t="n">
        <v>347</v>
      </c>
      <c r="F4228" s="8" t="str">
        <f aca="false">IFERROR(INDEX(Section_Master!$D$2:$D$477,MATCH($E4228,Section_Master!$A$2:$A$477,0))&amp;"","")</f>
        <v>Imprisonment up to 2 years, or fine, or both</v>
      </c>
      <c r="G4228" s="10" t="str">
        <f aca="false">IFERROR(INDEX(Section_Master!$E$2:$E$477,MATCH($E4228,Section_Master!$A$2:$A$477,0))&amp;"","")</f>
        <v>No</v>
      </c>
      <c r="H4228" s="10" t="str">
        <f aca="false">IFERROR(INDEX(Section_Master!$F$2:$F$477,MATCH($E4228,Section_Master!$A$2:$A$477,0))&amp;"","")</f>
        <v>Yes</v>
      </c>
      <c r="I4228" s="10" t="str">
        <f aca="false">IFERROR(INDEX(Section_Master!$G$2:$G$477,MATCH($E4228,Section_Master!$A$2:$A$477,0))&amp;"","")</f>
        <v>No</v>
      </c>
      <c r="J4228" s="10" t="s">
        <v>55</v>
      </c>
      <c r="K4228" s="8" t="s">
        <v>9898</v>
      </c>
    </row>
    <row r="4229" customFormat="false" ht="23.25" hidden="false" customHeight="true" outlineLevel="0" collapsed="false">
      <c r="A4229" s="10" t="s">
        <v>9903</v>
      </c>
      <c r="B4229" s="10" t="s">
        <v>45</v>
      </c>
      <c r="C4229" s="8" t="s">
        <v>9896</v>
      </c>
      <c r="D4229" s="8" t="s">
        <v>9904</v>
      </c>
      <c r="E4229" s="11" t="n">
        <v>347</v>
      </c>
      <c r="F4229" s="8" t="str">
        <f aca="false">IFERROR(INDEX(Section_Master!$D$2:$D$477,MATCH($E4229,Section_Master!$A$2:$A$477,0))&amp;"","")</f>
        <v>Imprisonment up to 2 years, or fine, or both</v>
      </c>
      <c r="G4229" s="10" t="str">
        <f aca="false">IFERROR(INDEX(Section_Master!$E$2:$E$477,MATCH($E4229,Section_Master!$A$2:$A$477,0))&amp;"","")</f>
        <v>No</v>
      </c>
      <c r="H4229" s="10" t="str">
        <f aca="false">IFERROR(INDEX(Section_Master!$F$2:$F$477,MATCH($E4229,Section_Master!$A$2:$A$477,0))&amp;"","")</f>
        <v>Yes</v>
      </c>
      <c r="I4229" s="10" t="str">
        <f aca="false">IFERROR(INDEX(Section_Master!$G$2:$G$477,MATCH($E4229,Section_Master!$A$2:$A$477,0))&amp;"","")</f>
        <v>No</v>
      </c>
      <c r="J4229" s="10" t="s">
        <v>58</v>
      </c>
      <c r="K4229" s="8" t="s">
        <v>9898</v>
      </c>
    </row>
    <row r="4230" customFormat="false" ht="23.25" hidden="false" customHeight="true" outlineLevel="0" collapsed="false">
      <c r="A4230" s="10" t="s">
        <v>9905</v>
      </c>
      <c r="B4230" s="10" t="s">
        <v>45</v>
      </c>
      <c r="C4230" s="8" t="s">
        <v>9896</v>
      </c>
      <c r="D4230" s="8" t="s">
        <v>9906</v>
      </c>
      <c r="E4230" s="11" t="n">
        <v>347</v>
      </c>
      <c r="F4230" s="8" t="str">
        <f aca="false">IFERROR(INDEX(Section_Master!$D$2:$D$477,MATCH($E4230,Section_Master!$A$2:$A$477,0))&amp;"","")</f>
        <v>Imprisonment up to 2 years, or fine, or both</v>
      </c>
      <c r="G4230" s="10" t="str">
        <f aca="false">IFERROR(INDEX(Section_Master!$E$2:$E$477,MATCH($E4230,Section_Master!$A$2:$A$477,0))&amp;"","")</f>
        <v>No</v>
      </c>
      <c r="H4230" s="10" t="str">
        <f aca="false">IFERROR(INDEX(Section_Master!$F$2:$F$477,MATCH($E4230,Section_Master!$A$2:$A$477,0))&amp;"","")</f>
        <v>Yes</v>
      </c>
      <c r="I4230" s="10" t="str">
        <f aca="false">IFERROR(INDEX(Section_Master!$G$2:$G$477,MATCH($E4230,Section_Master!$A$2:$A$477,0))&amp;"","")</f>
        <v>No</v>
      </c>
      <c r="J4230" s="10" t="s">
        <v>61</v>
      </c>
      <c r="K4230" s="8" t="s">
        <v>9898</v>
      </c>
    </row>
    <row r="4231" customFormat="false" ht="45.75" hidden="false" customHeight="true" outlineLevel="0" collapsed="false">
      <c r="A4231" s="10" t="s">
        <v>9907</v>
      </c>
      <c r="B4231" s="10" t="s">
        <v>45</v>
      </c>
      <c r="C4231" s="8" t="s">
        <v>9896</v>
      </c>
      <c r="D4231" s="8" t="s">
        <v>9908</v>
      </c>
      <c r="E4231" s="11" t="n">
        <v>347</v>
      </c>
      <c r="F4231" s="8" t="str">
        <f aca="false">IFERROR(INDEX(Section_Master!$D$2:$D$477,MATCH($E4231,Section_Master!$A$2:$A$477,0))&amp;"","")</f>
        <v>Imprisonment up to 2 years, or fine, or both</v>
      </c>
      <c r="G4231" s="10" t="str">
        <f aca="false">IFERROR(INDEX(Section_Master!$E$2:$E$477,MATCH($E4231,Section_Master!$A$2:$A$477,0))&amp;"","")</f>
        <v>No</v>
      </c>
      <c r="H4231" s="10" t="str">
        <f aca="false">IFERROR(INDEX(Section_Master!$F$2:$F$477,MATCH($E4231,Section_Master!$A$2:$A$477,0))&amp;"","")</f>
        <v>Yes</v>
      </c>
      <c r="I4231" s="10" t="str">
        <f aca="false">IFERROR(INDEX(Section_Master!$G$2:$G$477,MATCH($E4231,Section_Master!$A$2:$A$477,0))&amp;"","")</f>
        <v>No</v>
      </c>
      <c r="J4231" s="10" t="s">
        <v>64</v>
      </c>
      <c r="K4231" s="8" t="s">
        <v>9898</v>
      </c>
    </row>
    <row r="4232" customFormat="false" ht="34.5" hidden="false" customHeight="true" outlineLevel="0" collapsed="false">
      <c r="A4232" s="10" t="s">
        <v>9909</v>
      </c>
      <c r="B4232" s="10" t="s">
        <v>45</v>
      </c>
      <c r="C4232" s="8" t="s">
        <v>9910</v>
      </c>
      <c r="D4232" s="8" t="s">
        <v>9911</v>
      </c>
      <c r="E4232" s="11" t="n">
        <v>348</v>
      </c>
      <c r="F4232" s="8" t="str">
        <f aca="false">IFERROR(INDEX(Section_Master!$D$2:$D$477,MATCH($E4232,Section_Master!$A$2:$A$477,0))&amp;"","")</f>
        <v>Imprisonment up to 3 years, or fine, or both</v>
      </c>
      <c r="G4232" s="10" t="str">
        <f aca="false">IFERROR(INDEX(Section_Master!$E$2:$E$477,MATCH($E4232,Section_Master!$A$2:$A$477,0))&amp;"","")</f>
        <v>No</v>
      </c>
      <c r="H4232" s="10" t="str">
        <f aca="false">IFERROR(INDEX(Section_Master!$F$2:$F$477,MATCH($E4232,Section_Master!$A$2:$A$477,0))&amp;"","")</f>
        <v>Yes</v>
      </c>
      <c r="I4232" s="10" t="str">
        <f aca="false">IFERROR(INDEX(Section_Master!$G$2:$G$477,MATCH($E4232,Section_Master!$A$2:$A$477,0))&amp;"","")</f>
        <v>No</v>
      </c>
      <c r="J4232" s="10" t="s">
        <v>48</v>
      </c>
      <c r="K4232" s="8" t="s">
        <v>9912</v>
      </c>
    </row>
    <row r="4233" customFormat="false" ht="45.75" hidden="false" customHeight="true" outlineLevel="0" collapsed="false">
      <c r="A4233" s="10" t="s">
        <v>9913</v>
      </c>
      <c r="B4233" s="10" t="s">
        <v>45</v>
      </c>
      <c r="C4233" s="8" t="s">
        <v>9910</v>
      </c>
      <c r="D4233" s="8" t="s">
        <v>9914</v>
      </c>
      <c r="E4233" s="11" t="n">
        <v>348</v>
      </c>
      <c r="F4233" s="8" t="str">
        <f aca="false">IFERROR(INDEX(Section_Master!$D$2:$D$477,MATCH($E4233,Section_Master!$A$2:$A$477,0))&amp;"","")</f>
        <v>Imprisonment up to 3 years, or fine, or both</v>
      </c>
      <c r="G4233" s="10" t="str">
        <f aca="false">IFERROR(INDEX(Section_Master!$E$2:$E$477,MATCH($E4233,Section_Master!$A$2:$A$477,0))&amp;"","")</f>
        <v>No</v>
      </c>
      <c r="H4233" s="10" t="str">
        <f aca="false">IFERROR(INDEX(Section_Master!$F$2:$F$477,MATCH($E4233,Section_Master!$A$2:$A$477,0))&amp;"","")</f>
        <v>Yes</v>
      </c>
      <c r="I4233" s="10" t="str">
        <f aca="false">IFERROR(INDEX(Section_Master!$G$2:$G$477,MATCH($E4233,Section_Master!$A$2:$A$477,0))&amp;"","")</f>
        <v>No</v>
      </c>
      <c r="J4233" s="10" t="s">
        <v>52</v>
      </c>
      <c r="K4233" s="8" t="s">
        <v>9912</v>
      </c>
    </row>
    <row r="4234" customFormat="false" ht="34.5" hidden="false" customHeight="true" outlineLevel="0" collapsed="false">
      <c r="A4234" s="10" t="s">
        <v>9915</v>
      </c>
      <c r="B4234" s="10" t="s">
        <v>45</v>
      </c>
      <c r="C4234" s="8" t="s">
        <v>9910</v>
      </c>
      <c r="D4234" s="8" t="s">
        <v>9916</v>
      </c>
      <c r="E4234" s="11" t="n">
        <v>348</v>
      </c>
      <c r="F4234" s="8" t="str">
        <f aca="false">IFERROR(INDEX(Section_Master!$D$2:$D$477,MATCH($E4234,Section_Master!$A$2:$A$477,0))&amp;"","")</f>
        <v>Imprisonment up to 3 years, or fine, or both</v>
      </c>
      <c r="G4234" s="10" t="str">
        <f aca="false">IFERROR(INDEX(Section_Master!$E$2:$E$477,MATCH($E4234,Section_Master!$A$2:$A$477,0))&amp;"","")</f>
        <v>No</v>
      </c>
      <c r="H4234" s="10" t="str">
        <f aca="false">IFERROR(INDEX(Section_Master!$F$2:$F$477,MATCH($E4234,Section_Master!$A$2:$A$477,0))&amp;"","")</f>
        <v>Yes</v>
      </c>
      <c r="I4234" s="10" t="str">
        <f aca="false">IFERROR(INDEX(Section_Master!$G$2:$G$477,MATCH($E4234,Section_Master!$A$2:$A$477,0))&amp;"","")</f>
        <v>No</v>
      </c>
      <c r="J4234" s="10" t="s">
        <v>55</v>
      </c>
      <c r="K4234" s="8" t="s">
        <v>9912</v>
      </c>
    </row>
    <row r="4235" customFormat="false" ht="23.25" hidden="false" customHeight="true" outlineLevel="0" collapsed="false">
      <c r="A4235" s="10" t="s">
        <v>9917</v>
      </c>
      <c r="B4235" s="10" t="s">
        <v>45</v>
      </c>
      <c r="C4235" s="8" t="s">
        <v>9910</v>
      </c>
      <c r="D4235" s="8" t="s">
        <v>9918</v>
      </c>
      <c r="E4235" s="11" t="n">
        <v>348</v>
      </c>
      <c r="F4235" s="8" t="str">
        <f aca="false">IFERROR(INDEX(Section_Master!$D$2:$D$477,MATCH($E4235,Section_Master!$A$2:$A$477,0))&amp;"","")</f>
        <v>Imprisonment up to 3 years, or fine, or both</v>
      </c>
      <c r="G4235" s="10" t="str">
        <f aca="false">IFERROR(INDEX(Section_Master!$E$2:$E$477,MATCH($E4235,Section_Master!$A$2:$A$477,0))&amp;"","")</f>
        <v>No</v>
      </c>
      <c r="H4235" s="10" t="str">
        <f aca="false">IFERROR(INDEX(Section_Master!$F$2:$F$477,MATCH($E4235,Section_Master!$A$2:$A$477,0))&amp;"","")</f>
        <v>Yes</v>
      </c>
      <c r="I4235" s="10" t="str">
        <f aca="false">IFERROR(INDEX(Section_Master!$G$2:$G$477,MATCH($E4235,Section_Master!$A$2:$A$477,0))&amp;"","")</f>
        <v>No</v>
      </c>
      <c r="J4235" s="10" t="s">
        <v>58</v>
      </c>
      <c r="K4235" s="8" t="s">
        <v>9912</v>
      </c>
    </row>
    <row r="4236" customFormat="false" ht="23.25" hidden="false" customHeight="true" outlineLevel="0" collapsed="false">
      <c r="A4236" s="10" t="s">
        <v>9919</v>
      </c>
      <c r="B4236" s="10" t="s">
        <v>45</v>
      </c>
      <c r="C4236" s="8" t="s">
        <v>9910</v>
      </c>
      <c r="D4236" s="8" t="s">
        <v>9920</v>
      </c>
      <c r="E4236" s="11" t="n">
        <v>348</v>
      </c>
      <c r="F4236" s="8" t="str">
        <f aca="false">IFERROR(INDEX(Section_Master!$D$2:$D$477,MATCH($E4236,Section_Master!$A$2:$A$477,0))&amp;"","")</f>
        <v>Imprisonment up to 3 years, or fine, or both</v>
      </c>
      <c r="G4236" s="10" t="str">
        <f aca="false">IFERROR(INDEX(Section_Master!$E$2:$E$477,MATCH($E4236,Section_Master!$A$2:$A$477,0))&amp;"","")</f>
        <v>No</v>
      </c>
      <c r="H4236" s="10" t="str">
        <f aca="false">IFERROR(INDEX(Section_Master!$F$2:$F$477,MATCH($E4236,Section_Master!$A$2:$A$477,0))&amp;"","")</f>
        <v>Yes</v>
      </c>
      <c r="I4236" s="10" t="str">
        <f aca="false">IFERROR(INDEX(Section_Master!$G$2:$G$477,MATCH($E4236,Section_Master!$A$2:$A$477,0))&amp;"","")</f>
        <v>No</v>
      </c>
      <c r="J4236" s="10" t="s">
        <v>61</v>
      </c>
      <c r="K4236" s="8" t="s">
        <v>9912</v>
      </c>
    </row>
    <row r="4237" customFormat="false" ht="45.75" hidden="false" customHeight="true" outlineLevel="0" collapsed="false">
      <c r="A4237" s="10" t="s">
        <v>9921</v>
      </c>
      <c r="B4237" s="10" t="s">
        <v>45</v>
      </c>
      <c r="C4237" s="8" t="s">
        <v>9910</v>
      </c>
      <c r="D4237" s="8" t="s">
        <v>9922</v>
      </c>
      <c r="E4237" s="11" t="n">
        <v>348</v>
      </c>
      <c r="F4237" s="8" t="str">
        <f aca="false">IFERROR(INDEX(Section_Master!$D$2:$D$477,MATCH($E4237,Section_Master!$A$2:$A$477,0))&amp;"","")</f>
        <v>Imprisonment up to 3 years, or fine, or both</v>
      </c>
      <c r="G4237" s="10" t="str">
        <f aca="false">IFERROR(INDEX(Section_Master!$E$2:$E$477,MATCH($E4237,Section_Master!$A$2:$A$477,0))&amp;"","")</f>
        <v>No</v>
      </c>
      <c r="H4237" s="10" t="str">
        <f aca="false">IFERROR(INDEX(Section_Master!$F$2:$F$477,MATCH($E4237,Section_Master!$A$2:$A$477,0))&amp;"","")</f>
        <v>Yes</v>
      </c>
      <c r="I4237" s="10" t="str">
        <f aca="false">IFERROR(INDEX(Section_Master!$G$2:$G$477,MATCH($E4237,Section_Master!$A$2:$A$477,0))&amp;"","")</f>
        <v>No</v>
      </c>
      <c r="J4237" s="10" t="s">
        <v>64</v>
      </c>
      <c r="K4237" s="8" t="s">
        <v>9912</v>
      </c>
    </row>
    <row r="4238" customFormat="false" ht="34.5" hidden="false" customHeight="true" outlineLevel="0" collapsed="false">
      <c r="A4238" s="10" t="s">
        <v>9923</v>
      </c>
      <c r="B4238" s="10" t="s">
        <v>45</v>
      </c>
      <c r="C4238" s="8" t="s">
        <v>9924</v>
      </c>
      <c r="D4238" s="8" t="s">
        <v>9925</v>
      </c>
      <c r="E4238" s="11" t="n">
        <v>349</v>
      </c>
      <c r="F4238" s="8" t="str">
        <f aca="false">IFERROR(INDEX(Section_Master!$D$2:$D$477,MATCH($E4238,Section_Master!$A$2:$A$477,0))&amp;"","")</f>
        <v>Imprisonment up to 1 year, or fine, or both</v>
      </c>
      <c r="G4238" s="10" t="str">
        <f aca="false">IFERROR(INDEX(Section_Master!$E$2:$E$477,MATCH($E4238,Section_Master!$A$2:$A$477,0))&amp;"","")</f>
        <v>No</v>
      </c>
      <c r="H4238" s="10" t="str">
        <f aca="false">IFERROR(INDEX(Section_Master!$F$2:$F$477,MATCH($E4238,Section_Master!$A$2:$A$477,0))&amp;"","")</f>
        <v>Yes</v>
      </c>
      <c r="I4238" s="10" t="str">
        <f aca="false">IFERROR(INDEX(Section_Master!$G$2:$G$477,MATCH($E4238,Section_Master!$A$2:$A$477,0))&amp;"","")</f>
        <v>No</v>
      </c>
      <c r="J4238" s="10" t="s">
        <v>48</v>
      </c>
      <c r="K4238" s="8" t="s">
        <v>9926</v>
      </c>
    </row>
    <row r="4239" customFormat="false" ht="45.75" hidden="false" customHeight="true" outlineLevel="0" collapsed="false">
      <c r="A4239" s="10" t="s">
        <v>9927</v>
      </c>
      <c r="B4239" s="10" t="s">
        <v>45</v>
      </c>
      <c r="C4239" s="8" t="s">
        <v>9924</v>
      </c>
      <c r="D4239" s="8" t="s">
        <v>9928</v>
      </c>
      <c r="E4239" s="11" t="n">
        <v>349</v>
      </c>
      <c r="F4239" s="8" t="str">
        <f aca="false">IFERROR(INDEX(Section_Master!$D$2:$D$477,MATCH($E4239,Section_Master!$A$2:$A$477,0))&amp;"","")</f>
        <v>Imprisonment up to 1 year, or fine, or both</v>
      </c>
      <c r="G4239" s="10" t="str">
        <f aca="false">IFERROR(INDEX(Section_Master!$E$2:$E$477,MATCH($E4239,Section_Master!$A$2:$A$477,0))&amp;"","")</f>
        <v>No</v>
      </c>
      <c r="H4239" s="10" t="str">
        <f aca="false">IFERROR(INDEX(Section_Master!$F$2:$F$477,MATCH($E4239,Section_Master!$A$2:$A$477,0))&amp;"","")</f>
        <v>Yes</v>
      </c>
      <c r="I4239" s="10" t="str">
        <f aca="false">IFERROR(INDEX(Section_Master!$G$2:$G$477,MATCH($E4239,Section_Master!$A$2:$A$477,0))&amp;"","")</f>
        <v>No</v>
      </c>
      <c r="J4239" s="10" t="s">
        <v>52</v>
      </c>
      <c r="K4239" s="8" t="s">
        <v>9926</v>
      </c>
    </row>
    <row r="4240" customFormat="false" ht="34.5" hidden="false" customHeight="true" outlineLevel="0" collapsed="false">
      <c r="A4240" s="10" t="s">
        <v>9929</v>
      </c>
      <c r="B4240" s="10" t="s">
        <v>45</v>
      </c>
      <c r="C4240" s="8" t="s">
        <v>9924</v>
      </c>
      <c r="D4240" s="8" t="s">
        <v>9930</v>
      </c>
      <c r="E4240" s="11" t="n">
        <v>349</v>
      </c>
      <c r="F4240" s="8" t="str">
        <f aca="false">IFERROR(INDEX(Section_Master!$D$2:$D$477,MATCH($E4240,Section_Master!$A$2:$A$477,0))&amp;"","")</f>
        <v>Imprisonment up to 1 year, or fine, or both</v>
      </c>
      <c r="G4240" s="10" t="str">
        <f aca="false">IFERROR(INDEX(Section_Master!$E$2:$E$477,MATCH($E4240,Section_Master!$A$2:$A$477,0))&amp;"","")</f>
        <v>No</v>
      </c>
      <c r="H4240" s="10" t="str">
        <f aca="false">IFERROR(INDEX(Section_Master!$F$2:$F$477,MATCH($E4240,Section_Master!$A$2:$A$477,0))&amp;"","")</f>
        <v>Yes</v>
      </c>
      <c r="I4240" s="10" t="str">
        <f aca="false">IFERROR(INDEX(Section_Master!$G$2:$G$477,MATCH($E4240,Section_Master!$A$2:$A$477,0))&amp;"","")</f>
        <v>No</v>
      </c>
      <c r="J4240" s="10" t="s">
        <v>55</v>
      </c>
      <c r="K4240" s="8" t="s">
        <v>9926</v>
      </c>
    </row>
    <row r="4241" customFormat="false" ht="34.5" hidden="false" customHeight="true" outlineLevel="0" collapsed="false">
      <c r="A4241" s="10" t="s">
        <v>9931</v>
      </c>
      <c r="B4241" s="10" t="s">
        <v>45</v>
      </c>
      <c r="C4241" s="8" t="s">
        <v>9924</v>
      </c>
      <c r="D4241" s="8" t="s">
        <v>9932</v>
      </c>
      <c r="E4241" s="11" t="n">
        <v>349</v>
      </c>
      <c r="F4241" s="8" t="str">
        <f aca="false">IFERROR(INDEX(Section_Master!$D$2:$D$477,MATCH($E4241,Section_Master!$A$2:$A$477,0))&amp;"","")</f>
        <v>Imprisonment up to 1 year, or fine, or both</v>
      </c>
      <c r="G4241" s="10" t="str">
        <f aca="false">IFERROR(INDEX(Section_Master!$E$2:$E$477,MATCH($E4241,Section_Master!$A$2:$A$477,0))&amp;"","")</f>
        <v>No</v>
      </c>
      <c r="H4241" s="10" t="str">
        <f aca="false">IFERROR(INDEX(Section_Master!$F$2:$F$477,MATCH($E4241,Section_Master!$A$2:$A$477,0))&amp;"","")</f>
        <v>Yes</v>
      </c>
      <c r="I4241" s="10" t="str">
        <f aca="false">IFERROR(INDEX(Section_Master!$G$2:$G$477,MATCH($E4241,Section_Master!$A$2:$A$477,0))&amp;"","")</f>
        <v>No</v>
      </c>
      <c r="J4241" s="10" t="s">
        <v>58</v>
      </c>
      <c r="K4241" s="8" t="s">
        <v>9926</v>
      </c>
    </row>
    <row r="4242" customFormat="false" ht="34.5" hidden="false" customHeight="true" outlineLevel="0" collapsed="false">
      <c r="A4242" s="10" t="s">
        <v>9933</v>
      </c>
      <c r="B4242" s="10" t="s">
        <v>45</v>
      </c>
      <c r="C4242" s="8" t="s">
        <v>9924</v>
      </c>
      <c r="D4242" s="8" t="s">
        <v>9934</v>
      </c>
      <c r="E4242" s="11" t="n">
        <v>349</v>
      </c>
      <c r="F4242" s="8" t="str">
        <f aca="false">IFERROR(INDEX(Section_Master!$D$2:$D$477,MATCH($E4242,Section_Master!$A$2:$A$477,0))&amp;"","")</f>
        <v>Imprisonment up to 1 year, or fine, or both</v>
      </c>
      <c r="G4242" s="10" t="str">
        <f aca="false">IFERROR(INDEX(Section_Master!$E$2:$E$477,MATCH($E4242,Section_Master!$A$2:$A$477,0))&amp;"","")</f>
        <v>No</v>
      </c>
      <c r="H4242" s="10" t="str">
        <f aca="false">IFERROR(INDEX(Section_Master!$F$2:$F$477,MATCH($E4242,Section_Master!$A$2:$A$477,0))&amp;"","")</f>
        <v>Yes</v>
      </c>
      <c r="I4242" s="10" t="str">
        <f aca="false">IFERROR(INDEX(Section_Master!$G$2:$G$477,MATCH($E4242,Section_Master!$A$2:$A$477,0))&amp;"","")</f>
        <v>No</v>
      </c>
      <c r="J4242" s="10" t="s">
        <v>61</v>
      </c>
      <c r="K4242" s="8" t="s">
        <v>9926</v>
      </c>
    </row>
    <row r="4243" customFormat="false" ht="45.75" hidden="false" customHeight="true" outlineLevel="0" collapsed="false">
      <c r="A4243" s="10" t="s">
        <v>9935</v>
      </c>
      <c r="B4243" s="10" t="s">
        <v>45</v>
      </c>
      <c r="C4243" s="8" t="s">
        <v>9924</v>
      </c>
      <c r="D4243" s="8" t="s">
        <v>9936</v>
      </c>
      <c r="E4243" s="11" t="n">
        <v>349</v>
      </c>
      <c r="F4243" s="8" t="str">
        <f aca="false">IFERROR(INDEX(Section_Master!$D$2:$D$477,MATCH($E4243,Section_Master!$A$2:$A$477,0))&amp;"","")</f>
        <v>Imprisonment up to 1 year, or fine, or both</v>
      </c>
      <c r="G4243" s="10" t="str">
        <f aca="false">IFERROR(INDEX(Section_Master!$E$2:$E$477,MATCH($E4243,Section_Master!$A$2:$A$477,0))&amp;"","")</f>
        <v>No</v>
      </c>
      <c r="H4243" s="10" t="str">
        <f aca="false">IFERROR(INDEX(Section_Master!$F$2:$F$477,MATCH($E4243,Section_Master!$A$2:$A$477,0))&amp;"","")</f>
        <v>Yes</v>
      </c>
      <c r="I4243" s="10" t="str">
        <f aca="false">IFERROR(INDEX(Section_Master!$G$2:$G$477,MATCH($E4243,Section_Master!$A$2:$A$477,0))&amp;"","")</f>
        <v>No</v>
      </c>
      <c r="J4243" s="10" t="s">
        <v>64</v>
      </c>
      <c r="K4243" s="8" t="s">
        <v>9926</v>
      </c>
    </row>
    <row r="4244" customFormat="false" ht="23.25" hidden="false" customHeight="true" outlineLevel="0" collapsed="false">
      <c r="A4244" s="10" t="s">
        <v>9937</v>
      </c>
      <c r="B4244" s="10" t="s">
        <v>45</v>
      </c>
      <c r="C4244" s="8" t="s">
        <v>9938</v>
      </c>
      <c r="D4244" s="8" t="s">
        <v>9939</v>
      </c>
      <c r="E4244" s="11" t="n">
        <v>350</v>
      </c>
      <c r="F4244" s="8" t="str">
        <f aca="false">IFERROR(INDEX(Section_Master!$D$2:$D$477,MATCH($E4244,Section_Master!$A$2:$A$477,0))&amp;"","")</f>
        <v>Imprisonment up to 3 years, or fine, or both</v>
      </c>
      <c r="G4244" s="10" t="str">
        <f aca="false">IFERROR(INDEX(Section_Master!$E$2:$E$477,MATCH($E4244,Section_Master!$A$2:$A$477,0))&amp;"","")</f>
        <v>No</v>
      </c>
      <c r="H4244" s="10" t="str">
        <f aca="false">IFERROR(INDEX(Section_Master!$F$2:$F$477,MATCH($E4244,Section_Master!$A$2:$A$477,0))&amp;"","")</f>
        <v>Yes</v>
      </c>
      <c r="I4244" s="10" t="str">
        <f aca="false">IFERROR(INDEX(Section_Master!$G$2:$G$477,MATCH($E4244,Section_Master!$A$2:$A$477,0))&amp;"","")</f>
        <v>No</v>
      </c>
      <c r="J4244" s="10" t="s">
        <v>48</v>
      </c>
      <c r="K4244" s="8" t="s">
        <v>9940</v>
      </c>
    </row>
    <row r="4245" customFormat="false" ht="34.5" hidden="false" customHeight="true" outlineLevel="0" collapsed="false">
      <c r="A4245" s="10" t="s">
        <v>9941</v>
      </c>
      <c r="B4245" s="10" t="s">
        <v>45</v>
      </c>
      <c r="C4245" s="8" t="s">
        <v>9938</v>
      </c>
      <c r="D4245" s="8" t="s">
        <v>9942</v>
      </c>
      <c r="E4245" s="11" t="n">
        <v>350</v>
      </c>
      <c r="F4245" s="8" t="str">
        <f aca="false">IFERROR(INDEX(Section_Master!$D$2:$D$477,MATCH($E4245,Section_Master!$A$2:$A$477,0))&amp;"","")</f>
        <v>Imprisonment up to 3 years, or fine, or both</v>
      </c>
      <c r="G4245" s="10" t="str">
        <f aca="false">IFERROR(INDEX(Section_Master!$E$2:$E$477,MATCH($E4245,Section_Master!$A$2:$A$477,0))&amp;"","")</f>
        <v>No</v>
      </c>
      <c r="H4245" s="10" t="str">
        <f aca="false">IFERROR(INDEX(Section_Master!$F$2:$F$477,MATCH($E4245,Section_Master!$A$2:$A$477,0))&amp;"","")</f>
        <v>Yes</v>
      </c>
      <c r="I4245" s="10" t="str">
        <f aca="false">IFERROR(INDEX(Section_Master!$G$2:$G$477,MATCH($E4245,Section_Master!$A$2:$A$477,0))&amp;"","")</f>
        <v>No</v>
      </c>
      <c r="J4245" s="10" t="s">
        <v>52</v>
      </c>
      <c r="K4245" s="8" t="s">
        <v>9940</v>
      </c>
    </row>
    <row r="4246" customFormat="false" ht="34.5" hidden="false" customHeight="true" outlineLevel="0" collapsed="false">
      <c r="A4246" s="10" t="s">
        <v>9943</v>
      </c>
      <c r="B4246" s="10" t="s">
        <v>45</v>
      </c>
      <c r="C4246" s="8" t="s">
        <v>9938</v>
      </c>
      <c r="D4246" s="8" t="s">
        <v>9944</v>
      </c>
      <c r="E4246" s="11" t="n">
        <v>350</v>
      </c>
      <c r="F4246" s="8" t="str">
        <f aca="false">IFERROR(INDEX(Section_Master!$D$2:$D$477,MATCH($E4246,Section_Master!$A$2:$A$477,0))&amp;"","")</f>
        <v>Imprisonment up to 3 years, or fine, or both</v>
      </c>
      <c r="G4246" s="10" t="str">
        <f aca="false">IFERROR(INDEX(Section_Master!$E$2:$E$477,MATCH($E4246,Section_Master!$A$2:$A$477,0))&amp;"","")</f>
        <v>No</v>
      </c>
      <c r="H4246" s="10" t="str">
        <f aca="false">IFERROR(INDEX(Section_Master!$F$2:$F$477,MATCH($E4246,Section_Master!$A$2:$A$477,0))&amp;"","")</f>
        <v>Yes</v>
      </c>
      <c r="I4246" s="10" t="str">
        <f aca="false">IFERROR(INDEX(Section_Master!$G$2:$G$477,MATCH($E4246,Section_Master!$A$2:$A$477,0))&amp;"","")</f>
        <v>No</v>
      </c>
      <c r="J4246" s="10" t="s">
        <v>55</v>
      </c>
      <c r="K4246" s="8" t="s">
        <v>9940</v>
      </c>
    </row>
    <row r="4247" customFormat="false" ht="23.25" hidden="false" customHeight="true" outlineLevel="0" collapsed="false">
      <c r="A4247" s="10" t="s">
        <v>9945</v>
      </c>
      <c r="B4247" s="10" t="s">
        <v>45</v>
      </c>
      <c r="C4247" s="8" t="s">
        <v>9938</v>
      </c>
      <c r="D4247" s="8" t="s">
        <v>9946</v>
      </c>
      <c r="E4247" s="11" t="n">
        <v>350</v>
      </c>
      <c r="F4247" s="8" t="str">
        <f aca="false">IFERROR(INDEX(Section_Master!$D$2:$D$477,MATCH($E4247,Section_Master!$A$2:$A$477,0))&amp;"","")</f>
        <v>Imprisonment up to 3 years, or fine, or both</v>
      </c>
      <c r="G4247" s="10" t="str">
        <f aca="false">IFERROR(INDEX(Section_Master!$E$2:$E$477,MATCH($E4247,Section_Master!$A$2:$A$477,0))&amp;"","")</f>
        <v>No</v>
      </c>
      <c r="H4247" s="10" t="str">
        <f aca="false">IFERROR(INDEX(Section_Master!$F$2:$F$477,MATCH($E4247,Section_Master!$A$2:$A$477,0))&amp;"","")</f>
        <v>Yes</v>
      </c>
      <c r="I4247" s="10" t="str">
        <f aca="false">IFERROR(INDEX(Section_Master!$G$2:$G$477,MATCH($E4247,Section_Master!$A$2:$A$477,0))&amp;"","")</f>
        <v>No</v>
      </c>
      <c r="J4247" s="10" t="s">
        <v>58</v>
      </c>
      <c r="K4247" s="8" t="s">
        <v>9940</v>
      </c>
    </row>
    <row r="4248" customFormat="false" ht="23.25" hidden="false" customHeight="true" outlineLevel="0" collapsed="false">
      <c r="A4248" s="10" t="s">
        <v>9947</v>
      </c>
      <c r="B4248" s="10" t="s">
        <v>45</v>
      </c>
      <c r="C4248" s="8" t="s">
        <v>9938</v>
      </c>
      <c r="D4248" s="8" t="s">
        <v>9948</v>
      </c>
      <c r="E4248" s="11" t="n">
        <v>350</v>
      </c>
      <c r="F4248" s="8" t="str">
        <f aca="false">IFERROR(INDEX(Section_Master!$D$2:$D$477,MATCH($E4248,Section_Master!$A$2:$A$477,0))&amp;"","")</f>
        <v>Imprisonment up to 3 years, or fine, or both</v>
      </c>
      <c r="G4248" s="10" t="str">
        <f aca="false">IFERROR(INDEX(Section_Master!$E$2:$E$477,MATCH($E4248,Section_Master!$A$2:$A$477,0))&amp;"","")</f>
        <v>No</v>
      </c>
      <c r="H4248" s="10" t="str">
        <f aca="false">IFERROR(INDEX(Section_Master!$F$2:$F$477,MATCH($E4248,Section_Master!$A$2:$A$477,0))&amp;"","")</f>
        <v>Yes</v>
      </c>
      <c r="I4248" s="10" t="str">
        <f aca="false">IFERROR(INDEX(Section_Master!$G$2:$G$477,MATCH($E4248,Section_Master!$A$2:$A$477,0))&amp;"","")</f>
        <v>No</v>
      </c>
      <c r="J4248" s="10" t="s">
        <v>61</v>
      </c>
      <c r="K4248" s="8" t="s">
        <v>9940</v>
      </c>
    </row>
    <row r="4249" customFormat="false" ht="45.75" hidden="false" customHeight="true" outlineLevel="0" collapsed="false">
      <c r="A4249" s="10" t="s">
        <v>9949</v>
      </c>
      <c r="B4249" s="10" t="s">
        <v>45</v>
      </c>
      <c r="C4249" s="8" t="s">
        <v>9938</v>
      </c>
      <c r="D4249" s="8" t="s">
        <v>9950</v>
      </c>
      <c r="E4249" s="11" t="n">
        <v>350</v>
      </c>
      <c r="F4249" s="8" t="str">
        <f aca="false">IFERROR(INDEX(Section_Master!$D$2:$D$477,MATCH($E4249,Section_Master!$A$2:$A$477,0))&amp;"","")</f>
        <v>Imprisonment up to 3 years, or fine, or both</v>
      </c>
      <c r="G4249" s="10" t="str">
        <f aca="false">IFERROR(INDEX(Section_Master!$E$2:$E$477,MATCH($E4249,Section_Master!$A$2:$A$477,0))&amp;"","")</f>
        <v>No</v>
      </c>
      <c r="H4249" s="10" t="str">
        <f aca="false">IFERROR(INDEX(Section_Master!$F$2:$F$477,MATCH($E4249,Section_Master!$A$2:$A$477,0))&amp;"","")</f>
        <v>Yes</v>
      </c>
      <c r="I4249" s="10" t="str">
        <f aca="false">IFERROR(INDEX(Section_Master!$G$2:$G$477,MATCH($E4249,Section_Master!$A$2:$A$477,0))&amp;"","")</f>
        <v>No</v>
      </c>
      <c r="J4249" s="10" t="s">
        <v>64</v>
      </c>
      <c r="K4249" s="8" t="s">
        <v>9940</v>
      </c>
    </row>
    <row r="4250" customFormat="false" ht="34.5" hidden="false" customHeight="true" outlineLevel="0" collapsed="false">
      <c r="A4250" s="10" t="s">
        <v>9951</v>
      </c>
      <c r="B4250" s="10" t="s">
        <v>45</v>
      </c>
      <c r="C4250" s="8" t="s">
        <v>9952</v>
      </c>
      <c r="D4250" s="8" t="s">
        <v>9953</v>
      </c>
      <c r="E4250" s="11" t="n">
        <v>351</v>
      </c>
      <c r="F4250" s="8" t="str">
        <f aca="false">IFERROR(INDEX(Section_Master!$D$2:$D$477,MATCH($E4250,Section_Master!$A$2:$A$477,0))&amp;"","")</f>
        <v>Imprisonment up to 2 years, or fine, or both [s.351(2)]</v>
      </c>
      <c r="G4250" s="10" t="str">
        <f aca="false">IFERROR(INDEX(Section_Master!$E$2:$E$477,MATCH($E4250,Section_Master!$A$2:$A$477,0))&amp;"","")</f>
        <v>No</v>
      </c>
      <c r="H4250" s="10" t="str">
        <f aca="false">IFERROR(INDEX(Section_Master!$F$2:$F$477,MATCH($E4250,Section_Master!$A$2:$A$477,0))&amp;"","")</f>
        <v>Yes</v>
      </c>
      <c r="I4250" s="10" t="str">
        <f aca="false">IFERROR(INDEX(Section_Master!$G$2:$G$477,MATCH($E4250,Section_Master!$A$2:$A$477,0))&amp;"","")</f>
        <v>Yes</v>
      </c>
      <c r="J4250" s="10" t="s">
        <v>48</v>
      </c>
      <c r="K4250" s="8" t="s">
        <v>9954</v>
      </c>
    </row>
    <row r="4251" customFormat="false" ht="45.75" hidden="false" customHeight="true" outlineLevel="0" collapsed="false">
      <c r="A4251" s="10" t="s">
        <v>9955</v>
      </c>
      <c r="B4251" s="10" t="s">
        <v>45</v>
      </c>
      <c r="C4251" s="8" t="s">
        <v>9952</v>
      </c>
      <c r="D4251" s="8" t="s">
        <v>9956</v>
      </c>
      <c r="E4251" s="11" t="n">
        <v>351</v>
      </c>
      <c r="F4251" s="8" t="str">
        <f aca="false">IFERROR(INDEX(Section_Master!$D$2:$D$477,MATCH($E4251,Section_Master!$A$2:$A$477,0))&amp;"","")</f>
        <v>Imprisonment up to 2 years, or fine, or both [s.351(2)]</v>
      </c>
      <c r="G4251" s="10" t="str">
        <f aca="false">IFERROR(INDEX(Section_Master!$E$2:$E$477,MATCH($E4251,Section_Master!$A$2:$A$477,0))&amp;"","")</f>
        <v>No</v>
      </c>
      <c r="H4251" s="10" t="str">
        <f aca="false">IFERROR(INDEX(Section_Master!$F$2:$F$477,MATCH($E4251,Section_Master!$A$2:$A$477,0))&amp;"","")</f>
        <v>Yes</v>
      </c>
      <c r="I4251" s="10" t="str">
        <f aca="false">IFERROR(INDEX(Section_Master!$G$2:$G$477,MATCH($E4251,Section_Master!$A$2:$A$477,0))&amp;"","")</f>
        <v>Yes</v>
      </c>
      <c r="J4251" s="10" t="s">
        <v>52</v>
      </c>
      <c r="K4251" s="8" t="s">
        <v>9954</v>
      </c>
    </row>
    <row r="4252" customFormat="false" ht="34.5" hidden="false" customHeight="true" outlineLevel="0" collapsed="false">
      <c r="A4252" s="10" t="s">
        <v>9957</v>
      </c>
      <c r="B4252" s="10" t="s">
        <v>45</v>
      </c>
      <c r="C4252" s="8" t="s">
        <v>9952</v>
      </c>
      <c r="D4252" s="8" t="s">
        <v>9958</v>
      </c>
      <c r="E4252" s="11" t="n">
        <v>351</v>
      </c>
      <c r="F4252" s="8" t="str">
        <f aca="false">IFERROR(INDEX(Section_Master!$D$2:$D$477,MATCH($E4252,Section_Master!$A$2:$A$477,0))&amp;"","")</f>
        <v>Imprisonment up to 2 years, or fine, or both [s.351(2)]</v>
      </c>
      <c r="G4252" s="10" t="str">
        <f aca="false">IFERROR(INDEX(Section_Master!$E$2:$E$477,MATCH($E4252,Section_Master!$A$2:$A$477,0))&amp;"","")</f>
        <v>No</v>
      </c>
      <c r="H4252" s="10" t="str">
        <f aca="false">IFERROR(INDEX(Section_Master!$F$2:$F$477,MATCH($E4252,Section_Master!$A$2:$A$477,0))&amp;"","")</f>
        <v>Yes</v>
      </c>
      <c r="I4252" s="10" t="str">
        <f aca="false">IFERROR(INDEX(Section_Master!$G$2:$G$477,MATCH($E4252,Section_Master!$A$2:$A$477,0))&amp;"","")</f>
        <v>Yes</v>
      </c>
      <c r="J4252" s="10" t="s">
        <v>55</v>
      </c>
      <c r="K4252" s="8" t="s">
        <v>9954</v>
      </c>
    </row>
    <row r="4253" customFormat="false" ht="23.25" hidden="false" customHeight="true" outlineLevel="0" collapsed="false">
      <c r="A4253" s="10" t="s">
        <v>9959</v>
      </c>
      <c r="B4253" s="10" t="s">
        <v>45</v>
      </c>
      <c r="C4253" s="8" t="s">
        <v>9952</v>
      </c>
      <c r="D4253" s="8" t="s">
        <v>9960</v>
      </c>
      <c r="E4253" s="11" t="n">
        <v>351</v>
      </c>
      <c r="F4253" s="8" t="str">
        <f aca="false">IFERROR(INDEX(Section_Master!$D$2:$D$477,MATCH($E4253,Section_Master!$A$2:$A$477,0))&amp;"","")</f>
        <v>Imprisonment up to 2 years, or fine, or both [s.351(2)]</v>
      </c>
      <c r="G4253" s="10" t="str">
        <f aca="false">IFERROR(INDEX(Section_Master!$E$2:$E$477,MATCH($E4253,Section_Master!$A$2:$A$477,0))&amp;"","")</f>
        <v>No</v>
      </c>
      <c r="H4253" s="10" t="str">
        <f aca="false">IFERROR(INDEX(Section_Master!$F$2:$F$477,MATCH($E4253,Section_Master!$A$2:$A$477,0))&amp;"","")</f>
        <v>Yes</v>
      </c>
      <c r="I4253" s="10" t="str">
        <f aca="false">IFERROR(INDEX(Section_Master!$G$2:$G$477,MATCH($E4253,Section_Master!$A$2:$A$477,0))&amp;"","")</f>
        <v>Yes</v>
      </c>
      <c r="J4253" s="10" t="s">
        <v>58</v>
      </c>
      <c r="K4253" s="8" t="s">
        <v>9954</v>
      </c>
    </row>
    <row r="4254" customFormat="false" ht="45.75" hidden="false" customHeight="true" outlineLevel="0" collapsed="false">
      <c r="A4254" s="10" t="s">
        <v>9961</v>
      </c>
      <c r="B4254" s="10" t="s">
        <v>45</v>
      </c>
      <c r="C4254" s="8" t="s">
        <v>9952</v>
      </c>
      <c r="D4254" s="8" t="s">
        <v>9962</v>
      </c>
      <c r="E4254" s="11" t="n">
        <v>351</v>
      </c>
      <c r="F4254" s="8" t="str">
        <f aca="false">IFERROR(INDEX(Section_Master!$D$2:$D$477,MATCH($E4254,Section_Master!$A$2:$A$477,0))&amp;"","")</f>
        <v>Imprisonment up to 2 years, or fine, or both [s.351(2)]</v>
      </c>
      <c r="G4254" s="10" t="str">
        <f aca="false">IFERROR(INDEX(Section_Master!$E$2:$E$477,MATCH($E4254,Section_Master!$A$2:$A$477,0))&amp;"","")</f>
        <v>No</v>
      </c>
      <c r="H4254" s="10" t="str">
        <f aca="false">IFERROR(INDEX(Section_Master!$F$2:$F$477,MATCH($E4254,Section_Master!$A$2:$A$477,0))&amp;"","")</f>
        <v>Yes</v>
      </c>
      <c r="I4254" s="10" t="str">
        <f aca="false">IFERROR(INDEX(Section_Master!$G$2:$G$477,MATCH($E4254,Section_Master!$A$2:$A$477,0))&amp;"","")</f>
        <v>Yes</v>
      </c>
      <c r="J4254" s="10" t="s">
        <v>61</v>
      </c>
      <c r="K4254" s="8" t="s">
        <v>9954</v>
      </c>
    </row>
    <row r="4255" customFormat="false" ht="45.75" hidden="false" customHeight="true" outlineLevel="0" collapsed="false">
      <c r="A4255" s="10" t="s">
        <v>9963</v>
      </c>
      <c r="B4255" s="10" t="s">
        <v>45</v>
      </c>
      <c r="C4255" s="8" t="s">
        <v>9952</v>
      </c>
      <c r="D4255" s="8" t="s">
        <v>9964</v>
      </c>
      <c r="E4255" s="11" t="n">
        <v>351</v>
      </c>
      <c r="F4255" s="8" t="str">
        <f aca="false">IFERROR(INDEX(Section_Master!$D$2:$D$477,MATCH($E4255,Section_Master!$A$2:$A$477,0))&amp;"","")</f>
        <v>Imprisonment up to 2 years, or fine, or both [s.351(2)]</v>
      </c>
      <c r="G4255" s="10" t="str">
        <f aca="false">IFERROR(INDEX(Section_Master!$E$2:$E$477,MATCH($E4255,Section_Master!$A$2:$A$477,0))&amp;"","")</f>
        <v>No</v>
      </c>
      <c r="H4255" s="10" t="str">
        <f aca="false">IFERROR(INDEX(Section_Master!$F$2:$F$477,MATCH($E4255,Section_Master!$A$2:$A$477,0))&amp;"","")</f>
        <v>Yes</v>
      </c>
      <c r="I4255" s="10" t="str">
        <f aca="false">IFERROR(INDEX(Section_Master!$G$2:$G$477,MATCH($E4255,Section_Master!$A$2:$A$477,0))&amp;"","")</f>
        <v>Yes</v>
      </c>
      <c r="J4255" s="10" t="s">
        <v>64</v>
      </c>
      <c r="K4255" s="8" t="s">
        <v>9954</v>
      </c>
    </row>
    <row r="4256" customFormat="false" ht="34.5" hidden="false" customHeight="true" outlineLevel="0" collapsed="false">
      <c r="A4256" s="10" t="s">
        <v>9965</v>
      </c>
      <c r="B4256" s="10" t="s">
        <v>45</v>
      </c>
      <c r="C4256" s="8" t="s">
        <v>9966</v>
      </c>
      <c r="D4256" s="8" t="s">
        <v>9967</v>
      </c>
      <c r="E4256" s="11" t="n">
        <v>352</v>
      </c>
      <c r="F4256" s="8" t="str">
        <f aca="false">IFERROR(INDEX(Section_Master!$D$2:$D$477,MATCH($E4256,Section_Master!$A$2:$A$477,0))&amp;"","")</f>
        <v>Imprisonment up to 2 years, or fine, or both</v>
      </c>
      <c r="G4256" s="10" t="str">
        <f aca="false">IFERROR(INDEX(Section_Master!$E$2:$E$477,MATCH($E4256,Section_Master!$A$2:$A$477,0))&amp;"","")</f>
        <v>No</v>
      </c>
      <c r="H4256" s="10" t="str">
        <f aca="false">IFERROR(INDEX(Section_Master!$F$2:$F$477,MATCH($E4256,Section_Master!$A$2:$A$477,0))&amp;"","")</f>
        <v>Yes</v>
      </c>
      <c r="I4256" s="10" t="str">
        <f aca="false">IFERROR(INDEX(Section_Master!$G$2:$G$477,MATCH($E4256,Section_Master!$A$2:$A$477,0))&amp;"","")</f>
        <v>Yes</v>
      </c>
      <c r="J4256" s="10" t="s">
        <v>48</v>
      </c>
      <c r="K4256" s="8" t="s">
        <v>9968</v>
      </c>
    </row>
    <row r="4257" customFormat="false" ht="45.75" hidden="false" customHeight="true" outlineLevel="0" collapsed="false">
      <c r="A4257" s="10" t="s">
        <v>9969</v>
      </c>
      <c r="B4257" s="10" t="s">
        <v>45</v>
      </c>
      <c r="C4257" s="8" t="s">
        <v>9966</v>
      </c>
      <c r="D4257" s="8" t="s">
        <v>9970</v>
      </c>
      <c r="E4257" s="11" t="n">
        <v>352</v>
      </c>
      <c r="F4257" s="8" t="str">
        <f aca="false">IFERROR(INDEX(Section_Master!$D$2:$D$477,MATCH($E4257,Section_Master!$A$2:$A$477,0))&amp;"","")</f>
        <v>Imprisonment up to 2 years, or fine, or both</v>
      </c>
      <c r="G4257" s="10" t="str">
        <f aca="false">IFERROR(INDEX(Section_Master!$E$2:$E$477,MATCH($E4257,Section_Master!$A$2:$A$477,0))&amp;"","")</f>
        <v>No</v>
      </c>
      <c r="H4257" s="10" t="str">
        <f aca="false">IFERROR(INDEX(Section_Master!$F$2:$F$477,MATCH($E4257,Section_Master!$A$2:$A$477,0))&amp;"","")</f>
        <v>Yes</v>
      </c>
      <c r="I4257" s="10" t="str">
        <f aca="false">IFERROR(INDEX(Section_Master!$G$2:$G$477,MATCH($E4257,Section_Master!$A$2:$A$477,0))&amp;"","")</f>
        <v>Yes</v>
      </c>
      <c r="J4257" s="10" t="s">
        <v>52</v>
      </c>
      <c r="K4257" s="8" t="s">
        <v>9968</v>
      </c>
    </row>
    <row r="4258" customFormat="false" ht="23.25" hidden="false" customHeight="true" outlineLevel="0" collapsed="false">
      <c r="A4258" s="10" t="s">
        <v>9971</v>
      </c>
      <c r="B4258" s="10" t="s">
        <v>45</v>
      </c>
      <c r="C4258" s="8" t="s">
        <v>9966</v>
      </c>
      <c r="D4258" s="8" t="s">
        <v>9972</v>
      </c>
      <c r="E4258" s="11" t="n">
        <v>352</v>
      </c>
      <c r="F4258" s="8" t="str">
        <f aca="false">IFERROR(INDEX(Section_Master!$D$2:$D$477,MATCH($E4258,Section_Master!$A$2:$A$477,0))&amp;"","")</f>
        <v>Imprisonment up to 2 years, or fine, or both</v>
      </c>
      <c r="G4258" s="10" t="str">
        <f aca="false">IFERROR(INDEX(Section_Master!$E$2:$E$477,MATCH($E4258,Section_Master!$A$2:$A$477,0))&amp;"","")</f>
        <v>No</v>
      </c>
      <c r="H4258" s="10" t="str">
        <f aca="false">IFERROR(INDEX(Section_Master!$F$2:$F$477,MATCH($E4258,Section_Master!$A$2:$A$477,0))&amp;"","")</f>
        <v>Yes</v>
      </c>
      <c r="I4258" s="10" t="str">
        <f aca="false">IFERROR(INDEX(Section_Master!$G$2:$G$477,MATCH($E4258,Section_Master!$A$2:$A$477,0))&amp;"","")</f>
        <v>Yes</v>
      </c>
      <c r="J4258" s="10" t="s">
        <v>55</v>
      </c>
      <c r="K4258" s="8" t="s">
        <v>9968</v>
      </c>
    </row>
    <row r="4259" customFormat="false" ht="23.25" hidden="false" customHeight="true" outlineLevel="0" collapsed="false">
      <c r="A4259" s="10" t="s">
        <v>9973</v>
      </c>
      <c r="B4259" s="10" t="s">
        <v>45</v>
      </c>
      <c r="C4259" s="8" t="s">
        <v>9966</v>
      </c>
      <c r="D4259" s="8" t="s">
        <v>9974</v>
      </c>
      <c r="E4259" s="11" t="n">
        <v>352</v>
      </c>
      <c r="F4259" s="8" t="str">
        <f aca="false">IFERROR(INDEX(Section_Master!$D$2:$D$477,MATCH($E4259,Section_Master!$A$2:$A$477,0))&amp;"","")</f>
        <v>Imprisonment up to 2 years, or fine, or both</v>
      </c>
      <c r="G4259" s="10" t="str">
        <f aca="false">IFERROR(INDEX(Section_Master!$E$2:$E$477,MATCH($E4259,Section_Master!$A$2:$A$477,0))&amp;"","")</f>
        <v>No</v>
      </c>
      <c r="H4259" s="10" t="str">
        <f aca="false">IFERROR(INDEX(Section_Master!$F$2:$F$477,MATCH($E4259,Section_Master!$A$2:$A$477,0))&amp;"","")</f>
        <v>Yes</v>
      </c>
      <c r="I4259" s="10" t="str">
        <f aca="false">IFERROR(INDEX(Section_Master!$G$2:$G$477,MATCH($E4259,Section_Master!$A$2:$A$477,0))&amp;"","")</f>
        <v>Yes</v>
      </c>
      <c r="J4259" s="10" t="s">
        <v>58</v>
      </c>
      <c r="K4259" s="8" t="s">
        <v>9968</v>
      </c>
    </row>
    <row r="4260" customFormat="false" ht="34.5" hidden="false" customHeight="true" outlineLevel="0" collapsed="false">
      <c r="A4260" s="10" t="s">
        <v>9975</v>
      </c>
      <c r="B4260" s="10" t="s">
        <v>45</v>
      </c>
      <c r="C4260" s="8" t="s">
        <v>9966</v>
      </c>
      <c r="D4260" s="8" t="s">
        <v>9976</v>
      </c>
      <c r="E4260" s="11" t="n">
        <v>352</v>
      </c>
      <c r="F4260" s="8" t="str">
        <f aca="false">IFERROR(INDEX(Section_Master!$D$2:$D$477,MATCH($E4260,Section_Master!$A$2:$A$477,0))&amp;"","")</f>
        <v>Imprisonment up to 2 years, or fine, or both</v>
      </c>
      <c r="G4260" s="10" t="str">
        <f aca="false">IFERROR(INDEX(Section_Master!$E$2:$E$477,MATCH($E4260,Section_Master!$A$2:$A$477,0))&amp;"","")</f>
        <v>No</v>
      </c>
      <c r="H4260" s="10" t="str">
        <f aca="false">IFERROR(INDEX(Section_Master!$F$2:$F$477,MATCH($E4260,Section_Master!$A$2:$A$477,0))&amp;"","")</f>
        <v>Yes</v>
      </c>
      <c r="I4260" s="10" t="str">
        <f aca="false">IFERROR(INDEX(Section_Master!$G$2:$G$477,MATCH($E4260,Section_Master!$A$2:$A$477,0))&amp;"","")</f>
        <v>Yes</v>
      </c>
      <c r="J4260" s="10" t="s">
        <v>61</v>
      </c>
      <c r="K4260" s="8" t="s">
        <v>9968</v>
      </c>
    </row>
    <row r="4261" customFormat="false" ht="45.75" hidden="false" customHeight="true" outlineLevel="0" collapsed="false">
      <c r="A4261" s="10" t="s">
        <v>9977</v>
      </c>
      <c r="B4261" s="10" t="s">
        <v>45</v>
      </c>
      <c r="C4261" s="8" t="s">
        <v>9966</v>
      </c>
      <c r="D4261" s="8" t="s">
        <v>9978</v>
      </c>
      <c r="E4261" s="11" t="n">
        <v>352</v>
      </c>
      <c r="F4261" s="8" t="str">
        <f aca="false">IFERROR(INDEX(Section_Master!$D$2:$D$477,MATCH($E4261,Section_Master!$A$2:$A$477,0))&amp;"","")</f>
        <v>Imprisonment up to 2 years, or fine, or both</v>
      </c>
      <c r="G4261" s="10" t="str">
        <f aca="false">IFERROR(INDEX(Section_Master!$E$2:$E$477,MATCH($E4261,Section_Master!$A$2:$A$477,0))&amp;"","")</f>
        <v>No</v>
      </c>
      <c r="H4261" s="10" t="str">
        <f aca="false">IFERROR(INDEX(Section_Master!$F$2:$F$477,MATCH($E4261,Section_Master!$A$2:$A$477,0))&amp;"","")</f>
        <v>Yes</v>
      </c>
      <c r="I4261" s="10" t="str">
        <f aca="false">IFERROR(INDEX(Section_Master!$G$2:$G$477,MATCH($E4261,Section_Master!$A$2:$A$477,0))&amp;"","")</f>
        <v>Yes</v>
      </c>
      <c r="J4261" s="10" t="s">
        <v>64</v>
      </c>
      <c r="K4261" s="8" t="s">
        <v>9968</v>
      </c>
    </row>
    <row r="4262" customFormat="false" ht="34.5" hidden="false" customHeight="true" outlineLevel="0" collapsed="false">
      <c r="A4262" s="10" t="s">
        <v>9979</v>
      </c>
      <c r="B4262" s="10" t="s">
        <v>45</v>
      </c>
      <c r="C4262" s="8" t="s">
        <v>9980</v>
      </c>
      <c r="D4262" s="8" t="s">
        <v>9981</v>
      </c>
      <c r="E4262" s="11" t="n">
        <v>353</v>
      </c>
      <c r="F4262" s="8" t="str">
        <f aca="false">IFERROR(INDEX(Section_Master!$D$2:$D$477,MATCH($E4262,Section_Master!$A$2:$A$477,0))&amp;"","")</f>
        <v>Imprisonment up to 3 years, or fine, or both; up to 5 years and fine in a place of worship [s.353]</v>
      </c>
      <c r="G4262" s="10" t="str">
        <f aca="false">IFERROR(INDEX(Section_Master!$E$2:$E$477,MATCH($E4262,Section_Master!$A$2:$A$477,0))&amp;"","")</f>
        <v>Yes</v>
      </c>
      <c r="H4262" s="10" t="str">
        <f aca="false">IFERROR(INDEX(Section_Master!$F$2:$F$477,MATCH($E4262,Section_Master!$A$2:$A$477,0))&amp;"","")</f>
        <v>No</v>
      </c>
      <c r="I4262" s="10" t="str">
        <f aca="false">IFERROR(INDEX(Section_Master!$G$2:$G$477,MATCH($E4262,Section_Master!$A$2:$A$477,0))&amp;"","")</f>
        <v>No</v>
      </c>
      <c r="J4262" s="10" t="s">
        <v>48</v>
      </c>
      <c r="K4262" s="8" t="s">
        <v>9982</v>
      </c>
    </row>
    <row r="4263" customFormat="false" ht="34.5" hidden="false" customHeight="true" outlineLevel="0" collapsed="false">
      <c r="A4263" s="10" t="s">
        <v>9983</v>
      </c>
      <c r="B4263" s="10" t="s">
        <v>45</v>
      </c>
      <c r="C4263" s="8" t="s">
        <v>9980</v>
      </c>
      <c r="D4263" s="8" t="s">
        <v>9984</v>
      </c>
      <c r="E4263" s="11" t="n">
        <v>353</v>
      </c>
      <c r="F4263" s="8" t="str">
        <f aca="false">IFERROR(INDEX(Section_Master!$D$2:$D$477,MATCH($E4263,Section_Master!$A$2:$A$477,0))&amp;"","")</f>
        <v>Imprisonment up to 3 years, or fine, or both; up to 5 years and fine in a place of worship [s.353]</v>
      </c>
      <c r="G4263" s="10" t="str">
        <f aca="false">IFERROR(INDEX(Section_Master!$E$2:$E$477,MATCH($E4263,Section_Master!$A$2:$A$477,0))&amp;"","")</f>
        <v>Yes</v>
      </c>
      <c r="H4263" s="10" t="str">
        <f aca="false">IFERROR(INDEX(Section_Master!$F$2:$F$477,MATCH($E4263,Section_Master!$A$2:$A$477,0))&amp;"","")</f>
        <v>No</v>
      </c>
      <c r="I4263" s="10" t="str">
        <f aca="false">IFERROR(INDEX(Section_Master!$G$2:$G$477,MATCH($E4263,Section_Master!$A$2:$A$477,0))&amp;"","")</f>
        <v>No</v>
      </c>
      <c r="J4263" s="10" t="s">
        <v>52</v>
      </c>
      <c r="K4263" s="8" t="s">
        <v>9982</v>
      </c>
    </row>
    <row r="4264" customFormat="false" ht="34.5" hidden="false" customHeight="true" outlineLevel="0" collapsed="false">
      <c r="A4264" s="10" t="s">
        <v>9985</v>
      </c>
      <c r="B4264" s="10" t="s">
        <v>45</v>
      </c>
      <c r="C4264" s="8" t="s">
        <v>9980</v>
      </c>
      <c r="D4264" s="8" t="s">
        <v>9986</v>
      </c>
      <c r="E4264" s="11" t="n">
        <v>353</v>
      </c>
      <c r="F4264" s="8" t="str">
        <f aca="false">IFERROR(INDEX(Section_Master!$D$2:$D$477,MATCH($E4264,Section_Master!$A$2:$A$477,0))&amp;"","")</f>
        <v>Imprisonment up to 3 years, or fine, or both; up to 5 years and fine in a place of worship [s.353]</v>
      </c>
      <c r="G4264" s="10" t="str">
        <f aca="false">IFERROR(INDEX(Section_Master!$E$2:$E$477,MATCH($E4264,Section_Master!$A$2:$A$477,0))&amp;"","")</f>
        <v>Yes</v>
      </c>
      <c r="H4264" s="10" t="str">
        <f aca="false">IFERROR(INDEX(Section_Master!$F$2:$F$477,MATCH($E4264,Section_Master!$A$2:$A$477,0))&amp;"","")</f>
        <v>No</v>
      </c>
      <c r="I4264" s="10" t="str">
        <f aca="false">IFERROR(INDEX(Section_Master!$G$2:$G$477,MATCH($E4264,Section_Master!$A$2:$A$477,0))&amp;"","")</f>
        <v>No</v>
      </c>
      <c r="J4264" s="10" t="s">
        <v>55</v>
      </c>
      <c r="K4264" s="8" t="s">
        <v>9982</v>
      </c>
    </row>
    <row r="4265" customFormat="false" ht="23.25" hidden="false" customHeight="true" outlineLevel="0" collapsed="false">
      <c r="A4265" s="10" t="s">
        <v>9987</v>
      </c>
      <c r="B4265" s="10" t="s">
        <v>45</v>
      </c>
      <c r="C4265" s="8" t="s">
        <v>9980</v>
      </c>
      <c r="D4265" s="8" t="s">
        <v>9988</v>
      </c>
      <c r="E4265" s="11" t="n">
        <v>353</v>
      </c>
      <c r="F4265" s="8" t="str">
        <f aca="false">IFERROR(INDEX(Section_Master!$D$2:$D$477,MATCH($E4265,Section_Master!$A$2:$A$477,0))&amp;"","")</f>
        <v>Imprisonment up to 3 years, or fine, or both; up to 5 years and fine in a place of worship [s.353]</v>
      </c>
      <c r="G4265" s="10" t="str">
        <f aca="false">IFERROR(INDEX(Section_Master!$E$2:$E$477,MATCH($E4265,Section_Master!$A$2:$A$477,0))&amp;"","")</f>
        <v>Yes</v>
      </c>
      <c r="H4265" s="10" t="str">
        <f aca="false">IFERROR(INDEX(Section_Master!$F$2:$F$477,MATCH($E4265,Section_Master!$A$2:$A$477,0))&amp;"","")</f>
        <v>No</v>
      </c>
      <c r="I4265" s="10" t="str">
        <f aca="false">IFERROR(INDEX(Section_Master!$G$2:$G$477,MATCH($E4265,Section_Master!$A$2:$A$477,0))&amp;"","")</f>
        <v>No</v>
      </c>
      <c r="J4265" s="10" t="s">
        <v>58</v>
      </c>
      <c r="K4265" s="8" t="s">
        <v>9982</v>
      </c>
    </row>
    <row r="4266" customFormat="false" ht="34.5" hidden="false" customHeight="true" outlineLevel="0" collapsed="false">
      <c r="A4266" s="10" t="s">
        <v>9989</v>
      </c>
      <c r="B4266" s="10" t="s">
        <v>45</v>
      </c>
      <c r="C4266" s="8" t="s">
        <v>9980</v>
      </c>
      <c r="D4266" s="8" t="s">
        <v>9990</v>
      </c>
      <c r="E4266" s="11" t="n">
        <v>353</v>
      </c>
      <c r="F4266" s="8" t="str">
        <f aca="false">IFERROR(INDEX(Section_Master!$D$2:$D$477,MATCH($E4266,Section_Master!$A$2:$A$477,0))&amp;"","")</f>
        <v>Imprisonment up to 3 years, or fine, or both; up to 5 years and fine in a place of worship [s.353]</v>
      </c>
      <c r="G4266" s="10" t="str">
        <f aca="false">IFERROR(INDEX(Section_Master!$E$2:$E$477,MATCH($E4266,Section_Master!$A$2:$A$477,0))&amp;"","")</f>
        <v>Yes</v>
      </c>
      <c r="H4266" s="10" t="str">
        <f aca="false">IFERROR(INDEX(Section_Master!$F$2:$F$477,MATCH($E4266,Section_Master!$A$2:$A$477,0))&amp;"","")</f>
        <v>No</v>
      </c>
      <c r="I4266" s="10" t="str">
        <f aca="false">IFERROR(INDEX(Section_Master!$G$2:$G$477,MATCH($E4266,Section_Master!$A$2:$A$477,0))&amp;"","")</f>
        <v>No</v>
      </c>
      <c r="J4266" s="10" t="s">
        <v>61</v>
      </c>
      <c r="K4266" s="8" t="s">
        <v>9982</v>
      </c>
    </row>
    <row r="4267" customFormat="false" ht="45.75" hidden="false" customHeight="true" outlineLevel="0" collapsed="false">
      <c r="A4267" s="10" t="s">
        <v>9991</v>
      </c>
      <c r="B4267" s="10" t="s">
        <v>45</v>
      </c>
      <c r="C4267" s="8" t="s">
        <v>9980</v>
      </c>
      <c r="D4267" s="8" t="s">
        <v>9992</v>
      </c>
      <c r="E4267" s="11" t="n">
        <v>353</v>
      </c>
      <c r="F4267" s="8" t="str">
        <f aca="false">IFERROR(INDEX(Section_Master!$D$2:$D$477,MATCH($E4267,Section_Master!$A$2:$A$477,0))&amp;"","")</f>
        <v>Imprisonment up to 3 years, or fine, or both; up to 5 years and fine in a place of worship [s.353]</v>
      </c>
      <c r="G4267" s="10" t="str">
        <f aca="false">IFERROR(INDEX(Section_Master!$E$2:$E$477,MATCH($E4267,Section_Master!$A$2:$A$477,0))&amp;"","")</f>
        <v>Yes</v>
      </c>
      <c r="H4267" s="10" t="str">
        <f aca="false">IFERROR(INDEX(Section_Master!$F$2:$F$477,MATCH($E4267,Section_Master!$A$2:$A$477,0))&amp;"","")</f>
        <v>No</v>
      </c>
      <c r="I4267" s="10" t="str">
        <f aca="false">IFERROR(INDEX(Section_Master!$G$2:$G$477,MATCH($E4267,Section_Master!$A$2:$A$477,0))&amp;"","")</f>
        <v>No</v>
      </c>
      <c r="J4267" s="10" t="s">
        <v>64</v>
      </c>
      <c r="K4267" s="8" t="s">
        <v>9982</v>
      </c>
    </row>
    <row r="4268" customFormat="false" ht="34.5" hidden="false" customHeight="true" outlineLevel="0" collapsed="false">
      <c r="A4268" s="10" t="s">
        <v>9993</v>
      </c>
      <c r="B4268" s="10" t="s">
        <v>45</v>
      </c>
      <c r="C4268" s="8" t="s">
        <v>9994</v>
      </c>
      <c r="D4268" s="8" t="s">
        <v>9995</v>
      </c>
      <c r="E4268" s="11" t="n">
        <v>354</v>
      </c>
      <c r="F4268" s="8" t="str">
        <f aca="false">IFERROR(INDEX(Section_Master!$D$2:$D$477,MATCH($E4268,Section_Master!$A$2:$A$477,0))&amp;"","")</f>
        <v>Imprisonment up to 1 year, or fine, or both</v>
      </c>
      <c r="G4268" s="10" t="str">
        <f aca="false">IFERROR(INDEX(Section_Master!$E$2:$E$477,MATCH($E4268,Section_Master!$A$2:$A$477,0))&amp;"","")</f>
        <v>No</v>
      </c>
      <c r="H4268" s="10" t="str">
        <f aca="false">IFERROR(INDEX(Section_Master!$F$2:$F$477,MATCH($E4268,Section_Master!$A$2:$A$477,0))&amp;"","")</f>
        <v>Yes</v>
      </c>
      <c r="I4268" s="10" t="str">
        <f aca="false">IFERROR(INDEX(Section_Master!$G$2:$G$477,MATCH($E4268,Section_Master!$A$2:$A$477,0))&amp;"","")</f>
        <v>Yes</v>
      </c>
      <c r="J4268" s="10" t="s">
        <v>48</v>
      </c>
      <c r="K4268" s="8" t="s">
        <v>9996</v>
      </c>
    </row>
    <row r="4269" customFormat="false" ht="34.5" hidden="false" customHeight="true" outlineLevel="0" collapsed="false">
      <c r="A4269" s="10" t="s">
        <v>9997</v>
      </c>
      <c r="B4269" s="10" t="s">
        <v>45</v>
      </c>
      <c r="C4269" s="8" t="s">
        <v>9994</v>
      </c>
      <c r="D4269" s="8" t="s">
        <v>9998</v>
      </c>
      <c r="E4269" s="11" t="n">
        <v>354</v>
      </c>
      <c r="F4269" s="8" t="str">
        <f aca="false">IFERROR(INDEX(Section_Master!$D$2:$D$477,MATCH($E4269,Section_Master!$A$2:$A$477,0))&amp;"","")</f>
        <v>Imprisonment up to 1 year, or fine, or both</v>
      </c>
      <c r="G4269" s="10" t="str">
        <f aca="false">IFERROR(INDEX(Section_Master!$E$2:$E$477,MATCH($E4269,Section_Master!$A$2:$A$477,0))&amp;"","")</f>
        <v>No</v>
      </c>
      <c r="H4269" s="10" t="str">
        <f aca="false">IFERROR(INDEX(Section_Master!$F$2:$F$477,MATCH($E4269,Section_Master!$A$2:$A$477,0))&amp;"","")</f>
        <v>Yes</v>
      </c>
      <c r="I4269" s="10" t="str">
        <f aca="false">IFERROR(INDEX(Section_Master!$G$2:$G$477,MATCH($E4269,Section_Master!$A$2:$A$477,0))&amp;"","")</f>
        <v>Yes</v>
      </c>
      <c r="J4269" s="10" t="s">
        <v>52</v>
      </c>
      <c r="K4269" s="8" t="s">
        <v>9996</v>
      </c>
    </row>
    <row r="4270" customFormat="false" ht="34.5" hidden="false" customHeight="true" outlineLevel="0" collapsed="false">
      <c r="A4270" s="10" t="s">
        <v>9999</v>
      </c>
      <c r="B4270" s="10" t="s">
        <v>45</v>
      </c>
      <c r="C4270" s="8" t="s">
        <v>9994</v>
      </c>
      <c r="D4270" s="8" t="s">
        <v>10000</v>
      </c>
      <c r="E4270" s="11" t="n">
        <v>354</v>
      </c>
      <c r="F4270" s="8" t="str">
        <f aca="false">IFERROR(INDEX(Section_Master!$D$2:$D$477,MATCH($E4270,Section_Master!$A$2:$A$477,0))&amp;"","")</f>
        <v>Imprisonment up to 1 year, or fine, or both</v>
      </c>
      <c r="G4270" s="10" t="str">
        <f aca="false">IFERROR(INDEX(Section_Master!$E$2:$E$477,MATCH($E4270,Section_Master!$A$2:$A$477,0))&amp;"","")</f>
        <v>No</v>
      </c>
      <c r="H4270" s="10" t="str">
        <f aca="false">IFERROR(INDEX(Section_Master!$F$2:$F$477,MATCH($E4270,Section_Master!$A$2:$A$477,0))&amp;"","")</f>
        <v>Yes</v>
      </c>
      <c r="I4270" s="10" t="str">
        <f aca="false">IFERROR(INDEX(Section_Master!$G$2:$G$477,MATCH($E4270,Section_Master!$A$2:$A$477,0))&amp;"","")</f>
        <v>Yes</v>
      </c>
      <c r="J4270" s="10" t="s">
        <v>55</v>
      </c>
      <c r="K4270" s="8" t="s">
        <v>9996</v>
      </c>
    </row>
    <row r="4271" customFormat="false" ht="23.25" hidden="false" customHeight="true" outlineLevel="0" collapsed="false">
      <c r="A4271" s="10" t="s">
        <v>10001</v>
      </c>
      <c r="B4271" s="10" t="s">
        <v>45</v>
      </c>
      <c r="C4271" s="8" t="s">
        <v>9994</v>
      </c>
      <c r="D4271" s="8" t="s">
        <v>10002</v>
      </c>
      <c r="E4271" s="11" t="n">
        <v>354</v>
      </c>
      <c r="F4271" s="8" t="str">
        <f aca="false">IFERROR(INDEX(Section_Master!$D$2:$D$477,MATCH($E4271,Section_Master!$A$2:$A$477,0))&amp;"","")</f>
        <v>Imprisonment up to 1 year, or fine, or both</v>
      </c>
      <c r="G4271" s="10" t="str">
        <f aca="false">IFERROR(INDEX(Section_Master!$E$2:$E$477,MATCH($E4271,Section_Master!$A$2:$A$477,0))&amp;"","")</f>
        <v>No</v>
      </c>
      <c r="H4271" s="10" t="str">
        <f aca="false">IFERROR(INDEX(Section_Master!$F$2:$F$477,MATCH($E4271,Section_Master!$A$2:$A$477,0))&amp;"","")</f>
        <v>Yes</v>
      </c>
      <c r="I4271" s="10" t="str">
        <f aca="false">IFERROR(INDEX(Section_Master!$G$2:$G$477,MATCH($E4271,Section_Master!$A$2:$A$477,0))&amp;"","")</f>
        <v>Yes</v>
      </c>
      <c r="J4271" s="10" t="s">
        <v>58</v>
      </c>
      <c r="K4271" s="8" t="s">
        <v>9996</v>
      </c>
    </row>
    <row r="4272" customFormat="false" ht="23.25" hidden="false" customHeight="true" outlineLevel="0" collapsed="false">
      <c r="A4272" s="10" t="s">
        <v>10003</v>
      </c>
      <c r="B4272" s="10" t="s">
        <v>45</v>
      </c>
      <c r="C4272" s="8" t="s">
        <v>9994</v>
      </c>
      <c r="D4272" s="8" t="s">
        <v>10004</v>
      </c>
      <c r="E4272" s="11" t="n">
        <v>354</v>
      </c>
      <c r="F4272" s="8" t="str">
        <f aca="false">IFERROR(INDEX(Section_Master!$D$2:$D$477,MATCH($E4272,Section_Master!$A$2:$A$477,0))&amp;"","")</f>
        <v>Imprisonment up to 1 year, or fine, or both</v>
      </c>
      <c r="G4272" s="10" t="str">
        <f aca="false">IFERROR(INDEX(Section_Master!$E$2:$E$477,MATCH($E4272,Section_Master!$A$2:$A$477,0))&amp;"","")</f>
        <v>No</v>
      </c>
      <c r="H4272" s="10" t="str">
        <f aca="false">IFERROR(INDEX(Section_Master!$F$2:$F$477,MATCH($E4272,Section_Master!$A$2:$A$477,0))&amp;"","")</f>
        <v>Yes</v>
      </c>
      <c r="I4272" s="10" t="str">
        <f aca="false">IFERROR(INDEX(Section_Master!$G$2:$G$477,MATCH($E4272,Section_Master!$A$2:$A$477,0))&amp;"","")</f>
        <v>Yes</v>
      </c>
      <c r="J4272" s="10" t="s">
        <v>61</v>
      </c>
      <c r="K4272" s="8" t="s">
        <v>9996</v>
      </c>
    </row>
    <row r="4273" customFormat="false" ht="45.75" hidden="false" customHeight="true" outlineLevel="0" collapsed="false">
      <c r="A4273" s="10" t="s">
        <v>10005</v>
      </c>
      <c r="B4273" s="10" t="s">
        <v>45</v>
      </c>
      <c r="C4273" s="8" t="s">
        <v>9994</v>
      </c>
      <c r="D4273" s="8" t="s">
        <v>10006</v>
      </c>
      <c r="E4273" s="11" t="n">
        <v>354</v>
      </c>
      <c r="F4273" s="8" t="str">
        <f aca="false">IFERROR(INDEX(Section_Master!$D$2:$D$477,MATCH($E4273,Section_Master!$A$2:$A$477,0))&amp;"","")</f>
        <v>Imprisonment up to 1 year, or fine, or both</v>
      </c>
      <c r="G4273" s="10" t="str">
        <f aca="false">IFERROR(INDEX(Section_Master!$E$2:$E$477,MATCH($E4273,Section_Master!$A$2:$A$477,0))&amp;"","")</f>
        <v>No</v>
      </c>
      <c r="H4273" s="10" t="str">
        <f aca="false">IFERROR(INDEX(Section_Master!$F$2:$F$477,MATCH($E4273,Section_Master!$A$2:$A$477,0))&amp;"","")</f>
        <v>Yes</v>
      </c>
      <c r="I4273" s="10" t="str">
        <f aca="false">IFERROR(INDEX(Section_Master!$G$2:$G$477,MATCH($E4273,Section_Master!$A$2:$A$477,0))&amp;"","")</f>
        <v>Yes</v>
      </c>
      <c r="J4273" s="10" t="s">
        <v>64</v>
      </c>
      <c r="K4273" s="8" t="s">
        <v>9996</v>
      </c>
    </row>
    <row r="4274" customFormat="false" ht="34.5" hidden="false" customHeight="true" outlineLevel="0" collapsed="false">
      <c r="A4274" s="10" t="s">
        <v>10007</v>
      </c>
      <c r="B4274" s="10" t="s">
        <v>45</v>
      </c>
      <c r="C4274" s="8" t="s">
        <v>10008</v>
      </c>
      <c r="D4274" s="8" t="s">
        <v>10009</v>
      </c>
      <c r="E4274" s="11" t="n">
        <v>355</v>
      </c>
      <c r="F4274" s="8" t="str">
        <f aca="false">IFERROR(INDEX(Section_Master!$D$2:$D$477,MATCH($E4274,Section_Master!$A$2:$A$477,0))&amp;"","")</f>
        <v>Community service up to 24 hours, or fine, or both</v>
      </c>
      <c r="G4274" s="10" t="str">
        <f aca="false">IFERROR(INDEX(Section_Master!$E$2:$E$477,MATCH($E4274,Section_Master!$A$2:$A$477,0))&amp;"","")</f>
        <v>No</v>
      </c>
      <c r="H4274" s="10" t="str">
        <f aca="false">IFERROR(INDEX(Section_Master!$F$2:$F$477,MATCH($E4274,Section_Master!$A$2:$A$477,0))&amp;"","")</f>
        <v>Yes</v>
      </c>
      <c r="I4274" s="10" t="str">
        <f aca="false">IFERROR(INDEX(Section_Master!$G$2:$G$477,MATCH($E4274,Section_Master!$A$2:$A$477,0))&amp;"","")</f>
        <v>No</v>
      </c>
      <c r="J4274" s="10" t="s">
        <v>48</v>
      </c>
      <c r="K4274" s="8" t="s">
        <v>10010</v>
      </c>
    </row>
    <row r="4275" customFormat="false" ht="45.75" hidden="false" customHeight="true" outlineLevel="0" collapsed="false">
      <c r="A4275" s="10" t="s">
        <v>10011</v>
      </c>
      <c r="B4275" s="10" t="s">
        <v>45</v>
      </c>
      <c r="C4275" s="8" t="s">
        <v>10008</v>
      </c>
      <c r="D4275" s="8" t="s">
        <v>10012</v>
      </c>
      <c r="E4275" s="11" t="n">
        <v>355</v>
      </c>
      <c r="F4275" s="8" t="str">
        <f aca="false">IFERROR(INDEX(Section_Master!$D$2:$D$477,MATCH($E4275,Section_Master!$A$2:$A$477,0))&amp;"","")</f>
        <v>Community service up to 24 hours, or fine, or both</v>
      </c>
      <c r="G4275" s="10" t="str">
        <f aca="false">IFERROR(INDEX(Section_Master!$E$2:$E$477,MATCH($E4275,Section_Master!$A$2:$A$477,0))&amp;"","")</f>
        <v>No</v>
      </c>
      <c r="H4275" s="10" t="str">
        <f aca="false">IFERROR(INDEX(Section_Master!$F$2:$F$477,MATCH($E4275,Section_Master!$A$2:$A$477,0))&amp;"","")</f>
        <v>Yes</v>
      </c>
      <c r="I4275" s="10" t="str">
        <f aca="false">IFERROR(INDEX(Section_Master!$G$2:$G$477,MATCH($E4275,Section_Master!$A$2:$A$477,0))&amp;"","")</f>
        <v>No</v>
      </c>
      <c r="J4275" s="10" t="s">
        <v>52</v>
      </c>
      <c r="K4275" s="8" t="s">
        <v>10010</v>
      </c>
    </row>
    <row r="4276" customFormat="false" ht="45.75" hidden="false" customHeight="true" outlineLevel="0" collapsed="false">
      <c r="A4276" s="10" t="s">
        <v>10013</v>
      </c>
      <c r="B4276" s="10" t="s">
        <v>45</v>
      </c>
      <c r="C4276" s="8" t="s">
        <v>10008</v>
      </c>
      <c r="D4276" s="8" t="s">
        <v>10014</v>
      </c>
      <c r="E4276" s="11" t="n">
        <v>355</v>
      </c>
      <c r="F4276" s="8" t="str">
        <f aca="false">IFERROR(INDEX(Section_Master!$D$2:$D$477,MATCH($E4276,Section_Master!$A$2:$A$477,0))&amp;"","")</f>
        <v>Community service up to 24 hours, or fine, or both</v>
      </c>
      <c r="G4276" s="10" t="str">
        <f aca="false">IFERROR(INDEX(Section_Master!$E$2:$E$477,MATCH($E4276,Section_Master!$A$2:$A$477,0))&amp;"","")</f>
        <v>No</v>
      </c>
      <c r="H4276" s="10" t="str">
        <f aca="false">IFERROR(INDEX(Section_Master!$F$2:$F$477,MATCH($E4276,Section_Master!$A$2:$A$477,0))&amp;"","")</f>
        <v>Yes</v>
      </c>
      <c r="I4276" s="10" t="str">
        <f aca="false">IFERROR(INDEX(Section_Master!$G$2:$G$477,MATCH($E4276,Section_Master!$A$2:$A$477,0))&amp;"","")</f>
        <v>No</v>
      </c>
      <c r="J4276" s="10" t="s">
        <v>55</v>
      </c>
      <c r="K4276" s="8" t="s">
        <v>10010</v>
      </c>
    </row>
    <row r="4277" customFormat="false" ht="34.5" hidden="false" customHeight="true" outlineLevel="0" collapsed="false">
      <c r="A4277" s="10" t="s">
        <v>10015</v>
      </c>
      <c r="B4277" s="10" t="s">
        <v>45</v>
      </c>
      <c r="C4277" s="8" t="s">
        <v>10008</v>
      </c>
      <c r="D4277" s="8" t="s">
        <v>10016</v>
      </c>
      <c r="E4277" s="11" t="n">
        <v>355</v>
      </c>
      <c r="F4277" s="8" t="str">
        <f aca="false">IFERROR(INDEX(Section_Master!$D$2:$D$477,MATCH($E4277,Section_Master!$A$2:$A$477,0))&amp;"","")</f>
        <v>Community service up to 24 hours, or fine, or both</v>
      </c>
      <c r="G4277" s="10" t="str">
        <f aca="false">IFERROR(INDEX(Section_Master!$E$2:$E$477,MATCH($E4277,Section_Master!$A$2:$A$477,0))&amp;"","")</f>
        <v>No</v>
      </c>
      <c r="H4277" s="10" t="str">
        <f aca="false">IFERROR(INDEX(Section_Master!$F$2:$F$477,MATCH($E4277,Section_Master!$A$2:$A$477,0))&amp;"","")</f>
        <v>Yes</v>
      </c>
      <c r="I4277" s="10" t="str">
        <f aca="false">IFERROR(INDEX(Section_Master!$G$2:$G$477,MATCH($E4277,Section_Master!$A$2:$A$477,0))&amp;"","")</f>
        <v>No</v>
      </c>
      <c r="J4277" s="10" t="s">
        <v>58</v>
      </c>
      <c r="K4277" s="8" t="s">
        <v>10010</v>
      </c>
    </row>
    <row r="4278" customFormat="false" ht="34.5" hidden="false" customHeight="true" outlineLevel="0" collapsed="false">
      <c r="A4278" s="10" t="s">
        <v>10017</v>
      </c>
      <c r="B4278" s="10" t="s">
        <v>45</v>
      </c>
      <c r="C4278" s="8" t="s">
        <v>10008</v>
      </c>
      <c r="D4278" s="8" t="s">
        <v>10018</v>
      </c>
      <c r="E4278" s="11" t="n">
        <v>355</v>
      </c>
      <c r="F4278" s="8" t="str">
        <f aca="false">IFERROR(INDEX(Section_Master!$D$2:$D$477,MATCH($E4278,Section_Master!$A$2:$A$477,0))&amp;"","")</f>
        <v>Community service up to 24 hours, or fine, or both</v>
      </c>
      <c r="G4278" s="10" t="str">
        <f aca="false">IFERROR(INDEX(Section_Master!$E$2:$E$477,MATCH($E4278,Section_Master!$A$2:$A$477,0))&amp;"","")</f>
        <v>No</v>
      </c>
      <c r="H4278" s="10" t="str">
        <f aca="false">IFERROR(INDEX(Section_Master!$F$2:$F$477,MATCH($E4278,Section_Master!$A$2:$A$477,0))&amp;"","")</f>
        <v>Yes</v>
      </c>
      <c r="I4278" s="10" t="str">
        <f aca="false">IFERROR(INDEX(Section_Master!$G$2:$G$477,MATCH($E4278,Section_Master!$A$2:$A$477,0))&amp;"","")</f>
        <v>No</v>
      </c>
      <c r="J4278" s="10" t="s">
        <v>61</v>
      </c>
      <c r="K4278" s="8" t="s">
        <v>10010</v>
      </c>
    </row>
    <row r="4279" customFormat="false" ht="45.75" hidden="false" customHeight="true" outlineLevel="0" collapsed="false">
      <c r="A4279" s="10" t="s">
        <v>10019</v>
      </c>
      <c r="B4279" s="10" t="s">
        <v>45</v>
      </c>
      <c r="C4279" s="8" t="s">
        <v>10008</v>
      </c>
      <c r="D4279" s="8" t="s">
        <v>10020</v>
      </c>
      <c r="E4279" s="11" t="n">
        <v>355</v>
      </c>
      <c r="F4279" s="8" t="str">
        <f aca="false">IFERROR(INDEX(Section_Master!$D$2:$D$477,MATCH($E4279,Section_Master!$A$2:$A$477,0))&amp;"","")</f>
        <v>Community service up to 24 hours, or fine, or both</v>
      </c>
      <c r="G4279" s="10" t="str">
        <f aca="false">IFERROR(INDEX(Section_Master!$E$2:$E$477,MATCH($E4279,Section_Master!$A$2:$A$477,0))&amp;"","")</f>
        <v>No</v>
      </c>
      <c r="H4279" s="10" t="str">
        <f aca="false">IFERROR(INDEX(Section_Master!$F$2:$F$477,MATCH($E4279,Section_Master!$A$2:$A$477,0))&amp;"","")</f>
        <v>Yes</v>
      </c>
      <c r="I4279" s="10" t="str">
        <f aca="false">IFERROR(INDEX(Section_Master!$G$2:$G$477,MATCH($E4279,Section_Master!$A$2:$A$477,0))&amp;"","")</f>
        <v>No</v>
      </c>
      <c r="J4279" s="10" t="s">
        <v>64</v>
      </c>
      <c r="K4279" s="8" t="s">
        <v>10010</v>
      </c>
    </row>
    <row r="4280" customFormat="false" ht="34.5" hidden="false" customHeight="true" outlineLevel="0" collapsed="false">
      <c r="A4280" s="10" t="s">
        <v>10021</v>
      </c>
      <c r="B4280" s="10" t="s">
        <v>45</v>
      </c>
      <c r="C4280" s="8" t="s">
        <v>10022</v>
      </c>
      <c r="D4280" s="8" t="s">
        <v>10023</v>
      </c>
      <c r="E4280" s="11" t="n">
        <v>356</v>
      </c>
      <c r="F4280" s="8" t="str">
        <f aca="false">IFERROR(INDEX(Section_Master!$D$2:$D$477,MATCH($E4280,Section_Master!$A$2:$A$477,0))&amp;"","")</f>
        <v>Simple imprisonment up to 2 years, or fine, or both, or community service [s.356(2)]</v>
      </c>
      <c r="G4280" s="10" t="str">
        <f aca="false">IFERROR(INDEX(Section_Master!$E$2:$E$477,MATCH($E4280,Section_Master!$A$2:$A$477,0))&amp;"","")</f>
        <v>No</v>
      </c>
      <c r="H4280" s="10" t="str">
        <f aca="false">IFERROR(INDEX(Section_Master!$F$2:$F$477,MATCH($E4280,Section_Master!$A$2:$A$477,0))&amp;"","")</f>
        <v>Yes</v>
      </c>
      <c r="I4280" s="10" t="str">
        <f aca="false">IFERROR(INDEX(Section_Master!$G$2:$G$477,MATCH($E4280,Section_Master!$A$2:$A$477,0))&amp;"","")</f>
        <v>Yes</v>
      </c>
      <c r="J4280" s="10" t="s">
        <v>48</v>
      </c>
      <c r="K4280" s="8" t="s">
        <v>10024</v>
      </c>
    </row>
    <row r="4281" customFormat="false" ht="45.75" hidden="false" customHeight="true" outlineLevel="0" collapsed="false">
      <c r="A4281" s="10" t="s">
        <v>10025</v>
      </c>
      <c r="B4281" s="10" t="s">
        <v>45</v>
      </c>
      <c r="C4281" s="8" t="s">
        <v>10022</v>
      </c>
      <c r="D4281" s="8" t="s">
        <v>10026</v>
      </c>
      <c r="E4281" s="11" t="n">
        <v>356</v>
      </c>
      <c r="F4281" s="8" t="str">
        <f aca="false">IFERROR(INDEX(Section_Master!$D$2:$D$477,MATCH($E4281,Section_Master!$A$2:$A$477,0))&amp;"","")</f>
        <v>Simple imprisonment up to 2 years, or fine, or both, or community service [s.356(2)]</v>
      </c>
      <c r="G4281" s="10" t="str">
        <f aca="false">IFERROR(INDEX(Section_Master!$E$2:$E$477,MATCH($E4281,Section_Master!$A$2:$A$477,0))&amp;"","")</f>
        <v>No</v>
      </c>
      <c r="H4281" s="10" t="str">
        <f aca="false">IFERROR(INDEX(Section_Master!$F$2:$F$477,MATCH($E4281,Section_Master!$A$2:$A$477,0))&amp;"","")</f>
        <v>Yes</v>
      </c>
      <c r="I4281" s="10" t="str">
        <f aca="false">IFERROR(INDEX(Section_Master!$G$2:$G$477,MATCH($E4281,Section_Master!$A$2:$A$477,0))&amp;"","")</f>
        <v>Yes</v>
      </c>
      <c r="J4281" s="10" t="s">
        <v>52</v>
      </c>
      <c r="K4281" s="8" t="s">
        <v>10024</v>
      </c>
    </row>
    <row r="4282" customFormat="false" ht="34.5" hidden="false" customHeight="true" outlineLevel="0" collapsed="false">
      <c r="A4282" s="10" t="s">
        <v>10027</v>
      </c>
      <c r="B4282" s="10" t="s">
        <v>45</v>
      </c>
      <c r="C4282" s="8" t="s">
        <v>10022</v>
      </c>
      <c r="D4282" s="8" t="s">
        <v>10028</v>
      </c>
      <c r="E4282" s="11" t="n">
        <v>356</v>
      </c>
      <c r="F4282" s="8" t="str">
        <f aca="false">IFERROR(INDEX(Section_Master!$D$2:$D$477,MATCH($E4282,Section_Master!$A$2:$A$477,0))&amp;"","")</f>
        <v>Simple imprisonment up to 2 years, or fine, or both, or community service [s.356(2)]</v>
      </c>
      <c r="G4282" s="10" t="str">
        <f aca="false">IFERROR(INDEX(Section_Master!$E$2:$E$477,MATCH($E4282,Section_Master!$A$2:$A$477,0))&amp;"","")</f>
        <v>No</v>
      </c>
      <c r="H4282" s="10" t="str">
        <f aca="false">IFERROR(INDEX(Section_Master!$F$2:$F$477,MATCH($E4282,Section_Master!$A$2:$A$477,0))&amp;"","")</f>
        <v>Yes</v>
      </c>
      <c r="I4282" s="10" t="str">
        <f aca="false">IFERROR(INDEX(Section_Master!$G$2:$G$477,MATCH($E4282,Section_Master!$A$2:$A$477,0))&amp;"","")</f>
        <v>Yes</v>
      </c>
      <c r="J4282" s="10" t="s">
        <v>55</v>
      </c>
      <c r="K4282" s="8" t="s">
        <v>10024</v>
      </c>
    </row>
    <row r="4283" customFormat="false" ht="34.5" hidden="false" customHeight="true" outlineLevel="0" collapsed="false">
      <c r="A4283" s="10" t="s">
        <v>10029</v>
      </c>
      <c r="B4283" s="10" t="s">
        <v>45</v>
      </c>
      <c r="C4283" s="8" t="s">
        <v>10022</v>
      </c>
      <c r="D4283" s="8" t="s">
        <v>10030</v>
      </c>
      <c r="E4283" s="11" t="n">
        <v>356</v>
      </c>
      <c r="F4283" s="8" t="str">
        <f aca="false">IFERROR(INDEX(Section_Master!$D$2:$D$477,MATCH($E4283,Section_Master!$A$2:$A$477,0))&amp;"","")</f>
        <v>Simple imprisonment up to 2 years, or fine, or both, or community service [s.356(2)]</v>
      </c>
      <c r="G4283" s="10" t="str">
        <f aca="false">IFERROR(INDEX(Section_Master!$E$2:$E$477,MATCH($E4283,Section_Master!$A$2:$A$477,0))&amp;"","")</f>
        <v>No</v>
      </c>
      <c r="H4283" s="10" t="str">
        <f aca="false">IFERROR(INDEX(Section_Master!$F$2:$F$477,MATCH($E4283,Section_Master!$A$2:$A$477,0))&amp;"","")</f>
        <v>Yes</v>
      </c>
      <c r="I4283" s="10" t="str">
        <f aca="false">IFERROR(INDEX(Section_Master!$G$2:$G$477,MATCH($E4283,Section_Master!$A$2:$A$477,0))&amp;"","")</f>
        <v>Yes</v>
      </c>
      <c r="J4283" s="10" t="s">
        <v>58</v>
      </c>
      <c r="K4283" s="8" t="s">
        <v>10024</v>
      </c>
    </row>
    <row r="4284" customFormat="false" ht="34.5" hidden="false" customHeight="true" outlineLevel="0" collapsed="false">
      <c r="A4284" s="10" t="s">
        <v>10031</v>
      </c>
      <c r="B4284" s="10" t="s">
        <v>45</v>
      </c>
      <c r="C4284" s="8" t="s">
        <v>10022</v>
      </c>
      <c r="D4284" s="8" t="s">
        <v>10032</v>
      </c>
      <c r="E4284" s="11" t="n">
        <v>356</v>
      </c>
      <c r="F4284" s="8" t="str">
        <f aca="false">IFERROR(INDEX(Section_Master!$D$2:$D$477,MATCH($E4284,Section_Master!$A$2:$A$477,0))&amp;"","")</f>
        <v>Simple imprisonment up to 2 years, or fine, or both, or community service [s.356(2)]</v>
      </c>
      <c r="G4284" s="10" t="str">
        <f aca="false">IFERROR(INDEX(Section_Master!$E$2:$E$477,MATCH($E4284,Section_Master!$A$2:$A$477,0))&amp;"","")</f>
        <v>No</v>
      </c>
      <c r="H4284" s="10" t="str">
        <f aca="false">IFERROR(INDEX(Section_Master!$F$2:$F$477,MATCH($E4284,Section_Master!$A$2:$A$477,0))&amp;"","")</f>
        <v>Yes</v>
      </c>
      <c r="I4284" s="10" t="str">
        <f aca="false">IFERROR(INDEX(Section_Master!$G$2:$G$477,MATCH($E4284,Section_Master!$A$2:$A$477,0))&amp;"","")</f>
        <v>Yes</v>
      </c>
      <c r="J4284" s="10" t="s">
        <v>61</v>
      </c>
      <c r="K4284" s="8" t="s">
        <v>10024</v>
      </c>
    </row>
    <row r="4285" customFormat="false" ht="34.5" hidden="false" customHeight="true" outlineLevel="0" collapsed="false">
      <c r="A4285" s="10" t="s">
        <v>10033</v>
      </c>
      <c r="B4285" s="10" t="s">
        <v>45</v>
      </c>
      <c r="C4285" s="8" t="s">
        <v>10022</v>
      </c>
      <c r="D4285" s="8" t="s">
        <v>10034</v>
      </c>
      <c r="E4285" s="11" t="n">
        <v>356</v>
      </c>
      <c r="F4285" s="8" t="str">
        <f aca="false">IFERROR(INDEX(Section_Master!$D$2:$D$477,MATCH($E4285,Section_Master!$A$2:$A$477,0))&amp;"","")</f>
        <v>Simple imprisonment up to 2 years, or fine, or both, or community service [s.356(2)]</v>
      </c>
      <c r="G4285" s="10" t="str">
        <f aca="false">IFERROR(INDEX(Section_Master!$E$2:$E$477,MATCH($E4285,Section_Master!$A$2:$A$477,0))&amp;"","")</f>
        <v>No</v>
      </c>
      <c r="H4285" s="10" t="str">
        <f aca="false">IFERROR(INDEX(Section_Master!$F$2:$F$477,MATCH($E4285,Section_Master!$A$2:$A$477,0))&amp;"","")</f>
        <v>Yes</v>
      </c>
      <c r="I4285" s="10" t="str">
        <f aca="false">IFERROR(INDEX(Section_Master!$G$2:$G$477,MATCH($E4285,Section_Master!$A$2:$A$477,0))&amp;"","")</f>
        <v>Yes</v>
      </c>
      <c r="J4285" s="10" t="s">
        <v>64</v>
      </c>
      <c r="K4285" s="8" t="s">
        <v>10024</v>
      </c>
    </row>
    <row r="4286" customFormat="false" ht="34.5" hidden="false" customHeight="true" outlineLevel="0" collapsed="false">
      <c r="A4286" s="10" t="s">
        <v>10035</v>
      </c>
      <c r="B4286" s="10" t="s">
        <v>45</v>
      </c>
      <c r="C4286" s="8" t="s">
        <v>10036</v>
      </c>
      <c r="D4286" s="8" t="s">
        <v>10037</v>
      </c>
      <c r="E4286" s="11" t="n">
        <v>357</v>
      </c>
      <c r="F4286" s="8" t="str">
        <f aca="false">IFERROR(INDEX(Section_Master!$D$2:$D$477,MATCH($E4286,Section_Master!$A$2:$A$477,0))&amp;"","")</f>
        <v>Imprisonment up to 3 months, or fine, or both</v>
      </c>
      <c r="G4286" s="10" t="str">
        <f aca="false">IFERROR(INDEX(Section_Master!$E$2:$E$477,MATCH($E4286,Section_Master!$A$2:$A$477,0))&amp;"","")</f>
        <v>No</v>
      </c>
      <c r="H4286" s="10" t="str">
        <f aca="false">IFERROR(INDEX(Section_Master!$F$2:$F$477,MATCH($E4286,Section_Master!$A$2:$A$477,0))&amp;"","")</f>
        <v>Yes</v>
      </c>
      <c r="I4286" s="10" t="str">
        <f aca="false">IFERROR(INDEX(Section_Master!$G$2:$G$477,MATCH($E4286,Section_Master!$A$2:$A$477,0))&amp;"","")</f>
        <v>Yes</v>
      </c>
      <c r="J4286" s="10" t="s">
        <v>48</v>
      </c>
      <c r="K4286" s="8" t="s">
        <v>10038</v>
      </c>
    </row>
    <row r="4287" customFormat="false" ht="45.75" hidden="false" customHeight="true" outlineLevel="0" collapsed="false">
      <c r="A4287" s="10" t="s">
        <v>10039</v>
      </c>
      <c r="B4287" s="10" t="s">
        <v>45</v>
      </c>
      <c r="C4287" s="8" t="s">
        <v>10036</v>
      </c>
      <c r="D4287" s="8" t="s">
        <v>10040</v>
      </c>
      <c r="E4287" s="11" t="n">
        <v>357</v>
      </c>
      <c r="F4287" s="8" t="str">
        <f aca="false">IFERROR(INDEX(Section_Master!$D$2:$D$477,MATCH($E4287,Section_Master!$A$2:$A$477,0))&amp;"","")</f>
        <v>Imprisonment up to 3 months, or fine, or both</v>
      </c>
      <c r="G4287" s="10" t="str">
        <f aca="false">IFERROR(INDEX(Section_Master!$E$2:$E$477,MATCH($E4287,Section_Master!$A$2:$A$477,0))&amp;"","")</f>
        <v>No</v>
      </c>
      <c r="H4287" s="10" t="str">
        <f aca="false">IFERROR(INDEX(Section_Master!$F$2:$F$477,MATCH($E4287,Section_Master!$A$2:$A$477,0))&amp;"","")</f>
        <v>Yes</v>
      </c>
      <c r="I4287" s="10" t="str">
        <f aca="false">IFERROR(INDEX(Section_Master!$G$2:$G$477,MATCH($E4287,Section_Master!$A$2:$A$477,0))&amp;"","")</f>
        <v>Yes</v>
      </c>
      <c r="J4287" s="10" t="s">
        <v>52</v>
      </c>
      <c r="K4287" s="8" t="s">
        <v>10038</v>
      </c>
    </row>
    <row r="4288" customFormat="false" ht="45.75" hidden="false" customHeight="true" outlineLevel="0" collapsed="false">
      <c r="A4288" s="10" t="s">
        <v>10041</v>
      </c>
      <c r="B4288" s="10" t="s">
        <v>45</v>
      </c>
      <c r="C4288" s="8" t="s">
        <v>10036</v>
      </c>
      <c r="D4288" s="8" t="s">
        <v>10042</v>
      </c>
      <c r="E4288" s="11" t="n">
        <v>357</v>
      </c>
      <c r="F4288" s="8" t="str">
        <f aca="false">IFERROR(INDEX(Section_Master!$D$2:$D$477,MATCH($E4288,Section_Master!$A$2:$A$477,0))&amp;"","")</f>
        <v>Imprisonment up to 3 months, or fine, or both</v>
      </c>
      <c r="G4288" s="10" t="str">
        <f aca="false">IFERROR(INDEX(Section_Master!$E$2:$E$477,MATCH($E4288,Section_Master!$A$2:$A$477,0))&amp;"","")</f>
        <v>No</v>
      </c>
      <c r="H4288" s="10" t="str">
        <f aca="false">IFERROR(INDEX(Section_Master!$F$2:$F$477,MATCH($E4288,Section_Master!$A$2:$A$477,0))&amp;"","")</f>
        <v>Yes</v>
      </c>
      <c r="I4288" s="10" t="str">
        <f aca="false">IFERROR(INDEX(Section_Master!$G$2:$G$477,MATCH($E4288,Section_Master!$A$2:$A$477,0))&amp;"","")</f>
        <v>Yes</v>
      </c>
      <c r="J4288" s="10" t="s">
        <v>55</v>
      </c>
      <c r="K4288" s="8" t="s">
        <v>10038</v>
      </c>
    </row>
    <row r="4289" customFormat="false" ht="23.25" hidden="false" customHeight="true" outlineLevel="0" collapsed="false">
      <c r="A4289" s="10" t="s">
        <v>10043</v>
      </c>
      <c r="B4289" s="10" t="s">
        <v>45</v>
      </c>
      <c r="C4289" s="8" t="s">
        <v>10036</v>
      </c>
      <c r="D4289" s="8" t="s">
        <v>10044</v>
      </c>
      <c r="E4289" s="11" t="n">
        <v>357</v>
      </c>
      <c r="F4289" s="8" t="str">
        <f aca="false">IFERROR(INDEX(Section_Master!$D$2:$D$477,MATCH($E4289,Section_Master!$A$2:$A$477,0))&amp;"","")</f>
        <v>Imprisonment up to 3 months, or fine, or both</v>
      </c>
      <c r="G4289" s="10" t="str">
        <f aca="false">IFERROR(INDEX(Section_Master!$E$2:$E$477,MATCH($E4289,Section_Master!$A$2:$A$477,0))&amp;"","")</f>
        <v>No</v>
      </c>
      <c r="H4289" s="10" t="str">
        <f aca="false">IFERROR(INDEX(Section_Master!$F$2:$F$477,MATCH($E4289,Section_Master!$A$2:$A$477,0))&amp;"","")</f>
        <v>Yes</v>
      </c>
      <c r="I4289" s="10" t="str">
        <f aca="false">IFERROR(INDEX(Section_Master!$G$2:$G$477,MATCH($E4289,Section_Master!$A$2:$A$477,0))&amp;"","")</f>
        <v>Yes</v>
      </c>
      <c r="J4289" s="10" t="s">
        <v>58</v>
      </c>
      <c r="K4289" s="8" t="s">
        <v>10038</v>
      </c>
    </row>
    <row r="4290" customFormat="false" ht="23.25" hidden="false" customHeight="true" outlineLevel="0" collapsed="false">
      <c r="A4290" s="10" t="s">
        <v>10045</v>
      </c>
      <c r="B4290" s="10" t="s">
        <v>45</v>
      </c>
      <c r="C4290" s="8" t="s">
        <v>10036</v>
      </c>
      <c r="D4290" s="8" t="s">
        <v>10046</v>
      </c>
      <c r="E4290" s="11" t="n">
        <v>357</v>
      </c>
      <c r="F4290" s="8" t="str">
        <f aca="false">IFERROR(INDEX(Section_Master!$D$2:$D$477,MATCH($E4290,Section_Master!$A$2:$A$477,0))&amp;"","")</f>
        <v>Imprisonment up to 3 months, or fine, or both</v>
      </c>
      <c r="G4290" s="10" t="str">
        <f aca="false">IFERROR(INDEX(Section_Master!$E$2:$E$477,MATCH($E4290,Section_Master!$A$2:$A$477,0))&amp;"","")</f>
        <v>No</v>
      </c>
      <c r="H4290" s="10" t="str">
        <f aca="false">IFERROR(INDEX(Section_Master!$F$2:$F$477,MATCH($E4290,Section_Master!$A$2:$A$477,0))&amp;"","")</f>
        <v>Yes</v>
      </c>
      <c r="I4290" s="10" t="str">
        <f aca="false">IFERROR(INDEX(Section_Master!$G$2:$G$477,MATCH($E4290,Section_Master!$A$2:$A$477,0))&amp;"","")</f>
        <v>Yes</v>
      </c>
      <c r="J4290" s="10" t="s">
        <v>61</v>
      </c>
      <c r="K4290" s="8" t="s">
        <v>10038</v>
      </c>
    </row>
    <row r="4291" customFormat="false" ht="45.75" hidden="false" customHeight="true" outlineLevel="0" collapsed="false">
      <c r="A4291" s="10" t="s">
        <v>10047</v>
      </c>
      <c r="B4291" s="10" t="s">
        <v>45</v>
      </c>
      <c r="C4291" s="8" t="s">
        <v>10036</v>
      </c>
      <c r="D4291" s="8" t="s">
        <v>10048</v>
      </c>
      <c r="E4291" s="11" t="n">
        <v>357</v>
      </c>
      <c r="F4291" s="8" t="str">
        <f aca="false">IFERROR(INDEX(Section_Master!$D$2:$D$477,MATCH($E4291,Section_Master!$A$2:$A$477,0))&amp;"","")</f>
        <v>Imprisonment up to 3 months, or fine, or both</v>
      </c>
      <c r="G4291" s="10" t="str">
        <f aca="false">IFERROR(INDEX(Section_Master!$E$2:$E$477,MATCH($E4291,Section_Master!$A$2:$A$477,0))&amp;"","")</f>
        <v>No</v>
      </c>
      <c r="H4291" s="10" t="str">
        <f aca="false">IFERROR(INDEX(Section_Master!$F$2:$F$477,MATCH($E4291,Section_Master!$A$2:$A$477,0))&amp;"","")</f>
        <v>Yes</v>
      </c>
      <c r="I4291" s="10" t="str">
        <f aca="false">IFERROR(INDEX(Section_Master!$G$2:$G$477,MATCH($E4291,Section_Master!$A$2:$A$477,0))&amp;"","")</f>
        <v>Yes</v>
      </c>
      <c r="J4291" s="10" t="s">
        <v>64</v>
      </c>
      <c r="K4291" s="8" t="s">
        <v>10038</v>
      </c>
    </row>
    <row r="4292" customFormat="false" ht="34.5" hidden="false" customHeight="true" outlineLevel="0" collapsed="false">
      <c r="A4292" s="10" t="s">
        <v>10049</v>
      </c>
      <c r="B4292" s="10" t="s">
        <v>45</v>
      </c>
      <c r="C4292" s="8" t="s">
        <v>10050</v>
      </c>
      <c r="D4292" s="8" t="s">
        <v>10051</v>
      </c>
      <c r="E4292" s="11" t="n">
        <v>358</v>
      </c>
      <c r="F4292" s="8" t="str">
        <f aca="false">IFERROR(INDEX(Section_Master!$D$2:$D$477,MATCH($E4292,Section_Master!$A$2:$A$477,0))&amp;"","")</f>
        <v>Not applicable - no offence or penalty defined here (definition, exception or general provision)</v>
      </c>
      <c r="G4292" s="10" t="str">
        <f aca="false">IFERROR(INDEX(Section_Master!$E$2:$E$477,MATCH($E4292,Section_Master!$A$2:$A$477,0))&amp;"","")</f>
        <v>N/A</v>
      </c>
      <c r="H4292" s="10" t="str">
        <f aca="false">IFERROR(INDEX(Section_Master!$F$2:$F$477,MATCH($E4292,Section_Master!$A$2:$A$477,0))&amp;"","")</f>
        <v>N/A</v>
      </c>
      <c r="I4292" s="10" t="str">
        <f aca="false">IFERROR(INDEX(Section_Master!$G$2:$G$477,MATCH($E4292,Section_Master!$A$2:$A$477,0))&amp;"","")</f>
        <v>N/A</v>
      </c>
      <c r="J4292" s="10" t="s">
        <v>48</v>
      </c>
      <c r="K4292" s="8" t="s">
        <v>10052</v>
      </c>
    </row>
    <row r="4293" customFormat="false" ht="45.75" hidden="false" customHeight="true" outlineLevel="0" collapsed="false">
      <c r="A4293" s="10" t="s">
        <v>10053</v>
      </c>
      <c r="B4293" s="10" t="s">
        <v>45</v>
      </c>
      <c r="C4293" s="8" t="s">
        <v>10050</v>
      </c>
      <c r="D4293" s="8" t="s">
        <v>10054</v>
      </c>
      <c r="E4293" s="11" t="n">
        <v>358</v>
      </c>
      <c r="F4293" s="8" t="str">
        <f aca="false">IFERROR(INDEX(Section_Master!$D$2:$D$477,MATCH($E4293,Section_Master!$A$2:$A$477,0))&amp;"","")</f>
        <v>Not applicable - no offence or penalty defined here (definition, exception or general provision)</v>
      </c>
      <c r="G4293" s="10" t="str">
        <f aca="false">IFERROR(INDEX(Section_Master!$E$2:$E$477,MATCH($E4293,Section_Master!$A$2:$A$477,0))&amp;"","")</f>
        <v>N/A</v>
      </c>
      <c r="H4293" s="10" t="str">
        <f aca="false">IFERROR(INDEX(Section_Master!$F$2:$F$477,MATCH($E4293,Section_Master!$A$2:$A$477,0))&amp;"","")</f>
        <v>N/A</v>
      </c>
      <c r="I4293" s="10" t="str">
        <f aca="false">IFERROR(INDEX(Section_Master!$G$2:$G$477,MATCH($E4293,Section_Master!$A$2:$A$477,0))&amp;"","")</f>
        <v>N/A</v>
      </c>
      <c r="J4293" s="10" t="s">
        <v>52</v>
      </c>
      <c r="K4293" s="8" t="s">
        <v>10052</v>
      </c>
    </row>
    <row r="4294" customFormat="false" ht="34.5" hidden="false" customHeight="true" outlineLevel="0" collapsed="false">
      <c r="A4294" s="10" t="s">
        <v>10055</v>
      </c>
      <c r="B4294" s="10" t="s">
        <v>45</v>
      </c>
      <c r="C4294" s="8" t="s">
        <v>10050</v>
      </c>
      <c r="D4294" s="8" t="s">
        <v>10056</v>
      </c>
      <c r="E4294" s="11" t="n">
        <v>358</v>
      </c>
      <c r="F4294" s="8" t="str">
        <f aca="false">IFERROR(INDEX(Section_Master!$D$2:$D$477,MATCH($E4294,Section_Master!$A$2:$A$477,0))&amp;"","")</f>
        <v>Not applicable - no offence or penalty defined here (definition, exception or general provision)</v>
      </c>
      <c r="G4294" s="10" t="str">
        <f aca="false">IFERROR(INDEX(Section_Master!$E$2:$E$477,MATCH($E4294,Section_Master!$A$2:$A$477,0))&amp;"","")</f>
        <v>N/A</v>
      </c>
      <c r="H4294" s="10" t="str">
        <f aca="false">IFERROR(INDEX(Section_Master!$F$2:$F$477,MATCH($E4294,Section_Master!$A$2:$A$477,0))&amp;"","")</f>
        <v>N/A</v>
      </c>
      <c r="I4294" s="10" t="str">
        <f aca="false">IFERROR(INDEX(Section_Master!$G$2:$G$477,MATCH($E4294,Section_Master!$A$2:$A$477,0))&amp;"","")</f>
        <v>N/A</v>
      </c>
      <c r="J4294" s="10" t="s">
        <v>55</v>
      </c>
      <c r="K4294" s="8" t="s">
        <v>10052</v>
      </c>
    </row>
    <row r="4295" customFormat="false" ht="34.5" hidden="false" customHeight="true" outlineLevel="0" collapsed="false">
      <c r="A4295" s="10" t="s">
        <v>10057</v>
      </c>
      <c r="B4295" s="10" t="s">
        <v>45</v>
      </c>
      <c r="C4295" s="8" t="s">
        <v>10050</v>
      </c>
      <c r="D4295" s="8" t="s">
        <v>10058</v>
      </c>
      <c r="E4295" s="11" t="n">
        <v>358</v>
      </c>
      <c r="F4295" s="8" t="str">
        <f aca="false">IFERROR(INDEX(Section_Master!$D$2:$D$477,MATCH($E4295,Section_Master!$A$2:$A$477,0))&amp;"","")</f>
        <v>Not applicable - no offence or penalty defined here (definition, exception or general provision)</v>
      </c>
      <c r="G4295" s="10" t="str">
        <f aca="false">IFERROR(INDEX(Section_Master!$E$2:$E$477,MATCH($E4295,Section_Master!$A$2:$A$477,0))&amp;"","")</f>
        <v>N/A</v>
      </c>
      <c r="H4295" s="10" t="str">
        <f aca="false">IFERROR(INDEX(Section_Master!$F$2:$F$477,MATCH($E4295,Section_Master!$A$2:$A$477,0))&amp;"","")</f>
        <v>N/A</v>
      </c>
      <c r="I4295" s="10" t="str">
        <f aca="false">IFERROR(INDEX(Section_Master!$G$2:$G$477,MATCH($E4295,Section_Master!$A$2:$A$477,0))&amp;"","")</f>
        <v>N/A</v>
      </c>
      <c r="J4295" s="10" t="s">
        <v>58</v>
      </c>
      <c r="K4295" s="8" t="s">
        <v>10052</v>
      </c>
    </row>
    <row r="4296" customFormat="false" ht="34.5" hidden="false" customHeight="true" outlineLevel="0" collapsed="false">
      <c r="A4296" s="10" t="s">
        <v>10059</v>
      </c>
      <c r="B4296" s="10" t="s">
        <v>45</v>
      </c>
      <c r="C4296" s="8" t="s">
        <v>10050</v>
      </c>
      <c r="D4296" s="8" t="s">
        <v>10060</v>
      </c>
      <c r="E4296" s="11" t="n">
        <v>358</v>
      </c>
      <c r="F4296" s="8" t="str">
        <f aca="false">IFERROR(INDEX(Section_Master!$D$2:$D$477,MATCH($E4296,Section_Master!$A$2:$A$477,0))&amp;"","")</f>
        <v>Not applicable - no offence or penalty defined here (definition, exception or general provision)</v>
      </c>
      <c r="G4296" s="10" t="str">
        <f aca="false">IFERROR(INDEX(Section_Master!$E$2:$E$477,MATCH($E4296,Section_Master!$A$2:$A$477,0))&amp;"","")</f>
        <v>N/A</v>
      </c>
      <c r="H4296" s="10" t="str">
        <f aca="false">IFERROR(INDEX(Section_Master!$F$2:$F$477,MATCH($E4296,Section_Master!$A$2:$A$477,0))&amp;"","")</f>
        <v>N/A</v>
      </c>
      <c r="I4296" s="10" t="str">
        <f aca="false">IFERROR(INDEX(Section_Master!$G$2:$G$477,MATCH($E4296,Section_Master!$A$2:$A$477,0))&amp;"","")</f>
        <v>N/A</v>
      </c>
      <c r="J4296" s="10" t="s">
        <v>61</v>
      </c>
      <c r="K4296" s="8" t="s">
        <v>10052</v>
      </c>
    </row>
    <row r="4297" customFormat="false" ht="45.75" hidden="false" customHeight="true" outlineLevel="0" collapsed="false">
      <c r="A4297" s="10" t="s">
        <v>10061</v>
      </c>
      <c r="B4297" s="10" t="s">
        <v>45</v>
      </c>
      <c r="C4297" s="8" t="s">
        <v>10050</v>
      </c>
      <c r="D4297" s="8" t="s">
        <v>10062</v>
      </c>
      <c r="E4297" s="11" t="n">
        <v>358</v>
      </c>
      <c r="F4297" s="8" t="str">
        <f aca="false">IFERROR(INDEX(Section_Master!$D$2:$D$477,MATCH($E4297,Section_Master!$A$2:$A$477,0))&amp;"","")</f>
        <v>Not applicable - no offence or penalty defined here (definition, exception or general provision)</v>
      </c>
      <c r="G4297" s="10" t="str">
        <f aca="false">IFERROR(INDEX(Section_Master!$E$2:$E$477,MATCH($E4297,Section_Master!$A$2:$A$477,0))&amp;"","")</f>
        <v>N/A</v>
      </c>
      <c r="H4297" s="10" t="str">
        <f aca="false">IFERROR(INDEX(Section_Master!$F$2:$F$477,MATCH($E4297,Section_Master!$A$2:$A$477,0))&amp;"","")</f>
        <v>N/A</v>
      </c>
      <c r="I4297" s="10" t="str">
        <f aca="false">IFERROR(INDEX(Section_Master!$G$2:$G$477,MATCH($E4297,Section_Master!$A$2:$A$477,0))&amp;"","")</f>
        <v>N/A</v>
      </c>
      <c r="J4297" s="10" t="s">
        <v>64</v>
      </c>
      <c r="K4297" s="8" t="s">
        <v>10052</v>
      </c>
    </row>
    <row r="4298" customFormat="false" ht="45.75" hidden="false" customHeight="true" outlineLevel="0" collapsed="false">
      <c r="A4298" s="10" t="s">
        <v>10063</v>
      </c>
      <c r="B4298" s="10" t="s">
        <v>10064</v>
      </c>
      <c r="C4298" s="8" t="s">
        <v>10065</v>
      </c>
      <c r="D4298" s="8" t="s">
        <v>10066</v>
      </c>
      <c r="E4298" s="11" t="n">
        <v>359</v>
      </c>
      <c r="F4298" s="8" t="str">
        <f aca="false">IFERROR(INDEX(Section_Master!$D$2:$D$477,MATCH($E4298,Section_Master!$A$2:$A$477,0))&amp;"","")</f>
        <v>Not applicable - procedural provision (BNSS), no offence defined</v>
      </c>
      <c r="G4298" s="10" t="str">
        <f aca="false">IFERROR(INDEX(Section_Master!$E$2:$E$477,MATCH($E4298,Section_Master!$A$2:$A$477,0))&amp;"","")</f>
        <v>N/A</v>
      </c>
      <c r="H4298" s="10" t="str">
        <f aca="false">IFERROR(INDEX(Section_Master!$F$2:$F$477,MATCH($E4298,Section_Master!$A$2:$A$477,0))&amp;"","")</f>
        <v>N/A</v>
      </c>
      <c r="I4298" s="10" t="str">
        <f aca="false">IFERROR(INDEX(Section_Master!$G$2:$G$477,MATCH($E4298,Section_Master!$A$2:$A$477,0))&amp;"","")</f>
        <v>N/A</v>
      </c>
      <c r="J4298" s="10" t="s">
        <v>48</v>
      </c>
      <c r="K4298" s="8" t="s">
        <v>10067</v>
      </c>
    </row>
    <row r="4299" customFormat="false" ht="45.75" hidden="false" customHeight="true" outlineLevel="0" collapsed="false">
      <c r="A4299" s="10" t="s">
        <v>10068</v>
      </c>
      <c r="B4299" s="10" t="s">
        <v>10064</v>
      </c>
      <c r="C4299" s="8" t="s">
        <v>10065</v>
      </c>
      <c r="D4299" s="8" t="s">
        <v>10069</v>
      </c>
      <c r="E4299" s="11" t="n">
        <v>359</v>
      </c>
      <c r="F4299" s="8" t="str">
        <f aca="false">IFERROR(INDEX(Section_Master!$D$2:$D$477,MATCH($E4299,Section_Master!$A$2:$A$477,0))&amp;"","")</f>
        <v>Not applicable - procedural provision (BNSS), no offence defined</v>
      </c>
      <c r="G4299" s="10" t="str">
        <f aca="false">IFERROR(INDEX(Section_Master!$E$2:$E$477,MATCH($E4299,Section_Master!$A$2:$A$477,0))&amp;"","")</f>
        <v>N/A</v>
      </c>
      <c r="H4299" s="10" t="str">
        <f aca="false">IFERROR(INDEX(Section_Master!$F$2:$F$477,MATCH($E4299,Section_Master!$A$2:$A$477,0))&amp;"","")</f>
        <v>N/A</v>
      </c>
      <c r="I4299" s="10" t="str">
        <f aca="false">IFERROR(INDEX(Section_Master!$G$2:$G$477,MATCH($E4299,Section_Master!$A$2:$A$477,0))&amp;"","")</f>
        <v>N/A</v>
      </c>
      <c r="J4299" s="10" t="s">
        <v>52</v>
      </c>
      <c r="K4299" s="8" t="s">
        <v>10067</v>
      </c>
    </row>
    <row r="4300" customFormat="false" ht="34.5" hidden="false" customHeight="true" outlineLevel="0" collapsed="false">
      <c r="A4300" s="10" t="s">
        <v>10070</v>
      </c>
      <c r="B4300" s="10" t="s">
        <v>10064</v>
      </c>
      <c r="C4300" s="8" t="s">
        <v>10065</v>
      </c>
      <c r="D4300" s="8" t="s">
        <v>10071</v>
      </c>
      <c r="E4300" s="11" t="n">
        <v>359</v>
      </c>
      <c r="F4300" s="8" t="str">
        <f aca="false">IFERROR(INDEX(Section_Master!$D$2:$D$477,MATCH($E4300,Section_Master!$A$2:$A$477,0))&amp;"","")</f>
        <v>Not applicable - procedural provision (BNSS), no offence defined</v>
      </c>
      <c r="G4300" s="10" t="str">
        <f aca="false">IFERROR(INDEX(Section_Master!$E$2:$E$477,MATCH($E4300,Section_Master!$A$2:$A$477,0))&amp;"","")</f>
        <v>N/A</v>
      </c>
      <c r="H4300" s="10" t="str">
        <f aca="false">IFERROR(INDEX(Section_Master!$F$2:$F$477,MATCH($E4300,Section_Master!$A$2:$A$477,0))&amp;"","")</f>
        <v>N/A</v>
      </c>
      <c r="I4300" s="10" t="str">
        <f aca="false">IFERROR(INDEX(Section_Master!$G$2:$G$477,MATCH($E4300,Section_Master!$A$2:$A$477,0))&amp;"","")</f>
        <v>N/A</v>
      </c>
      <c r="J4300" s="10" t="s">
        <v>55</v>
      </c>
      <c r="K4300" s="8" t="s">
        <v>10067</v>
      </c>
    </row>
    <row r="4301" customFormat="false" ht="23.25" hidden="false" customHeight="true" outlineLevel="0" collapsed="false">
      <c r="A4301" s="10" t="s">
        <v>10072</v>
      </c>
      <c r="B4301" s="10" t="s">
        <v>10064</v>
      </c>
      <c r="C4301" s="8" t="s">
        <v>10065</v>
      </c>
      <c r="D4301" s="8" t="s">
        <v>10073</v>
      </c>
      <c r="E4301" s="11" t="n">
        <v>359</v>
      </c>
      <c r="F4301" s="8" t="str">
        <f aca="false">IFERROR(INDEX(Section_Master!$D$2:$D$477,MATCH($E4301,Section_Master!$A$2:$A$477,0))&amp;"","")</f>
        <v>Not applicable - procedural provision (BNSS), no offence defined</v>
      </c>
      <c r="G4301" s="10" t="str">
        <f aca="false">IFERROR(INDEX(Section_Master!$E$2:$E$477,MATCH($E4301,Section_Master!$A$2:$A$477,0))&amp;"","")</f>
        <v>N/A</v>
      </c>
      <c r="H4301" s="10" t="str">
        <f aca="false">IFERROR(INDEX(Section_Master!$F$2:$F$477,MATCH($E4301,Section_Master!$A$2:$A$477,0))&amp;"","")</f>
        <v>N/A</v>
      </c>
      <c r="I4301" s="10" t="str">
        <f aca="false">IFERROR(INDEX(Section_Master!$G$2:$G$477,MATCH($E4301,Section_Master!$A$2:$A$477,0))&amp;"","")</f>
        <v>N/A</v>
      </c>
      <c r="J4301" s="10" t="s">
        <v>58</v>
      </c>
      <c r="K4301" s="8" t="s">
        <v>10067</v>
      </c>
    </row>
    <row r="4302" customFormat="false" ht="34.5" hidden="false" customHeight="true" outlineLevel="0" collapsed="false">
      <c r="A4302" s="10" t="s">
        <v>10074</v>
      </c>
      <c r="B4302" s="10" t="s">
        <v>10064</v>
      </c>
      <c r="C4302" s="8" t="s">
        <v>10065</v>
      </c>
      <c r="D4302" s="8" t="s">
        <v>10075</v>
      </c>
      <c r="E4302" s="11" t="n">
        <v>359</v>
      </c>
      <c r="F4302" s="8" t="str">
        <f aca="false">IFERROR(INDEX(Section_Master!$D$2:$D$477,MATCH($E4302,Section_Master!$A$2:$A$477,0))&amp;"","")</f>
        <v>Not applicable - procedural provision (BNSS), no offence defined</v>
      </c>
      <c r="G4302" s="10" t="str">
        <f aca="false">IFERROR(INDEX(Section_Master!$E$2:$E$477,MATCH($E4302,Section_Master!$A$2:$A$477,0))&amp;"","")</f>
        <v>N/A</v>
      </c>
      <c r="H4302" s="10" t="str">
        <f aca="false">IFERROR(INDEX(Section_Master!$F$2:$F$477,MATCH($E4302,Section_Master!$A$2:$A$477,0))&amp;"","")</f>
        <v>N/A</v>
      </c>
      <c r="I4302" s="10" t="str">
        <f aca="false">IFERROR(INDEX(Section_Master!$G$2:$G$477,MATCH($E4302,Section_Master!$A$2:$A$477,0))&amp;"","")</f>
        <v>N/A</v>
      </c>
      <c r="J4302" s="10" t="s">
        <v>61</v>
      </c>
      <c r="K4302" s="8" t="s">
        <v>10067</v>
      </c>
    </row>
    <row r="4303" customFormat="false" ht="45.75" hidden="false" customHeight="true" outlineLevel="0" collapsed="false">
      <c r="A4303" s="10" t="s">
        <v>10076</v>
      </c>
      <c r="B4303" s="10" t="s">
        <v>10064</v>
      </c>
      <c r="C4303" s="8" t="s">
        <v>10065</v>
      </c>
      <c r="D4303" s="8" t="s">
        <v>10077</v>
      </c>
      <c r="E4303" s="11" t="n">
        <v>359</v>
      </c>
      <c r="F4303" s="8" t="str">
        <f aca="false">IFERROR(INDEX(Section_Master!$D$2:$D$477,MATCH($E4303,Section_Master!$A$2:$A$477,0))&amp;"","")</f>
        <v>Not applicable - procedural provision (BNSS), no offence defined</v>
      </c>
      <c r="G4303" s="10" t="str">
        <f aca="false">IFERROR(INDEX(Section_Master!$E$2:$E$477,MATCH($E4303,Section_Master!$A$2:$A$477,0))&amp;"","")</f>
        <v>N/A</v>
      </c>
      <c r="H4303" s="10" t="str">
        <f aca="false">IFERROR(INDEX(Section_Master!$F$2:$F$477,MATCH($E4303,Section_Master!$A$2:$A$477,0))&amp;"","")</f>
        <v>N/A</v>
      </c>
      <c r="I4303" s="10" t="str">
        <f aca="false">IFERROR(INDEX(Section_Master!$G$2:$G$477,MATCH($E4303,Section_Master!$A$2:$A$477,0))&amp;"","")</f>
        <v>N/A</v>
      </c>
      <c r="J4303" s="10" t="s">
        <v>64</v>
      </c>
      <c r="K4303" s="8" t="s">
        <v>10067</v>
      </c>
    </row>
    <row r="4304" customFormat="false" ht="34.5" hidden="false" customHeight="true" outlineLevel="0" collapsed="false">
      <c r="A4304" s="10" t="s">
        <v>10078</v>
      </c>
      <c r="B4304" s="10" t="s">
        <v>10064</v>
      </c>
      <c r="C4304" s="8" t="s">
        <v>10079</v>
      </c>
      <c r="D4304" s="8" t="s">
        <v>10080</v>
      </c>
      <c r="E4304" s="11" t="n">
        <v>360</v>
      </c>
      <c r="F4304" s="8" t="str">
        <f aca="false">IFERROR(INDEX(Section_Master!$D$2:$D$477,MATCH($E4304,Section_Master!$A$2:$A$477,0))&amp;"","")</f>
        <v>Not applicable - procedural provision (BNSS), no offence defined</v>
      </c>
      <c r="G4304" s="10" t="str">
        <f aca="false">IFERROR(INDEX(Section_Master!$E$2:$E$477,MATCH($E4304,Section_Master!$A$2:$A$477,0))&amp;"","")</f>
        <v>N/A</v>
      </c>
      <c r="H4304" s="10" t="str">
        <f aca="false">IFERROR(INDEX(Section_Master!$F$2:$F$477,MATCH($E4304,Section_Master!$A$2:$A$477,0))&amp;"","")</f>
        <v>N/A</v>
      </c>
      <c r="I4304" s="10" t="str">
        <f aca="false">IFERROR(INDEX(Section_Master!$G$2:$G$477,MATCH($E4304,Section_Master!$A$2:$A$477,0))&amp;"","")</f>
        <v>N/A</v>
      </c>
      <c r="J4304" s="10" t="s">
        <v>48</v>
      </c>
      <c r="K4304" s="8" t="s">
        <v>10081</v>
      </c>
    </row>
    <row r="4305" customFormat="false" ht="45.75" hidden="false" customHeight="true" outlineLevel="0" collapsed="false">
      <c r="A4305" s="10" t="s">
        <v>10082</v>
      </c>
      <c r="B4305" s="10" t="s">
        <v>10064</v>
      </c>
      <c r="C4305" s="8" t="s">
        <v>10079</v>
      </c>
      <c r="D4305" s="8" t="s">
        <v>10083</v>
      </c>
      <c r="E4305" s="11" t="n">
        <v>360</v>
      </c>
      <c r="F4305" s="8" t="str">
        <f aca="false">IFERROR(INDEX(Section_Master!$D$2:$D$477,MATCH($E4305,Section_Master!$A$2:$A$477,0))&amp;"","")</f>
        <v>Not applicable - procedural provision (BNSS), no offence defined</v>
      </c>
      <c r="G4305" s="10" t="str">
        <f aca="false">IFERROR(INDEX(Section_Master!$E$2:$E$477,MATCH($E4305,Section_Master!$A$2:$A$477,0))&amp;"","")</f>
        <v>N/A</v>
      </c>
      <c r="H4305" s="10" t="str">
        <f aca="false">IFERROR(INDEX(Section_Master!$F$2:$F$477,MATCH($E4305,Section_Master!$A$2:$A$477,0))&amp;"","")</f>
        <v>N/A</v>
      </c>
      <c r="I4305" s="10" t="str">
        <f aca="false">IFERROR(INDEX(Section_Master!$G$2:$G$477,MATCH($E4305,Section_Master!$A$2:$A$477,0))&amp;"","")</f>
        <v>N/A</v>
      </c>
      <c r="J4305" s="10" t="s">
        <v>52</v>
      </c>
      <c r="K4305" s="8" t="s">
        <v>10081</v>
      </c>
    </row>
    <row r="4306" customFormat="false" ht="23.25" hidden="false" customHeight="true" outlineLevel="0" collapsed="false">
      <c r="A4306" s="10" t="s">
        <v>10084</v>
      </c>
      <c r="B4306" s="10" t="s">
        <v>10064</v>
      </c>
      <c r="C4306" s="8" t="s">
        <v>10079</v>
      </c>
      <c r="D4306" s="8" t="s">
        <v>10085</v>
      </c>
      <c r="E4306" s="11" t="n">
        <v>360</v>
      </c>
      <c r="F4306" s="8" t="str">
        <f aca="false">IFERROR(INDEX(Section_Master!$D$2:$D$477,MATCH($E4306,Section_Master!$A$2:$A$477,0))&amp;"","")</f>
        <v>Not applicable - procedural provision (BNSS), no offence defined</v>
      </c>
      <c r="G4306" s="10" t="str">
        <f aca="false">IFERROR(INDEX(Section_Master!$E$2:$E$477,MATCH($E4306,Section_Master!$A$2:$A$477,0))&amp;"","")</f>
        <v>N/A</v>
      </c>
      <c r="H4306" s="10" t="str">
        <f aca="false">IFERROR(INDEX(Section_Master!$F$2:$F$477,MATCH($E4306,Section_Master!$A$2:$A$477,0))&amp;"","")</f>
        <v>N/A</v>
      </c>
      <c r="I4306" s="10" t="str">
        <f aca="false">IFERROR(INDEX(Section_Master!$G$2:$G$477,MATCH($E4306,Section_Master!$A$2:$A$477,0))&amp;"","")</f>
        <v>N/A</v>
      </c>
      <c r="J4306" s="10" t="s">
        <v>55</v>
      </c>
      <c r="K4306" s="8" t="s">
        <v>10081</v>
      </c>
    </row>
    <row r="4307" customFormat="false" ht="23.25" hidden="false" customHeight="true" outlineLevel="0" collapsed="false">
      <c r="A4307" s="10" t="s">
        <v>10086</v>
      </c>
      <c r="B4307" s="10" t="s">
        <v>10064</v>
      </c>
      <c r="C4307" s="8" t="s">
        <v>10079</v>
      </c>
      <c r="D4307" s="8" t="s">
        <v>10087</v>
      </c>
      <c r="E4307" s="11" t="n">
        <v>360</v>
      </c>
      <c r="F4307" s="8" t="str">
        <f aca="false">IFERROR(INDEX(Section_Master!$D$2:$D$477,MATCH($E4307,Section_Master!$A$2:$A$477,0))&amp;"","")</f>
        <v>Not applicable - procedural provision (BNSS), no offence defined</v>
      </c>
      <c r="G4307" s="10" t="str">
        <f aca="false">IFERROR(INDEX(Section_Master!$E$2:$E$477,MATCH($E4307,Section_Master!$A$2:$A$477,0))&amp;"","")</f>
        <v>N/A</v>
      </c>
      <c r="H4307" s="10" t="str">
        <f aca="false">IFERROR(INDEX(Section_Master!$F$2:$F$477,MATCH($E4307,Section_Master!$A$2:$A$477,0))&amp;"","")</f>
        <v>N/A</v>
      </c>
      <c r="I4307" s="10" t="str">
        <f aca="false">IFERROR(INDEX(Section_Master!$G$2:$G$477,MATCH($E4307,Section_Master!$A$2:$A$477,0))&amp;"","")</f>
        <v>N/A</v>
      </c>
      <c r="J4307" s="10" t="s">
        <v>58</v>
      </c>
      <c r="K4307" s="8" t="s">
        <v>10081</v>
      </c>
    </row>
    <row r="4308" customFormat="false" ht="34.5" hidden="false" customHeight="true" outlineLevel="0" collapsed="false">
      <c r="A4308" s="10" t="s">
        <v>10088</v>
      </c>
      <c r="B4308" s="10" t="s">
        <v>10064</v>
      </c>
      <c r="C4308" s="8" t="s">
        <v>10079</v>
      </c>
      <c r="D4308" s="8" t="s">
        <v>10089</v>
      </c>
      <c r="E4308" s="11" t="n">
        <v>360</v>
      </c>
      <c r="F4308" s="8" t="str">
        <f aca="false">IFERROR(INDEX(Section_Master!$D$2:$D$477,MATCH($E4308,Section_Master!$A$2:$A$477,0))&amp;"","")</f>
        <v>Not applicable - procedural provision (BNSS), no offence defined</v>
      </c>
      <c r="G4308" s="10" t="str">
        <f aca="false">IFERROR(INDEX(Section_Master!$E$2:$E$477,MATCH($E4308,Section_Master!$A$2:$A$477,0))&amp;"","")</f>
        <v>N/A</v>
      </c>
      <c r="H4308" s="10" t="str">
        <f aca="false">IFERROR(INDEX(Section_Master!$F$2:$F$477,MATCH($E4308,Section_Master!$A$2:$A$477,0))&amp;"","")</f>
        <v>N/A</v>
      </c>
      <c r="I4308" s="10" t="str">
        <f aca="false">IFERROR(INDEX(Section_Master!$G$2:$G$477,MATCH($E4308,Section_Master!$A$2:$A$477,0))&amp;"","")</f>
        <v>N/A</v>
      </c>
      <c r="J4308" s="10" t="s">
        <v>61</v>
      </c>
      <c r="K4308" s="8" t="s">
        <v>10081</v>
      </c>
    </row>
    <row r="4309" customFormat="false" ht="45.75" hidden="false" customHeight="true" outlineLevel="0" collapsed="false">
      <c r="A4309" s="10" t="s">
        <v>10090</v>
      </c>
      <c r="B4309" s="10" t="s">
        <v>10064</v>
      </c>
      <c r="C4309" s="8" t="s">
        <v>10079</v>
      </c>
      <c r="D4309" s="8" t="s">
        <v>10091</v>
      </c>
      <c r="E4309" s="11" t="n">
        <v>360</v>
      </c>
      <c r="F4309" s="8" t="str">
        <f aca="false">IFERROR(INDEX(Section_Master!$D$2:$D$477,MATCH($E4309,Section_Master!$A$2:$A$477,0))&amp;"","")</f>
        <v>Not applicable - procedural provision (BNSS), no offence defined</v>
      </c>
      <c r="G4309" s="10" t="str">
        <f aca="false">IFERROR(INDEX(Section_Master!$E$2:$E$477,MATCH($E4309,Section_Master!$A$2:$A$477,0))&amp;"","")</f>
        <v>N/A</v>
      </c>
      <c r="H4309" s="10" t="str">
        <f aca="false">IFERROR(INDEX(Section_Master!$F$2:$F$477,MATCH($E4309,Section_Master!$A$2:$A$477,0))&amp;"","")</f>
        <v>N/A</v>
      </c>
      <c r="I4309" s="10" t="str">
        <f aca="false">IFERROR(INDEX(Section_Master!$G$2:$G$477,MATCH($E4309,Section_Master!$A$2:$A$477,0))&amp;"","")</f>
        <v>N/A</v>
      </c>
      <c r="J4309" s="10" t="s">
        <v>64</v>
      </c>
      <c r="K4309" s="8" t="s">
        <v>10081</v>
      </c>
    </row>
    <row r="4310" customFormat="false" ht="34.5" hidden="false" customHeight="true" outlineLevel="0" collapsed="false">
      <c r="A4310" s="10" t="s">
        <v>10092</v>
      </c>
      <c r="B4310" s="10" t="s">
        <v>10064</v>
      </c>
      <c r="C4310" s="8" t="s">
        <v>10093</v>
      </c>
      <c r="D4310" s="8" t="s">
        <v>10094</v>
      </c>
      <c r="E4310" s="11" t="n">
        <v>361</v>
      </c>
      <c r="F4310" s="8" t="str">
        <f aca="false">IFERROR(INDEX(Section_Master!$D$2:$D$477,MATCH($E4310,Section_Master!$A$2:$A$477,0))&amp;"","")</f>
        <v>Not applicable - procedural provision (BNSS), no offence defined</v>
      </c>
      <c r="G4310" s="10" t="str">
        <f aca="false">IFERROR(INDEX(Section_Master!$E$2:$E$477,MATCH($E4310,Section_Master!$A$2:$A$477,0))&amp;"","")</f>
        <v>N/A</v>
      </c>
      <c r="H4310" s="10" t="str">
        <f aca="false">IFERROR(INDEX(Section_Master!$F$2:$F$477,MATCH($E4310,Section_Master!$A$2:$A$477,0))&amp;"","")</f>
        <v>N/A</v>
      </c>
      <c r="I4310" s="10" t="str">
        <f aca="false">IFERROR(INDEX(Section_Master!$G$2:$G$477,MATCH($E4310,Section_Master!$A$2:$A$477,0))&amp;"","")</f>
        <v>N/A</v>
      </c>
      <c r="J4310" s="10" t="s">
        <v>48</v>
      </c>
      <c r="K4310" s="8" t="s">
        <v>10095</v>
      </c>
    </row>
    <row r="4311" customFormat="false" ht="45.75" hidden="false" customHeight="true" outlineLevel="0" collapsed="false">
      <c r="A4311" s="10" t="s">
        <v>10096</v>
      </c>
      <c r="B4311" s="10" t="s">
        <v>10064</v>
      </c>
      <c r="C4311" s="8" t="s">
        <v>10093</v>
      </c>
      <c r="D4311" s="8" t="s">
        <v>10097</v>
      </c>
      <c r="E4311" s="11" t="n">
        <v>361</v>
      </c>
      <c r="F4311" s="8" t="str">
        <f aca="false">IFERROR(INDEX(Section_Master!$D$2:$D$477,MATCH($E4311,Section_Master!$A$2:$A$477,0))&amp;"","")</f>
        <v>Not applicable - procedural provision (BNSS), no offence defined</v>
      </c>
      <c r="G4311" s="10" t="str">
        <f aca="false">IFERROR(INDEX(Section_Master!$E$2:$E$477,MATCH($E4311,Section_Master!$A$2:$A$477,0))&amp;"","")</f>
        <v>N/A</v>
      </c>
      <c r="H4311" s="10" t="str">
        <f aca="false">IFERROR(INDEX(Section_Master!$F$2:$F$477,MATCH($E4311,Section_Master!$A$2:$A$477,0))&amp;"","")</f>
        <v>N/A</v>
      </c>
      <c r="I4311" s="10" t="str">
        <f aca="false">IFERROR(INDEX(Section_Master!$G$2:$G$477,MATCH($E4311,Section_Master!$A$2:$A$477,0))&amp;"","")</f>
        <v>N/A</v>
      </c>
      <c r="J4311" s="10" t="s">
        <v>52</v>
      </c>
      <c r="K4311" s="8" t="s">
        <v>10095</v>
      </c>
    </row>
    <row r="4312" customFormat="false" ht="34.5" hidden="false" customHeight="true" outlineLevel="0" collapsed="false">
      <c r="A4312" s="10" t="s">
        <v>10098</v>
      </c>
      <c r="B4312" s="10" t="s">
        <v>10064</v>
      </c>
      <c r="C4312" s="8" t="s">
        <v>10093</v>
      </c>
      <c r="D4312" s="8" t="s">
        <v>10099</v>
      </c>
      <c r="E4312" s="11" t="n">
        <v>361</v>
      </c>
      <c r="F4312" s="8" t="str">
        <f aca="false">IFERROR(INDEX(Section_Master!$D$2:$D$477,MATCH($E4312,Section_Master!$A$2:$A$477,0))&amp;"","")</f>
        <v>Not applicable - procedural provision (BNSS), no offence defined</v>
      </c>
      <c r="G4312" s="10" t="str">
        <f aca="false">IFERROR(INDEX(Section_Master!$E$2:$E$477,MATCH($E4312,Section_Master!$A$2:$A$477,0))&amp;"","")</f>
        <v>N/A</v>
      </c>
      <c r="H4312" s="10" t="str">
        <f aca="false">IFERROR(INDEX(Section_Master!$F$2:$F$477,MATCH($E4312,Section_Master!$A$2:$A$477,0))&amp;"","")</f>
        <v>N/A</v>
      </c>
      <c r="I4312" s="10" t="str">
        <f aca="false">IFERROR(INDEX(Section_Master!$G$2:$G$477,MATCH($E4312,Section_Master!$A$2:$A$477,0))&amp;"","")</f>
        <v>N/A</v>
      </c>
      <c r="J4312" s="10" t="s">
        <v>55</v>
      </c>
      <c r="K4312" s="8" t="s">
        <v>10095</v>
      </c>
    </row>
    <row r="4313" customFormat="false" ht="23.25" hidden="false" customHeight="true" outlineLevel="0" collapsed="false">
      <c r="A4313" s="10" t="s">
        <v>10100</v>
      </c>
      <c r="B4313" s="10" t="s">
        <v>10064</v>
      </c>
      <c r="C4313" s="8" t="s">
        <v>10093</v>
      </c>
      <c r="D4313" s="8" t="s">
        <v>10101</v>
      </c>
      <c r="E4313" s="11" t="n">
        <v>361</v>
      </c>
      <c r="F4313" s="8" t="str">
        <f aca="false">IFERROR(INDEX(Section_Master!$D$2:$D$477,MATCH($E4313,Section_Master!$A$2:$A$477,0))&amp;"","")</f>
        <v>Not applicable - procedural provision (BNSS), no offence defined</v>
      </c>
      <c r="G4313" s="10" t="str">
        <f aca="false">IFERROR(INDEX(Section_Master!$E$2:$E$477,MATCH($E4313,Section_Master!$A$2:$A$477,0))&amp;"","")</f>
        <v>N/A</v>
      </c>
      <c r="H4313" s="10" t="str">
        <f aca="false">IFERROR(INDEX(Section_Master!$F$2:$F$477,MATCH($E4313,Section_Master!$A$2:$A$477,0))&amp;"","")</f>
        <v>N/A</v>
      </c>
      <c r="I4313" s="10" t="str">
        <f aca="false">IFERROR(INDEX(Section_Master!$G$2:$G$477,MATCH($E4313,Section_Master!$A$2:$A$477,0))&amp;"","")</f>
        <v>N/A</v>
      </c>
      <c r="J4313" s="10" t="s">
        <v>58</v>
      </c>
      <c r="K4313" s="8" t="s">
        <v>10095</v>
      </c>
    </row>
    <row r="4314" customFormat="false" ht="23.25" hidden="false" customHeight="true" outlineLevel="0" collapsed="false">
      <c r="A4314" s="10" t="s">
        <v>10102</v>
      </c>
      <c r="B4314" s="10" t="s">
        <v>10064</v>
      </c>
      <c r="C4314" s="8" t="s">
        <v>10093</v>
      </c>
      <c r="D4314" s="8" t="s">
        <v>10103</v>
      </c>
      <c r="E4314" s="11" t="n">
        <v>361</v>
      </c>
      <c r="F4314" s="8" t="str">
        <f aca="false">IFERROR(INDEX(Section_Master!$D$2:$D$477,MATCH($E4314,Section_Master!$A$2:$A$477,0))&amp;"","")</f>
        <v>Not applicable - procedural provision (BNSS), no offence defined</v>
      </c>
      <c r="G4314" s="10" t="str">
        <f aca="false">IFERROR(INDEX(Section_Master!$E$2:$E$477,MATCH($E4314,Section_Master!$A$2:$A$477,0))&amp;"","")</f>
        <v>N/A</v>
      </c>
      <c r="H4314" s="10" t="str">
        <f aca="false">IFERROR(INDEX(Section_Master!$F$2:$F$477,MATCH($E4314,Section_Master!$A$2:$A$477,0))&amp;"","")</f>
        <v>N/A</v>
      </c>
      <c r="I4314" s="10" t="str">
        <f aca="false">IFERROR(INDEX(Section_Master!$G$2:$G$477,MATCH($E4314,Section_Master!$A$2:$A$477,0))&amp;"","")</f>
        <v>N/A</v>
      </c>
      <c r="J4314" s="10" t="s">
        <v>61</v>
      </c>
      <c r="K4314" s="8" t="s">
        <v>10095</v>
      </c>
    </row>
    <row r="4315" customFormat="false" ht="45.75" hidden="false" customHeight="true" outlineLevel="0" collapsed="false">
      <c r="A4315" s="10" t="s">
        <v>10104</v>
      </c>
      <c r="B4315" s="10" t="s">
        <v>10064</v>
      </c>
      <c r="C4315" s="8" t="s">
        <v>10093</v>
      </c>
      <c r="D4315" s="8" t="s">
        <v>10105</v>
      </c>
      <c r="E4315" s="11" t="n">
        <v>361</v>
      </c>
      <c r="F4315" s="8" t="str">
        <f aca="false">IFERROR(INDEX(Section_Master!$D$2:$D$477,MATCH($E4315,Section_Master!$A$2:$A$477,0))&amp;"","")</f>
        <v>Not applicable - procedural provision (BNSS), no offence defined</v>
      </c>
      <c r="G4315" s="10" t="str">
        <f aca="false">IFERROR(INDEX(Section_Master!$E$2:$E$477,MATCH($E4315,Section_Master!$A$2:$A$477,0))&amp;"","")</f>
        <v>N/A</v>
      </c>
      <c r="H4315" s="10" t="str">
        <f aca="false">IFERROR(INDEX(Section_Master!$F$2:$F$477,MATCH($E4315,Section_Master!$A$2:$A$477,0))&amp;"","")</f>
        <v>N/A</v>
      </c>
      <c r="I4315" s="10" t="str">
        <f aca="false">IFERROR(INDEX(Section_Master!$G$2:$G$477,MATCH($E4315,Section_Master!$A$2:$A$477,0))&amp;"","")</f>
        <v>N/A</v>
      </c>
      <c r="J4315" s="10" t="s">
        <v>64</v>
      </c>
      <c r="K4315" s="8" t="s">
        <v>10095</v>
      </c>
    </row>
    <row r="4316" customFormat="false" ht="34.5" hidden="false" customHeight="true" outlineLevel="0" collapsed="false">
      <c r="A4316" s="10" t="s">
        <v>10106</v>
      </c>
      <c r="B4316" s="10" t="s">
        <v>10064</v>
      </c>
      <c r="C4316" s="8" t="s">
        <v>10107</v>
      </c>
      <c r="D4316" s="8" t="s">
        <v>10108</v>
      </c>
      <c r="E4316" s="11" t="n">
        <v>362</v>
      </c>
      <c r="F4316" s="8" t="str">
        <f aca="false">IFERROR(INDEX(Section_Master!$D$2:$D$477,MATCH($E4316,Section_Master!$A$2:$A$477,0))&amp;"","")</f>
        <v>Not applicable - procedural provision (BNSS), no offence defined</v>
      </c>
      <c r="G4316" s="10" t="str">
        <f aca="false">IFERROR(INDEX(Section_Master!$E$2:$E$477,MATCH($E4316,Section_Master!$A$2:$A$477,0))&amp;"","")</f>
        <v>N/A</v>
      </c>
      <c r="H4316" s="10" t="str">
        <f aca="false">IFERROR(INDEX(Section_Master!$F$2:$F$477,MATCH($E4316,Section_Master!$A$2:$A$477,0))&amp;"","")</f>
        <v>N/A</v>
      </c>
      <c r="I4316" s="10" t="str">
        <f aca="false">IFERROR(INDEX(Section_Master!$G$2:$G$477,MATCH($E4316,Section_Master!$A$2:$A$477,0))&amp;"","")</f>
        <v>N/A</v>
      </c>
      <c r="J4316" s="10" t="s">
        <v>48</v>
      </c>
      <c r="K4316" s="8" t="s">
        <v>10109</v>
      </c>
    </row>
    <row r="4317" customFormat="false" ht="45.75" hidden="false" customHeight="true" outlineLevel="0" collapsed="false">
      <c r="A4317" s="10" t="s">
        <v>10110</v>
      </c>
      <c r="B4317" s="10" t="s">
        <v>10064</v>
      </c>
      <c r="C4317" s="8" t="s">
        <v>10107</v>
      </c>
      <c r="D4317" s="8" t="s">
        <v>10111</v>
      </c>
      <c r="E4317" s="11" t="n">
        <v>362</v>
      </c>
      <c r="F4317" s="8" t="str">
        <f aca="false">IFERROR(INDEX(Section_Master!$D$2:$D$477,MATCH($E4317,Section_Master!$A$2:$A$477,0))&amp;"","")</f>
        <v>Not applicable - procedural provision (BNSS), no offence defined</v>
      </c>
      <c r="G4317" s="10" t="str">
        <f aca="false">IFERROR(INDEX(Section_Master!$E$2:$E$477,MATCH($E4317,Section_Master!$A$2:$A$477,0))&amp;"","")</f>
        <v>N/A</v>
      </c>
      <c r="H4317" s="10" t="str">
        <f aca="false">IFERROR(INDEX(Section_Master!$F$2:$F$477,MATCH($E4317,Section_Master!$A$2:$A$477,0))&amp;"","")</f>
        <v>N/A</v>
      </c>
      <c r="I4317" s="10" t="str">
        <f aca="false">IFERROR(INDEX(Section_Master!$G$2:$G$477,MATCH($E4317,Section_Master!$A$2:$A$477,0))&amp;"","")</f>
        <v>N/A</v>
      </c>
      <c r="J4317" s="10" t="s">
        <v>52</v>
      </c>
      <c r="K4317" s="8" t="s">
        <v>10109</v>
      </c>
    </row>
    <row r="4318" customFormat="false" ht="34.5" hidden="false" customHeight="true" outlineLevel="0" collapsed="false">
      <c r="A4318" s="10" t="s">
        <v>10112</v>
      </c>
      <c r="B4318" s="10" t="s">
        <v>10064</v>
      </c>
      <c r="C4318" s="8" t="s">
        <v>10107</v>
      </c>
      <c r="D4318" s="8" t="s">
        <v>10113</v>
      </c>
      <c r="E4318" s="11" t="n">
        <v>362</v>
      </c>
      <c r="F4318" s="8" t="str">
        <f aca="false">IFERROR(INDEX(Section_Master!$D$2:$D$477,MATCH($E4318,Section_Master!$A$2:$A$477,0))&amp;"","")</f>
        <v>Not applicable - procedural provision (BNSS), no offence defined</v>
      </c>
      <c r="G4318" s="10" t="str">
        <f aca="false">IFERROR(INDEX(Section_Master!$E$2:$E$477,MATCH($E4318,Section_Master!$A$2:$A$477,0))&amp;"","")</f>
        <v>N/A</v>
      </c>
      <c r="H4318" s="10" t="str">
        <f aca="false">IFERROR(INDEX(Section_Master!$F$2:$F$477,MATCH($E4318,Section_Master!$A$2:$A$477,0))&amp;"","")</f>
        <v>N/A</v>
      </c>
      <c r="I4318" s="10" t="str">
        <f aca="false">IFERROR(INDEX(Section_Master!$G$2:$G$477,MATCH($E4318,Section_Master!$A$2:$A$477,0))&amp;"","")</f>
        <v>N/A</v>
      </c>
      <c r="J4318" s="10" t="s">
        <v>55</v>
      </c>
      <c r="K4318" s="8" t="s">
        <v>10109</v>
      </c>
    </row>
    <row r="4319" customFormat="false" ht="34.5" hidden="false" customHeight="true" outlineLevel="0" collapsed="false">
      <c r="A4319" s="10" t="s">
        <v>10114</v>
      </c>
      <c r="B4319" s="10" t="s">
        <v>10064</v>
      </c>
      <c r="C4319" s="8" t="s">
        <v>10107</v>
      </c>
      <c r="D4319" s="8" t="s">
        <v>10115</v>
      </c>
      <c r="E4319" s="11" t="n">
        <v>362</v>
      </c>
      <c r="F4319" s="8" t="str">
        <f aca="false">IFERROR(INDEX(Section_Master!$D$2:$D$477,MATCH($E4319,Section_Master!$A$2:$A$477,0))&amp;"","")</f>
        <v>Not applicable - procedural provision (BNSS), no offence defined</v>
      </c>
      <c r="G4319" s="10" t="str">
        <f aca="false">IFERROR(INDEX(Section_Master!$E$2:$E$477,MATCH($E4319,Section_Master!$A$2:$A$477,0))&amp;"","")</f>
        <v>N/A</v>
      </c>
      <c r="H4319" s="10" t="str">
        <f aca="false">IFERROR(INDEX(Section_Master!$F$2:$F$477,MATCH($E4319,Section_Master!$A$2:$A$477,0))&amp;"","")</f>
        <v>N/A</v>
      </c>
      <c r="I4319" s="10" t="str">
        <f aca="false">IFERROR(INDEX(Section_Master!$G$2:$G$477,MATCH($E4319,Section_Master!$A$2:$A$477,0))&amp;"","")</f>
        <v>N/A</v>
      </c>
      <c r="J4319" s="10" t="s">
        <v>58</v>
      </c>
      <c r="K4319" s="8" t="s">
        <v>10109</v>
      </c>
    </row>
    <row r="4320" customFormat="false" ht="34.5" hidden="false" customHeight="true" outlineLevel="0" collapsed="false">
      <c r="A4320" s="10" t="s">
        <v>10116</v>
      </c>
      <c r="B4320" s="10" t="s">
        <v>10064</v>
      </c>
      <c r="C4320" s="8" t="s">
        <v>10107</v>
      </c>
      <c r="D4320" s="8" t="s">
        <v>10117</v>
      </c>
      <c r="E4320" s="11" t="n">
        <v>362</v>
      </c>
      <c r="F4320" s="8" t="str">
        <f aca="false">IFERROR(INDEX(Section_Master!$D$2:$D$477,MATCH($E4320,Section_Master!$A$2:$A$477,0))&amp;"","")</f>
        <v>Not applicable - procedural provision (BNSS), no offence defined</v>
      </c>
      <c r="G4320" s="10" t="str">
        <f aca="false">IFERROR(INDEX(Section_Master!$E$2:$E$477,MATCH($E4320,Section_Master!$A$2:$A$477,0))&amp;"","")</f>
        <v>N/A</v>
      </c>
      <c r="H4320" s="10" t="str">
        <f aca="false">IFERROR(INDEX(Section_Master!$F$2:$F$477,MATCH($E4320,Section_Master!$A$2:$A$477,0))&amp;"","")</f>
        <v>N/A</v>
      </c>
      <c r="I4320" s="10" t="str">
        <f aca="false">IFERROR(INDEX(Section_Master!$G$2:$G$477,MATCH($E4320,Section_Master!$A$2:$A$477,0))&amp;"","")</f>
        <v>N/A</v>
      </c>
      <c r="J4320" s="10" t="s">
        <v>61</v>
      </c>
      <c r="K4320" s="8" t="s">
        <v>10109</v>
      </c>
    </row>
    <row r="4321" customFormat="false" ht="45.75" hidden="false" customHeight="true" outlineLevel="0" collapsed="false">
      <c r="A4321" s="10" t="s">
        <v>10118</v>
      </c>
      <c r="B4321" s="10" t="s">
        <v>10064</v>
      </c>
      <c r="C4321" s="8" t="s">
        <v>10107</v>
      </c>
      <c r="D4321" s="8" t="s">
        <v>10119</v>
      </c>
      <c r="E4321" s="11" t="n">
        <v>362</v>
      </c>
      <c r="F4321" s="8" t="str">
        <f aca="false">IFERROR(INDEX(Section_Master!$D$2:$D$477,MATCH($E4321,Section_Master!$A$2:$A$477,0))&amp;"","")</f>
        <v>Not applicable - procedural provision (BNSS), no offence defined</v>
      </c>
      <c r="G4321" s="10" t="str">
        <f aca="false">IFERROR(INDEX(Section_Master!$E$2:$E$477,MATCH($E4321,Section_Master!$A$2:$A$477,0))&amp;"","")</f>
        <v>N/A</v>
      </c>
      <c r="H4321" s="10" t="str">
        <f aca="false">IFERROR(INDEX(Section_Master!$F$2:$F$477,MATCH($E4321,Section_Master!$A$2:$A$477,0))&amp;"","")</f>
        <v>N/A</v>
      </c>
      <c r="I4321" s="10" t="str">
        <f aca="false">IFERROR(INDEX(Section_Master!$G$2:$G$477,MATCH($E4321,Section_Master!$A$2:$A$477,0))&amp;"","")</f>
        <v>N/A</v>
      </c>
      <c r="J4321" s="10" t="s">
        <v>64</v>
      </c>
      <c r="K4321" s="8" t="s">
        <v>10109</v>
      </c>
    </row>
    <row r="4322" customFormat="false" ht="45.75" hidden="false" customHeight="true" outlineLevel="0" collapsed="false">
      <c r="A4322" s="10" t="s">
        <v>10120</v>
      </c>
      <c r="B4322" s="10" t="s">
        <v>10064</v>
      </c>
      <c r="C4322" s="8" t="s">
        <v>10121</v>
      </c>
      <c r="D4322" s="8" t="s">
        <v>10122</v>
      </c>
      <c r="E4322" s="11" t="n">
        <v>363</v>
      </c>
      <c r="F4322" s="8" t="str">
        <f aca="false">IFERROR(INDEX(Section_Master!$D$2:$D$477,MATCH($E4322,Section_Master!$A$2:$A$477,0))&amp;"","")</f>
        <v>Not applicable - procedural provision (BNSS), no offence defined</v>
      </c>
      <c r="G4322" s="10" t="str">
        <f aca="false">IFERROR(INDEX(Section_Master!$E$2:$E$477,MATCH($E4322,Section_Master!$A$2:$A$477,0))&amp;"","")</f>
        <v>N/A</v>
      </c>
      <c r="H4322" s="10" t="str">
        <f aca="false">IFERROR(INDEX(Section_Master!$F$2:$F$477,MATCH($E4322,Section_Master!$A$2:$A$477,0))&amp;"","")</f>
        <v>N/A</v>
      </c>
      <c r="I4322" s="10" t="str">
        <f aca="false">IFERROR(INDEX(Section_Master!$G$2:$G$477,MATCH($E4322,Section_Master!$A$2:$A$477,0))&amp;"","")</f>
        <v>N/A</v>
      </c>
      <c r="J4322" s="10" t="s">
        <v>48</v>
      </c>
      <c r="K4322" s="8" t="s">
        <v>10123</v>
      </c>
    </row>
    <row r="4323" customFormat="false" ht="45.75" hidden="false" customHeight="true" outlineLevel="0" collapsed="false">
      <c r="A4323" s="10" t="s">
        <v>10124</v>
      </c>
      <c r="B4323" s="10" t="s">
        <v>10064</v>
      </c>
      <c r="C4323" s="8" t="s">
        <v>10121</v>
      </c>
      <c r="D4323" s="8" t="s">
        <v>10125</v>
      </c>
      <c r="E4323" s="11" t="n">
        <v>363</v>
      </c>
      <c r="F4323" s="8" t="str">
        <f aca="false">IFERROR(INDEX(Section_Master!$D$2:$D$477,MATCH($E4323,Section_Master!$A$2:$A$477,0))&amp;"","")</f>
        <v>Not applicable - procedural provision (BNSS), no offence defined</v>
      </c>
      <c r="G4323" s="10" t="str">
        <f aca="false">IFERROR(INDEX(Section_Master!$E$2:$E$477,MATCH($E4323,Section_Master!$A$2:$A$477,0))&amp;"","")</f>
        <v>N/A</v>
      </c>
      <c r="H4323" s="10" t="str">
        <f aca="false">IFERROR(INDEX(Section_Master!$F$2:$F$477,MATCH($E4323,Section_Master!$A$2:$A$477,0))&amp;"","")</f>
        <v>N/A</v>
      </c>
      <c r="I4323" s="10" t="str">
        <f aca="false">IFERROR(INDEX(Section_Master!$G$2:$G$477,MATCH($E4323,Section_Master!$A$2:$A$477,0))&amp;"","")</f>
        <v>N/A</v>
      </c>
      <c r="J4323" s="10" t="s">
        <v>52</v>
      </c>
      <c r="K4323" s="8" t="s">
        <v>10123</v>
      </c>
    </row>
    <row r="4324" customFormat="false" ht="34.5" hidden="false" customHeight="true" outlineLevel="0" collapsed="false">
      <c r="A4324" s="10" t="s">
        <v>10126</v>
      </c>
      <c r="B4324" s="10" t="s">
        <v>10064</v>
      </c>
      <c r="C4324" s="8" t="s">
        <v>10121</v>
      </c>
      <c r="D4324" s="8" t="s">
        <v>10127</v>
      </c>
      <c r="E4324" s="11" t="n">
        <v>363</v>
      </c>
      <c r="F4324" s="8" t="str">
        <f aca="false">IFERROR(INDEX(Section_Master!$D$2:$D$477,MATCH($E4324,Section_Master!$A$2:$A$477,0))&amp;"","")</f>
        <v>Not applicable - procedural provision (BNSS), no offence defined</v>
      </c>
      <c r="G4324" s="10" t="str">
        <f aca="false">IFERROR(INDEX(Section_Master!$E$2:$E$477,MATCH($E4324,Section_Master!$A$2:$A$477,0))&amp;"","")</f>
        <v>N/A</v>
      </c>
      <c r="H4324" s="10" t="str">
        <f aca="false">IFERROR(INDEX(Section_Master!$F$2:$F$477,MATCH($E4324,Section_Master!$A$2:$A$477,0))&amp;"","")</f>
        <v>N/A</v>
      </c>
      <c r="I4324" s="10" t="str">
        <f aca="false">IFERROR(INDEX(Section_Master!$G$2:$G$477,MATCH($E4324,Section_Master!$A$2:$A$477,0))&amp;"","")</f>
        <v>N/A</v>
      </c>
      <c r="J4324" s="10" t="s">
        <v>55</v>
      </c>
      <c r="K4324" s="8" t="s">
        <v>10123</v>
      </c>
    </row>
    <row r="4325" customFormat="false" ht="23.25" hidden="false" customHeight="true" outlineLevel="0" collapsed="false">
      <c r="A4325" s="10" t="s">
        <v>10128</v>
      </c>
      <c r="B4325" s="10" t="s">
        <v>10064</v>
      </c>
      <c r="C4325" s="8" t="s">
        <v>10121</v>
      </c>
      <c r="D4325" s="8" t="s">
        <v>10129</v>
      </c>
      <c r="E4325" s="11" t="n">
        <v>363</v>
      </c>
      <c r="F4325" s="8" t="str">
        <f aca="false">IFERROR(INDEX(Section_Master!$D$2:$D$477,MATCH($E4325,Section_Master!$A$2:$A$477,0))&amp;"","")</f>
        <v>Not applicable - procedural provision (BNSS), no offence defined</v>
      </c>
      <c r="G4325" s="10" t="str">
        <f aca="false">IFERROR(INDEX(Section_Master!$E$2:$E$477,MATCH($E4325,Section_Master!$A$2:$A$477,0))&amp;"","")</f>
        <v>N/A</v>
      </c>
      <c r="H4325" s="10" t="str">
        <f aca="false">IFERROR(INDEX(Section_Master!$F$2:$F$477,MATCH($E4325,Section_Master!$A$2:$A$477,0))&amp;"","")</f>
        <v>N/A</v>
      </c>
      <c r="I4325" s="10" t="str">
        <f aca="false">IFERROR(INDEX(Section_Master!$G$2:$G$477,MATCH($E4325,Section_Master!$A$2:$A$477,0))&amp;"","")</f>
        <v>N/A</v>
      </c>
      <c r="J4325" s="10" t="s">
        <v>58</v>
      </c>
      <c r="K4325" s="8" t="s">
        <v>10123</v>
      </c>
    </row>
    <row r="4326" customFormat="false" ht="23.25" hidden="false" customHeight="true" outlineLevel="0" collapsed="false">
      <c r="A4326" s="10" t="s">
        <v>10130</v>
      </c>
      <c r="B4326" s="10" t="s">
        <v>10064</v>
      </c>
      <c r="C4326" s="8" t="s">
        <v>10121</v>
      </c>
      <c r="D4326" s="8" t="s">
        <v>10131</v>
      </c>
      <c r="E4326" s="11" t="n">
        <v>363</v>
      </c>
      <c r="F4326" s="8" t="str">
        <f aca="false">IFERROR(INDEX(Section_Master!$D$2:$D$477,MATCH($E4326,Section_Master!$A$2:$A$477,0))&amp;"","")</f>
        <v>Not applicable - procedural provision (BNSS), no offence defined</v>
      </c>
      <c r="G4326" s="10" t="str">
        <f aca="false">IFERROR(INDEX(Section_Master!$E$2:$E$477,MATCH($E4326,Section_Master!$A$2:$A$477,0))&amp;"","")</f>
        <v>N/A</v>
      </c>
      <c r="H4326" s="10" t="str">
        <f aca="false">IFERROR(INDEX(Section_Master!$F$2:$F$477,MATCH($E4326,Section_Master!$A$2:$A$477,0))&amp;"","")</f>
        <v>N/A</v>
      </c>
      <c r="I4326" s="10" t="str">
        <f aca="false">IFERROR(INDEX(Section_Master!$G$2:$G$477,MATCH($E4326,Section_Master!$A$2:$A$477,0))&amp;"","")</f>
        <v>N/A</v>
      </c>
      <c r="J4326" s="10" t="s">
        <v>61</v>
      </c>
      <c r="K4326" s="8" t="s">
        <v>10123</v>
      </c>
    </row>
    <row r="4327" customFormat="false" ht="45.75" hidden="false" customHeight="true" outlineLevel="0" collapsed="false">
      <c r="A4327" s="10" t="s">
        <v>10132</v>
      </c>
      <c r="B4327" s="10" t="s">
        <v>10064</v>
      </c>
      <c r="C4327" s="8" t="s">
        <v>10121</v>
      </c>
      <c r="D4327" s="8" t="s">
        <v>10133</v>
      </c>
      <c r="E4327" s="11" t="n">
        <v>363</v>
      </c>
      <c r="F4327" s="8" t="str">
        <f aca="false">IFERROR(INDEX(Section_Master!$D$2:$D$477,MATCH($E4327,Section_Master!$A$2:$A$477,0))&amp;"","")</f>
        <v>Not applicable - procedural provision (BNSS), no offence defined</v>
      </c>
      <c r="G4327" s="10" t="str">
        <f aca="false">IFERROR(INDEX(Section_Master!$E$2:$E$477,MATCH($E4327,Section_Master!$A$2:$A$477,0))&amp;"","")</f>
        <v>N/A</v>
      </c>
      <c r="H4327" s="10" t="str">
        <f aca="false">IFERROR(INDEX(Section_Master!$F$2:$F$477,MATCH($E4327,Section_Master!$A$2:$A$477,0))&amp;"","")</f>
        <v>N/A</v>
      </c>
      <c r="I4327" s="10" t="str">
        <f aca="false">IFERROR(INDEX(Section_Master!$G$2:$G$477,MATCH($E4327,Section_Master!$A$2:$A$477,0))&amp;"","")</f>
        <v>N/A</v>
      </c>
      <c r="J4327" s="10" t="s">
        <v>64</v>
      </c>
      <c r="K4327" s="8" t="s">
        <v>10123</v>
      </c>
    </row>
    <row r="4328" customFormat="false" ht="34.5" hidden="false" customHeight="true" outlineLevel="0" collapsed="false">
      <c r="A4328" s="10" t="s">
        <v>10134</v>
      </c>
      <c r="B4328" s="10" t="s">
        <v>10064</v>
      </c>
      <c r="C4328" s="8" t="s">
        <v>10135</v>
      </c>
      <c r="D4328" s="8" t="s">
        <v>10136</v>
      </c>
      <c r="E4328" s="11" t="n">
        <v>364</v>
      </c>
      <c r="F4328" s="8" t="str">
        <f aca="false">IFERROR(INDEX(Section_Master!$D$2:$D$477,MATCH($E4328,Section_Master!$A$2:$A$477,0))&amp;"","")</f>
        <v>Not applicable - procedural provision (BNSS), no offence defined</v>
      </c>
      <c r="G4328" s="10" t="str">
        <f aca="false">IFERROR(INDEX(Section_Master!$E$2:$E$477,MATCH($E4328,Section_Master!$A$2:$A$477,0))&amp;"","")</f>
        <v>N/A</v>
      </c>
      <c r="H4328" s="10" t="str">
        <f aca="false">IFERROR(INDEX(Section_Master!$F$2:$F$477,MATCH($E4328,Section_Master!$A$2:$A$477,0))&amp;"","")</f>
        <v>N/A</v>
      </c>
      <c r="I4328" s="10" t="str">
        <f aca="false">IFERROR(INDEX(Section_Master!$G$2:$G$477,MATCH($E4328,Section_Master!$A$2:$A$477,0))&amp;"","")</f>
        <v>N/A</v>
      </c>
      <c r="J4328" s="10" t="s">
        <v>48</v>
      </c>
      <c r="K4328" s="8" t="s">
        <v>10137</v>
      </c>
    </row>
    <row r="4329" customFormat="false" ht="45.75" hidden="false" customHeight="true" outlineLevel="0" collapsed="false">
      <c r="A4329" s="10" t="s">
        <v>10138</v>
      </c>
      <c r="B4329" s="10" t="s">
        <v>10064</v>
      </c>
      <c r="C4329" s="8" t="s">
        <v>10135</v>
      </c>
      <c r="D4329" s="8" t="s">
        <v>10139</v>
      </c>
      <c r="E4329" s="11" t="n">
        <v>364</v>
      </c>
      <c r="F4329" s="8" t="str">
        <f aca="false">IFERROR(INDEX(Section_Master!$D$2:$D$477,MATCH($E4329,Section_Master!$A$2:$A$477,0))&amp;"","")</f>
        <v>Not applicable - procedural provision (BNSS), no offence defined</v>
      </c>
      <c r="G4329" s="10" t="str">
        <f aca="false">IFERROR(INDEX(Section_Master!$E$2:$E$477,MATCH($E4329,Section_Master!$A$2:$A$477,0))&amp;"","")</f>
        <v>N/A</v>
      </c>
      <c r="H4329" s="10" t="str">
        <f aca="false">IFERROR(INDEX(Section_Master!$F$2:$F$477,MATCH($E4329,Section_Master!$A$2:$A$477,0))&amp;"","")</f>
        <v>N/A</v>
      </c>
      <c r="I4329" s="10" t="str">
        <f aca="false">IFERROR(INDEX(Section_Master!$G$2:$G$477,MATCH($E4329,Section_Master!$A$2:$A$477,0))&amp;"","")</f>
        <v>N/A</v>
      </c>
      <c r="J4329" s="10" t="s">
        <v>52</v>
      </c>
      <c r="K4329" s="8" t="s">
        <v>10137</v>
      </c>
    </row>
    <row r="4330" customFormat="false" ht="57" hidden="false" customHeight="true" outlineLevel="0" collapsed="false">
      <c r="A4330" s="10" t="s">
        <v>10140</v>
      </c>
      <c r="B4330" s="10" t="s">
        <v>10064</v>
      </c>
      <c r="C4330" s="8" t="s">
        <v>10135</v>
      </c>
      <c r="D4330" s="8" t="s">
        <v>10141</v>
      </c>
      <c r="E4330" s="11" t="n">
        <v>364</v>
      </c>
      <c r="F4330" s="8" t="str">
        <f aca="false">IFERROR(INDEX(Section_Master!$D$2:$D$477,MATCH($E4330,Section_Master!$A$2:$A$477,0))&amp;"","")</f>
        <v>Not applicable - procedural provision (BNSS), no offence defined</v>
      </c>
      <c r="G4330" s="10" t="str">
        <f aca="false">IFERROR(INDEX(Section_Master!$E$2:$E$477,MATCH($E4330,Section_Master!$A$2:$A$477,0))&amp;"","")</f>
        <v>N/A</v>
      </c>
      <c r="H4330" s="10" t="str">
        <f aca="false">IFERROR(INDEX(Section_Master!$F$2:$F$477,MATCH($E4330,Section_Master!$A$2:$A$477,0))&amp;"","")</f>
        <v>N/A</v>
      </c>
      <c r="I4330" s="10" t="str">
        <f aca="false">IFERROR(INDEX(Section_Master!$G$2:$G$477,MATCH($E4330,Section_Master!$A$2:$A$477,0))&amp;"","")</f>
        <v>N/A</v>
      </c>
      <c r="J4330" s="10" t="s">
        <v>55</v>
      </c>
      <c r="K4330" s="8" t="s">
        <v>10137</v>
      </c>
    </row>
    <row r="4331" customFormat="false" ht="23.25" hidden="false" customHeight="true" outlineLevel="0" collapsed="false">
      <c r="A4331" s="10" t="s">
        <v>10142</v>
      </c>
      <c r="B4331" s="10" t="s">
        <v>10064</v>
      </c>
      <c r="C4331" s="8" t="s">
        <v>10135</v>
      </c>
      <c r="D4331" s="8" t="s">
        <v>10143</v>
      </c>
      <c r="E4331" s="11" t="n">
        <v>364</v>
      </c>
      <c r="F4331" s="8" t="str">
        <f aca="false">IFERROR(INDEX(Section_Master!$D$2:$D$477,MATCH($E4331,Section_Master!$A$2:$A$477,0))&amp;"","")</f>
        <v>Not applicable - procedural provision (BNSS), no offence defined</v>
      </c>
      <c r="G4331" s="10" t="str">
        <f aca="false">IFERROR(INDEX(Section_Master!$E$2:$E$477,MATCH($E4331,Section_Master!$A$2:$A$477,0))&amp;"","")</f>
        <v>N/A</v>
      </c>
      <c r="H4331" s="10" t="str">
        <f aca="false">IFERROR(INDEX(Section_Master!$F$2:$F$477,MATCH($E4331,Section_Master!$A$2:$A$477,0))&amp;"","")</f>
        <v>N/A</v>
      </c>
      <c r="I4331" s="10" t="str">
        <f aca="false">IFERROR(INDEX(Section_Master!$G$2:$G$477,MATCH($E4331,Section_Master!$A$2:$A$477,0))&amp;"","")</f>
        <v>N/A</v>
      </c>
      <c r="J4331" s="10" t="s">
        <v>58</v>
      </c>
      <c r="K4331" s="8" t="s">
        <v>10137</v>
      </c>
    </row>
    <row r="4332" customFormat="false" ht="23.25" hidden="false" customHeight="true" outlineLevel="0" collapsed="false">
      <c r="A4332" s="10" t="s">
        <v>10144</v>
      </c>
      <c r="B4332" s="10" t="s">
        <v>10064</v>
      </c>
      <c r="C4332" s="8" t="s">
        <v>10135</v>
      </c>
      <c r="D4332" s="8" t="s">
        <v>10145</v>
      </c>
      <c r="E4332" s="11" t="n">
        <v>364</v>
      </c>
      <c r="F4332" s="8" t="str">
        <f aca="false">IFERROR(INDEX(Section_Master!$D$2:$D$477,MATCH($E4332,Section_Master!$A$2:$A$477,0))&amp;"","")</f>
        <v>Not applicable - procedural provision (BNSS), no offence defined</v>
      </c>
      <c r="G4332" s="10" t="str">
        <f aca="false">IFERROR(INDEX(Section_Master!$E$2:$E$477,MATCH($E4332,Section_Master!$A$2:$A$477,0))&amp;"","")</f>
        <v>N/A</v>
      </c>
      <c r="H4332" s="10" t="str">
        <f aca="false">IFERROR(INDEX(Section_Master!$F$2:$F$477,MATCH($E4332,Section_Master!$A$2:$A$477,0))&amp;"","")</f>
        <v>N/A</v>
      </c>
      <c r="I4332" s="10" t="str">
        <f aca="false">IFERROR(INDEX(Section_Master!$G$2:$G$477,MATCH($E4332,Section_Master!$A$2:$A$477,0))&amp;"","")</f>
        <v>N/A</v>
      </c>
      <c r="J4332" s="10" t="s">
        <v>61</v>
      </c>
      <c r="K4332" s="8" t="s">
        <v>10137</v>
      </c>
    </row>
    <row r="4333" customFormat="false" ht="45.75" hidden="false" customHeight="true" outlineLevel="0" collapsed="false">
      <c r="A4333" s="10" t="s">
        <v>10146</v>
      </c>
      <c r="B4333" s="10" t="s">
        <v>10064</v>
      </c>
      <c r="C4333" s="8" t="s">
        <v>10135</v>
      </c>
      <c r="D4333" s="8" t="s">
        <v>10147</v>
      </c>
      <c r="E4333" s="11" t="n">
        <v>364</v>
      </c>
      <c r="F4333" s="8" t="str">
        <f aca="false">IFERROR(INDEX(Section_Master!$D$2:$D$477,MATCH($E4333,Section_Master!$A$2:$A$477,0))&amp;"","")</f>
        <v>Not applicable - procedural provision (BNSS), no offence defined</v>
      </c>
      <c r="G4333" s="10" t="str">
        <f aca="false">IFERROR(INDEX(Section_Master!$E$2:$E$477,MATCH($E4333,Section_Master!$A$2:$A$477,0))&amp;"","")</f>
        <v>N/A</v>
      </c>
      <c r="H4333" s="10" t="str">
        <f aca="false">IFERROR(INDEX(Section_Master!$F$2:$F$477,MATCH($E4333,Section_Master!$A$2:$A$477,0))&amp;"","")</f>
        <v>N/A</v>
      </c>
      <c r="I4333" s="10" t="str">
        <f aca="false">IFERROR(INDEX(Section_Master!$G$2:$G$477,MATCH($E4333,Section_Master!$A$2:$A$477,0))&amp;"","")</f>
        <v>N/A</v>
      </c>
      <c r="J4333" s="10" t="s">
        <v>64</v>
      </c>
      <c r="K4333" s="8" t="s">
        <v>10137</v>
      </c>
    </row>
    <row r="4334" customFormat="false" ht="34.5" hidden="false" customHeight="true" outlineLevel="0" collapsed="false">
      <c r="A4334" s="10" t="s">
        <v>10148</v>
      </c>
      <c r="B4334" s="10" t="s">
        <v>10064</v>
      </c>
      <c r="C4334" s="8" t="s">
        <v>10149</v>
      </c>
      <c r="D4334" s="8" t="s">
        <v>10150</v>
      </c>
      <c r="E4334" s="11" t="n">
        <v>365</v>
      </c>
      <c r="F4334" s="8" t="str">
        <f aca="false">IFERROR(INDEX(Section_Master!$D$2:$D$477,MATCH($E4334,Section_Master!$A$2:$A$477,0))&amp;"","")</f>
        <v>Not applicable - procedural provision (BNSS), no offence defined</v>
      </c>
      <c r="G4334" s="10" t="str">
        <f aca="false">IFERROR(INDEX(Section_Master!$E$2:$E$477,MATCH($E4334,Section_Master!$A$2:$A$477,0))&amp;"","")</f>
        <v>N/A</v>
      </c>
      <c r="H4334" s="10" t="str">
        <f aca="false">IFERROR(INDEX(Section_Master!$F$2:$F$477,MATCH($E4334,Section_Master!$A$2:$A$477,0))&amp;"","")</f>
        <v>N/A</v>
      </c>
      <c r="I4334" s="10" t="str">
        <f aca="false">IFERROR(INDEX(Section_Master!$G$2:$G$477,MATCH($E4334,Section_Master!$A$2:$A$477,0))&amp;"","")</f>
        <v>N/A</v>
      </c>
      <c r="J4334" s="10" t="s">
        <v>48</v>
      </c>
      <c r="K4334" s="8" t="s">
        <v>10151</v>
      </c>
    </row>
    <row r="4335" customFormat="false" ht="45.75" hidden="false" customHeight="true" outlineLevel="0" collapsed="false">
      <c r="A4335" s="10" t="s">
        <v>10152</v>
      </c>
      <c r="B4335" s="10" t="s">
        <v>10064</v>
      </c>
      <c r="C4335" s="8" t="s">
        <v>10149</v>
      </c>
      <c r="D4335" s="8" t="s">
        <v>10153</v>
      </c>
      <c r="E4335" s="11" t="n">
        <v>365</v>
      </c>
      <c r="F4335" s="8" t="str">
        <f aca="false">IFERROR(INDEX(Section_Master!$D$2:$D$477,MATCH($E4335,Section_Master!$A$2:$A$477,0))&amp;"","")</f>
        <v>Not applicable - procedural provision (BNSS), no offence defined</v>
      </c>
      <c r="G4335" s="10" t="str">
        <f aca="false">IFERROR(INDEX(Section_Master!$E$2:$E$477,MATCH($E4335,Section_Master!$A$2:$A$477,0))&amp;"","")</f>
        <v>N/A</v>
      </c>
      <c r="H4335" s="10" t="str">
        <f aca="false">IFERROR(INDEX(Section_Master!$F$2:$F$477,MATCH($E4335,Section_Master!$A$2:$A$477,0))&amp;"","")</f>
        <v>N/A</v>
      </c>
      <c r="I4335" s="10" t="str">
        <f aca="false">IFERROR(INDEX(Section_Master!$G$2:$G$477,MATCH($E4335,Section_Master!$A$2:$A$477,0))&amp;"","")</f>
        <v>N/A</v>
      </c>
      <c r="J4335" s="10" t="s">
        <v>52</v>
      </c>
      <c r="K4335" s="8" t="s">
        <v>10151</v>
      </c>
    </row>
    <row r="4336" customFormat="false" ht="45.75" hidden="false" customHeight="true" outlineLevel="0" collapsed="false">
      <c r="A4336" s="10" t="s">
        <v>10154</v>
      </c>
      <c r="B4336" s="10" t="s">
        <v>10064</v>
      </c>
      <c r="C4336" s="8" t="s">
        <v>10149</v>
      </c>
      <c r="D4336" s="8" t="s">
        <v>10155</v>
      </c>
      <c r="E4336" s="11" t="n">
        <v>365</v>
      </c>
      <c r="F4336" s="8" t="str">
        <f aca="false">IFERROR(INDEX(Section_Master!$D$2:$D$477,MATCH($E4336,Section_Master!$A$2:$A$477,0))&amp;"","")</f>
        <v>Not applicable - procedural provision (BNSS), no offence defined</v>
      </c>
      <c r="G4336" s="10" t="str">
        <f aca="false">IFERROR(INDEX(Section_Master!$E$2:$E$477,MATCH($E4336,Section_Master!$A$2:$A$477,0))&amp;"","")</f>
        <v>N/A</v>
      </c>
      <c r="H4336" s="10" t="str">
        <f aca="false">IFERROR(INDEX(Section_Master!$F$2:$F$477,MATCH($E4336,Section_Master!$A$2:$A$477,0))&amp;"","")</f>
        <v>N/A</v>
      </c>
      <c r="I4336" s="10" t="str">
        <f aca="false">IFERROR(INDEX(Section_Master!$G$2:$G$477,MATCH($E4336,Section_Master!$A$2:$A$477,0))&amp;"","")</f>
        <v>N/A</v>
      </c>
      <c r="J4336" s="10" t="s">
        <v>55</v>
      </c>
      <c r="K4336" s="8" t="s">
        <v>10151</v>
      </c>
    </row>
    <row r="4337" customFormat="false" ht="34.5" hidden="false" customHeight="true" outlineLevel="0" collapsed="false">
      <c r="A4337" s="10" t="s">
        <v>10156</v>
      </c>
      <c r="B4337" s="10" t="s">
        <v>10064</v>
      </c>
      <c r="C4337" s="8" t="s">
        <v>10149</v>
      </c>
      <c r="D4337" s="8" t="s">
        <v>10157</v>
      </c>
      <c r="E4337" s="11" t="n">
        <v>365</v>
      </c>
      <c r="F4337" s="8" t="str">
        <f aca="false">IFERROR(INDEX(Section_Master!$D$2:$D$477,MATCH($E4337,Section_Master!$A$2:$A$477,0))&amp;"","")</f>
        <v>Not applicable - procedural provision (BNSS), no offence defined</v>
      </c>
      <c r="G4337" s="10" t="str">
        <f aca="false">IFERROR(INDEX(Section_Master!$E$2:$E$477,MATCH($E4337,Section_Master!$A$2:$A$477,0))&amp;"","")</f>
        <v>N/A</v>
      </c>
      <c r="H4337" s="10" t="str">
        <f aca="false">IFERROR(INDEX(Section_Master!$F$2:$F$477,MATCH($E4337,Section_Master!$A$2:$A$477,0))&amp;"","")</f>
        <v>N/A</v>
      </c>
      <c r="I4337" s="10" t="str">
        <f aca="false">IFERROR(INDEX(Section_Master!$G$2:$G$477,MATCH($E4337,Section_Master!$A$2:$A$477,0))&amp;"","")</f>
        <v>N/A</v>
      </c>
      <c r="J4337" s="10" t="s">
        <v>58</v>
      </c>
      <c r="K4337" s="8" t="s">
        <v>10151</v>
      </c>
    </row>
    <row r="4338" customFormat="false" ht="34.5" hidden="false" customHeight="true" outlineLevel="0" collapsed="false">
      <c r="A4338" s="10" t="s">
        <v>10158</v>
      </c>
      <c r="B4338" s="10" t="s">
        <v>10064</v>
      </c>
      <c r="C4338" s="8" t="s">
        <v>10149</v>
      </c>
      <c r="D4338" s="8" t="s">
        <v>10159</v>
      </c>
      <c r="E4338" s="11" t="n">
        <v>365</v>
      </c>
      <c r="F4338" s="8" t="str">
        <f aca="false">IFERROR(INDEX(Section_Master!$D$2:$D$477,MATCH($E4338,Section_Master!$A$2:$A$477,0))&amp;"","")</f>
        <v>Not applicable - procedural provision (BNSS), no offence defined</v>
      </c>
      <c r="G4338" s="10" t="str">
        <f aca="false">IFERROR(INDEX(Section_Master!$E$2:$E$477,MATCH($E4338,Section_Master!$A$2:$A$477,0))&amp;"","")</f>
        <v>N/A</v>
      </c>
      <c r="H4338" s="10" t="str">
        <f aca="false">IFERROR(INDEX(Section_Master!$F$2:$F$477,MATCH($E4338,Section_Master!$A$2:$A$477,0))&amp;"","")</f>
        <v>N/A</v>
      </c>
      <c r="I4338" s="10" t="str">
        <f aca="false">IFERROR(INDEX(Section_Master!$G$2:$G$477,MATCH($E4338,Section_Master!$A$2:$A$477,0))&amp;"","")</f>
        <v>N/A</v>
      </c>
      <c r="J4338" s="10" t="s">
        <v>61</v>
      </c>
      <c r="K4338" s="8" t="s">
        <v>10151</v>
      </c>
    </row>
    <row r="4339" customFormat="false" ht="45.75" hidden="false" customHeight="true" outlineLevel="0" collapsed="false">
      <c r="A4339" s="10" t="s">
        <v>10160</v>
      </c>
      <c r="B4339" s="10" t="s">
        <v>10064</v>
      </c>
      <c r="C4339" s="8" t="s">
        <v>10149</v>
      </c>
      <c r="D4339" s="8" t="s">
        <v>10161</v>
      </c>
      <c r="E4339" s="11" t="n">
        <v>365</v>
      </c>
      <c r="F4339" s="8" t="str">
        <f aca="false">IFERROR(INDEX(Section_Master!$D$2:$D$477,MATCH($E4339,Section_Master!$A$2:$A$477,0))&amp;"","")</f>
        <v>Not applicable - procedural provision (BNSS), no offence defined</v>
      </c>
      <c r="G4339" s="10" t="str">
        <f aca="false">IFERROR(INDEX(Section_Master!$E$2:$E$477,MATCH($E4339,Section_Master!$A$2:$A$477,0))&amp;"","")</f>
        <v>N/A</v>
      </c>
      <c r="H4339" s="10" t="str">
        <f aca="false">IFERROR(INDEX(Section_Master!$F$2:$F$477,MATCH($E4339,Section_Master!$A$2:$A$477,0))&amp;"","")</f>
        <v>N/A</v>
      </c>
      <c r="I4339" s="10" t="str">
        <f aca="false">IFERROR(INDEX(Section_Master!$G$2:$G$477,MATCH($E4339,Section_Master!$A$2:$A$477,0))&amp;"","")</f>
        <v>N/A</v>
      </c>
      <c r="J4339" s="10" t="s">
        <v>64</v>
      </c>
      <c r="K4339" s="8" t="s">
        <v>10151</v>
      </c>
    </row>
    <row r="4340" customFormat="false" ht="34.5" hidden="false" customHeight="true" outlineLevel="0" collapsed="false">
      <c r="A4340" s="10" t="s">
        <v>10162</v>
      </c>
      <c r="B4340" s="10" t="s">
        <v>10064</v>
      </c>
      <c r="C4340" s="8" t="s">
        <v>10163</v>
      </c>
      <c r="D4340" s="8" t="s">
        <v>10164</v>
      </c>
      <c r="E4340" s="11" t="n">
        <v>366</v>
      </c>
      <c r="F4340" s="8" t="str">
        <f aca="false">IFERROR(INDEX(Section_Master!$D$2:$D$477,MATCH($E4340,Section_Master!$A$2:$A$477,0))&amp;"","")</f>
        <v>Not applicable - procedural provision (BNSS), no offence defined</v>
      </c>
      <c r="G4340" s="10" t="str">
        <f aca="false">IFERROR(INDEX(Section_Master!$E$2:$E$477,MATCH($E4340,Section_Master!$A$2:$A$477,0))&amp;"","")</f>
        <v>N/A</v>
      </c>
      <c r="H4340" s="10" t="str">
        <f aca="false">IFERROR(INDEX(Section_Master!$F$2:$F$477,MATCH($E4340,Section_Master!$A$2:$A$477,0))&amp;"","")</f>
        <v>N/A</v>
      </c>
      <c r="I4340" s="10" t="str">
        <f aca="false">IFERROR(INDEX(Section_Master!$G$2:$G$477,MATCH($E4340,Section_Master!$A$2:$A$477,0))&amp;"","")</f>
        <v>N/A</v>
      </c>
      <c r="J4340" s="10" t="s">
        <v>48</v>
      </c>
      <c r="K4340" s="8" t="s">
        <v>10165</v>
      </c>
    </row>
    <row r="4341" customFormat="false" ht="45.75" hidden="false" customHeight="true" outlineLevel="0" collapsed="false">
      <c r="A4341" s="10" t="s">
        <v>10166</v>
      </c>
      <c r="B4341" s="10" t="s">
        <v>10064</v>
      </c>
      <c r="C4341" s="8" t="s">
        <v>10163</v>
      </c>
      <c r="D4341" s="8" t="s">
        <v>10167</v>
      </c>
      <c r="E4341" s="11" t="n">
        <v>366</v>
      </c>
      <c r="F4341" s="8" t="str">
        <f aca="false">IFERROR(INDEX(Section_Master!$D$2:$D$477,MATCH($E4341,Section_Master!$A$2:$A$477,0))&amp;"","")</f>
        <v>Not applicable - procedural provision (BNSS), no offence defined</v>
      </c>
      <c r="G4341" s="10" t="str">
        <f aca="false">IFERROR(INDEX(Section_Master!$E$2:$E$477,MATCH($E4341,Section_Master!$A$2:$A$477,0))&amp;"","")</f>
        <v>N/A</v>
      </c>
      <c r="H4341" s="10" t="str">
        <f aca="false">IFERROR(INDEX(Section_Master!$F$2:$F$477,MATCH($E4341,Section_Master!$A$2:$A$477,0))&amp;"","")</f>
        <v>N/A</v>
      </c>
      <c r="I4341" s="10" t="str">
        <f aca="false">IFERROR(INDEX(Section_Master!$G$2:$G$477,MATCH($E4341,Section_Master!$A$2:$A$477,0))&amp;"","")</f>
        <v>N/A</v>
      </c>
      <c r="J4341" s="10" t="s">
        <v>52</v>
      </c>
      <c r="K4341" s="8" t="s">
        <v>10165</v>
      </c>
    </row>
    <row r="4342" customFormat="false" ht="34.5" hidden="false" customHeight="true" outlineLevel="0" collapsed="false">
      <c r="A4342" s="10" t="s">
        <v>10168</v>
      </c>
      <c r="B4342" s="10" t="s">
        <v>10064</v>
      </c>
      <c r="C4342" s="8" t="s">
        <v>10163</v>
      </c>
      <c r="D4342" s="8" t="s">
        <v>10169</v>
      </c>
      <c r="E4342" s="11" t="n">
        <v>366</v>
      </c>
      <c r="F4342" s="8" t="str">
        <f aca="false">IFERROR(INDEX(Section_Master!$D$2:$D$477,MATCH($E4342,Section_Master!$A$2:$A$477,0))&amp;"","")</f>
        <v>Not applicable - procedural provision (BNSS), no offence defined</v>
      </c>
      <c r="G4342" s="10" t="str">
        <f aca="false">IFERROR(INDEX(Section_Master!$E$2:$E$477,MATCH($E4342,Section_Master!$A$2:$A$477,0))&amp;"","")</f>
        <v>N/A</v>
      </c>
      <c r="H4342" s="10" t="str">
        <f aca="false">IFERROR(INDEX(Section_Master!$F$2:$F$477,MATCH($E4342,Section_Master!$A$2:$A$477,0))&amp;"","")</f>
        <v>N/A</v>
      </c>
      <c r="I4342" s="10" t="str">
        <f aca="false">IFERROR(INDEX(Section_Master!$G$2:$G$477,MATCH($E4342,Section_Master!$A$2:$A$477,0))&amp;"","")</f>
        <v>N/A</v>
      </c>
      <c r="J4342" s="10" t="s">
        <v>55</v>
      </c>
      <c r="K4342" s="8" t="s">
        <v>10165</v>
      </c>
    </row>
    <row r="4343" customFormat="false" ht="23.25" hidden="false" customHeight="true" outlineLevel="0" collapsed="false">
      <c r="A4343" s="10" t="s">
        <v>10170</v>
      </c>
      <c r="B4343" s="10" t="s">
        <v>10064</v>
      </c>
      <c r="C4343" s="8" t="s">
        <v>10163</v>
      </c>
      <c r="D4343" s="8" t="s">
        <v>10171</v>
      </c>
      <c r="E4343" s="11" t="n">
        <v>366</v>
      </c>
      <c r="F4343" s="8" t="str">
        <f aca="false">IFERROR(INDEX(Section_Master!$D$2:$D$477,MATCH($E4343,Section_Master!$A$2:$A$477,0))&amp;"","")</f>
        <v>Not applicable - procedural provision (BNSS), no offence defined</v>
      </c>
      <c r="G4343" s="10" t="str">
        <f aca="false">IFERROR(INDEX(Section_Master!$E$2:$E$477,MATCH($E4343,Section_Master!$A$2:$A$477,0))&amp;"","")</f>
        <v>N/A</v>
      </c>
      <c r="H4343" s="10" t="str">
        <f aca="false">IFERROR(INDEX(Section_Master!$F$2:$F$477,MATCH($E4343,Section_Master!$A$2:$A$477,0))&amp;"","")</f>
        <v>N/A</v>
      </c>
      <c r="I4343" s="10" t="str">
        <f aca="false">IFERROR(INDEX(Section_Master!$G$2:$G$477,MATCH($E4343,Section_Master!$A$2:$A$477,0))&amp;"","")</f>
        <v>N/A</v>
      </c>
      <c r="J4343" s="10" t="s">
        <v>58</v>
      </c>
      <c r="K4343" s="8" t="s">
        <v>10165</v>
      </c>
    </row>
    <row r="4344" customFormat="false" ht="34.5" hidden="false" customHeight="true" outlineLevel="0" collapsed="false">
      <c r="A4344" s="10" t="s">
        <v>10172</v>
      </c>
      <c r="B4344" s="10" t="s">
        <v>10064</v>
      </c>
      <c r="C4344" s="8" t="s">
        <v>10163</v>
      </c>
      <c r="D4344" s="8" t="s">
        <v>10173</v>
      </c>
      <c r="E4344" s="11" t="n">
        <v>366</v>
      </c>
      <c r="F4344" s="8" t="str">
        <f aca="false">IFERROR(INDEX(Section_Master!$D$2:$D$477,MATCH($E4344,Section_Master!$A$2:$A$477,0))&amp;"","")</f>
        <v>Not applicable - procedural provision (BNSS), no offence defined</v>
      </c>
      <c r="G4344" s="10" t="str">
        <f aca="false">IFERROR(INDEX(Section_Master!$E$2:$E$477,MATCH($E4344,Section_Master!$A$2:$A$477,0))&amp;"","")</f>
        <v>N/A</v>
      </c>
      <c r="H4344" s="10" t="str">
        <f aca="false">IFERROR(INDEX(Section_Master!$F$2:$F$477,MATCH($E4344,Section_Master!$A$2:$A$477,0))&amp;"","")</f>
        <v>N/A</v>
      </c>
      <c r="I4344" s="10" t="str">
        <f aca="false">IFERROR(INDEX(Section_Master!$G$2:$G$477,MATCH($E4344,Section_Master!$A$2:$A$477,0))&amp;"","")</f>
        <v>N/A</v>
      </c>
      <c r="J4344" s="10" t="s">
        <v>61</v>
      </c>
      <c r="K4344" s="8" t="s">
        <v>10165</v>
      </c>
    </row>
    <row r="4345" customFormat="false" ht="45.75" hidden="false" customHeight="true" outlineLevel="0" collapsed="false">
      <c r="A4345" s="10" t="s">
        <v>10174</v>
      </c>
      <c r="B4345" s="10" t="s">
        <v>10064</v>
      </c>
      <c r="C4345" s="8" t="s">
        <v>10163</v>
      </c>
      <c r="D4345" s="8" t="s">
        <v>10175</v>
      </c>
      <c r="E4345" s="11" t="n">
        <v>366</v>
      </c>
      <c r="F4345" s="8" t="str">
        <f aca="false">IFERROR(INDEX(Section_Master!$D$2:$D$477,MATCH($E4345,Section_Master!$A$2:$A$477,0))&amp;"","")</f>
        <v>Not applicable - procedural provision (BNSS), no offence defined</v>
      </c>
      <c r="G4345" s="10" t="str">
        <f aca="false">IFERROR(INDEX(Section_Master!$E$2:$E$477,MATCH($E4345,Section_Master!$A$2:$A$477,0))&amp;"","")</f>
        <v>N/A</v>
      </c>
      <c r="H4345" s="10" t="str">
        <f aca="false">IFERROR(INDEX(Section_Master!$F$2:$F$477,MATCH($E4345,Section_Master!$A$2:$A$477,0))&amp;"","")</f>
        <v>N/A</v>
      </c>
      <c r="I4345" s="10" t="str">
        <f aca="false">IFERROR(INDEX(Section_Master!$G$2:$G$477,MATCH($E4345,Section_Master!$A$2:$A$477,0))&amp;"","")</f>
        <v>N/A</v>
      </c>
      <c r="J4345" s="10" t="s">
        <v>64</v>
      </c>
      <c r="K4345" s="8" t="s">
        <v>10165</v>
      </c>
    </row>
    <row r="4346" customFormat="false" ht="34.5" hidden="false" customHeight="true" outlineLevel="0" collapsed="false">
      <c r="A4346" s="10" t="s">
        <v>10176</v>
      </c>
      <c r="B4346" s="10" t="s">
        <v>10064</v>
      </c>
      <c r="C4346" s="8" t="s">
        <v>10177</v>
      </c>
      <c r="D4346" s="8" t="s">
        <v>10178</v>
      </c>
      <c r="E4346" s="11" t="n">
        <v>367</v>
      </c>
      <c r="F4346" s="8" t="str">
        <f aca="false">IFERROR(INDEX(Section_Master!$D$2:$D$477,MATCH($E4346,Section_Master!$A$2:$A$477,0))&amp;"","")</f>
        <v>Not applicable - procedural provision (BNSS), no offence defined</v>
      </c>
      <c r="G4346" s="10" t="str">
        <f aca="false">IFERROR(INDEX(Section_Master!$E$2:$E$477,MATCH($E4346,Section_Master!$A$2:$A$477,0))&amp;"","")</f>
        <v>N/A</v>
      </c>
      <c r="H4346" s="10" t="str">
        <f aca="false">IFERROR(INDEX(Section_Master!$F$2:$F$477,MATCH($E4346,Section_Master!$A$2:$A$477,0))&amp;"","")</f>
        <v>N/A</v>
      </c>
      <c r="I4346" s="10" t="str">
        <f aca="false">IFERROR(INDEX(Section_Master!$G$2:$G$477,MATCH($E4346,Section_Master!$A$2:$A$477,0))&amp;"","")</f>
        <v>N/A</v>
      </c>
      <c r="J4346" s="10" t="s">
        <v>48</v>
      </c>
      <c r="K4346" s="8" t="s">
        <v>10179</v>
      </c>
    </row>
    <row r="4347" customFormat="false" ht="45.75" hidden="false" customHeight="true" outlineLevel="0" collapsed="false">
      <c r="A4347" s="10" t="s">
        <v>10180</v>
      </c>
      <c r="B4347" s="10" t="s">
        <v>10064</v>
      </c>
      <c r="C4347" s="8" t="s">
        <v>10177</v>
      </c>
      <c r="D4347" s="8" t="s">
        <v>10181</v>
      </c>
      <c r="E4347" s="11" t="n">
        <v>367</v>
      </c>
      <c r="F4347" s="8" t="str">
        <f aca="false">IFERROR(INDEX(Section_Master!$D$2:$D$477,MATCH($E4347,Section_Master!$A$2:$A$477,0))&amp;"","")</f>
        <v>Not applicable - procedural provision (BNSS), no offence defined</v>
      </c>
      <c r="G4347" s="10" t="str">
        <f aca="false">IFERROR(INDEX(Section_Master!$E$2:$E$477,MATCH($E4347,Section_Master!$A$2:$A$477,0))&amp;"","")</f>
        <v>N/A</v>
      </c>
      <c r="H4347" s="10" t="str">
        <f aca="false">IFERROR(INDEX(Section_Master!$F$2:$F$477,MATCH($E4347,Section_Master!$A$2:$A$477,0))&amp;"","")</f>
        <v>N/A</v>
      </c>
      <c r="I4347" s="10" t="str">
        <f aca="false">IFERROR(INDEX(Section_Master!$G$2:$G$477,MATCH($E4347,Section_Master!$A$2:$A$477,0))&amp;"","")</f>
        <v>N/A</v>
      </c>
      <c r="J4347" s="10" t="s">
        <v>52</v>
      </c>
      <c r="K4347" s="8" t="s">
        <v>10179</v>
      </c>
    </row>
    <row r="4348" customFormat="false" ht="45.75" hidden="false" customHeight="true" outlineLevel="0" collapsed="false">
      <c r="A4348" s="10" t="s">
        <v>10182</v>
      </c>
      <c r="B4348" s="10" t="s">
        <v>10064</v>
      </c>
      <c r="C4348" s="8" t="s">
        <v>10177</v>
      </c>
      <c r="D4348" s="8" t="s">
        <v>10183</v>
      </c>
      <c r="E4348" s="11" t="n">
        <v>367</v>
      </c>
      <c r="F4348" s="8" t="str">
        <f aca="false">IFERROR(INDEX(Section_Master!$D$2:$D$477,MATCH($E4348,Section_Master!$A$2:$A$477,0))&amp;"","")</f>
        <v>Not applicable - procedural provision (BNSS), no offence defined</v>
      </c>
      <c r="G4348" s="10" t="str">
        <f aca="false">IFERROR(INDEX(Section_Master!$E$2:$E$477,MATCH($E4348,Section_Master!$A$2:$A$477,0))&amp;"","")</f>
        <v>N/A</v>
      </c>
      <c r="H4348" s="10" t="str">
        <f aca="false">IFERROR(INDEX(Section_Master!$F$2:$F$477,MATCH($E4348,Section_Master!$A$2:$A$477,0))&amp;"","")</f>
        <v>N/A</v>
      </c>
      <c r="I4348" s="10" t="str">
        <f aca="false">IFERROR(INDEX(Section_Master!$G$2:$G$477,MATCH($E4348,Section_Master!$A$2:$A$477,0))&amp;"","")</f>
        <v>N/A</v>
      </c>
      <c r="J4348" s="10" t="s">
        <v>55</v>
      </c>
      <c r="K4348" s="8" t="s">
        <v>10179</v>
      </c>
    </row>
    <row r="4349" customFormat="false" ht="23.25" hidden="false" customHeight="true" outlineLevel="0" collapsed="false">
      <c r="A4349" s="10" t="s">
        <v>10184</v>
      </c>
      <c r="B4349" s="10" t="s">
        <v>10064</v>
      </c>
      <c r="C4349" s="8" t="s">
        <v>10177</v>
      </c>
      <c r="D4349" s="8" t="s">
        <v>10185</v>
      </c>
      <c r="E4349" s="11" t="n">
        <v>367</v>
      </c>
      <c r="F4349" s="8" t="str">
        <f aca="false">IFERROR(INDEX(Section_Master!$D$2:$D$477,MATCH($E4349,Section_Master!$A$2:$A$477,0))&amp;"","")</f>
        <v>Not applicable - procedural provision (BNSS), no offence defined</v>
      </c>
      <c r="G4349" s="10" t="str">
        <f aca="false">IFERROR(INDEX(Section_Master!$E$2:$E$477,MATCH($E4349,Section_Master!$A$2:$A$477,0))&amp;"","")</f>
        <v>N/A</v>
      </c>
      <c r="H4349" s="10" t="str">
        <f aca="false">IFERROR(INDEX(Section_Master!$F$2:$F$477,MATCH($E4349,Section_Master!$A$2:$A$477,0))&amp;"","")</f>
        <v>N/A</v>
      </c>
      <c r="I4349" s="10" t="str">
        <f aca="false">IFERROR(INDEX(Section_Master!$G$2:$G$477,MATCH($E4349,Section_Master!$A$2:$A$477,0))&amp;"","")</f>
        <v>N/A</v>
      </c>
      <c r="J4349" s="10" t="s">
        <v>58</v>
      </c>
      <c r="K4349" s="8" t="s">
        <v>10179</v>
      </c>
    </row>
    <row r="4350" customFormat="false" ht="45.75" hidden="false" customHeight="true" outlineLevel="0" collapsed="false">
      <c r="A4350" s="10" t="s">
        <v>10186</v>
      </c>
      <c r="B4350" s="10" t="s">
        <v>10064</v>
      </c>
      <c r="C4350" s="8" t="s">
        <v>10177</v>
      </c>
      <c r="D4350" s="8" t="s">
        <v>10187</v>
      </c>
      <c r="E4350" s="11" t="n">
        <v>367</v>
      </c>
      <c r="F4350" s="8" t="str">
        <f aca="false">IFERROR(INDEX(Section_Master!$D$2:$D$477,MATCH($E4350,Section_Master!$A$2:$A$477,0))&amp;"","")</f>
        <v>Not applicable - procedural provision (BNSS), no offence defined</v>
      </c>
      <c r="G4350" s="10" t="str">
        <f aca="false">IFERROR(INDEX(Section_Master!$E$2:$E$477,MATCH($E4350,Section_Master!$A$2:$A$477,0))&amp;"","")</f>
        <v>N/A</v>
      </c>
      <c r="H4350" s="10" t="str">
        <f aca="false">IFERROR(INDEX(Section_Master!$F$2:$F$477,MATCH($E4350,Section_Master!$A$2:$A$477,0))&amp;"","")</f>
        <v>N/A</v>
      </c>
      <c r="I4350" s="10" t="str">
        <f aca="false">IFERROR(INDEX(Section_Master!$G$2:$G$477,MATCH($E4350,Section_Master!$A$2:$A$477,0))&amp;"","")</f>
        <v>N/A</v>
      </c>
      <c r="J4350" s="10" t="s">
        <v>61</v>
      </c>
      <c r="K4350" s="8" t="s">
        <v>10179</v>
      </c>
    </row>
    <row r="4351" customFormat="false" ht="57" hidden="false" customHeight="true" outlineLevel="0" collapsed="false">
      <c r="A4351" s="10" t="s">
        <v>10188</v>
      </c>
      <c r="B4351" s="10" t="s">
        <v>10064</v>
      </c>
      <c r="C4351" s="8" t="s">
        <v>10177</v>
      </c>
      <c r="D4351" s="8" t="s">
        <v>10189</v>
      </c>
      <c r="E4351" s="11" t="n">
        <v>367</v>
      </c>
      <c r="F4351" s="8" t="str">
        <f aca="false">IFERROR(INDEX(Section_Master!$D$2:$D$477,MATCH($E4351,Section_Master!$A$2:$A$477,0))&amp;"","")</f>
        <v>Not applicable - procedural provision (BNSS), no offence defined</v>
      </c>
      <c r="G4351" s="10" t="str">
        <f aca="false">IFERROR(INDEX(Section_Master!$E$2:$E$477,MATCH($E4351,Section_Master!$A$2:$A$477,0))&amp;"","")</f>
        <v>N/A</v>
      </c>
      <c r="H4351" s="10" t="str">
        <f aca="false">IFERROR(INDEX(Section_Master!$F$2:$F$477,MATCH($E4351,Section_Master!$A$2:$A$477,0))&amp;"","")</f>
        <v>N/A</v>
      </c>
      <c r="I4351" s="10" t="str">
        <f aca="false">IFERROR(INDEX(Section_Master!$G$2:$G$477,MATCH($E4351,Section_Master!$A$2:$A$477,0))&amp;"","")</f>
        <v>N/A</v>
      </c>
      <c r="J4351" s="10" t="s">
        <v>64</v>
      </c>
      <c r="K4351" s="8" t="s">
        <v>10179</v>
      </c>
    </row>
    <row r="4352" customFormat="false" ht="34.5" hidden="false" customHeight="true" outlineLevel="0" collapsed="false">
      <c r="A4352" s="10" t="s">
        <v>10190</v>
      </c>
      <c r="B4352" s="10" t="s">
        <v>10064</v>
      </c>
      <c r="C4352" s="8" t="s">
        <v>10191</v>
      </c>
      <c r="D4352" s="8" t="s">
        <v>10192</v>
      </c>
      <c r="E4352" s="11" t="n">
        <v>368</v>
      </c>
      <c r="F4352" s="8" t="str">
        <f aca="false">IFERROR(INDEX(Section_Master!$D$2:$D$477,MATCH($E4352,Section_Master!$A$2:$A$477,0))&amp;"","")</f>
        <v>Not applicable - procedural provision (BNSS), no offence defined</v>
      </c>
      <c r="G4352" s="10" t="str">
        <f aca="false">IFERROR(INDEX(Section_Master!$E$2:$E$477,MATCH($E4352,Section_Master!$A$2:$A$477,0))&amp;"","")</f>
        <v>N/A</v>
      </c>
      <c r="H4352" s="10" t="str">
        <f aca="false">IFERROR(INDEX(Section_Master!$F$2:$F$477,MATCH($E4352,Section_Master!$A$2:$A$477,0))&amp;"","")</f>
        <v>N/A</v>
      </c>
      <c r="I4352" s="10" t="str">
        <f aca="false">IFERROR(INDEX(Section_Master!$G$2:$G$477,MATCH($E4352,Section_Master!$A$2:$A$477,0))&amp;"","")</f>
        <v>N/A</v>
      </c>
      <c r="J4352" s="10" t="s">
        <v>48</v>
      </c>
      <c r="K4352" s="8" t="s">
        <v>10193</v>
      </c>
    </row>
    <row r="4353" customFormat="false" ht="45.75" hidden="false" customHeight="true" outlineLevel="0" collapsed="false">
      <c r="A4353" s="10" t="s">
        <v>10194</v>
      </c>
      <c r="B4353" s="10" t="s">
        <v>10064</v>
      </c>
      <c r="C4353" s="8" t="s">
        <v>10191</v>
      </c>
      <c r="D4353" s="8" t="s">
        <v>10195</v>
      </c>
      <c r="E4353" s="11" t="n">
        <v>368</v>
      </c>
      <c r="F4353" s="8" t="str">
        <f aca="false">IFERROR(INDEX(Section_Master!$D$2:$D$477,MATCH($E4353,Section_Master!$A$2:$A$477,0))&amp;"","")</f>
        <v>Not applicable - procedural provision (BNSS), no offence defined</v>
      </c>
      <c r="G4353" s="10" t="str">
        <f aca="false">IFERROR(INDEX(Section_Master!$E$2:$E$477,MATCH($E4353,Section_Master!$A$2:$A$477,0))&amp;"","")</f>
        <v>N/A</v>
      </c>
      <c r="H4353" s="10" t="str">
        <f aca="false">IFERROR(INDEX(Section_Master!$F$2:$F$477,MATCH($E4353,Section_Master!$A$2:$A$477,0))&amp;"","")</f>
        <v>N/A</v>
      </c>
      <c r="I4353" s="10" t="str">
        <f aca="false">IFERROR(INDEX(Section_Master!$G$2:$G$477,MATCH($E4353,Section_Master!$A$2:$A$477,0))&amp;"","")</f>
        <v>N/A</v>
      </c>
      <c r="J4353" s="10" t="s">
        <v>52</v>
      </c>
      <c r="K4353" s="8" t="s">
        <v>10193</v>
      </c>
    </row>
    <row r="4354" customFormat="false" ht="34.5" hidden="false" customHeight="true" outlineLevel="0" collapsed="false">
      <c r="A4354" s="10" t="s">
        <v>10196</v>
      </c>
      <c r="B4354" s="10" t="s">
        <v>10064</v>
      </c>
      <c r="C4354" s="8" t="s">
        <v>10191</v>
      </c>
      <c r="D4354" s="8" t="s">
        <v>10197</v>
      </c>
      <c r="E4354" s="11" t="n">
        <v>368</v>
      </c>
      <c r="F4354" s="8" t="str">
        <f aca="false">IFERROR(INDEX(Section_Master!$D$2:$D$477,MATCH($E4354,Section_Master!$A$2:$A$477,0))&amp;"","")</f>
        <v>Not applicable - procedural provision (BNSS), no offence defined</v>
      </c>
      <c r="G4354" s="10" t="str">
        <f aca="false">IFERROR(INDEX(Section_Master!$E$2:$E$477,MATCH($E4354,Section_Master!$A$2:$A$477,0))&amp;"","")</f>
        <v>N/A</v>
      </c>
      <c r="H4354" s="10" t="str">
        <f aca="false">IFERROR(INDEX(Section_Master!$F$2:$F$477,MATCH($E4354,Section_Master!$A$2:$A$477,0))&amp;"","")</f>
        <v>N/A</v>
      </c>
      <c r="I4354" s="10" t="str">
        <f aca="false">IFERROR(INDEX(Section_Master!$G$2:$G$477,MATCH($E4354,Section_Master!$A$2:$A$477,0))&amp;"","")</f>
        <v>N/A</v>
      </c>
      <c r="J4354" s="10" t="s">
        <v>55</v>
      </c>
      <c r="K4354" s="8" t="s">
        <v>10193</v>
      </c>
    </row>
    <row r="4355" customFormat="false" ht="23.25" hidden="false" customHeight="true" outlineLevel="0" collapsed="false">
      <c r="A4355" s="10" t="s">
        <v>10198</v>
      </c>
      <c r="B4355" s="10" t="s">
        <v>10064</v>
      </c>
      <c r="C4355" s="8" t="s">
        <v>10191</v>
      </c>
      <c r="D4355" s="8" t="s">
        <v>10199</v>
      </c>
      <c r="E4355" s="11" t="n">
        <v>368</v>
      </c>
      <c r="F4355" s="8" t="str">
        <f aca="false">IFERROR(INDEX(Section_Master!$D$2:$D$477,MATCH($E4355,Section_Master!$A$2:$A$477,0))&amp;"","")</f>
        <v>Not applicable - procedural provision (BNSS), no offence defined</v>
      </c>
      <c r="G4355" s="10" t="str">
        <f aca="false">IFERROR(INDEX(Section_Master!$E$2:$E$477,MATCH($E4355,Section_Master!$A$2:$A$477,0))&amp;"","")</f>
        <v>N/A</v>
      </c>
      <c r="H4355" s="10" t="str">
        <f aca="false">IFERROR(INDEX(Section_Master!$F$2:$F$477,MATCH($E4355,Section_Master!$A$2:$A$477,0))&amp;"","")</f>
        <v>N/A</v>
      </c>
      <c r="I4355" s="10" t="str">
        <f aca="false">IFERROR(INDEX(Section_Master!$G$2:$G$477,MATCH($E4355,Section_Master!$A$2:$A$477,0))&amp;"","")</f>
        <v>N/A</v>
      </c>
      <c r="J4355" s="10" t="s">
        <v>58</v>
      </c>
      <c r="K4355" s="8" t="s">
        <v>10193</v>
      </c>
    </row>
    <row r="4356" customFormat="false" ht="23.25" hidden="false" customHeight="true" outlineLevel="0" collapsed="false">
      <c r="A4356" s="10" t="s">
        <v>10200</v>
      </c>
      <c r="B4356" s="10" t="s">
        <v>10064</v>
      </c>
      <c r="C4356" s="8" t="s">
        <v>10191</v>
      </c>
      <c r="D4356" s="8" t="s">
        <v>10201</v>
      </c>
      <c r="E4356" s="11" t="n">
        <v>368</v>
      </c>
      <c r="F4356" s="8" t="str">
        <f aca="false">IFERROR(INDEX(Section_Master!$D$2:$D$477,MATCH($E4356,Section_Master!$A$2:$A$477,0))&amp;"","")</f>
        <v>Not applicable - procedural provision (BNSS), no offence defined</v>
      </c>
      <c r="G4356" s="10" t="str">
        <f aca="false">IFERROR(INDEX(Section_Master!$E$2:$E$477,MATCH($E4356,Section_Master!$A$2:$A$477,0))&amp;"","")</f>
        <v>N/A</v>
      </c>
      <c r="H4356" s="10" t="str">
        <f aca="false">IFERROR(INDEX(Section_Master!$F$2:$F$477,MATCH($E4356,Section_Master!$A$2:$A$477,0))&amp;"","")</f>
        <v>N/A</v>
      </c>
      <c r="I4356" s="10" t="str">
        <f aca="false">IFERROR(INDEX(Section_Master!$G$2:$G$477,MATCH($E4356,Section_Master!$A$2:$A$477,0))&amp;"","")</f>
        <v>N/A</v>
      </c>
      <c r="J4356" s="10" t="s">
        <v>61</v>
      </c>
      <c r="K4356" s="8" t="s">
        <v>10193</v>
      </c>
    </row>
    <row r="4357" customFormat="false" ht="45.75" hidden="false" customHeight="true" outlineLevel="0" collapsed="false">
      <c r="A4357" s="10" t="s">
        <v>10202</v>
      </c>
      <c r="B4357" s="10" t="s">
        <v>10064</v>
      </c>
      <c r="C4357" s="8" t="s">
        <v>10191</v>
      </c>
      <c r="D4357" s="8" t="s">
        <v>10203</v>
      </c>
      <c r="E4357" s="11" t="n">
        <v>368</v>
      </c>
      <c r="F4357" s="8" t="str">
        <f aca="false">IFERROR(INDEX(Section_Master!$D$2:$D$477,MATCH($E4357,Section_Master!$A$2:$A$477,0))&amp;"","")</f>
        <v>Not applicable - procedural provision (BNSS), no offence defined</v>
      </c>
      <c r="G4357" s="10" t="str">
        <f aca="false">IFERROR(INDEX(Section_Master!$E$2:$E$477,MATCH($E4357,Section_Master!$A$2:$A$477,0))&amp;"","")</f>
        <v>N/A</v>
      </c>
      <c r="H4357" s="10" t="str">
        <f aca="false">IFERROR(INDEX(Section_Master!$F$2:$F$477,MATCH($E4357,Section_Master!$A$2:$A$477,0))&amp;"","")</f>
        <v>N/A</v>
      </c>
      <c r="I4357" s="10" t="str">
        <f aca="false">IFERROR(INDEX(Section_Master!$G$2:$G$477,MATCH($E4357,Section_Master!$A$2:$A$477,0))&amp;"","")</f>
        <v>N/A</v>
      </c>
      <c r="J4357" s="10" t="s">
        <v>64</v>
      </c>
      <c r="K4357" s="8" t="s">
        <v>10193</v>
      </c>
    </row>
    <row r="4358" customFormat="false" ht="34.5" hidden="false" customHeight="true" outlineLevel="0" collapsed="false">
      <c r="A4358" s="10" t="s">
        <v>10204</v>
      </c>
      <c r="B4358" s="10" t="s">
        <v>10064</v>
      </c>
      <c r="C4358" s="8" t="s">
        <v>10205</v>
      </c>
      <c r="D4358" s="8" t="s">
        <v>10206</v>
      </c>
      <c r="E4358" s="11" t="n">
        <v>369</v>
      </c>
      <c r="F4358" s="8" t="str">
        <f aca="false">IFERROR(INDEX(Section_Master!$D$2:$D$477,MATCH($E4358,Section_Master!$A$2:$A$477,0))&amp;"","")</f>
        <v>Not applicable - procedural provision (BNSS), no offence defined</v>
      </c>
      <c r="G4358" s="10" t="str">
        <f aca="false">IFERROR(INDEX(Section_Master!$E$2:$E$477,MATCH($E4358,Section_Master!$A$2:$A$477,0))&amp;"","")</f>
        <v>N/A</v>
      </c>
      <c r="H4358" s="10" t="str">
        <f aca="false">IFERROR(INDEX(Section_Master!$F$2:$F$477,MATCH($E4358,Section_Master!$A$2:$A$477,0))&amp;"","")</f>
        <v>N/A</v>
      </c>
      <c r="I4358" s="10" t="str">
        <f aca="false">IFERROR(INDEX(Section_Master!$G$2:$G$477,MATCH($E4358,Section_Master!$A$2:$A$477,0))&amp;"","")</f>
        <v>N/A</v>
      </c>
      <c r="J4358" s="10" t="s">
        <v>48</v>
      </c>
      <c r="K4358" s="8" t="s">
        <v>10207</v>
      </c>
    </row>
    <row r="4359" customFormat="false" ht="45.75" hidden="false" customHeight="true" outlineLevel="0" collapsed="false">
      <c r="A4359" s="10" t="s">
        <v>10208</v>
      </c>
      <c r="B4359" s="10" t="s">
        <v>10064</v>
      </c>
      <c r="C4359" s="8" t="s">
        <v>10205</v>
      </c>
      <c r="D4359" s="8" t="s">
        <v>10209</v>
      </c>
      <c r="E4359" s="11" t="n">
        <v>369</v>
      </c>
      <c r="F4359" s="8" t="str">
        <f aca="false">IFERROR(INDEX(Section_Master!$D$2:$D$477,MATCH($E4359,Section_Master!$A$2:$A$477,0))&amp;"","")</f>
        <v>Not applicable - procedural provision (BNSS), no offence defined</v>
      </c>
      <c r="G4359" s="10" t="str">
        <f aca="false">IFERROR(INDEX(Section_Master!$E$2:$E$477,MATCH($E4359,Section_Master!$A$2:$A$477,0))&amp;"","")</f>
        <v>N/A</v>
      </c>
      <c r="H4359" s="10" t="str">
        <f aca="false">IFERROR(INDEX(Section_Master!$F$2:$F$477,MATCH($E4359,Section_Master!$A$2:$A$477,0))&amp;"","")</f>
        <v>N/A</v>
      </c>
      <c r="I4359" s="10" t="str">
        <f aca="false">IFERROR(INDEX(Section_Master!$G$2:$G$477,MATCH($E4359,Section_Master!$A$2:$A$477,0))&amp;"","")</f>
        <v>N/A</v>
      </c>
      <c r="J4359" s="10" t="s">
        <v>52</v>
      </c>
      <c r="K4359" s="8" t="s">
        <v>10207</v>
      </c>
    </row>
    <row r="4360" customFormat="false" ht="34.5" hidden="false" customHeight="true" outlineLevel="0" collapsed="false">
      <c r="A4360" s="10" t="s">
        <v>10210</v>
      </c>
      <c r="B4360" s="10" t="s">
        <v>10064</v>
      </c>
      <c r="C4360" s="8" t="s">
        <v>10205</v>
      </c>
      <c r="D4360" s="8" t="s">
        <v>10211</v>
      </c>
      <c r="E4360" s="11" t="n">
        <v>369</v>
      </c>
      <c r="F4360" s="8" t="str">
        <f aca="false">IFERROR(INDEX(Section_Master!$D$2:$D$477,MATCH($E4360,Section_Master!$A$2:$A$477,0))&amp;"","")</f>
        <v>Not applicable - procedural provision (BNSS), no offence defined</v>
      </c>
      <c r="G4360" s="10" t="str">
        <f aca="false">IFERROR(INDEX(Section_Master!$E$2:$E$477,MATCH($E4360,Section_Master!$A$2:$A$477,0))&amp;"","")</f>
        <v>N/A</v>
      </c>
      <c r="H4360" s="10" t="str">
        <f aca="false">IFERROR(INDEX(Section_Master!$F$2:$F$477,MATCH($E4360,Section_Master!$A$2:$A$477,0))&amp;"","")</f>
        <v>N/A</v>
      </c>
      <c r="I4360" s="10" t="str">
        <f aca="false">IFERROR(INDEX(Section_Master!$G$2:$G$477,MATCH($E4360,Section_Master!$A$2:$A$477,0))&amp;"","")</f>
        <v>N/A</v>
      </c>
      <c r="J4360" s="10" t="s">
        <v>55</v>
      </c>
      <c r="K4360" s="8" t="s">
        <v>10207</v>
      </c>
    </row>
    <row r="4361" customFormat="false" ht="23.25" hidden="false" customHeight="true" outlineLevel="0" collapsed="false">
      <c r="A4361" s="10" t="s">
        <v>10212</v>
      </c>
      <c r="B4361" s="10" t="s">
        <v>10064</v>
      </c>
      <c r="C4361" s="8" t="s">
        <v>10205</v>
      </c>
      <c r="D4361" s="8" t="s">
        <v>10213</v>
      </c>
      <c r="E4361" s="11" t="n">
        <v>369</v>
      </c>
      <c r="F4361" s="8" t="str">
        <f aca="false">IFERROR(INDEX(Section_Master!$D$2:$D$477,MATCH($E4361,Section_Master!$A$2:$A$477,0))&amp;"","")</f>
        <v>Not applicable - procedural provision (BNSS), no offence defined</v>
      </c>
      <c r="G4361" s="10" t="str">
        <f aca="false">IFERROR(INDEX(Section_Master!$E$2:$E$477,MATCH($E4361,Section_Master!$A$2:$A$477,0))&amp;"","")</f>
        <v>N/A</v>
      </c>
      <c r="H4361" s="10" t="str">
        <f aca="false">IFERROR(INDEX(Section_Master!$F$2:$F$477,MATCH($E4361,Section_Master!$A$2:$A$477,0))&amp;"","")</f>
        <v>N/A</v>
      </c>
      <c r="I4361" s="10" t="str">
        <f aca="false">IFERROR(INDEX(Section_Master!$G$2:$G$477,MATCH($E4361,Section_Master!$A$2:$A$477,0))&amp;"","")</f>
        <v>N/A</v>
      </c>
      <c r="J4361" s="10" t="s">
        <v>58</v>
      </c>
      <c r="K4361" s="8" t="s">
        <v>10207</v>
      </c>
    </row>
    <row r="4362" customFormat="false" ht="34.5" hidden="false" customHeight="true" outlineLevel="0" collapsed="false">
      <c r="A4362" s="10" t="s">
        <v>10214</v>
      </c>
      <c r="B4362" s="10" t="s">
        <v>10064</v>
      </c>
      <c r="C4362" s="8" t="s">
        <v>10205</v>
      </c>
      <c r="D4362" s="8" t="s">
        <v>10215</v>
      </c>
      <c r="E4362" s="11" t="n">
        <v>369</v>
      </c>
      <c r="F4362" s="8" t="str">
        <f aca="false">IFERROR(INDEX(Section_Master!$D$2:$D$477,MATCH($E4362,Section_Master!$A$2:$A$477,0))&amp;"","")</f>
        <v>Not applicable - procedural provision (BNSS), no offence defined</v>
      </c>
      <c r="G4362" s="10" t="str">
        <f aca="false">IFERROR(INDEX(Section_Master!$E$2:$E$477,MATCH($E4362,Section_Master!$A$2:$A$477,0))&amp;"","")</f>
        <v>N/A</v>
      </c>
      <c r="H4362" s="10" t="str">
        <f aca="false">IFERROR(INDEX(Section_Master!$F$2:$F$477,MATCH($E4362,Section_Master!$A$2:$A$477,0))&amp;"","")</f>
        <v>N/A</v>
      </c>
      <c r="I4362" s="10" t="str">
        <f aca="false">IFERROR(INDEX(Section_Master!$G$2:$G$477,MATCH($E4362,Section_Master!$A$2:$A$477,0))&amp;"","")</f>
        <v>N/A</v>
      </c>
      <c r="J4362" s="10" t="s">
        <v>61</v>
      </c>
      <c r="K4362" s="8" t="s">
        <v>10207</v>
      </c>
    </row>
    <row r="4363" customFormat="false" ht="45.75" hidden="false" customHeight="true" outlineLevel="0" collapsed="false">
      <c r="A4363" s="10" t="s">
        <v>10216</v>
      </c>
      <c r="B4363" s="10" t="s">
        <v>10064</v>
      </c>
      <c r="C4363" s="8" t="s">
        <v>10205</v>
      </c>
      <c r="D4363" s="8" t="s">
        <v>10217</v>
      </c>
      <c r="E4363" s="11" t="n">
        <v>369</v>
      </c>
      <c r="F4363" s="8" t="str">
        <f aca="false">IFERROR(INDEX(Section_Master!$D$2:$D$477,MATCH($E4363,Section_Master!$A$2:$A$477,0))&amp;"","")</f>
        <v>Not applicable - procedural provision (BNSS), no offence defined</v>
      </c>
      <c r="G4363" s="10" t="str">
        <f aca="false">IFERROR(INDEX(Section_Master!$E$2:$E$477,MATCH($E4363,Section_Master!$A$2:$A$477,0))&amp;"","")</f>
        <v>N/A</v>
      </c>
      <c r="H4363" s="10" t="str">
        <f aca="false">IFERROR(INDEX(Section_Master!$F$2:$F$477,MATCH($E4363,Section_Master!$A$2:$A$477,0))&amp;"","")</f>
        <v>N/A</v>
      </c>
      <c r="I4363" s="10" t="str">
        <f aca="false">IFERROR(INDEX(Section_Master!$G$2:$G$477,MATCH($E4363,Section_Master!$A$2:$A$477,0))&amp;"","")</f>
        <v>N/A</v>
      </c>
      <c r="J4363" s="10" t="s">
        <v>64</v>
      </c>
      <c r="K4363" s="8" t="s">
        <v>10207</v>
      </c>
    </row>
    <row r="4364" customFormat="false" ht="23.25" hidden="false" customHeight="true" outlineLevel="0" collapsed="false">
      <c r="A4364" s="10" t="s">
        <v>10218</v>
      </c>
      <c r="B4364" s="10" t="s">
        <v>10064</v>
      </c>
      <c r="C4364" s="8" t="s">
        <v>10219</v>
      </c>
      <c r="D4364" s="8" t="s">
        <v>10220</v>
      </c>
      <c r="E4364" s="11" t="n">
        <v>370</v>
      </c>
      <c r="F4364" s="8" t="str">
        <f aca="false">IFERROR(INDEX(Section_Master!$D$2:$D$477,MATCH($E4364,Section_Master!$A$2:$A$477,0))&amp;"","")</f>
        <v>Not applicable - procedural provision (BNSS), no offence defined</v>
      </c>
      <c r="G4364" s="10" t="str">
        <f aca="false">IFERROR(INDEX(Section_Master!$E$2:$E$477,MATCH($E4364,Section_Master!$A$2:$A$477,0))&amp;"","")</f>
        <v>N/A</v>
      </c>
      <c r="H4364" s="10" t="str">
        <f aca="false">IFERROR(INDEX(Section_Master!$F$2:$F$477,MATCH($E4364,Section_Master!$A$2:$A$477,0))&amp;"","")</f>
        <v>N/A</v>
      </c>
      <c r="I4364" s="10" t="str">
        <f aca="false">IFERROR(INDEX(Section_Master!$G$2:$G$477,MATCH($E4364,Section_Master!$A$2:$A$477,0))&amp;"","")</f>
        <v>N/A</v>
      </c>
      <c r="J4364" s="10" t="s">
        <v>48</v>
      </c>
      <c r="K4364" s="8" t="s">
        <v>10221</v>
      </c>
    </row>
    <row r="4365" customFormat="false" ht="34.5" hidden="false" customHeight="true" outlineLevel="0" collapsed="false">
      <c r="A4365" s="10" t="s">
        <v>10222</v>
      </c>
      <c r="B4365" s="10" t="s">
        <v>10064</v>
      </c>
      <c r="C4365" s="8" t="s">
        <v>10219</v>
      </c>
      <c r="D4365" s="8" t="s">
        <v>10223</v>
      </c>
      <c r="E4365" s="11" t="n">
        <v>370</v>
      </c>
      <c r="F4365" s="8" t="str">
        <f aca="false">IFERROR(INDEX(Section_Master!$D$2:$D$477,MATCH($E4365,Section_Master!$A$2:$A$477,0))&amp;"","")</f>
        <v>Not applicable - procedural provision (BNSS), no offence defined</v>
      </c>
      <c r="G4365" s="10" t="str">
        <f aca="false">IFERROR(INDEX(Section_Master!$E$2:$E$477,MATCH($E4365,Section_Master!$A$2:$A$477,0))&amp;"","")</f>
        <v>N/A</v>
      </c>
      <c r="H4365" s="10" t="str">
        <f aca="false">IFERROR(INDEX(Section_Master!$F$2:$F$477,MATCH($E4365,Section_Master!$A$2:$A$477,0))&amp;"","")</f>
        <v>N/A</v>
      </c>
      <c r="I4365" s="10" t="str">
        <f aca="false">IFERROR(INDEX(Section_Master!$G$2:$G$477,MATCH($E4365,Section_Master!$A$2:$A$477,0))&amp;"","")</f>
        <v>N/A</v>
      </c>
      <c r="J4365" s="10" t="s">
        <v>52</v>
      </c>
      <c r="K4365" s="8" t="s">
        <v>10221</v>
      </c>
    </row>
    <row r="4366" customFormat="false" ht="34.5" hidden="false" customHeight="true" outlineLevel="0" collapsed="false">
      <c r="A4366" s="10" t="s">
        <v>10224</v>
      </c>
      <c r="B4366" s="10" t="s">
        <v>10064</v>
      </c>
      <c r="C4366" s="8" t="s">
        <v>10219</v>
      </c>
      <c r="D4366" s="8" t="s">
        <v>10225</v>
      </c>
      <c r="E4366" s="11" t="n">
        <v>370</v>
      </c>
      <c r="F4366" s="8" t="str">
        <f aca="false">IFERROR(INDEX(Section_Master!$D$2:$D$477,MATCH($E4366,Section_Master!$A$2:$A$477,0))&amp;"","")</f>
        <v>Not applicable - procedural provision (BNSS), no offence defined</v>
      </c>
      <c r="G4366" s="10" t="str">
        <f aca="false">IFERROR(INDEX(Section_Master!$E$2:$E$477,MATCH($E4366,Section_Master!$A$2:$A$477,0))&amp;"","")</f>
        <v>N/A</v>
      </c>
      <c r="H4366" s="10" t="str">
        <f aca="false">IFERROR(INDEX(Section_Master!$F$2:$F$477,MATCH($E4366,Section_Master!$A$2:$A$477,0))&amp;"","")</f>
        <v>N/A</v>
      </c>
      <c r="I4366" s="10" t="str">
        <f aca="false">IFERROR(INDEX(Section_Master!$G$2:$G$477,MATCH($E4366,Section_Master!$A$2:$A$477,0))&amp;"","")</f>
        <v>N/A</v>
      </c>
      <c r="J4366" s="10" t="s">
        <v>55</v>
      </c>
      <c r="K4366" s="8" t="s">
        <v>10221</v>
      </c>
    </row>
    <row r="4367" customFormat="false" ht="23.25" hidden="false" customHeight="true" outlineLevel="0" collapsed="false">
      <c r="A4367" s="10" t="s">
        <v>10226</v>
      </c>
      <c r="B4367" s="10" t="s">
        <v>10064</v>
      </c>
      <c r="C4367" s="8" t="s">
        <v>10219</v>
      </c>
      <c r="D4367" s="8" t="s">
        <v>10227</v>
      </c>
      <c r="E4367" s="11" t="n">
        <v>370</v>
      </c>
      <c r="F4367" s="8" t="str">
        <f aca="false">IFERROR(INDEX(Section_Master!$D$2:$D$477,MATCH($E4367,Section_Master!$A$2:$A$477,0))&amp;"","")</f>
        <v>Not applicable - procedural provision (BNSS), no offence defined</v>
      </c>
      <c r="G4367" s="10" t="str">
        <f aca="false">IFERROR(INDEX(Section_Master!$E$2:$E$477,MATCH($E4367,Section_Master!$A$2:$A$477,0))&amp;"","")</f>
        <v>N/A</v>
      </c>
      <c r="H4367" s="10" t="str">
        <f aca="false">IFERROR(INDEX(Section_Master!$F$2:$F$477,MATCH($E4367,Section_Master!$A$2:$A$477,0))&amp;"","")</f>
        <v>N/A</v>
      </c>
      <c r="I4367" s="10" t="str">
        <f aca="false">IFERROR(INDEX(Section_Master!$G$2:$G$477,MATCH($E4367,Section_Master!$A$2:$A$477,0))&amp;"","")</f>
        <v>N/A</v>
      </c>
      <c r="J4367" s="10" t="s">
        <v>58</v>
      </c>
      <c r="K4367" s="8" t="s">
        <v>10221</v>
      </c>
    </row>
    <row r="4368" customFormat="false" ht="34.5" hidden="false" customHeight="true" outlineLevel="0" collapsed="false">
      <c r="A4368" s="10" t="s">
        <v>10228</v>
      </c>
      <c r="B4368" s="10" t="s">
        <v>10064</v>
      </c>
      <c r="C4368" s="8" t="s">
        <v>10219</v>
      </c>
      <c r="D4368" s="8" t="s">
        <v>10229</v>
      </c>
      <c r="E4368" s="11" t="n">
        <v>370</v>
      </c>
      <c r="F4368" s="8" t="str">
        <f aca="false">IFERROR(INDEX(Section_Master!$D$2:$D$477,MATCH($E4368,Section_Master!$A$2:$A$477,0))&amp;"","")</f>
        <v>Not applicable - procedural provision (BNSS), no offence defined</v>
      </c>
      <c r="G4368" s="10" t="str">
        <f aca="false">IFERROR(INDEX(Section_Master!$E$2:$E$477,MATCH($E4368,Section_Master!$A$2:$A$477,0))&amp;"","")</f>
        <v>N/A</v>
      </c>
      <c r="H4368" s="10" t="str">
        <f aca="false">IFERROR(INDEX(Section_Master!$F$2:$F$477,MATCH($E4368,Section_Master!$A$2:$A$477,0))&amp;"","")</f>
        <v>N/A</v>
      </c>
      <c r="I4368" s="10" t="str">
        <f aca="false">IFERROR(INDEX(Section_Master!$G$2:$G$477,MATCH($E4368,Section_Master!$A$2:$A$477,0))&amp;"","")</f>
        <v>N/A</v>
      </c>
      <c r="J4368" s="10" t="s">
        <v>61</v>
      </c>
      <c r="K4368" s="8" t="s">
        <v>10221</v>
      </c>
    </row>
    <row r="4369" customFormat="false" ht="34.5" hidden="false" customHeight="true" outlineLevel="0" collapsed="false">
      <c r="A4369" s="10" t="s">
        <v>10230</v>
      </c>
      <c r="B4369" s="10" t="s">
        <v>10064</v>
      </c>
      <c r="C4369" s="8" t="s">
        <v>10219</v>
      </c>
      <c r="D4369" s="8" t="s">
        <v>10231</v>
      </c>
      <c r="E4369" s="11" t="n">
        <v>370</v>
      </c>
      <c r="F4369" s="8" t="str">
        <f aca="false">IFERROR(INDEX(Section_Master!$D$2:$D$477,MATCH($E4369,Section_Master!$A$2:$A$477,0))&amp;"","")</f>
        <v>Not applicable - procedural provision (BNSS), no offence defined</v>
      </c>
      <c r="G4369" s="10" t="str">
        <f aca="false">IFERROR(INDEX(Section_Master!$E$2:$E$477,MATCH($E4369,Section_Master!$A$2:$A$477,0))&amp;"","")</f>
        <v>N/A</v>
      </c>
      <c r="H4369" s="10" t="str">
        <f aca="false">IFERROR(INDEX(Section_Master!$F$2:$F$477,MATCH($E4369,Section_Master!$A$2:$A$477,0))&amp;"","")</f>
        <v>N/A</v>
      </c>
      <c r="I4369" s="10" t="str">
        <f aca="false">IFERROR(INDEX(Section_Master!$G$2:$G$477,MATCH($E4369,Section_Master!$A$2:$A$477,0))&amp;"","")</f>
        <v>N/A</v>
      </c>
      <c r="J4369" s="10" t="s">
        <v>64</v>
      </c>
      <c r="K4369" s="8" t="s">
        <v>10221</v>
      </c>
    </row>
    <row r="4370" customFormat="false" ht="34.5" hidden="false" customHeight="true" outlineLevel="0" collapsed="false">
      <c r="A4370" s="10" t="s">
        <v>10232</v>
      </c>
      <c r="B4370" s="10" t="s">
        <v>10064</v>
      </c>
      <c r="C4370" s="8" t="s">
        <v>10233</v>
      </c>
      <c r="D4370" s="8" t="s">
        <v>10234</v>
      </c>
      <c r="E4370" s="11" t="n">
        <v>371</v>
      </c>
      <c r="F4370" s="8" t="str">
        <f aca="false">IFERROR(INDEX(Section_Master!$D$2:$D$477,MATCH($E4370,Section_Master!$A$2:$A$477,0))&amp;"","")</f>
        <v>Not applicable - procedural provision (BNSS), no offence defined</v>
      </c>
      <c r="G4370" s="10" t="str">
        <f aca="false">IFERROR(INDEX(Section_Master!$E$2:$E$477,MATCH($E4370,Section_Master!$A$2:$A$477,0))&amp;"","")</f>
        <v>N/A</v>
      </c>
      <c r="H4370" s="10" t="str">
        <f aca="false">IFERROR(INDEX(Section_Master!$F$2:$F$477,MATCH($E4370,Section_Master!$A$2:$A$477,0))&amp;"","")</f>
        <v>N/A</v>
      </c>
      <c r="I4370" s="10" t="str">
        <f aca="false">IFERROR(INDEX(Section_Master!$G$2:$G$477,MATCH($E4370,Section_Master!$A$2:$A$477,0))&amp;"","")</f>
        <v>N/A</v>
      </c>
      <c r="J4370" s="10" t="s">
        <v>48</v>
      </c>
      <c r="K4370" s="8" t="s">
        <v>10235</v>
      </c>
    </row>
    <row r="4371" customFormat="false" ht="45.75" hidden="false" customHeight="true" outlineLevel="0" collapsed="false">
      <c r="A4371" s="10" t="s">
        <v>10236</v>
      </c>
      <c r="B4371" s="10" t="s">
        <v>10064</v>
      </c>
      <c r="C4371" s="8" t="s">
        <v>10233</v>
      </c>
      <c r="D4371" s="8" t="s">
        <v>10237</v>
      </c>
      <c r="E4371" s="11" t="n">
        <v>371</v>
      </c>
      <c r="F4371" s="8" t="str">
        <f aca="false">IFERROR(INDEX(Section_Master!$D$2:$D$477,MATCH($E4371,Section_Master!$A$2:$A$477,0))&amp;"","")</f>
        <v>Not applicable - procedural provision (BNSS), no offence defined</v>
      </c>
      <c r="G4371" s="10" t="str">
        <f aca="false">IFERROR(INDEX(Section_Master!$E$2:$E$477,MATCH($E4371,Section_Master!$A$2:$A$477,0))&amp;"","")</f>
        <v>N/A</v>
      </c>
      <c r="H4371" s="10" t="str">
        <f aca="false">IFERROR(INDEX(Section_Master!$F$2:$F$477,MATCH($E4371,Section_Master!$A$2:$A$477,0))&amp;"","")</f>
        <v>N/A</v>
      </c>
      <c r="I4371" s="10" t="str">
        <f aca="false">IFERROR(INDEX(Section_Master!$G$2:$G$477,MATCH($E4371,Section_Master!$A$2:$A$477,0))&amp;"","")</f>
        <v>N/A</v>
      </c>
      <c r="J4371" s="10" t="s">
        <v>52</v>
      </c>
      <c r="K4371" s="8" t="s">
        <v>10235</v>
      </c>
    </row>
    <row r="4372" customFormat="false" ht="34.5" hidden="false" customHeight="true" outlineLevel="0" collapsed="false">
      <c r="A4372" s="10" t="s">
        <v>10238</v>
      </c>
      <c r="B4372" s="10" t="s">
        <v>10064</v>
      </c>
      <c r="C4372" s="8" t="s">
        <v>10233</v>
      </c>
      <c r="D4372" s="8" t="s">
        <v>10239</v>
      </c>
      <c r="E4372" s="11" t="n">
        <v>371</v>
      </c>
      <c r="F4372" s="8" t="str">
        <f aca="false">IFERROR(INDEX(Section_Master!$D$2:$D$477,MATCH($E4372,Section_Master!$A$2:$A$477,0))&amp;"","")</f>
        <v>Not applicable - procedural provision (BNSS), no offence defined</v>
      </c>
      <c r="G4372" s="10" t="str">
        <f aca="false">IFERROR(INDEX(Section_Master!$E$2:$E$477,MATCH($E4372,Section_Master!$A$2:$A$477,0))&amp;"","")</f>
        <v>N/A</v>
      </c>
      <c r="H4372" s="10" t="str">
        <f aca="false">IFERROR(INDEX(Section_Master!$F$2:$F$477,MATCH($E4372,Section_Master!$A$2:$A$477,0))&amp;"","")</f>
        <v>N/A</v>
      </c>
      <c r="I4372" s="10" t="str">
        <f aca="false">IFERROR(INDEX(Section_Master!$G$2:$G$477,MATCH($E4372,Section_Master!$A$2:$A$477,0))&amp;"","")</f>
        <v>N/A</v>
      </c>
      <c r="J4372" s="10" t="s">
        <v>55</v>
      </c>
      <c r="K4372" s="8" t="s">
        <v>10235</v>
      </c>
    </row>
    <row r="4373" customFormat="false" ht="23.25" hidden="false" customHeight="true" outlineLevel="0" collapsed="false">
      <c r="A4373" s="10" t="s">
        <v>10240</v>
      </c>
      <c r="B4373" s="10" t="s">
        <v>10064</v>
      </c>
      <c r="C4373" s="8" t="s">
        <v>10233</v>
      </c>
      <c r="D4373" s="8" t="s">
        <v>10241</v>
      </c>
      <c r="E4373" s="11" t="n">
        <v>371</v>
      </c>
      <c r="F4373" s="8" t="str">
        <f aca="false">IFERROR(INDEX(Section_Master!$D$2:$D$477,MATCH($E4373,Section_Master!$A$2:$A$477,0))&amp;"","")</f>
        <v>Not applicable - procedural provision (BNSS), no offence defined</v>
      </c>
      <c r="G4373" s="10" t="str">
        <f aca="false">IFERROR(INDEX(Section_Master!$E$2:$E$477,MATCH($E4373,Section_Master!$A$2:$A$477,0))&amp;"","")</f>
        <v>N/A</v>
      </c>
      <c r="H4373" s="10" t="str">
        <f aca="false">IFERROR(INDEX(Section_Master!$F$2:$F$477,MATCH($E4373,Section_Master!$A$2:$A$477,0))&amp;"","")</f>
        <v>N/A</v>
      </c>
      <c r="I4373" s="10" t="str">
        <f aca="false">IFERROR(INDEX(Section_Master!$G$2:$G$477,MATCH($E4373,Section_Master!$A$2:$A$477,0))&amp;"","")</f>
        <v>N/A</v>
      </c>
      <c r="J4373" s="10" t="s">
        <v>58</v>
      </c>
      <c r="K4373" s="8" t="s">
        <v>10235</v>
      </c>
    </row>
    <row r="4374" customFormat="false" ht="34.5" hidden="false" customHeight="true" outlineLevel="0" collapsed="false">
      <c r="A4374" s="10" t="s">
        <v>10242</v>
      </c>
      <c r="B4374" s="10" t="s">
        <v>10064</v>
      </c>
      <c r="C4374" s="8" t="s">
        <v>10233</v>
      </c>
      <c r="D4374" s="8" t="s">
        <v>10243</v>
      </c>
      <c r="E4374" s="11" t="n">
        <v>371</v>
      </c>
      <c r="F4374" s="8" t="str">
        <f aca="false">IFERROR(INDEX(Section_Master!$D$2:$D$477,MATCH($E4374,Section_Master!$A$2:$A$477,0))&amp;"","")</f>
        <v>Not applicable - procedural provision (BNSS), no offence defined</v>
      </c>
      <c r="G4374" s="10" t="str">
        <f aca="false">IFERROR(INDEX(Section_Master!$E$2:$E$477,MATCH($E4374,Section_Master!$A$2:$A$477,0))&amp;"","")</f>
        <v>N/A</v>
      </c>
      <c r="H4374" s="10" t="str">
        <f aca="false">IFERROR(INDEX(Section_Master!$F$2:$F$477,MATCH($E4374,Section_Master!$A$2:$A$477,0))&amp;"","")</f>
        <v>N/A</v>
      </c>
      <c r="I4374" s="10" t="str">
        <f aca="false">IFERROR(INDEX(Section_Master!$G$2:$G$477,MATCH($E4374,Section_Master!$A$2:$A$477,0))&amp;"","")</f>
        <v>N/A</v>
      </c>
      <c r="J4374" s="10" t="s">
        <v>61</v>
      </c>
      <c r="K4374" s="8" t="s">
        <v>10235</v>
      </c>
    </row>
    <row r="4375" customFormat="false" ht="34.5" hidden="false" customHeight="true" outlineLevel="0" collapsed="false">
      <c r="A4375" s="10" t="s">
        <v>10244</v>
      </c>
      <c r="B4375" s="10" t="s">
        <v>10064</v>
      </c>
      <c r="C4375" s="8" t="s">
        <v>10233</v>
      </c>
      <c r="D4375" s="8" t="s">
        <v>10245</v>
      </c>
      <c r="E4375" s="11" t="n">
        <v>371</v>
      </c>
      <c r="F4375" s="8" t="str">
        <f aca="false">IFERROR(INDEX(Section_Master!$D$2:$D$477,MATCH($E4375,Section_Master!$A$2:$A$477,0))&amp;"","")</f>
        <v>Not applicable - procedural provision (BNSS), no offence defined</v>
      </c>
      <c r="G4375" s="10" t="str">
        <f aca="false">IFERROR(INDEX(Section_Master!$E$2:$E$477,MATCH($E4375,Section_Master!$A$2:$A$477,0))&amp;"","")</f>
        <v>N/A</v>
      </c>
      <c r="H4375" s="10" t="str">
        <f aca="false">IFERROR(INDEX(Section_Master!$F$2:$F$477,MATCH($E4375,Section_Master!$A$2:$A$477,0))&amp;"","")</f>
        <v>N/A</v>
      </c>
      <c r="I4375" s="10" t="str">
        <f aca="false">IFERROR(INDEX(Section_Master!$G$2:$G$477,MATCH($E4375,Section_Master!$A$2:$A$477,0))&amp;"","")</f>
        <v>N/A</v>
      </c>
      <c r="J4375" s="10" t="s">
        <v>64</v>
      </c>
      <c r="K4375" s="8" t="s">
        <v>10235</v>
      </c>
    </row>
    <row r="4376" customFormat="false" ht="34.5" hidden="false" customHeight="true" outlineLevel="0" collapsed="false">
      <c r="A4376" s="10" t="s">
        <v>10246</v>
      </c>
      <c r="B4376" s="10" t="s">
        <v>10064</v>
      </c>
      <c r="C4376" s="8" t="s">
        <v>10247</v>
      </c>
      <c r="D4376" s="8" t="s">
        <v>10248</v>
      </c>
      <c r="E4376" s="11" t="n">
        <v>372</v>
      </c>
      <c r="F4376" s="8" t="str">
        <f aca="false">IFERROR(INDEX(Section_Master!$D$2:$D$477,MATCH($E4376,Section_Master!$A$2:$A$477,0))&amp;"","")</f>
        <v>Not applicable - procedural provision (BNSS), no offence defined</v>
      </c>
      <c r="G4376" s="10" t="str">
        <f aca="false">IFERROR(INDEX(Section_Master!$E$2:$E$477,MATCH($E4376,Section_Master!$A$2:$A$477,0))&amp;"","")</f>
        <v>N/A</v>
      </c>
      <c r="H4376" s="10" t="str">
        <f aca="false">IFERROR(INDEX(Section_Master!$F$2:$F$477,MATCH($E4376,Section_Master!$A$2:$A$477,0))&amp;"","")</f>
        <v>N/A</v>
      </c>
      <c r="I4376" s="10" t="str">
        <f aca="false">IFERROR(INDEX(Section_Master!$G$2:$G$477,MATCH($E4376,Section_Master!$A$2:$A$477,0))&amp;"","")</f>
        <v>N/A</v>
      </c>
      <c r="J4376" s="10" t="s">
        <v>48</v>
      </c>
      <c r="K4376" s="8" t="s">
        <v>10249</v>
      </c>
    </row>
    <row r="4377" customFormat="false" ht="45.75" hidden="false" customHeight="true" outlineLevel="0" collapsed="false">
      <c r="A4377" s="10" t="s">
        <v>10250</v>
      </c>
      <c r="B4377" s="10" t="s">
        <v>10064</v>
      </c>
      <c r="C4377" s="8" t="s">
        <v>10247</v>
      </c>
      <c r="D4377" s="8" t="s">
        <v>10251</v>
      </c>
      <c r="E4377" s="11" t="n">
        <v>372</v>
      </c>
      <c r="F4377" s="8" t="str">
        <f aca="false">IFERROR(INDEX(Section_Master!$D$2:$D$477,MATCH($E4377,Section_Master!$A$2:$A$477,0))&amp;"","")</f>
        <v>Not applicable - procedural provision (BNSS), no offence defined</v>
      </c>
      <c r="G4377" s="10" t="str">
        <f aca="false">IFERROR(INDEX(Section_Master!$E$2:$E$477,MATCH($E4377,Section_Master!$A$2:$A$477,0))&amp;"","")</f>
        <v>N/A</v>
      </c>
      <c r="H4377" s="10" t="str">
        <f aca="false">IFERROR(INDEX(Section_Master!$F$2:$F$477,MATCH($E4377,Section_Master!$A$2:$A$477,0))&amp;"","")</f>
        <v>N/A</v>
      </c>
      <c r="I4377" s="10" t="str">
        <f aca="false">IFERROR(INDEX(Section_Master!$G$2:$G$477,MATCH($E4377,Section_Master!$A$2:$A$477,0))&amp;"","")</f>
        <v>N/A</v>
      </c>
      <c r="J4377" s="10" t="s">
        <v>52</v>
      </c>
      <c r="K4377" s="8" t="s">
        <v>10249</v>
      </c>
    </row>
    <row r="4378" customFormat="false" ht="45.75" hidden="false" customHeight="true" outlineLevel="0" collapsed="false">
      <c r="A4378" s="10" t="s">
        <v>10252</v>
      </c>
      <c r="B4378" s="10" t="s">
        <v>10064</v>
      </c>
      <c r="C4378" s="8" t="s">
        <v>10247</v>
      </c>
      <c r="D4378" s="8" t="s">
        <v>10253</v>
      </c>
      <c r="E4378" s="11" t="n">
        <v>372</v>
      </c>
      <c r="F4378" s="8" t="str">
        <f aca="false">IFERROR(INDEX(Section_Master!$D$2:$D$477,MATCH($E4378,Section_Master!$A$2:$A$477,0))&amp;"","")</f>
        <v>Not applicable - procedural provision (BNSS), no offence defined</v>
      </c>
      <c r="G4378" s="10" t="str">
        <f aca="false">IFERROR(INDEX(Section_Master!$E$2:$E$477,MATCH($E4378,Section_Master!$A$2:$A$477,0))&amp;"","")</f>
        <v>N/A</v>
      </c>
      <c r="H4378" s="10" t="str">
        <f aca="false">IFERROR(INDEX(Section_Master!$F$2:$F$477,MATCH($E4378,Section_Master!$A$2:$A$477,0))&amp;"","")</f>
        <v>N/A</v>
      </c>
      <c r="I4378" s="10" t="str">
        <f aca="false">IFERROR(INDEX(Section_Master!$G$2:$G$477,MATCH($E4378,Section_Master!$A$2:$A$477,0))&amp;"","")</f>
        <v>N/A</v>
      </c>
      <c r="J4378" s="10" t="s">
        <v>55</v>
      </c>
      <c r="K4378" s="8" t="s">
        <v>10249</v>
      </c>
    </row>
    <row r="4379" customFormat="false" ht="23.25" hidden="false" customHeight="true" outlineLevel="0" collapsed="false">
      <c r="A4379" s="10" t="s">
        <v>10254</v>
      </c>
      <c r="B4379" s="10" t="s">
        <v>10064</v>
      </c>
      <c r="C4379" s="8" t="s">
        <v>10247</v>
      </c>
      <c r="D4379" s="8" t="s">
        <v>10255</v>
      </c>
      <c r="E4379" s="11" t="n">
        <v>372</v>
      </c>
      <c r="F4379" s="8" t="str">
        <f aca="false">IFERROR(INDEX(Section_Master!$D$2:$D$477,MATCH($E4379,Section_Master!$A$2:$A$477,0))&amp;"","")</f>
        <v>Not applicable - procedural provision (BNSS), no offence defined</v>
      </c>
      <c r="G4379" s="10" t="str">
        <f aca="false">IFERROR(INDEX(Section_Master!$E$2:$E$477,MATCH($E4379,Section_Master!$A$2:$A$477,0))&amp;"","")</f>
        <v>N/A</v>
      </c>
      <c r="H4379" s="10" t="str">
        <f aca="false">IFERROR(INDEX(Section_Master!$F$2:$F$477,MATCH($E4379,Section_Master!$A$2:$A$477,0))&amp;"","")</f>
        <v>N/A</v>
      </c>
      <c r="I4379" s="10" t="str">
        <f aca="false">IFERROR(INDEX(Section_Master!$G$2:$G$477,MATCH($E4379,Section_Master!$A$2:$A$477,0))&amp;"","")</f>
        <v>N/A</v>
      </c>
      <c r="J4379" s="10" t="s">
        <v>58</v>
      </c>
      <c r="K4379" s="8" t="s">
        <v>10249</v>
      </c>
    </row>
    <row r="4380" customFormat="false" ht="34.5" hidden="false" customHeight="true" outlineLevel="0" collapsed="false">
      <c r="A4380" s="10" t="s">
        <v>10256</v>
      </c>
      <c r="B4380" s="10" t="s">
        <v>10064</v>
      </c>
      <c r="C4380" s="8" t="s">
        <v>10247</v>
      </c>
      <c r="D4380" s="8" t="s">
        <v>10257</v>
      </c>
      <c r="E4380" s="11" t="n">
        <v>372</v>
      </c>
      <c r="F4380" s="8" t="str">
        <f aca="false">IFERROR(INDEX(Section_Master!$D$2:$D$477,MATCH($E4380,Section_Master!$A$2:$A$477,0))&amp;"","")</f>
        <v>Not applicable - procedural provision (BNSS), no offence defined</v>
      </c>
      <c r="G4380" s="10" t="str">
        <f aca="false">IFERROR(INDEX(Section_Master!$E$2:$E$477,MATCH($E4380,Section_Master!$A$2:$A$477,0))&amp;"","")</f>
        <v>N/A</v>
      </c>
      <c r="H4380" s="10" t="str">
        <f aca="false">IFERROR(INDEX(Section_Master!$F$2:$F$477,MATCH($E4380,Section_Master!$A$2:$A$477,0))&amp;"","")</f>
        <v>N/A</v>
      </c>
      <c r="I4380" s="10" t="str">
        <f aca="false">IFERROR(INDEX(Section_Master!$G$2:$G$477,MATCH($E4380,Section_Master!$A$2:$A$477,0))&amp;"","")</f>
        <v>N/A</v>
      </c>
      <c r="J4380" s="10" t="s">
        <v>61</v>
      </c>
      <c r="K4380" s="8" t="s">
        <v>10249</v>
      </c>
    </row>
    <row r="4381" customFormat="false" ht="45.75" hidden="false" customHeight="true" outlineLevel="0" collapsed="false">
      <c r="A4381" s="10" t="s">
        <v>10258</v>
      </c>
      <c r="B4381" s="10" t="s">
        <v>10064</v>
      </c>
      <c r="C4381" s="8" t="s">
        <v>10247</v>
      </c>
      <c r="D4381" s="8" t="s">
        <v>10259</v>
      </c>
      <c r="E4381" s="11" t="n">
        <v>372</v>
      </c>
      <c r="F4381" s="8" t="str">
        <f aca="false">IFERROR(INDEX(Section_Master!$D$2:$D$477,MATCH($E4381,Section_Master!$A$2:$A$477,0))&amp;"","")</f>
        <v>Not applicable - procedural provision (BNSS), no offence defined</v>
      </c>
      <c r="G4381" s="10" t="str">
        <f aca="false">IFERROR(INDEX(Section_Master!$E$2:$E$477,MATCH($E4381,Section_Master!$A$2:$A$477,0))&amp;"","")</f>
        <v>N/A</v>
      </c>
      <c r="H4381" s="10" t="str">
        <f aca="false">IFERROR(INDEX(Section_Master!$F$2:$F$477,MATCH($E4381,Section_Master!$A$2:$A$477,0))&amp;"","")</f>
        <v>N/A</v>
      </c>
      <c r="I4381" s="10" t="str">
        <f aca="false">IFERROR(INDEX(Section_Master!$G$2:$G$477,MATCH($E4381,Section_Master!$A$2:$A$477,0))&amp;"","")</f>
        <v>N/A</v>
      </c>
      <c r="J4381" s="10" t="s">
        <v>64</v>
      </c>
      <c r="K4381" s="8" t="s">
        <v>10249</v>
      </c>
    </row>
    <row r="4382" customFormat="false" ht="34.5" hidden="false" customHeight="true" outlineLevel="0" collapsed="false">
      <c r="A4382" s="10" t="s">
        <v>10260</v>
      </c>
      <c r="B4382" s="10" t="s">
        <v>10064</v>
      </c>
      <c r="C4382" s="8" t="s">
        <v>10261</v>
      </c>
      <c r="D4382" s="8" t="s">
        <v>10262</v>
      </c>
      <c r="E4382" s="11" t="n">
        <v>373</v>
      </c>
      <c r="F4382" s="8" t="str">
        <f aca="false">IFERROR(INDEX(Section_Master!$D$2:$D$477,MATCH($E4382,Section_Master!$A$2:$A$477,0))&amp;"","")</f>
        <v>Not applicable - procedural provision (BNSS), no offence defined</v>
      </c>
      <c r="G4382" s="10" t="str">
        <f aca="false">IFERROR(INDEX(Section_Master!$E$2:$E$477,MATCH($E4382,Section_Master!$A$2:$A$477,0))&amp;"","")</f>
        <v>N/A</v>
      </c>
      <c r="H4382" s="10" t="str">
        <f aca="false">IFERROR(INDEX(Section_Master!$F$2:$F$477,MATCH($E4382,Section_Master!$A$2:$A$477,0))&amp;"","")</f>
        <v>N/A</v>
      </c>
      <c r="I4382" s="10" t="str">
        <f aca="false">IFERROR(INDEX(Section_Master!$G$2:$G$477,MATCH($E4382,Section_Master!$A$2:$A$477,0))&amp;"","")</f>
        <v>N/A</v>
      </c>
      <c r="J4382" s="10" t="s">
        <v>48</v>
      </c>
      <c r="K4382" s="8" t="s">
        <v>10263</v>
      </c>
    </row>
    <row r="4383" customFormat="false" ht="45.75" hidden="false" customHeight="true" outlineLevel="0" collapsed="false">
      <c r="A4383" s="10" t="s">
        <v>10264</v>
      </c>
      <c r="B4383" s="10" t="s">
        <v>10064</v>
      </c>
      <c r="C4383" s="8" t="s">
        <v>10261</v>
      </c>
      <c r="D4383" s="8" t="s">
        <v>10265</v>
      </c>
      <c r="E4383" s="11" t="n">
        <v>373</v>
      </c>
      <c r="F4383" s="8" t="str">
        <f aca="false">IFERROR(INDEX(Section_Master!$D$2:$D$477,MATCH($E4383,Section_Master!$A$2:$A$477,0))&amp;"","")</f>
        <v>Not applicable - procedural provision (BNSS), no offence defined</v>
      </c>
      <c r="G4383" s="10" t="str">
        <f aca="false">IFERROR(INDEX(Section_Master!$E$2:$E$477,MATCH($E4383,Section_Master!$A$2:$A$477,0))&amp;"","")</f>
        <v>N/A</v>
      </c>
      <c r="H4383" s="10" t="str">
        <f aca="false">IFERROR(INDEX(Section_Master!$F$2:$F$477,MATCH($E4383,Section_Master!$A$2:$A$477,0))&amp;"","")</f>
        <v>N/A</v>
      </c>
      <c r="I4383" s="10" t="str">
        <f aca="false">IFERROR(INDEX(Section_Master!$G$2:$G$477,MATCH($E4383,Section_Master!$A$2:$A$477,0))&amp;"","")</f>
        <v>N/A</v>
      </c>
      <c r="J4383" s="10" t="s">
        <v>52</v>
      </c>
      <c r="K4383" s="8" t="s">
        <v>10263</v>
      </c>
    </row>
    <row r="4384" customFormat="false" ht="45.75" hidden="false" customHeight="true" outlineLevel="0" collapsed="false">
      <c r="A4384" s="10" t="s">
        <v>10266</v>
      </c>
      <c r="B4384" s="10" t="s">
        <v>10064</v>
      </c>
      <c r="C4384" s="8" t="s">
        <v>10261</v>
      </c>
      <c r="D4384" s="8" t="s">
        <v>10267</v>
      </c>
      <c r="E4384" s="11" t="n">
        <v>373</v>
      </c>
      <c r="F4384" s="8" t="str">
        <f aca="false">IFERROR(INDEX(Section_Master!$D$2:$D$477,MATCH($E4384,Section_Master!$A$2:$A$477,0))&amp;"","")</f>
        <v>Not applicable - procedural provision (BNSS), no offence defined</v>
      </c>
      <c r="G4384" s="10" t="str">
        <f aca="false">IFERROR(INDEX(Section_Master!$E$2:$E$477,MATCH($E4384,Section_Master!$A$2:$A$477,0))&amp;"","")</f>
        <v>N/A</v>
      </c>
      <c r="H4384" s="10" t="str">
        <f aca="false">IFERROR(INDEX(Section_Master!$F$2:$F$477,MATCH($E4384,Section_Master!$A$2:$A$477,0))&amp;"","")</f>
        <v>N/A</v>
      </c>
      <c r="I4384" s="10" t="str">
        <f aca="false">IFERROR(INDEX(Section_Master!$G$2:$G$477,MATCH($E4384,Section_Master!$A$2:$A$477,0))&amp;"","")</f>
        <v>N/A</v>
      </c>
      <c r="J4384" s="10" t="s">
        <v>55</v>
      </c>
      <c r="K4384" s="8" t="s">
        <v>10263</v>
      </c>
    </row>
    <row r="4385" customFormat="false" ht="23.25" hidden="false" customHeight="true" outlineLevel="0" collapsed="false">
      <c r="A4385" s="10" t="s">
        <v>10268</v>
      </c>
      <c r="B4385" s="10" t="s">
        <v>10064</v>
      </c>
      <c r="C4385" s="8" t="s">
        <v>10261</v>
      </c>
      <c r="D4385" s="8" t="s">
        <v>10269</v>
      </c>
      <c r="E4385" s="11" t="n">
        <v>373</v>
      </c>
      <c r="F4385" s="8" t="str">
        <f aca="false">IFERROR(INDEX(Section_Master!$D$2:$D$477,MATCH($E4385,Section_Master!$A$2:$A$477,0))&amp;"","")</f>
        <v>Not applicable - procedural provision (BNSS), no offence defined</v>
      </c>
      <c r="G4385" s="10" t="str">
        <f aca="false">IFERROR(INDEX(Section_Master!$E$2:$E$477,MATCH($E4385,Section_Master!$A$2:$A$477,0))&amp;"","")</f>
        <v>N/A</v>
      </c>
      <c r="H4385" s="10" t="str">
        <f aca="false">IFERROR(INDEX(Section_Master!$F$2:$F$477,MATCH($E4385,Section_Master!$A$2:$A$477,0))&amp;"","")</f>
        <v>N/A</v>
      </c>
      <c r="I4385" s="10" t="str">
        <f aca="false">IFERROR(INDEX(Section_Master!$G$2:$G$477,MATCH($E4385,Section_Master!$A$2:$A$477,0))&amp;"","")</f>
        <v>N/A</v>
      </c>
      <c r="J4385" s="10" t="s">
        <v>58</v>
      </c>
      <c r="K4385" s="8" t="s">
        <v>10263</v>
      </c>
    </row>
    <row r="4386" customFormat="false" ht="34.5" hidden="false" customHeight="true" outlineLevel="0" collapsed="false">
      <c r="A4386" s="10" t="s">
        <v>10270</v>
      </c>
      <c r="B4386" s="10" t="s">
        <v>10064</v>
      </c>
      <c r="C4386" s="8" t="s">
        <v>10261</v>
      </c>
      <c r="D4386" s="8" t="s">
        <v>10271</v>
      </c>
      <c r="E4386" s="11" t="n">
        <v>373</v>
      </c>
      <c r="F4386" s="8" t="str">
        <f aca="false">IFERROR(INDEX(Section_Master!$D$2:$D$477,MATCH($E4386,Section_Master!$A$2:$A$477,0))&amp;"","")</f>
        <v>Not applicable - procedural provision (BNSS), no offence defined</v>
      </c>
      <c r="G4386" s="10" t="str">
        <f aca="false">IFERROR(INDEX(Section_Master!$E$2:$E$477,MATCH($E4386,Section_Master!$A$2:$A$477,0))&amp;"","")</f>
        <v>N/A</v>
      </c>
      <c r="H4386" s="10" t="str">
        <f aca="false">IFERROR(INDEX(Section_Master!$F$2:$F$477,MATCH($E4386,Section_Master!$A$2:$A$477,0))&amp;"","")</f>
        <v>N/A</v>
      </c>
      <c r="I4386" s="10" t="str">
        <f aca="false">IFERROR(INDEX(Section_Master!$G$2:$G$477,MATCH($E4386,Section_Master!$A$2:$A$477,0))&amp;"","")</f>
        <v>N/A</v>
      </c>
      <c r="J4386" s="10" t="s">
        <v>61</v>
      </c>
      <c r="K4386" s="8" t="s">
        <v>10263</v>
      </c>
    </row>
    <row r="4387" customFormat="false" ht="45.75" hidden="false" customHeight="true" outlineLevel="0" collapsed="false">
      <c r="A4387" s="10" t="s">
        <v>10272</v>
      </c>
      <c r="B4387" s="10" t="s">
        <v>10064</v>
      </c>
      <c r="C4387" s="8" t="s">
        <v>10261</v>
      </c>
      <c r="D4387" s="8" t="s">
        <v>10273</v>
      </c>
      <c r="E4387" s="11" t="n">
        <v>373</v>
      </c>
      <c r="F4387" s="8" t="str">
        <f aca="false">IFERROR(INDEX(Section_Master!$D$2:$D$477,MATCH($E4387,Section_Master!$A$2:$A$477,0))&amp;"","")</f>
        <v>Not applicable - procedural provision (BNSS), no offence defined</v>
      </c>
      <c r="G4387" s="10" t="str">
        <f aca="false">IFERROR(INDEX(Section_Master!$E$2:$E$477,MATCH($E4387,Section_Master!$A$2:$A$477,0))&amp;"","")</f>
        <v>N/A</v>
      </c>
      <c r="H4387" s="10" t="str">
        <f aca="false">IFERROR(INDEX(Section_Master!$F$2:$F$477,MATCH($E4387,Section_Master!$A$2:$A$477,0))&amp;"","")</f>
        <v>N/A</v>
      </c>
      <c r="I4387" s="10" t="str">
        <f aca="false">IFERROR(INDEX(Section_Master!$G$2:$G$477,MATCH($E4387,Section_Master!$A$2:$A$477,0))&amp;"","")</f>
        <v>N/A</v>
      </c>
      <c r="J4387" s="10" t="s">
        <v>64</v>
      </c>
      <c r="K4387" s="8" t="s">
        <v>10263</v>
      </c>
    </row>
    <row r="4388" customFormat="false" ht="45.75" hidden="false" customHeight="true" outlineLevel="0" collapsed="false">
      <c r="A4388" s="10" t="s">
        <v>10274</v>
      </c>
      <c r="B4388" s="10" t="s">
        <v>10064</v>
      </c>
      <c r="C4388" s="8" t="s">
        <v>10275</v>
      </c>
      <c r="D4388" s="8" t="s">
        <v>10276</v>
      </c>
      <c r="E4388" s="11" t="n">
        <v>374</v>
      </c>
      <c r="F4388" s="8" t="str">
        <f aca="false">IFERROR(INDEX(Section_Master!$D$2:$D$477,MATCH($E4388,Section_Master!$A$2:$A$477,0))&amp;"","")</f>
        <v>Not applicable - procedural provision (BNSS), no offence defined</v>
      </c>
      <c r="G4388" s="10" t="str">
        <f aca="false">IFERROR(INDEX(Section_Master!$E$2:$E$477,MATCH($E4388,Section_Master!$A$2:$A$477,0))&amp;"","")</f>
        <v>N/A</v>
      </c>
      <c r="H4388" s="10" t="str">
        <f aca="false">IFERROR(INDEX(Section_Master!$F$2:$F$477,MATCH($E4388,Section_Master!$A$2:$A$477,0))&amp;"","")</f>
        <v>N/A</v>
      </c>
      <c r="I4388" s="10" t="str">
        <f aca="false">IFERROR(INDEX(Section_Master!$G$2:$G$477,MATCH($E4388,Section_Master!$A$2:$A$477,0))&amp;"","")</f>
        <v>N/A</v>
      </c>
      <c r="J4388" s="10" t="s">
        <v>48</v>
      </c>
      <c r="K4388" s="8" t="s">
        <v>10277</v>
      </c>
    </row>
    <row r="4389" customFormat="false" ht="45.75" hidden="false" customHeight="true" outlineLevel="0" collapsed="false">
      <c r="A4389" s="10" t="s">
        <v>10278</v>
      </c>
      <c r="B4389" s="10" t="s">
        <v>10064</v>
      </c>
      <c r="C4389" s="8" t="s">
        <v>10275</v>
      </c>
      <c r="D4389" s="8" t="s">
        <v>10279</v>
      </c>
      <c r="E4389" s="11" t="n">
        <v>374</v>
      </c>
      <c r="F4389" s="8" t="str">
        <f aca="false">IFERROR(INDEX(Section_Master!$D$2:$D$477,MATCH($E4389,Section_Master!$A$2:$A$477,0))&amp;"","")</f>
        <v>Not applicable - procedural provision (BNSS), no offence defined</v>
      </c>
      <c r="G4389" s="10" t="str">
        <f aca="false">IFERROR(INDEX(Section_Master!$E$2:$E$477,MATCH($E4389,Section_Master!$A$2:$A$477,0))&amp;"","")</f>
        <v>N/A</v>
      </c>
      <c r="H4389" s="10" t="str">
        <f aca="false">IFERROR(INDEX(Section_Master!$F$2:$F$477,MATCH($E4389,Section_Master!$A$2:$A$477,0))&amp;"","")</f>
        <v>N/A</v>
      </c>
      <c r="I4389" s="10" t="str">
        <f aca="false">IFERROR(INDEX(Section_Master!$G$2:$G$477,MATCH($E4389,Section_Master!$A$2:$A$477,0))&amp;"","")</f>
        <v>N/A</v>
      </c>
      <c r="J4389" s="10" t="s">
        <v>52</v>
      </c>
      <c r="K4389" s="8" t="s">
        <v>10277</v>
      </c>
    </row>
    <row r="4390" customFormat="false" ht="45.75" hidden="false" customHeight="true" outlineLevel="0" collapsed="false">
      <c r="A4390" s="10" t="s">
        <v>10280</v>
      </c>
      <c r="B4390" s="10" t="s">
        <v>10064</v>
      </c>
      <c r="C4390" s="8" t="s">
        <v>10275</v>
      </c>
      <c r="D4390" s="8" t="s">
        <v>10281</v>
      </c>
      <c r="E4390" s="11" t="n">
        <v>374</v>
      </c>
      <c r="F4390" s="8" t="str">
        <f aca="false">IFERROR(INDEX(Section_Master!$D$2:$D$477,MATCH($E4390,Section_Master!$A$2:$A$477,0))&amp;"","")</f>
        <v>Not applicable - procedural provision (BNSS), no offence defined</v>
      </c>
      <c r="G4390" s="10" t="str">
        <f aca="false">IFERROR(INDEX(Section_Master!$E$2:$E$477,MATCH($E4390,Section_Master!$A$2:$A$477,0))&amp;"","")</f>
        <v>N/A</v>
      </c>
      <c r="H4390" s="10" t="str">
        <f aca="false">IFERROR(INDEX(Section_Master!$F$2:$F$477,MATCH($E4390,Section_Master!$A$2:$A$477,0))&amp;"","")</f>
        <v>N/A</v>
      </c>
      <c r="I4390" s="10" t="str">
        <f aca="false">IFERROR(INDEX(Section_Master!$G$2:$G$477,MATCH($E4390,Section_Master!$A$2:$A$477,0))&amp;"","")</f>
        <v>N/A</v>
      </c>
      <c r="J4390" s="10" t="s">
        <v>55</v>
      </c>
      <c r="K4390" s="8" t="s">
        <v>10277</v>
      </c>
    </row>
    <row r="4391" customFormat="false" ht="34.5" hidden="false" customHeight="true" outlineLevel="0" collapsed="false">
      <c r="A4391" s="10" t="s">
        <v>10282</v>
      </c>
      <c r="B4391" s="10" t="s">
        <v>10064</v>
      </c>
      <c r="C4391" s="8" t="s">
        <v>10275</v>
      </c>
      <c r="D4391" s="8" t="s">
        <v>10283</v>
      </c>
      <c r="E4391" s="11" t="n">
        <v>374</v>
      </c>
      <c r="F4391" s="8" t="str">
        <f aca="false">IFERROR(INDEX(Section_Master!$D$2:$D$477,MATCH($E4391,Section_Master!$A$2:$A$477,0))&amp;"","")</f>
        <v>Not applicable - procedural provision (BNSS), no offence defined</v>
      </c>
      <c r="G4391" s="10" t="str">
        <f aca="false">IFERROR(INDEX(Section_Master!$E$2:$E$477,MATCH($E4391,Section_Master!$A$2:$A$477,0))&amp;"","")</f>
        <v>N/A</v>
      </c>
      <c r="H4391" s="10" t="str">
        <f aca="false">IFERROR(INDEX(Section_Master!$F$2:$F$477,MATCH($E4391,Section_Master!$A$2:$A$477,0))&amp;"","")</f>
        <v>N/A</v>
      </c>
      <c r="I4391" s="10" t="str">
        <f aca="false">IFERROR(INDEX(Section_Master!$G$2:$G$477,MATCH($E4391,Section_Master!$A$2:$A$477,0))&amp;"","")</f>
        <v>N/A</v>
      </c>
      <c r="J4391" s="10" t="s">
        <v>58</v>
      </c>
      <c r="K4391" s="8" t="s">
        <v>10277</v>
      </c>
    </row>
    <row r="4392" customFormat="false" ht="34.5" hidden="false" customHeight="true" outlineLevel="0" collapsed="false">
      <c r="A4392" s="10" t="s">
        <v>10284</v>
      </c>
      <c r="B4392" s="10" t="s">
        <v>10064</v>
      </c>
      <c r="C4392" s="8" t="s">
        <v>10275</v>
      </c>
      <c r="D4392" s="8" t="s">
        <v>10285</v>
      </c>
      <c r="E4392" s="11" t="n">
        <v>374</v>
      </c>
      <c r="F4392" s="8" t="str">
        <f aca="false">IFERROR(INDEX(Section_Master!$D$2:$D$477,MATCH($E4392,Section_Master!$A$2:$A$477,0))&amp;"","")</f>
        <v>Not applicable - procedural provision (BNSS), no offence defined</v>
      </c>
      <c r="G4392" s="10" t="str">
        <f aca="false">IFERROR(INDEX(Section_Master!$E$2:$E$477,MATCH($E4392,Section_Master!$A$2:$A$477,0))&amp;"","")</f>
        <v>N/A</v>
      </c>
      <c r="H4392" s="10" t="str">
        <f aca="false">IFERROR(INDEX(Section_Master!$F$2:$F$477,MATCH($E4392,Section_Master!$A$2:$A$477,0))&amp;"","")</f>
        <v>N/A</v>
      </c>
      <c r="I4392" s="10" t="str">
        <f aca="false">IFERROR(INDEX(Section_Master!$G$2:$G$477,MATCH($E4392,Section_Master!$A$2:$A$477,0))&amp;"","")</f>
        <v>N/A</v>
      </c>
      <c r="J4392" s="10" t="s">
        <v>61</v>
      </c>
      <c r="K4392" s="8" t="s">
        <v>10277</v>
      </c>
    </row>
    <row r="4393" customFormat="false" ht="57" hidden="false" customHeight="true" outlineLevel="0" collapsed="false">
      <c r="A4393" s="10" t="s">
        <v>10286</v>
      </c>
      <c r="B4393" s="10" t="s">
        <v>10064</v>
      </c>
      <c r="C4393" s="8" t="s">
        <v>10275</v>
      </c>
      <c r="D4393" s="8" t="s">
        <v>10287</v>
      </c>
      <c r="E4393" s="11" t="n">
        <v>374</v>
      </c>
      <c r="F4393" s="8" t="str">
        <f aca="false">IFERROR(INDEX(Section_Master!$D$2:$D$477,MATCH($E4393,Section_Master!$A$2:$A$477,0))&amp;"","")</f>
        <v>Not applicable - procedural provision (BNSS), no offence defined</v>
      </c>
      <c r="G4393" s="10" t="str">
        <f aca="false">IFERROR(INDEX(Section_Master!$E$2:$E$477,MATCH($E4393,Section_Master!$A$2:$A$477,0))&amp;"","")</f>
        <v>N/A</v>
      </c>
      <c r="H4393" s="10" t="str">
        <f aca="false">IFERROR(INDEX(Section_Master!$F$2:$F$477,MATCH($E4393,Section_Master!$A$2:$A$477,0))&amp;"","")</f>
        <v>N/A</v>
      </c>
      <c r="I4393" s="10" t="str">
        <f aca="false">IFERROR(INDEX(Section_Master!$G$2:$G$477,MATCH($E4393,Section_Master!$A$2:$A$477,0))&amp;"","")</f>
        <v>N/A</v>
      </c>
      <c r="J4393" s="10" t="s">
        <v>64</v>
      </c>
      <c r="K4393" s="8" t="s">
        <v>10277</v>
      </c>
    </row>
    <row r="4394" customFormat="false" ht="34.5" hidden="false" customHeight="true" outlineLevel="0" collapsed="false">
      <c r="A4394" s="10" t="s">
        <v>10288</v>
      </c>
      <c r="B4394" s="10" t="s">
        <v>10064</v>
      </c>
      <c r="C4394" s="8" t="s">
        <v>10289</v>
      </c>
      <c r="D4394" s="8" t="s">
        <v>10290</v>
      </c>
      <c r="E4394" s="11" t="n">
        <v>375</v>
      </c>
      <c r="F4394" s="8" t="str">
        <f aca="false">IFERROR(INDEX(Section_Master!$D$2:$D$477,MATCH($E4394,Section_Master!$A$2:$A$477,0))&amp;"","")</f>
        <v>Not applicable - procedural provision (BNSS), no offence defined</v>
      </c>
      <c r="G4394" s="10" t="str">
        <f aca="false">IFERROR(INDEX(Section_Master!$E$2:$E$477,MATCH($E4394,Section_Master!$A$2:$A$477,0))&amp;"","")</f>
        <v>N/A</v>
      </c>
      <c r="H4394" s="10" t="str">
        <f aca="false">IFERROR(INDEX(Section_Master!$F$2:$F$477,MATCH($E4394,Section_Master!$A$2:$A$477,0))&amp;"","")</f>
        <v>N/A</v>
      </c>
      <c r="I4394" s="10" t="str">
        <f aca="false">IFERROR(INDEX(Section_Master!$G$2:$G$477,MATCH($E4394,Section_Master!$A$2:$A$477,0))&amp;"","")</f>
        <v>N/A</v>
      </c>
      <c r="J4394" s="10" t="s">
        <v>48</v>
      </c>
      <c r="K4394" s="8" t="s">
        <v>10291</v>
      </c>
    </row>
    <row r="4395" customFormat="false" ht="45.75" hidden="false" customHeight="true" outlineLevel="0" collapsed="false">
      <c r="A4395" s="10" t="s">
        <v>10292</v>
      </c>
      <c r="B4395" s="10" t="s">
        <v>10064</v>
      </c>
      <c r="C4395" s="8" t="s">
        <v>10289</v>
      </c>
      <c r="D4395" s="8" t="s">
        <v>10293</v>
      </c>
      <c r="E4395" s="11" t="n">
        <v>375</v>
      </c>
      <c r="F4395" s="8" t="str">
        <f aca="false">IFERROR(INDEX(Section_Master!$D$2:$D$477,MATCH($E4395,Section_Master!$A$2:$A$477,0))&amp;"","")</f>
        <v>Not applicable - procedural provision (BNSS), no offence defined</v>
      </c>
      <c r="G4395" s="10" t="str">
        <f aca="false">IFERROR(INDEX(Section_Master!$E$2:$E$477,MATCH($E4395,Section_Master!$A$2:$A$477,0))&amp;"","")</f>
        <v>N/A</v>
      </c>
      <c r="H4395" s="10" t="str">
        <f aca="false">IFERROR(INDEX(Section_Master!$F$2:$F$477,MATCH($E4395,Section_Master!$A$2:$A$477,0))&amp;"","")</f>
        <v>N/A</v>
      </c>
      <c r="I4395" s="10" t="str">
        <f aca="false">IFERROR(INDEX(Section_Master!$G$2:$G$477,MATCH($E4395,Section_Master!$A$2:$A$477,0))&amp;"","")</f>
        <v>N/A</v>
      </c>
      <c r="J4395" s="10" t="s">
        <v>52</v>
      </c>
      <c r="K4395" s="8" t="s">
        <v>10291</v>
      </c>
    </row>
    <row r="4396" customFormat="false" ht="34.5" hidden="false" customHeight="true" outlineLevel="0" collapsed="false">
      <c r="A4396" s="10" t="s">
        <v>10294</v>
      </c>
      <c r="B4396" s="10" t="s">
        <v>10064</v>
      </c>
      <c r="C4396" s="8" t="s">
        <v>10289</v>
      </c>
      <c r="D4396" s="8" t="s">
        <v>10295</v>
      </c>
      <c r="E4396" s="11" t="n">
        <v>375</v>
      </c>
      <c r="F4396" s="8" t="str">
        <f aca="false">IFERROR(INDEX(Section_Master!$D$2:$D$477,MATCH($E4396,Section_Master!$A$2:$A$477,0))&amp;"","")</f>
        <v>Not applicable - procedural provision (BNSS), no offence defined</v>
      </c>
      <c r="G4396" s="10" t="str">
        <f aca="false">IFERROR(INDEX(Section_Master!$E$2:$E$477,MATCH($E4396,Section_Master!$A$2:$A$477,0))&amp;"","")</f>
        <v>N/A</v>
      </c>
      <c r="H4396" s="10" t="str">
        <f aca="false">IFERROR(INDEX(Section_Master!$F$2:$F$477,MATCH($E4396,Section_Master!$A$2:$A$477,0))&amp;"","")</f>
        <v>N/A</v>
      </c>
      <c r="I4396" s="10" t="str">
        <f aca="false">IFERROR(INDEX(Section_Master!$G$2:$G$477,MATCH($E4396,Section_Master!$A$2:$A$477,0))&amp;"","")</f>
        <v>N/A</v>
      </c>
      <c r="J4396" s="10" t="s">
        <v>55</v>
      </c>
      <c r="K4396" s="8" t="s">
        <v>10291</v>
      </c>
    </row>
    <row r="4397" customFormat="false" ht="23.25" hidden="false" customHeight="true" outlineLevel="0" collapsed="false">
      <c r="A4397" s="10" t="s">
        <v>10296</v>
      </c>
      <c r="B4397" s="10" t="s">
        <v>10064</v>
      </c>
      <c r="C4397" s="8" t="s">
        <v>10289</v>
      </c>
      <c r="D4397" s="8" t="s">
        <v>10297</v>
      </c>
      <c r="E4397" s="11" t="n">
        <v>375</v>
      </c>
      <c r="F4397" s="8" t="str">
        <f aca="false">IFERROR(INDEX(Section_Master!$D$2:$D$477,MATCH($E4397,Section_Master!$A$2:$A$477,0))&amp;"","")</f>
        <v>Not applicable - procedural provision (BNSS), no offence defined</v>
      </c>
      <c r="G4397" s="10" t="str">
        <f aca="false">IFERROR(INDEX(Section_Master!$E$2:$E$477,MATCH($E4397,Section_Master!$A$2:$A$477,0))&amp;"","")</f>
        <v>N/A</v>
      </c>
      <c r="H4397" s="10" t="str">
        <f aca="false">IFERROR(INDEX(Section_Master!$F$2:$F$477,MATCH($E4397,Section_Master!$A$2:$A$477,0))&amp;"","")</f>
        <v>N/A</v>
      </c>
      <c r="I4397" s="10" t="str">
        <f aca="false">IFERROR(INDEX(Section_Master!$G$2:$G$477,MATCH($E4397,Section_Master!$A$2:$A$477,0))&amp;"","")</f>
        <v>N/A</v>
      </c>
      <c r="J4397" s="10" t="s">
        <v>58</v>
      </c>
      <c r="K4397" s="8" t="s">
        <v>10291</v>
      </c>
    </row>
    <row r="4398" customFormat="false" ht="23.25" hidden="false" customHeight="true" outlineLevel="0" collapsed="false">
      <c r="A4398" s="10" t="s">
        <v>10298</v>
      </c>
      <c r="B4398" s="10" t="s">
        <v>10064</v>
      </c>
      <c r="C4398" s="8" t="s">
        <v>10289</v>
      </c>
      <c r="D4398" s="8" t="s">
        <v>10299</v>
      </c>
      <c r="E4398" s="11" t="n">
        <v>375</v>
      </c>
      <c r="F4398" s="8" t="str">
        <f aca="false">IFERROR(INDEX(Section_Master!$D$2:$D$477,MATCH($E4398,Section_Master!$A$2:$A$477,0))&amp;"","")</f>
        <v>Not applicable - procedural provision (BNSS), no offence defined</v>
      </c>
      <c r="G4398" s="10" t="str">
        <f aca="false">IFERROR(INDEX(Section_Master!$E$2:$E$477,MATCH($E4398,Section_Master!$A$2:$A$477,0))&amp;"","")</f>
        <v>N/A</v>
      </c>
      <c r="H4398" s="10" t="str">
        <f aca="false">IFERROR(INDEX(Section_Master!$F$2:$F$477,MATCH($E4398,Section_Master!$A$2:$A$477,0))&amp;"","")</f>
        <v>N/A</v>
      </c>
      <c r="I4398" s="10" t="str">
        <f aca="false">IFERROR(INDEX(Section_Master!$G$2:$G$477,MATCH($E4398,Section_Master!$A$2:$A$477,0))&amp;"","")</f>
        <v>N/A</v>
      </c>
      <c r="J4398" s="10" t="s">
        <v>61</v>
      </c>
      <c r="K4398" s="8" t="s">
        <v>10291</v>
      </c>
    </row>
    <row r="4399" customFormat="false" ht="34.5" hidden="false" customHeight="true" outlineLevel="0" collapsed="false">
      <c r="A4399" s="10" t="s">
        <v>10300</v>
      </c>
      <c r="B4399" s="10" t="s">
        <v>10064</v>
      </c>
      <c r="C4399" s="8" t="s">
        <v>10289</v>
      </c>
      <c r="D4399" s="8" t="s">
        <v>10301</v>
      </c>
      <c r="E4399" s="11" t="n">
        <v>375</v>
      </c>
      <c r="F4399" s="8" t="str">
        <f aca="false">IFERROR(INDEX(Section_Master!$D$2:$D$477,MATCH($E4399,Section_Master!$A$2:$A$477,0))&amp;"","")</f>
        <v>Not applicable - procedural provision (BNSS), no offence defined</v>
      </c>
      <c r="G4399" s="10" t="str">
        <f aca="false">IFERROR(INDEX(Section_Master!$E$2:$E$477,MATCH($E4399,Section_Master!$A$2:$A$477,0))&amp;"","")</f>
        <v>N/A</v>
      </c>
      <c r="H4399" s="10" t="str">
        <f aca="false">IFERROR(INDEX(Section_Master!$F$2:$F$477,MATCH($E4399,Section_Master!$A$2:$A$477,0))&amp;"","")</f>
        <v>N/A</v>
      </c>
      <c r="I4399" s="10" t="str">
        <f aca="false">IFERROR(INDEX(Section_Master!$G$2:$G$477,MATCH($E4399,Section_Master!$A$2:$A$477,0))&amp;"","")</f>
        <v>N/A</v>
      </c>
      <c r="J4399" s="10" t="s">
        <v>64</v>
      </c>
      <c r="K4399" s="8" t="s">
        <v>10291</v>
      </c>
    </row>
    <row r="4400" customFormat="false" ht="34.5" hidden="false" customHeight="true" outlineLevel="0" collapsed="false">
      <c r="A4400" s="10" t="s">
        <v>10302</v>
      </c>
      <c r="B4400" s="10" t="s">
        <v>10064</v>
      </c>
      <c r="C4400" s="8" t="s">
        <v>10303</v>
      </c>
      <c r="D4400" s="8" t="s">
        <v>10304</v>
      </c>
      <c r="E4400" s="11" t="n">
        <v>376</v>
      </c>
      <c r="F4400" s="8" t="str">
        <f aca="false">IFERROR(INDEX(Section_Master!$D$2:$D$477,MATCH($E4400,Section_Master!$A$2:$A$477,0))&amp;"","")</f>
        <v>Not applicable - procedural provision (BNSS), no offence defined</v>
      </c>
      <c r="G4400" s="10" t="str">
        <f aca="false">IFERROR(INDEX(Section_Master!$E$2:$E$477,MATCH($E4400,Section_Master!$A$2:$A$477,0))&amp;"","")</f>
        <v>N/A</v>
      </c>
      <c r="H4400" s="10" t="str">
        <f aca="false">IFERROR(INDEX(Section_Master!$F$2:$F$477,MATCH($E4400,Section_Master!$A$2:$A$477,0))&amp;"","")</f>
        <v>N/A</v>
      </c>
      <c r="I4400" s="10" t="str">
        <f aca="false">IFERROR(INDEX(Section_Master!$G$2:$G$477,MATCH($E4400,Section_Master!$A$2:$A$477,0))&amp;"","")</f>
        <v>N/A</v>
      </c>
      <c r="J4400" s="10" t="s">
        <v>48</v>
      </c>
      <c r="K4400" s="8" t="s">
        <v>10305</v>
      </c>
    </row>
    <row r="4401" customFormat="false" ht="45.75" hidden="false" customHeight="true" outlineLevel="0" collapsed="false">
      <c r="A4401" s="10" t="s">
        <v>10306</v>
      </c>
      <c r="B4401" s="10" t="s">
        <v>10064</v>
      </c>
      <c r="C4401" s="8" t="s">
        <v>10303</v>
      </c>
      <c r="D4401" s="8" t="s">
        <v>10307</v>
      </c>
      <c r="E4401" s="11" t="n">
        <v>376</v>
      </c>
      <c r="F4401" s="8" t="str">
        <f aca="false">IFERROR(INDEX(Section_Master!$D$2:$D$477,MATCH($E4401,Section_Master!$A$2:$A$477,0))&amp;"","")</f>
        <v>Not applicable - procedural provision (BNSS), no offence defined</v>
      </c>
      <c r="G4401" s="10" t="str">
        <f aca="false">IFERROR(INDEX(Section_Master!$E$2:$E$477,MATCH($E4401,Section_Master!$A$2:$A$477,0))&amp;"","")</f>
        <v>N/A</v>
      </c>
      <c r="H4401" s="10" t="str">
        <f aca="false">IFERROR(INDEX(Section_Master!$F$2:$F$477,MATCH($E4401,Section_Master!$A$2:$A$477,0))&amp;"","")</f>
        <v>N/A</v>
      </c>
      <c r="I4401" s="10" t="str">
        <f aca="false">IFERROR(INDEX(Section_Master!$G$2:$G$477,MATCH($E4401,Section_Master!$A$2:$A$477,0))&amp;"","")</f>
        <v>N/A</v>
      </c>
      <c r="J4401" s="10" t="s">
        <v>52</v>
      </c>
      <c r="K4401" s="8" t="s">
        <v>10305</v>
      </c>
    </row>
    <row r="4402" customFormat="false" ht="34.5" hidden="false" customHeight="true" outlineLevel="0" collapsed="false">
      <c r="A4402" s="10" t="s">
        <v>10308</v>
      </c>
      <c r="B4402" s="10" t="s">
        <v>10064</v>
      </c>
      <c r="C4402" s="8" t="s">
        <v>10303</v>
      </c>
      <c r="D4402" s="8" t="s">
        <v>10309</v>
      </c>
      <c r="E4402" s="11" t="n">
        <v>376</v>
      </c>
      <c r="F4402" s="8" t="str">
        <f aca="false">IFERROR(INDEX(Section_Master!$D$2:$D$477,MATCH($E4402,Section_Master!$A$2:$A$477,0))&amp;"","")</f>
        <v>Not applicable - procedural provision (BNSS), no offence defined</v>
      </c>
      <c r="G4402" s="10" t="str">
        <f aca="false">IFERROR(INDEX(Section_Master!$E$2:$E$477,MATCH($E4402,Section_Master!$A$2:$A$477,0))&amp;"","")</f>
        <v>N/A</v>
      </c>
      <c r="H4402" s="10" t="str">
        <f aca="false">IFERROR(INDEX(Section_Master!$F$2:$F$477,MATCH($E4402,Section_Master!$A$2:$A$477,0))&amp;"","")</f>
        <v>N/A</v>
      </c>
      <c r="I4402" s="10" t="str">
        <f aca="false">IFERROR(INDEX(Section_Master!$G$2:$G$477,MATCH($E4402,Section_Master!$A$2:$A$477,0))&amp;"","")</f>
        <v>N/A</v>
      </c>
      <c r="J4402" s="10" t="s">
        <v>55</v>
      </c>
      <c r="K4402" s="8" t="s">
        <v>10305</v>
      </c>
    </row>
    <row r="4403" customFormat="false" ht="34.5" hidden="false" customHeight="true" outlineLevel="0" collapsed="false">
      <c r="A4403" s="10" t="s">
        <v>10310</v>
      </c>
      <c r="B4403" s="10" t="s">
        <v>10064</v>
      </c>
      <c r="C4403" s="8" t="s">
        <v>10303</v>
      </c>
      <c r="D4403" s="8" t="s">
        <v>10311</v>
      </c>
      <c r="E4403" s="11" t="n">
        <v>376</v>
      </c>
      <c r="F4403" s="8" t="str">
        <f aca="false">IFERROR(INDEX(Section_Master!$D$2:$D$477,MATCH($E4403,Section_Master!$A$2:$A$477,0))&amp;"","")</f>
        <v>Not applicable - procedural provision (BNSS), no offence defined</v>
      </c>
      <c r="G4403" s="10" t="str">
        <f aca="false">IFERROR(INDEX(Section_Master!$E$2:$E$477,MATCH($E4403,Section_Master!$A$2:$A$477,0))&amp;"","")</f>
        <v>N/A</v>
      </c>
      <c r="H4403" s="10" t="str">
        <f aca="false">IFERROR(INDEX(Section_Master!$F$2:$F$477,MATCH($E4403,Section_Master!$A$2:$A$477,0))&amp;"","")</f>
        <v>N/A</v>
      </c>
      <c r="I4403" s="10" t="str">
        <f aca="false">IFERROR(INDEX(Section_Master!$G$2:$G$477,MATCH($E4403,Section_Master!$A$2:$A$477,0))&amp;"","")</f>
        <v>N/A</v>
      </c>
      <c r="J4403" s="10" t="s">
        <v>58</v>
      </c>
      <c r="K4403" s="8" t="s">
        <v>10305</v>
      </c>
    </row>
    <row r="4404" customFormat="false" ht="34.5" hidden="false" customHeight="true" outlineLevel="0" collapsed="false">
      <c r="A4404" s="10" t="s">
        <v>10312</v>
      </c>
      <c r="B4404" s="10" t="s">
        <v>10064</v>
      </c>
      <c r="C4404" s="8" t="s">
        <v>10303</v>
      </c>
      <c r="D4404" s="8" t="s">
        <v>10313</v>
      </c>
      <c r="E4404" s="11" t="n">
        <v>376</v>
      </c>
      <c r="F4404" s="8" t="str">
        <f aca="false">IFERROR(INDEX(Section_Master!$D$2:$D$477,MATCH($E4404,Section_Master!$A$2:$A$477,0))&amp;"","")</f>
        <v>Not applicable - procedural provision (BNSS), no offence defined</v>
      </c>
      <c r="G4404" s="10" t="str">
        <f aca="false">IFERROR(INDEX(Section_Master!$E$2:$E$477,MATCH($E4404,Section_Master!$A$2:$A$477,0))&amp;"","")</f>
        <v>N/A</v>
      </c>
      <c r="H4404" s="10" t="str">
        <f aca="false">IFERROR(INDEX(Section_Master!$F$2:$F$477,MATCH($E4404,Section_Master!$A$2:$A$477,0))&amp;"","")</f>
        <v>N/A</v>
      </c>
      <c r="I4404" s="10" t="str">
        <f aca="false">IFERROR(INDEX(Section_Master!$G$2:$G$477,MATCH($E4404,Section_Master!$A$2:$A$477,0))&amp;"","")</f>
        <v>N/A</v>
      </c>
      <c r="J4404" s="10" t="s">
        <v>61</v>
      </c>
      <c r="K4404" s="8" t="s">
        <v>10305</v>
      </c>
    </row>
    <row r="4405" customFormat="false" ht="45.75" hidden="false" customHeight="true" outlineLevel="0" collapsed="false">
      <c r="A4405" s="10" t="s">
        <v>10314</v>
      </c>
      <c r="B4405" s="10" t="s">
        <v>10064</v>
      </c>
      <c r="C4405" s="8" t="s">
        <v>10303</v>
      </c>
      <c r="D4405" s="8" t="s">
        <v>10315</v>
      </c>
      <c r="E4405" s="11" t="n">
        <v>376</v>
      </c>
      <c r="F4405" s="8" t="str">
        <f aca="false">IFERROR(INDEX(Section_Master!$D$2:$D$477,MATCH($E4405,Section_Master!$A$2:$A$477,0))&amp;"","")</f>
        <v>Not applicable - procedural provision (BNSS), no offence defined</v>
      </c>
      <c r="G4405" s="10" t="str">
        <f aca="false">IFERROR(INDEX(Section_Master!$E$2:$E$477,MATCH($E4405,Section_Master!$A$2:$A$477,0))&amp;"","")</f>
        <v>N/A</v>
      </c>
      <c r="H4405" s="10" t="str">
        <f aca="false">IFERROR(INDEX(Section_Master!$F$2:$F$477,MATCH($E4405,Section_Master!$A$2:$A$477,0))&amp;"","")</f>
        <v>N/A</v>
      </c>
      <c r="I4405" s="10" t="str">
        <f aca="false">IFERROR(INDEX(Section_Master!$G$2:$G$477,MATCH($E4405,Section_Master!$A$2:$A$477,0))&amp;"","")</f>
        <v>N/A</v>
      </c>
      <c r="J4405" s="10" t="s">
        <v>64</v>
      </c>
      <c r="K4405" s="8" t="s">
        <v>10305</v>
      </c>
    </row>
    <row r="4406" customFormat="false" ht="34.5" hidden="false" customHeight="true" outlineLevel="0" collapsed="false">
      <c r="A4406" s="10" t="s">
        <v>10316</v>
      </c>
      <c r="B4406" s="10" t="s">
        <v>10064</v>
      </c>
      <c r="C4406" s="8" t="s">
        <v>10317</v>
      </c>
      <c r="D4406" s="8" t="s">
        <v>10318</v>
      </c>
      <c r="E4406" s="11" t="n">
        <v>377</v>
      </c>
      <c r="F4406" s="8" t="str">
        <f aca="false">IFERROR(INDEX(Section_Master!$D$2:$D$477,MATCH($E4406,Section_Master!$A$2:$A$477,0))&amp;"","")</f>
        <v>Not applicable - procedural provision (BNSS), no offence defined</v>
      </c>
      <c r="G4406" s="10" t="str">
        <f aca="false">IFERROR(INDEX(Section_Master!$E$2:$E$477,MATCH($E4406,Section_Master!$A$2:$A$477,0))&amp;"","")</f>
        <v>N/A</v>
      </c>
      <c r="H4406" s="10" t="str">
        <f aca="false">IFERROR(INDEX(Section_Master!$F$2:$F$477,MATCH($E4406,Section_Master!$A$2:$A$477,0))&amp;"","")</f>
        <v>N/A</v>
      </c>
      <c r="I4406" s="10" t="str">
        <f aca="false">IFERROR(INDEX(Section_Master!$G$2:$G$477,MATCH($E4406,Section_Master!$A$2:$A$477,0))&amp;"","")</f>
        <v>N/A</v>
      </c>
      <c r="J4406" s="10" t="s">
        <v>48</v>
      </c>
      <c r="K4406" s="8" t="s">
        <v>10319</v>
      </c>
    </row>
    <row r="4407" customFormat="false" ht="45.75" hidden="false" customHeight="true" outlineLevel="0" collapsed="false">
      <c r="A4407" s="10" t="s">
        <v>10320</v>
      </c>
      <c r="B4407" s="10" t="s">
        <v>10064</v>
      </c>
      <c r="C4407" s="8" t="s">
        <v>10317</v>
      </c>
      <c r="D4407" s="8" t="s">
        <v>10321</v>
      </c>
      <c r="E4407" s="11" t="n">
        <v>377</v>
      </c>
      <c r="F4407" s="8" t="str">
        <f aca="false">IFERROR(INDEX(Section_Master!$D$2:$D$477,MATCH($E4407,Section_Master!$A$2:$A$477,0))&amp;"","")</f>
        <v>Not applicable - procedural provision (BNSS), no offence defined</v>
      </c>
      <c r="G4407" s="10" t="str">
        <f aca="false">IFERROR(INDEX(Section_Master!$E$2:$E$477,MATCH($E4407,Section_Master!$A$2:$A$477,0))&amp;"","")</f>
        <v>N/A</v>
      </c>
      <c r="H4407" s="10" t="str">
        <f aca="false">IFERROR(INDEX(Section_Master!$F$2:$F$477,MATCH($E4407,Section_Master!$A$2:$A$477,0))&amp;"","")</f>
        <v>N/A</v>
      </c>
      <c r="I4407" s="10" t="str">
        <f aca="false">IFERROR(INDEX(Section_Master!$G$2:$G$477,MATCH($E4407,Section_Master!$A$2:$A$477,0))&amp;"","")</f>
        <v>N/A</v>
      </c>
      <c r="J4407" s="10" t="s">
        <v>52</v>
      </c>
      <c r="K4407" s="8" t="s">
        <v>10319</v>
      </c>
    </row>
    <row r="4408" customFormat="false" ht="34.5" hidden="false" customHeight="true" outlineLevel="0" collapsed="false">
      <c r="A4408" s="10" t="s">
        <v>10322</v>
      </c>
      <c r="B4408" s="10" t="s">
        <v>10064</v>
      </c>
      <c r="C4408" s="8" t="s">
        <v>10317</v>
      </c>
      <c r="D4408" s="8" t="s">
        <v>10323</v>
      </c>
      <c r="E4408" s="11" t="n">
        <v>377</v>
      </c>
      <c r="F4408" s="8" t="str">
        <f aca="false">IFERROR(INDEX(Section_Master!$D$2:$D$477,MATCH($E4408,Section_Master!$A$2:$A$477,0))&amp;"","")</f>
        <v>Not applicable - procedural provision (BNSS), no offence defined</v>
      </c>
      <c r="G4408" s="10" t="str">
        <f aca="false">IFERROR(INDEX(Section_Master!$E$2:$E$477,MATCH($E4408,Section_Master!$A$2:$A$477,0))&amp;"","")</f>
        <v>N/A</v>
      </c>
      <c r="H4408" s="10" t="str">
        <f aca="false">IFERROR(INDEX(Section_Master!$F$2:$F$477,MATCH($E4408,Section_Master!$A$2:$A$477,0))&amp;"","")</f>
        <v>N/A</v>
      </c>
      <c r="I4408" s="10" t="str">
        <f aca="false">IFERROR(INDEX(Section_Master!$G$2:$G$477,MATCH($E4408,Section_Master!$A$2:$A$477,0))&amp;"","")</f>
        <v>N/A</v>
      </c>
      <c r="J4408" s="10" t="s">
        <v>55</v>
      </c>
      <c r="K4408" s="8" t="s">
        <v>10319</v>
      </c>
    </row>
    <row r="4409" customFormat="false" ht="34.5" hidden="false" customHeight="true" outlineLevel="0" collapsed="false">
      <c r="A4409" s="10" t="s">
        <v>10324</v>
      </c>
      <c r="B4409" s="10" t="s">
        <v>10064</v>
      </c>
      <c r="C4409" s="8" t="s">
        <v>10317</v>
      </c>
      <c r="D4409" s="8" t="s">
        <v>10325</v>
      </c>
      <c r="E4409" s="11" t="n">
        <v>377</v>
      </c>
      <c r="F4409" s="8" t="str">
        <f aca="false">IFERROR(INDEX(Section_Master!$D$2:$D$477,MATCH($E4409,Section_Master!$A$2:$A$477,0))&amp;"","")</f>
        <v>Not applicable - procedural provision (BNSS), no offence defined</v>
      </c>
      <c r="G4409" s="10" t="str">
        <f aca="false">IFERROR(INDEX(Section_Master!$E$2:$E$477,MATCH($E4409,Section_Master!$A$2:$A$477,0))&amp;"","")</f>
        <v>N/A</v>
      </c>
      <c r="H4409" s="10" t="str">
        <f aca="false">IFERROR(INDEX(Section_Master!$F$2:$F$477,MATCH($E4409,Section_Master!$A$2:$A$477,0))&amp;"","")</f>
        <v>N/A</v>
      </c>
      <c r="I4409" s="10" t="str">
        <f aca="false">IFERROR(INDEX(Section_Master!$G$2:$G$477,MATCH($E4409,Section_Master!$A$2:$A$477,0))&amp;"","")</f>
        <v>N/A</v>
      </c>
      <c r="J4409" s="10" t="s">
        <v>58</v>
      </c>
      <c r="K4409" s="8" t="s">
        <v>10319</v>
      </c>
    </row>
    <row r="4410" customFormat="false" ht="34.5" hidden="false" customHeight="true" outlineLevel="0" collapsed="false">
      <c r="A4410" s="10" t="s">
        <v>10326</v>
      </c>
      <c r="B4410" s="10" t="s">
        <v>10064</v>
      </c>
      <c r="C4410" s="8" t="s">
        <v>10317</v>
      </c>
      <c r="D4410" s="8" t="s">
        <v>10327</v>
      </c>
      <c r="E4410" s="11" t="n">
        <v>377</v>
      </c>
      <c r="F4410" s="8" t="str">
        <f aca="false">IFERROR(INDEX(Section_Master!$D$2:$D$477,MATCH($E4410,Section_Master!$A$2:$A$477,0))&amp;"","")</f>
        <v>Not applicable - procedural provision (BNSS), no offence defined</v>
      </c>
      <c r="G4410" s="10" t="str">
        <f aca="false">IFERROR(INDEX(Section_Master!$E$2:$E$477,MATCH($E4410,Section_Master!$A$2:$A$477,0))&amp;"","")</f>
        <v>N/A</v>
      </c>
      <c r="H4410" s="10" t="str">
        <f aca="false">IFERROR(INDEX(Section_Master!$F$2:$F$477,MATCH($E4410,Section_Master!$A$2:$A$477,0))&amp;"","")</f>
        <v>N/A</v>
      </c>
      <c r="I4410" s="10" t="str">
        <f aca="false">IFERROR(INDEX(Section_Master!$G$2:$G$477,MATCH($E4410,Section_Master!$A$2:$A$477,0))&amp;"","")</f>
        <v>N/A</v>
      </c>
      <c r="J4410" s="10" t="s">
        <v>61</v>
      </c>
      <c r="K4410" s="8" t="s">
        <v>10319</v>
      </c>
    </row>
    <row r="4411" customFormat="false" ht="45.75" hidden="false" customHeight="true" outlineLevel="0" collapsed="false">
      <c r="A4411" s="10" t="s">
        <v>10328</v>
      </c>
      <c r="B4411" s="10" t="s">
        <v>10064</v>
      </c>
      <c r="C4411" s="8" t="s">
        <v>10317</v>
      </c>
      <c r="D4411" s="8" t="s">
        <v>10329</v>
      </c>
      <c r="E4411" s="11" t="n">
        <v>377</v>
      </c>
      <c r="F4411" s="8" t="str">
        <f aca="false">IFERROR(INDEX(Section_Master!$D$2:$D$477,MATCH($E4411,Section_Master!$A$2:$A$477,0))&amp;"","")</f>
        <v>Not applicable - procedural provision (BNSS), no offence defined</v>
      </c>
      <c r="G4411" s="10" t="str">
        <f aca="false">IFERROR(INDEX(Section_Master!$E$2:$E$477,MATCH($E4411,Section_Master!$A$2:$A$477,0))&amp;"","")</f>
        <v>N/A</v>
      </c>
      <c r="H4411" s="10" t="str">
        <f aca="false">IFERROR(INDEX(Section_Master!$F$2:$F$477,MATCH($E4411,Section_Master!$A$2:$A$477,0))&amp;"","")</f>
        <v>N/A</v>
      </c>
      <c r="I4411" s="10" t="str">
        <f aca="false">IFERROR(INDEX(Section_Master!$G$2:$G$477,MATCH($E4411,Section_Master!$A$2:$A$477,0))&amp;"","")</f>
        <v>N/A</v>
      </c>
      <c r="J4411" s="10" t="s">
        <v>64</v>
      </c>
      <c r="K4411" s="8" t="s">
        <v>10319</v>
      </c>
    </row>
    <row r="4412" customFormat="false" ht="34.5" hidden="false" customHeight="true" outlineLevel="0" collapsed="false">
      <c r="A4412" s="10" t="s">
        <v>10330</v>
      </c>
      <c r="B4412" s="10" t="s">
        <v>10064</v>
      </c>
      <c r="C4412" s="8" t="s">
        <v>10331</v>
      </c>
      <c r="D4412" s="8" t="s">
        <v>10332</v>
      </c>
      <c r="E4412" s="11" t="n">
        <v>378</v>
      </c>
      <c r="F4412" s="8" t="str">
        <f aca="false">IFERROR(INDEX(Section_Master!$D$2:$D$477,MATCH($E4412,Section_Master!$A$2:$A$477,0))&amp;"","")</f>
        <v>Not applicable - procedural provision (BNSS), no offence defined</v>
      </c>
      <c r="G4412" s="10" t="str">
        <f aca="false">IFERROR(INDEX(Section_Master!$E$2:$E$477,MATCH($E4412,Section_Master!$A$2:$A$477,0))&amp;"","")</f>
        <v>N/A</v>
      </c>
      <c r="H4412" s="10" t="str">
        <f aca="false">IFERROR(INDEX(Section_Master!$F$2:$F$477,MATCH($E4412,Section_Master!$A$2:$A$477,0))&amp;"","")</f>
        <v>N/A</v>
      </c>
      <c r="I4412" s="10" t="str">
        <f aca="false">IFERROR(INDEX(Section_Master!$G$2:$G$477,MATCH($E4412,Section_Master!$A$2:$A$477,0))&amp;"","")</f>
        <v>N/A</v>
      </c>
      <c r="J4412" s="10" t="s">
        <v>48</v>
      </c>
      <c r="K4412" s="8" t="s">
        <v>10333</v>
      </c>
    </row>
    <row r="4413" customFormat="false" ht="45.75" hidden="false" customHeight="true" outlineLevel="0" collapsed="false">
      <c r="A4413" s="10" t="s">
        <v>10334</v>
      </c>
      <c r="B4413" s="10" t="s">
        <v>10064</v>
      </c>
      <c r="C4413" s="8" t="s">
        <v>10331</v>
      </c>
      <c r="D4413" s="8" t="s">
        <v>10335</v>
      </c>
      <c r="E4413" s="11" t="n">
        <v>378</v>
      </c>
      <c r="F4413" s="8" t="str">
        <f aca="false">IFERROR(INDEX(Section_Master!$D$2:$D$477,MATCH($E4413,Section_Master!$A$2:$A$477,0))&amp;"","")</f>
        <v>Not applicable - procedural provision (BNSS), no offence defined</v>
      </c>
      <c r="G4413" s="10" t="str">
        <f aca="false">IFERROR(INDEX(Section_Master!$E$2:$E$477,MATCH($E4413,Section_Master!$A$2:$A$477,0))&amp;"","")</f>
        <v>N/A</v>
      </c>
      <c r="H4413" s="10" t="str">
        <f aca="false">IFERROR(INDEX(Section_Master!$F$2:$F$477,MATCH($E4413,Section_Master!$A$2:$A$477,0))&amp;"","")</f>
        <v>N/A</v>
      </c>
      <c r="I4413" s="10" t="str">
        <f aca="false">IFERROR(INDEX(Section_Master!$G$2:$G$477,MATCH($E4413,Section_Master!$A$2:$A$477,0))&amp;"","")</f>
        <v>N/A</v>
      </c>
      <c r="J4413" s="10" t="s">
        <v>52</v>
      </c>
      <c r="K4413" s="8" t="s">
        <v>10333</v>
      </c>
    </row>
    <row r="4414" customFormat="false" ht="34.5" hidden="false" customHeight="true" outlineLevel="0" collapsed="false">
      <c r="A4414" s="10" t="s">
        <v>10336</v>
      </c>
      <c r="B4414" s="10" t="s">
        <v>10064</v>
      </c>
      <c r="C4414" s="8" t="s">
        <v>10331</v>
      </c>
      <c r="D4414" s="8" t="s">
        <v>10337</v>
      </c>
      <c r="E4414" s="11" t="n">
        <v>378</v>
      </c>
      <c r="F4414" s="8" t="str">
        <f aca="false">IFERROR(INDEX(Section_Master!$D$2:$D$477,MATCH($E4414,Section_Master!$A$2:$A$477,0))&amp;"","")</f>
        <v>Not applicable - procedural provision (BNSS), no offence defined</v>
      </c>
      <c r="G4414" s="10" t="str">
        <f aca="false">IFERROR(INDEX(Section_Master!$E$2:$E$477,MATCH($E4414,Section_Master!$A$2:$A$477,0))&amp;"","")</f>
        <v>N/A</v>
      </c>
      <c r="H4414" s="10" t="str">
        <f aca="false">IFERROR(INDEX(Section_Master!$F$2:$F$477,MATCH($E4414,Section_Master!$A$2:$A$477,0))&amp;"","")</f>
        <v>N/A</v>
      </c>
      <c r="I4414" s="10" t="str">
        <f aca="false">IFERROR(INDEX(Section_Master!$G$2:$G$477,MATCH($E4414,Section_Master!$A$2:$A$477,0))&amp;"","")</f>
        <v>N/A</v>
      </c>
      <c r="J4414" s="10" t="s">
        <v>55</v>
      </c>
      <c r="K4414" s="8" t="s">
        <v>10333</v>
      </c>
    </row>
    <row r="4415" customFormat="false" ht="23.25" hidden="false" customHeight="true" outlineLevel="0" collapsed="false">
      <c r="A4415" s="10" t="s">
        <v>10338</v>
      </c>
      <c r="B4415" s="10" t="s">
        <v>10064</v>
      </c>
      <c r="C4415" s="8" t="s">
        <v>10331</v>
      </c>
      <c r="D4415" s="8" t="s">
        <v>10339</v>
      </c>
      <c r="E4415" s="11" t="n">
        <v>378</v>
      </c>
      <c r="F4415" s="8" t="str">
        <f aca="false">IFERROR(INDEX(Section_Master!$D$2:$D$477,MATCH($E4415,Section_Master!$A$2:$A$477,0))&amp;"","")</f>
        <v>Not applicable - procedural provision (BNSS), no offence defined</v>
      </c>
      <c r="G4415" s="10" t="str">
        <f aca="false">IFERROR(INDEX(Section_Master!$E$2:$E$477,MATCH($E4415,Section_Master!$A$2:$A$477,0))&amp;"","")</f>
        <v>N/A</v>
      </c>
      <c r="H4415" s="10" t="str">
        <f aca="false">IFERROR(INDEX(Section_Master!$F$2:$F$477,MATCH($E4415,Section_Master!$A$2:$A$477,0))&amp;"","")</f>
        <v>N/A</v>
      </c>
      <c r="I4415" s="10" t="str">
        <f aca="false">IFERROR(INDEX(Section_Master!$G$2:$G$477,MATCH($E4415,Section_Master!$A$2:$A$477,0))&amp;"","")</f>
        <v>N/A</v>
      </c>
      <c r="J4415" s="10" t="s">
        <v>58</v>
      </c>
      <c r="K4415" s="8" t="s">
        <v>10333</v>
      </c>
    </row>
    <row r="4416" customFormat="false" ht="45.75" hidden="false" customHeight="true" outlineLevel="0" collapsed="false">
      <c r="A4416" s="10" t="s">
        <v>10340</v>
      </c>
      <c r="B4416" s="10" t="s">
        <v>10064</v>
      </c>
      <c r="C4416" s="8" t="s">
        <v>10331</v>
      </c>
      <c r="D4416" s="8" t="s">
        <v>10341</v>
      </c>
      <c r="E4416" s="11" t="n">
        <v>378</v>
      </c>
      <c r="F4416" s="8" t="str">
        <f aca="false">IFERROR(INDEX(Section_Master!$D$2:$D$477,MATCH($E4416,Section_Master!$A$2:$A$477,0))&amp;"","")</f>
        <v>Not applicable - procedural provision (BNSS), no offence defined</v>
      </c>
      <c r="G4416" s="10" t="str">
        <f aca="false">IFERROR(INDEX(Section_Master!$E$2:$E$477,MATCH($E4416,Section_Master!$A$2:$A$477,0))&amp;"","")</f>
        <v>N/A</v>
      </c>
      <c r="H4416" s="10" t="str">
        <f aca="false">IFERROR(INDEX(Section_Master!$F$2:$F$477,MATCH($E4416,Section_Master!$A$2:$A$477,0))&amp;"","")</f>
        <v>N/A</v>
      </c>
      <c r="I4416" s="10" t="str">
        <f aca="false">IFERROR(INDEX(Section_Master!$G$2:$G$477,MATCH($E4416,Section_Master!$A$2:$A$477,0))&amp;"","")</f>
        <v>N/A</v>
      </c>
      <c r="J4416" s="10" t="s">
        <v>61</v>
      </c>
      <c r="K4416" s="8" t="s">
        <v>10333</v>
      </c>
    </row>
    <row r="4417" customFormat="false" ht="45.75" hidden="false" customHeight="true" outlineLevel="0" collapsed="false">
      <c r="A4417" s="10" t="s">
        <v>10342</v>
      </c>
      <c r="B4417" s="10" t="s">
        <v>10064</v>
      </c>
      <c r="C4417" s="8" t="s">
        <v>10331</v>
      </c>
      <c r="D4417" s="8" t="s">
        <v>10343</v>
      </c>
      <c r="E4417" s="11" t="n">
        <v>378</v>
      </c>
      <c r="F4417" s="8" t="str">
        <f aca="false">IFERROR(INDEX(Section_Master!$D$2:$D$477,MATCH($E4417,Section_Master!$A$2:$A$477,0))&amp;"","")</f>
        <v>Not applicable - procedural provision (BNSS), no offence defined</v>
      </c>
      <c r="G4417" s="10" t="str">
        <f aca="false">IFERROR(INDEX(Section_Master!$E$2:$E$477,MATCH($E4417,Section_Master!$A$2:$A$477,0))&amp;"","")</f>
        <v>N/A</v>
      </c>
      <c r="H4417" s="10" t="str">
        <f aca="false">IFERROR(INDEX(Section_Master!$F$2:$F$477,MATCH($E4417,Section_Master!$A$2:$A$477,0))&amp;"","")</f>
        <v>N/A</v>
      </c>
      <c r="I4417" s="10" t="str">
        <f aca="false">IFERROR(INDEX(Section_Master!$G$2:$G$477,MATCH($E4417,Section_Master!$A$2:$A$477,0))&amp;"","")</f>
        <v>N/A</v>
      </c>
      <c r="J4417" s="10" t="s">
        <v>64</v>
      </c>
      <c r="K4417" s="8" t="s">
        <v>10333</v>
      </c>
    </row>
    <row r="4418" customFormat="false" ht="45.75" hidden="false" customHeight="true" outlineLevel="0" collapsed="false">
      <c r="A4418" s="10" t="s">
        <v>10344</v>
      </c>
      <c r="B4418" s="10" t="s">
        <v>10064</v>
      </c>
      <c r="C4418" s="8" t="s">
        <v>10345</v>
      </c>
      <c r="D4418" s="8" t="s">
        <v>10346</v>
      </c>
      <c r="E4418" s="11" t="n">
        <v>379</v>
      </c>
      <c r="F4418" s="8" t="str">
        <f aca="false">IFERROR(INDEX(Section_Master!$D$2:$D$477,MATCH($E4418,Section_Master!$A$2:$A$477,0))&amp;"","")</f>
        <v>Not applicable - procedural provision (BNSS), no offence defined</v>
      </c>
      <c r="G4418" s="10" t="str">
        <f aca="false">IFERROR(INDEX(Section_Master!$E$2:$E$477,MATCH($E4418,Section_Master!$A$2:$A$477,0))&amp;"","")</f>
        <v>N/A</v>
      </c>
      <c r="H4418" s="10" t="str">
        <f aca="false">IFERROR(INDEX(Section_Master!$F$2:$F$477,MATCH($E4418,Section_Master!$A$2:$A$477,0))&amp;"","")</f>
        <v>N/A</v>
      </c>
      <c r="I4418" s="10" t="str">
        <f aca="false">IFERROR(INDEX(Section_Master!$G$2:$G$477,MATCH($E4418,Section_Master!$A$2:$A$477,0))&amp;"","")</f>
        <v>N/A</v>
      </c>
      <c r="J4418" s="10" t="s">
        <v>48</v>
      </c>
      <c r="K4418" s="8" t="s">
        <v>10347</v>
      </c>
    </row>
    <row r="4419" customFormat="false" ht="45.75" hidden="false" customHeight="true" outlineLevel="0" collapsed="false">
      <c r="A4419" s="10" t="s">
        <v>10348</v>
      </c>
      <c r="B4419" s="10" t="s">
        <v>10064</v>
      </c>
      <c r="C4419" s="8" t="s">
        <v>10345</v>
      </c>
      <c r="D4419" s="8" t="s">
        <v>10349</v>
      </c>
      <c r="E4419" s="11" t="n">
        <v>379</v>
      </c>
      <c r="F4419" s="8" t="str">
        <f aca="false">IFERROR(INDEX(Section_Master!$D$2:$D$477,MATCH($E4419,Section_Master!$A$2:$A$477,0))&amp;"","")</f>
        <v>Not applicable - procedural provision (BNSS), no offence defined</v>
      </c>
      <c r="G4419" s="10" t="str">
        <f aca="false">IFERROR(INDEX(Section_Master!$E$2:$E$477,MATCH($E4419,Section_Master!$A$2:$A$477,0))&amp;"","")</f>
        <v>N/A</v>
      </c>
      <c r="H4419" s="10" t="str">
        <f aca="false">IFERROR(INDEX(Section_Master!$F$2:$F$477,MATCH($E4419,Section_Master!$A$2:$A$477,0))&amp;"","")</f>
        <v>N/A</v>
      </c>
      <c r="I4419" s="10" t="str">
        <f aca="false">IFERROR(INDEX(Section_Master!$G$2:$G$477,MATCH($E4419,Section_Master!$A$2:$A$477,0))&amp;"","")</f>
        <v>N/A</v>
      </c>
      <c r="J4419" s="10" t="s">
        <v>52</v>
      </c>
      <c r="K4419" s="8" t="s">
        <v>10347</v>
      </c>
    </row>
    <row r="4420" customFormat="false" ht="45.75" hidden="false" customHeight="true" outlineLevel="0" collapsed="false">
      <c r="A4420" s="10" t="s">
        <v>10350</v>
      </c>
      <c r="B4420" s="10" t="s">
        <v>10064</v>
      </c>
      <c r="C4420" s="8" t="s">
        <v>10345</v>
      </c>
      <c r="D4420" s="8" t="s">
        <v>10351</v>
      </c>
      <c r="E4420" s="11" t="n">
        <v>379</v>
      </c>
      <c r="F4420" s="8" t="str">
        <f aca="false">IFERROR(INDEX(Section_Master!$D$2:$D$477,MATCH($E4420,Section_Master!$A$2:$A$477,0))&amp;"","")</f>
        <v>Not applicable - procedural provision (BNSS), no offence defined</v>
      </c>
      <c r="G4420" s="10" t="str">
        <f aca="false">IFERROR(INDEX(Section_Master!$E$2:$E$477,MATCH($E4420,Section_Master!$A$2:$A$477,0))&amp;"","")</f>
        <v>N/A</v>
      </c>
      <c r="H4420" s="10" t="str">
        <f aca="false">IFERROR(INDEX(Section_Master!$F$2:$F$477,MATCH($E4420,Section_Master!$A$2:$A$477,0))&amp;"","")</f>
        <v>N/A</v>
      </c>
      <c r="I4420" s="10" t="str">
        <f aca="false">IFERROR(INDEX(Section_Master!$G$2:$G$477,MATCH($E4420,Section_Master!$A$2:$A$477,0))&amp;"","")</f>
        <v>N/A</v>
      </c>
      <c r="J4420" s="10" t="s">
        <v>55</v>
      </c>
      <c r="K4420" s="8" t="s">
        <v>10347</v>
      </c>
    </row>
    <row r="4421" customFormat="false" ht="23.25" hidden="false" customHeight="true" outlineLevel="0" collapsed="false">
      <c r="A4421" s="10" t="s">
        <v>10352</v>
      </c>
      <c r="B4421" s="10" t="s">
        <v>10064</v>
      </c>
      <c r="C4421" s="8" t="s">
        <v>10345</v>
      </c>
      <c r="D4421" s="8" t="s">
        <v>10353</v>
      </c>
      <c r="E4421" s="11" t="n">
        <v>379</v>
      </c>
      <c r="F4421" s="8" t="str">
        <f aca="false">IFERROR(INDEX(Section_Master!$D$2:$D$477,MATCH($E4421,Section_Master!$A$2:$A$477,0))&amp;"","")</f>
        <v>Not applicable - procedural provision (BNSS), no offence defined</v>
      </c>
      <c r="G4421" s="10" t="str">
        <f aca="false">IFERROR(INDEX(Section_Master!$E$2:$E$477,MATCH($E4421,Section_Master!$A$2:$A$477,0))&amp;"","")</f>
        <v>N/A</v>
      </c>
      <c r="H4421" s="10" t="str">
        <f aca="false">IFERROR(INDEX(Section_Master!$F$2:$F$477,MATCH($E4421,Section_Master!$A$2:$A$477,0))&amp;"","")</f>
        <v>N/A</v>
      </c>
      <c r="I4421" s="10" t="str">
        <f aca="false">IFERROR(INDEX(Section_Master!$G$2:$G$477,MATCH($E4421,Section_Master!$A$2:$A$477,0))&amp;"","")</f>
        <v>N/A</v>
      </c>
      <c r="J4421" s="10" t="s">
        <v>58</v>
      </c>
      <c r="K4421" s="8" t="s">
        <v>10347</v>
      </c>
    </row>
    <row r="4422" customFormat="false" ht="34.5" hidden="false" customHeight="true" outlineLevel="0" collapsed="false">
      <c r="A4422" s="10" t="s">
        <v>10354</v>
      </c>
      <c r="B4422" s="10" t="s">
        <v>10064</v>
      </c>
      <c r="C4422" s="8" t="s">
        <v>10345</v>
      </c>
      <c r="D4422" s="8" t="s">
        <v>10355</v>
      </c>
      <c r="E4422" s="11" t="n">
        <v>379</v>
      </c>
      <c r="F4422" s="8" t="str">
        <f aca="false">IFERROR(INDEX(Section_Master!$D$2:$D$477,MATCH($E4422,Section_Master!$A$2:$A$477,0))&amp;"","")</f>
        <v>Not applicable - procedural provision (BNSS), no offence defined</v>
      </c>
      <c r="G4422" s="10" t="str">
        <f aca="false">IFERROR(INDEX(Section_Master!$E$2:$E$477,MATCH($E4422,Section_Master!$A$2:$A$477,0))&amp;"","")</f>
        <v>N/A</v>
      </c>
      <c r="H4422" s="10" t="str">
        <f aca="false">IFERROR(INDEX(Section_Master!$F$2:$F$477,MATCH($E4422,Section_Master!$A$2:$A$477,0))&amp;"","")</f>
        <v>N/A</v>
      </c>
      <c r="I4422" s="10" t="str">
        <f aca="false">IFERROR(INDEX(Section_Master!$G$2:$G$477,MATCH($E4422,Section_Master!$A$2:$A$477,0))&amp;"","")</f>
        <v>N/A</v>
      </c>
      <c r="J4422" s="10" t="s">
        <v>61</v>
      </c>
      <c r="K4422" s="8" t="s">
        <v>10347</v>
      </c>
    </row>
    <row r="4423" customFormat="false" ht="45.75" hidden="false" customHeight="true" outlineLevel="0" collapsed="false">
      <c r="A4423" s="10" t="s">
        <v>10356</v>
      </c>
      <c r="B4423" s="10" t="s">
        <v>10064</v>
      </c>
      <c r="C4423" s="8" t="s">
        <v>10345</v>
      </c>
      <c r="D4423" s="8" t="s">
        <v>10357</v>
      </c>
      <c r="E4423" s="11" t="n">
        <v>379</v>
      </c>
      <c r="F4423" s="8" t="str">
        <f aca="false">IFERROR(INDEX(Section_Master!$D$2:$D$477,MATCH($E4423,Section_Master!$A$2:$A$477,0))&amp;"","")</f>
        <v>Not applicable - procedural provision (BNSS), no offence defined</v>
      </c>
      <c r="G4423" s="10" t="str">
        <f aca="false">IFERROR(INDEX(Section_Master!$E$2:$E$477,MATCH($E4423,Section_Master!$A$2:$A$477,0))&amp;"","")</f>
        <v>N/A</v>
      </c>
      <c r="H4423" s="10" t="str">
        <f aca="false">IFERROR(INDEX(Section_Master!$F$2:$F$477,MATCH($E4423,Section_Master!$A$2:$A$477,0))&amp;"","")</f>
        <v>N/A</v>
      </c>
      <c r="I4423" s="10" t="str">
        <f aca="false">IFERROR(INDEX(Section_Master!$G$2:$G$477,MATCH($E4423,Section_Master!$A$2:$A$477,0))&amp;"","")</f>
        <v>N/A</v>
      </c>
      <c r="J4423" s="10" t="s">
        <v>64</v>
      </c>
      <c r="K4423" s="8" t="s">
        <v>10347</v>
      </c>
    </row>
    <row r="4424" customFormat="false" ht="23.25" hidden="false" customHeight="true" outlineLevel="0" collapsed="false">
      <c r="A4424" s="10" t="s">
        <v>10358</v>
      </c>
      <c r="B4424" s="10" t="s">
        <v>10064</v>
      </c>
      <c r="C4424" s="8" t="s">
        <v>10359</v>
      </c>
      <c r="D4424" s="8" t="s">
        <v>10360</v>
      </c>
      <c r="E4424" s="11" t="n">
        <v>380</v>
      </c>
      <c r="F4424" s="8" t="str">
        <f aca="false">IFERROR(INDEX(Section_Master!$D$2:$D$477,MATCH($E4424,Section_Master!$A$2:$A$477,0))&amp;"","")</f>
        <v>Not applicable - procedural provision (BNSS), no offence defined</v>
      </c>
      <c r="G4424" s="10" t="str">
        <f aca="false">IFERROR(INDEX(Section_Master!$E$2:$E$477,MATCH($E4424,Section_Master!$A$2:$A$477,0))&amp;"","")</f>
        <v>N/A</v>
      </c>
      <c r="H4424" s="10" t="str">
        <f aca="false">IFERROR(INDEX(Section_Master!$F$2:$F$477,MATCH($E4424,Section_Master!$A$2:$A$477,0))&amp;"","")</f>
        <v>N/A</v>
      </c>
      <c r="I4424" s="10" t="str">
        <f aca="false">IFERROR(INDEX(Section_Master!$G$2:$G$477,MATCH($E4424,Section_Master!$A$2:$A$477,0))&amp;"","")</f>
        <v>N/A</v>
      </c>
      <c r="J4424" s="10" t="s">
        <v>48</v>
      </c>
      <c r="K4424" s="8" t="s">
        <v>10361</v>
      </c>
    </row>
    <row r="4425" customFormat="false" ht="45.75" hidden="false" customHeight="true" outlineLevel="0" collapsed="false">
      <c r="A4425" s="10" t="s">
        <v>10362</v>
      </c>
      <c r="B4425" s="10" t="s">
        <v>10064</v>
      </c>
      <c r="C4425" s="8" t="s">
        <v>10359</v>
      </c>
      <c r="D4425" s="8" t="s">
        <v>10363</v>
      </c>
      <c r="E4425" s="11" t="n">
        <v>380</v>
      </c>
      <c r="F4425" s="8" t="str">
        <f aca="false">IFERROR(INDEX(Section_Master!$D$2:$D$477,MATCH($E4425,Section_Master!$A$2:$A$477,0))&amp;"","")</f>
        <v>Not applicable - procedural provision (BNSS), no offence defined</v>
      </c>
      <c r="G4425" s="10" t="str">
        <f aca="false">IFERROR(INDEX(Section_Master!$E$2:$E$477,MATCH($E4425,Section_Master!$A$2:$A$477,0))&amp;"","")</f>
        <v>N/A</v>
      </c>
      <c r="H4425" s="10" t="str">
        <f aca="false">IFERROR(INDEX(Section_Master!$F$2:$F$477,MATCH($E4425,Section_Master!$A$2:$A$477,0))&amp;"","")</f>
        <v>N/A</v>
      </c>
      <c r="I4425" s="10" t="str">
        <f aca="false">IFERROR(INDEX(Section_Master!$G$2:$G$477,MATCH($E4425,Section_Master!$A$2:$A$477,0))&amp;"","")</f>
        <v>N/A</v>
      </c>
      <c r="J4425" s="10" t="s">
        <v>52</v>
      </c>
      <c r="K4425" s="8" t="s">
        <v>10361</v>
      </c>
    </row>
    <row r="4426" customFormat="false" ht="23.25" hidden="false" customHeight="true" outlineLevel="0" collapsed="false">
      <c r="A4426" s="10" t="s">
        <v>10364</v>
      </c>
      <c r="B4426" s="10" t="s">
        <v>10064</v>
      </c>
      <c r="C4426" s="8" t="s">
        <v>10359</v>
      </c>
      <c r="D4426" s="8" t="s">
        <v>10365</v>
      </c>
      <c r="E4426" s="11" t="n">
        <v>380</v>
      </c>
      <c r="F4426" s="8" t="str">
        <f aca="false">IFERROR(INDEX(Section_Master!$D$2:$D$477,MATCH($E4426,Section_Master!$A$2:$A$477,0))&amp;"","")</f>
        <v>Not applicable - procedural provision (BNSS), no offence defined</v>
      </c>
      <c r="G4426" s="10" t="str">
        <f aca="false">IFERROR(INDEX(Section_Master!$E$2:$E$477,MATCH($E4426,Section_Master!$A$2:$A$477,0))&amp;"","")</f>
        <v>N/A</v>
      </c>
      <c r="H4426" s="10" t="str">
        <f aca="false">IFERROR(INDEX(Section_Master!$F$2:$F$477,MATCH($E4426,Section_Master!$A$2:$A$477,0))&amp;"","")</f>
        <v>N/A</v>
      </c>
      <c r="I4426" s="10" t="str">
        <f aca="false">IFERROR(INDEX(Section_Master!$G$2:$G$477,MATCH($E4426,Section_Master!$A$2:$A$477,0))&amp;"","")</f>
        <v>N/A</v>
      </c>
      <c r="J4426" s="10" t="s">
        <v>55</v>
      </c>
      <c r="K4426" s="8" t="s">
        <v>10361</v>
      </c>
    </row>
    <row r="4427" customFormat="false" ht="23.25" hidden="false" customHeight="true" outlineLevel="0" collapsed="false">
      <c r="A4427" s="10" t="s">
        <v>10366</v>
      </c>
      <c r="B4427" s="10" t="s">
        <v>10064</v>
      </c>
      <c r="C4427" s="8" t="s">
        <v>10359</v>
      </c>
      <c r="D4427" s="8" t="s">
        <v>10367</v>
      </c>
      <c r="E4427" s="11" t="n">
        <v>380</v>
      </c>
      <c r="F4427" s="8" t="str">
        <f aca="false">IFERROR(INDEX(Section_Master!$D$2:$D$477,MATCH($E4427,Section_Master!$A$2:$A$477,0))&amp;"","")</f>
        <v>Not applicable - procedural provision (BNSS), no offence defined</v>
      </c>
      <c r="G4427" s="10" t="str">
        <f aca="false">IFERROR(INDEX(Section_Master!$E$2:$E$477,MATCH($E4427,Section_Master!$A$2:$A$477,0))&amp;"","")</f>
        <v>N/A</v>
      </c>
      <c r="H4427" s="10" t="str">
        <f aca="false">IFERROR(INDEX(Section_Master!$F$2:$F$477,MATCH($E4427,Section_Master!$A$2:$A$477,0))&amp;"","")</f>
        <v>N/A</v>
      </c>
      <c r="I4427" s="10" t="str">
        <f aca="false">IFERROR(INDEX(Section_Master!$G$2:$G$477,MATCH($E4427,Section_Master!$A$2:$A$477,0))&amp;"","")</f>
        <v>N/A</v>
      </c>
      <c r="J4427" s="10" t="s">
        <v>58</v>
      </c>
      <c r="K4427" s="8" t="s">
        <v>10361</v>
      </c>
    </row>
    <row r="4428" customFormat="false" ht="34.5" hidden="false" customHeight="true" outlineLevel="0" collapsed="false">
      <c r="A4428" s="10" t="s">
        <v>10368</v>
      </c>
      <c r="B4428" s="10" t="s">
        <v>10064</v>
      </c>
      <c r="C4428" s="8" t="s">
        <v>10359</v>
      </c>
      <c r="D4428" s="8" t="s">
        <v>10369</v>
      </c>
      <c r="E4428" s="11" t="n">
        <v>380</v>
      </c>
      <c r="F4428" s="8" t="str">
        <f aca="false">IFERROR(INDEX(Section_Master!$D$2:$D$477,MATCH($E4428,Section_Master!$A$2:$A$477,0))&amp;"","")</f>
        <v>Not applicable - procedural provision (BNSS), no offence defined</v>
      </c>
      <c r="G4428" s="10" t="str">
        <f aca="false">IFERROR(INDEX(Section_Master!$E$2:$E$477,MATCH($E4428,Section_Master!$A$2:$A$477,0))&amp;"","")</f>
        <v>N/A</v>
      </c>
      <c r="H4428" s="10" t="str">
        <f aca="false">IFERROR(INDEX(Section_Master!$F$2:$F$477,MATCH($E4428,Section_Master!$A$2:$A$477,0))&amp;"","")</f>
        <v>N/A</v>
      </c>
      <c r="I4428" s="10" t="str">
        <f aca="false">IFERROR(INDEX(Section_Master!$G$2:$G$477,MATCH($E4428,Section_Master!$A$2:$A$477,0))&amp;"","")</f>
        <v>N/A</v>
      </c>
      <c r="J4428" s="10" t="s">
        <v>61</v>
      </c>
      <c r="K4428" s="8" t="s">
        <v>10361</v>
      </c>
    </row>
    <row r="4429" customFormat="false" ht="45.75" hidden="false" customHeight="true" outlineLevel="0" collapsed="false">
      <c r="A4429" s="10" t="s">
        <v>10370</v>
      </c>
      <c r="B4429" s="10" t="s">
        <v>10064</v>
      </c>
      <c r="C4429" s="8" t="s">
        <v>10359</v>
      </c>
      <c r="D4429" s="8" t="s">
        <v>10371</v>
      </c>
      <c r="E4429" s="11" t="n">
        <v>380</v>
      </c>
      <c r="F4429" s="8" t="str">
        <f aca="false">IFERROR(INDEX(Section_Master!$D$2:$D$477,MATCH($E4429,Section_Master!$A$2:$A$477,0))&amp;"","")</f>
        <v>Not applicable - procedural provision (BNSS), no offence defined</v>
      </c>
      <c r="G4429" s="10" t="str">
        <f aca="false">IFERROR(INDEX(Section_Master!$E$2:$E$477,MATCH($E4429,Section_Master!$A$2:$A$477,0))&amp;"","")</f>
        <v>N/A</v>
      </c>
      <c r="H4429" s="10" t="str">
        <f aca="false">IFERROR(INDEX(Section_Master!$F$2:$F$477,MATCH($E4429,Section_Master!$A$2:$A$477,0))&amp;"","")</f>
        <v>N/A</v>
      </c>
      <c r="I4429" s="10" t="str">
        <f aca="false">IFERROR(INDEX(Section_Master!$G$2:$G$477,MATCH($E4429,Section_Master!$A$2:$A$477,0))&amp;"","")</f>
        <v>N/A</v>
      </c>
      <c r="J4429" s="10" t="s">
        <v>64</v>
      </c>
      <c r="K4429" s="8" t="s">
        <v>10361</v>
      </c>
    </row>
    <row r="4430" customFormat="false" ht="34.5" hidden="false" customHeight="true" outlineLevel="0" collapsed="false">
      <c r="A4430" s="10" t="s">
        <v>10372</v>
      </c>
      <c r="B4430" s="10" t="s">
        <v>10064</v>
      </c>
      <c r="C4430" s="8" t="s">
        <v>10373</v>
      </c>
      <c r="D4430" s="8" t="s">
        <v>10374</v>
      </c>
      <c r="E4430" s="11" t="n">
        <v>381</v>
      </c>
      <c r="F4430" s="8" t="str">
        <f aca="false">IFERROR(INDEX(Section_Master!$D$2:$D$477,MATCH($E4430,Section_Master!$A$2:$A$477,0))&amp;"","")</f>
        <v>Not applicable - procedural provision (BNSS), no offence defined</v>
      </c>
      <c r="G4430" s="10" t="str">
        <f aca="false">IFERROR(INDEX(Section_Master!$E$2:$E$477,MATCH($E4430,Section_Master!$A$2:$A$477,0))&amp;"","")</f>
        <v>N/A</v>
      </c>
      <c r="H4430" s="10" t="str">
        <f aca="false">IFERROR(INDEX(Section_Master!$F$2:$F$477,MATCH($E4430,Section_Master!$A$2:$A$477,0))&amp;"","")</f>
        <v>N/A</v>
      </c>
      <c r="I4430" s="10" t="str">
        <f aca="false">IFERROR(INDEX(Section_Master!$G$2:$G$477,MATCH($E4430,Section_Master!$A$2:$A$477,0))&amp;"","")</f>
        <v>N/A</v>
      </c>
      <c r="J4430" s="10" t="s">
        <v>48</v>
      </c>
      <c r="K4430" s="8" t="s">
        <v>10375</v>
      </c>
    </row>
    <row r="4431" customFormat="false" ht="34.5" hidden="false" customHeight="true" outlineLevel="0" collapsed="false">
      <c r="A4431" s="10" t="s">
        <v>10376</v>
      </c>
      <c r="B4431" s="10" t="s">
        <v>10064</v>
      </c>
      <c r="C4431" s="8" t="s">
        <v>10373</v>
      </c>
      <c r="D4431" s="8" t="s">
        <v>10377</v>
      </c>
      <c r="E4431" s="11" t="n">
        <v>381</v>
      </c>
      <c r="F4431" s="8" t="str">
        <f aca="false">IFERROR(INDEX(Section_Master!$D$2:$D$477,MATCH($E4431,Section_Master!$A$2:$A$477,0))&amp;"","")</f>
        <v>Not applicable - procedural provision (BNSS), no offence defined</v>
      </c>
      <c r="G4431" s="10" t="str">
        <f aca="false">IFERROR(INDEX(Section_Master!$E$2:$E$477,MATCH($E4431,Section_Master!$A$2:$A$477,0))&amp;"","")</f>
        <v>N/A</v>
      </c>
      <c r="H4431" s="10" t="str">
        <f aca="false">IFERROR(INDEX(Section_Master!$F$2:$F$477,MATCH($E4431,Section_Master!$A$2:$A$477,0))&amp;"","")</f>
        <v>N/A</v>
      </c>
      <c r="I4431" s="10" t="str">
        <f aca="false">IFERROR(INDEX(Section_Master!$G$2:$G$477,MATCH($E4431,Section_Master!$A$2:$A$477,0))&amp;"","")</f>
        <v>N/A</v>
      </c>
      <c r="J4431" s="10" t="s">
        <v>52</v>
      </c>
      <c r="K4431" s="8" t="s">
        <v>10375</v>
      </c>
    </row>
    <row r="4432" customFormat="false" ht="23.25" hidden="false" customHeight="true" outlineLevel="0" collapsed="false">
      <c r="A4432" s="10" t="s">
        <v>10378</v>
      </c>
      <c r="B4432" s="10" t="s">
        <v>10064</v>
      </c>
      <c r="C4432" s="8" t="s">
        <v>10373</v>
      </c>
      <c r="D4432" s="8" t="s">
        <v>10379</v>
      </c>
      <c r="E4432" s="11" t="n">
        <v>381</v>
      </c>
      <c r="F4432" s="8" t="str">
        <f aca="false">IFERROR(INDEX(Section_Master!$D$2:$D$477,MATCH($E4432,Section_Master!$A$2:$A$477,0))&amp;"","")</f>
        <v>Not applicable - procedural provision (BNSS), no offence defined</v>
      </c>
      <c r="G4432" s="10" t="str">
        <f aca="false">IFERROR(INDEX(Section_Master!$E$2:$E$477,MATCH($E4432,Section_Master!$A$2:$A$477,0))&amp;"","")</f>
        <v>N/A</v>
      </c>
      <c r="H4432" s="10" t="str">
        <f aca="false">IFERROR(INDEX(Section_Master!$F$2:$F$477,MATCH($E4432,Section_Master!$A$2:$A$477,0))&amp;"","")</f>
        <v>N/A</v>
      </c>
      <c r="I4432" s="10" t="str">
        <f aca="false">IFERROR(INDEX(Section_Master!$G$2:$G$477,MATCH($E4432,Section_Master!$A$2:$A$477,0))&amp;"","")</f>
        <v>N/A</v>
      </c>
      <c r="J4432" s="10" t="s">
        <v>55</v>
      </c>
      <c r="K4432" s="8" t="s">
        <v>10375</v>
      </c>
    </row>
    <row r="4433" customFormat="false" ht="23.25" hidden="false" customHeight="true" outlineLevel="0" collapsed="false">
      <c r="A4433" s="10" t="s">
        <v>10380</v>
      </c>
      <c r="B4433" s="10" t="s">
        <v>10064</v>
      </c>
      <c r="C4433" s="8" t="s">
        <v>10373</v>
      </c>
      <c r="D4433" s="8" t="s">
        <v>10381</v>
      </c>
      <c r="E4433" s="11" t="n">
        <v>381</v>
      </c>
      <c r="F4433" s="8" t="str">
        <f aca="false">IFERROR(INDEX(Section_Master!$D$2:$D$477,MATCH($E4433,Section_Master!$A$2:$A$477,0))&amp;"","")</f>
        <v>Not applicable - procedural provision (BNSS), no offence defined</v>
      </c>
      <c r="G4433" s="10" t="str">
        <f aca="false">IFERROR(INDEX(Section_Master!$E$2:$E$477,MATCH($E4433,Section_Master!$A$2:$A$477,0))&amp;"","")</f>
        <v>N/A</v>
      </c>
      <c r="H4433" s="10" t="str">
        <f aca="false">IFERROR(INDEX(Section_Master!$F$2:$F$477,MATCH($E4433,Section_Master!$A$2:$A$477,0))&amp;"","")</f>
        <v>N/A</v>
      </c>
      <c r="I4433" s="10" t="str">
        <f aca="false">IFERROR(INDEX(Section_Master!$G$2:$G$477,MATCH($E4433,Section_Master!$A$2:$A$477,0))&amp;"","")</f>
        <v>N/A</v>
      </c>
      <c r="J4433" s="10" t="s">
        <v>58</v>
      </c>
      <c r="K4433" s="8" t="s">
        <v>10375</v>
      </c>
    </row>
    <row r="4434" customFormat="false" ht="23.25" hidden="false" customHeight="true" outlineLevel="0" collapsed="false">
      <c r="A4434" s="10" t="s">
        <v>10382</v>
      </c>
      <c r="B4434" s="10" t="s">
        <v>10064</v>
      </c>
      <c r="C4434" s="8" t="s">
        <v>10373</v>
      </c>
      <c r="D4434" s="8" t="s">
        <v>10383</v>
      </c>
      <c r="E4434" s="11" t="n">
        <v>381</v>
      </c>
      <c r="F4434" s="8" t="str">
        <f aca="false">IFERROR(INDEX(Section_Master!$D$2:$D$477,MATCH($E4434,Section_Master!$A$2:$A$477,0))&amp;"","")</f>
        <v>Not applicable - procedural provision (BNSS), no offence defined</v>
      </c>
      <c r="G4434" s="10" t="str">
        <f aca="false">IFERROR(INDEX(Section_Master!$E$2:$E$477,MATCH($E4434,Section_Master!$A$2:$A$477,0))&amp;"","")</f>
        <v>N/A</v>
      </c>
      <c r="H4434" s="10" t="str">
        <f aca="false">IFERROR(INDEX(Section_Master!$F$2:$F$477,MATCH($E4434,Section_Master!$A$2:$A$477,0))&amp;"","")</f>
        <v>N/A</v>
      </c>
      <c r="I4434" s="10" t="str">
        <f aca="false">IFERROR(INDEX(Section_Master!$G$2:$G$477,MATCH($E4434,Section_Master!$A$2:$A$477,0))&amp;"","")</f>
        <v>N/A</v>
      </c>
      <c r="J4434" s="10" t="s">
        <v>61</v>
      </c>
      <c r="K4434" s="8" t="s">
        <v>10375</v>
      </c>
    </row>
    <row r="4435" customFormat="false" ht="45.75" hidden="false" customHeight="true" outlineLevel="0" collapsed="false">
      <c r="A4435" s="10" t="s">
        <v>10384</v>
      </c>
      <c r="B4435" s="10" t="s">
        <v>10064</v>
      </c>
      <c r="C4435" s="8" t="s">
        <v>10373</v>
      </c>
      <c r="D4435" s="8" t="s">
        <v>10385</v>
      </c>
      <c r="E4435" s="11" t="n">
        <v>381</v>
      </c>
      <c r="F4435" s="8" t="str">
        <f aca="false">IFERROR(INDEX(Section_Master!$D$2:$D$477,MATCH($E4435,Section_Master!$A$2:$A$477,0))&amp;"","")</f>
        <v>Not applicable - procedural provision (BNSS), no offence defined</v>
      </c>
      <c r="G4435" s="10" t="str">
        <f aca="false">IFERROR(INDEX(Section_Master!$E$2:$E$477,MATCH($E4435,Section_Master!$A$2:$A$477,0))&amp;"","")</f>
        <v>N/A</v>
      </c>
      <c r="H4435" s="10" t="str">
        <f aca="false">IFERROR(INDEX(Section_Master!$F$2:$F$477,MATCH($E4435,Section_Master!$A$2:$A$477,0))&amp;"","")</f>
        <v>N/A</v>
      </c>
      <c r="I4435" s="10" t="str">
        <f aca="false">IFERROR(INDEX(Section_Master!$G$2:$G$477,MATCH($E4435,Section_Master!$A$2:$A$477,0))&amp;"","")</f>
        <v>N/A</v>
      </c>
      <c r="J4435" s="10" t="s">
        <v>64</v>
      </c>
      <c r="K4435" s="8" t="s">
        <v>10375</v>
      </c>
    </row>
    <row r="4436" customFormat="false" ht="34.5" hidden="false" customHeight="true" outlineLevel="0" collapsed="false">
      <c r="A4436" s="10" t="s">
        <v>10386</v>
      </c>
      <c r="B4436" s="10" t="s">
        <v>10064</v>
      </c>
      <c r="C4436" s="8" t="s">
        <v>10387</v>
      </c>
      <c r="D4436" s="8" t="s">
        <v>10388</v>
      </c>
      <c r="E4436" s="11" t="n">
        <v>382</v>
      </c>
      <c r="F4436" s="8" t="str">
        <f aca="false">IFERROR(INDEX(Section_Master!$D$2:$D$477,MATCH($E4436,Section_Master!$A$2:$A$477,0))&amp;"","")</f>
        <v>Not applicable - procedural provision (BNSS), no offence defined</v>
      </c>
      <c r="G4436" s="10" t="str">
        <f aca="false">IFERROR(INDEX(Section_Master!$E$2:$E$477,MATCH($E4436,Section_Master!$A$2:$A$477,0))&amp;"","")</f>
        <v>N/A</v>
      </c>
      <c r="H4436" s="10" t="str">
        <f aca="false">IFERROR(INDEX(Section_Master!$F$2:$F$477,MATCH($E4436,Section_Master!$A$2:$A$477,0))&amp;"","")</f>
        <v>N/A</v>
      </c>
      <c r="I4436" s="10" t="str">
        <f aca="false">IFERROR(INDEX(Section_Master!$G$2:$G$477,MATCH($E4436,Section_Master!$A$2:$A$477,0))&amp;"","")</f>
        <v>N/A</v>
      </c>
      <c r="J4436" s="10" t="s">
        <v>48</v>
      </c>
      <c r="K4436" s="8" t="s">
        <v>10389</v>
      </c>
    </row>
    <row r="4437" customFormat="false" ht="45.75" hidden="false" customHeight="true" outlineLevel="0" collapsed="false">
      <c r="A4437" s="10" t="s">
        <v>10390</v>
      </c>
      <c r="B4437" s="10" t="s">
        <v>10064</v>
      </c>
      <c r="C4437" s="8" t="s">
        <v>10387</v>
      </c>
      <c r="D4437" s="8" t="s">
        <v>10391</v>
      </c>
      <c r="E4437" s="11" t="n">
        <v>382</v>
      </c>
      <c r="F4437" s="8" t="str">
        <f aca="false">IFERROR(INDEX(Section_Master!$D$2:$D$477,MATCH($E4437,Section_Master!$A$2:$A$477,0))&amp;"","")</f>
        <v>Not applicable - procedural provision (BNSS), no offence defined</v>
      </c>
      <c r="G4437" s="10" t="str">
        <f aca="false">IFERROR(INDEX(Section_Master!$E$2:$E$477,MATCH($E4437,Section_Master!$A$2:$A$477,0))&amp;"","")</f>
        <v>N/A</v>
      </c>
      <c r="H4437" s="10" t="str">
        <f aca="false">IFERROR(INDEX(Section_Master!$F$2:$F$477,MATCH($E4437,Section_Master!$A$2:$A$477,0))&amp;"","")</f>
        <v>N/A</v>
      </c>
      <c r="I4437" s="10" t="str">
        <f aca="false">IFERROR(INDEX(Section_Master!$G$2:$G$477,MATCH($E4437,Section_Master!$A$2:$A$477,0))&amp;"","")</f>
        <v>N/A</v>
      </c>
      <c r="J4437" s="10" t="s">
        <v>52</v>
      </c>
      <c r="K4437" s="8" t="s">
        <v>10389</v>
      </c>
    </row>
    <row r="4438" customFormat="false" ht="45.75" hidden="false" customHeight="true" outlineLevel="0" collapsed="false">
      <c r="A4438" s="10" t="s">
        <v>10392</v>
      </c>
      <c r="B4438" s="10" t="s">
        <v>10064</v>
      </c>
      <c r="C4438" s="8" t="s">
        <v>10387</v>
      </c>
      <c r="D4438" s="8" t="s">
        <v>10393</v>
      </c>
      <c r="E4438" s="11" t="n">
        <v>382</v>
      </c>
      <c r="F4438" s="8" t="str">
        <f aca="false">IFERROR(INDEX(Section_Master!$D$2:$D$477,MATCH($E4438,Section_Master!$A$2:$A$477,0))&amp;"","")</f>
        <v>Not applicable - procedural provision (BNSS), no offence defined</v>
      </c>
      <c r="G4438" s="10" t="str">
        <f aca="false">IFERROR(INDEX(Section_Master!$E$2:$E$477,MATCH($E4438,Section_Master!$A$2:$A$477,0))&amp;"","")</f>
        <v>N/A</v>
      </c>
      <c r="H4438" s="10" t="str">
        <f aca="false">IFERROR(INDEX(Section_Master!$F$2:$F$477,MATCH($E4438,Section_Master!$A$2:$A$477,0))&amp;"","")</f>
        <v>N/A</v>
      </c>
      <c r="I4438" s="10" t="str">
        <f aca="false">IFERROR(INDEX(Section_Master!$G$2:$G$477,MATCH($E4438,Section_Master!$A$2:$A$477,0))&amp;"","")</f>
        <v>N/A</v>
      </c>
      <c r="J4438" s="10" t="s">
        <v>55</v>
      </c>
      <c r="K4438" s="8" t="s">
        <v>10389</v>
      </c>
    </row>
    <row r="4439" customFormat="false" ht="23.25" hidden="false" customHeight="true" outlineLevel="0" collapsed="false">
      <c r="A4439" s="10" t="s">
        <v>10394</v>
      </c>
      <c r="B4439" s="10" t="s">
        <v>10064</v>
      </c>
      <c r="C4439" s="8" t="s">
        <v>10387</v>
      </c>
      <c r="D4439" s="8" t="s">
        <v>10395</v>
      </c>
      <c r="E4439" s="11" t="n">
        <v>382</v>
      </c>
      <c r="F4439" s="8" t="str">
        <f aca="false">IFERROR(INDEX(Section_Master!$D$2:$D$477,MATCH($E4439,Section_Master!$A$2:$A$477,0))&amp;"","")</f>
        <v>Not applicable - procedural provision (BNSS), no offence defined</v>
      </c>
      <c r="G4439" s="10" t="str">
        <f aca="false">IFERROR(INDEX(Section_Master!$E$2:$E$477,MATCH($E4439,Section_Master!$A$2:$A$477,0))&amp;"","")</f>
        <v>N/A</v>
      </c>
      <c r="H4439" s="10" t="str">
        <f aca="false">IFERROR(INDEX(Section_Master!$F$2:$F$477,MATCH($E4439,Section_Master!$A$2:$A$477,0))&amp;"","")</f>
        <v>N/A</v>
      </c>
      <c r="I4439" s="10" t="str">
        <f aca="false">IFERROR(INDEX(Section_Master!$G$2:$G$477,MATCH($E4439,Section_Master!$A$2:$A$477,0))&amp;"","")</f>
        <v>N/A</v>
      </c>
      <c r="J4439" s="10" t="s">
        <v>58</v>
      </c>
      <c r="K4439" s="8" t="s">
        <v>10389</v>
      </c>
    </row>
    <row r="4440" customFormat="false" ht="23.25" hidden="false" customHeight="true" outlineLevel="0" collapsed="false">
      <c r="A4440" s="10" t="s">
        <v>10396</v>
      </c>
      <c r="B4440" s="10" t="s">
        <v>10064</v>
      </c>
      <c r="C4440" s="8" t="s">
        <v>10387</v>
      </c>
      <c r="D4440" s="8" t="s">
        <v>10397</v>
      </c>
      <c r="E4440" s="11" t="n">
        <v>382</v>
      </c>
      <c r="F4440" s="8" t="str">
        <f aca="false">IFERROR(INDEX(Section_Master!$D$2:$D$477,MATCH($E4440,Section_Master!$A$2:$A$477,0))&amp;"","")</f>
        <v>Not applicable - procedural provision (BNSS), no offence defined</v>
      </c>
      <c r="G4440" s="10" t="str">
        <f aca="false">IFERROR(INDEX(Section_Master!$E$2:$E$477,MATCH($E4440,Section_Master!$A$2:$A$477,0))&amp;"","")</f>
        <v>N/A</v>
      </c>
      <c r="H4440" s="10" t="str">
        <f aca="false">IFERROR(INDEX(Section_Master!$F$2:$F$477,MATCH($E4440,Section_Master!$A$2:$A$477,0))&amp;"","")</f>
        <v>N/A</v>
      </c>
      <c r="I4440" s="10" t="str">
        <f aca="false">IFERROR(INDEX(Section_Master!$G$2:$G$477,MATCH($E4440,Section_Master!$A$2:$A$477,0))&amp;"","")</f>
        <v>N/A</v>
      </c>
      <c r="J4440" s="10" t="s">
        <v>61</v>
      </c>
      <c r="K4440" s="8" t="s">
        <v>10389</v>
      </c>
    </row>
    <row r="4441" customFormat="false" ht="57" hidden="false" customHeight="true" outlineLevel="0" collapsed="false">
      <c r="A4441" s="10" t="s">
        <v>10398</v>
      </c>
      <c r="B4441" s="10" t="s">
        <v>10064</v>
      </c>
      <c r="C4441" s="8" t="s">
        <v>10387</v>
      </c>
      <c r="D4441" s="8" t="s">
        <v>10399</v>
      </c>
      <c r="E4441" s="11" t="n">
        <v>382</v>
      </c>
      <c r="F4441" s="8" t="str">
        <f aca="false">IFERROR(INDEX(Section_Master!$D$2:$D$477,MATCH($E4441,Section_Master!$A$2:$A$477,0))&amp;"","")</f>
        <v>Not applicable - procedural provision (BNSS), no offence defined</v>
      </c>
      <c r="G4441" s="10" t="str">
        <f aca="false">IFERROR(INDEX(Section_Master!$E$2:$E$477,MATCH($E4441,Section_Master!$A$2:$A$477,0))&amp;"","")</f>
        <v>N/A</v>
      </c>
      <c r="H4441" s="10" t="str">
        <f aca="false">IFERROR(INDEX(Section_Master!$F$2:$F$477,MATCH($E4441,Section_Master!$A$2:$A$477,0))&amp;"","")</f>
        <v>N/A</v>
      </c>
      <c r="I4441" s="10" t="str">
        <f aca="false">IFERROR(INDEX(Section_Master!$G$2:$G$477,MATCH($E4441,Section_Master!$A$2:$A$477,0))&amp;"","")</f>
        <v>N/A</v>
      </c>
      <c r="J4441" s="10" t="s">
        <v>64</v>
      </c>
      <c r="K4441" s="8" t="s">
        <v>10389</v>
      </c>
    </row>
    <row r="4442" customFormat="false" ht="45.75" hidden="false" customHeight="true" outlineLevel="0" collapsed="false">
      <c r="A4442" s="10" t="s">
        <v>10400</v>
      </c>
      <c r="B4442" s="10" t="s">
        <v>10064</v>
      </c>
      <c r="C4442" s="8" t="s">
        <v>10401</v>
      </c>
      <c r="D4442" s="8" t="s">
        <v>10402</v>
      </c>
      <c r="E4442" s="11" t="n">
        <v>383</v>
      </c>
      <c r="F4442" s="8" t="str">
        <f aca="false">IFERROR(INDEX(Section_Master!$D$2:$D$477,MATCH($E4442,Section_Master!$A$2:$A$477,0))&amp;"","")</f>
        <v>Not applicable - procedural provision (BNSS), no offence defined</v>
      </c>
      <c r="G4442" s="10" t="str">
        <f aca="false">IFERROR(INDEX(Section_Master!$E$2:$E$477,MATCH($E4442,Section_Master!$A$2:$A$477,0))&amp;"","")</f>
        <v>N/A</v>
      </c>
      <c r="H4442" s="10" t="str">
        <f aca="false">IFERROR(INDEX(Section_Master!$F$2:$F$477,MATCH($E4442,Section_Master!$A$2:$A$477,0))&amp;"","")</f>
        <v>N/A</v>
      </c>
      <c r="I4442" s="10" t="str">
        <f aca="false">IFERROR(INDEX(Section_Master!$G$2:$G$477,MATCH($E4442,Section_Master!$A$2:$A$477,0))&amp;"","")</f>
        <v>N/A</v>
      </c>
      <c r="J4442" s="10" t="s">
        <v>48</v>
      </c>
      <c r="K4442" s="8" t="s">
        <v>10403</v>
      </c>
    </row>
    <row r="4443" customFormat="false" ht="45.75" hidden="false" customHeight="true" outlineLevel="0" collapsed="false">
      <c r="A4443" s="10" t="s">
        <v>10404</v>
      </c>
      <c r="B4443" s="10" t="s">
        <v>10064</v>
      </c>
      <c r="C4443" s="8" t="s">
        <v>10401</v>
      </c>
      <c r="D4443" s="8" t="s">
        <v>10405</v>
      </c>
      <c r="E4443" s="11" t="n">
        <v>383</v>
      </c>
      <c r="F4443" s="8" t="str">
        <f aca="false">IFERROR(INDEX(Section_Master!$D$2:$D$477,MATCH($E4443,Section_Master!$A$2:$A$477,0))&amp;"","")</f>
        <v>Not applicable - procedural provision (BNSS), no offence defined</v>
      </c>
      <c r="G4443" s="10" t="str">
        <f aca="false">IFERROR(INDEX(Section_Master!$E$2:$E$477,MATCH($E4443,Section_Master!$A$2:$A$477,0))&amp;"","")</f>
        <v>N/A</v>
      </c>
      <c r="H4443" s="10" t="str">
        <f aca="false">IFERROR(INDEX(Section_Master!$F$2:$F$477,MATCH($E4443,Section_Master!$A$2:$A$477,0))&amp;"","")</f>
        <v>N/A</v>
      </c>
      <c r="I4443" s="10" t="str">
        <f aca="false">IFERROR(INDEX(Section_Master!$G$2:$G$477,MATCH($E4443,Section_Master!$A$2:$A$477,0))&amp;"","")</f>
        <v>N/A</v>
      </c>
      <c r="J4443" s="10" t="s">
        <v>52</v>
      </c>
      <c r="K4443" s="8" t="s">
        <v>10403</v>
      </c>
    </row>
    <row r="4444" customFormat="false" ht="34.5" hidden="false" customHeight="true" outlineLevel="0" collapsed="false">
      <c r="A4444" s="10" t="s">
        <v>10406</v>
      </c>
      <c r="B4444" s="10" t="s">
        <v>10064</v>
      </c>
      <c r="C4444" s="8" t="s">
        <v>10401</v>
      </c>
      <c r="D4444" s="8" t="s">
        <v>10407</v>
      </c>
      <c r="E4444" s="11" t="n">
        <v>383</v>
      </c>
      <c r="F4444" s="8" t="str">
        <f aca="false">IFERROR(INDEX(Section_Master!$D$2:$D$477,MATCH($E4444,Section_Master!$A$2:$A$477,0))&amp;"","")</f>
        <v>Not applicable - procedural provision (BNSS), no offence defined</v>
      </c>
      <c r="G4444" s="10" t="str">
        <f aca="false">IFERROR(INDEX(Section_Master!$E$2:$E$477,MATCH($E4444,Section_Master!$A$2:$A$477,0))&amp;"","")</f>
        <v>N/A</v>
      </c>
      <c r="H4444" s="10" t="str">
        <f aca="false">IFERROR(INDEX(Section_Master!$F$2:$F$477,MATCH($E4444,Section_Master!$A$2:$A$477,0))&amp;"","")</f>
        <v>N/A</v>
      </c>
      <c r="I4444" s="10" t="str">
        <f aca="false">IFERROR(INDEX(Section_Master!$G$2:$G$477,MATCH($E4444,Section_Master!$A$2:$A$477,0))&amp;"","")</f>
        <v>N/A</v>
      </c>
      <c r="J4444" s="10" t="s">
        <v>55</v>
      </c>
      <c r="K4444" s="8" t="s">
        <v>10403</v>
      </c>
    </row>
    <row r="4445" customFormat="false" ht="23.25" hidden="false" customHeight="true" outlineLevel="0" collapsed="false">
      <c r="A4445" s="10" t="s">
        <v>10408</v>
      </c>
      <c r="B4445" s="10" t="s">
        <v>10064</v>
      </c>
      <c r="C4445" s="8" t="s">
        <v>10401</v>
      </c>
      <c r="D4445" s="8" t="s">
        <v>10409</v>
      </c>
      <c r="E4445" s="11" t="n">
        <v>383</v>
      </c>
      <c r="F4445" s="8" t="str">
        <f aca="false">IFERROR(INDEX(Section_Master!$D$2:$D$477,MATCH($E4445,Section_Master!$A$2:$A$477,0))&amp;"","")</f>
        <v>Not applicable - procedural provision (BNSS), no offence defined</v>
      </c>
      <c r="G4445" s="10" t="str">
        <f aca="false">IFERROR(INDEX(Section_Master!$E$2:$E$477,MATCH($E4445,Section_Master!$A$2:$A$477,0))&amp;"","")</f>
        <v>N/A</v>
      </c>
      <c r="H4445" s="10" t="str">
        <f aca="false">IFERROR(INDEX(Section_Master!$F$2:$F$477,MATCH($E4445,Section_Master!$A$2:$A$477,0))&amp;"","")</f>
        <v>N/A</v>
      </c>
      <c r="I4445" s="10" t="str">
        <f aca="false">IFERROR(INDEX(Section_Master!$G$2:$G$477,MATCH($E4445,Section_Master!$A$2:$A$477,0))&amp;"","")</f>
        <v>N/A</v>
      </c>
      <c r="J4445" s="10" t="s">
        <v>58</v>
      </c>
      <c r="K4445" s="8" t="s">
        <v>10403</v>
      </c>
    </row>
    <row r="4446" customFormat="false" ht="34.5" hidden="false" customHeight="true" outlineLevel="0" collapsed="false">
      <c r="A4446" s="10" t="s">
        <v>10410</v>
      </c>
      <c r="B4446" s="10" t="s">
        <v>10064</v>
      </c>
      <c r="C4446" s="8" t="s">
        <v>10401</v>
      </c>
      <c r="D4446" s="8" t="s">
        <v>10411</v>
      </c>
      <c r="E4446" s="11" t="n">
        <v>383</v>
      </c>
      <c r="F4446" s="8" t="str">
        <f aca="false">IFERROR(INDEX(Section_Master!$D$2:$D$477,MATCH($E4446,Section_Master!$A$2:$A$477,0))&amp;"","")</f>
        <v>Not applicable - procedural provision (BNSS), no offence defined</v>
      </c>
      <c r="G4446" s="10" t="str">
        <f aca="false">IFERROR(INDEX(Section_Master!$E$2:$E$477,MATCH($E4446,Section_Master!$A$2:$A$477,0))&amp;"","")</f>
        <v>N/A</v>
      </c>
      <c r="H4446" s="10" t="str">
        <f aca="false">IFERROR(INDEX(Section_Master!$F$2:$F$477,MATCH($E4446,Section_Master!$A$2:$A$477,0))&amp;"","")</f>
        <v>N/A</v>
      </c>
      <c r="I4446" s="10" t="str">
        <f aca="false">IFERROR(INDEX(Section_Master!$G$2:$G$477,MATCH($E4446,Section_Master!$A$2:$A$477,0))&amp;"","")</f>
        <v>N/A</v>
      </c>
      <c r="J4446" s="10" t="s">
        <v>61</v>
      </c>
      <c r="K4446" s="8" t="s">
        <v>10403</v>
      </c>
    </row>
    <row r="4447" customFormat="false" ht="45.75" hidden="false" customHeight="true" outlineLevel="0" collapsed="false">
      <c r="A4447" s="10" t="s">
        <v>10412</v>
      </c>
      <c r="B4447" s="10" t="s">
        <v>10064</v>
      </c>
      <c r="C4447" s="8" t="s">
        <v>10401</v>
      </c>
      <c r="D4447" s="8" t="s">
        <v>10413</v>
      </c>
      <c r="E4447" s="11" t="n">
        <v>383</v>
      </c>
      <c r="F4447" s="8" t="str">
        <f aca="false">IFERROR(INDEX(Section_Master!$D$2:$D$477,MATCH($E4447,Section_Master!$A$2:$A$477,0))&amp;"","")</f>
        <v>Not applicable - procedural provision (BNSS), no offence defined</v>
      </c>
      <c r="G4447" s="10" t="str">
        <f aca="false">IFERROR(INDEX(Section_Master!$E$2:$E$477,MATCH($E4447,Section_Master!$A$2:$A$477,0))&amp;"","")</f>
        <v>N/A</v>
      </c>
      <c r="H4447" s="10" t="str">
        <f aca="false">IFERROR(INDEX(Section_Master!$F$2:$F$477,MATCH($E4447,Section_Master!$A$2:$A$477,0))&amp;"","")</f>
        <v>N/A</v>
      </c>
      <c r="I4447" s="10" t="str">
        <f aca="false">IFERROR(INDEX(Section_Master!$G$2:$G$477,MATCH($E4447,Section_Master!$A$2:$A$477,0))&amp;"","")</f>
        <v>N/A</v>
      </c>
      <c r="J4447" s="10" t="s">
        <v>64</v>
      </c>
      <c r="K4447" s="8" t="s">
        <v>10403</v>
      </c>
    </row>
    <row r="4448" customFormat="false" ht="34.5" hidden="false" customHeight="true" outlineLevel="0" collapsed="false">
      <c r="A4448" s="10" t="s">
        <v>10414</v>
      </c>
      <c r="B4448" s="10" t="s">
        <v>10064</v>
      </c>
      <c r="C4448" s="8" t="s">
        <v>10415</v>
      </c>
      <c r="D4448" s="8" t="s">
        <v>10416</v>
      </c>
      <c r="E4448" s="11" t="n">
        <v>384</v>
      </c>
      <c r="F4448" s="8" t="str">
        <f aca="false">IFERROR(INDEX(Section_Master!$D$2:$D$477,MATCH($E4448,Section_Master!$A$2:$A$477,0))&amp;"","")</f>
        <v>Not applicable - procedural provision (BNSS), no offence defined</v>
      </c>
      <c r="G4448" s="10" t="str">
        <f aca="false">IFERROR(INDEX(Section_Master!$E$2:$E$477,MATCH($E4448,Section_Master!$A$2:$A$477,0))&amp;"","")</f>
        <v>N/A</v>
      </c>
      <c r="H4448" s="10" t="str">
        <f aca="false">IFERROR(INDEX(Section_Master!$F$2:$F$477,MATCH($E4448,Section_Master!$A$2:$A$477,0))&amp;"","")</f>
        <v>N/A</v>
      </c>
      <c r="I4448" s="10" t="str">
        <f aca="false">IFERROR(INDEX(Section_Master!$G$2:$G$477,MATCH($E4448,Section_Master!$A$2:$A$477,0))&amp;"","")</f>
        <v>N/A</v>
      </c>
      <c r="J4448" s="10" t="s">
        <v>48</v>
      </c>
      <c r="K4448" s="8" t="s">
        <v>10417</v>
      </c>
    </row>
    <row r="4449" customFormat="false" ht="45.75" hidden="false" customHeight="true" outlineLevel="0" collapsed="false">
      <c r="A4449" s="10" t="s">
        <v>10418</v>
      </c>
      <c r="B4449" s="10" t="s">
        <v>10064</v>
      </c>
      <c r="C4449" s="8" t="s">
        <v>10415</v>
      </c>
      <c r="D4449" s="8" t="s">
        <v>10419</v>
      </c>
      <c r="E4449" s="11" t="n">
        <v>384</v>
      </c>
      <c r="F4449" s="8" t="str">
        <f aca="false">IFERROR(INDEX(Section_Master!$D$2:$D$477,MATCH($E4449,Section_Master!$A$2:$A$477,0))&amp;"","")</f>
        <v>Not applicable - procedural provision (BNSS), no offence defined</v>
      </c>
      <c r="G4449" s="10" t="str">
        <f aca="false">IFERROR(INDEX(Section_Master!$E$2:$E$477,MATCH($E4449,Section_Master!$A$2:$A$477,0))&amp;"","")</f>
        <v>N/A</v>
      </c>
      <c r="H4449" s="10" t="str">
        <f aca="false">IFERROR(INDEX(Section_Master!$F$2:$F$477,MATCH($E4449,Section_Master!$A$2:$A$477,0))&amp;"","")</f>
        <v>N/A</v>
      </c>
      <c r="I4449" s="10" t="str">
        <f aca="false">IFERROR(INDEX(Section_Master!$G$2:$G$477,MATCH($E4449,Section_Master!$A$2:$A$477,0))&amp;"","")</f>
        <v>N/A</v>
      </c>
      <c r="J4449" s="10" t="s">
        <v>52</v>
      </c>
      <c r="K4449" s="8" t="s">
        <v>10417</v>
      </c>
    </row>
    <row r="4450" customFormat="false" ht="45.75" hidden="false" customHeight="true" outlineLevel="0" collapsed="false">
      <c r="A4450" s="10" t="s">
        <v>10420</v>
      </c>
      <c r="B4450" s="10" t="s">
        <v>10064</v>
      </c>
      <c r="C4450" s="8" t="s">
        <v>10415</v>
      </c>
      <c r="D4450" s="8" t="s">
        <v>10421</v>
      </c>
      <c r="E4450" s="11" t="n">
        <v>384</v>
      </c>
      <c r="F4450" s="8" t="str">
        <f aca="false">IFERROR(INDEX(Section_Master!$D$2:$D$477,MATCH($E4450,Section_Master!$A$2:$A$477,0))&amp;"","")</f>
        <v>Not applicable - procedural provision (BNSS), no offence defined</v>
      </c>
      <c r="G4450" s="10" t="str">
        <f aca="false">IFERROR(INDEX(Section_Master!$E$2:$E$477,MATCH($E4450,Section_Master!$A$2:$A$477,0))&amp;"","")</f>
        <v>N/A</v>
      </c>
      <c r="H4450" s="10" t="str">
        <f aca="false">IFERROR(INDEX(Section_Master!$F$2:$F$477,MATCH($E4450,Section_Master!$A$2:$A$477,0))&amp;"","")</f>
        <v>N/A</v>
      </c>
      <c r="I4450" s="10" t="str">
        <f aca="false">IFERROR(INDEX(Section_Master!$G$2:$G$477,MATCH($E4450,Section_Master!$A$2:$A$477,0))&amp;"","")</f>
        <v>N/A</v>
      </c>
      <c r="J4450" s="10" t="s">
        <v>55</v>
      </c>
      <c r="K4450" s="8" t="s">
        <v>10417</v>
      </c>
    </row>
    <row r="4451" customFormat="false" ht="23.25" hidden="false" customHeight="true" outlineLevel="0" collapsed="false">
      <c r="A4451" s="10" t="s">
        <v>10422</v>
      </c>
      <c r="B4451" s="10" t="s">
        <v>10064</v>
      </c>
      <c r="C4451" s="8" t="s">
        <v>10415</v>
      </c>
      <c r="D4451" s="8" t="s">
        <v>10423</v>
      </c>
      <c r="E4451" s="11" t="n">
        <v>384</v>
      </c>
      <c r="F4451" s="8" t="str">
        <f aca="false">IFERROR(INDEX(Section_Master!$D$2:$D$477,MATCH($E4451,Section_Master!$A$2:$A$477,0))&amp;"","")</f>
        <v>Not applicable - procedural provision (BNSS), no offence defined</v>
      </c>
      <c r="G4451" s="10" t="str">
        <f aca="false">IFERROR(INDEX(Section_Master!$E$2:$E$477,MATCH($E4451,Section_Master!$A$2:$A$477,0))&amp;"","")</f>
        <v>N/A</v>
      </c>
      <c r="H4451" s="10" t="str">
        <f aca="false">IFERROR(INDEX(Section_Master!$F$2:$F$477,MATCH($E4451,Section_Master!$A$2:$A$477,0))&amp;"","")</f>
        <v>N/A</v>
      </c>
      <c r="I4451" s="10" t="str">
        <f aca="false">IFERROR(INDEX(Section_Master!$G$2:$G$477,MATCH($E4451,Section_Master!$A$2:$A$477,0))&amp;"","")</f>
        <v>N/A</v>
      </c>
      <c r="J4451" s="10" t="s">
        <v>58</v>
      </c>
      <c r="K4451" s="8" t="s">
        <v>10417</v>
      </c>
    </row>
    <row r="4452" customFormat="false" ht="34.5" hidden="false" customHeight="true" outlineLevel="0" collapsed="false">
      <c r="A4452" s="10" t="s">
        <v>10424</v>
      </c>
      <c r="B4452" s="10" t="s">
        <v>10064</v>
      </c>
      <c r="C4452" s="8" t="s">
        <v>10415</v>
      </c>
      <c r="D4452" s="8" t="s">
        <v>10425</v>
      </c>
      <c r="E4452" s="11" t="n">
        <v>384</v>
      </c>
      <c r="F4452" s="8" t="str">
        <f aca="false">IFERROR(INDEX(Section_Master!$D$2:$D$477,MATCH($E4452,Section_Master!$A$2:$A$477,0))&amp;"","")</f>
        <v>Not applicable - procedural provision (BNSS), no offence defined</v>
      </c>
      <c r="G4452" s="10" t="str">
        <f aca="false">IFERROR(INDEX(Section_Master!$E$2:$E$477,MATCH($E4452,Section_Master!$A$2:$A$477,0))&amp;"","")</f>
        <v>N/A</v>
      </c>
      <c r="H4452" s="10" t="str">
        <f aca="false">IFERROR(INDEX(Section_Master!$F$2:$F$477,MATCH($E4452,Section_Master!$A$2:$A$477,0))&amp;"","")</f>
        <v>N/A</v>
      </c>
      <c r="I4452" s="10" t="str">
        <f aca="false">IFERROR(INDEX(Section_Master!$G$2:$G$477,MATCH($E4452,Section_Master!$A$2:$A$477,0))&amp;"","")</f>
        <v>N/A</v>
      </c>
      <c r="J4452" s="10" t="s">
        <v>61</v>
      </c>
      <c r="K4452" s="8" t="s">
        <v>10417</v>
      </c>
    </row>
    <row r="4453" customFormat="false" ht="57" hidden="false" customHeight="true" outlineLevel="0" collapsed="false">
      <c r="A4453" s="10" t="s">
        <v>10426</v>
      </c>
      <c r="B4453" s="10" t="s">
        <v>10064</v>
      </c>
      <c r="C4453" s="8" t="s">
        <v>10415</v>
      </c>
      <c r="D4453" s="8" t="s">
        <v>10427</v>
      </c>
      <c r="E4453" s="11" t="n">
        <v>384</v>
      </c>
      <c r="F4453" s="8" t="str">
        <f aca="false">IFERROR(INDEX(Section_Master!$D$2:$D$477,MATCH($E4453,Section_Master!$A$2:$A$477,0))&amp;"","")</f>
        <v>Not applicable - procedural provision (BNSS), no offence defined</v>
      </c>
      <c r="G4453" s="10" t="str">
        <f aca="false">IFERROR(INDEX(Section_Master!$E$2:$E$477,MATCH($E4453,Section_Master!$A$2:$A$477,0))&amp;"","")</f>
        <v>N/A</v>
      </c>
      <c r="H4453" s="10" t="str">
        <f aca="false">IFERROR(INDEX(Section_Master!$F$2:$F$477,MATCH($E4453,Section_Master!$A$2:$A$477,0))&amp;"","")</f>
        <v>N/A</v>
      </c>
      <c r="I4453" s="10" t="str">
        <f aca="false">IFERROR(INDEX(Section_Master!$G$2:$G$477,MATCH($E4453,Section_Master!$A$2:$A$477,0))&amp;"","")</f>
        <v>N/A</v>
      </c>
      <c r="J4453" s="10" t="s">
        <v>64</v>
      </c>
      <c r="K4453" s="8" t="s">
        <v>10417</v>
      </c>
    </row>
    <row r="4454" customFormat="false" ht="34.5" hidden="false" customHeight="true" outlineLevel="0" collapsed="false">
      <c r="A4454" s="10" t="s">
        <v>10428</v>
      </c>
      <c r="B4454" s="10" t="s">
        <v>10064</v>
      </c>
      <c r="C4454" s="8" t="s">
        <v>10429</v>
      </c>
      <c r="D4454" s="8" t="s">
        <v>10430</v>
      </c>
      <c r="E4454" s="11" t="n">
        <v>385</v>
      </c>
      <c r="F4454" s="8" t="str">
        <f aca="false">IFERROR(INDEX(Section_Master!$D$2:$D$477,MATCH($E4454,Section_Master!$A$2:$A$477,0))&amp;"","")</f>
        <v>Not applicable - procedural provision (BNSS), no offence defined</v>
      </c>
      <c r="G4454" s="10" t="str">
        <f aca="false">IFERROR(INDEX(Section_Master!$E$2:$E$477,MATCH($E4454,Section_Master!$A$2:$A$477,0))&amp;"","")</f>
        <v>N/A</v>
      </c>
      <c r="H4454" s="10" t="str">
        <f aca="false">IFERROR(INDEX(Section_Master!$F$2:$F$477,MATCH($E4454,Section_Master!$A$2:$A$477,0))&amp;"","")</f>
        <v>N/A</v>
      </c>
      <c r="I4454" s="10" t="str">
        <f aca="false">IFERROR(INDEX(Section_Master!$G$2:$G$477,MATCH($E4454,Section_Master!$A$2:$A$477,0))&amp;"","")</f>
        <v>N/A</v>
      </c>
      <c r="J4454" s="10" t="s">
        <v>48</v>
      </c>
      <c r="K4454" s="8" t="s">
        <v>10431</v>
      </c>
    </row>
    <row r="4455" customFormat="false" ht="45.75" hidden="false" customHeight="true" outlineLevel="0" collapsed="false">
      <c r="A4455" s="10" t="s">
        <v>10432</v>
      </c>
      <c r="B4455" s="10" t="s">
        <v>10064</v>
      </c>
      <c r="C4455" s="8" t="s">
        <v>10429</v>
      </c>
      <c r="D4455" s="8" t="s">
        <v>10433</v>
      </c>
      <c r="E4455" s="11" t="n">
        <v>385</v>
      </c>
      <c r="F4455" s="8" t="str">
        <f aca="false">IFERROR(INDEX(Section_Master!$D$2:$D$477,MATCH($E4455,Section_Master!$A$2:$A$477,0))&amp;"","")</f>
        <v>Not applicable - procedural provision (BNSS), no offence defined</v>
      </c>
      <c r="G4455" s="10" t="str">
        <f aca="false">IFERROR(INDEX(Section_Master!$E$2:$E$477,MATCH($E4455,Section_Master!$A$2:$A$477,0))&amp;"","")</f>
        <v>N/A</v>
      </c>
      <c r="H4455" s="10" t="str">
        <f aca="false">IFERROR(INDEX(Section_Master!$F$2:$F$477,MATCH($E4455,Section_Master!$A$2:$A$477,0))&amp;"","")</f>
        <v>N/A</v>
      </c>
      <c r="I4455" s="10" t="str">
        <f aca="false">IFERROR(INDEX(Section_Master!$G$2:$G$477,MATCH($E4455,Section_Master!$A$2:$A$477,0))&amp;"","")</f>
        <v>N/A</v>
      </c>
      <c r="J4455" s="10" t="s">
        <v>52</v>
      </c>
      <c r="K4455" s="8" t="s">
        <v>10431</v>
      </c>
    </row>
    <row r="4456" customFormat="false" ht="45.75" hidden="false" customHeight="true" outlineLevel="0" collapsed="false">
      <c r="A4456" s="10" t="s">
        <v>10434</v>
      </c>
      <c r="B4456" s="10" t="s">
        <v>10064</v>
      </c>
      <c r="C4456" s="8" t="s">
        <v>10429</v>
      </c>
      <c r="D4456" s="8" t="s">
        <v>10435</v>
      </c>
      <c r="E4456" s="11" t="n">
        <v>385</v>
      </c>
      <c r="F4456" s="8" t="str">
        <f aca="false">IFERROR(INDEX(Section_Master!$D$2:$D$477,MATCH($E4456,Section_Master!$A$2:$A$477,0))&amp;"","")</f>
        <v>Not applicable - procedural provision (BNSS), no offence defined</v>
      </c>
      <c r="G4456" s="10" t="str">
        <f aca="false">IFERROR(INDEX(Section_Master!$E$2:$E$477,MATCH($E4456,Section_Master!$A$2:$A$477,0))&amp;"","")</f>
        <v>N/A</v>
      </c>
      <c r="H4456" s="10" t="str">
        <f aca="false">IFERROR(INDEX(Section_Master!$F$2:$F$477,MATCH($E4456,Section_Master!$A$2:$A$477,0))&amp;"","")</f>
        <v>N/A</v>
      </c>
      <c r="I4456" s="10" t="str">
        <f aca="false">IFERROR(INDEX(Section_Master!$G$2:$G$477,MATCH($E4456,Section_Master!$A$2:$A$477,0))&amp;"","")</f>
        <v>N/A</v>
      </c>
      <c r="J4456" s="10" t="s">
        <v>55</v>
      </c>
      <c r="K4456" s="8" t="s">
        <v>10431</v>
      </c>
    </row>
    <row r="4457" customFormat="false" ht="23.25" hidden="false" customHeight="true" outlineLevel="0" collapsed="false">
      <c r="A4457" s="10" t="s">
        <v>10436</v>
      </c>
      <c r="B4457" s="10" t="s">
        <v>10064</v>
      </c>
      <c r="C4457" s="8" t="s">
        <v>10429</v>
      </c>
      <c r="D4457" s="8" t="s">
        <v>10437</v>
      </c>
      <c r="E4457" s="11" t="n">
        <v>385</v>
      </c>
      <c r="F4457" s="8" t="str">
        <f aca="false">IFERROR(INDEX(Section_Master!$D$2:$D$477,MATCH($E4457,Section_Master!$A$2:$A$477,0))&amp;"","")</f>
        <v>Not applicable - procedural provision (BNSS), no offence defined</v>
      </c>
      <c r="G4457" s="10" t="str">
        <f aca="false">IFERROR(INDEX(Section_Master!$E$2:$E$477,MATCH($E4457,Section_Master!$A$2:$A$477,0))&amp;"","")</f>
        <v>N/A</v>
      </c>
      <c r="H4457" s="10" t="str">
        <f aca="false">IFERROR(INDEX(Section_Master!$F$2:$F$477,MATCH($E4457,Section_Master!$A$2:$A$477,0))&amp;"","")</f>
        <v>N/A</v>
      </c>
      <c r="I4457" s="10" t="str">
        <f aca="false">IFERROR(INDEX(Section_Master!$G$2:$G$477,MATCH($E4457,Section_Master!$A$2:$A$477,0))&amp;"","")</f>
        <v>N/A</v>
      </c>
      <c r="J4457" s="10" t="s">
        <v>58</v>
      </c>
      <c r="K4457" s="8" t="s">
        <v>10431</v>
      </c>
    </row>
    <row r="4458" customFormat="false" ht="45.75" hidden="false" customHeight="true" outlineLevel="0" collapsed="false">
      <c r="A4458" s="10" t="s">
        <v>10438</v>
      </c>
      <c r="B4458" s="10" t="s">
        <v>10064</v>
      </c>
      <c r="C4458" s="8" t="s">
        <v>10429</v>
      </c>
      <c r="D4458" s="8" t="s">
        <v>10439</v>
      </c>
      <c r="E4458" s="11" t="n">
        <v>385</v>
      </c>
      <c r="F4458" s="8" t="str">
        <f aca="false">IFERROR(INDEX(Section_Master!$D$2:$D$477,MATCH($E4458,Section_Master!$A$2:$A$477,0))&amp;"","")</f>
        <v>Not applicable - procedural provision (BNSS), no offence defined</v>
      </c>
      <c r="G4458" s="10" t="str">
        <f aca="false">IFERROR(INDEX(Section_Master!$E$2:$E$477,MATCH($E4458,Section_Master!$A$2:$A$477,0))&amp;"","")</f>
        <v>N/A</v>
      </c>
      <c r="H4458" s="10" t="str">
        <f aca="false">IFERROR(INDEX(Section_Master!$F$2:$F$477,MATCH($E4458,Section_Master!$A$2:$A$477,0))&amp;"","")</f>
        <v>N/A</v>
      </c>
      <c r="I4458" s="10" t="str">
        <f aca="false">IFERROR(INDEX(Section_Master!$G$2:$G$477,MATCH($E4458,Section_Master!$A$2:$A$477,0))&amp;"","")</f>
        <v>N/A</v>
      </c>
      <c r="J4458" s="10" t="s">
        <v>61</v>
      </c>
      <c r="K4458" s="8" t="s">
        <v>10431</v>
      </c>
    </row>
    <row r="4459" customFormat="false" ht="45.75" hidden="false" customHeight="true" outlineLevel="0" collapsed="false">
      <c r="A4459" s="10" t="s">
        <v>10440</v>
      </c>
      <c r="B4459" s="10" t="s">
        <v>10064</v>
      </c>
      <c r="C4459" s="8" t="s">
        <v>10429</v>
      </c>
      <c r="D4459" s="8" t="s">
        <v>10441</v>
      </c>
      <c r="E4459" s="11" t="n">
        <v>385</v>
      </c>
      <c r="F4459" s="8" t="str">
        <f aca="false">IFERROR(INDEX(Section_Master!$D$2:$D$477,MATCH($E4459,Section_Master!$A$2:$A$477,0))&amp;"","")</f>
        <v>Not applicable - procedural provision (BNSS), no offence defined</v>
      </c>
      <c r="G4459" s="10" t="str">
        <f aca="false">IFERROR(INDEX(Section_Master!$E$2:$E$477,MATCH($E4459,Section_Master!$A$2:$A$477,0))&amp;"","")</f>
        <v>N/A</v>
      </c>
      <c r="H4459" s="10" t="str">
        <f aca="false">IFERROR(INDEX(Section_Master!$F$2:$F$477,MATCH($E4459,Section_Master!$A$2:$A$477,0))&amp;"","")</f>
        <v>N/A</v>
      </c>
      <c r="I4459" s="10" t="str">
        <f aca="false">IFERROR(INDEX(Section_Master!$G$2:$G$477,MATCH($E4459,Section_Master!$A$2:$A$477,0))&amp;"","")</f>
        <v>N/A</v>
      </c>
      <c r="J4459" s="10" t="s">
        <v>64</v>
      </c>
      <c r="K4459" s="8" t="s">
        <v>10431</v>
      </c>
    </row>
    <row r="4460" customFormat="false" ht="34.5" hidden="false" customHeight="true" outlineLevel="0" collapsed="false">
      <c r="A4460" s="10" t="s">
        <v>10442</v>
      </c>
      <c r="B4460" s="10" t="s">
        <v>10064</v>
      </c>
      <c r="C4460" s="8" t="s">
        <v>10443</v>
      </c>
      <c r="D4460" s="8" t="s">
        <v>10444</v>
      </c>
      <c r="E4460" s="11" t="n">
        <v>386</v>
      </c>
      <c r="F4460" s="8" t="str">
        <f aca="false">IFERROR(INDEX(Section_Master!$D$2:$D$477,MATCH($E4460,Section_Master!$A$2:$A$477,0))&amp;"","")</f>
        <v>Not applicable - procedural provision (BNSS), no offence defined</v>
      </c>
      <c r="G4460" s="10" t="str">
        <f aca="false">IFERROR(INDEX(Section_Master!$E$2:$E$477,MATCH($E4460,Section_Master!$A$2:$A$477,0))&amp;"","")</f>
        <v>N/A</v>
      </c>
      <c r="H4460" s="10" t="str">
        <f aca="false">IFERROR(INDEX(Section_Master!$F$2:$F$477,MATCH($E4460,Section_Master!$A$2:$A$477,0))&amp;"","")</f>
        <v>N/A</v>
      </c>
      <c r="I4460" s="10" t="str">
        <f aca="false">IFERROR(INDEX(Section_Master!$G$2:$G$477,MATCH($E4460,Section_Master!$A$2:$A$477,0))&amp;"","")</f>
        <v>N/A</v>
      </c>
      <c r="J4460" s="10" t="s">
        <v>48</v>
      </c>
      <c r="K4460" s="8" t="s">
        <v>10445</v>
      </c>
    </row>
    <row r="4461" customFormat="false" ht="45.75" hidden="false" customHeight="true" outlineLevel="0" collapsed="false">
      <c r="A4461" s="10" t="s">
        <v>10446</v>
      </c>
      <c r="B4461" s="10" t="s">
        <v>10064</v>
      </c>
      <c r="C4461" s="8" t="s">
        <v>10443</v>
      </c>
      <c r="D4461" s="8" t="s">
        <v>10447</v>
      </c>
      <c r="E4461" s="11" t="n">
        <v>386</v>
      </c>
      <c r="F4461" s="8" t="str">
        <f aca="false">IFERROR(INDEX(Section_Master!$D$2:$D$477,MATCH($E4461,Section_Master!$A$2:$A$477,0))&amp;"","")</f>
        <v>Not applicable - procedural provision (BNSS), no offence defined</v>
      </c>
      <c r="G4461" s="10" t="str">
        <f aca="false">IFERROR(INDEX(Section_Master!$E$2:$E$477,MATCH($E4461,Section_Master!$A$2:$A$477,0))&amp;"","")</f>
        <v>N/A</v>
      </c>
      <c r="H4461" s="10" t="str">
        <f aca="false">IFERROR(INDEX(Section_Master!$F$2:$F$477,MATCH($E4461,Section_Master!$A$2:$A$477,0))&amp;"","")</f>
        <v>N/A</v>
      </c>
      <c r="I4461" s="10" t="str">
        <f aca="false">IFERROR(INDEX(Section_Master!$G$2:$G$477,MATCH($E4461,Section_Master!$A$2:$A$477,0))&amp;"","")</f>
        <v>N/A</v>
      </c>
      <c r="J4461" s="10" t="s">
        <v>52</v>
      </c>
      <c r="K4461" s="8" t="s">
        <v>10445</v>
      </c>
    </row>
    <row r="4462" customFormat="false" ht="34.5" hidden="false" customHeight="true" outlineLevel="0" collapsed="false">
      <c r="A4462" s="10" t="s">
        <v>10448</v>
      </c>
      <c r="B4462" s="10" t="s">
        <v>10064</v>
      </c>
      <c r="C4462" s="8" t="s">
        <v>10443</v>
      </c>
      <c r="D4462" s="8" t="s">
        <v>10449</v>
      </c>
      <c r="E4462" s="11" t="n">
        <v>386</v>
      </c>
      <c r="F4462" s="8" t="str">
        <f aca="false">IFERROR(INDEX(Section_Master!$D$2:$D$477,MATCH($E4462,Section_Master!$A$2:$A$477,0))&amp;"","")</f>
        <v>Not applicable - procedural provision (BNSS), no offence defined</v>
      </c>
      <c r="G4462" s="10" t="str">
        <f aca="false">IFERROR(INDEX(Section_Master!$E$2:$E$477,MATCH($E4462,Section_Master!$A$2:$A$477,0))&amp;"","")</f>
        <v>N/A</v>
      </c>
      <c r="H4462" s="10" t="str">
        <f aca="false">IFERROR(INDEX(Section_Master!$F$2:$F$477,MATCH($E4462,Section_Master!$A$2:$A$477,0))&amp;"","")</f>
        <v>N/A</v>
      </c>
      <c r="I4462" s="10" t="str">
        <f aca="false">IFERROR(INDEX(Section_Master!$G$2:$G$477,MATCH($E4462,Section_Master!$A$2:$A$477,0))&amp;"","")</f>
        <v>N/A</v>
      </c>
      <c r="J4462" s="10" t="s">
        <v>55</v>
      </c>
      <c r="K4462" s="8" t="s">
        <v>10445</v>
      </c>
    </row>
    <row r="4463" customFormat="false" ht="23.25" hidden="false" customHeight="true" outlineLevel="0" collapsed="false">
      <c r="A4463" s="10" t="s">
        <v>10450</v>
      </c>
      <c r="B4463" s="10" t="s">
        <v>10064</v>
      </c>
      <c r="C4463" s="8" t="s">
        <v>10443</v>
      </c>
      <c r="D4463" s="8" t="s">
        <v>10451</v>
      </c>
      <c r="E4463" s="11" t="n">
        <v>386</v>
      </c>
      <c r="F4463" s="8" t="str">
        <f aca="false">IFERROR(INDEX(Section_Master!$D$2:$D$477,MATCH($E4463,Section_Master!$A$2:$A$477,0))&amp;"","")</f>
        <v>Not applicable - procedural provision (BNSS), no offence defined</v>
      </c>
      <c r="G4463" s="10" t="str">
        <f aca="false">IFERROR(INDEX(Section_Master!$E$2:$E$477,MATCH($E4463,Section_Master!$A$2:$A$477,0))&amp;"","")</f>
        <v>N/A</v>
      </c>
      <c r="H4463" s="10" t="str">
        <f aca="false">IFERROR(INDEX(Section_Master!$F$2:$F$477,MATCH($E4463,Section_Master!$A$2:$A$477,0))&amp;"","")</f>
        <v>N/A</v>
      </c>
      <c r="I4463" s="10" t="str">
        <f aca="false">IFERROR(INDEX(Section_Master!$G$2:$G$477,MATCH($E4463,Section_Master!$A$2:$A$477,0))&amp;"","")</f>
        <v>N/A</v>
      </c>
      <c r="J4463" s="10" t="s">
        <v>58</v>
      </c>
      <c r="K4463" s="8" t="s">
        <v>10445</v>
      </c>
    </row>
    <row r="4464" customFormat="false" ht="23.25" hidden="false" customHeight="true" outlineLevel="0" collapsed="false">
      <c r="A4464" s="10" t="s">
        <v>10452</v>
      </c>
      <c r="B4464" s="10" t="s">
        <v>10064</v>
      </c>
      <c r="C4464" s="8" t="s">
        <v>10443</v>
      </c>
      <c r="D4464" s="8" t="s">
        <v>10453</v>
      </c>
      <c r="E4464" s="11" t="n">
        <v>386</v>
      </c>
      <c r="F4464" s="8" t="str">
        <f aca="false">IFERROR(INDEX(Section_Master!$D$2:$D$477,MATCH($E4464,Section_Master!$A$2:$A$477,0))&amp;"","")</f>
        <v>Not applicable - procedural provision (BNSS), no offence defined</v>
      </c>
      <c r="G4464" s="10" t="str">
        <f aca="false">IFERROR(INDEX(Section_Master!$E$2:$E$477,MATCH($E4464,Section_Master!$A$2:$A$477,0))&amp;"","")</f>
        <v>N/A</v>
      </c>
      <c r="H4464" s="10" t="str">
        <f aca="false">IFERROR(INDEX(Section_Master!$F$2:$F$477,MATCH($E4464,Section_Master!$A$2:$A$477,0))&amp;"","")</f>
        <v>N/A</v>
      </c>
      <c r="I4464" s="10" t="str">
        <f aca="false">IFERROR(INDEX(Section_Master!$G$2:$G$477,MATCH($E4464,Section_Master!$A$2:$A$477,0))&amp;"","")</f>
        <v>N/A</v>
      </c>
      <c r="J4464" s="10" t="s">
        <v>61</v>
      </c>
      <c r="K4464" s="8" t="s">
        <v>10445</v>
      </c>
    </row>
    <row r="4465" customFormat="false" ht="45.75" hidden="false" customHeight="true" outlineLevel="0" collapsed="false">
      <c r="A4465" s="10" t="s">
        <v>10454</v>
      </c>
      <c r="B4465" s="10" t="s">
        <v>10064</v>
      </c>
      <c r="C4465" s="8" t="s">
        <v>10443</v>
      </c>
      <c r="D4465" s="8" t="s">
        <v>10455</v>
      </c>
      <c r="E4465" s="11" t="n">
        <v>386</v>
      </c>
      <c r="F4465" s="8" t="str">
        <f aca="false">IFERROR(INDEX(Section_Master!$D$2:$D$477,MATCH($E4465,Section_Master!$A$2:$A$477,0))&amp;"","")</f>
        <v>Not applicable - procedural provision (BNSS), no offence defined</v>
      </c>
      <c r="G4465" s="10" t="str">
        <f aca="false">IFERROR(INDEX(Section_Master!$E$2:$E$477,MATCH($E4465,Section_Master!$A$2:$A$477,0))&amp;"","")</f>
        <v>N/A</v>
      </c>
      <c r="H4465" s="10" t="str">
        <f aca="false">IFERROR(INDEX(Section_Master!$F$2:$F$477,MATCH($E4465,Section_Master!$A$2:$A$477,0))&amp;"","")</f>
        <v>N/A</v>
      </c>
      <c r="I4465" s="10" t="str">
        <f aca="false">IFERROR(INDEX(Section_Master!$G$2:$G$477,MATCH($E4465,Section_Master!$A$2:$A$477,0))&amp;"","")</f>
        <v>N/A</v>
      </c>
      <c r="J4465" s="10" t="s">
        <v>64</v>
      </c>
      <c r="K4465" s="8" t="s">
        <v>10445</v>
      </c>
    </row>
    <row r="4466" customFormat="false" ht="34.5" hidden="false" customHeight="true" outlineLevel="0" collapsed="false">
      <c r="A4466" s="10" t="s">
        <v>10456</v>
      </c>
      <c r="B4466" s="10" t="s">
        <v>10064</v>
      </c>
      <c r="C4466" s="8" t="s">
        <v>10457</v>
      </c>
      <c r="D4466" s="8" t="s">
        <v>10458</v>
      </c>
      <c r="E4466" s="11" t="n">
        <v>387</v>
      </c>
      <c r="F4466" s="8" t="str">
        <f aca="false">IFERROR(INDEX(Section_Master!$D$2:$D$477,MATCH($E4466,Section_Master!$A$2:$A$477,0))&amp;"","")</f>
        <v>Not applicable - procedural provision (BNSS), no offence defined</v>
      </c>
      <c r="G4466" s="10" t="str">
        <f aca="false">IFERROR(INDEX(Section_Master!$E$2:$E$477,MATCH($E4466,Section_Master!$A$2:$A$477,0))&amp;"","")</f>
        <v>N/A</v>
      </c>
      <c r="H4466" s="10" t="str">
        <f aca="false">IFERROR(INDEX(Section_Master!$F$2:$F$477,MATCH($E4466,Section_Master!$A$2:$A$477,0))&amp;"","")</f>
        <v>N/A</v>
      </c>
      <c r="I4466" s="10" t="str">
        <f aca="false">IFERROR(INDEX(Section_Master!$G$2:$G$477,MATCH($E4466,Section_Master!$A$2:$A$477,0))&amp;"","")</f>
        <v>N/A</v>
      </c>
      <c r="J4466" s="10" t="s">
        <v>48</v>
      </c>
      <c r="K4466" s="8" t="s">
        <v>10459</v>
      </c>
    </row>
    <row r="4467" customFormat="false" ht="45.75" hidden="false" customHeight="true" outlineLevel="0" collapsed="false">
      <c r="A4467" s="10" t="s">
        <v>10460</v>
      </c>
      <c r="B4467" s="10" t="s">
        <v>10064</v>
      </c>
      <c r="C4467" s="8" t="s">
        <v>10457</v>
      </c>
      <c r="D4467" s="8" t="s">
        <v>10461</v>
      </c>
      <c r="E4467" s="11" t="n">
        <v>387</v>
      </c>
      <c r="F4467" s="8" t="str">
        <f aca="false">IFERROR(INDEX(Section_Master!$D$2:$D$477,MATCH($E4467,Section_Master!$A$2:$A$477,0))&amp;"","")</f>
        <v>Not applicable - procedural provision (BNSS), no offence defined</v>
      </c>
      <c r="G4467" s="10" t="str">
        <f aca="false">IFERROR(INDEX(Section_Master!$E$2:$E$477,MATCH($E4467,Section_Master!$A$2:$A$477,0))&amp;"","")</f>
        <v>N/A</v>
      </c>
      <c r="H4467" s="10" t="str">
        <f aca="false">IFERROR(INDEX(Section_Master!$F$2:$F$477,MATCH($E4467,Section_Master!$A$2:$A$477,0))&amp;"","")</f>
        <v>N/A</v>
      </c>
      <c r="I4467" s="10" t="str">
        <f aca="false">IFERROR(INDEX(Section_Master!$G$2:$G$477,MATCH($E4467,Section_Master!$A$2:$A$477,0))&amp;"","")</f>
        <v>N/A</v>
      </c>
      <c r="J4467" s="10" t="s">
        <v>52</v>
      </c>
      <c r="K4467" s="8" t="s">
        <v>10459</v>
      </c>
    </row>
    <row r="4468" customFormat="false" ht="34.5" hidden="false" customHeight="true" outlineLevel="0" collapsed="false">
      <c r="A4468" s="10" t="s">
        <v>10462</v>
      </c>
      <c r="B4468" s="10" t="s">
        <v>10064</v>
      </c>
      <c r="C4468" s="8" t="s">
        <v>10457</v>
      </c>
      <c r="D4468" s="8" t="s">
        <v>10463</v>
      </c>
      <c r="E4468" s="11" t="n">
        <v>387</v>
      </c>
      <c r="F4468" s="8" t="str">
        <f aca="false">IFERROR(INDEX(Section_Master!$D$2:$D$477,MATCH($E4468,Section_Master!$A$2:$A$477,0))&amp;"","")</f>
        <v>Not applicable - procedural provision (BNSS), no offence defined</v>
      </c>
      <c r="G4468" s="10" t="str">
        <f aca="false">IFERROR(INDEX(Section_Master!$E$2:$E$477,MATCH($E4468,Section_Master!$A$2:$A$477,0))&amp;"","")</f>
        <v>N/A</v>
      </c>
      <c r="H4468" s="10" t="str">
        <f aca="false">IFERROR(INDEX(Section_Master!$F$2:$F$477,MATCH($E4468,Section_Master!$A$2:$A$477,0))&amp;"","")</f>
        <v>N/A</v>
      </c>
      <c r="I4468" s="10" t="str">
        <f aca="false">IFERROR(INDEX(Section_Master!$G$2:$G$477,MATCH($E4468,Section_Master!$A$2:$A$477,0))&amp;"","")</f>
        <v>N/A</v>
      </c>
      <c r="J4468" s="10" t="s">
        <v>55</v>
      </c>
      <c r="K4468" s="8" t="s">
        <v>10459</v>
      </c>
    </row>
    <row r="4469" customFormat="false" ht="23.25" hidden="false" customHeight="true" outlineLevel="0" collapsed="false">
      <c r="A4469" s="10" t="s">
        <v>10464</v>
      </c>
      <c r="B4469" s="10" t="s">
        <v>10064</v>
      </c>
      <c r="C4469" s="8" t="s">
        <v>10457</v>
      </c>
      <c r="D4469" s="8" t="s">
        <v>10465</v>
      </c>
      <c r="E4469" s="11" t="n">
        <v>387</v>
      </c>
      <c r="F4469" s="8" t="str">
        <f aca="false">IFERROR(INDEX(Section_Master!$D$2:$D$477,MATCH($E4469,Section_Master!$A$2:$A$477,0))&amp;"","")</f>
        <v>Not applicable - procedural provision (BNSS), no offence defined</v>
      </c>
      <c r="G4469" s="10" t="str">
        <f aca="false">IFERROR(INDEX(Section_Master!$E$2:$E$477,MATCH($E4469,Section_Master!$A$2:$A$477,0))&amp;"","")</f>
        <v>N/A</v>
      </c>
      <c r="H4469" s="10" t="str">
        <f aca="false">IFERROR(INDEX(Section_Master!$F$2:$F$477,MATCH($E4469,Section_Master!$A$2:$A$477,0))&amp;"","")</f>
        <v>N/A</v>
      </c>
      <c r="I4469" s="10" t="str">
        <f aca="false">IFERROR(INDEX(Section_Master!$G$2:$G$477,MATCH($E4469,Section_Master!$A$2:$A$477,0))&amp;"","")</f>
        <v>N/A</v>
      </c>
      <c r="J4469" s="10" t="s">
        <v>58</v>
      </c>
      <c r="K4469" s="8" t="s">
        <v>10459</v>
      </c>
    </row>
    <row r="4470" customFormat="false" ht="23.25" hidden="false" customHeight="true" outlineLevel="0" collapsed="false">
      <c r="A4470" s="10" t="s">
        <v>10466</v>
      </c>
      <c r="B4470" s="10" t="s">
        <v>10064</v>
      </c>
      <c r="C4470" s="8" t="s">
        <v>10457</v>
      </c>
      <c r="D4470" s="8" t="s">
        <v>10467</v>
      </c>
      <c r="E4470" s="11" t="n">
        <v>387</v>
      </c>
      <c r="F4470" s="8" t="str">
        <f aca="false">IFERROR(INDEX(Section_Master!$D$2:$D$477,MATCH($E4470,Section_Master!$A$2:$A$477,0))&amp;"","")</f>
        <v>Not applicable - procedural provision (BNSS), no offence defined</v>
      </c>
      <c r="G4470" s="10" t="str">
        <f aca="false">IFERROR(INDEX(Section_Master!$E$2:$E$477,MATCH($E4470,Section_Master!$A$2:$A$477,0))&amp;"","")</f>
        <v>N/A</v>
      </c>
      <c r="H4470" s="10" t="str">
        <f aca="false">IFERROR(INDEX(Section_Master!$F$2:$F$477,MATCH($E4470,Section_Master!$A$2:$A$477,0))&amp;"","")</f>
        <v>N/A</v>
      </c>
      <c r="I4470" s="10" t="str">
        <f aca="false">IFERROR(INDEX(Section_Master!$G$2:$G$477,MATCH($E4470,Section_Master!$A$2:$A$477,0))&amp;"","")</f>
        <v>N/A</v>
      </c>
      <c r="J4470" s="10" t="s">
        <v>61</v>
      </c>
      <c r="K4470" s="8" t="s">
        <v>10459</v>
      </c>
    </row>
    <row r="4471" customFormat="false" ht="45.75" hidden="false" customHeight="true" outlineLevel="0" collapsed="false">
      <c r="A4471" s="10" t="s">
        <v>10468</v>
      </c>
      <c r="B4471" s="10" t="s">
        <v>10064</v>
      </c>
      <c r="C4471" s="8" t="s">
        <v>10457</v>
      </c>
      <c r="D4471" s="8" t="s">
        <v>10469</v>
      </c>
      <c r="E4471" s="11" t="n">
        <v>387</v>
      </c>
      <c r="F4471" s="8" t="str">
        <f aca="false">IFERROR(INDEX(Section_Master!$D$2:$D$477,MATCH($E4471,Section_Master!$A$2:$A$477,0))&amp;"","")</f>
        <v>Not applicable - procedural provision (BNSS), no offence defined</v>
      </c>
      <c r="G4471" s="10" t="str">
        <f aca="false">IFERROR(INDEX(Section_Master!$E$2:$E$477,MATCH($E4471,Section_Master!$A$2:$A$477,0))&amp;"","")</f>
        <v>N/A</v>
      </c>
      <c r="H4471" s="10" t="str">
        <f aca="false">IFERROR(INDEX(Section_Master!$F$2:$F$477,MATCH($E4471,Section_Master!$A$2:$A$477,0))&amp;"","")</f>
        <v>N/A</v>
      </c>
      <c r="I4471" s="10" t="str">
        <f aca="false">IFERROR(INDEX(Section_Master!$G$2:$G$477,MATCH($E4471,Section_Master!$A$2:$A$477,0))&amp;"","")</f>
        <v>N/A</v>
      </c>
      <c r="J4471" s="10" t="s">
        <v>64</v>
      </c>
      <c r="K4471" s="8" t="s">
        <v>10459</v>
      </c>
    </row>
    <row r="4472" customFormat="false" ht="34.5" hidden="false" customHeight="true" outlineLevel="0" collapsed="false">
      <c r="A4472" s="10" t="s">
        <v>10470</v>
      </c>
      <c r="B4472" s="10" t="s">
        <v>10064</v>
      </c>
      <c r="C4472" s="8" t="s">
        <v>10471</v>
      </c>
      <c r="D4472" s="8" t="s">
        <v>10472</v>
      </c>
      <c r="E4472" s="11" t="n">
        <v>388</v>
      </c>
      <c r="F4472" s="8" t="str">
        <f aca="false">IFERROR(INDEX(Section_Master!$D$2:$D$477,MATCH($E4472,Section_Master!$A$2:$A$477,0))&amp;"","")</f>
        <v>Not applicable - procedural provision (BNSS), no offence defined</v>
      </c>
      <c r="G4472" s="10" t="str">
        <f aca="false">IFERROR(INDEX(Section_Master!$E$2:$E$477,MATCH($E4472,Section_Master!$A$2:$A$477,0))&amp;"","")</f>
        <v>N/A</v>
      </c>
      <c r="H4472" s="10" t="str">
        <f aca="false">IFERROR(INDEX(Section_Master!$F$2:$F$477,MATCH($E4472,Section_Master!$A$2:$A$477,0))&amp;"","")</f>
        <v>N/A</v>
      </c>
      <c r="I4472" s="10" t="str">
        <f aca="false">IFERROR(INDEX(Section_Master!$G$2:$G$477,MATCH($E4472,Section_Master!$A$2:$A$477,0))&amp;"","")</f>
        <v>N/A</v>
      </c>
      <c r="J4472" s="10" t="s">
        <v>48</v>
      </c>
      <c r="K4472" s="8" t="s">
        <v>10473</v>
      </c>
    </row>
    <row r="4473" customFormat="false" ht="45.75" hidden="false" customHeight="true" outlineLevel="0" collapsed="false">
      <c r="A4473" s="10" t="s">
        <v>10474</v>
      </c>
      <c r="B4473" s="10" t="s">
        <v>10064</v>
      </c>
      <c r="C4473" s="8" t="s">
        <v>10471</v>
      </c>
      <c r="D4473" s="8" t="s">
        <v>10475</v>
      </c>
      <c r="E4473" s="11" t="n">
        <v>388</v>
      </c>
      <c r="F4473" s="8" t="str">
        <f aca="false">IFERROR(INDEX(Section_Master!$D$2:$D$477,MATCH($E4473,Section_Master!$A$2:$A$477,0))&amp;"","")</f>
        <v>Not applicable - procedural provision (BNSS), no offence defined</v>
      </c>
      <c r="G4473" s="10" t="str">
        <f aca="false">IFERROR(INDEX(Section_Master!$E$2:$E$477,MATCH($E4473,Section_Master!$A$2:$A$477,0))&amp;"","")</f>
        <v>N/A</v>
      </c>
      <c r="H4473" s="10" t="str">
        <f aca="false">IFERROR(INDEX(Section_Master!$F$2:$F$477,MATCH($E4473,Section_Master!$A$2:$A$477,0))&amp;"","")</f>
        <v>N/A</v>
      </c>
      <c r="I4473" s="10" t="str">
        <f aca="false">IFERROR(INDEX(Section_Master!$G$2:$G$477,MATCH($E4473,Section_Master!$A$2:$A$477,0))&amp;"","")</f>
        <v>N/A</v>
      </c>
      <c r="J4473" s="10" t="s">
        <v>52</v>
      </c>
      <c r="K4473" s="8" t="s">
        <v>10473</v>
      </c>
    </row>
    <row r="4474" customFormat="false" ht="45.75" hidden="false" customHeight="true" outlineLevel="0" collapsed="false">
      <c r="A4474" s="10" t="s">
        <v>10476</v>
      </c>
      <c r="B4474" s="10" t="s">
        <v>10064</v>
      </c>
      <c r="C4474" s="8" t="s">
        <v>10471</v>
      </c>
      <c r="D4474" s="8" t="s">
        <v>10477</v>
      </c>
      <c r="E4474" s="11" t="n">
        <v>388</v>
      </c>
      <c r="F4474" s="8" t="str">
        <f aca="false">IFERROR(INDEX(Section_Master!$D$2:$D$477,MATCH($E4474,Section_Master!$A$2:$A$477,0))&amp;"","")</f>
        <v>Not applicable - procedural provision (BNSS), no offence defined</v>
      </c>
      <c r="G4474" s="10" t="str">
        <f aca="false">IFERROR(INDEX(Section_Master!$E$2:$E$477,MATCH($E4474,Section_Master!$A$2:$A$477,0))&amp;"","")</f>
        <v>N/A</v>
      </c>
      <c r="H4474" s="10" t="str">
        <f aca="false">IFERROR(INDEX(Section_Master!$F$2:$F$477,MATCH($E4474,Section_Master!$A$2:$A$477,0))&amp;"","")</f>
        <v>N/A</v>
      </c>
      <c r="I4474" s="10" t="str">
        <f aca="false">IFERROR(INDEX(Section_Master!$G$2:$G$477,MATCH($E4474,Section_Master!$A$2:$A$477,0))&amp;"","")</f>
        <v>N/A</v>
      </c>
      <c r="J4474" s="10" t="s">
        <v>55</v>
      </c>
      <c r="K4474" s="8" t="s">
        <v>10473</v>
      </c>
    </row>
    <row r="4475" customFormat="false" ht="34.5" hidden="false" customHeight="true" outlineLevel="0" collapsed="false">
      <c r="A4475" s="10" t="s">
        <v>10478</v>
      </c>
      <c r="B4475" s="10" t="s">
        <v>10064</v>
      </c>
      <c r="C4475" s="8" t="s">
        <v>10471</v>
      </c>
      <c r="D4475" s="8" t="s">
        <v>10479</v>
      </c>
      <c r="E4475" s="11" t="n">
        <v>388</v>
      </c>
      <c r="F4475" s="8" t="str">
        <f aca="false">IFERROR(INDEX(Section_Master!$D$2:$D$477,MATCH($E4475,Section_Master!$A$2:$A$477,0))&amp;"","")</f>
        <v>Not applicable - procedural provision (BNSS), no offence defined</v>
      </c>
      <c r="G4475" s="10" t="str">
        <f aca="false">IFERROR(INDEX(Section_Master!$E$2:$E$477,MATCH($E4475,Section_Master!$A$2:$A$477,0))&amp;"","")</f>
        <v>N/A</v>
      </c>
      <c r="H4475" s="10" t="str">
        <f aca="false">IFERROR(INDEX(Section_Master!$F$2:$F$477,MATCH($E4475,Section_Master!$A$2:$A$477,0))&amp;"","")</f>
        <v>N/A</v>
      </c>
      <c r="I4475" s="10" t="str">
        <f aca="false">IFERROR(INDEX(Section_Master!$G$2:$G$477,MATCH($E4475,Section_Master!$A$2:$A$477,0))&amp;"","")</f>
        <v>N/A</v>
      </c>
      <c r="J4475" s="10" t="s">
        <v>58</v>
      </c>
      <c r="K4475" s="8" t="s">
        <v>10473</v>
      </c>
    </row>
    <row r="4476" customFormat="false" ht="34.5" hidden="false" customHeight="true" outlineLevel="0" collapsed="false">
      <c r="A4476" s="10" t="s">
        <v>10480</v>
      </c>
      <c r="B4476" s="10" t="s">
        <v>10064</v>
      </c>
      <c r="C4476" s="8" t="s">
        <v>10471</v>
      </c>
      <c r="D4476" s="8" t="s">
        <v>10481</v>
      </c>
      <c r="E4476" s="11" t="n">
        <v>388</v>
      </c>
      <c r="F4476" s="8" t="str">
        <f aca="false">IFERROR(INDEX(Section_Master!$D$2:$D$477,MATCH($E4476,Section_Master!$A$2:$A$477,0))&amp;"","")</f>
        <v>Not applicable - procedural provision (BNSS), no offence defined</v>
      </c>
      <c r="G4476" s="10" t="str">
        <f aca="false">IFERROR(INDEX(Section_Master!$E$2:$E$477,MATCH($E4476,Section_Master!$A$2:$A$477,0))&amp;"","")</f>
        <v>N/A</v>
      </c>
      <c r="H4476" s="10" t="str">
        <f aca="false">IFERROR(INDEX(Section_Master!$F$2:$F$477,MATCH($E4476,Section_Master!$A$2:$A$477,0))&amp;"","")</f>
        <v>N/A</v>
      </c>
      <c r="I4476" s="10" t="str">
        <f aca="false">IFERROR(INDEX(Section_Master!$G$2:$G$477,MATCH($E4476,Section_Master!$A$2:$A$477,0))&amp;"","")</f>
        <v>N/A</v>
      </c>
      <c r="J4476" s="10" t="s">
        <v>61</v>
      </c>
      <c r="K4476" s="8" t="s">
        <v>10473</v>
      </c>
    </row>
    <row r="4477" customFormat="false" ht="45.75" hidden="false" customHeight="true" outlineLevel="0" collapsed="false">
      <c r="A4477" s="10" t="s">
        <v>10482</v>
      </c>
      <c r="B4477" s="10" t="s">
        <v>10064</v>
      </c>
      <c r="C4477" s="8" t="s">
        <v>10471</v>
      </c>
      <c r="D4477" s="8" t="s">
        <v>10483</v>
      </c>
      <c r="E4477" s="11" t="n">
        <v>388</v>
      </c>
      <c r="F4477" s="8" t="str">
        <f aca="false">IFERROR(INDEX(Section_Master!$D$2:$D$477,MATCH($E4477,Section_Master!$A$2:$A$477,0))&amp;"","")</f>
        <v>Not applicable - procedural provision (BNSS), no offence defined</v>
      </c>
      <c r="G4477" s="10" t="str">
        <f aca="false">IFERROR(INDEX(Section_Master!$E$2:$E$477,MATCH($E4477,Section_Master!$A$2:$A$477,0))&amp;"","")</f>
        <v>N/A</v>
      </c>
      <c r="H4477" s="10" t="str">
        <f aca="false">IFERROR(INDEX(Section_Master!$F$2:$F$477,MATCH($E4477,Section_Master!$A$2:$A$477,0))&amp;"","")</f>
        <v>N/A</v>
      </c>
      <c r="I4477" s="10" t="str">
        <f aca="false">IFERROR(INDEX(Section_Master!$G$2:$G$477,MATCH($E4477,Section_Master!$A$2:$A$477,0))&amp;"","")</f>
        <v>N/A</v>
      </c>
      <c r="J4477" s="10" t="s">
        <v>64</v>
      </c>
      <c r="K4477" s="8" t="s">
        <v>10473</v>
      </c>
    </row>
    <row r="4478" customFormat="false" ht="34.5" hidden="false" customHeight="true" outlineLevel="0" collapsed="false">
      <c r="A4478" s="10" t="s">
        <v>10484</v>
      </c>
      <c r="B4478" s="10" t="s">
        <v>10064</v>
      </c>
      <c r="C4478" s="8" t="s">
        <v>10485</v>
      </c>
      <c r="D4478" s="8" t="s">
        <v>10486</v>
      </c>
      <c r="E4478" s="11" t="n">
        <v>389</v>
      </c>
      <c r="F4478" s="8" t="str">
        <f aca="false">IFERROR(INDEX(Section_Master!$D$2:$D$477,MATCH($E4478,Section_Master!$A$2:$A$477,0))&amp;"","")</f>
        <v>Not applicable - procedural provision (BNSS), no offence defined</v>
      </c>
      <c r="G4478" s="10" t="str">
        <f aca="false">IFERROR(INDEX(Section_Master!$E$2:$E$477,MATCH($E4478,Section_Master!$A$2:$A$477,0))&amp;"","")</f>
        <v>N/A</v>
      </c>
      <c r="H4478" s="10" t="str">
        <f aca="false">IFERROR(INDEX(Section_Master!$F$2:$F$477,MATCH($E4478,Section_Master!$A$2:$A$477,0))&amp;"","")</f>
        <v>N/A</v>
      </c>
      <c r="I4478" s="10" t="str">
        <f aca="false">IFERROR(INDEX(Section_Master!$G$2:$G$477,MATCH($E4478,Section_Master!$A$2:$A$477,0))&amp;"","")</f>
        <v>N/A</v>
      </c>
      <c r="J4478" s="10" t="s">
        <v>48</v>
      </c>
      <c r="K4478" s="8" t="s">
        <v>10487</v>
      </c>
    </row>
    <row r="4479" customFormat="false" ht="45.75" hidden="false" customHeight="true" outlineLevel="0" collapsed="false">
      <c r="A4479" s="10" t="s">
        <v>10488</v>
      </c>
      <c r="B4479" s="10" t="s">
        <v>10064</v>
      </c>
      <c r="C4479" s="8" t="s">
        <v>10485</v>
      </c>
      <c r="D4479" s="8" t="s">
        <v>10489</v>
      </c>
      <c r="E4479" s="11" t="n">
        <v>389</v>
      </c>
      <c r="F4479" s="8" t="str">
        <f aca="false">IFERROR(INDEX(Section_Master!$D$2:$D$477,MATCH($E4479,Section_Master!$A$2:$A$477,0))&amp;"","")</f>
        <v>Not applicable - procedural provision (BNSS), no offence defined</v>
      </c>
      <c r="G4479" s="10" t="str">
        <f aca="false">IFERROR(INDEX(Section_Master!$E$2:$E$477,MATCH($E4479,Section_Master!$A$2:$A$477,0))&amp;"","")</f>
        <v>N/A</v>
      </c>
      <c r="H4479" s="10" t="str">
        <f aca="false">IFERROR(INDEX(Section_Master!$F$2:$F$477,MATCH($E4479,Section_Master!$A$2:$A$477,0))&amp;"","")</f>
        <v>N/A</v>
      </c>
      <c r="I4479" s="10" t="str">
        <f aca="false">IFERROR(INDEX(Section_Master!$G$2:$G$477,MATCH($E4479,Section_Master!$A$2:$A$477,0))&amp;"","")</f>
        <v>N/A</v>
      </c>
      <c r="J4479" s="10" t="s">
        <v>52</v>
      </c>
      <c r="K4479" s="8" t="s">
        <v>10487</v>
      </c>
    </row>
    <row r="4480" customFormat="false" ht="34.5" hidden="false" customHeight="true" outlineLevel="0" collapsed="false">
      <c r="A4480" s="10" t="s">
        <v>10490</v>
      </c>
      <c r="B4480" s="10" t="s">
        <v>10064</v>
      </c>
      <c r="C4480" s="8" t="s">
        <v>10485</v>
      </c>
      <c r="D4480" s="8" t="s">
        <v>10491</v>
      </c>
      <c r="E4480" s="11" t="n">
        <v>389</v>
      </c>
      <c r="F4480" s="8" t="str">
        <f aca="false">IFERROR(INDEX(Section_Master!$D$2:$D$477,MATCH($E4480,Section_Master!$A$2:$A$477,0))&amp;"","")</f>
        <v>Not applicable - procedural provision (BNSS), no offence defined</v>
      </c>
      <c r="G4480" s="10" t="str">
        <f aca="false">IFERROR(INDEX(Section_Master!$E$2:$E$477,MATCH($E4480,Section_Master!$A$2:$A$477,0))&amp;"","")</f>
        <v>N/A</v>
      </c>
      <c r="H4480" s="10" t="str">
        <f aca="false">IFERROR(INDEX(Section_Master!$F$2:$F$477,MATCH($E4480,Section_Master!$A$2:$A$477,0))&amp;"","")</f>
        <v>N/A</v>
      </c>
      <c r="I4480" s="10" t="str">
        <f aca="false">IFERROR(INDEX(Section_Master!$G$2:$G$477,MATCH($E4480,Section_Master!$A$2:$A$477,0))&amp;"","")</f>
        <v>N/A</v>
      </c>
      <c r="J4480" s="10" t="s">
        <v>55</v>
      </c>
      <c r="K4480" s="8" t="s">
        <v>10487</v>
      </c>
    </row>
    <row r="4481" customFormat="false" ht="34.5" hidden="false" customHeight="true" outlineLevel="0" collapsed="false">
      <c r="A4481" s="10" t="s">
        <v>10492</v>
      </c>
      <c r="B4481" s="10" t="s">
        <v>10064</v>
      </c>
      <c r="C4481" s="8" t="s">
        <v>10485</v>
      </c>
      <c r="D4481" s="8" t="s">
        <v>10493</v>
      </c>
      <c r="E4481" s="11" t="n">
        <v>389</v>
      </c>
      <c r="F4481" s="8" t="str">
        <f aca="false">IFERROR(INDEX(Section_Master!$D$2:$D$477,MATCH($E4481,Section_Master!$A$2:$A$477,0))&amp;"","")</f>
        <v>Not applicable - procedural provision (BNSS), no offence defined</v>
      </c>
      <c r="G4481" s="10" t="str">
        <f aca="false">IFERROR(INDEX(Section_Master!$E$2:$E$477,MATCH($E4481,Section_Master!$A$2:$A$477,0))&amp;"","")</f>
        <v>N/A</v>
      </c>
      <c r="H4481" s="10" t="str">
        <f aca="false">IFERROR(INDEX(Section_Master!$F$2:$F$477,MATCH($E4481,Section_Master!$A$2:$A$477,0))&amp;"","")</f>
        <v>N/A</v>
      </c>
      <c r="I4481" s="10" t="str">
        <f aca="false">IFERROR(INDEX(Section_Master!$G$2:$G$477,MATCH($E4481,Section_Master!$A$2:$A$477,0))&amp;"","")</f>
        <v>N/A</v>
      </c>
      <c r="J4481" s="10" t="s">
        <v>58</v>
      </c>
      <c r="K4481" s="8" t="s">
        <v>10487</v>
      </c>
    </row>
    <row r="4482" customFormat="false" ht="34.5" hidden="false" customHeight="true" outlineLevel="0" collapsed="false">
      <c r="A4482" s="10" t="s">
        <v>10494</v>
      </c>
      <c r="B4482" s="10" t="s">
        <v>10064</v>
      </c>
      <c r="C4482" s="8" t="s">
        <v>10485</v>
      </c>
      <c r="D4482" s="8" t="s">
        <v>10495</v>
      </c>
      <c r="E4482" s="11" t="n">
        <v>389</v>
      </c>
      <c r="F4482" s="8" t="str">
        <f aca="false">IFERROR(INDEX(Section_Master!$D$2:$D$477,MATCH($E4482,Section_Master!$A$2:$A$477,0))&amp;"","")</f>
        <v>Not applicable - procedural provision (BNSS), no offence defined</v>
      </c>
      <c r="G4482" s="10" t="str">
        <f aca="false">IFERROR(INDEX(Section_Master!$E$2:$E$477,MATCH($E4482,Section_Master!$A$2:$A$477,0))&amp;"","")</f>
        <v>N/A</v>
      </c>
      <c r="H4482" s="10" t="str">
        <f aca="false">IFERROR(INDEX(Section_Master!$F$2:$F$477,MATCH($E4482,Section_Master!$A$2:$A$477,0))&amp;"","")</f>
        <v>N/A</v>
      </c>
      <c r="I4482" s="10" t="str">
        <f aca="false">IFERROR(INDEX(Section_Master!$G$2:$G$477,MATCH($E4482,Section_Master!$A$2:$A$477,0))&amp;"","")</f>
        <v>N/A</v>
      </c>
      <c r="J4482" s="10" t="s">
        <v>61</v>
      </c>
      <c r="K4482" s="8" t="s">
        <v>10487</v>
      </c>
    </row>
    <row r="4483" customFormat="false" ht="45.75" hidden="false" customHeight="true" outlineLevel="0" collapsed="false">
      <c r="A4483" s="10" t="s">
        <v>10496</v>
      </c>
      <c r="B4483" s="10" t="s">
        <v>10064</v>
      </c>
      <c r="C4483" s="8" t="s">
        <v>10485</v>
      </c>
      <c r="D4483" s="8" t="s">
        <v>10497</v>
      </c>
      <c r="E4483" s="11" t="n">
        <v>389</v>
      </c>
      <c r="F4483" s="8" t="str">
        <f aca="false">IFERROR(INDEX(Section_Master!$D$2:$D$477,MATCH($E4483,Section_Master!$A$2:$A$477,0))&amp;"","")</f>
        <v>Not applicable - procedural provision (BNSS), no offence defined</v>
      </c>
      <c r="G4483" s="10" t="str">
        <f aca="false">IFERROR(INDEX(Section_Master!$E$2:$E$477,MATCH($E4483,Section_Master!$A$2:$A$477,0))&amp;"","")</f>
        <v>N/A</v>
      </c>
      <c r="H4483" s="10" t="str">
        <f aca="false">IFERROR(INDEX(Section_Master!$F$2:$F$477,MATCH($E4483,Section_Master!$A$2:$A$477,0))&amp;"","")</f>
        <v>N/A</v>
      </c>
      <c r="I4483" s="10" t="str">
        <f aca="false">IFERROR(INDEX(Section_Master!$G$2:$G$477,MATCH($E4483,Section_Master!$A$2:$A$477,0))&amp;"","")</f>
        <v>N/A</v>
      </c>
      <c r="J4483" s="10" t="s">
        <v>64</v>
      </c>
      <c r="K4483" s="8" t="s">
        <v>10487</v>
      </c>
    </row>
    <row r="4484" customFormat="false" ht="34.5" hidden="false" customHeight="true" outlineLevel="0" collapsed="false">
      <c r="A4484" s="10" t="s">
        <v>10498</v>
      </c>
      <c r="B4484" s="10" t="s">
        <v>10064</v>
      </c>
      <c r="C4484" s="8" t="s">
        <v>10499</v>
      </c>
      <c r="D4484" s="8" t="s">
        <v>10500</v>
      </c>
      <c r="E4484" s="11" t="n">
        <v>390</v>
      </c>
      <c r="F4484" s="8" t="str">
        <f aca="false">IFERROR(INDEX(Section_Master!$D$2:$D$477,MATCH($E4484,Section_Master!$A$2:$A$477,0))&amp;"","")</f>
        <v>Not applicable - procedural provision (BNSS), no offence defined</v>
      </c>
      <c r="G4484" s="10" t="str">
        <f aca="false">IFERROR(INDEX(Section_Master!$E$2:$E$477,MATCH($E4484,Section_Master!$A$2:$A$477,0))&amp;"","")</f>
        <v>N/A</v>
      </c>
      <c r="H4484" s="10" t="str">
        <f aca="false">IFERROR(INDEX(Section_Master!$F$2:$F$477,MATCH($E4484,Section_Master!$A$2:$A$477,0))&amp;"","")</f>
        <v>N/A</v>
      </c>
      <c r="I4484" s="10" t="str">
        <f aca="false">IFERROR(INDEX(Section_Master!$G$2:$G$477,MATCH($E4484,Section_Master!$A$2:$A$477,0))&amp;"","")</f>
        <v>N/A</v>
      </c>
      <c r="J4484" s="10" t="s">
        <v>48</v>
      </c>
      <c r="K4484" s="8" t="s">
        <v>10501</v>
      </c>
    </row>
    <row r="4485" customFormat="false" ht="34.5" hidden="false" customHeight="true" outlineLevel="0" collapsed="false">
      <c r="A4485" s="10" t="s">
        <v>10502</v>
      </c>
      <c r="B4485" s="10" t="s">
        <v>10064</v>
      </c>
      <c r="C4485" s="8" t="s">
        <v>10499</v>
      </c>
      <c r="D4485" s="8" t="s">
        <v>10503</v>
      </c>
      <c r="E4485" s="11" t="n">
        <v>390</v>
      </c>
      <c r="F4485" s="8" t="str">
        <f aca="false">IFERROR(INDEX(Section_Master!$D$2:$D$477,MATCH($E4485,Section_Master!$A$2:$A$477,0))&amp;"","")</f>
        <v>Not applicable - procedural provision (BNSS), no offence defined</v>
      </c>
      <c r="G4485" s="10" t="str">
        <f aca="false">IFERROR(INDEX(Section_Master!$E$2:$E$477,MATCH($E4485,Section_Master!$A$2:$A$477,0))&amp;"","")</f>
        <v>N/A</v>
      </c>
      <c r="H4485" s="10" t="str">
        <f aca="false">IFERROR(INDEX(Section_Master!$F$2:$F$477,MATCH($E4485,Section_Master!$A$2:$A$477,0))&amp;"","")</f>
        <v>N/A</v>
      </c>
      <c r="I4485" s="10" t="str">
        <f aca="false">IFERROR(INDEX(Section_Master!$G$2:$G$477,MATCH($E4485,Section_Master!$A$2:$A$477,0))&amp;"","")</f>
        <v>N/A</v>
      </c>
      <c r="J4485" s="10" t="s">
        <v>52</v>
      </c>
      <c r="K4485" s="8" t="s">
        <v>10501</v>
      </c>
    </row>
    <row r="4486" customFormat="false" ht="34.5" hidden="false" customHeight="true" outlineLevel="0" collapsed="false">
      <c r="A4486" s="10" t="s">
        <v>10504</v>
      </c>
      <c r="B4486" s="10" t="s">
        <v>10064</v>
      </c>
      <c r="C4486" s="8" t="s">
        <v>10499</v>
      </c>
      <c r="D4486" s="8" t="s">
        <v>10505</v>
      </c>
      <c r="E4486" s="11" t="n">
        <v>390</v>
      </c>
      <c r="F4486" s="8" t="str">
        <f aca="false">IFERROR(INDEX(Section_Master!$D$2:$D$477,MATCH($E4486,Section_Master!$A$2:$A$477,0))&amp;"","")</f>
        <v>Not applicable - procedural provision (BNSS), no offence defined</v>
      </c>
      <c r="G4486" s="10" t="str">
        <f aca="false">IFERROR(INDEX(Section_Master!$E$2:$E$477,MATCH($E4486,Section_Master!$A$2:$A$477,0))&amp;"","")</f>
        <v>N/A</v>
      </c>
      <c r="H4486" s="10" t="str">
        <f aca="false">IFERROR(INDEX(Section_Master!$F$2:$F$477,MATCH($E4486,Section_Master!$A$2:$A$477,0))&amp;"","")</f>
        <v>N/A</v>
      </c>
      <c r="I4486" s="10" t="str">
        <f aca="false">IFERROR(INDEX(Section_Master!$G$2:$G$477,MATCH($E4486,Section_Master!$A$2:$A$477,0))&amp;"","")</f>
        <v>N/A</v>
      </c>
      <c r="J4486" s="10" t="s">
        <v>55</v>
      </c>
      <c r="K4486" s="8" t="s">
        <v>10501</v>
      </c>
    </row>
    <row r="4487" customFormat="false" ht="23.25" hidden="false" customHeight="true" outlineLevel="0" collapsed="false">
      <c r="A4487" s="10" t="s">
        <v>10506</v>
      </c>
      <c r="B4487" s="10" t="s">
        <v>10064</v>
      </c>
      <c r="C4487" s="8" t="s">
        <v>10499</v>
      </c>
      <c r="D4487" s="8" t="s">
        <v>10507</v>
      </c>
      <c r="E4487" s="11" t="n">
        <v>390</v>
      </c>
      <c r="F4487" s="8" t="str">
        <f aca="false">IFERROR(INDEX(Section_Master!$D$2:$D$477,MATCH($E4487,Section_Master!$A$2:$A$477,0))&amp;"","")</f>
        <v>Not applicable - procedural provision (BNSS), no offence defined</v>
      </c>
      <c r="G4487" s="10" t="str">
        <f aca="false">IFERROR(INDEX(Section_Master!$E$2:$E$477,MATCH($E4487,Section_Master!$A$2:$A$477,0))&amp;"","")</f>
        <v>N/A</v>
      </c>
      <c r="H4487" s="10" t="str">
        <f aca="false">IFERROR(INDEX(Section_Master!$F$2:$F$477,MATCH($E4487,Section_Master!$A$2:$A$477,0))&amp;"","")</f>
        <v>N/A</v>
      </c>
      <c r="I4487" s="10" t="str">
        <f aca="false">IFERROR(INDEX(Section_Master!$G$2:$G$477,MATCH($E4487,Section_Master!$A$2:$A$477,0))&amp;"","")</f>
        <v>N/A</v>
      </c>
      <c r="J4487" s="10" t="s">
        <v>58</v>
      </c>
      <c r="K4487" s="8" t="s">
        <v>10501</v>
      </c>
    </row>
    <row r="4488" customFormat="false" ht="34.5" hidden="false" customHeight="true" outlineLevel="0" collapsed="false">
      <c r="A4488" s="10" t="s">
        <v>10508</v>
      </c>
      <c r="B4488" s="10" t="s">
        <v>10064</v>
      </c>
      <c r="C4488" s="8" t="s">
        <v>10499</v>
      </c>
      <c r="D4488" s="8" t="s">
        <v>10509</v>
      </c>
      <c r="E4488" s="11" t="n">
        <v>390</v>
      </c>
      <c r="F4488" s="8" t="str">
        <f aca="false">IFERROR(INDEX(Section_Master!$D$2:$D$477,MATCH($E4488,Section_Master!$A$2:$A$477,0))&amp;"","")</f>
        <v>Not applicable - procedural provision (BNSS), no offence defined</v>
      </c>
      <c r="G4488" s="10" t="str">
        <f aca="false">IFERROR(INDEX(Section_Master!$E$2:$E$477,MATCH($E4488,Section_Master!$A$2:$A$477,0))&amp;"","")</f>
        <v>N/A</v>
      </c>
      <c r="H4488" s="10" t="str">
        <f aca="false">IFERROR(INDEX(Section_Master!$F$2:$F$477,MATCH($E4488,Section_Master!$A$2:$A$477,0))&amp;"","")</f>
        <v>N/A</v>
      </c>
      <c r="I4488" s="10" t="str">
        <f aca="false">IFERROR(INDEX(Section_Master!$G$2:$G$477,MATCH($E4488,Section_Master!$A$2:$A$477,0))&amp;"","")</f>
        <v>N/A</v>
      </c>
      <c r="J4488" s="10" t="s">
        <v>61</v>
      </c>
      <c r="K4488" s="8" t="s">
        <v>10501</v>
      </c>
    </row>
    <row r="4489" customFormat="false" ht="45.75" hidden="false" customHeight="true" outlineLevel="0" collapsed="false">
      <c r="A4489" s="10" t="s">
        <v>10510</v>
      </c>
      <c r="B4489" s="10" t="s">
        <v>10064</v>
      </c>
      <c r="C4489" s="8" t="s">
        <v>10499</v>
      </c>
      <c r="D4489" s="8" t="s">
        <v>10511</v>
      </c>
      <c r="E4489" s="11" t="n">
        <v>390</v>
      </c>
      <c r="F4489" s="8" t="str">
        <f aca="false">IFERROR(INDEX(Section_Master!$D$2:$D$477,MATCH($E4489,Section_Master!$A$2:$A$477,0))&amp;"","")</f>
        <v>Not applicable - procedural provision (BNSS), no offence defined</v>
      </c>
      <c r="G4489" s="10" t="str">
        <f aca="false">IFERROR(INDEX(Section_Master!$E$2:$E$477,MATCH($E4489,Section_Master!$A$2:$A$477,0))&amp;"","")</f>
        <v>N/A</v>
      </c>
      <c r="H4489" s="10" t="str">
        <f aca="false">IFERROR(INDEX(Section_Master!$F$2:$F$477,MATCH($E4489,Section_Master!$A$2:$A$477,0))&amp;"","")</f>
        <v>N/A</v>
      </c>
      <c r="I4489" s="10" t="str">
        <f aca="false">IFERROR(INDEX(Section_Master!$G$2:$G$477,MATCH($E4489,Section_Master!$A$2:$A$477,0))&amp;"","")</f>
        <v>N/A</v>
      </c>
      <c r="J4489" s="10" t="s">
        <v>64</v>
      </c>
      <c r="K4489" s="8" t="s">
        <v>10501</v>
      </c>
    </row>
    <row r="4490" customFormat="false" ht="45.75" hidden="false" customHeight="true" outlineLevel="0" collapsed="false">
      <c r="A4490" s="10" t="s">
        <v>10512</v>
      </c>
      <c r="B4490" s="10" t="s">
        <v>10064</v>
      </c>
      <c r="C4490" s="8" t="s">
        <v>10513</v>
      </c>
      <c r="D4490" s="8" t="s">
        <v>10514</v>
      </c>
      <c r="E4490" s="11" t="n">
        <v>391</v>
      </c>
      <c r="F4490" s="8" t="str">
        <f aca="false">IFERROR(INDEX(Section_Master!$D$2:$D$477,MATCH($E4490,Section_Master!$A$2:$A$477,0))&amp;"","")</f>
        <v>Not applicable - procedural provision (BNSS), no offence defined</v>
      </c>
      <c r="G4490" s="10" t="str">
        <f aca="false">IFERROR(INDEX(Section_Master!$E$2:$E$477,MATCH($E4490,Section_Master!$A$2:$A$477,0))&amp;"","")</f>
        <v>N/A</v>
      </c>
      <c r="H4490" s="10" t="str">
        <f aca="false">IFERROR(INDEX(Section_Master!$F$2:$F$477,MATCH($E4490,Section_Master!$A$2:$A$477,0))&amp;"","")</f>
        <v>N/A</v>
      </c>
      <c r="I4490" s="10" t="str">
        <f aca="false">IFERROR(INDEX(Section_Master!$G$2:$G$477,MATCH($E4490,Section_Master!$A$2:$A$477,0))&amp;"","")</f>
        <v>N/A</v>
      </c>
      <c r="J4490" s="10" t="s">
        <v>48</v>
      </c>
      <c r="K4490" s="8" t="s">
        <v>10515</v>
      </c>
    </row>
    <row r="4491" customFormat="false" ht="45.75" hidden="false" customHeight="true" outlineLevel="0" collapsed="false">
      <c r="A4491" s="10" t="s">
        <v>10516</v>
      </c>
      <c r="B4491" s="10" t="s">
        <v>10064</v>
      </c>
      <c r="C4491" s="8" t="s">
        <v>10513</v>
      </c>
      <c r="D4491" s="8" t="s">
        <v>10517</v>
      </c>
      <c r="E4491" s="11" t="n">
        <v>391</v>
      </c>
      <c r="F4491" s="8" t="str">
        <f aca="false">IFERROR(INDEX(Section_Master!$D$2:$D$477,MATCH($E4491,Section_Master!$A$2:$A$477,0))&amp;"","")</f>
        <v>Not applicable - procedural provision (BNSS), no offence defined</v>
      </c>
      <c r="G4491" s="10" t="str">
        <f aca="false">IFERROR(INDEX(Section_Master!$E$2:$E$477,MATCH($E4491,Section_Master!$A$2:$A$477,0))&amp;"","")</f>
        <v>N/A</v>
      </c>
      <c r="H4491" s="10" t="str">
        <f aca="false">IFERROR(INDEX(Section_Master!$F$2:$F$477,MATCH($E4491,Section_Master!$A$2:$A$477,0))&amp;"","")</f>
        <v>N/A</v>
      </c>
      <c r="I4491" s="10" t="str">
        <f aca="false">IFERROR(INDEX(Section_Master!$G$2:$G$477,MATCH($E4491,Section_Master!$A$2:$A$477,0))&amp;"","")</f>
        <v>N/A</v>
      </c>
      <c r="J4491" s="10" t="s">
        <v>52</v>
      </c>
      <c r="K4491" s="8" t="s">
        <v>10515</v>
      </c>
    </row>
    <row r="4492" customFormat="false" ht="34.5" hidden="false" customHeight="true" outlineLevel="0" collapsed="false">
      <c r="A4492" s="10" t="s">
        <v>10518</v>
      </c>
      <c r="B4492" s="10" t="s">
        <v>10064</v>
      </c>
      <c r="C4492" s="8" t="s">
        <v>10513</v>
      </c>
      <c r="D4492" s="8" t="s">
        <v>10519</v>
      </c>
      <c r="E4492" s="11" t="n">
        <v>391</v>
      </c>
      <c r="F4492" s="8" t="str">
        <f aca="false">IFERROR(INDEX(Section_Master!$D$2:$D$477,MATCH($E4492,Section_Master!$A$2:$A$477,0))&amp;"","")</f>
        <v>Not applicable - procedural provision (BNSS), no offence defined</v>
      </c>
      <c r="G4492" s="10" t="str">
        <f aca="false">IFERROR(INDEX(Section_Master!$E$2:$E$477,MATCH($E4492,Section_Master!$A$2:$A$477,0))&amp;"","")</f>
        <v>N/A</v>
      </c>
      <c r="H4492" s="10" t="str">
        <f aca="false">IFERROR(INDEX(Section_Master!$F$2:$F$477,MATCH($E4492,Section_Master!$A$2:$A$477,0))&amp;"","")</f>
        <v>N/A</v>
      </c>
      <c r="I4492" s="10" t="str">
        <f aca="false">IFERROR(INDEX(Section_Master!$G$2:$G$477,MATCH($E4492,Section_Master!$A$2:$A$477,0))&amp;"","")</f>
        <v>N/A</v>
      </c>
      <c r="J4492" s="10" t="s">
        <v>55</v>
      </c>
      <c r="K4492" s="8" t="s">
        <v>10515</v>
      </c>
    </row>
    <row r="4493" customFormat="false" ht="34.5" hidden="false" customHeight="true" outlineLevel="0" collapsed="false">
      <c r="A4493" s="10" t="s">
        <v>10520</v>
      </c>
      <c r="B4493" s="10" t="s">
        <v>10064</v>
      </c>
      <c r="C4493" s="8" t="s">
        <v>10513</v>
      </c>
      <c r="D4493" s="8" t="s">
        <v>10521</v>
      </c>
      <c r="E4493" s="11" t="n">
        <v>391</v>
      </c>
      <c r="F4493" s="8" t="str">
        <f aca="false">IFERROR(INDEX(Section_Master!$D$2:$D$477,MATCH($E4493,Section_Master!$A$2:$A$477,0))&amp;"","")</f>
        <v>Not applicable - procedural provision (BNSS), no offence defined</v>
      </c>
      <c r="G4493" s="10" t="str">
        <f aca="false">IFERROR(INDEX(Section_Master!$E$2:$E$477,MATCH($E4493,Section_Master!$A$2:$A$477,0))&amp;"","")</f>
        <v>N/A</v>
      </c>
      <c r="H4493" s="10" t="str">
        <f aca="false">IFERROR(INDEX(Section_Master!$F$2:$F$477,MATCH($E4493,Section_Master!$A$2:$A$477,0))&amp;"","")</f>
        <v>N/A</v>
      </c>
      <c r="I4493" s="10" t="str">
        <f aca="false">IFERROR(INDEX(Section_Master!$G$2:$G$477,MATCH($E4493,Section_Master!$A$2:$A$477,0))&amp;"","")</f>
        <v>N/A</v>
      </c>
      <c r="J4493" s="10" t="s">
        <v>58</v>
      </c>
      <c r="K4493" s="8" t="s">
        <v>10515</v>
      </c>
    </row>
    <row r="4494" customFormat="false" ht="34.5" hidden="false" customHeight="true" outlineLevel="0" collapsed="false">
      <c r="A4494" s="10" t="s">
        <v>10522</v>
      </c>
      <c r="B4494" s="10" t="s">
        <v>10064</v>
      </c>
      <c r="C4494" s="8" t="s">
        <v>10513</v>
      </c>
      <c r="D4494" s="8" t="s">
        <v>10523</v>
      </c>
      <c r="E4494" s="11" t="n">
        <v>391</v>
      </c>
      <c r="F4494" s="8" t="str">
        <f aca="false">IFERROR(INDEX(Section_Master!$D$2:$D$477,MATCH($E4494,Section_Master!$A$2:$A$477,0))&amp;"","")</f>
        <v>Not applicable - procedural provision (BNSS), no offence defined</v>
      </c>
      <c r="G4494" s="10" t="str">
        <f aca="false">IFERROR(INDEX(Section_Master!$E$2:$E$477,MATCH($E4494,Section_Master!$A$2:$A$477,0))&amp;"","")</f>
        <v>N/A</v>
      </c>
      <c r="H4494" s="10" t="str">
        <f aca="false">IFERROR(INDEX(Section_Master!$F$2:$F$477,MATCH($E4494,Section_Master!$A$2:$A$477,0))&amp;"","")</f>
        <v>N/A</v>
      </c>
      <c r="I4494" s="10" t="str">
        <f aca="false">IFERROR(INDEX(Section_Master!$G$2:$G$477,MATCH($E4494,Section_Master!$A$2:$A$477,0))&amp;"","")</f>
        <v>N/A</v>
      </c>
      <c r="J4494" s="10" t="s">
        <v>61</v>
      </c>
      <c r="K4494" s="8" t="s">
        <v>10515</v>
      </c>
    </row>
    <row r="4495" customFormat="false" ht="45.75" hidden="false" customHeight="true" outlineLevel="0" collapsed="false">
      <c r="A4495" s="10" t="s">
        <v>10524</v>
      </c>
      <c r="B4495" s="10" t="s">
        <v>10064</v>
      </c>
      <c r="C4495" s="8" t="s">
        <v>10513</v>
      </c>
      <c r="D4495" s="8" t="s">
        <v>10525</v>
      </c>
      <c r="E4495" s="11" t="n">
        <v>391</v>
      </c>
      <c r="F4495" s="8" t="str">
        <f aca="false">IFERROR(INDEX(Section_Master!$D$2:$D$477,MATCH($E4495,Section_Master!$A$2:$A$477,0))&amp;"","")</f>
        <v>Not applicable - procedural provision (BNSS), no offence defined</v>
      </c>
      <c r="G4495" s="10" t="str">
        <f aca="false">IFERROR(INDEX(Section_Master!$E$2:$E$477,MATCH($E4495,Section_Master!$A$2:$A$477,0))&amp;"","")</f>
        <v>N/A</v>
      </c>
      <c r="H4495" s="10" t="str">
        <f aca="false">IFERROR(INDEX(Section_Master!$F$2:$F$477,MATCH($E4495,Section_Master!$A$2:$A$477,0))&amp;"","")</f>
        <v>N/A</v>
      </c>
      <c r="I4495" s="10" t="str">
        <f aca="false">IFERROR(INDEX(Section_Master!$G$2:$G$477,MATCH($E4495,Section_Master!$A$2:$A$477,0))&amp;"","")</f>
        <v>N/A</v>
      </c>
      <c r="J4495" s="10" t="s">
        <v>64</v>
      </c>
      <c r="K4495" s="8" t="s">
        <v>10515</v>
      </c>
    </row>
    <row r="4496" customFormat="false" ht="45.75" hidden="false" customHeight="true" outlineLevel="0" collapsed="false">
      <c r="A4496" s="10" t="s">
        <v>10526</v>
      </c>
      <c r="B4496" s="10" t="s">
        <v>10064</v>
      </c>
      <c r="C4496" s="8" t="s">
        <v>10527</v>
      </c>
      <c r="D4496" s="8" t="s">
        <v>10528</v>
      </c>
      <c r="E4496" s="11" t="n">
        <v>392</v>
      </c>
      <c r="F4496" s="8" t="str">
        <f aca="false">IFERROR(INDEX(Section_Master!$D$2:$D$477,MATCH($E4496,Section_Master!$A$2:$A$477,0))&amp;"","")</f>
        <v>Not applicable - procedural provision (BNSS), no offence defined</v>
      </c>
      <c r="G4496" s="10" t="str">
        <f aca="false">IFERROR(INDEX(Section_Master!$E$2:$E$477,MATCH($E4496,Section_Master!$A$2:$A$477,0))&amp;"","")</f>
        <v>N/A</v>
      </c>
      <c r="H4496" s="10" t="str">
        <f aca="false">IFERROR(INDEX(Section_Master!$F$2:$F$477,MATCH($E4496,Section_Master!$A$2:$A$477,0))&amp;"","")</f>
        <v>N/A</v>
      </c>
      <c r="I4496" s="10" t="str">
        <f aca="false">IFERROR(INDEX(Section_Master!$G$2:$G$477,MATCH($E4496,Section_Master!$A$2:$A$477,0))&amp;"","")</f>
        <v>N/A</v>
      </c>
      <c r="J4496" s="10" t="s">
        <v>48</v>
      </c>
      <c r="K4496" s="8" t="s">
        <v>10529</v>
      </c>
    </row>
    <row r="4497" customFormat="false" ht="45.75" hidden="false" customHeight="true" outlineLevel="0" collapsed="false">
      <c r="A4497" s="10" t="s">
        <v>10530</v>
      </c>
      <c r="B4497" s="10" t="s">
        <v>10064</v>
      </c>
      <c r="C4497" s="8" t="s">
        <v>10527</v>
      </c>
      <c r="D4497" s="8" t="s">
        <v>10531</v>
      </c>
      <c r="E4497" s="11" t="n">
        <v>392</v>
      </c>
      <c r="F4497" s="8" t="str">
        <f aca="false">IFERROR(INDEX(Section_Master!$D$2:$D$477,MATCH($E4497,Section_Master!$A$2:$A$477,0))&amp;"","")</f>
        <v>Not applicable - procedural provision (BNSS), no offence defined</v>
      </c>
      <c r="G4497" s="10" t="str">
        <f aca="false">IFERROR(INDEX(Section_Master!$E$2:$E$477,MATCH($E4497,Section_Master!$A$2:$A$477,0))&amp;"","")</f>
        <v>N/A</v>
      </c>
      <c r="H4497" s="10" t="str">
        <f aca="false">IFERROR(INDEX(Section_Master!$F$2:$F$477,MATCH($E4497,Section_Master!$A$2:$A$477,0))&amp;"","")</f>
        <v>N/A</v>
      </c>
      <c r="I4497" s="10" t="str">
        <f aca="false">IFERROR(INDEX(Section_Master!$G$2:$G$477,MATCH($E4497,Section_Master!$A$2:$A$477,0))&amp;"","")</f>
        <v>N/A</v>
      </c>
      <c r="J4497" s="10" t="s">
        <v>52</v>
      </c>
      <c r="K4497" s="8" t="s">
        <v>10529</v>
      </c>
    </row>
    <row r="4498" customFormat="false" ht="34.5" hidden="false" customHeight="true" outlineLevel="0" collapsed="false">
      <c r="A4498" s="10" t="s">
        <v>10532</v>
      </c>
      <c r="B4498" s="10" t="s">
        <v>10064</v>
      </c>
      <c r="C4498" s="8" t="s">
        <v>10527</v>
      </c>
      <c r="D4498" s="8" t="s">
        <v>10533</v>
      </c>
      <c r="E4498" s="11" t="n">
        <v>392</v>
      </c>
      <c r="F4498" s="8" t="str">
        <f aca="false">IFERROR(INDEX(Section_Master!$D$2:$D$477,MATCH($E4498,Section_Master!$A$2:$A$477,0))&amp;"","")</f>
        <v>Not applicable - procedural provision (BNSS), no offence defined</v>
      </c>
      <c r="G4498" s="10" t="str">
        <f aca="false">IFERROR(INDEX(Section_Master!$E$2:$E$477,MATCH($E4498,Section_Master!$A$2:$A$477,0))&amp;"","")</f>
        <v>N/A</v>
      </c>
      <c r="H4498" s="10" t="str">
        <f aca="false">IFERROR(INDEX(Section_Master!$F$2:$F$477,MATCH($E4498,Section_Master!$A$2:$A$477,0))&amp;"","")</f>
        <v>N/A</v>
      </c>
      <c r="I4498" s="10" t="str">
        <f aca="false">IFERROR(INDEX(Section_Master!$G$2:$G$477,MATCH($E4498,Section_Master!$A$2:$A$477,0))&amp;"","")</f>
        <v>N/A</v>
      </c>
      <c r="J4498" s="10" t="s">
        <v>55</v>
      </c>
      <c r="K4498" s="8" t="s">
        <v>10529</v>
      </c>
    </row>
    <row r="4499" customFormat="false" ht="23.25" hidden="false" customHeight="true" outlineLevel="0" collapsed="false">
      <c r="A4499" s="10" t="s">
        <v>10534</v>
      </c>
      <c r="B4499" s="10" t="s">
        <v>10064</v>
      </c>
      <c r="C4499" s="8" t="s">
        <v>10527</v>
      </c>
      <c r="D4499" s="8" t="s">
        <v>10535</v>
      </c>
      <c r="E4499" s="11" t="n">
        <v>392</v>
      </c>
      <c r="F4499" s="8" t="str">
        <f aca="false">IFERROR(INDEX(Section_Master!$D$2:$D$477,MATCH($E4499,Section_Master!$A$2:$A$477,0))&amp;"","")</f>
        <v>Not applicable - procedural provision (BNSS), no offence defined</v>
      </c>
      <c r="G4499" s="10" t="str">
        <f aca="false">IFERROR(INDEX(Section_Master!$E$2:$E$477,MATCH($E4499,Section_Master!$A$2:$A$477,0))&amp;"","")</f>
        <v>N/A</v>
      </c>
      <c r="H4499" s="10" t="str">
        <f aca="false">IFERROR(INDEX(Section_Master!$F$2:$F$477,MATCH($E4499,Section_Master!$A$2:$A$477,0))&amp;"","")</f>
        <v>N/A</v>
      </c>
      <c r="I4499" s="10" t="str">
        <f aca="false">IFERROR(INDEX(Section_Master!$G$2:$G$477,MATCH($E4499,Section_Master!$A$2:$A$477,0))&amp;"","")</f>
        <v>N/A</v>
      </c>
      <c r="J4499" s="10" t="s">
        <v>58</v>
      </c>
      <c r="K4499" s="8" t="s">
        <v>10529</v>
      </c>
    </row>
    <row r="4500" customFormat="false" ht="45.75" hidden="false" customHeight="true" outlineLevel="0" collapsed="false">
      <c r="A4500" s="10" t="s">
        <v>10536</v>
      </c>
      <c r="B4500" s="10" t="s">
        <v>10064</v>
      </c>
      <c r="C4500" s="8" t="s">
        <v>10527</v>
      </c>
      <c r="D4500" s="8" t="s">
        <v>10537</v>
      </c>
      <c r="E4500" s="11" t="n">
        <v>392</v>
      </c>
      <c r="F4500" s="8" t="str">
        <f aca="false">IFERROR(INDEX(Section_Master!$D$2:$D$477,MATCH($E4500,Section_Master!$A$2:$A$477,0))&amp;"","")</f>
        <v>Not applicable - procedural provision (BNSS), no offence defined</v>
      </c>
      <c r="G4500" s="10" t="str">
        <f aca="false">IFERROR(INDEX(Section_Master!$E$2:$E$477,MATCH($E4500,Section_Master!$A$2:$A$477,0))&amp;"","")</f>
        <v>N/A</v>
      </c>
      <c r="H4500" s="10" t="str">
        <f aca="false">IFERROR(INDEX(Section_Master!$F$2:$F$477,MATCH($E4500,Section_Master!$A$2:$A$477,0))&amp;"","")</f>
        <v>N/A</v>
      </c>
      <c r="I4500" s="10" t="str">
        <f aca="false">IFERROR(INDEX(Section_Master!$G$2:$G$477,MATCH($E4500,Section_Master!$A$2:$A$477,0))&amp;"","")</f>
        <v>N/A</v>
      </c>
      <c r="J4500" s="10" t="s">
        <v>61</v>
      </c>
      <c r="K4500" s="8" t="s">
        <v>10529</v>
      </c>
    </row>
    <row r="4501" customFormat="false" ht="45.75" hidden="false" customHeight="true" outlineLevel="0" collapsed="false">
      <c r="A4501" s="10" t="s">
        <v>10538</v>
      </c>
      <c r="B4501" s="10" t="s">
        <v>10064</v>
      </c>
      <c r="C4501" s="8" t="s">
        <v>10527</v>
      </c>
      <c r="D4501" s="8" t="s">
        <v>10539</v>
      </c>
      <c r="E4501" s="11" t="n">
        <v>392</v>
      </c>
      <c r="F4501" s="8" t="str">
        <f aca="false">IFERROR(INDEX(Section_Master!$D$2:$D$477,MATCH($E4501,Section_Master!$A$2:$A$477,0))&amp;"","")</f>
        <v>Not applicable - procedural provision (BNSS), no offence defined</v>
      </c>
      <c r="G4501" s="10" t="str">
        <f aca="false">IFERROR(INDEX(Section_Master!$E$2:$E$477,MATCH($E4501,Section_Master!$A$2:$A$477,0))&amp;"","")</f>
        <v>N/A</v>
      </c>
      <c r="H4501" s="10" t="str">
        <f aca="false">IFERROR(INDEX(Section_Master!$F$2:$F$477,MATCH($E4501,Section_Master!$A$2:$A$477,0))&amp;"","")</f>
        <v>N/A</v>
      </c>
      <c r="I4501" s="10" t="str">
        <f aca="false">IFERROR(INDEX(Section_Master!$G$2:$G$477,MATCH($E4501,Section_Master!$A$2:$A$477,0))&amp;"","")</f>
        <v>N/A</v>
      </c>
      <c r="J4501" s="10" t="s">
        <v>64</v>
      </c>
      <c r="K4501" s="8" t="s">
        <v>10529</v>
      </c>
    </row>
    <row r="4502" customFormat="false" ht="34.5" hidden="false" customHeight="true" outlineLevel="0" collapsed="false">
      <c r="A4502" s="10" t="s">
        <v>10540</v>
      </c>
      <c r="B4502" s="10" t="s">
        <v>10064</v>
      </c>
      <c r="C4502" s="8" t="s">
        <v>10541</v>
      </c>
      <c r="D4502" s="8" t="s">
        <v>10542</v>
      </c>
      <c r="E4502" s="11" t="n">
        <v>393</v>
      </c>
      <c r="F4502" s="8" t="str">
        <f aca="false">IFERROR(INDEX(Section_Master!$D$2:$D$477,MATCH($E4502,Section_Master!$A$2:$A$477,0))&amp;"","")</f>
        <v>Not applicable - procedural provision (BNSS), no offence defined</v>
      </c>
      <c r="G4502" s="10" t="str">
        <f aca="false">IFERROR(INDEX(Section_Master!$E$2:$E$477,MATCH($E4502,Section_Master!$A$2:$A$477,0))&amp;"","")</f>
        <v>N/A</v>
      </c>
      <c r="H4502" s="10" t="str">
        <f aca="false">IFERROR(INDEX(Section_Master!$F$2:$F$477,MATCH($E4502,Section_Master!$A$2:$A$477,0))&amp;"","")</f>
        <v>N/A</v>
      </c>
      <c r="I4502" s="10" t="str">
        <f aca="false">IFERROR(INDEX(Section_Master!$G$2:$G$477,MATCH($E4502,Section_Master!$A$2:$A$477,0))&amp;"","")</f>
        <v>N/A</v>
      </c>
      <c r="J4502" s="10" t="s">
        <v>48</v>
      </c>
      <c r="K4502" s="8" t="s">
        <v>10543</v>
      </c>
    </row>
    <row r="4503" customFormat="false" ht="45.75" hidden="false" customHeight="true" outlineLevel="0" collapsed="false">
      <c r="A4503" s="10" t="s">
        <v>10544</v>
      </c>
      <c r="B4503" s="10" t="s">
        <v>10064</v>
      </c>
      <c r="C4503" s="8" t="s">
        <v>10541</v>
      </c>
      <c r="D4503" s="8" t="s">
        <v>10545</v>
      </c>
      <c r="E4503" s="11" t="n">
        <v>393</v>
      </c>
      <c r="F4503" s="8" t="str">
        <f aca="false">IFERROR(INDEX(Section_Master!$D$2:$D$477,MATCH($E4503,Section_Master!$A$2:$A$477,0))&amp;"","")</f>
        <v>Not applicable - procedural provision (BNSS), no offence defined</v>
      </c>
      <c r="G4503" s="10" t="str">
        <f aca="false">IFERROR(INDEX(Section_Master!$E$2:$E$477,MATCH($E4503,Section_Master!$A$2:$A$477,0))&amp;"","")</f>
        <v>N/A</v>
      </c>
      <c r="H4503" s="10" t="str">
        <f aca="false">IFERROR(INDEX(Section_Master!$F$2:$F$477,MATCH($E4503,Section_Master!$A$2:$A$477,0))&amp;"","")</f>
        <v>N/A</v>
      </c>
      <c r="I4503" s="10" t="str">
        <f aca="false">IFERROR(INDEX(Section_Master!$G$2:$G$477,MATCH($E4503,Section_Master!$A$2:$A$477,0))&amp;"","")</f>
        <v>N/A</v>
      </c>
      <c r="J4503" s="10" t="s">
        <v>52</v>
      </c>
      <c r="K4503" s="8" t="s">
        <v>10543</v>
      </c>
    </row>
    <row r="4504" customFormat="false" ht="45.75" hidden="false" customHeight="true" outlineLevel="0" collapsed="false">
      <c r="A4504" s="10" t="s">
        <v>10546</v>
      </c>
      <c r="B4504" s="10" t="s">
        <v>10064</v>
      </c>
      <c r="C4504" s="8" t="s">
        <v>10541</v>
      </c>
      <c r="D4504" s="8" t="s">
        <v>10547</v>
      </c>
      <c r="E4504" s="11" t="n">
        <v>393</v>
      </c>
      <c r="F4504" s="8" t="str">
        <f aca="false">IFERROR(INDEX(Section_Master!$D$2:$D$477,MATCH($E4504,Section_Master!$A$2:$A$477,0))&amp;"","")</f>
        <v>Not applicable - procedural provision (BNSS), no offence defined</v>
      </c>
      <c r="G4504" s="10" t="str">
        <f aca="false">IFERROR(INDEX(Section_Master!$E$2:$E$477,MATCH($E4504,Section_Master!$A$2:$A$477,0))&amp;"","")</f>
        <v>N/A</v>
      </c>
      <c r="H4504" s="10" t="str">
        <f aca="false">IFERROR(INDEX(Section_Master!$F$2:$F$477,MATCH($E4504,Section_Master!$A$2:$A$477,0))&amp;"","")</f>
        <v>N/A</v>
      </c>
      <c r="I4504" s="10" t="str">
        <f aca="false">IFERROR(INDEX(Section_Master!$G$2:$G$477,MATCH($E4504,Section_Master!$A$2:$A$477,0))&amp;"","")</f>
        <v>N/A</v>
      </c>
      <c r="J4504" s="10" t="s">
        <v>55</v>
      </c>
      <c r="K4504" s="8" t="s">
        <v>10543</v>
      </c>
    </row>
    <row r="4505" customFormat="false" ht="23.25" hidden="false" customHeight="true" outlineLevel="0" collapsed="false">
      <c r="A4505" s="10" t="s">
        <v>10548</v>
      </c>
      <c r="B4505" s="10" t="s">
        <v>10064</v>
      </c>
      <c r="C4505" s="8" t="s">
        <v>10541</v>
      </c>
      <c r="D4505" s="8" t="s">
        <v>10549</v>
      </c>
      <c r="E4505" s="11" t="n">
        <v>393</v>
      </c>
      <c r="F4505" s="8" t="str">
        <f aca="false">IFERROR(INDEX(Section_Master!$D$2:$D$477,MATCH($E4505,Section_Master!$A$2:$A$477,0))&amp;"","")</f>
        <v>Not applicable - procedural provision (BNSS), no offence defined</v>
      </c>
      <c r="G4505" s="10" t="str">
        <f aca="false">IFERROR(INDEX(Section_Master!$E$2:$E$477,MATCH($E4505,Section_Master!$A$2:$A$477,0))&amp;"","")</f>
        <v>N/A</v>
      </c>
      <c r="H4505" s="10" t="str">
        <f aca="false">IFERROR(INDEX(Section_Master!$F$2:$F$477,MATCH($E4505,Section_Master!$A$2:$A$477,0))&amp;"","")</f>
        <v>N/A</v>
      </c>
      <c r="I4505" s="10" t="str">
        <f aca="false">IFERROR(INDEX(Section_Master!$G$2:$G$477,MATCH($E4505,Section_Master!$A$2:$A$477,0))&amp;"","")</f>
        <v>N/A</v>
      </c>
      <c r="J4505" s="10" t="s">
        <v>58</v>
      </c>
      <c r="K4505" s="8" t="s">
        <v>10543</v>
      </c>
    </row>
    <row r="4506" customFormat="false" ht="34.5" hidden="false" customHeight="true" outlineLevel="0" collapsed="false">
      <c r="A4506" s="10" t="s">
        <v>10550</v>
      </c>
      <c r="B4506" s="10" t="s">
        <v>10064</v>
      </c>
      <c r="C4506" s="8" t="s">
        <v>10541</v>
      </c>
      <c r="D4506" s="8" t="s">
        <v>10551</v>
      </c>
      <c r="E4506" s="11" t="n">
        <v>393</v>
      </c>
      <c r="F4506" s="8" t="str">
        <f aca="false">IFERROR(INDEX(Section_Master!$D$2:$D$477,MATCH($E4506,Section_Master!$A$2:$A$477,0))&amp;"","")</f>
        <v>Not applicable - procedural provision (BNSS), no offence defined</v>
      </c>
      <c r="G4506" s="10" t="str">
        <f aca="false">IFERROR(INDEX(Section_Master!$E$2:$E$477,MATCH($E4506,Section_Master!$A$2:$A$477,0))&amp;"","")</f>
        <v>N/A</v>
      </c>
      <c r="H4506" s="10" t="str">
        <f aca="false">IFERROR(INDEX(Section_Master!$F$2:$F$477,MATCH($E4506,Section_Master!$A$2:$A$477,0))&amp;"","")</f>
        <v>N/A</v>
      </c>
      <c r="I4506" s="10" t="str">
        <f aca="false">IFERROR(INDEX(Section_Master!$G$2:$G$477,MATCH($E4506,Section_Master!$A$2:$A$477,0))&amp;"","")</f>
        <v>N/A</v>
      </c>
      <c r="J4506" s="10" t="s">
        <v>61</v>
      </c>
      <c r="K4506" s="8" t="s">
        <v>10543</v>
      </c>
    </row>
    <row r="4507" customFormat="false" ht="45.75" hidden="false" customHeight="true" outlineLevel="0" collapsed="false">
      <c r="A4507" s="10" t="s">
        <v>10552</v>
      </c>
      <c r="B4507" s="10" t="s">
        <v>10064</v>
      </c>
      <c r="C4507" s="8" t="s">
        <v>10541</v>
      </c>
      <c r="D4507" s="8" t="s">
        <v>10553</v>
      </c>
      <c r="E4507" s="11" t="n">
        <v>393</v>
      </c>
      <c r="F4507" s="8" t="str">
        <f aca="false">IFERROR(INDEX(Section_Master!$D$2:$D$477,MATCH($E4507,Section_Master!$A$2:$A$477,0))&amp;"","")</f>
        <v>Not applicable - procedural provision (BNSS), no offence defined</v>
      </c>
      <c r="G4507" s="10" t="str">
        <f aca="false">IFERROR(INDEX(Section_Master!$E$2:$E$477,MATCH($E4507,Section_Master!$A$2:$A$477,0))&amp;"","")</f>
        <v>N/A</v>
      </c>
      <c r="H4507" s="10" t="str">
        <f aca="false">IFERROR(INDEX(Section_Master!$F$2:$F$477,MATCH($E4507,Section_Master!$A$2:$A$477,0))&amp;"","")</f>
        <v>N/A</v>
      </c>
      <c r="I4507" s="10" t="str">
        <f aca="false">IFERROR(INDEX(Section_Master!$G$2:$G$477,MATCH($E4507,Section_Master!$A$2:$A$477,0))&amp;"","")</f>
        <v>N/A</v>
      </c>
      <c r="J4507" s="10" t="s">
        <v>64</v>
      </c>
      <c r="K4507" s="8" t="s">
        <v>10543</v>
      </c>
    </row>
    <row r="4508" customFormat="false" ht="34.5" hidden="false" customHeight="true" outlineLevel="0" collapsed="false">
      <c r="A4508" s="10" t="s">
        <v>10554</v>
      </c>
      <c r="B4508" s="10" t="s">
        <v>10064</v>
      </c>
      <c r="C4508" s="8" t="s">
        <v>10555</v>
      </c>
      <c r="D4508" s="8" t="s">
        <v>10556</v>
      </c>
      <c r="E4508" s="11" t="n">
        <v>394</v>
      </c>
      <c r="F4508" s="8" t="str">
        <f aca="false">IFERROR(INDEX(Section_Master!$D$2:$D$477,MATCH($E4508,Section_Master!$A$2:$A$477,0))&amp;"","")</f>
        <v>Not applicable - procedural provision (BNSS), no offence defined</v>
      </c>
      <c r="G4508" s="10" t="str">
        <f aca="false">IFERROR(INDEX(Section_Master!$E$2:$E$477,MATCH($E4508,Section_Master!$A$2:$A$477,0))&amp;"","")</f>
        <v>N/A</v>
      </c>
      <c r="H4508" s="10" t="str">
        <f aca="false">IFERROR(INDEX(Section_Master!$F$2:$F$477,MATCH($E4508,Section_Master!$A$2:$A$477,0))&amp;"","")</f>
        <v>N/A</v>
      </c>
      <c r="I4508" s="10" t="str">
        <f aca="false">IFERROR(INDEX(Section_Master!$G$2:$G$477,MATCH($E4508,Section_Master!$A$2:$A$477,0))&amp;"","")</f>
        <v>N/A</v>
      </c>
      <c r="J4508" s="10" t="s">
        <v>48</v>
      </c>
      <c r="K4508" s="8" t="s">
        <v>10557</v>
      </c>
    </row>
    <row r="4509" customFormat="false" ht="45.75" hidden="false" customHeight="true" outlineLevel="0" collapsed="false">
      <c r="A4509" s="10" t="s">
        <v>10558</v>
      </c>
      <c r="B4509" s="10" t="s">
        <v>10064</v>
      </c>
      <c r="C4509" s="8" t="s">
        <v>10555</v>
      </c>
      <c r="D4509" s="8" t="s">
        <v>10559</v>
      </c>
      <c r="E4509" s="11" t="n">
        <v>394</v>
      </c>
      <c r="F4509" s="8" t="str">
        <f aca="false">IFERROR(INDEX(Section_Master!$D$2:$D$477,MATCH($E4509,Section_Master!$A$2:$A$477,0))&amp;"","")</f>
        <v>Not applicable - procedural provision (BNSS), no offence defined</v>
      </c>
      <c r="G4509" s="10" t="str">
        <f aca="false">IFERROR(INDEX(Section_Master!$E$2:$E$477,MATCH($E4509,Section_Master!$A$2:$A$477,0))&amp;"","")</f>
        <v>N/A</v>
      </c>
      <c r="H4509" s="10" t="str">
        <f aca="false">IFERROR(INDEX(Section_Master!$F$2:$F$477,MATCH($E4509,Section_Master!$A$2:$A$477,0))&amp;"","")</f>
        <v>N/A</v>
      </c>
      <c r="I4509" s="10" t="str">
        <f aca="false">IFERROR(INDEX(Section_Master!$G$2:$G$477,MATCH($E4509,Section_Master!$A$2:$A$477,0))&amp;"","")</f>
        <v>N/A</v>
      </c>
      <c r="J4509" s="10" t="s">
        <v>52</v>
      </c>
      <c r="K4509" s="8" t="s">
        <v>10557</v>
      </c>
    </row>
    <row r="4510" customFormat="false" ht="45.75" hidden="false" customHeight="true" outlineLevel="0" collapsed="false">
      <c r="A4510" s="10" t="s">
        <v>10560</v>
      </c>
      <c r="B4510" s="10" t="s">
        <v>10064</v>
      </c>
      <c r="C4510" s="8" t="s">
        <v>10555</v>
      </c>
      <c r="D4510" s="8" t="s">
        <v>10561</v>
      </c>
      <c r="E4510" s="11" t="n">
        <v>394</v>
      </c>
      <c r="F4510" s="8" t="str">
        <f aca="false">IFERROR(INDEX(Section_Master!$D$2:$D$477,MATCH($E4510,Section_Master!$A$2:$A$477,0))&amp;"","")</f>
        <v>Not applicable - procedural provision (BNSS), no offence defined</v>
      </c>
      <c r="G4510" s="10" t="str">
        <f aca="false">IFERROR(INDEX(Section_Master!$E$2:$E$477,MATCH($E4510,Section_Master!$A$2:$A$477,0))&amp;"","")</f>
        <v>N/A</v>
      </c>
      <c r="H4510" s="10" t="str">
        <f aca="false">IFERROR(INDEX(Section_Master!$F$2:$F$477,MATCH($E4510,Section_Master!$A$2:$A$477,0))&amp;"","")</f>
        <v>N/A</v>
      </c>
      <c r="I4510" s="10" t="str">
        <f aca="false">IFERROR(INDEX(Section_Master!$G$2:$G$477,MATCH($E4510,Section_Master!$A$2:$A$477,0))&amp;"","")</f>
        <v>N/A</v>
      </c>
      <c r="J4510" s="10" t="s">
        <v>55</v>
      </c>
      <c r="K4510" s="8" t="s">
        <v>10557</v>
      </c>
    </row>
    <row r="4511" customFormat="false" ht="23.25" hidden="false" customHeight="true" outlineLevel="0" collapsed="false">
      <c r="A4511" s="10" t="s">
        <v>10562</v>
      </c>
      <c r="B4511" s="10" t="s">
        <v>10064</v>
      </c>
      <c r="C4511" s="8" t="s">
        <v>10555</v>
      </c>
      <c r="D4511" s="8" t="s">
        <v>10563</v>
      </c>
      <c r="E4511" s="11" t="n">
        <v>394</v>
      </c>
      <c r="F4511" s="8" t="str">
        <f aca="false">IFERROR(INDEX(Section_Master!$D$2:$D$477,MATCH($E4511,Section_Master!$A$2:$A$477,0))&amp;"","")</f>
        <v>Not applicable - procedural provision (BNSS), no offence defined</v>
      </c>
      <c r="G4511" s="10" t="str">
        <f aca="false">IFERROR(INDEX(Section_Master!$E$2:$E$477,MATCH($E4511,Section_Master!$A$2:$A$477,0))&amp;"","")</f>
        <v>N/A</v>
      </c>
      <c r="H4511" s="10" t="str">
        <f aca="false">IFERROR(INDEX(Section_Master!$F$2:$F$477,MATCH($E4511,Section_Master!$A$2:$A$477,0))&amp;"","")</f>
        <v>N/A</v>
      </c>
      <c r="I4511" s="10" t="str">
        <f aca="false">IFERROR(INDEX(Section_Master!$G$2:$G$477,MATCH($E4511,Section_Master!$A$2:$A$477,0))&amp;"","")</f>
        <v>N/A</v>
      </c>
      <c r="J4511" s="10" t="s">
        <v>58</v>
      </c>
      <c r="K4511" s="8" t="s">
        <v>10557</v>
      </c>
    </row>
    <row r="4512" customFormat="false" ht="23.25" hidden="false" customHeight="true" outlineLevel="0" collapsed="false">
      <c r="A4512" s="10" t="s">
        <v>10564</v>
      </c>
      <c r="B4512" s="10" t="s">
        <v>10064</v>
      </c>
      <c r="C4512" s="8" t="s">
        <v>10555</v>
      </c>
      <c r="D4512" s="8" t="s">
        <v>10565</v>
      </c>
      <c r="E4512" s="11" t="n">
        <v>394</v>
      </c>
      <c r="F4512" s="8" t="str">
        <f aca="false">IFERROR(INDEX(Section_Master!$D$2:$D$477,MATCH($E4512,Section_Master!$A$2:$A$477,0))&amp;"","")</f>
        <v>Not applicable - procedural provision (BNSS), no offence defined</v>
      </c>
      <c r="G4512" s="10" t="str">
        <f aca="false">IFERROR(INDEX(Section_Master!$E$2:$E$477,MATCH($E4512,Section_Master!$A$2:$A$477,0))&amp;"","")</f>
        <v>N/A</v>
      </c>
      <c r="H4512" s="10" t="str">
        <f aca="false">IFERROR(INDEX(Section_Master!$F$2:$F$477,MATCH($E4512,Section_Master!$A$2:$A$477,0))&amp;"","")</f>
        <v>N/A</v>
      </c>
      <c r="I4512" s="10" t="str">
        <f aca="false">IFERROR(INDEX(Section_Master!$G$2:$G$477,MATCH($E4512,Section_Master!$A$2:$A$477,0))&amp;"","")</f>
        <v>N/A</v>
      </c>
      <c r="J4512" s="10" t="s">
        <v>61</v>
      </c>
      <c r="K4512" s="8" t="s">
        <v>10557</v>
      </c>
    </row>
    <row r="4513" customFormat="false" ht="45.75" hidden="false" customHeight="true" outlineLevel="0" collapsed="false">
      <c r="A4513" s="10" t="s">
        <v>10566</v>
      </c>
      <c r="B4513" s="10" t="s">
        <v>10064</v>
      </c>
      <c r="C4513" s="8" t="s">
        <v>10555</v>
      </c>
      <c r="D4513" s="8" t="s">
        <v>10567</v>
      </c>
      <c r="E4513" s="11" t="n">
        <v>394</v>
      </c>
      <c r="F4513" s="8" t="str">
        <f aca="false">IFERROR(INDEX(Section_Master!$D$2:$D$477,MATCH($E4513,Section_Master!$A$2:$A$477,0))&amp;"","")</f>
        <v>Not applicable - procedural provision (BNSS), no offence defined</v>
      </c>
      <c r="G4513" s="10" t="str">
        <f aca="false">IFERROR(INDEX(Section_Master!$E$2:$E$477,MATCH($E4513,Section_Master!$A$2:$A$477,0))&amp;"","")</f>
        <v>N/A</v>
      </c>
      <c r="H4513" s="10" t="str">
        <f aca="false">IFERROR(INDEX(Section_Master!$F$2:$F$477,MATCH($E4513,Section_Master!$A$2:$A$477,0))&amp;"","")</f>
        <v>N/A</v>
      </c>
      <c r="I4513" s="10" t="str">
        <f aca="false">IFERROR(INDEX(Section_Master!$G$2:$G$477,MATCH($E4513,Section_Master!$A$2:$A$477,0))&amp;"","")</f>
        <v>N/A</v>
      </c>
      <c r="J4513" s="10" t="s">
        <v>64</v>
      </c>
      <c r="K4513" s="8" t="s">
        <v>10557</v>
      </c>
    </row>
    <row r="4514" customFormat="false" ht="34.5" hidden="false" customHeight="true" outlineLevel="0" collapsed="false">
      <c r="A4514" s="10" t="s">
        <v>10568</v>
      </c>
      <c r="B4514" s="10" t="s">
        <v>10064</v>
      </c>
      <c r="C4514" s="8" t="s">
        <v>10569</v>
      </c>
      <c r="D4514" s="8" t="s">
        <v>10570</v>
      </c>
      <c r="E4514" s="11" t="n">
        <v>395</v>
      </c>
      <c r="F4514" s="8" t="str">
        <f aca="false">IFERROR(INDEX(Section_Master!$D$2:$D$477,MATCH($E4514,Section_Master!$A$2:$A$477,0))&amp;"","")</f>
        <v>Not applicable - procedural provision (BNSS), no offence defined</v>
      </c>
      <c r="G4514" s="10" t="str">
        <f aca="false">IFERROR(INDEX(Section_Master!$E$2:$E$477,MATCH($E4514,Section_Master!$A$2:$A$477,0))&amp;"","")</f>
        <v>N/A</v>
      </c>
      <c r="H4514" s="10" t="str">
        <f aca="false">IFERROR(INDEX(Section_Master!$F$2:$F$477,MATCH($E4514,Section_Master!$A$2:$A$477,0))&amp;"","")</f>
        <v>N/A</v>
      </c>
      <c r="I4514" s="10" t="str">
        <f aca="false">IFERROR(INDEX(Section_Master!$G$2:$G$477,MATCH($E4514,Section_Master!$A$2:$A$477,0))&amp;"","")</f>
        <v>N/A</v>
      </c>
      <c r="J4514" s="10" t="s">
        <v>48</v>
      </c>
      <c r="K4514" s="8" t="s">
        <v>10571</v>
      </c>
    </row>
    <row r="4515" customFormat="false" ht="45.75" hidden="false" customHeight="true" outlineLevel="0" collapsed="false">
      <c r="A4515" s="10" t="s">
        <v>10572</v>
      </c>
      <c r="B4515" s="10" t="s">
        <v>10064</v>
      </c>
      <c r="C4515" s="8" t="s">
        <v>10569</v>
      </c>
      <c r="D4515" s="8" t="s">
        <v>10573</v>
      </c>
      <c r="E4515" s="11" t="n">
        <v>395</v>
      </c>
      <c r="F4515" s="8" t="str">
        <f aca="false">IFERROR(INDEX(Section_Master!$D$2:$D$477,MATCH($E4515,Section_Master!$A$2:$A$477,0))&amp;"","")</f>
        <v>Not applicable - procedural provision (BNSS), no offence defined</v>
      </c>
      <c r="G4515" s="10" t="str">
        <f aca="false">IFERROR(INDEX(Section_Master!$E$2:$E$477,MATCH($E4515,Section_Master!$A$2:$A$477,0))&amp;"","")</f>
        <v>N/A</v>
      </c>
      <c r="H4515" s="10" t="str">
        <f aca="false">IFERROR(INDEX(Section_Master!$F$2:$F$477,MATCH($E4515,Section_Master!$A$2:$A$477,0))&amp;"","")</f>
        <v>N/A</v>
      </c>
      <c r="I4515" s="10" t="str">
        <f aca="false">IFERROR(INDEX(Section_Master!$G$2:$G$477,MATCH($E4515,Section_Master!$A$2:$A$477,0))&amp;"","")</f>
        <v>N/A</v>
      </c>
      <c r="J4515" s="10" t="s">
        <v>52</v>
      </c>
      <c r="K4515" s="8" t="s">
        <v>10571</v>
      </c>
    </row>
    <row r="4516" customFormat="false" ht="34.5" hidden="false" customHeight="true" outlineLevel="0" collapsed="false">
      <c r="A4516" s="10" t="s">
        <v>10574</v>
      </c>
      <c r="B4516" s="10" t="s">
        <v>10064</v>
      </c>
      <c r="C4516" s="8" t="s">
        <v>10569</v>
      </c>
      <c r="D4516" s="8" t="s">
        <v>10575</v>
      </c>
      <c r="E4516" s="11" t="n">
        <v>395</v>
      </c>
      <c r="F4516" s="8" t="str">
        <f aca="false">IFERROR(INDEX(Section_Master!$D$2:$D$477,MATCH($E4516,Section_Master!$A$2:$A$477,0))&amp;"","")</f>
        <v>Not applicable - procedural provision (BNSS), no offence defined</v>
      </c>
      <c r="G4516" s="10" t="str">
        <f aca="false">IFERROR(INDEX(Section_Master!$E$2:$E$477,MATCH($E4516,Section_Master!$A$2:$A$477,0))&amp;"","")</f>
        <v>N/A</v>
      </c>
      <c r="H4516" s="10" t="str">
        <f aca="false">IFERROR(INDEX(Section_Master!$F$2:$F$477,MATCH($E4516,Section_Master!$A$2:$A$477,0))&amp;"","")</f>
        <v>N/A</v>
      </c>
      <c r="I4516" s="10" t="str">
        <f aca="false">IFERROR(INDEX(Section_Master!$G$2:$G$477,MATCH($E4516,Section_Master!$A$2:$A$477,0))&amp;"","")</f>
        <v>N/A</v>
      </c>
      <c r="J4516" s="10" t="s">
        <v>55</v>
      </c>
      <c r="K4516" s="8" t="s">
        <v>10571</v>
      </c>
    </row>
    <row r="4517" customFormat="false" ht="34.5" hidden="false" customHeight="true" outlineLevel="0" collapsed="false">
      <c r="A4517" s="10" t="s">
        <v>10576</v>
      </c>
      <c r="B4517" s="10" t="s">
        <v>10064</v>
      </c>
      <c r="C4517" s="8" t="s">
        <v>10569</v>
      </c>
      <c r="D4517" s="8" t="s">
        <v>10577</v>
      </c>
      <c r="E4517" s="11" t="n">
        <v>395</v>
      </c>
      <c r="F4517" s="8" t="str">
        <f aca="false">IFERROR(INDEX(Section_Master!$D$2:$D$477,MATCH($E4517,Section_Master!$A$2:$A$477,0))&amp;"","")</f>
        <v>Not applicable - procedural provision (BNSS), no offence defined</v>
      </c>
      <c r="G4517" s="10" t="str">
        <f aca="false">IFERROR(INDEX(Section_Master!$E$2:$E$477,MATCH($E4517,Section_Master!$A$2:$A$477,0))&amp;"","")</f>
        <v>N/A</v>
      </c>
      <c r="H4517" s="10" t="str">
        <f aca="false">IFERROR(INDEX(Section_Master!$F$2:$F$477,MATCH($E4517,Section_Master!$A$2:$A$477,0))&amp;"","")</f>
        <v>N/A</v>
      </c>
      <c r="I4517" s="10" t="str">
        <f aca="false">IFERROR(INDEX(Section_Master!$G$2:$G$477,MATCH($E4517,Section_Master!$A$2:$A$477,0))&amp;"","")</f>
        <v>N/A</v>
      </c>
      <c r="J4517" s="10" t="s">
        <v>58</v>
      </c>
      <c r="K4517" s="8" t="s">
        <v>10571</v>
      </c>
    </row>
    <row r="4518" customFormat="false" ht="45.75" hidden="false" customHeight="true" outlineLevel="0" collapsed="false">
      <c r="A4518" s="10" t="s">
        <v>10578</v>
      </c>
      <c r="B4518" s="10" t="s">
        <v>10064</v>
      </c>
      <c r="C4518" s="8" t="s">
        <v>10569</v>
      </c>
      <c r="D4518" s="8" t="s">
        <v>10579</v>
      </c>
      <c r="E4518" s="11" t="n">
        <v>395</v>
      </c>
      <c r="F4518" s="8" t="str">
        <f aca="false">IFERROR(INDEX(Section_Master!$D$2:$D$477,MATCH($E4518,Section_Master!$A$2:$A$477,0))&amp;"","")</f>
        <v>Not applicable - procedural provision (BNSS), no offence defined</v>
      </c>
      <c r="G4518" s="10" t="str">
        <f aca="false">IFERROR(INDEX(Section_Master!$E$2:$E$477,MATCH($E4518,Section_Master!$A$2:$A$477,0))&amp;"","")</f>
        <v>N/A</v>
      </c>
      <c r="H4518" s="10" t="str">
        <f aca="false">IFERROR(INDEX(Section_Master!$F$2:$F$477,MATCH($E4518,Section_Master!$A$2:$A$477,0))&amp;"","")</f>
        <v>N/A</v>
      </c>
      <c r="I4518" s="10" t="str">
        <f aca="false">IFERROR(INDEX(Section_Master!$G$2:$G$477,MATCH($E4518,Section_Master!$A$2:$A$477,0))&amp;"","")</f>
        <v>N/A</v>
      </c>
      <c r="J4518" s="10" t="s">
        <v>61</v>
      </c>
      <c r="K4518" s="8" t="s">
        <v>10571</v>
      </c>
    </row>
    <row r="4519" customFormat="false" ht="45.75" hidden="false" customHeight="true" outlineLevel="0" collapsed="false">
      <c r="A4519" s="10" t="s">
        <v>10580</v>
      </c>
      <c r="B4519" s="10" t="s">
        <v>10064</v>
      </c>
      <c r="C4519" s="8" t="s">
        <v>10569</v>
      </c>
      <c r="D4519" s="8" t="s">
        <v>10581</v>
      </c>
      <c r="E4519" s="11" t="n">
        <v>395</v>
      </c>
      <c r="F4519" s="8" t="str">
        <f aca="false">IFERROR(INDEX(Section_Master!$D$2:$D$477,MATCH($E4519,Section_Master!$A$2:$A$477,0))&amp;"","")</f>
        <v>Not applicable - procedural provision (BNSS), no offence defined</v>
      </c>
      <c r="G4519" s="10" t="str">
        <f aca="false">IFERROR(INDEX(Section_Master!$E$2:$E$477,MATCH($E4519,Section_Master!$A$2:$A$477,0))&amp;"","")</f>
        <v>N/A</v>
      </c>
      <c r="H4519" s="10" t="str">
        <f aca="false">IFERROR(INDEX(Section_Master!$F$2:$F$477,MATCH($E4519,Section_Master!$A$2:$A$477,0))&amp;"","")</f>
        <v>N/A</v>
      </c>
      <c r="I4519" s="10" t="str">
        <f aca="false">IFERROR(INDEX(Section_Master!$G$2:$G$477,MATCH($E4519,Section_Master!$A$2:$A$477,0))&amp;"","")</f>
        <v>N/A</v>
      </c>
      <c r="J4519" s="10" t="s">
        <v>64</v>
      </c>
      <c r="K4519" s="8" t="s">
        <v>10571</v>
      </c>
    </row>
    <row r="4520" customFormat="false" ht="34.5" hidden="false" customHeight="true" outlineLevel="0" collapsed="false">
      <c r="A4520" s="10" t="s">
        <v>10582</v>
      </c>
      <c r="B4520" s="10" t="s">
        <v>10064</v>
      </c>
      <c r="C4520" s="8" t="s">
        <v>10583</v>
      </c>
      <c r="D4520" s="8" t="s">
        <v>10584</v>
      </c>
      <c r="E4520" s="11" t="n">
        <v>396</v>
      </c>
      <c r="F4520" s="8" t="str">
        <f aca="false">IFERROR(INDEX(Section_Master!$D$2:$D$477,MATCH($E4520,Section_Master!$A$2:$A$477,0))&amp;"","")</f>
        <v>Not applicable - procedural provision (BNSS), no offence defined</v>
      </c>
      <c r="G4520" s="10" t="str">
        <f aca="false">IFERROR(INDEX(Section_Master!$E$2:$E$477,MATCH($E4520,Section_Master!$A$2:$A$477,0))&amp;"","")</f>
        <v>N/A</v>
      </c>
      <c r="H4520" s="10" t="str">
        <f aca="false">IFERROR(INDEX(Section_Master!$F$2:$F$477,MATCH($E4520,Section_Master!$A$2:$A$477,0))&amp;"","")</f>
        <v>N/A</v>
      </c>
      <c r="I4520" s="10" t="str">
        <f aca="false">IFERROR(INDEX(Section_Master!$G$2:$G$477,MATCH($E4520,Section_Master!$A$2:$A$477,0))&amp;"","")</f>
        <v>N/A</v>
      </c>
      <c r="J4520" s="10" t="s">
        <v>48</v>
      </c>
      <c r="K4520" s="8" t="s">
        <v>10585</v>
      </c>
    </row>
    <row r="4521" customFormat="false" ht="45.75" hidden="false" customHeight="true" outlineLevel="0" collapsed="false">
      <c r="A4521" s="10" t="s">
        <v>10586</v>
      </c>
      <c r="B4521" s="10" t="s">
        <v>10064</v>
      </c>
      <c r="C4521" s="8" t="s">
        <v>10583</v>
      </c>
      <c r="D4521" s="8" t="s">
        <v>10587</v>
      </c>
      <c r="E4521" s="11" t="n">
        <v>396</v>
      </c>
      <c r="F4521" s="8" t="str">
        <f aca="false">IFERROR(INDEX(Section_Master!$D$2:$D$477,MATCH($E4521,Section_Master!$A$2:$A$477,0))&amp;"","")</f>
        <v>Not applicable - procedural provision (BNSS), no offence defined</v>
      </c>
      <c r="G4521" s="10" t="str">
        <f aca="false">IFERROR(INDEX(Section_Master!$E$2:$E$477,MATCH($E4521,Section_Master!$A$2:$A$477,0))&amp;"","")</f>
        <v>N/A</v>
      </c>
      <c r="H4521" s="10" t="str">
        <f aca="false">IFERROR(INDEX(Section_Master!$F$2:$F$477,MATCH($E4521,Section_Master!$A$2:$A$477,0))&amp;"","")</f>
        <v>N/A</v>
      </c>
      <c r="I4521" s="10" t="str">
        <f aca="false">IFERROR(INDEX(Section_Master!$G$2:$G$477,MATCH($E4521,Section_Master!$A$2:$A$477,0))&amp;"","")</f>
        <v>N/A</v>
      </c>
      <c r="J4521" s="10" t="s">
        <v>52</v>
      </c>
      <c r="K4521" s="8" t="s">
        <v>10585</v>
      </c>
    </row>
    <row r="4522" customFormat="false" ht="45.75" hidden="false" customHeight="true" outlineLevel="0" collapsed="false">
      <c r="A4522" s="10" t="s">
        <v>10588</v>
      </c>
      <c r="B4522" s="10" t="s">
        <v>10064</v>
      </c>
      <c r="C4522" s="8" t="s">
        <v>10583</v>
      </c>
      <c r="D4522" s="8" t="s">
        <v>10589</v>
      </c>
      <c r="E4522" s="11" t="n">
        <v>396</v>
      </c>
      <c r="F4522" s="8" t="str">
        <f aca="false">IFERROR(INDEX(Section_Master!$D$2:$D$477,MATCH($E4522,Section_Master!$A$2:$A$477,0))&amp;"","")</f>
        <v>Not applicable - procedural provision (BNSS), no offence defined</v>
      </c>
      <c r="G4522" s="10" t="str">
        <f aca="false">IFERROR(INDEX(Section_Master!$E$2:$E$477,MATCH($E4522,Section_Master!$A$2:$A$477,0))&amp;"","")</f>
        <v>N/A</v>
      </c>
      <c r="H4522" s="10" t="str">
        <f aca="false">IFERROR(INDEX(Section_Master!$F$2:$F$477,MATCH($E4522,Section_Master!$A$2:$A$477,0))&amp;"","")</f>
        <v>N/A</v>
      </c>
      <c r="I4522" s="10" t="str">
        <f aca="false">IFERROR(INDEX(Section_Master!$G$2:$G$477,MATCH($E4522,Section_Master!$A$2:$A$477,0))&amp;"","")</f>
        <v>N/A</v>
      </c>
      <c r="J4522" s="10" t="s">
        <v>55</v>
      </c>
      <c r="K4522" s="8" t="s">
        <v>10585</v>
      </c>
    </row>
    <row r="4523" customFormat="false" ht="23.25" hidden="false" customHeight="true" outlineLevel="0" collapsed="false">
      <c r="A4523" s="10" t="s">
        <v>10590</v>
      </c>
      <c r="B4523" s="10" t="s">
        <v>10064</v>
      </c>
      <c r="C4523" s="8" t="s">
        <v>10583</v>
      </c>
      <c r="D4523" s="8" t="s">
        <v>10591</v>
      </c>
      <c r="E4523" s="11" t="n">
        <v>396</v>
      </c>
      <c r="F4523" s="8" t="str">
        <f aca="false">IFERROR(INDEX(Section_Master!$D$2:$D$477,MATCH($E4523,Section_Master!$A$2:$A$477,0))&amp;"","")</f>
        <v>Not applicable - procedural provision (BNSS), no offence defined</v>
      </c>
      <c r="G4523" s="10" t="str">
        <f aca="false">IFERROR(INDEX(Section_Master!$E$2:$E$477,MATCH($E4523,Section_Master!$A$2:$A$477,0))&amp;"","")</f>
        <v>N/A</v>
      </c>
      <c r="H4523" s="10" t="str">
        <f aca="false">IFERROR(INDEX(Section_Master!$F$2:$F$477,MATCH($E4523,Section_Master!$A$2:$A$477,0))&amp;"","")</f>
        <v>N/A</v>
      </c>
      <c r="I4523" s="10" t="str">
        <f aca="false">IFERROR(INDEX(Section_Master!$G$2:$G$477,MATCH($E4523,Section_Master!$A$2:$A$477,0))&amp;"","")</f>
        <v>N/A</v>
      </c>
      <c r="J4523" s="10" t="s">
        <v>58</v>
      </c>
      <c r="K4523" s="8" t="s">
        <v>10585</v>
      </c>
    </row>
    <row r="4524" customFormat="false" ht="34.5" hidden="false" customHeight="true" outlineLevel="0" collapsed="false">
      <c r="A4524" s="10" t="s">
        <v>10592</v>
      </c>
      <c r="B4524" s="10" t="s">
        <v>10064</v>
      </c>
      <c r="C4524" s="8" t="s">
        <v>10583</v>
      </c>
      <c r="D4524" s="8" t="s">
        <v>10593</v>
      </c>
      <c r="E4524" s="11" t="n">
        <v>396</v>
      </c>
      <c r="F4524" s="8" t="str">
        <f aca="false">IFERROR(INDEX(Section_Master!$D$2:$D$477,MATCH($E4524,Section_Master!$A$2:$A$477,0))&amp;"","")</f>
        <v>Not applicable - procedural provision (BNSS), no offence defined</v>
      </c>
      <c r="G4524" s="10" t="str">
        <f aca="false">IFERROR(INDEX(Section_Master!$E$2:$E$477,MATCH($E4524,Section_Master!$A$2:$A$477,0))&amp;"","")</f>
        <v>N/A</v>
      </c>
      <c r="H4524" s="10" t="str">
        <f aca="false">IFERROR(INDEX(Section_Master!$F$2:$F$477,MATCH($E4524,Section_Master!$A$2:$A$477,0))&amp;"","")</f>
        <v>N/A</v>
      </c>
      <c r="I4524" s="10" t="str">
        <f aca="false">IFERROR(INDEX(Section_Master!$G$2:$G$477,MATCH($E4524,Section_Master!$A$2:$A$477,0))&amp;"","")</f>
        <v>N/A</v>
      </c>
      <c r="J4524" s="10" t="s">
        <v>61</v>
      </c>
      <c r="K4524" s="8" t="s">
        <v>10585</v>
      </c>
    </row>
    <row r="4525" customFormat="false" ht="45.75" hidden="false" customHeight="true" outlineLevel="0" collapsed="false">
      <c r="A4525" s="10" t="s">
        <v>10594</v>
      </c>
      <c r="B4525" s="10" t="s">
        <v>10064</v>
      </c>
      <c r="C4525" s="8" t="s">
        <v>10583</v>
      </c>
      <c r="D4525" s="8" t="s">
        <v>10595</v>
      </c>
      <c r="E4525" s="11" t="n">
        <v>396</v>
      </c>
      <c r="F4525" s="8" t="str">
        <f aca="false">IFERROR(INDEX(Section_Master!$D$2:$D$477,MATCH($E4525,Section_Master!$A$2:$A$477,0))&amp;"","")</f>
        <v>Not applicable - procedural provision (BNSS), no offence defined</v>
      </c>
      <c r="G4525" s="10" t="str">
        <f aca="false">IFERROR(INDEX(Section_Master!$E$2:$E$477,MATCH($E4525,Section_Master!$A$2:$A$477,0))&amp;"","")</f>
        <v>N/A</v>
      </c>
      <c r="H4525" s="10" t="str">
        <f aca="false">IFERROR(INDEX(Section_Master!$F$2:$F$477,MATCH($E4525,Section_Master!$A$2:$A$477,0))&amp;"","")</f>
        <v>N/A</v>
      </c>
      <c r="I4525" s="10" t="str">
        <f aca="false">IFERROR(INDEX(Section_Master!$G$2:$G$477,MATCH($E4525,Section_Master!$A$2:$A$477,0))&amp;"","")</f>
        <v>N/A</v>
      </c>
      <c r="J4525" s="10" t="s">
        <v>64</v>
      </c>
      <c r="K4525" s="8" t="s">
        <v>10585</v>
      </c>
    </row>
    <row r="4526" customFormat="false" ht="34.5" hidden="false" customHeight="true" outlineLevel="0" collapsed="false">
      <c r="A4526" s="10" t="s">
        <v>10596</v>
      </c>
      <c r="B4526" s="10" t="s">
        <v>10064</v>
      </c>
      <c r="C4526" s="8" t="s">
        <v>10597</v>
      </c>
      <c r="D4526" s="8" t="s">
        <v>10598</v>
      </c>
      <c r="E4526" s="11" t="n">
        <v>397</v>
      </c>
      <c r="F4526" s="8" t="str">
        <f aca="false">IFERROR(INDEX(Section_Master!$D$2:$D$477,MATCH($E4526,Section_Master!$A$2:$A$477,0))&amp;"","")</f>
        <v>Not applicable - procedural provision (BNSS), no offence defined</v>
      </c>
      <c r="G4526" s="10" t="str">
        <f aca="false">IFERROR(INDEX(Section_Master!$E$2:$E$477,MATCH($E4526,Section_Master!$A$2:$A$477,0))&amp;"","")</f>
        <v>N/A</v>
      </c>
      <c r="H4526" s="10" t="str">
        <f aca="false">IFERROR(INDEX(Section_Master!$F$2:$F$477,MATCH($E4526,Section_Master!$A$2:$A$477,0))&amp;"","")</f>
        <v>N/A</v>
      </c>
      <c r="I4526" s="10" t="str">
        <f aca="false">IFERROR(INDEX(Section_Master!$G$2:$G$477,MATCH($E4526,Section_Master!$A$2:$A$477,0))&amp;"","")</f>
        <v>N/A</v>
      </c>
      <c r="J4526" s="10" t="s">
        <v>48</v>
      </c>
      <c r="K4526" s="8" t="s">
        <v>10599</v>
      </c>
    </row>
    <row r="4527" customFormat="false" ht="45.75" hidden="false" customHeight="true" outlineLevel="0" collapsed="false">
      <c r="A4527" s="10" t="s">
        <v>10600</v>
      </c>
      <c r="B4527" s="10" t="s">
        <v>10064</v>
      </c>
      <c r="C4527" s="8" t="s">
        <v>10597</v>
      </c>
      <c r="D4527" s="8" t="s">
        <v>10601</v>
      </c>
      <c r="E4527" s="11" t="n">
        <v>397</v>
      </c>
      <c r="F4527" s="8" t="str">
        <f aca="false">IFERROR(INDEX(Section_Master!$D$2:$D$477,MATCH($E4527,Section_Master!$A$2:$A$477,0))&amp;"","")</f>
        <v>Not applicable - procedural provision (BNSS), no offence defined</v>
      </c>
      <c r="G4527" s="10" t="str">
        <f aca="false">IFERROR(INDEX(Section_Master!$E$2:$E$477,MATCH($E4527,Section_Master!$A$2:$A$477,0))&amp;"","")</f>
        <v>N/A</v>
      </c>
      <c r="H4527" s="10" t="str">
        <f aca="false">IFERROR(INDEX(Section_Master!$F$2:$F$477,MATCH($E4527,Section_Master!$A$2:$A$477,0))&amp;"","")</f>
        <v>N/A</v>
      </c>
      <c r="I4527" s="10" t="str">
        <f aca="false">IFERROR(INDEX(Section_Master!$G$2:$G$477,MATCH($E4527,Section_Master!$A$2:$A$477,0))&amp;"","")</f>
        <v>N/A</v>
      </c>
      <c r="J4527" s="10" t="s">
        <v>52</v>
      </c>
      <c r="K4527" s="8" t="s">
        <v>10599</v>
      </c>
    </row>
    <row r="4528" customFormat="false" ht="45.75" hidden="false" customHeight="true" outlineLevel="0" collapsed="false">
      <c r="A4528" s="10" t="s">
        <v>10602</v>
      </c>
      <c r="B4528" s="10" t="s">
        <v>10064</v>
      </c>
      <c r="C4528" s="8" t="s">
        <v>10597</v>
      </c>
      <c r="D4528" s="8" t="s">
        <v>10603</v>
      </c>
      <c r="E4528" s="11" t="n">
        <v>397</v>
      </c>
      <c r="F4528" s="8" t="str">
        <f aca="false">IFERROR(INDEX(Section_Master!$D$2:$D$477,MATCH($E4528,Section_Master!$A$2:$A$477,0))&amp;"","")</f>
        <v>Not applicable - procedural provision (BNSS), no offence defined</v>
      </c>
      <c r="G4528" s="10" t="str">
        <f aca="false">IFERROR(INDEX(Section_Master!$E$2:$E$477,MATCH($E4528,Section_Master!$A$2:$A$477,0))&amp;"","")</f>
        <v>N/A</v>
      </c>
      <c r="H4528" s="10" t="str">
        <f aca="false">IFERROR(INDEX(Section_Master!$F$2:$F$477,MATCH($E4528,Section_Master!$A$2:$A$477,0))&amp;"","")</f>
        <v>N/A</v>
      </c>
      <c r="I4528" s="10" t="str">
        <f aca="false">IFERROR(INDEX(Section_Master!$G$2:$G$477,MATCH($E4528,Section_Master!$A$2:$A$477,0))&amp;"","")</f>
        <v>N/A</v>
      </c>
      <c r="J4528" s="10" t="s">
        <v>55</v>
      </c>
      <c r="K4528" s="8" t="s">
        <v>10599</v>
      </c>
    </row>
    <row r="4529" customFormat="false" ht="23.25" hidden="false" customHeight="true" outlineLevel="0" collapsed="false">
      <c r="A4529" s="10" t="s">
        <v>10604</v>
      </c>
      <c r="B4529" s="10" t="s">
        <v>10064</v>
      </c>
      <c r="C4529" s="8" t="s">
        <v>10597</v>
      </c>
      <c r="D4529" s="8" t="s">
        <v>10605</v>
      </c>
      <c r="E4529" s="11" t="n">
        <v>397</v>
      </c>
      <c r="F4529" s="8" t="str">
        <f aca="false">IFERROR(INDEX(Section_Master!$D$2:$D$477,MATCH($E4529,Section_Master!$A$2:$A$477,0))&amp;"","")</f>
        <v>Not applicable - procedural provision (BNSS), no offence defined</v>
      </c>
      <c r="G4529" s="10" t="str">
        <f aca="false">IFERROR(INDEX(Section_Master!$E$2:$E$477,MATCH($E4529,Section_Master!$A$2:$A$477,0))&amp;"","")</f>
        <v>N/A</v>
      </c>
      <c r="H4529" s="10" t="str">
        <f aca="false">IFERROR(INDEX(Section_Master!$F$2:$F$477,MATCH($E4529,Section_Master!$A$2:$A$477,0))&amp;"","")</f>
        <v>N/A</v>
      </c>
      <c r="I4529" s="10" t="str">
        <f aca="false">IFERROR(INDEX(Section_Master!$G$2:$G$477,MATCH($E4529,Section_Master!$A$2:$A$477,0))&amp;"","")</f>
        <v>N/A</v>
      </c>
      <c r="J4529" s="10" t="s">
        <v>58</v>
      </c>
      <c r="K4529" s="8" t="s">
        <v>10599</v>
      </c>
    </row>
    <row r="4530" customFormat="false" ht="23.25" hidden="false" customHeight="true" outlineLevel="0" collapsed="false">
      <c r="A4530" s="10" t="s">
        <v>10606</v>
      </c>
      <c r="B4530" s="10" t="s">
        <v>10064</v>
      </c>
      <c r="C4530" s="8" t="s">
        <v>10597</v>
      </c>
      <c r="D4530" s="8" t="s">
        <v>10607</v>
      </c>
      <c r="E4530" s="11" t="n">
        <v>397</v>
      </c>
      <c r="F4530" s="8" t="str">
        <f aca="false">IFERROR(INDEX(Section_Master!$D$2:$D$477,MATCH($E4530,Section_Master!$A$2:$A$477,0))&amp;"","")</f>
        <v>Not applicable - procedural provision (BNSS), no offence defined</v>
      </c>
      <c r="G4530" s="10" t="str">
        <f aca="false">IFERROR(INDEX(Section_Master!$E$2:$E$477,MATCH($E4530,Section_Master!$A$2:$A$477,0))&amp;"","")</f>
        <v>N/A</v>
      </c>
      <c r="H4530" s="10" t="str">
        <f aca="false">IFERROR(INDEX(Section_Master!$F$2:$F$477,MATCH($E4530,Section_Master!$A$2:$A$477,0))&amp;"","")</f>
        <v>N/A</v>
      </c>
      <c r="I4530" s="10" t="str">
        <f aca="false">IFERROR(INDEX(Section_Master!$G$2:$G$477,MATCH($E4530,Section_Master!$A$2:$A$477,0))&amp;"","")</f>
        <v>N/A</v>
      </c>
      <c r="J4530" s="10" t="s">
        <v>61</v>
      </c>
      <c r="K4530" s="8" t="s">
        <v>10599</v>
      </c>
    </row>
    <row r="4531" customFormat="false" ht="45.75" hidden="false" customHeight="true" outlineLevel="0" collapsed="false">
      <c r="A4531" s="10" t="s">
        <v>10608</v>
      </c>
      <c r="B4531" s="10" t="s">
        <v>10064</v>
      </c>
      <c r="C4531" s="8" t="s">
        <v>10597</v>
      </c>
      <c r="D4531" s="8" t="s">
        <v>10609</v>
      </c>
      <c r="E4531" s="11" t="n">
        <v>397</v>
      </c>
      <c r="F4531" s="8" t="str">
        <f aca="false">IFERROR(INDEX(Section_Master!$D$2:$D$477,MATCH($E4531,Section_Master!$A$2:$A$477,0))&amp;"","")</f>
        <v>Not applicable - procedural provision (BNSS), no offence defined</v>
      </c>
      <c r="G4531" s="10" t="str">
        <f aca="false">IFERROR(INDEX(Section_Master!$E$2:$E$477,MATCH($E4531,Section_Master!$A$2:$A$477,0))&amp;"","")</f>
        <v>N/A</v>
      </c>
      <c r="H4531" s="10" t="str">
        <f aca="false">IFERROR(INDEX(Section_Master!$F$2:$F$477,MATCH($E4531,Section_Master!$A$2:$A$477,0))&amp;"","")</f>
        <v>N/A</v>
      </c>
      <c r="I4531" s="10" t="str">
        <f aca="false">IFERROR(INDEX(Section_Master!$G$2:$G$477,MATCH($E4531,Section_Master!$A$2:$A$477,0))&amp;"","")</f>
        <v>N/A</v>
      </c>
      <c r="J4531" s="10" t="s">
        <v>64</v>
      </c>
      <c r="K4531" s="8" t="s">
        <v>10599</v>
      </c>
    </row>
    <row r="4532" customFormat="false" ht="34.5" hidden="false" customHeight="true" outlineLevel="0" collapsed="false">
      <c r="A4532" s="10" t="s">
        <v>10610</v>
      </c>
      <c r="B4532" s="10" t="s">
        <v>10064</v>
      </c>
      <c r="C4532" s="8" t="s">
        <v>10611</v>
      </c>
      <c r="D4532" s="8" t="s">
        <v>10612</v>
      </c>
      <c r="E4532" s="11" t="n">
        <v>398</v>
      </c>
      <c r="F4532" s="8" t="str">
        <f aca="false">IFERROR(INDEX(Section_Master!$D$2:$D$477,MATCH($E4532,Section_Master!$A$2:$A$477,0))&amp;"","")</f>
        <v>Not applicable - procedural provision (BNSS), no offence defined</v>
      </c>
      <c r="G4532" s="10" t="str">
        <f aca="false">IFERROR(INDEX(Section_Master!$E$2:$E$477,MATCH($E4532,Section_Master!$A$2:$A$477,0))&amp;"","")</f>
        <v>N/A</v>
      </c>
      <c r="H4532" s="10" t="str">
        <f aca="false">IFERROR(INDEX(Section_Master!$F$2:$F$477,MATCH($E4532,Section_Master!$A$2:$A$477,0))&amp;"","")</f>
        <v>N/A</v>
      </c>
      <c r="I4532" s="10" t="str">
        <f aca="false">IFERROR(INDEX(Section_Master!$G$2:$G$477,MATCH($E4532,Section_Master!$A$2:$A$477,0))&amp;"","")</f>
        <v>N/A</v>
      </c>
      <c r="J4532" s="10" t="s">
        <v>48</v>
      </c>
      <c r="K4532" s="8" t="s">
        <v>10613</v>
      </c>
    </row>
    <row r="4533" customFormat="false" ht="34.5" hidden="false" customHeight="true" outlineLevel="0" collapsed="false">
      <c r="A4533" s="10" t="s">
        <v>10614</v>
      </c>
      <c r="B4533" s="10" t="s">
        <v>10064</v>
      </c>
      <c r="C4533" s="8" t="s">
        <v>10611</v>
      </c>
      <c r="D4533" s="8" t="s">
        <v>10615</v>
      </c>
      <c r="E4533" s="11" t="n">
        <v>398</v>
      </c>
      <c r="F4533" s="8" t="str">
        <f aca="false">IFERROR(INDEX(Section_Master!$D$2:$D$477,MATCH($E4533,Section_Master!$A$2:$A$477,0))&amp;"","")</f>
        <v>Not applicable - procedural provision (BNSS), no offence defined</v>
      </c>
      <c r="G4533" s="10" t="str">
        <f aca="false">IFERROR(INDEX(Section_Master!$E$2:$E$477,MATCH($E4533,Section_Master!$A$2:$A$477,0))&amp;"","")</f>
        <v>N/A</v>
      </c>
      <c r="H4533" s="10" t="str">
        <f aca="false">IFERROR(INDEX(Section_Master!$F$2:$F$477,MATCH($E4533,Section_Master!$A$2:$A$477,0))&amp;"","")</f>
        <v>N/A</v>
      </c>
      <c r="I4533" s="10" t="str">
        <f aca="false">IFERROR(INDEX(Section_Master!$G$2:$G$477,MATCH($E4533,Section_Master!$A$2:$A$477,0))&amp;"","")</f>
        <v>N/A</v>
      </c>
      <c r="J4533" s="10" t="s">
        <v>52</v>
      </c>
      <c r="K4533" s="8" t="s">
        <v>10613</v>
      </c>
    </row>
    <row r="4534" customFormat="false" ht="34.5" hidden="false" customHeight="true" outlineLevel="0" collapsed="false">
      <c r="A4534" s="10" t="s">
        <v>10616</v>
      </c>
      <c r="B4534" s="10" t="s">
        <v>10064</v>
      </c>
      <c r="C4534" s="8" t="s">
        <v>10611</v>
      </c>
      <c r="D4534" s="8" t="s">
        <v>10617</v>
      </c>
      <c r="E4534" s="11" t="n">
        <v>398</v>
      </c>
      <c r="F4534" s="8" t="str">
        <f aca="false">IFERROR(INDEX(Section_Master!$D$2:$D$477,MATCH($E4534,Section_Master!$A$2:$A$477,0))&amp;"","")</f>
        <v>Not applicable - procedural provision (BNSS), no offence defined</v>
      </c>
      <c r="G4534" s="10" t="str">
        <f aca="false">IFERROR(INDEX(Section_Master!$E$2:$E$477,MATCH($E4534,Section_Master!$A$2:$A$477,0))&amp;"","")</f>
        <v>N/A</v>
      </c>
      <c r="H4534" s="10" t="str">
        <f aca="false">IFERROR(INDEX(Section_Master!$F$2:$F$477,MATCH($E4534,Section_Master!$A$2:$A$477,0))&amp;"","")</f>
        <v>N/A</v>
      </c>
      <c r="I4534" s="10" t="str">
        <f aca="false">IFERROR(INDEX(Section_Master!$G$2:$G$477,MATCH($E4534,Section_Master!$A$2:$A$477,0))&amp;"","")</f>
        <v>N/A</v>
      </c>
      <c r="J4534" s="10" t="s">
        <v>55</v>
      </c>
      <c r="K4534" s="8" t="s">
        <v>10613</v>
      </c>
    </row>
    <row r="4535" customFormat="false" ht="23.25" hidden="false" customHeight="true" outlineLevel="0" collapsed="false">
      <c r="A4535" s="10" t="s">
        <v>10618</v>
      </c>
      <c r="B4535" s="10" t="s">
        <v>10064</v>
      </c>
      <c r="C4535" s="8" t="s">
        <v>10611</v>
      </c>
      <c r="D4535" s="8" t="s">
        <v>10619</v>
      </c>
      <c r="E4535" s="11" t="n">
        <v>398</v>
      </c>
      <c r="F4535" s="8" t="str">
        <f aca="false">IFERROR(INDEX(Section_Master!$D$2:$D$477,MATCH($E4535,Section_Master!$A$2:$A$477,0))&amp;"","")</f>
        <v>Not applicable - procedural provision (BNSS), no offence defined</v>
      </c>
      <c r="G4535" s="10" t="str">
        <f aca="false">IFERROR(INDEX(Section_Master!$E$2:$E$477,MATCH($E4535,Section_Master!$A$2:$A$477,0))&amp;"","")</f>
        <v>N/A</v>
      </c>
      <c r="H4535" s="10" t="str">
        <f aca="false">IFERROR(INDEX(Section_Master!$F$2:$F$477,MATCH($E4535,Section_Master!$A$2:$A$477,0))&amp;"","")</f>
        <v>N/A</v>
      </c>
      <c r="I4535" s="10" t="str">
        <f aca="false">IFERROR(INDEX(Section_Master!$G$2:$G$477,MATCH($E4535,Section_Master!$A$2:$A$477,0))&amp;"","")</f>
        <v>N/A</v>
      </c>
      <c r="J4535" s="10" t="s">
        <v>58</v>
      </c>
      <c r="K4535" s="8" t="s">
        <v>10613</v>
      </c>
    </row>
    <row r="4536" customFormat="false" ht="34.5" hidden="false" customHeight="true" outlineLevel="0" collapsed="false">
      <c r="A4536" s="10" t="s">
        <v>10620</v>
      </c>
      <c r="B4536" s="10" t="s">
        <v>10064</v>
      </c>
      <c r="C4536" s="8" t="s">
        <v>10611</v>
      </c>
      <c r="D4536" s="8" t="s">
        <v>10621</v>
      </c>
      <c r="E4536" s="11" t="n">
        <v>398</v>
      </c>
      <c r="F4536" s="8" t="str">
        <f aca="false">IFERROR(INDEX(Section_Master!$D$2:$D$477,MATCH($E4536,Section_Master!$A$2:$A$477,0))&amp;"","")</f>
        <v>Not applicable - procedural provision (BNSS), no offence defined</v>
      </c>
      <c r="G4536" s="10" t="str">
        <f aca="false">IFERROR(INDEX(Section_Master!$E$2:$E$477,MATCH($E4536,Section_Master!$A$2:$A$477,0))&amp;"","")</f>
        <v>N/A</v>
      </c>
      <c r="H4536" s="10" t="str">
        <f aca="false">IFERROR(INDEX(Section_Master!$F$2:$F$477,MATCH($E4536,Section_Master!$A$2:$A$477,0))&amp;"","")</f>
        <v>N/A</v>
      </c>
      <c r="I4536" s="10" t="str">
        <f aca="false">IFERROR(INDEX(Section_Master!$G$2:$G$477,MATCH($E4536,Section_Master!$A$2:$A$477,0))&amp;"","")</f>
        <v>N/A</v>
      </c>
      <c r="J4536" s="10" t="s">
        <v>61</v>
      </c>
      <c r="K4536" s="8" t="s">
        <v>10613</v>
      </c>
    </row>
    <row r="4537" customFormat="false" ht="45.75" hidden="false" customHeight="true" outlineLevel="0" collapsed="false">
      <c r="A4537" s="10" t="s">
        <v>10622</v>
      </c>
      <c r="B4537" s="10" t="s">
        <v>10064</v>
      </c>
      <c r="C4537" s="8" t="s">
        <v>10611</v>
      </c>
      <c r="D4537" s="8" t="s">
        <v>10623</v>
      </c>
      <c r="E4537" s="11" t="n">
        <v>398</v>
      </c>
      <c r="F4537" s="8" t="str">
        <f aca="false">IFERROR(INDEX(Section_Master!$D$2:$D$477,MATCH($E4537,Section_Master!$A$2:$A$477,0))&amp;"","")</f>
        <v>Not applicable - procedural provision (BNSS), no offence defined</v>
      </c>
      <c r="G4537" s="10" t="str">
        <f aca="false">IFERROR(INDEX(Section_Master!$E$2:$E$477,MATCH($E4537,Section_Master!$A$2:$A$477,0))&amp;"","")</f>
        <v>N/A</v>
      </c>
      <c r="H4537" s="10" t="str">
        <f aca="false">IFERROR(INDEX(Section_Master!$F$2:$F$477,MATCH($E4537,Section_Master!$A$2:$A$477,0))&amp;"","")</f>
        <v>N/A</v>
      </c>
      <c r="I4537" s="10" t="str">
        <f aca="false">IFERROR(INDEX(Section_Master!$G$2:$G$477,MATCH($E4537,Section_Master!$A$2:$A$477,0))&amp;"","")</f>
        <v>N/A</v>
      </c>
      <c r="J4537" s="10" t="s">
        <v>64</v>
      </c>
      <c r="K4537" s="8" t="s">
        <v>10613</v>
      </c>
    </row>
    <row r="4538" customFormat="false" ht="34.5" hidden="false" customHeight="true" outlineLevel="0" collapsed="false">
      <c r="A4538" s="10" t="s">
        <v>10624</v>
      </c>
      <c r="B4538" s="10" t="s">
        <v>10064</v>
      </c>
      <c r="C4538" s="8" t="s">
        <v>10625</v>
      </c>
      <c r="D4538" s="8" t="s">
        <v>10626</v>
      </c>
      <c r="E4538" s="11" t="n">
        <v>399</v>
      </c>
      <c r="F4538" s="8" t="str">
        <f aca="false">IFERROR(INDEX(Section_Master!$D$2:$D$477,MATCH($E4538,Section_Master!$A$2:$A$477,0))&amp;"","")</f>
        <v>Not applicable - procedural provision (BNSS), no offence defined</v>
      </c>
      <c r="G4538" s="10" t="str">
        <f aca="false">IFERROR(INDEX(Section_Master!$E$2:$E$477,MATCH($E4538,Section_Master!$A$2:$A$477,0))&amp;"","")</f>
        <v>N/A</v>
      </c>
      <c r="H4538" s="10" t="str">
        <f aca="false">IFERROR(INDEX(Section_Master!$F$2:$F$477,MATCH($E4538,Section_Master!$A$2:$A$477,0))&amp;"","")</f>
        <v>N/A</v>
      </c>
      <c r="I4538" s="10" t="str">
        <f aca="false">IFERROR(INDEX(Section_Master!$G$2:$G$477,MATCH($E4538,Section_Master!$A$2:$A$477,0))&amp;"","")</f>
        <v>N/A</v>
      </c>
      <c r="J4538" s="10" t="s">
        <v>48</v>
      </c>
      <c r="K4538" s="8" t="s">
        <v>10627</v>
      </c>
    </row>
    <row r="4539" customFormat="false" ht="45.75" hidden="false" customHeight="true" outlineLevel="0" collapsed="false">
      <c r="A4539" s="10" t="s">
        <v>10628</v>
      </c>
      <c r="B4539" s="10" t="s">
        <v>10064</v>
      </c>
      <c r="C4539" s="8" t="s">
        <v>10625</v>
      </c>
      <c r="D4539" s="8" t="s">
        <v>10629</v>
      </c>
      <c r="E4539" s="11" t="n">
        <v>399</v>
      </c>
      <c r="F4539" s="8" t="str">
        <f aca="false">IFERROR(INDEX(Section_Master!$D$2:$D$477,MATCH($E4539,Section_Master!$A$2:$A$477,0))&amp;"","")</f>
        <v>Not applicable - procedural provision (BNSS), no offence defined</v>
      </c>
      <c r="G4539" s="10" t="str">
        <f aca="false">IFERROR(INDEX(Section_Master!$E$2:$E$477,MATCH($E4539,Section_Master!$A$2:$A$477,0))&amp;"","")</f>
        <v>N/A</v>
      </c>
      <c r="H4539" s="10" t="str">
        <f aca="false">IFERROR(INDEX(Section_Master!$F$2:$F$477,MATCH($E4539,Section_Master!$A$2:$A$477,0))&amp;"","")</f>
        <v>N/A</v>
      </c>
      <c r="I4539" s="10" t="str">
        <f aca="false">IFERROR(INDEX(Section_Master!$G$2:$G$477,MATCH($E4539,Section_Master!$A$2:$A$477,0))&amp;"","")</f>
        <v>N/A</v>
      </c>
      <c r="J4539" s="10" t="s">
        <v>52</v>
      </c>
      <c r="K4539" s="8" t="s">
        <v>10627</v>
      </c>
    </row>
    <row r="4540" customFormat="false" ht="34.5" hidden="false" customHeight="true" outlineLevel="0" collapsed="false">
      <c r="A4540" s="10" t="s">
        <v>10630</v>
      </c>
      <c r="B4540" s="10" t="s">
        <v>10064</v>
      </c>
      <c r="C4540" s="8" t="s">
        <v>10625</v>
      </c>
      <c r="D4540" s="8" t="s">
        <v>10631</v>
      </c>
      <c r="E4540" s="11" t="n">
        <v>399</v>
      </c>
      <c r="F4540" s="8" t="str">
        <f aca="false">IFERROR(INDEX(Section_Master!$D$2:$D$477,MATCH($E4540,Section_Master!$A$2:$A$477,0))&amp;"","")</f>
        <v>Not applicable - procedural provision (BNSS), no offence defined</v>
      </c>
      <c r="G4540" s="10" t="str">
        <f aca="false">IFERROR(INDEX(Section_Master!$E$2:$E$477,MATCH($E4540,Section_Master!$A$2:$A$477,0))&amp;"","")</f>
        <v>N/A</v>
      </c>
      <c r="H4540" s="10" t="str">
        <f aca="false">IFERROR(INDEX(Section_Master!$F$2:$F$477,MATCH($E4540,Section_Master!$A$2:$A$477,0))&amp;"","")</f>
        <v>N/A</v>
      </c>
      <c r="I4540" s="10" t="str">
        <f aca="false">IFERROR(INDEX(Section_Master!$G$2:$G$477,MATCH($E4540,Section_Master!$A$2:$A$477,0))&amp;"","")</f>
        <v>N/A</v>
      </c>
      <c r="J4540" s="10" t="s">
        <v>55</v>
      </c>
      <c r="K4540" s="8" t="s">
        <v>10627</v>
      </c>
    </row>
    <row r="4541" customFormat="false" ht="23.25" hidden="false" customHeight="true" outlineLevel="0" collapsed="false">
      <c r="A4541" s="10" t="s">
        <v>10632</v>
      </c>
      <c r="B4541" s="10" t="s">
        <v>10064</v>
      </c>
      <c r="C4541" s="8" t="s">
        <v>10625</v>
      </c>
      <c r="D4541" s="8" t="s">
        <v>10633</v>
      </c>
      <c r="E4541" s="11" t="n">
        <v>399</v>
      </c>
      <c r="F4541" s="8" t="str">
        <f aca="false">IFERROR(INDEX(Section_Master!$D$2:$D$477,MATCH($E4541,Section_Master!$A$2:$A$477,0))&amp;"","")</f>
        <v>Not applicable - procedural provision (BNSS), no offence defined</v>
      </c>
      <c r="G4541" s="10" t="str">
        <f aca="false">IFERROR(INDEX(Section_Master!$E$2:$E$477,MATCH($E4541,Section_Master!$A$2:$A$477,0))&amp;"","")</f>
        <v>N/A</v>
      </c>
      <c r="H4541" s="10" t="str">
        <f aca="false">IFERROR(INDEX(Section_Master!$F$2:$F$477,MATCH($E4541,Section_Master!$A$2:$A$477,0))&amp;"","")</f>
        <v>N/A</v>
      </c>
      <c r="I4541" s="10" t="str">
        <f aca="false">IFERROR(INDEX(Section_Master!$G$2:$G$477,MATCH($E4541,Section_Master!$A$2:$A$477,0))&amp;"","")</f>
        <v>N/A</v>
      </c>
      <c r="J4541" s="10" t="s">
        <v>58</v>
      </c>
      <c r="K4541" s="8" t="s">
        <v>10627</v>
      </c>
    </row>
    <row r="4542" customFormat="false" ht="34.5" hidden="false" customHeight="true" outlineLevel="0" collapsed="false">
      <c r="A4542" s="10" t="s">
        <v>10634</v>
      </c>
      <c r="B4542" s="10" t="s">
        <v>10064</v>
      </c>
      <c r="C4542" s="8" t="s">
        <v>10625</v>
      </c>
      <c r="D4542" s="8" t="s">
        <v>10635</v>
      </c>
      <c r="E4542" s="11" t="n">
        <v>399</v>
      </c>
      <c r="F4542" s="8" t="str">
        <f aca="false">IFERROR(INDEX(Section_Master!$D$2:$D$477,MATCH($E4542,Section_Master!$A$2:$A$477,0))&amp;"","")</f>
        <v>Not applicable - procedural provision (BNSS), no offence defined</v>
      </c>
      <c r="G4542" s="10" t="str">
        <f aca="false">IFERROR(INDEX(Section_Master!$E$2:$E$477,MATCH($E4542,Section_Master!$A$2:$A$477,0))&amp;"","")</f>
        <v>N/A</v>
      </c>
      <c r="H4542" s="10" t="str">
        <f aca="false">IFERROR(INDEX(Section_Master!$F$2:$F$477,MATCH($E4542,Section_Master!$A$2:$A$477,0))&amp;"","")</f>
        <v>N/A</v>
      </c>
      <c r="I4542" s="10" t="str">
        <f aca="false">IFERROR(INDEX(Section_Master!$G$2:$G$477,MATCH($E4542,Section_Master!$A$2:$A$477,0))&amp;"","")</f>
        <v>N/A</v>
      </c>
      <c r="J4542" s="10" t="s">
        <v>61</v>
      </c>
      <c r="K4542" s="8" t="s">
        <v>10627</v>
      </c>
    </row>
    <row r="4543" customFormat="false" ht="34.5" hidden="false" customHeight="true" outlineLevel="0" collapsed="false">
      <c r="A4543" s="10" t="s">
        <v>10636</v>
      </c>
      <c r="B4543" s="10" t="s">
        <v>10064</v>
      </c>
      <c r="C4543" s="8" t="s">
        <v>10625</v>
      </c>
      <c r="D4543" s="8" t="s">
        <v>10637</v>
      </c>
      <c r="E4543" s="11" t="n">
        <v>399</v>
      </c>
      <c r="F4543" s="8" t="str">
        <f aca="false">IFERROR(INDEX(Section_Master!$D$2:$D$477,MATCH($E4543,Section_Master!$A$2:$A$477,0))&amp;"","")</f>
        <v>Not applicable - procedural provision (BNSS), no offence defined</v>
      </c>
      <c r="G4543" s="10" t="str">
        <f aca="false">IFERROR(INDEX(Section_Master!$E$2:$E$477,MATCH($E4543,Section_Master!$A$2:$A$477,0))&amp;"","")</f>
        <v>N/A</v>
      </c>
      <c r="H4543" s="10" t="str">
        <f aca="false">IFERROR(INDEX(Section_Master!$F$2:$F$477,MATCH($E4543,Section_Master!$A$2:$A$477,0))&amp;"","")</f>
        <v>N/A</v>
      </c>
      <c r="I4543" s="10" t="str">
        <f aca="false">IFERROR(INDEX(Section_Master!$G$2:$G$477,MATCH($E4543,Section_Master!$A$2:$A$477,0))&amp;"","")</f>
        <v>N/A</v>
      </c>
      <c r="J4543" s="10" t="s">
        <v>64</v>
      </c>
      <c r="K4543" s="8" t="s">
        <v>10627</v>
      </c>
    </row>
    <row r="4544" customFormat="false" ht="34.5" hidden="false" customHeight="true" outlineLevel="0" collapsed="false">
      <c r="A4544" s="10" t="s">
        <v>10638</v>
      </c>
      <c r="B4544" s="10" t="s">
        <v>10064</v>
      </c>
      <c r="C4544" s="8" t="s">
        <v>10639</v>
      </c>
      <c r="D4544" s="8" t="s">
        <v>10640</v>
      </c>
      <c r="E4544" s="11" t="n">
        <v>400</v>
      </c>
      <c r="F4544" s="8" t="str">
        <f aca="false">IFERROR(INDEX(Section_Master!$D$2:$D$477,MATCH($E4544,Section_Master!$A$2:$A$477,0))&amp;"","")</f>
        <v>Not applicable - procedural provision (BNSS), no offence defined</v>
      </c>
      <c r="G4544" s="10" t="str">
        <f aca="false">IFERROR(INDEX(Section_Master!$E$2:$E$477,MATCH($E4544,Section_Master!$A$2:$A$477,0))&amp;"","")</f>
        <v>N/A</v>
      </c>
      <c r="H4544" s="10" t="str">
        <f aca="false">IFERROR(INDEX(Section_Master!$F$2:$F$477,MATCH($E4544,Section_Master!$A$2:$A$477,0))&amp;"","")</f>
        <v>N/A</v>
      </c>
      <c r="I4544" s="10" t="str">
        <f aca="false">IFERROR(INDEX(Section_Master!$G$2:$G$477,MATCH($E4544,Section_Master!$A$2:$A$477,0))&amp;"","")</f>
        <v>N/A</v>
      </c>
      <c r="J4544" s="10" t="s">
        <v>48</v>
      </c>
      <c r="K4544" s="8" t="s">
        <v>10641</v>
      </c>
    </row>
    <row r="4545" customFormat="false" ht="45.75" hidden="false" customHeight="true" outlineLevel="0" collapsed="false">
      <c r="A4545" s="10" t="s">
        <v>10642</v>
      </c>
      <c r="B4545" s="10" t="s">
        <v>10064</v>
      </c>
      <c r="C4545" s="8" t="s">
        <v>10639</v>
      </c>
      <c r="D4545" s="8" t="s">
        <v>10643</v>
      </c>
      <c r="E4545" s="11" t="n">
        <v>400</v>
      </c>
      <c r="F4545" s="8" t="str">
        <f aca="false">IFERROR(INDEX(Section_Master!$D$2:$D$477,MATCH($E4545,Section_Master!$A$2:$A$477,0))&amp;"","")</f>
        <v>Not applicable - procedural provision (BNSS), no offence defined</v>
      </c>
      <c r="G4545" s="10" t="str">
        <f aca="false">IFERROR(INDEX(Section_Master!$E$2:$E$477,MATCH($E4545,Section_Master!$A$2:$A$477,0))&amp;"","")</f>
        <v>N/A</v>
      </c>
      <c r="H4545" s="10" t="str">
        <f aca="false">IFERROR(INDEX(Section_Master!$F$2:$F$477,MATCH($E4545,Section_Master!$A$2:$A$477,0))&amp;"","")</f>
        <v>N/A</v>
      </c>
      <c r="I4545" s="10" t="str">
        <f aca="false">IFERROR(INDEX(Section_Master!$G$2:$G$477,MATCH($E4545,Section_Master!$A$2:$A$477,0))&amp;"","")</f>
        <v>N/A</v>
      </c>
      <c r="J4545" s="10" t="s">
        <v>52</v>
      </c>
      <c r="K4545" s="8" t="s">
        <v>10641</v>
      </c>
    </row>
    <row r="4546" customFormat="false" ht="34.5" hidden="false" customHeight="true" outlineLevel="0" collapsed="false">
      <c r="A4546" s="10" t="s">
        <v>10644</v>
      </c>
      <c r="B4546" s="10" t="s">
        <v>10064</v>
      </c>
      <c r="C4546" s="8" t="s">
        <v>10639</v>
      </c>
      <c r="D4546" s="8" t="s">
        <v>10645</v>
      </c>
      <c r="E4546" s="11" t="n">
        <v>400</v>
      </c>
      <c r="F4546" s="8" t="str">
        <f aca="false">IFERROR(INDEX(Section_Master!$D$2:$D$477,MATCH($E4546,Section_Master!$A$2:$A$477,0))&amp;"","")</f>
        <v>Not applicable - procedural provision (BNSS), no offence defined</v>
      </c>
      <c r="G4546" s="10" t="str">
        <f aca="false">IFERROR(INDEX(Section_Master!$E$2:$E$477,MATCH($E4546,Section_Master!$A$2:$A$477,0))&amp;"","")</f>
        <v>N/A</v>
      </c>
      <c r="H4546" s="10" t="str">
        <f aca="false">IFERROR(INDEX(Section_Master!$F$2:$F$477,MATCH($E4546,Section_Master!$A$2:$A$477,0))&amp;"","")</f>
        <v>N/A</v>
      </c>
      <c r="I4546" s="10" t="str">
        <f aca="false">IFERROR(INDEX(Section_Master!$G$2:$G$477,MATCH($E4546,Section_Master!$A$2:$A$477,0))&amp;"","")</f>
        <v>N/A</v>
      </c>
      <c r="J4546" s="10" t="s">
        <v>55</v>
      </c>
      <c r="K4546" s="8" t="s">
        <v>10641</v>
      </c>
    </row>
    <row r="4547" customFormat="false" ht="23.25" hidden="false" customHeight="true" outlineLevel="0" collapsed="false">
      <c r="A4547" s="10" t="s">
        <v>10646</v>
      </c>
      <c r="B4547" s="10" t="s">
        <v>10064</v>
      </c>
      <c r="C4547" s="8" t="s">
        <v>10639</v>
      </c>
      <c r="D4547" s="8" t="s">
        <v>10647</v>
      </c>
      <c r="E4547" s="11" t="n">
        <v>400</v>
      </c>
      <c r="F4547" s="8" t="str">
        <f aca="false">IFERROR(INDEX(Section_Master!$D$2:$D$477,MATCH($E4547,Section_Master!$A$2:$A$477,0))&amp;"","")</f>
        <v>Not applicable - procedural provision (BNSS), no offence defined</v>
      </c>
      <c r="G4547" s="10" t="str">
        <f aca="false">IFERROR(INDEX(Section_Master!$E$2:$E$477,MATCH($E4547,Section_Master!$A$2:$A$477,0))&amp;"","")</f>
        <v>N/A</v>
      </c>
      <c r="H4547" s="10" t="str">
        <f aca="false">IFERROR(INDEX(Section_Master!$F$2:$F$477,MATCH($E4547,Section_Master!$A$2:$A$477,0))&amp;"","")</f>
        <v>N/A</v>
      </c>
      <c r="I4547" s="10" t="str">
        <f aca="false">IFERROR(INDEX(Section_Master!$G$2:$G$477,MATCH($E4547,Section_Master!$A$2:$A$477,0))&amp;"","")</f>
        <v>N/A</v>
      </c>
      <c r="J4547" s="10" t="s">
        <v>58</v>
      </c>
      <c r="K4547" s="8" t="s">
        <v>10641</v>
      </c>
    </row>
    <row r="4548" customFormat="false" ht="23.25" hidden="false" customHeight="true" outlineLevel="0" collapsed="false">
      <c r="A4548" s="10" t="s">
        <v>10648</v>
      </c>
      <c r="B4548" s="10" t="s">
        <v>10064</v>
      </c>
      <c r="C4548" s="8" t="s">
        <v>10639</v>
      </c>
      <c r="D4548" s="8" t="s">
        <v>10649</v>
      </c>
      <c r="E4548" s="11" t="n">
        <v>400</v>
      </c>
      <c r="F4548" s="8" t="str">
        <f aca="false">IFERROR(INDEX(Section_Master!$D$2:$D$477,MATCH($E4548,Section_Master!$A$2:$A$477,0))&amp;"","")</f>
        <v>Not applicable - procedural provision (BNSS), no offence defined</v>
      </c>
      <c r="G4548" s="10" t="str">
        <f aca="false">IFERROR(INDEX(Section_Master!$E$2:$E$477,MATCH($E4548,Section_Master!$A$2:$A$477,0))&amp;"","")</f>
        <v>N/A</v>
      </c>
      <c r="H4548" s="10" t="str">
        <f aca="false">IFERROR(INDEX(Section_Master!$F$2:$F$477,MATCH($E4548,Section_Master!$A$2:$A$477,0))&amp;"","")</f>
        <v>N/A</v>
      </c>
      <c r="I4548" s="10" t="str">
        <f aca="false">IFERROR(INDEX(Section_Master!$G$2:$G$477,MATCH($E4548,Section_Master!$A$2:$A$477,0))&amp;"","")</f>
        <v>N/A</v>
      </c>
      <c r="J4548" s="10" t="s">
        <v>61</v>
      </c>
      <c r="K4548" s="8" t="s">
        <v>10641</v>
      </c>
    </row>
    <row r="4549" customFormat="false" ht="45.75" hidden="false" customHeight="true" outlineLevel="0" collapsed="false">
      <c r="A4549" s="10" t="s">
        <v>10650</v>
      </c>
      <c r="B4549" s="10" t="s">
        <v>10064</v>
      </c>
      <c r="C4549" s="8" t="s">
        <v>10639</v>
      </c>
      <c r="D4549" s="8" t="s">
        <v>10651</v>
      </c>
      <c r="E4549" s="11" t="n">
        <v>400</v>
      </c>
      <c r="F4549" s="8" t="str">
        <f aca="false">IFERROR(INDEX(Section_Master!$D$2:$D$477,MATCH($E4549,Section_Master!$A$2:$A$477,0))&amp;"","")</f>
        <v>Not applicable - procedural provision (BNSS), no offence defined</v>
      </c>
      <c r="G4549" s="10" t="str">
        <f aca="false">IFERROR(INDEX(Section_Master!$E$2:$E$477,MATCH($E4549,Section_Master!$A$2:$A$477,0))&amp;"","")</f>
        <v>N/A</v>
      </c>
      <c r="H4549" s="10" t="str">
        <f aca="false">IFERROR(INDEX(Section_Master!$F$2:$F$477,MATCH($E4549,Section_Master!$A$2:$A$477,0))&amp;"","")</f>
        <v>N/A</v>
      </c>
      <c r="I4549" s="10" t="str">
        <f aca="false">IFERROR(INDEX(Section_Master!$G$2:$G$477,MATCH($E4549,Section_Master!$A$2:$A$477,0))&amp;"","")</f>
        <v>N/A</v>
      </c>
      <c r="J4549" s="10" t="s">
        <v>64</v>
      </c>
      <c r="K4549" s="8" t="s">
        <v>10641</v>
      </c>
    </row>
    <row r="4550" customFormat="false" ht="45.75" hidden="false" customHeight="true" outlineLevel="0" collapsed="false">
      <c r="A4550" s="10" t="s">
        <v>10652</v>
      </c>
      <c r="B4550" s="10" t="s">
        <v>10064</v>
      </c>
      <c r="C4550" s="8" t="s">
        <v>10653</v>
      </c>
      <c r="D4550" s="8" t="s">
        <v>10654</v>
      </c>
      <c r="E4550" s="11" t="n">
        <v>401</v>
      </c>
      <c r="F4550" s="8" t="str">
        <f aca="false">IFERROR(INDEX(Section_Master!$D$2:$D$477,MATCH($E4550,Section_Master!$A$2:$A$477,0))&amp;"","")</f>
        <v>Not applicable - procedural provision (BNSS), no offence defined</v>
      </c>
      <c r="G4550" s="10" t="str">
        <f aca="false">IFERROR(INDEX(Section_Master!$E$2:$E$477,MATCH($E4550,Section_Master!$A$2:$A$477,0))&amp;"","")</f>
        <v>N/A</v>
      </c>
      <c r="H4550" s="10" t="str">
        <f aca="false">IFERROR(INDEX(Section_Master!$F$2:$F$477,MATCH($E4550,Section_Master!$A$2:$A$477,0))&amp;"","")</f>
        <v>N/A</v>
      </c>
      <c r="I4550" s="10" t="str">
        <f aca="false">IFERROR(INDEX(Section_Master!$G$2:$G$477,MATCH($E4550,Section_Master!$A$2:$A$477,0))&amp;"","")</f>
        <v>N/A</v>
      </c>
      <c r="J4550" s="10" t="s">
        <v>48</v>
      </c>
      <c r="K4550" s="8" t="s">
        <v>10655</v>
      </c>
    </row>
    <row r="4551" customFormat="false" ht="45.75" hidden="false" customHeight="true" outlineLevel="0" collapsed="false">
      <c r="A4551" s="10" t="s">
        <v>10656</v>
      </c>
      <c r="B4551" s="10" t="s">
        <v>10064</v>
      </c>
      <c r="C4551" s="8" t="s">
        <v>10653</v>
      </c>
      <c r="D4551" s="8" t="s">
        <v>10657</v>
      </c>
      <c r="E4551" s="11" t="n">
        <v>401</v>
      </c>
      <c r="F4551" s="8" t="str">
        <f aca="false">IFERROR(INDEX(Section_Master!$D$2:$D$477,MATCH($E4551,Section_Master!$A$2:$A$477,0))&amp;"","")</f>
        <v>Not applicable - procedural provision (BNSS), no offence defined</v>
      </c>
      <c r="G4551" s="10" t="str">
        <f aca="false">IFERROR(INDEX(Section_Master!$E$2:$E$477,MATCH($E4551,Section_Master!$A$2:$A$477,0))&amp;"","")</f>
        <v>N/A</v>
      </c>
      <c r="H4551" s="10" t="str">
        <f aca="false">IFERROR(INDEX(Section_Master!$F$2:$F$477,MATCH($E4551,Section_Master!$A$2:$A$477,0))&amp;"","")</f>
        <v>N/A</v>
      </c>
      <c r="I4551" s="10" t="str">
        <f aca="false">IFERROR(INDEX(Section_Master!$G$2:$G$477,MATCH($E4551,Section_Master!$A$2:$A$477,0))&amp;"","")</f>
        <v>N/A</v>
      </c>
      <c r="J4551" s="10" t="s">
        <v>52</v>
      </c>
      <c r="K4551" s="8" t="s">
        <v>10655</v>
      </c>
    </row>
    <row r="4552" customFormat="false" ht="45.75" hidden="false" customHeight="true" outlineLevel="0" collapsed="false">
      <c r="A4552" s="10" t="s">
        <v>10658</v>
      </c>
      <c r="B4552" s="10" t="s">
        <v>10064</v>
      </c>
      <c r="C4552" s="8" t="s">
        <v>10653</v>
      </c>
      <c r="D4552" s="8" t="s">
        <v>10659</v>
      </c>
      <c r="E4552" s="11" t="n">
        <v>401</v>
      </c>
      <c r="F4552" s="8" t="str">
        <f aca="false">IFERROR(INDEX(Section_Master!$D$2:$D$477,MATCH($E4552,Section_Master!$A$2:$A$477,0))&amp;"","")</f>
        <v>Not applicable - procedural provision (BNSS), no offence defined</v>
      </c>
      <c r="G4552" s="10" t="str">
        <f aca="false">IFERROR(INDEX(Section_Master!$E$2:$E$477,MATCH($E4552,Section_Master!$A$2:$A$477,0))&amp;"","")</f>
        <v>N/A</v>
      </c>
      <c r="H4552" s="10" t="str">
        <f aca="false">IFERROR(INDEX(Section_Master!$F$2:$F$477,MATCH($E4552,Section_Master!$A$2:$A$477,0))&amp;"","")</f>
        <v>N/A</v>
      </c>
      <c r="I4552" s="10" t="str">
        <f aca="false">IFERROR(INDEX(Section_Master!$G$2:$G$477,MATCH($E4552,Section_Master!$A$2:$A$477,0))&amp;"","")</f>
        <v>N/A</v>
      </c>
      <c r="J4552" s="10" t="s">
        <v>55</v>
      </c>
      <c r="K4552" s="8" t="s">
        <v>10655</v>
      </c>
    </row>
    <row r="4553" customFormat="false" ht="23.25" hidden="false" customHeight="true" outlineLevel="0" collapsed="false">
      <c r="A4553" s="10" t="s">
        <v>10660</v>
      </c>
      <c r="B4553" s="10" t="s">
        <v>10064</v>
      </c>
      <c r="C4553" s="8" t="s">
        <v>10653</v>
      </c>
      <c r="D4553" s="8" t="s">
        <v>10661</v>
      </c>
      <c r="E4553" s="11" t="n">
        <v>401</v>
      </c>
      <c r="F4553" s="8" t="str">
        <f aca="false">IFERROR(INDEX(Section_Master!$D$2:$D$477,MATCH($E4553,Section_Master!$A$2:$A$477,0))&amp;"","")</f>
        <v>Not applicable - procedural provision (BNSS), no offence defined</v>
      </c>
      <c r="G4553" s="10" t="str">
        <f aca="false">IFERROR(INDEX(Section_Master!$E$2:$E$477,MATCH($E4553,Section_Master!$A$2:$A$477,0))&amp;"","")</f>
        <v>N/A</v>
      </c>
      <c r="H4553" s="10" t="str">
        <f aca="false">IFERROR(INDEX(Section_Master!$F$2:$F$477,MATCH($E4553,Section_Master!$A$2:$A$477,0))&amp;"","")</f>
        <v>N/A</v>
      </c>
      <c r="I4553" s="10" t="str">
        <f aca="false">IFERROR(INDEX(Section_Master!$G$2:$G$477,MATCH($E4553,Section_Master!$A$2:$A$477,0))&amp;"","")</f>
        <v>N/A</v>
      </c>
      <c r="J4553" s="10" t="s">
        <v>58</v>
      </c>
      <c r="K4553" s="8" t="s">
        <v>10655</v>
      </c>
    </row>
    <row r="4554" customFormat="false" ht="34.5" hidden="false" customHeight="true" outlineLevel="0" collapsed="false">
      <c r="A4554" s="10" t="s">
        <v>10662</v>
      </c>
      <c r="B4554" s="10" t="s">
        <v>10064</v>
      </c>
      <c r="C4554" s="8" t="s">
        <v>10653</v>
      </c>
      <c r="D4554" s="8" t="s">
        <v>10663</v>
      </c>
      <c r="E4554" s="11" t="n">
        <v>401</v>
      </c>
      <c r="F4554" s="8" t="str">
        <f aca="false">IFERROR(INDEX(Section_Master!$D$2:$D$477,MATCH($E4554,Section_Master!$A$2:$A$477,0))&amp;"","")</f>
        <v>Not applicable - procedural provision (BNSS), no offence defined</v>
      </c>
      <c r="G4554" s="10" t="str">
        <f aca="false">IFERROR(INDEX(Section_Master!$E$2:$E$477,MATCH($E4554,Section_Master!$A$2:$A$477,0))&amp;"","")</f>
        <v>N/A</v>
      </c>
      <c r="H4554" s="10" t="str">
        <f aca="false">IFERROR(INDEX(Section_Master!$F$2:$F$477,MATCH($E4554,Section_Master!$A$2:$A$477,0))&amp;"","")</f>
        <v>N/A</v>
      </c>
      <c r="I4554" s="10" t="str">
        <f aca="false">IFERROR(INDEX(Section_Master!$G$2:$G$477,MATCH($E4554,Section_Master!$A$2:$A$477,0))&amp;"","")</f>
        <v>N/A</v>
      </c>
      <c r="J4554" s="10" t="s">
        <v>61</v>
      </c>
      <c r="K4554" s="8" t="s">
        <v>10655</v>
      </c>
    </row>
    <row r="4555" customFormat="false" ht="45.75" hidden="false" customHeight="true" outlineLevel="0" collapsed="false">
      <c r="A4555" s="10" t="s">
        <v>10664</v>
      </c>
      <c r="B4555" s="10" t="s">
        <v>10064</v>
      </c>
      <c r="C4555" s="8" t="s">
        <v>10653</v>
      </c>
      <c r="D4555" s="8" t="s">
        <v>10665</v>
      </c>
      <c r="E4555" s="11" t="n">
        <v>401</v>
      </c>
      <c r="F4555" s="8" t="str">
        <f aca="false">IFERROR(INDEX(Section_Master!$D$2:$D$477,MATCH($E4555,Section_Master!$A$2:$A$477,0))&amp;"","")</f>
        <v>Not applicable - procedural provision (BNSS), no offence defined</v>
      </c>
      <c r="G4555" s="10" t="str">
        <f aca="false">IFERROR(INDEX(Section_Master!$E$2:$E$477,MATCH($E4555,Section_Master!$A$2:$A$477,0))&amp;"","")</f>
        <v>N/A</v>
      </c>
      <c r="H4555" s="10" t="str">
        <f aca="false">IFERROR(INDEX(Section_Master!$F$2:$F$477,MATCH($E4555,Section_Master!$A$2:$A$477,0))&amp;"","")</f>
        <v>N/A</v>
      </c>
      <c r="I4555" s="10" t="str">
        <f aca="false">IFERROR(INDEX(Section_Master!$G$2:$G$477,MATCH($E4555,Section_Master!$A$2:$A$477,0))&amp;"","")</f>
        <v>N/A</v>
      </c>
      <c r="J4555" s="10" t="s">
        <v>64</v>
      </c>
      <c r="K4555" s="8" t="s">
        <v>10655</v>
      </c>
    </row>
    <row r="4556" customFormat="false" ht="34.5" hidden="false" customHeight="true" outlineLevel="0" collapsed="false">
      <c r="A4556" s="10" t="s">
        <v>10666</v>
      </c>
      <c r="B4556" s="10" t="s">
        <v>10064</v>
      </c>
      <c r="C4556" s="8" t="s">
        <v>10667</v>
      </c>
      <c r="D4556" s="8" t="s">
        <v>10668</v>
      </c>
      <c r="E4556" s="11" t="n">
        <v>402</v>
      </c>
      <c r="F4556" s="8" t="str">
        <f aca="false">IFERROR(INDEX(Section_Master!$D$2:$D$477,MATCH($E4556,Section_Master!$A$2:$A$477,0))&amp;"","")</f>
        <v>Not applicable - procedural provision (BNSS), no offence defined</v>
      </c>
      <c r="G4556" s="10" t="str">
        <f aca="false">IFERROR(INDEX(Section_Master!$E$2:$E$477,MATCH($E4556,Section_Master!$A$2:$A$477,0))&amp;"","")</f>
        <v>N/A</v>
      </c>
      <c r="H4556" s="10" t="str">
        <f aca="false">IFERROR(INDEX(Section_Master!$F$2:$F$477,MATCH($E4556,Section_Master!$A$2:$A$477,0))&amp;"","")</f>
        <v>N/A</v>
      </c>
      <c r="I4556" s="10" t="str">
        <f aca="false">IFERROR(INDEX(Section_Master!$G$2:$G$477,MATCH($E4556,Section_Master!$A$2:$A$477,0))&amp;"","")</f>
        <v>N/A</v>
      </c>
      <c r="J4556" s="10" t="s">
        <v>48</v>
      </c>
      <c r="K4556" s="8" t="s">
        <v>10669</v>
      </c>
    </row>
    <row r="4557" customFormat="false" ht="45.75" hidden="false" customHeight="true" outlineLevel="0" collapsed="false">
      <c r="A4557" s="10" t="s">
        <v>10670</v>
      </c>
      <c r="B4557" s="10" t="s">
        <v>10064</v>
      </c>
      <c r="C4557" s="8" t="s">
        <v>10667</v>
      </c>
      <c r="D4557" s="8" t="s">
        <v>10671</v>
      </c>
      <c r="E4557" s="11" t="n">
        <v>402</v>
      </c>
      <c r="F4557" s="8" t="str">
        <f aca="false">IFERROR(INDEX(Section_Master!$D$2:$D$477,MATCH($E4557,Section_Master!$A$2:$A$477,0))&amp;"","")</f>
        <v>Not applicable - procedural provision (BNSS), no offence defined</v>
      </c>
      <c r="G4557" s="10" t="str">
        <f aca="false">IFERROR(INDEX(Section_Master!$E$2:$E$477,MATCH($E4557,Section_Master!$A$2:$A$477,0))&amp;"","")</f>
        <v>N/A</v>
      </c>
      <c r="H4557" s="10" t="str">
        <f aca="false">IFERROR(INDEX(Section_Master!$F$2:$F$477,MATCH($E4557,Section_Master!$A$2:$A$477,0))&amp;"","")</f>
        <v>N/A</v>
      </c>
      <c r="I4557" s="10" t="str">
        <f aca="false">IFERROR(INDEX(Section_Master!$G$2:$G$477,MATCH($E4557,Section_Master!$A$2:$A$477,0))&amp;"","")</f>
        <v>N/A</v>
      </c>
      <c r="J4557" s="10" t="s">
        <v>52</v>
      </c>
      <c r="K4557" s="8" t="s">
        <v>10669</v>
      </c>
    </row>
    <row r="4558" customFormat="false" ht="45.75" hidden="false" customHeight="true" outlineLevel="0" collapsed="false">
      <c r="A4558" s="10" t="s">
        <v>10672</v>
      </c>
      <c r="B4558" s="10" t="s">
        <v>10064</v>
      </c>
      <c r="C4558" s="8" t="s">
        <v>10667</v>
      </c>
      <c r="D4558" s="8" t="s">
        <v>10673</v>
      </c>
      <c r="E4558" s="11" t="n">
        <v>402</v>
      </c>
      <c r="F4558" s="8" t="str">
        <f aca="false">IFERROR(INDEX(Section_Master!$D$2:$D$477,MATCH($E4558,Section_Master!$A$2:$A$477,0))&amp;"","")</f>
        <v>Not applicable - procedural provision (BNSS), no offence defined</v>
      </c>
      <c r="G4558" s="10" t="str">
        <f aca="false">IFERROR(INDEX(Section_Master!$E$2:$E$477,MATCH($E4558,Section_Master!$A$2:$A$477,0))&amp;"","")</f>
        <v>N/A</v>
      </c>
      <c r="H4558" s="10" t="str">
        <f aca="false">IFERROR(INDEX(Section_Master!$F$2:$F$477,MATCH($E4558,Section_Master!$A$2:$A$477,0))&amp;"","")</f>
        <v>N/A</v>
      </c>
      <c r="I4558" s="10" t="str">
        <f aca="false">IFERROR(INDEX(Section_Master!$G$2:$G$477,MATCH($E4558,Section_Master!$A$2:$A$477,0))&amp;"","")</f>
        <v>N/A</v>
      </c>
      <c r="J4558" s="10" t="s">
        <v>55</v>
      </c>
      <c r="K4558" s="8" t="s">
        <v>10669</v>
      </c>
    </row>
    <row r="4559" customFormat="false" ht="23.25" hidden="false" customHeight="true" outlineLevel="0" collapsed="false">
      <c r="A4559" s="10" t="s">
        <v>10674</v>
      </c>
      <c r="B4559" s="10" t="s">
        <v>10064</v>
      </c>
      <c r="C4559" s="8" t="s">
        <v>10667</v>
      </c>
      <c r="D4559" s="8" t="s">
        <v>10675</v>
      </c>
      <c r="E4559" s="11" t="n">
        <v>402</v>
      </c>
      <c r="F4559" s="8" t="str">
        <f aca="false">IFERROR(INDEX(Section_Master!$D$2:$D$477,MATCH($E4559,Section_Master!$A$2:$A$477,0))&amp;"","")</f>
        <v>Not applicable - procedural provision (BNSS), no offence defined</v>
      </c>
      <c r="G4559" s="10" t="str">
        <f aca="false">IFERROR(INDEX(Section_Master!$E$2:$E$477,MATCH($E4559,Section_Master!$A$2:$A$477,0))&amp;"","")</f>
        <v>N/A</v>
      </c>
      <c r="H4559" s="10" t="str">
        <f aca="false">IFERROR(INDEX(Section_Master!$F$2:$F$477,MATCH($E4559,Section_Master!$A$2:$A$477,0))&amp;"","")</f>
        <v>N/A</v>
      </c>
      <c r="I4559" s="10" t="str">
        <f aca="false">IFERROR(INDEX(Section_Master!$G$2:$G$477,MATCH($E4559,Section_Master!$A$2:$A$477,0))&amp;"","")</f>
        <v>N/A</v>
      </c>
      <c r="J4559" s="10" t="s">
        <v>58</v>
      </c>
      <c r="K4559" s="8" t="s">
        <v>10669</v>
      </c>
    </row>
    <row r="4560" customFormat="false" ht="34.5" hidden="false" customHeight="true" outlineLevel="0" collapsed="false">
      <c r="A4560" s="10" t="s">
        <v>10676</v>
      </c>
      <c r="B4560" s="10" t="s">
        <v>10064</v>
      </c>
      <c r="C4560" s="8" t="s">
        <v>10667</v>
      </c>
      <c r="D4560" s="8" t="s">
        <v>10677</v>
      </c>
      <c r="E4560" s="11" t="n">
        <v>402</v>
      </c>
      <c r="F4560" s="8" t="str">
        <f aca="false">IFERROR(INDEX(Section_Master!$D$2:$D$477,MATCH($E4560,Section_Master!$A$2:$A$477,0))&amp;"","")</f>
        <v>Not applicable - procedural provision (BNSS), no offence defined</v>
      </c>
      <c r="G4560" s="10" t="str">
        <f aca="false">IFERROR(INDEX(Section_Master!$E$2:$E$477,MATCH($E4560,Section_Master!$A$2:$A$477,0))&amp;"","")</f>
        <v>N/A</v>
      </c>
      <c r="H4560" s="10" t="str">
        <f aca="false">IFERROR(INDEX(Section_Master!$F$2:$F$477,MATCH($E4560,Section_Master!$A$2:$A$477,0))&amp;"","")</f>
        <v>N/A</v>
      </c>
      <c r="I4560" s="10" t="str">
        <f aca="false">IFERROR(INDEX(Section_Master!$G$2:$G$477,MATCH($E4560,Section_Master!$A$2:$A$477,0))&amp;"","")</f>
        <v>N/A</v>
      </c>
      <c r="J4560" s="10" t="s">
        <v>61</v>
      </c>
      <c r="K4560" s="8" t="s">
        <v>10669</v>
      </c>
    </row>
    <row r="4561" customFormat="false" ht="45.75" hidden="false" customHeight="true" outlineLevel="0" collapsed="false">
      <c r="A4561" s="10" t="s">
        <v>10678</v>
      </c>
      <c r="B4561" s="10" t="s">
        <v>10064</v>
      </c>
      <c r="C4561" s="8" t="s">
        <v>10667</v>
      </c>
      <c r="D4561" s="8" t="s">
        <v>10679</v>
      </c>
      <c r="E4561" s="11" t="n">
        <v>402</v>
      </c>
      <c r="F4561" s="8" t="str">
        <f aca="false">IFERROR(INDEX(Section_Master!$D$2:$D$477,MATCH($E4561,Section_Master!$A$2:$A$477,0))&amp;"","")</f>
        <v>Not applicable - procedural provision (BNSS), no offence defined</v>
      </c>
      <c r="G4561" s="10" t="str">
        <f aca="false">IFERROR(INDEX(Section_Master!$E$2:$E$477,MATCH($E4561,Section_Master!$A$2:$A$477,0))&amp;"","")</f>
        <v>N/A</v>
      </c>
      <c r="H4561" s="10" t="str">
        <f aca="false">IFERROR(INDEX(Section_Master!$F$2:$F$477,MATCH($E4561,Section_Master!$A$2:$A$477,0))&amp;"","")</f>
        <v>N/A</v>
      </c>
      <c r="I4561" s="10" t="str">
        <f aca="false">IFERROR(INDEX(Section_Master!$G$2:$G$477,MATCH($E4561,Section_Master!$A$2:$A$477,0))&amp;"","")</f>
        <v>N/A</v>
      </c>
      <c r="J4561" s="10" t="s">
        <v>64</v>
      </c>
      <c r="K4561" s="8" t="s">
        <v>10669</v>
      </c>
    </row>
    <row r="4562" customFormat="false" ht="23.25" hidden="false" customHeight="true" outlineLevel="0" collapsed="false">
      <c r="A4562" s="10" t="s">
        <v>10680</v>
      </c>
      <c r="B4562" s="10" t="s">
        <v>10064</v>
      </c>
      <c r="C4562" s="8" t="s">
        <v>10681</v>
      </c>
      <c r="D4562" s="8" t="s">
        <v>10682</v>
      </c>
      <c r="E4562" s="11" t="n">
        <v>403</v>
      </c>
      <c r="F4562" s="8" t="str">
        <f aca="false">IFERROR(INDEX(Section_Master!$D$2:$D$477,MATCH($E4562,Section_Master!$A$2:$A$477,0))&amp;"","")</f>
        <v>Not applicable - procedural provision (BNSS), no offence defined</v>
      </c>
      <c r="G4562" s="10" t="str">
        <f aca="false">IFERROR(INDEX(Section_Master!$E$2:$E$477,MATCH($E4562,Section_Master!$A$2:$A$477,0))&amp;"","")</f>
        <v>N/A</v>
      </c>
      <c r="H4562" s="10" t="str">
        <f aca="false">IFERROR(INDEX(Section_Master!$F$2:$F$477,MATCH($E4562,Section_Master!$A$2:$A$477,0))&amp;"","")</f>
        <v>N/A</v>
      </c>
      <c r="I4562" s="10" t="str">
        <f aca="false">IFERROR(INDEX(Section_Master!$G$2:$G$477,MATCH($E4562,Section_Master!$A$2:$A$477,0))&amp;"","")</f>
        <v>N/A</v>
      </c>
      <c r="J4562" s="10" t="s">
        <v>48</v>
      </c>
      <c r="K4562" s="8" t="s">
        <v>10683</v>
      </c>
    </row>
    <row r="4563" customFormat="false" ht="34.5" hidden="false" customHeight="true" outlineLevel="0" collapsed="false">
      <c r="A4563" s="10" t="s">
        <v>10684</v>
      </c>
      <c r="B4563" s="10" t="s">
        <v>10064</v>
      </c>
      <c r="C4563" s="8" t="s">
        <v>10681</v>
      </c>
      <c r="D4563" s="8" t="s">
        <v>10685</v>
      </c>
      <c r="E4563" s="11" t="n">
        <v>403</v>
      </c>
      <c r="F4563" s="8" t="str">
        <f aca="false">IFERROR(INDEX(Section_Master!$D$2:$D$477,MATCH($E4563,Section_Master!$A$2:$A$477,0))&amp;"","")</f>
        <v>Not applicable - procedural provision (BNSS), no offence defined</v>
      </c>
      <c r="G4563" s="10" t="str">
        <f aca="false">IFERROR(INDEX(Section_Master!$E$2:$E$477,MATCH($E4563,Section_Master!$A$2:$A$477,0))&amp;"","")</f>
        <v>N/A</v>
      </c>
      <c r="H4563" s="10" t="str">
        <f aca="false">IFERROR(INDEX(Section_Master!$F$2:$F$477,MATCH($E4563,Section_Master!$A$2:$A$477,0))&amp;"","")</f>
        <v>N/A</v>
      </c>
      <c r="I4563" s="10" t="str">
        <f aca="false">IFERROR(INDEX(Section_Master!$G$2:$G$477,MATCH($E4563,Section_Master!$A$2:$A$477,0))&amp;"","")</f>
        <v>N/A</v>
      </c>
      <c r="J4563" s="10" t="s">
        <v>52</v>
      </c>
      <c r="K4563" s="8" t="s">
        <v>10683</v>
      </c>
    </row>
    <row r="4564" customFormat="false" ht="34.5" hidden="false" customHeight="true" outlineLevel="0" collapsed="false">
      <c r="A4564" s="10" t="s">
        <v>10686</v>
      </c>
      <c r="B4564" s="10" t="s">
        <v>10064</v>
      </c>
      <c r="C4564" s="8" t="s">
        <v>10681</v>
      </c>
      <c r="D4564" s="8" t="s">
        <v>10687</v>
      </c>
      <c r="E4564" s="11" t="n">
        <v>403</v>
      </c>
      <c r="F4564" s="8" t="str">
        <f aca="false">IFERROR(INDEX(Section_Master!$D$2:$D$477,MATCH($E4564,Section_Master!$A$2:$A$477,0))&amp;"","")</f>
        <v>Not applicable - procedural provision (BNSS), no offence defined</v>
      </c>
      <c r="G4564" s="10" t="str">
        <f aca="false">IFERROR(INDEX(Section_Master!$E$2:$E$477,MATCH($E4564,Section_Master!$A$2:$A$477,0))&amp;"","")</f>
        <v>N/A</v>
      </c>
      <c r="H4564" s="10" t="str">
        <f aca="false">IFERROR(INDEX(Section_Master!$F$2:$F$477,MATCH($E4564,Section_Master!$A$2:$A$477,0))&amp;"","")</f>
        <v>N/A</v>
      </c>
      <c r="I4564" s="10" t="str">
        <f aca="false">IFERROR(INDEX(Section_Master!$G$2:$G$477,MATCH($E4564,Section_Master!$A$2:$A$477,0))&amp;"","")</f>
        <v>N/A</v>
      </c>
      <c r="J4564" s="10" t="s">
        <v>55</v>
      </c>
      <c r="K4564" s="8" t="s">
        <v>10683</v>
      </c>
    </row>
    <row r="4565" customFormat="false" ht="23.25" hidden="false" customHeight="true" outlineLevel="0" collapsed="false">
      <c r="A4565" s="10" t="s">
        <v>10688</v>
      </c>
      <c r="B4565" s="10" t="s">
        <v>10064</v>
      </c>
      <c r="C4565" s="8" t="s">
        <v>10681</v>
      </c>
      <c r="D4565" s="8" t="s">
        <v>10689</v>
      </c>
      <c r="E4565" s="11" t="n">
        <v>403</v>
      </c>
      <c r="F4565" s="8" t="str">
        <f aca="false">IFERROR(INDEX(Section_Master!$D$2:$D$477,MATCH($E4565,Section_Master!$A$2:$A$477,0))&amp;"","")</f>
        <v>Not applicable - procedural provision (BNSS), no offence defined</v>
      </c>
      <c r="G4565" s="10" t="str">
        <f aca="false">IFERROR(INDEX(Section_Master!$E$2:$E$477,MATCH($E4565,Section_Master!$A$2:$A$477,0))&amp;"","")</f>
        <v>N/A</v>
      </c>
      <c r="H4565" s="10" t="str">
        <f aca="false">IFERROR(INDEX(Section_Master!$F$2:$F$477,MATCH($E4565,Section_Master!$A$2:$A$477,0))&amp;"","")</f>
        <v>N/A</v>
      </c>
      <c r="I4565" s="10" t="str">
        <f aca="false">IFERROR(INDEX(Section_Master!$G$2:$G$477,MATCH($E4565,Section_Master!$A$2:$A$477,0))&amp;"","")</f>
        <v>N/A</v>
      </c>
      <c r="J4565" s="10" t="s">
        <v>58</v>
      </c>
      <c r="K4565" s="8" t="s">
        <v>10683</v>
      </c>
    </row>
    <row r="4566" customFormat="false" ht="34.5" hidden="false" customHeight="true" outlineLevel="0" collapsed="false">
      <c r="A4566" s="10" t="s">
        <v>10690</v>
      </c>
      <c r="B4566" s="10" t="s">
        <v>10064</v>
      </c>
      <c r="C4566" s="8" t="s">
        <v>10681</v>
      </c>
      <c r="D4566" s="8" t="s">
        <v>10691</v>
      </c>
      <c r="E4566" s="11" t="n">
        <v>403</v>
      </c>
      <c r="F4566" s="8" t="str">
        <f aca="false">IFERROR(INDEX(Section_Master!$D$2:$D$477,MATCH($E4566,Section_Master!$A$2:$A$477,0))&amp;"","")</f>
        <v>Not applicable - procedural provision (BNSS), no offence defined</v>
      </c>
      <c r="G4566" s="10" t="str">
        <f aca="false">IFERROR(INDEX(Section_Master!$E$2:$E$477,MATCH($E4566,Section_Master!$A$2:$A$477,0))&amp;"","")</f>
        <v>N/A</v>
      </c>
      <c r="H4566" s="10" t="str">
        <f aca="false">IFERROR(INDEX(Section_Master!$F$2:$F$477,MATCH($E4566,Section_Master!$A$2:$A$477,0))&amp;"","")</f>
        <v>N/A</v>
      </c>
      <c r="I4566" s="10" t="str">
        <f aca="false">IFERROR(INDEX(Section_Master!$G$2:$G$477,MATCH($E4566,Section_Master!$A$2:$A$477,0))&amp;"","")</f>
        <v>N/A</v>
      </c>
      <c r="J4566" s="10" t="s">
        <v>61</v>
      </c>
      <c r="K4566" s="8" t="s">
        <v>10683</v>
      </c>
    </row>
    <row r="4567" customFormat="false" ht="57" hidden="false" customHeight="true" outlineLevel="0" collapsed="false">
      <c r="A4567" s="10" t="s">
        <v>10692</v>
      </c>
      <c r="B4567" s="10" t="s">
        <v>10064</v>
      </c>
      <c r="C4567" s="8" t="s">
        <v>10681</v>
      </c>
      <c r="D4567" s="8" t="s">
        <v>10693</v>
      </c>
      <c r="E4567" s="11" t="n">
        <v>403</v>
      </c>
      <c r="F4567" s="8" t="str">
        <f aca="false">IFERROR(INDEX(Section_Master!$D$2:$D$477,MATCH($E4567,Section_Master!$A$2:$A$477,0))&amp;"","")</f>
        <v>Not applicable - procedural provision (BNSS), no offence defined</v>
      </c>
      <c r="G4567" s="10" t="str">
        <f aca="false">IFERROR(INDEX(Section_Master!$E$2:$E$477,MATCH($E4567,Section_Master!$A$2:$A$477,0))&amp;"","")</f>
        <v>N/A</v>
      </c>
      <c r="H4567" s="10" t="str">
        <f aca="false">IFERROR(INDEX(Section_Master!$F$2:$F$477,MATCH($E4567,Section_Master!$A$2:$A$477,0))&amp;"","")</f>
        <v>N/A</v>
      </c>
      <c r="I4567" s="10" t="str">
        <f aca="false">IFERROR(INDEX(Section_Master!$G$2:$G$477,MATCH($E4567,Section_Master!$A$2:$A$477,0))&amp;"","")</f>
        <v>N/A</v>
      </c>
      <c r="J4567" s="10" t="s">
        <v>64</v>
      </c>
      <c r="K4567" s="8" t="s">
        <v>10683</v>
      </c>
    </row>
    <row r="4568" customFormat="false" ht="34.5" hidden="false" customHeight="true" outlineLevel="0" collapsed="false">
      <c r="A4568" s="10" t="s">
        <v>10694</v>
      </c>
      <c r="B4568" s="10" t="s">
        <v>10064</v>
      </c>
      <c r="C4568" s="8" t="s">
        <v>10695</v>
      </c>
      <c r="D4568" s="8" t="s">
        <v>10696</v>
      </c>
      <c r="E4568" s="11" t="n">
        <v>404</v>
      </c>
      <c r="F4568" s="8" t="str">
        <f aca="false">IFERROR(INDEX(Section_Master!$D$2:$D$477,MATCH($E4568,Section_Master!$A$2:$A$477,0))&amp;"","")</f>
        <v>Not applicable - procedural provision (BNSS), no offence defined</v>
      </c>
      <c r="G4568" s="10" t="str">
        <f aca="false">IFERROR(INDEX(Section_Master!$E$2:$E$477,MATCH($E4568,Section_Master!$A$2:$A$477,0))&amp;"","")</f>
        <v>N/A</v>
      </c>
      <c r="H4568" s="10" t="str">
        <f aca="false">IFERROR(INDEX(Section_Master!$F$2:$F$477,MATCH($E4568,Section_Master!$A$2:$A$477,0))&amp;"","")</f>
        <v>N/A</v>
      </c>
      <c r="I4568" s="10" t="str">
        <f aca="false">IFERROR(INDEX(Section_Master!$G$2:$G$477,MATCH($E4568,Section_Master!$A$2:$A$477,0))&amp;"","")</f>
        <v>N/A</v>
      </c>
      <c r="J4568" s="10" t="s">
        <v>48</v>
      </c>
      <c r="K4568" s="8" t="s">
        <v>10697</v>
      </c>
    </row>
    <row r="4569" customFormat="false" ht="45.75" hidden="false" customHeight="true" outlineLevel="0" collapsed="false">
      <c r="A4569" s="10" t="s">
        <v>10698</v>
      </c>
      <c r="B4569" s="10" t="s">
        <v>10064</v>
      </c>
      <c r="C4569" s="8" t="s">
        <v>10695</v>
      </c>
      <c r="D4569" s="8" t="s">
        <v>10699</v>
      </c>
      <c r="E4569" s="11" t="n">
        <v>404</v>
      </c>
      <c r="F4569" s="8" t="str">
        <f aca="false">IFERROR(INDEX(Section_Master!$D$2:$D$477,MATCH($E4569,Section_Master!$A$2:$A$477,0))&amp;"","")</f>
        <v>Not applicable - procedural provision (BNSS), no offence defined</v>
      </c>
      <c r="G4569" s="10" t="str">
        <f aca="false">IFERROR(INDEX(Section_Master!$E$2:$E$477,MATCH($E4569,Section_Master!$A$2:$A$477,0))&amp;"","")</f>
        <v>N/A</v>
      </c>
      <c r="H4569" s="10" t="str">
        <f aca="false">IFERROR(INDEX(Section_Master!$F$2:$F$477,MATCH($E4569,Section_Master!$A$2:$A$477,0))&amp;"","")</f>
        <v>N/A</v>
      </c>
      <c r="I4569" s="10" t="str">
        <f aca="false">IFERROR(INDEX(Section_Master!$G$2:$G$477,MATCH($E4569,Section_Master!$A$2:$A$477,0))&amp;"","")</f>
        <v>N/A</v>
      </c>
      <c r="J4569" s="10" t="s">
        <v>52</v>
      </c>
      <c r="K4569" s="8" t="s">
        <v>10697</v>
      </c>
    </row>
    <row r="4570" customFormat="false" ht="34.5" hidden="false" customHeight="true" outlineLevel="0" collapsed="false">
      <c r="A4570" s="10" t="s">
        <v>10700</v>
      </c>
      <c r="B4570" s="10" t="s">
        <v>10064</v>
      </c>
      <c r="C4570" s="8" t="s">
        <v>10695</v>
      </c>
      <c r="D4570" s="8" t="s">
        <v>10701</v>
      </c>
      <c r="E4570" s="11" t="n">
        <v>404</v>
      </c>
      <c r="F4570" s="8" t="str">
        <f aca="false">IFERROR(INDEX(Section_Master!$D$2:$D$477,MATCH($E4570,Section_Master!$A$2:$A$477,0))&amp;"","")</f>
        <v>Not applicable - procedural provision (BNSS), no offence defined</v>
      </c>
      <c r="G4570" s="10" t="str">
        <f aca="false">IFERROR(INDEX(Section_Master!$E$2:$E$477,MATCH($E4570,Section_Master!$A$2:$A$477,0))&amp;"","")</f>
        <v>N/A</v>
      </c>
      <c r="H4570" s="10" t="str">
        <f aca="false">IFERROR(INDEX(Section_Master!$F$2:$F$477,MATCH($E4570,Section_Master!$A$2:$A$477,0))&amp;"","")</f>
        <v>N/A</v>
      </c>
      <c r="I4570" s="10" t="str">
        <f aca="false">IFERROR(INDEX(Section_Master!$G$2:$G$477,MATCH($E4570,Section_Master!$A$2:$A$477,0))&amp;"","")</f>
        <v>N/A</v>
      </c>
      <c r="J4570" s="10" t="s">
        <v>55</v>
      </c>
      <c r="K4570" s="8" t="s">
        <v>10697</v>
      </c>
    </row>
    <row r="4571" customFormat="false" ht="23.25" hidden="false" customHeight="true" outlineLevel="0" collapsed="false">
      <c r="A4571" s="10" t="s">
        <v>10702</v>
      </c>
      <c r="B4571" s="10" t="s">
        <v>10064</v>
      </c>
      <c r="C4571" s="8" t="s">
        <v>10695</v>
      </c>
      <c r="D4571" s="8" t="s">
        <v>10703</v>
      </c>
      <c r="E4571" s="11" t="n">
        <v>404</v>
      </c>
      <c r="F4571" s="8" t="str">
        <f aca="false">IFERROR(INDEX(Section_Master!$D$2:$D$477,MATCH($E4571,Section_Master!$A$2:$A$477,0))&amp;"","")</f>
        <v>Not applicable - procedural provision (BNSS), no offence defined</v>
      </c>
      <c r="G4571" s="10" t="str">
        <f aca="false">IFERROR(INDEX(Section_Master!$E$2:$E$477,MATCH($E4571,Section_Master!$A$2:$A$477,0))&amp;"","")</f>
        <v>N/A</v>
      </c>
      <c r="H4571" s="10" t="str">
        <f aca="false">IFERROR(INDEX(Section_Master!$F$2:$F$477,MATCH($E4571,Section_Master!$A$2:$A$477,0))&amp;"","")</f>
        <v>N/A</v>
      </c>
      <c r="I4571" s="10" t="str">
        <f aca="false">IFERROR(INDEX(Section_Master!$G$2:$G$477,MATCH($E4571,Section_Master!$A$2:$A$477,0))&amp;"","")</f>
        <v>N/A</v>
      </c>
      <c r="J4571" s="10" t="s">
        <v>58</v>
      </c>
      <c r="K4571" s="8" t="s">
        <v>10697</v>
      </c>
    </row>
    <row r="4572" customFormat="false" ht="45.75" hidden="false" customHeight="true" outlineLevel="0" collapsed="false">
      <c r="A4572" s="10" t="s">
        <v>10704</v>
      </c>
      <c r="B4572" s="10" t="s">
        <v>10064</v>
      </c>
      <c r="C4572" s="8" t="s">
        <v>10695</v>
      </c>
      <c r="D4572" s="8" t="s">
        <v>10705</v>
      </c>
      <c r="E4572" s="11" t="n">
        <v>404</v>
      </c>
      <c r="F4572" s="8" t="str">
        <f aca="false">IFERROR(INDEX(Section_Master!$D$2:$D$477,MATCH($E4572,Section_Master!$A$2:$A$477,0))&amp;"","")</f>
        <v>Not applicable - procedural provision (BNSS), no offence defined</v>
      </c>
      <c r="G4572" s="10" t="str">
        <f aca="false">IFERROR(INDEX(Section_Master!$E$2:$E$477,MATCH($E4572,Section_Master!$A$2:$A$477,0))&amp;"","")</f>
        <v>N/A</v>
      </c>
      <c r="H4572" s="10" t="str">
        <f aca="false">IFERROR(INDEX(Section_Master!$F$2:$F$477,MATCH($E4572,Section_Master!$A$2:$A$477,0))&amp;"","")</f>
        <v>N/A</v>
      </c>
      <c r="I4572" s="10" t="str">
        <f aca="false">IFERROR(INDEX(Section_Master!$G$2:$G$477,MATCH($E4572,Section_Master!$A$2:$A$477,0))&amp;"","")</f>
        <v>N/A</v>
      </c>
      <c r="J4572" s="10" t="s">
        <v>61</v>
      </c>
      <c r="K4572" s="8" t="s">
        <v>10697</v>
      </c>
    </row>
    <row r="4573" customFormat="false" ht="45.75" hidden="false" customHeight="true" outlineLevel="0" collapsed="false">
      <c r="A4573" s="10" t="s">
        <v>10706</v>
      </c>
      <c r="B4573" s="10" t="s">
        <v>10064</v>
      </c>
      <c r="C4573" s="8" t="s">
        <v>10695</v>
      </c>
      <c r="D4573" s="8" t="s">
        <v>10707</v>
      </c>
      <c r="E4573" s="11" t="n">
        <v>404</v>
      </c>
      <c r="F4573" s="8" t="str">
        <f aca="false">IFERROR(INDEX(Section_Master!$D$2:$D$477,MATCH($E4573,Section_Master!$A$2:$A$477,0))&amp;"","")</f>
        <v>Not applicable - procedural provision (BNSS), no offence defined</v>
      </c>
      <c r="G4573" s="10" t="str">
        <f aca="false">IFERROR(INDEX(Section_Master!$E$2:$E$477,MATCH($E4573,Section_Master!$A$2:$A$477,0))&amp;"","")</f>
        <v>N/A</v>
      </c>
      <c r="H4573" s="10" t="str">
        <f aca="false">IFERROR(INDEX(Section_Master!$F$2:$F$477,MATCH($E4573,Section_Master!$A$2:$A$477,0))&amp;"","")</f>
        <v>N/A</v>
      </c>
      <c r="I4573" s="10" t="str">
        <f aca="false">IFERROR(INDEX(Section_Master!$G$2:$G$477,MATCH($E4573,Section_Master!$A$2:$A$477,0))&amp;"","")</f>
        <v>N/A</v>
      </c>
      <c r="J4573" s="10" t="s">
        <v>64</v>
      </c>
      <c r="K4573" s="8" t="s">
        <v>10697</v>
      </c>
    </row>
    <row r="4574" customFormat="false" ht="34.5" hidden="false" customHeight="true" outlineLevel="0" collapsed="false">
      <c r="A4574" s="10" t="s">
        <v>10708</v>
      </c>
      <c r="B4574" s="10" t="s">
        <v>10064</v>
      </c>
      <c r="C4574" s="8" t="s">
        <v>10709</v>
      </c>
      <c r="D4574" s="8" t="s">
        <v>10710</v>
      </c>
      <c r="E4574" s="11" t="n">
        <v>405</v>
      </c>
      <c r="F4574" s="8" t="str">
        <f aca="false">IFERROR(INDEX(Section_Master!$D$2:$D$477,MATCH($E4574,Section_Master!$A$2:$A$477,0))&amp;"","")</f>
        <v>Not applicable - procedural provision (BNSS), no offence defined</v>
      </c>
      <c r="G4574" s="10" t="str">
        <f aca="false">IFERROR(INDEX(Section_Master!$E$2:$E$477,MATCH($E4574,Section_Master!$A$2:$A$477,0))&amp;"","")</f>
        <v>N/A</v>
      </c>
      <c r="H4574" s="10" t="str">
        <f aca="false">IFERROR(INDEX(Section_Master!$F$2:$F$477,MATCH($E4574,Section_Master!$A$2:$A$477,0))&amp;"","")</f>
        <v>N/A</v>
      </c>
      <c r="I4574" s="10" t="str">
        <f aca="false">IFERROR(INDEX(Section_Master!$G$2:$G$477,MATCH($E4574,Section_Master!$A$2:$A$477,0))&amp;"","")</f>
        <v>N/A</v>
      </c>
      <c r="J4574" s="10" t="s">
        <v>48</v>
      </c>
      <c r="K4574" s="8" t="s">
        <v>10711</v>
      </c>
    </row>
    <row r="4575" customFormat="false" ht="34.5" hidden="false" customHeight="true" outlineLevel="0" collapsed="false">
      <c r="A4575" s="10" t="s">
        <v>10712</v>
      </c>
      <c r="B4575" s="10" t="s">
        <v>10064</v>
      </c>
      <c r="C4575" s="8" t="s">
        <v>10709</v>
      </c>
      <c r="D4575" s="8" t="s">
        <v>10713</v>
      </c>
      <c r="E4575" s="11" t="n">
        <v>405</v>
      </c>
      <c r="F4575" s="8" t="str">
        <f aca="false">IFERROR(INDEX(Section_Master!$D$2:$D$477,MATCH($E4575,Section_Master!$A$2:$A$477,0))&amp;"","")</f>
        <v>Not applicable - procedural provision (BNSS), no offence defined</v>
      </c>
      <c r="G4575" s="10" t="str">
        <f aca="false">IFERROR(INDEX(Section_Master!$E$2:$E$477,MATCH($E4575,Section_Master!$A$2:$A$477,0))&amp;"","")</f>
        <v>N/A</v>
      </c>
      <c r="H4575" s="10" t="str">
        <f aca="false">IFERROR(INDEX(Section_Master!$F$2:$F$477,MATCH($E4575,Section_Master!$A$2:$A$477,0))&amp;"","")</f>
        <v>N/A</v>
      </c>
      <c r="I4575" s="10" t="str">
        <f aca="false">IFERROR(INDEX(Section_Master!$G$2:$G$477,MATCH($E4575,Section_Master!$A$2:$A$477,0))&amp;"","")</f>
        <v>N/A</v>
      </c>
      <c r="J4575" s="10" t="s">
        <v>52</v>
      </c>
      <c r="K4575" s="8" t="s">
        <v>10711</v>
      </c>
    </row>
    <row r="4576" customFormat="false" ht="34.5" hidden="false" customHeight="true" outlineLevel="0" collapsed="false">
      <c r="A4576" s="10" t="s">
        <v>10714</v>
      </c>
      <c r="B4576" s="10" t="s">
        <v>10064</v>
      </c>
      <c r="C4576" s="8" t="s">
        <v>10709</v>
      </c>
      <c r="D4576" s="8" t="s">
        <v>10715</v>
      </c>
      <c r="E4576" s="11" t="n">
        <v>405</v>
      </c>
      <c r="F4576" s="8" t="str">
        <f aca="false">IFERROR(INDEX(Section_Master!$D$2:$D$477,MATCH($E4576,Section_Master!$A$2:$A$477,0))&amp;"","")</f>
        <v>Not applicable - procedural provision (BNSS), no offence defined</v>
      </c>
      <c r="G4576" s="10" t="str">
        <f aca="false">IFERROR(INDEX(Section_Master!$E$2:$E$477,MATCH($E4576,Section_Master!$A$2:$A$477,0))&amp;"","")</f>
        <v>N/A</v>
      </c>
      <c r="H4576" s="10" t="str">
        <f aca="false">IFERROR(INDEX(Section_Master!$F$2:$F$477,MATCH($E4576,Section_Master!$A$2:$A$477,0))&amp;"","")</f>
        <v>N/A</v>
      </c>
      <c r="I4576" s="10" t="str">
        <f aca="false">IFERROR(INDEX(Section_Master!$G$2:$G$477,MATCH($E4576,Section_Master!$A$2:$A$477,0))&amp;"","")</f>
        <v>N/A</v>
      </c>
      <c r="J4576" s="10" t="s">
        <v>55</v>
      </c>
      <c r="K4576" s="8" t="s">
        <v>10711</v>
      </c>
    </row>
    <row r="4577" customFormat="false" ht="23.25" hidden="false" customHeight="true" outlineLevel="0" collapsed="false">
      <c r="A4577" s="10" t="s">
        <v>10716</v>
      </c>
      <c r="B4577" s="10" t="s">
        <v>10064</v>
      </c>
      <c r="C4577" s="8" t="s">
        <v>10709</v>
      </c>
      <c r="D4577" s="8" t="s">
        <v>10717</v>
      </c>
      <c r="E4577" s="11" t="n">
        <v>405</v>
      </c>
      <c r="F4577" s="8" t="str">
        <f aca="false">IFERROR(INDEX(Section_Master!$D$2:$D$477,MATCH($E4577,Section_Master!$A$2:$A$477,0))&amp;"","")</f>
        <v>Not applicable - procedural provision (BNSS), no offence defined</v>
      </c>
      <c r="G4577" s="10" t="str">
        <f aca="false">IFERROR(INDEX(Section_Master!$E$2:$E$477,MATCH($E4577,Section_Master!$A$2:$A$477,0))&amp;"","")</f>
        <v>N/A</v>
      </c>
      <c r="H4577" s="10" t="str">
        <f aca="false">IFERROR(INDEX(Section_Master!$F$2:$F$477,MATCH($E4577,Section_Master!$A$2:$A$477,0))&amp;"","")</f>
        <v>N/A</v>
      </c>
      <c r="I4577" s="10" t="str">
        <f aca="false">IFERROR(INDEX(Section_Master!$G$2:$G$477,MATCH($E4577,Section_Master!$A$2:$A$477,0))&amp;"","")</f>
        <v>N/A</v>
      </c>
      <c r="J4577" s="10" t="s">
        <v>58</v>
      </c>
      <c r="K4577" s="8" t="s">
        <v>10711</v>
      </c>
    </row>
    <row r="4578" customFormat="false" ht="23.25" hidden="false" customHeight="true" outlineLevel="0" collapsed="false">
      <c r="A4578" s="10" t="s">
        <v>10718</v>
      </c>
      <c r="B4578" s="10" t="s">
        <v>10064</v>
      </c>
      <c r="C4578" s="8" t="s">
        <v>10709</v>
      </c>
      <c r="D4578" s="8" t="s">
        <v>10719</v>
      </c>
      <c r="E4578" s="11" t="n">
        <v>405</v>
      </c>
      <c r="F4578" s="8" t="str">
        <f aca="false">IFERROR(INDEX(Section_Master!$D$2:$D$477,MATCH($E4578,Section_Master!$A$2:$A$477,0))&amp;"","")</f>
        <v>Not applicable - procedural provision (BNSS), no offence defined</v>
      </c>
      <c r="G4578" s="10" t="str">
        <f aca="false">IFERROR(INDEX(Section_Master!$E$2:$E$477,MATCH($E4578,Section_Master!$A$2:$A$477,0))&amp;"","")</f>
        <v>N/A</v>
      </c>
      <c r="H4578" s="10" t="str">
        <f aca="false">IFERROR(INDEX(Section_Master!$F$2:$F$477,MATCH($E4578,Section_Master!$A$2:$A$477,0))&amp;"","")</f>
        <v>N/A</v>
      </c>
      <c r="I4578" s="10" t="str">
        <f aca="false">IFERROR(INDEX(Section_Master!$G$2:$G$477,MATCH($E4578,Section_Master!$A$2:$A$477,0))&amp;"","")</f>
        <v>N/A</v>
      </c>
      <c r="J4578" s="10" t="s">
        <v>61</v>
      </c>
      <c r="K4578" s="8" t="s">
        <v>10711</v>
      </c>
    </row>
    <row r="4579" customFormat="false" ht="45.75" hidden="false" customHeight="true" outlineLevel="0" collapsed="false">
      <c r="A4579" s="10" t="s">
        <v>10720</v>
      </c>
      <c r="B4579" s="10" t="s">
        <v>10064</v>
      </c>
      <c r="C4579" s="8" t="s">
        <v>10709</v>
      </c>
      <c r="D4579" s="8" t="s">
        <v>10721</v>
      </c>
      <c r="E4579" s="11" t="n">
        <v>405</v>
      </c>
      <c r="F4579" s="8" t="str">
        <f aca="false">IFERROR(INDEX(Section_Master!$D$2:$D$477,MATCH($E4579,Section_Master!$A$2:$A$477,0))&amp;"","")</f>
        <v>Not applicable - procedural provision (BNSS), no offence defined</v>
      </c>
      <c r="G4579" s="10" t="str">
        <f aca="false">IFERROR(INDEX(Section_Master!$E$2:$E$477,MATCH($E4579,Section_Master!$A$2:$A$477,0))&amp;"","")</f>
        <v>N/A</v>
      </c>
      <c r="H4579" s="10" t="str">
        <f aca="false">IFERROR(INDEX(Section_Master!$F$2:$F$477,MATCH($E4579,Section_Master!$A$2:$A$477,0))&amp;"","")</f>
        <v>N/A</v>
      </c>
      <c r="I4579" s="10" t="str">
        <f aca="false">IFERROR(INDEX(Section_Master!$G$2:$G$477,MATCH($E4579,Section_Master!$A$2:$A$477,0))&amp;"","")</f>
        <v>N/A</v>
      </c>
      <c r="J4579" s="10" t="s">
        <v>64</v>
      </c>
      <c r="K4579" s="8" t="s">
        <v>10711</v>
      </c>
    </row>
    <row r="4580" customFormat="false" ht="34.5" hidden="false" customHeight="true" outlineLevel="0" collapsed="false">
      <c r="A4580" s="10" t="s">
        <v>10722</v>
      </c>
      <c r="B4580" s="10" t="s">
        <v>10064</v>
      </c>
      <c r="C4580" s="8" t="s">
        <v>10723</v>
      </c>
      <c r="D4580" s="8" t="s">
        <v>10724</v>
      </c>
      <c r="E4580" s="11" t="n">
        <v>406</v>
      </c>
      <c r="F4580" s="8" t="str">
        <f aca="false">IFERROR(INDEX(Section_Master!$D$2:$D$477,MATCH($E4580,Section_Master!$A$2:$A$477,0))&amp;"","")</f>
        <v>Not applicable - procedural provision (BNSS), no offence defined</v>
      </c>
      <c r="G4580" s="10" t="str">
        <f aca="false">IFERROR(INDEX(Section_Master!$E$2:$E$477,MATCH($E4580,Section_Master!$A$2:$A$477,0))&amp;"","")</f>
        <v>N/A</v>
      </c>
      <c r="H4580" s="10" t="str">
        <f aca="false">IFERROR(INDEX(Section_Master!$F$2:$F$477,MATCH($E4580,Section_Master!$A$2:$A$477,0))&amp;"","")</f>
        <v>N/A</v>
      </c>
      <c r="I4580" s="10" t="str">
        <f aca="false">IFERROR(INDEX(Section_Master!$G$2:$G$477,MATCH($E4580,Section_Master!$A$2:$A$477,0))&amp;"","")</f>
        <v>N/A</v>
      </c>
      <c r="J4580" s="10" t="s">
        <v>48</v>
      </c>
      <c r="K4580" s="8" t="s">
        <v>10725</v>
      </c>
    </row>
    <row r="4581" customFormat="false" ht="45.75" hidden="false" customHeight="true" outlineLevel="0" collapsed="false">
      <c r="A4581" s="10" t="s">
        <v>10726</v>
      </c>
      <c r="B4581" s="10" t="s">
        <v>10064</v>
      </c>
      <c r="C4581" s="8" t="s">
        <v>10723</v>
      </c>
      <c r="D4581" s="8" t="s">
        <v>10727</v>
      </c>
      <c r="E4581" s="11" t="n">
        <v>406</v>
      </c>
      <c r="F4581" s="8" t="str">
        <f aca="false">IFERROR(INDEX(Section_Master!$D$2:$D$477,MATCH($E4581,Section_Master!$A$2:$A$477,0))&amp;"","")</f>
        <v>Not applicable - procedural provision (BNSS), no offence defined</v>
      </c>
      <c r="G4581" s="10" t="str">
        <f aca="false">IFERROR(INDEX(Section_Master!$E$2:$E$477,MATCH($E4581,Section_Master!$A$2:$A$477,0))&amp;"","")</f>
        <v>N/A</v>
      </c>
      <c r="H4581" s="10" t="str">
        <f aca="false">IFERROR(INDEX(Section_Master!$F$2:$F$477,MATCH($E4581,Section_Master!$A$2:$A$477,0))&amp;"","")</f>
        <v>N/A</v>
      </c>
      <c r="I4581" s="10" t="str">
        <f aca="false">IFERROR(INDEX(Section_Master!$G$2:$G$477,MATCH($E4581,Section_Master!$A$2:$A$477,0))&amp;"","")</f>
        <v>N/A</v>
      </c>
      <c r="J4581" s="10" t="s">
        <v>52</v>
      </c>
      <c r="K4581" s="8" t="s">
        <v>10725</v>
      </c>
    </row>
    <row r="4582" customFormat="false" ht="34.5" hidden="false" customHeight="true" outlineLevel="0" collapsed="false">
      <c r="A4582" s="10" t="s">
        <v>10728</v>
      </c>
      <c r="B4582" s="10" t="s">
        <v>10064</v>
      </c>
      <c r="C4582" s="8" t="s">
        <v>10723</v>
      </c>
      <c r="D4582" s="8" t="s">
        <v>10729</v>
      </c>
      <c r="E4582" s="11" t="n">
        <v>406</v>
      </c>
      <c r="F4582" s="8" t="str">
        <f aca="false">IFERROR(INDEX(Section_Master!$D$2:$D$477,MATCH($E4582,Section_Master!$A$2:$A$477,0))&amp;"","")</f>
        <v>Not applicable - procedural provision (BNSS), no offence defined</v>
      </c>
      <c r="G4582" s="10" t="str">
        <f aca="false">IFERROR(INDEX(Section_Master!$E$2:$E$477,MATCH($E4582,Section_Master!$A$2:$A$477,0))&amp;"","")</f>
        <v>N/A</v>
      </c>
      <c r="H4582" s="10" t="str">
        <f aca="false">IFERROR(INDEX(Section_Master!$F$2:$F$477,MATCH($E4582,Section_Master!$A$2:$A$477,0))&amp;"","")</f>
        <v>N/A</v>
      </c>
      <c r="I4582" s="10" t="str">
        <f aca="false">IFERROR(INDEX(Section_Master!$G$2:$G$477,MATCH($E4582,Section_Master!$A$2:$A$477,0))&amp;"","")</f>
        <v>N/A</v>
      </c>
      <c r="J4582" s="10" t="s">
        <v>55</v>
      </c>
      <c r="K4582" s="8" t="s">
        <v>10725</v>
      </c>
    </row>
    <row r="4583" customFormat="false" ht="34.5" hidden="false" customHeight="true" outlineLevel="0" collapsed="false">
      <c r="A4583" s="10" t="s">
        <v>10730</v>
      </c>
      <c r="B4583" s="10" t="s">
        <v>10064</v>
      </c>
      <c r="C4583" s="8" t="s">
        <v>10723</v>
      </c>
      <c r="D4583" s="8" t="s">
        <v>10731</v>
      </c>
      <c r="E4583" s="11" t="n">
        <v>406</v>
      </c>
      <c r="F4583" s="8" t="str">
        <f aca="false">IFERROR(INDEX(Section_Master!$D$2:$D$477,MATCH($E4583,Section_Master!$A$2:$A$477,0))&amp;"","")</f>
        <v>Not applicable - procedural provision (BNSS), no offence defined</v>
      </c>
      <c r="G4583" s="10" t="str">
        <f aca="false">IFERROR(INDEX(Section_Master!$E$2:$E$477,MATCH($E4583,Section_Master!$A$2:$A$477,0))&amp;"","")</f>
        <v>N/A</v>
      </c>
      <c r="H4583" s="10" t="str">
        <f aca="false">IFERROR(INDEX(Section_Master!$F$2:$F$477,MATCH($E4583,Section_Master!$A$2:$A$477,0))&amp;"","")</f>
        <v>N/A</v>
      </c>
      <c r="I4583" s="10" t="str">
        <f aca="false">IFERROR(INDEX(Section_Master!$G$2:$G$477,MATCH($E4583,Section_Master!$A$2:$A$477,0))&amp;"","")</f>
        <v>N/A</v>
      </c>
      <c r="J4583" s="10" t="s">
        <v>58</v>
      </c>
      <c r="K4583" s="8" t="s">
        <v>10725</v>
      </c>
    </row>
    <row r="4584" customFormat="false" ht="34.5" hidden="false" customHeight="true" outlineLevel="0" collapsed="false">
      <c r="A4584" s="10" t="s">
        <v>10732</v>
      </c>
      <c r="B4584" s="10" t="s">
        <v>10064</v>
      </c>
      <c r="C4584" s="8" t="s">
        <v>10723</v>
      </c>
      <c r="D4584" s="8" t="s">
        <v>10733</v>
      </c>
      <c r="E4584" s="11" t="n">
        <v>406</v>
      </c>
      <c r="F4584" s="8" t="str">
        <f aca="false">IFERROR(INDEX(Section_Master!$D$2:$D$477,MATCH($E4584,Section_Master!$A$2:$A$477,0))&amp;"","")</f>
        <v>Not applicable - procedural provision (BNSS), no offence defined</v>
      </c>
      <c r="G4584" s="10" t="str">
        <f aca="false">IFERROR(INDEX(Section_Master!$E$2:$E$477,MATCH($E4584,Section_Master!$A$2:$A$477,0))&amp;"","")</f>
        <v>N/A</v>
      </c>
      <c r="H4584" s="10" t="str">
        <f aca="false">IFERROR(INDEX(Section_Master!$F$2:$F$477,MATCH($E4584,Section_Master!$A$2:$A$477,0))&amp;"","")</f>
        <v>N/A</v>
      </c>
      <c r="I4584" s="10" t="str">
        <f aca="false">IFERROR(INDEX(Section_Master!$G$2:$G$477,MATCH($E4584,Section_Master!$A$2:$A$477,0))&amp;"","")</f>
        <v>N/A</v>
      </c>
      <c r="J4584" s="10" t="s">
        <v>61</v>
      </c>
      <c r="K4584" s="8" t="s">
        <v>10725</v>
      </c>
    </row>
    <row r="4585" customFormat="false" ht="45.75" hidden="false" customHeight="true" outlineLevel="0" collapsed="false">
      <c r="A4585" s="10" t="s">
        <v>10734</v>
      </c>
      <c r="B4585" s="10" t="s">
        <v>10064</v>
      </c>
      <c r="C4585" s="8" t="s">
        <v>10723</v>
      </c>
      <c r="D4585" s="8" t="s">
        <v>10735</v>
      </c>
      <c r="E4585" s="11" t="n">
        <v>406</v>
      </c>
      <c r="F4585" s="8" t="str">
        <f aca="false">IFERROR(INDEX(Section_Master!$D$2:$D$477,MATCH($E4585,Section_Master!$A$2:$A$477,0))&amp;"","")</f>
        <v>Not applicable - procedural provision (BNSS), no offence defined</v>
      </c>
      <c r="G4585" s="10" t="str">
        <f aca="false">IFERROR(INDEX(Section_Master!$E$2:$E$477,MATCH($E4585,Section_Master!$A$2:$A$477,0))&amp;"","")</f>
        <v>N/A</v>
      </c>
      <c r="H4585" s="10" t="str">
        <f aca="false">IFERROR(INDEX(Section_Master!$F$2:$F$477,MATCH($E4585,Section_Master!$A$2:$A$477,0))&amp;"","")</f>
        <v>N/A</v>
      </c>
      <c r="I4585" s="10" t="str">
        <f aca="false">IFERROR(INDEX(Section_Master!$G$2:$G$477,MATCH($E4585,Section_Master!$A$2:$A$477,0))&amp;"","")</f>
        <v>N/A</v>
      </c>
      <c r="J4585" s="10" t="s">
        <v>64</v>
      </c>
      <c r="K4585" s="8" t="s">
        <v>10725</v>
      </c>
    </row>
    <row r="4586" customFormat="false" ht="34.5" hidden="false" customHeight="true" outlineLevel="0" collapsed="false">
      <c r="A4586" s="10" t="s">
        <v>10736</v>
      </c>
      <c r="B4586" s="10" t="s">
        <v>10064</v>
      </c>
      <c r="C4586" s="8" t="s">
        <v>10737</v>
      </c>
      <c r="D4586" s="8" t="s">
        <v>10738</v>
      </c>
      <c r="E4586" s="11" t="n">
        <v>407</v>
      </c>
      <c r="F4586" s="8" t="str">
        <f aca="false">IFERROR(INDEX(Section_Master!$D$2:$D$477,MATCH($E4586,Section_Master!$A$2:$A$477,0))&amp;"","")</f>
        <v>Not applicable - procedural provision (BNSS), no offence defined</v>
      </c>
      <c r="G4586" s="10" t="str">
        <f aca="false">IFERROR(INDEX(Section_Master!$E$2:$E$477,MATCH($E4586,Section_Master!$A$2:$A$477,0))&amp;"","")</f>
        <v>N/A</v>
      </c>
      <c r="H4586" s="10" t="str">
        <f aca="false">IFERROR(INDEX(Section_Master!$F$2:$F$477,MATCH($E4586,Section_Master!$A$2:$A$477,0))&amp;"","")</f>
        <v>N/A</v>
      </c>
      <c r="I4586" s="10" t="str">
        <f aca="false">IFERROR(INDEX(Section_Master!$G$2:$G$477,MATCH($E4586,Section_Master!$A$2:$A$477,0))&amp;"","")</f>
        <v>N/A</v>
      </c>
      <c r="J4586" s="10" t="s">
        <v>48</v>
      </c>
      <c r="K4586" s="8" t="s">
        <v>10739</v>
      </c>
    </row>
    <row r="4587" customFormat="false" ht="45.75" hidden="false" customHeight="true" outlineLevel="0" collapsed="false">
      <c r="A4587" s="10" t="s">
        <v>10740</v>
      </c>
      <c r="B4587" s="10" t="s">
        <v>10064</v>
      </c>
      <c r="C4587" s="8" t="s">
        <v>10737</v>
      </c>
      <c r="D4587" s="8" t="s">
        <v>10741</v>
      </c>
      <c r="E4587" s="11" t="n">
        <v>407</v>
      </c>
      <c r="F4587" s="8" t="str">
        <f aca="false">IFERROR(INDEX(Section_Master!$D$2:$D$477,MATCH($E4587,Section_Master!$A$2:$A$477,0))&amp;"","")</f>
        <v>Not applicable - procedural provision (BNSS), no offence defined</v>
      </c>
      <c r="G4587" s="10" t="str">
        <f aca="false">IFERROR(INDEX(Section_Master!$E$2:$E$477,MATCH($E4587,Section_Master!$A$2:$A$477,0))&amp;"","")</f>
        <v>N/A</v>
      </c>
      <c r="H4587" s="10" t="str">
        <f aca="false">IFERROR(INDEX(Section_Master!$F$2:$F$477,MATCH($E4587,Section_Master!$A$2:$A$477,0))&amp;"","")</f>
        <v>N/A</v>
      </c>
      <c r="I4587" s="10" t="str">
        <f aca="false">IFERROR(INDEX(Section_Master!$G$2:$G$477,MATCH($E4587,Section_Master!$A$2:$A$477,0))&amp;"","")</f>
        <v>N/A</v>
      </c>
      <c r="J4587" s="10" t="s">
        <v>52</v>
      </c>
      <c r="K4587" s="8" t="s">
        <v>10739</v>
      </c>
    </row>
    <row r="4588" customFormat="false" ht="34.5" hidden="false" customHeight="true" outlineLevel="0" collapsed="false">
      <c r="A4588" s="10" t="s">
        <v>10742</v>
      </c>
      <c r="B4588" s="10" t="s">
        <v>10064</v>
      </c>
      <c r="C4588" s="8" t="s">
        <v>10737</v>
      </c>
      <c r="D4588" s="8" t="s">
        <v>10743</v>
      </c>
      <c r="E4588" s="11" t="n">
        <v>407</v>
      </c>
      <c r="F4588" s="8" t="str">
        <f aca="false">IFERROR(INDEX(Section_Master!$D$2:$D$477,MATCH($E4588,Section_Master!$A$2:$A$477,0))&amp;"","")</f>
        <v>Not applicable - procedural provision (BNSS), no offence defined</v>
      </c>
      <c r="G4588" s="10" t="str">
        <f aca="false">IFERROR(INDEX(Section_Master!$E$2:$E$477,MATCH($E4588,Section_Master!$A$2:$A$477,0))&amp;"","")</f>
        <v>N/A</v>
      </c>
      <c r="H4588" s="10" t="str">
        <f aca="false">IFERROR(INDEX(Section_Master!$F$2:$F$477,MATCH($E4588,Section_Master!$A$2:$A$477,0))&amp;"","")</f>
        <v>N/A</v>
      </c>
      <c r="I4588" s="10" t="str">
        <f aca="false">IFERROR(INDEX(Section_Master!$G$2:$G$477,MATCH($E4588,Section_Master!$A$2:$A$477,0))&amp;"","")</f>
        <v>N/A</v>
      </c>
      <c r="J4588" s="10" t="s">
        <v>55</v>
      </c>
      <c r="K4588" s="8" t="s">
        <v>10739</v>
      </c>
    </row>
    <row r="4589" customFormat="false" ht="23.25" hidden="false" customHeight="true" outlineLevel="0" collapsed="false">
      <c r="A4589" s="10" t="s">
        <v>10744</v>
      </c>
      <c r="B4589" s="10" t="s">
        <v>10064</v>
      </c>
      <c r="C4589" s="8" t="s">
        <v>10737</v>
      </c>
      <c r="D4589" s="8" t="s">
        <v>10745</v>
      </c>
      <c r="E4589" s="11" t="n">
        <v>407</v>
      </c>
      <c r="F4589" s="8" t="str">
        <f aca="false">IFERROR(INDEX(Section_Master!$D$2:$D$477,MATCH($E4589,Section_Master!$A$2:$A$477,0))&amp;"","")</f>
        <v>Not applicable - procedural provision (BNSS), no offence defined</v>
      </c>
      <c r="G4589" s="10" t="str">
        <f aca="false">IFERROR(INDEX(Section_Master!$E$2:$E$477,MATCH($E4589,Section_Master!$A$2:$A$477,0))&amp;"","")</f>
        <v>N/A</v>
      </c>
      <c r="H4589" s="10" t="str">
        <f aca="false">IFERROR(INDEX(Section_Master!$F$2:$F$477,MATCH($E4589,Section_Master!$A$2:$A$477,0))&amp;"","")</f>
        <v>N/A</v>
      </c>
      <c r="I4589" s="10" t="str">
        <f aca="false">IFERROR(INDEX(Section_Master!$G$2:$G$477,MATCH($E4589,Section_Master!$A$2:$A$477,0))&amp;"","")</f>
        <v>N/A</v>
      </c>
      <c r="J4589" s="10" t="s">
        <v>58</v>
      </c>
      <c r="K4589" s="8" t="s">
        <v>10739</v>
      </c>
    </row>
    <row r="4590" customFormat="false" ht="34.5" hidden="false" customHeight="true" outlineLevel="0" collapsed="false">
      <c r="A4590" s="10" t="s">
        <v>10746</v>
      </c>
      <c r="B4590" s="10" t="s">
        <v>10064</v>
      </c>
      <c r="C4590" s="8" t="s">
        <v>10737</v>
      </c>
      <c r="D4590" s="8" t="s">
        <v>10747</v>
      </c>
      <c r="E4590" s="11" t="n">
        <v>407</v>
      </c>
      <c r="F4590" s="8" t="str">
        <f aca="false">IFERROR(INDEX(Section_Master!$D$2:$D$477,MATCH($E4590,Section_Master!$A$2:$A$477,0))&amp;"","")</f>
        <v>Not applicable - procedural provision (BNSS), no offence defined</v>
      </c>
      <c r="G4590" s="10" t="str">
        <f aca="false">IFERROR(INDEX(Section_Master!$E$2:$E$477,MATCH($E4590,Section_Master!$A$2:$A$477,0))&amp;"","")</f>
        <v>N/A</v>
      </c>
      <c r="H4590" s="10" t="str">
        <f aca="false">IFERROR(INDEX(Section_Master!$F$2:$F$477,MATCH($E4590,Section_Master!$A$2:$A$477,0))&amp;"","")</f>
        <v>N/A</v>
      </c>
      <c r="I4590" s="10" t="str">
        <f aca="false">IFERROR(INDEX(Section_Master!$G$2:$G$477,MATCH($E4590,Section_Master!$A$2:$A$477,0))&amp;"","")</f>
        <v>N/A</v>
      </c>
      <c r="J4590" s="10" t="s">
        <v>61</v>
      </c>
      <c r="K4590" s="8" t="s">
        <v>10739</v>
      </c>
    </row>
    <row r="4591" customFormat="false" ht="45.75" hidden="false" customHeight="true" outlineLevel="0" collapsed="false">
      <c r="A4591" s="10" t="s">
        <v>10748</v>
      </c>
      <c r="B4591" s="10" t="s">
        <v>10064</v>
      </c>
      <c r="C4591" s="8" t="s">
        <v>10737</v>
      </c>
      <c r="D4591" s="8" t="s">
        <v>10749</v>
      </c>
      <c r="E4591" s="11" t="n">
        <v>407</v>
      </c>
      <c r="F4591" s="8" t="str">
        <f aca="false">IFERROR(INDEX(Section_Master!$D$2:$D$477,MATCH($E4591,Section_Master!$A$2:$A$477,0))&amp;"","")</f>
        <v>Not applicable - procedural provision (BNSS), no offence defined</v>
      </c>
      <c r="G4591" s="10" t="str">
        <f aca="false">IFERROR(INDEX(Section_Master!$E$2:$E$477,MATCH($E4591,Section_Master!$A$2:$A$477,0))&amp;"","")</f>
        <v>N/A</v>
      </c>
      <c r="H4591" s="10" t="str">
        <f aca="false">IFERROR(INDEX(Section_Master!$F$2:$F$477,MATCH($E4591,Section_Master!$A$2:$A$477,0))&amp;"","")</f>
        <v>N/A</v>
      </c>
      <c r="I4591" s="10" t="str">
        <f aca="false">IFERROR(INDEX(Section_Master!$G$2:$G$477,MATCH($E4591,Section_Master!$A$2:$A$477,0))&amp;"","")</f>
        <v>N/A</v>
      </c>
      <c r="J4591" s="10" t="s">
        <v>64</v>
      </c>
      <c r="K4591" s="8" t="s">
        <v>10739</v>
      </c>
    </row>
    <row r="4592" customFormat="false" ht="34.5" hidden="false" customHeight="true" outlineLevel="0" collapsed="false">
      <c r="A4592" s="10" t="s">
        <v>10750</v>
      </c>
      <c r="B4592" s="10" t="s">
        <v>10064</v>
      </c>
      <c r="C4592" s="8" t="s">
        <v>10751</v>
      </c>
      <c r="D4592" s="8" t="s">
        <v>10752</v>
      </c>
      <c r="E4592" s="11" t="n">
        <v>408</v>
      </c>
      <c r="F4592" s="8" t="str">
        <f aca="false">IFERROR(INDEX(Section_Master!$D$2:$D$477,MATCH($E4592,Section_Master!$A$2:$A$477,0))&amp;"","")</f>
        <v>Not applicable - procedural provision (BNSS), no offence defined</v>
      </c>
      <c r="G4592" s="10" t="str">
        <f aca="false">IFERROR(INDEX(Section_Master!$E$2:$E$477,MATCH($E4592,Section_Master!$A$2:$A$477,0))&amp;"","")</f>
        <v>N/A</v>
      </c>
      <c r="H4592" s="10" t="str">
        <f aca="false">IFERROR(INDEX(Section_Master!$F$2:$F$477,MATCH($E4592,Section_Master!$A$2:$A$477,0))&amp;"","")</f>
        <v>N/A</v>
      </c>
      <c r="I4592" s="10" t="str">
        <f aca="false">IFERROR(INDEX(Section_Master!$G$2:$G$477,MATCH($E4592,Section_Master!$A$2:$A$477,0))&amp;"","")</f>
        <v>N/A</v>
      </c>
      <c r="J4592" s="10" t="s">
        <v>48</v>
      </c>
      <c r="K4592" s="8" t="s">
        <v>10753</v>
      </c>
    </row>
    <row r="4593" customFormat="false" ht="45.75" hidden="false" customHeight="true" outlineLevel="0" collapsed="false">
      <c r="A4593" s="10" t="s">
        <v>10754</v>
      </c>
      <c r="B4593" s="10" t="s">
        <v>10064</v>
      </c>
      <c r="C4593" s="8" t="s">
        <v>10751</v>
      </c>
      <c r="D4593" s="8" t="s">
        <v>10755</v>
      </c>
      <c r="E4593" s="11" t="n">
        <v>408</v>
      </c>
      <c r="F4593" s="8" t="str">
        <f aca="false">IFERROR(INDEX(Section_Master!$D$2:$D$477,MATCH($E4593,Section_Master!$A$2:$A$477,0))&amp;"","")</f>
        <v>Not applicable - procedural provision (BNSS), no offence defined</v>
      </c>
      <c r="G4593" s="10" t="str">
        <f aca="false">IFERROR(INDEX(Section_Master!$E$2:$E$477,MATCH($E4593,Section_Master!$A$2:$A$477,0))&amp;"","")</f>
        <v>N/A</v>
      </c>
      <c r="H4593" s="10" t="str">
        <f aca="false">IFERROR(INDEX(Section_Master!$F$2:$F$477,MATCH($E4593,Section_Master!$A$2:$A$477,0))&amp;"","")</f>
        <v>N/A</v>
      </c>
      <c r="I4593" s="10" t="str">
        <f aca="false">IFERROR(INDEX(Section_Master!$G$2:$G$477,MATCH($E4593,Section_Master!$A$2:$A$477,0))&amp;"","")</f>
        <v>N/A</v>
      </c>
      <c r="J4593" s="10" t="s">
        <v>52</v>
      </c>
      <c r="K4593" s="8" t="s">
        <v>10753</v>
      </c>
    </row>
    <row r="4594" customFormat="false" ht="45.75" hidden="false" customHeight="true" outlineLevel="0" collapsed="false">
      <c r="A4594" s="10" t="s">
        <v>10756</v>
      </c>
      <c r="B4594" s="10" t="s">
        <v>10064</v>
      </c>
      <c r="C4594" s="8" t="s">
        <v>10751</v>
      </c>
      <c r="D4594" s="8" t="s">
        <v>10757</v>
      </c>
      <c r="E4594" s="11" t="n">
        <v>408</v>
      </c>
      <c r="F4594" s="8" t="str">
        <f aca="false">IFERROR(INDEX(Section_Master!$D$2:$D$477,MATCH($E4594,Section_Master!$A$2:$A$477,0))&amp;"","")</f>
        <v>Not applicable - procedural provision (BNSS), no offence defined</v>
      </c>
      <c r="G4594" s="10" t="str">
        <f aca="false">IFERROR(INDEX(Section_Master!$E$2:$E$477,MATCH($E4594,Section_Master!$A$2:$A$477,0))&amp;"","")</f>
        <v>N/A</v>
      </c>
      <c r="H4594" s="10" t="str">
        <f aca="false">IFERROR(INDEX(Section_Master!$F$2:$F$477,MATCH($E4594,Section_Master!$A$2:$A$477,0))&amp;"","")</f>
        <v>N/A</v>
      </c>
      <c r="I4594" s="10" t="str">
        <f aca="false">IFERROR(INDEX(Section_Master!$G$2:$G$477,MATCH($E4594,Section_Master!$A$2:$A$477,0))&amp;"","")</f>
        <v>N/A</v>
      </c>
      <c r="J4594" s="10" t="s">
        <v>55</v>
      </c>
      <c r="K4594" s="8" t="s">
        <v>10753</v>
      </c>
    </row>
    <row r="4595" customFormat="false" ht="34.5" hidden="false" customHeight="true" outlineLevel="0" collapsed="false">
      <c r="A4595" s="10" t="s">
        <v>10758</v>
      </c>
      <c r="B4595" s="10" t="s">
        <v>10064</v>
      </c>
      <c r="C4595" s="8" t="s">
        <v>10751</v>
      </c>
      <c r="D4595" s="8" t="s">
        <v>10759</v>
      </c>
      <c r="E4595" s="11" t="n">
        <v>408</v>
      </c>
      <c r="F4595" s="8" t="str">
        <f aca="false">IFERROR(INDEX(Section_Master!$D$2:$D$477,MATCH($E4595,Section_Master!$A$2:$A$477,0))&amp;"","")</f>
        <v>Not applicable - procedural provision (BNSS), no offence defined</v>
      </c>
      <c r="G4595" s="10" t="str">
        <f aca="false">IFERROR(INDEX(Section_Master!$E$2:$E$477,MATCH($E4595,Section_Master!$A$2:$A$477,0))&amp;"","")</f>
        <v>N/A</v>
      </c>
      <c r="H4595" s="10" t="str">
        <f aca="false">IFERROR(INDEX(Section_Master!$F$2:$F$477,MATCH($E4595,Section_Master!$A$2:$A$477,0))&amp;"","")</f>
        <v>N/A</v>
      </c>
      <c r="I4595" s="10" t="str">
        <f aca="false">IFERROR(INDEX(Section_Master!$G$2:$G$477,MATCH($E4595,Section_Master!$A$2:$A$477,0))&amp;"","")</f>
        <v>N/A</v>
      </c>
      <c r="J4595" s="10" t="s">
        <v>58</v>
      </c>
      <c r="K4595" s="8" t="s">
        <v>10753</v>
      </c>
    </row>
    <row r="4596" customFormat="false" ht="34.5" hidden="false" customHeight="true" outlineLevel="0" collapsed="false">
      <c r="A4596" s="10" t="s">
        <v>10760</v>
      </c>
      <c r="B4596" s="10" t="s">
        <v>10064</v>
      </c>
      <c r="C4596" s="8" t="s">
        <v>10751</v>
      </c>
      <c r="D4596" s="8" t="s">
        <v>10761</v>
      </c>
      <c r="E4596" s="11" t="n">
        <v>408</v>
      </c>
      <c r="F4596" s="8" t="str">
        <f aca="false">IFERROR(INDEX(Section_Master!$D$2:$D$477,MATCH($E4596,Section_Master!$A$2:$A$477,0))&amp;"","")</f>
        <v>Not applicable - procedural provision (BNSS), no offence defined</v>
      </c>
      <c r="G4596" s="10" t="str">
        <f aca="false">IFERROR(INDEX(Section_Master!$E$2:$E$477,MATCH($E4596,Section_Master!$A$2:$A$477,0))&amp;"","")</f>
        <v>N/A</v>
      </c>
      <c r="H4596" s="10" t="str">
        <f aca="false">IFERROR(INDEX(Section_Master!$F$2:$F$477,MATCH($E4596,Section_Master!$A$2:$A$477,0))&amp;"","")</f>
        <v>N/A</v>
      </c>
      <c r="I4596" s="10" t="str">
        <f aca="false">IFERROR(INDEX(Section_Master!$G$2:$G$477,MATCH($E4596,Section_Master!$A$2:$A$477,0))&amp;"","")</f>
        <v>N/A</v>
      </c>
      <c r="J4596" s="10" t="s">
        <v>61</v>
      </c>
      <c r="K4596" s="8" t="s">
        <v>10753</v>
      </c>
    </row>
    <row r="4597" customFormat="false" ht="45.75" hidden="false" customHeight="true" outlineLevel="0" collapsed="false">
      <c r="A4597" s="10" t="s">
        <v>10762</v>
      </c>
      <c r="B4597" s="10" t="s">
        <v>10064</v>
      </c>
      <c r="C4597" s="8" t="s">
        <v>10751</v>
      </c>
      <c r="D4597" s="8" t="s">
        <v>10763</v>
      </c>
      <c r="E4597" s="11" t="n">
        <v>408</v>
      </c>
      <c r="F4597" s="8" t="str">
        <f aca="false">IFERROR(INDEX(Section_Master!$D$2:$D$477,MATCH($E4597,Section_Master!$A$2:$A$477,0))&amp;"","")</f>
        <v>Not applicable - procedural provision (BNSS), no offence defined</v>
      </c>
      <c r="G4597" s="10" t="str">
        <f aca="false">IFERROR(INDEX(Section_Master!$E$2:$E$477,MATCH($E4597,Section_Master!$A$2:$A$477,0))&amp;"","")</f>
        <v>N/A</v>
      </c>
      <c r="H4597" s="10" t="str">
        <f aca="false">IFERROR(INDEX(Section_Master!$F$2:$F$477,MATCH($E4597,Section_Master!$A$2:$A$477,0))&amp;"","")</f>
        <v>N/A</v>
      </c>
      <c r="I4597" s="10" t="str">
        <f aca="false">IFERROR(INDEX(Section_Master!$G$2:$G$477,MATCH($E4597,Section_Master!$A$2:$A$477,0))&amp;"","")</f>
        <v>N/A</v>
      </c>
      <c r="J4597" s="10" t="s">
        <v>64</v>
      </c>
      <c r="K4597" s="8" t="s">
        <v>10753</v>
      </c>
    </row>
    <row r="4598" customFormat="false" ht="34.5" hidden="false" customHeight="true" outlineLevel="0" collapsed="false">
      <c r="A4598" s="10" t="s">
        <v>10764</v>
      </c>
      <c r="B4598" s="10" t="s">
        <v>10064</v>
      </c>
      <c r="C4598" s="8" t="s">
        <v>10765</v>
      </c>
      <c r="D4598" s="8" t="s">
        <v>10766</v>
      </c>
      <c r="E4598" s="11" t="n">
        <v>409</v>
      </c>
      <c r="F4598" s="8" t="str">
        <f aca="false">IFERROR(INDEX(Section_Master!$D$2:$D$477,MATCH($E4598,Section_Master!$A$2:$A$477,0))&amp;"","")</f>
        <v>Not applicable - procedural provision (BNSS), no offence defined</v>
      </c>
      <c r="G4598" s="10" t="str">
        <f aca="false">IFERROR(INDEX(Section_Master!$E$2:$E$477,MATCH($E4598,Section_Master!$A$2:$A$477,0))&amp;"","")</f>
        <v>N/A</v>
      </c>
      <c r="H4598" s="10" t="str">
        <f aca="false">IFERROR(INDEX(Section_Master!$F$2:$F$477,MATCH($E4598,Section_Master!$A$2:$A$477,0))&amp;"","")</f>
        <v>N/A</v>
      </c>
      <c r="I4598" s="10" t="str">
        <f aca="false">IFERROR(INDEX(Section_Master!$G$2:$G$477,MATCH($E4598,Section_Master!$A$2:$A$477,0))&amp;"","")</f>
        <v>N/A</v>
      </c>
      <c r="J4598" s="10" t="s">
        <v>48</v>
      </c>
      <c r="K4598" s="8" t="s">
        <v>10767</v>
      </c>
    </row>
    <row r="4599" customFormat="false" ht="45.75" hidden="false" customHeight="true" outlineLevel="0" collapsed="false">
      <c r="A4599" s="10" t="s">
        <v>10768</v>
      </c>
      <c r="B4599" s="10" t="s">
        <v>10064</v>
      </c>
      <c r="C4599" s="8" t="s">
        <v>10765</v>
      </c>
      <c r="D4599" s="8" t="s">
        <v>10769</v>
      </c>
      <c r="E4599" s="11" t="n">
        <v>409</v>
      </c>
      <c r="F4599" s="8" t="str">
        <f aca="false">IFERROR(INDEX(Section_Master!$D$2:$D$477,MATCH($E4599,Section_Master!$A$2:$A$477,0))&amp;"","")</f>
        <v>Not applicable - procedural provision (BNSS), no offence defined</v>
      </c>
      <c r="G4599" s="10" t="str">
        <f aca="false">IFERROR(INDEX(Section_Master!$E$2:$E$477,MATCH($E4599,Section_Master!$A$2:$A$477,0))&amp;"","")</f>
        <v>N/A</v>
      </c>
      <c r="H4599" s="10" t="str">
        <f aca="false">IFERROR(INDEX(Section_Master!$F$2:$F$477,MATCH($E4599,Section_Master!$A$2:$A$477,0))&amp;"","")</f>
        <v>N/A</v>
      </c>
      <c r="I4599" s="10" t="str">
        <f aca="false">IFERROR(INDEX(Section_Master!$G$2:$G$477,MATCH($E4599,Section_Master!$A$2:$A$477,0))&amp;"","")</f>
        <v>N/A</v>
      </c>
      <c r="J4599" s="10" t="s">
        <v>52</v>
      </c>
      <c r="K4599" s="8" t="s">
        <v>10767</v>
      </c>
    </row>
    <row r="4600" customFormat="false" ht="23.25" hidden="false" customHeight="true" outlineLevel="0" collapsed="false">
      <c r="A4600" s="10" t="s">
        <v>10770</v>
      </c>
      <c r="B4600" s="10" t="s">
        <v>10064</v>
      </c>
      <c r="C4600" s="8" t="s">
        <v>10765</v>
      </c>
      <c r="D4600" s="8" t="s">
        <v>10771</v>
      </c>
      <c r="E4600" s="11" t="n">
        <v>409</v>
      </c>
      <c r="F4600" s="8" t="str">
        <f aca="false">IFERROR(INDEX(Section_Master!$D$2:$D$477,MATCH($E4600,Section_Master!$A$2:$A$477,0))&amp;"","")</f>
        <v>Not applicable - procedural provision (BNSS), no offence defined</v>
      </c>
      <c r="G4600" s="10" t="str">
        <f aca="false">IFERROR(INDEX(Section_Master!$E$2:$E$477,MATCH($E4600,Section_Master!$A$2:$A$477,0))&amp;"","")</f>
        <v>N/A</v>
      </c>
      <c r="H4600" s="10" t="str">
        <f aca="false">IFERROR(INDEX(Section_Master!$F$2:$F$477,MATCH($E4600,Section_Master!$A$2:$A$477,0))&amp;"","")</f>
        <v>N/A</v>
      </c>
      <c r="I4600" s="10" t="str">
        <f aca="false">IFERROR(INDEX(Section_Master!$G$2:$G$477,MATCH($E4600,Section_Master!$A$2:$A$477,0))&amp;"","")</f>
        <v>N/A</v>
      </c>
      <c r="J4600" s="10" t="s">
        <v>55</v>
      </c>
      <c r="K4600" s="8" t="s">
        <v>10767</v>
      </c>
    </row>
    <row r="4601" customFormat="false" ht="34.5" hidden="false" customHeight="true" outlineLevel="0" collapsed="false">
      <c r="A4601" s="10" t="s">
        <v>10772</v>
      </c>
      <c r="B4601" s="10" t="s">
        <v>10064</v>
      </c>
      <c r="C4601" s="8" t="s">
        <v>10765</v>
      </c>
      <c r="D4601" s="8" t="s">
        <v>10773</v>
      </c>
      <c r="E4601" s="11" t="n">
        <v>409</v>
      </c>
      <c r="F4601" s="8" t="str">
        <f aca="false">IFERROR(INDEX(Section_Master!$D$2:$D$477,MATCH($E4601,Section_Master!$A$2:$A$477,0))&amp;"","")</f>
        <v>Not applicable - procedural provision (BNSS), no offence defined</v>
      </c>
      <c r="G4601" s="10" t="str">
        <f aca="false">IFERROR(INDEX(Section_Master!$E$2:$E$477,MATCH($E4601,Section_Master!$A$2:$A$477,0))&amp;"","")</f>
        <v>N/A</v>
      </c>
      <c r="H4601" s="10" t="str">
        <f aca="false">IFERROR(INDEX(Section_Master!$F$2:$F$477,MATCH($E4601,Section_Master!$A$2:$A$477,0))&amp;"","")</f>
        <v>N/A</v>
      </c>
      <c r="I4601" s="10" t="str">
        <f aca="false">IFERROR(INDEX(Section_Master!$G$2:$G$477,MATCH($E4601,Section_Master!$A$2:$A$477,0))&amp;"","")</f>
        <v>N/A</v>
      </c>
      <c r="J4601" s="10" t="s">
        <v>58</v>
      </c>
      <c r="K4601" s="8" t="s">
        <v>10767</v>
      </c>
    </row>
    <row r="4602" customFormat="false" ht="34.5" hidden="false" customHeight="true" outlineLevel="0" collapsed="false">
      <c r="A4602" s="10" t="s">
        <v>10774</v>
      </c>
      <c r="B4602" s="10" t="s">
        <v>10064</v>
      </c>
      <c r="C4602" s="8" t="s">
        <v>10765</v>
      </c>
      <c r="D4602" s="8" t="s">
        <v>10775</v>
      </c>
      <c r="E4602" s="11" t="n">
        <v>409</v>
      </c>
      <c r="F4602" s="8" t="str">
        <f aca="false">IFERROR(INDEX(Section_Master!$D$2:$D$477,MATCH($E4602,Section_Master!$A$2:$A$477,0))&amp;"","")</f>
        <v>Not applicable - procedural provision (BNSS), no offence defined</v>
      </c>
      <c r="G4602" s="10" t="str">
        <f aca="false">IFERROR(INDEX(Section_Master!$E$2:$E$477,MATCH($E4602,Section_Master!$A$2:$A$477,0))&amp;"","")</f>
        <v>N/A</v>
      </c>
      <c r="H4602" s="10" t="str">
        <f aca="false">IFERROR(INDEX(Section_Master!$F$2:$F$477,MATCH($E4602,Section_Master!$A$2:$A$477,0))&amp;"","")</f>
        <v>N/A</v>
      </c>
      <c r="I4602" s="10" t="str">
        <f aca="false">IFERROR(INDEX(Section_Master!$G$2:$G$477,MATCH($E4602,Section_Master!$A$2:$A$477,0))&amp;"","")</f>
        <v>N/A</v>
      </c>
      <c r="J4602" s="10" t="s">
        <v>61</v>
      </c>
      <c r="K4602" s="8" t="s">
        <v>10767</v>
      </c>
    </row>
    <row r="4603" customFormat="false" ht="57" hidden="false" customHeight="true" outlineLevel="0" collapsed="false">
      <c r="A4603" s="10" t="s">
        <v>10776</v>
      </c>
      <c r="B4603" s="10" t="s">
        <v>10064</v>
      </c>
      <c r="C4603" s="8" t="s">
        <v>10765</v>
      </c>
      <c r="D4603" s="8" t="s">
        <v>10777</v>
      </c>
      <c r="E4603" s="11" t="n">
        <v>409</v>
      </c>
      <c r="F4603" s="8" t="str">
        <f aca="false">IFERROR(INDEX(Section_Master!$D$2:$D$477,MATCH($E4603,Section_Master!$A$2:$A$477,0))&amp;"","")</f>
        <v>Not applicable - procedural provision (BNSS), no offence defined</v>
      </c>
      <c r="G4603" s="10" t="str">
        <f aca="false">IFERROR(INDEX(Section_Master!$E$2:$E$477,MATCH($E4603,Section_Master!$A$2:$A$477,0))&amp;"","")</f>
        <v>N/A</v>
      </c>
      <c r="H4603" s="10" t="str">
        <f aca="false">IFERROR(INDEX(Section_Master!$F$2:$F$477,MATCH($E4603,Section_Master!$A$2:$A$477,0))&amp;"","")</f>
        <v>N/A</v>
      </c>
      <c r="I4603" s="10" t="str">
        <f aca="false">IFERROR(INDEX(Section_Master!$G$2:$G$477,MATCH($E4603,Section_Master!$A$2:$A$477,0))&amp;"","")</f>
        <v>N/A</v>
      </c>
      <c r="J4603" s="10" t="s">
        <v>64</v>
      </c>
      <c r="K4603" s="8" t="s">
        <v>10767</v>
      </c>
    </row>
    <row r="4604" customFormat="false" ht="34.5" hidden="false" customHeight="true" outlineLevel="0" collapsed="false">
      <c r="A4604" s="10" t="s">
        <v>10778</v>
      </c>
      <c r="B4604" s="10" t="s">
        <v>10064</v>
      </c>
      <c r="C4604" s="8" t="s">
        <v>10779</v>
      </c>
      <c r="D4604" s="8" t="s">
        <v>10780</v>
      </c>
      <c r="E4604" s="11" t="n">
        <v>410</v>
      </c>
      <c r="F4604" s="8" t="str">
        <f aca="false">IFERROR(INDEX(Section_Master!$D$2:$D$477,MATCH($E4604,Section_Master!$A$2:$A$477,0))&amp;"","")</f>
        <v>Not applicable - procedural provision (BNSS), no offence defined</v>
      </c>
      <c r="G4604" s="10" t="str">
        <f aca="false">IFERROR(INDEX(Section_Master!$E$2:$E$477,MATCH($E4604,Section_Master!$A$2:$A$477,0))&amp;"","")</f>
        <v>N/A</v>
      </c>
      <c r="H4604" s="10" t="str">
        <f aca="false">IFERROR(INDEX(Section_Master!$F$2:$F$477,MATCH($E4604,Section_Master!$A$2:$A$477,0))&amp;"","")</f>
        <v>N/A</v>
      </c>
      <c r="I4604" s="10" t="str">
        <f aca="false">IFERROR(INDEX(Section_Master!$G$2:$G$477,MATCH($E4604,Section_Master!$A$2:$A$477,0))&amp;"","")</f>
        <v>N/A</v>
      </c>
      <c r="J4604" s="10" t="s">
        <v>48</v>
      </c>
      <c r="K4604" s="8" t="s">
        <v>10781</v>
      </c>
    </row>
    <row r="4605" customFormat="false" ht="45.75" hidden="false" customHeight="true" outlineLevel="0" collapsed="false">
      <c r="A4605" s="10" t="s">
        <v>10782</v>
      </c>
      <c r="B4605" s="10" t="s">
        <v>10064</v>
      </c>
      <c r="C4605" s="8" t="s">
        <v>10779</v>
      </c>
      <c r="D4605" s="8" t="s">
        <v>10783</v>
      </c>
      <c r="E4605" s="11" t="n">
        <v>410</v>
      </c>
      <c r="F4605" s="8" t="str">
        <f aca="false">IFERROR(INDEX(Section_Master!$D$2:$D$477,MATCH($E4605,Section_Master!$A$2:$A$477,0))&amp;"","")</f>
        <v>Not applicable - procedural provision (BNSS), no offence defined</v>
      </c>
      <c r="G4605" s="10" t="str">
        <f aca="false">IFERROR(INDEX(Section_Master!$E$2:$E$477,MATCH($E4605,Section_Master!$A$2:$A$477,0))&amp;"","")</f>
        <v>N/A</v>
      </c>
      <c r="H4605" s="10" t="str">
        <f aca="false">IFERROR(INDEX(Section_Master!$F$2:$F$477,MATCH($E4605,Section_Master!$A$2:$A$477,0))&amp;"","")</f>
        <v>N/A</v>
      </c>
      <c r="I4605" s="10" t="str">
        <f aca="false">IFERROR(INDEX(Section_Master!$G$2:$G$477,MATCH($E4605,Section_Master!$A$2:$A$477,0))&amp;"","")</f>
        <v>N/A</v>
      </c>
      <c r="J4605" s="10" t="s">
        <v>52</v>
      </c>
      <c r="K4605" s="8" t="s">
        <v>10781</v>
      </c>
    </row>
    <row r="4606" customFormat="false" ht="34.5" hidden="false" customHeight="true" outlineLevel="0" collapsed="false">
      <c r="A4606" s="10" t="s">
        <v>10784</v>
      </c>
      <c r="B4606" s="10" t="s">
        <v>10064</v>
      </c>
      <c r="C4606" s="8" t="s">
        <v>10779</v>
      </c>
      <c r="D4606" s="8" t="s">
        <v>10785</v>
      </c>
      <c r="E4606" s="11" t="n">
        <v>410</v>
      </c>
      <c r="F4606" s="8" t="str">
        <f aca="false">IFERROR(INDEX(Section_Master!$D$2:$D$477,MATCH($E4606,Section_Master!$A$2:$A$477,0))&amp;"","")</f>
        <v>Not applicable - procedural provision (BNSS), no offence defined</v>
      </c>
      <c r="G4606" s="10" t="str">
        <f aca="false">IFERROR(INDEX(Section_Master!$E$2:$E$477,MATCH($E4606,Section_Master!$A$2:$A$477,0))&amp;"","")</f>
        <v>N/A</v>
      </c>
      <c r="H4606" s="10" t="str">
        <f aca="false">IFERROR(INDEX(Section_Master!$F$2:$F$477,MATCH($E4606,Section_Master!$A$2:$A$477,0))&amp;"","")</f>
        <v>N/A</v>
      </c>
      <c r="I4606" s="10" t="str">
        <f aca="false">IFERROR(INDEX(Section_Master!$G$2:$G$477,MATCH($E4606,Section_Master!$A$2:$A$477,0))&amp;"","")</f>
        <v>N/A</v>
      </c>
      <c r="J4606" s="10" t="s">
        <v>55</v>
      </c>
      <c r="K4606" s="8" t="s">
        <v>10781</v>
      </c>
    </row>
    <row r="4607" customFormat="false" ht="34.5" hidden="false" customHeight="true" outlineLevel="0" collapsed="false">
      <c r="A4607" s="10" t="s">
        <v>10786</v>
      </c>
      <c r="B4607" s="10" t="s">
        <v>10064</v>
      </c>
      <c r="C4607" s="8" t="s">
        <v>10779</v>
      </c>
      <c r="D4607" s="8" t="s">
        <v>10787</v>
      </c>
      <c r="E4607" s="11" t="n">
        <v>410</v>
      </c>
      <c r="F4607" s="8" t="str">
        <f aca="false">IFERROR(INDEX(Section_Master!$D$2:$D$477,MATCH($E4607,Section_Master!$A$2:$A$477,0))&amp;"","")</f>
        <v>Not applicable - procedural provision (BNSS), no offence defined</v>
      </c>
      <c r="G4607" s="10" t="str">
        <f aca="false">IFERROR(INDEX(Section_Master!$E$2:$E$477,MATCH($E4607,Section_Master!$A$2:$A$477,0))&amp;"","")</f>
        <v>N/A</v>
      </c>
      <c r="H4607" s="10" t="str">
        <f aca="false">IFERROR(INDEX(Section_Master!$F$2:$F$477,MATCH($E4607,Section_Master!$A$2:$A$477,0))&amp;"","")</f>
        <v>N/A</v>
      </c>
      <c r="I4607" s="10" t="str">
        <f aca="false">IFERROR(INDEX(Section_Master!$G$2:$G$477,MATCH($E4607,Section_Master!$A$2:$A$477,0))&amp;"","")</f>
        <v>N/A</v>
      </c>
      <c r="J4607" s="10" t="s">
        <v>58</v>
      </c>
      <c r="K4607" s="8" t="s">
        <v>10781</v>
      </c>
    </row>
    <row r="4608" customFormat="false" ht="34.5" hidden="false" customHeight="true" outlineLevel="0" collapsed="false">
      <c r="A4608" s="10" t="s">
        <v>10788</v>
      </c>
      <c r="B4608" s="10" t="s">
        <v>10064</v>
      </c>
      <c r="C4608" s="8" t="s">
        <v>10779</v>
      </c>
      <c r="D4608" s="8" t="s">
        <v>10789</v>
      </c>
      <c r="E4608" s="11" t="n">
        <v>410</v>
      </c>
      <c r="F4608" s="8" t="str">
        <f aca="false">IFERROR(INDEX(Section_Master!$D$2:$D$477,MATCH($E4608,Section_Master!$A$2:$A$477,0))&amp;"","")</f>
        <v>Not applicable - procedural provision (BNSS), no offence defined</v>
      </c>
      <c r="G4608" s="10" t="str">
        <f aca="false">IFERROR(INDEX(Section_Master!$E$2:$E$477,MATCH($E4608,Section_Master!$A$2:$A$477,0))&amp;"","")</f>
        <v>N/A</v>
      </c>
      <c r="H4608" s="10" t="str">
        <f aca="false">IFERROR(INDEX(Section_Master!$F$2:$F$477,MATCH($E4608,Section_Master!$A$2:$A$477,0))&amp;"","")</f>
        <v>N/A</v>
      </c>
      <c r="I4608" s="10" t="str">
        <f aca="false">IFERROR(INDEX(Section_Master!$G$2:$G$477,MATCH($E4608,Section_Master!$A$2:$A$477,0))&amp;"","")</f>
        <v>N/A</v>
      </c>
      <c r="J4608" s="10" t="s">
        <v>61</v>
      </c>
      <c r="K4608" s="8" t="s">
        <v>10781</v>
      </c>
    </row>
    <row r="4609" customFormat="false" ht="45.75" hidden="false" customHeight="true" outlineLevel="0" collapsed="false">
      <c r="A4609" s="10" t="s">
        <v>10790</v>
      </c>
      <c r="B4609" s="10" t="s">
        <v>10064</v>
      </c>
      <c r="C4609" s="8" t="s">
        <v>10779</v>
      </c>
      <c r="D4609" s="8" t="s">
        <v>10791</v>
      </c>
      <c r="E4609" s="11" t="n">
        <v>410</v>
      </c>
      <c r="F4609" s="8" t="str">
        <f aca="false">IFERROR(INDEX(Section_Master!$D$2:$D$477,MATCH($E4609,Section_Master!$A$2:$A$477,0))&amp;"","")</f>
        <v>Not applicable - procedural provision (BNSS), no offence defined</v>
      </c>
      <c r="G4609" s="10" t="str">
        <f aca="false">IFERROR(INDEX(Section_Master!$E$2:$E$477,MATCH($E4609,Section_Master!$A$2:$A$477,0))&amp;"","")</f>
        <v>N/A</v>
      </c>
      <c r="H4609" s="10" t="str">
        <f aca="false">IFERROR(INDEX(Section_Master!$F$2:$F$477,MATCH($E4609,Section_Master!$A$2:$A$477,0))&amp;"","")</f>
        <v>N/A</v>
      </c>
      <c r="I4609" s="10" t="str">
        <f aca="false">IFERROR(INDEX(Section_Master!$G$2:$G$477,MATCH($E4609,Section_Master!$A$2:$A$477,0))&amp;"","")</f>
        <v>N/A</v>
      </c>
      <c r="J4609" s="10" t="s">
        <v>64</v>
      </c>
      <c r="K4609" s="8" t="s">
        <v>10781</v>
      </c>
    </row>
    <row r="4610" customFormat="false" ht="23.25" hidden="false" customHeight="true" outlineLevel="0" collapsed="false">
      <c r="A4610" s="10" t="s">
        <v>10792</v>
      </c>
      <c r="B4610" s="10" t="s">
        <v>10064</v>
      </c>
      <c r="C4610" s="8" t="s">
        <v>10793</v>
      </c>
      <c r="D4610" s="8" t="s">
        <v>10794</v>
      </c>
      <c r="E4610" s="11" t="n">
        <v>411</v>
      </c>
      <c r="F4610" s="8" t="str">
        <f aca="false">IFERROR(INDEX(Section_Master!$D$2:$D$477,MATCH($E4610,Section_Master!$A$2:$A$477,0))&amp;"","")</f>
        <v>Not applicable - procedural provision (BNSS), no offence defined</v>
      </c>
      <c r="G4610" s="10" t="str">
        <f aca="false">IFERROR(INDEX(Section_Master!$E$2:$E$477,MATCH($E4610,Section_Master!$A$2:$A$477,0))&amp;"","")</f>
        <v>N/A</v>
      </c>
      <c r="H4610" s="10" t="str">
        <f aca="false">IFERROR(INDEX(Section_Master!$F$2:$F$477,MATCH($E4610,Section_Master!$A$2:$A$477,0))&amp;"","")</f>
        <v>N/A</v>
      </c>
      <c r="I4610" s="10" t="str">
        <f aca="false">IFERROR(INDEX(Section_Master!$G$2:$G$477,MATCH($E4610,Section_Master!$A$2:$A$477,0))&amp;"","")</f>
        <v>N/A</v>
      </c>
      <c r="J4610" s="10" t="s">
        <v>48</v>
      </c>
      <c r="K4610" s="8" t="s">
        <v>10795</v>
      </c>
    </row>
    <row r="4611" customFormat="false" ht="45.75" hidden="false" customHeight="true" outlineLevel="0" collapsed="false">
      <c r="A4611" s="10" t="s">
        <v>10796</v>
      </c>
      <c r="B4611" s="10" t="s">
        <v>10064</v>
      </c>
      <c r="C4611" s="8" t="s">
        <v>10793</v>
      </c>
      <c r="D4611" s="8" t="s">
        <v>10797</v>
      </c>
      <c r="E4611" s="11" t="n">
        <v>411</v>
      </c>
      <c r="F4611" s="8" t="str">
        <f aca="false">IFERROR(INDEX(Section_Master!$D$2:$D$477,MATCH($E4611,Section_Master!$A$2:$A$477,0))&amp;"","")</f>
        <v>Not applicable - procedural provision (BNSS), no offence defined</v>
      </c>
      <c r="G4611" s="10" t="str">
        <f aca="false">IFERROR(INDEX(Section_Master!$E$2:$E$477,MATCH($E4611,Section_Master!$A$2:$A$477,0))&amp;"","")</f>
        <v>N/A</v>
      </c>
      <c r="H4611" s="10" t="str">
        <f aca="false">IFERROR(INDEX(Section_Master!$F$2:$F$477,MATCH($E4611,Section_Master!$A$2:$A$477,0))&amp;"","")</f>
        <v>N/A</v>
      </c>
      <c r="I4611" s="10" t="str">
        <f aca="false">IFERROR(INDEX(Section_Master!$G$2:$G$477,MATCH($E4611,Section_Master!$A$2:$A$477,0))&amp;"","")</f>
        <v>N/A</v>
      </c>
      <c r="J4611" s="10" t="s">
        <v>52</v>
      </c>
      <c r="K4611" s="8" t="s">
        <v>10795</v>
      </c>
    </row>
    <row r="4612" customFormat="false" ht="45.75" hidden="false" customHeight="true" outlineLevel="0" collapsed="false">
      <c r="A4612" s="10" t="s">
        <v>10798</v>
      </c>
      <c r="B4612" s="10" t="s">
        <v>10064</v>
      </c>
      <c r="C4612" s="8" t="s">
        <v>10793</v>
      </c>
      <c r="D4612" s="8" t="s">
        <v>10799</v>
      </c>
      <c r="E4612" s="11" t="n">
        <v>411</v>
      </c>
      <c r="F4612" s="8" t="str">
        <f aca="false">IFERROR(INDEX(Section_Master!$D$2:$D$477,MATCH($E4612,Section_Master!$A$2:$A$477,0))&amp;"","")</f>
        <v>Not applicable - procedural provision (BNSS), no offence defined</v>
      </c>
      <c r="G4612" s="10" t="str">
        <f aca="false">IFERROR(INDEX(Section_Master!$E$2:$E$477,MATCH($E4612,Section_Master!$A$2:$A$477,0))&amp;"","")</f>
        <v>N/A</v>
      </c>
      <c r="H4612" s="10" t="str">
        <f aca="false">IFERROR(INDEX(Section_Master!$F$2:$F$477,MATCH($E4612,Section_Master!$A$2:$A$477,0))&amp;"","")</f>
        <v>N/A</v>
      </c>
      <c r="I4612" s="10" t="str">
        <f aca="false">IFERROR(INDEX(Section_Master!$G$2:$G$477,MATCH($E4612,Section_Master!$A$2:$A$477,0))&amp;"","")</f>
        <v>N/A</v>
      </c>
      <c r="J4612" s="10" t="s">
        <v>55</v>
      </c>
      <c r="K4612" s="8" t="s">
        <v>10795</v>
      </c>
    </row>
    <row r="4613" customFormat="false" ht="23.25" hidden="false" customHeight="true" outlineLevel="0" collapsed="false">
      <c r="A4613" s="10" t="s">
        <v>10800</v>
      </c>
      <c r="B4613" s="10" t="s">
        <v>10064</v>
      </c>
      <c r="C4613" s="8" t="s">
        <v>10793</v>
      </c>
      <c r="D4613" s="8" t="s">
        <v>10801</v>
      </c>
      <c r="E4613" s="11" t="n">
        <v>411</v>
      </c>
      <c r="F4613" s="8" t="str">
        <f aca="false">IFERROR(INDEX(Section_Master!$D$2:$D$477,MATCH($E4613,Section_Master!$A$2:$A$477,0))&amp;"","")</f>
        <v>Not applicable - procedural provision (BNSS), no offence defined</v>
      </c>
      <c r="G4613" s="10" t="str">
        <f aca="false">IFERROR(INDEX(Section_Master!$E$2:$E$477,MATCH($E4613,Section_Master!$A$2:$A$477,0))&amp;"","")</f>
        <v>N/A</v>
      </c>
      <c r="H4613" s="10" t="str">
        <f aca="false">IFERROR(INDEX(Section_Master!$F$2:$F$477,MATCH($E4613,Section_Master!$A$2:$A$477,0))&amp;"","")</f>
        <v>N/A</v>
      </c>
      <c r="I4613" s="10" t="str">
        <f aca="false">IFERROR(INDEX(Section_Master!$G$2:$G$477,MATCH($E4613,Section_Master!$A$2:$A$477,0))&amp;"","")</f>
        <v>N/A</v>
      </c>
      <c r="J4613" s="10" t="s">
        <v>58</v>
      </c>
      <c r="K4613" s="8" t="s">
        <v>10795</v>
      </c>
    </row>
    <row r="4614" customFormat="false" ht="23.25" hidden="false" customHeight="true" outlineLevel="0" collapsed="false">
      <c r="A4614" s="10" t="s">
        <v>10802</v>
      </c>
      <c r="B4614" s="10" t="s">
        <v>10064</v>
      </c>
      <c r="C4614" s="8" t="s">
        <v>10793</v>
      </c>
      <c r="D4614" s="8" t="s">
        <v>10803</v>
      </c>
      <c r="E4614" s="11" t="n">
        <v>411</v>
      </c>
      <c r="F4614" s="8" t="str">
        <f aca="false">IFERROR(INDEX(Section_Master!$D$2:$D$477,MATCH($E4614,Section_Master!$A$2:$A$477,0))&amp;"","")</f>
        <v>Not applicable - procedural provision (BNSS), no offence defined</v>
      </c>
      <c r="G4614" s="10" t="str">
        <f aca="false">IFERROR(INDEX(Section_Master!$E$2:$E$477,MATCH($E4614,Section_Master!$A$2:$A$477,0))&amp;"","")</f>
        <v>N/A</v>
      </c>
      <c r="H4614" s="10" t="str">
        <f aca="false">IFERROR(INDEX(Section_Master!$F$2:$F$477,MATCH($E4614,Section_Master!$A$2:$A$477,0))&amp;"","")</f>
        <v>N/A</v>
      </c>
      <c r="I4614" s="10" t="str">
        <f aca="false">IFERROR(INDEX(Section_Master!$G$2:$G$477,MATCH($E4614,Section_Master!$A$2:$A$477,0))&amp;"","")</f>
        <v>N/A</v>
      </c>
      <c r="J4614" s="10" t="s">
        <v>61</v>
      </c>
      <c r="K4614" s="8" t="s">
        <v>10795</v>
      </c>
    </row>
    <row r="4615" customFormat="false" ht="45.75" hidden="false" customHeight="true" outlineLevel="0" collapsed="false">
      <c r="A4615" s="10" t="s">
        <v>10804</v>
      </c>
      <c r="B4615" s="10" t="s">
        <v>10064</v>
      </c>
      <c r="C4615" s="8" t="s">
        <v>10793</v>
      </c>
      <c r="D4615" s="8" t="s">
        <v>10805</v>
      </c>
      <c r="E4615" s="11" t="n">
        <v>411</v>
      </c>
      <c r="F4615" s="8" t="str">
        <f aca="false">IFERROR(INDEX(Section_Master!$D$2:$D$477,MATCH($E4615,Section_Master!$A$2:$A$477,0))&amp;"","")</f>
        <v>Not applicable - procedural provision (BNSS), no offence defined</v>
      </c>
      <c r="G4615" s="10" t="str">
        <f aca="false">IFERROR(INDEX(Section_Master!$E$2:$E$477,MATCH($E4615,Section_Master!$A$2:$A$477,0))&amp;"","")</f>
        <v>N/A</v>
      </c>
      <c r="H4615" s="10" t="str">
        <f aca="false">IFERROR(INDEX(Section_Master!$F$2:$F$477,MATCH($E4615,Section_Master!$A$2:$A$477,0))&amp;"","")</f>
        <v>N/A</v>
      </c>
      <c r="I4615" s="10" t="str">
        <f aca="false">IFERROR(INDEX(Section_Master!$G$2:$G$477,MATCH($E4615,Section_Master!$A$2:$A$477,0))&amp;"","")</f>
        <v>N/A</v>
      </c>
      <c r="J4615" s="10" t="s">
        <v>64</v>
      </c>
      <c r="K4615" s="8" t="s">
        <v>10795</v>
      </c>
    </row>
    <row r="4616" customFormat="false" ht="34.5" hidden="false" customHeight="true" outlineLevel="0" collapsed="false">
      <c r="A4616" s="10" t="s">
        <v>10806</v>
      </c>
      <c r="B4616" s="10" t="s">
        <v>10064</v>
      </c>
      <c r="C4616" s="8" t="s">
        <v>10807</v>
      </c>
      <c r="D4616" s="8" t="s">
        <v>10808</v>
      </c>
      <c r="E4616" s="11" t="n">
        <v>412</v>
      </c>
      <c r="F4616" s="8" t="str">
        <f aca="false">IFERROR(INDEX(Section_Master!$D$2:$D$477,MATCH($E4616,Section_Master!$A$2:$A$477,0))&amp;"","")</f>
        <v>Not applicable - procedural provision (BNSS), no offence defined</v>
      </c>
      <c r="G4616" s="10" t="str">
        <f aca="false">IFERROR(INDEX(Section_Master!$E$2:$E$477,MATCH($E4616,Section_Master!$A$2:$A$477,0))&amp;"","")</f>
        <v>N/A</v>
      </c>
      <c r="H4616" s="10" t="str">
        <f aca="false">IFERROR(INDEX(Section_Master!$F$2:$F$477,MATCH($E4616,Section_Master!$A$2:$A$477,0))&amp;"","")</f>
        <v>N/A</v>
      </c>
      <c r="I4616" s="10" t="str">
        <f aca="false">IFERROR(INDEX(Section_Master!$G$2:$G$477,MATCH($E4616,Section_Master!$A$2:$A$477,0))&amp;"","")</f>
        <v>N/A</v>
      </c>
      <c r="J4616" s="10" t="s">
        <v>48</v>
      </c>
      <c r="K4616" s="8" t="s">
        <v>10809</v>
      </c>
    </row>
    <row r="4617" customFormat="false" ht="45.75" hidden="false" customHeight="true" outlineLevel="0" collapsed="false">
      <c r="A4617" s="10" t="s">
        <v>10810</v>
      </c>
      <c r="B4617" s="10" t="s">
        <v>10064</v>
      </c>
      <c r="C4617" s="8" t="s">
        <v>10807</v>
      </c>
      <c r="D4617" s="8" t="s">
        <v>10811</v>
      </c>
      <c r="E4617" s="11" t="n">
        <v>412</v>
      </c>
      <c r="F4617" s="8" t="str">
        <f aca="false">IFERROR(INDEX(Section_Master!$D$2:$D$477,MATCH($E4617,Section_Master!$A$2:$A$477,0))&amp;"","")</f>
        <v>Not applicable - procedural provision (BNSS), no offence defined</v>
      </c>
      <c r="G4617" s="10" t="str">
        <f aca="false">IFERROR(INDEX(Section_Master!$E$2:$E$477,MATCH($E4617,Section_Master!$A$2:$A$477,0))&amp;"","")</f>
        <v>N/A</v>
      </c>
      <c r="H4617" s="10" t="str">
        <f aca="false">IFERROR(INDEX(Section_Master!$F$2:$F$477,MATCH($E4617,Section_Master!$A$2:$A$477,0))&amp;"","")</f>
        <v>N/A</v>
      </c>
      <c r="I4617" s="10" t="str">
        <f aca="false">IFERROR(INDEX(Section_Master!$G$2:$G$477,MATCH($E4617,Section_Master!$A$2:$A$477,0))&amp;"","")</f>
        <v>N/A</v>
      </c>
      <c r="J4617" s="10" t="s">
        <v>52</v>
      </c>
      <c r="K4617" s="8" t="s">
        <v>10809</v>
      </c>
    </row>
    <row r="4618" customFormat="false" ht="34.5" hidden="false" customHeight="true" outlineLevel="0" collapsed="false">
      <c r="A4618" s="10" t="s">
        <v>10812</v>
      </c>
      <c r="B4618" s="10" t="s">
        <v>10064</v>
      </c>
      <c r="C4618" s="8" t="s">
        <v>10807</v>
      </c>
      <c r="D4618" s="8" t="s">
        <v>10813</v>
      </c>
      <c r="E4618" s="11" t="n">
        <v>412</v>
      </c>
      <c r="F4618" s="8" t="str">
        <f aca="false">IFERROR(INDEX(Section_Master!$D$2:$D$477,MATCH($E4618,Section_Master!$A$2:$A$477,0))&amp;"","")</f>
        <v>Not applicable - procedural provision (BNSS), no offence defined</v>
      </c>
      <c r="G4618" s="10" t="str">
        <f aca="false">IFERROR(INDEX(Section_Master!$E$2:$E$477,MATCH($E4618,Section_Master!$A$2:$A$477,0))&amp;"","")</f>
        <v>N/A</v>
      </c>
      <c r="H4618" s="10" t="str">
        <f aca="false">IFERROR(INDEX(Section_Master!$F$2:$F$477,MATCH($E4618,Section_Master!$A$2:$A$477,0))&amp;"","")</f>
        <v>N/A</v>
      </c>
      <c r="I4618" s="10" t="str">
        <f aca="false">IFERROR(INDEX(Section_Master!$G$2:$G$477,MATCH($E4618,Section_Master!$A$2:$A$477,0))&amp;"","")</f>
        <v>N/A</v>
      </c>
      <c r="J4618" s="10" t="s">
        <v>55</v>
      </c>
      <c r="K4618" s="8" t="s">
        <v>10809</v>
      </c>
    </row>
    <row r="4619" customFormat="false" ht="23.25" hidden="false" customHeight="true" outlineLevel="0" collapsed="false">
      <c r="A4619" s="10" t="s">
        <v>10814</v>
      </c>
      <c r="B4619" s="10" t="s">
        <v>10064</v>
      </c>
      <c r="C4619" s="8" t="s">
        <v>10807</v>
      </c>
      <c r="D4619" s="8" t="s">
        <v>10815</v>
      </c>
      <c r="E4619" s="11" t="n">
        <v>412</v>
      </c>
      <c r="F4619" s="8" t="str">
        <f aca="false">IFERROR(INDEX(Section_Master!$D$2:$D$477,MATCH($E4619,Section_Master!$A$2:$A$477,0))&amp;"","")</f>
        <v>Not applicable - procedural provision (BNSS), no offence defined</v>
      </c>
      <c r="G4619" s="10" t="str">
        <f aca="false">IFERROR(INDEX(Section_Master!$E$2:$E$477,MATCH($E4619,Section_Master!$A$2:$A$477,0))&amp;"","")</f>
        <v>N/A</v>
      </c>
      <c r="H4619" s="10" t="str">
        <f aca="false">IFERROR(INDEX(Section_Master!$F$2:$F$477,MATCH($E4619,Section_Master!$A$2:$A$477,0))&amp;"","")</f>
        <v>N/A</v>
      </c>
      <c r="I4619" s="10" t="str">
        <f aca="false">IFERROR(INDEX(Section_Master!$G$2:$G$477,MATCH($E4619,Section_Master!$A$2:$A$477,0))&amp;"","")</f>
        <v>N/A</v>
      </c>
      <c r="J4619" s="10" t="s">
        <v>58</v>
      </c>
      <c r="K4619" s="8" t="s">
        <v>10809</v>
      </c>
    </row>
    <row r="4620" customFormat="false" ht="23.25" hidden="false" customHeight="true" outlineLevel="0" collapsed="false">
      <c r="A4620" s="10" t="s">
        <v>10816</v>
      </c>
      <c r="B4620" s="10" t="s">
        <v>10064</v>
      </c>
      <c r="C4620" s="8" t="s">
        <v>10807</v>
      </c>
      <c r="D4620" s="8" t="s">
        <v>10817</v>
      </c>
      <c r="E4620" s="11" t="n">
        <v>412</v>
      </c>
      <c r="F4620" s="8" t="str">
        <f aca="false">IFERROR(INDEX(Section_Master!$D$2:$D$477,MATCH($E4620,Section_Master!$A$2:$A$477,0))&amp;"","")</f>
        <v>Not applicable - procedural provision (BNSS), no offence defined</v>
      </c>
      <c r="G4620" s="10" t="str">
        <f aca="false">IFERROR(INDEX(Section_Master!$E$2:$E$477,MATCH($E4620,Section_Master!$A$2:$A$477,0))&amp;"","")</f>
        <v>N/A</v>
      </c>
      <c r="H4620" s="10" t="str">
        <f aca="false">IFERROR(INDEX(Section_Master!$F$2:$F$477,MATCH($E4620,Section_Master!$A$2:$A$477,0))&amp;"","")</f>
        <v>N/A</v>
      </c>
      <c r="I4620" s="10" t="str">
        <f aca="false">IFERROR(INDEX(Section_Master!$G$2:$G$477,MATCH($E4620,Section_Master!$A$2:$A$477,0))&amp;"","")</f>
        <v>N/A</v>
      </c>
      <c r="J4620" s="10" t="s">
        <v>61</v>
      </c>
      <c r="K4620" s="8" t="s">
        <v>10809</v>
      </c>
    </row>
    <row r="4621" customFormat="false" ht="57" hidden="false" customHeight="true" outlineLevel="0" collapsed="false">
      <c r="A4621" s="10" t="s">
        <v>10818</v>
      </c>
      <c r="B4621" s="10" t="s">
        <v>10064</v>
      </c>
      <c r="C4621" s="8" t="s">
        <v>10807</v>
      </c>
      <c r="D4621" s="8" t="s">
        <v>10819</v>
      </c>
      <c r="E4621" s="11" t="n">
        <v>412</v>
      </c>
      <c r="F4621" s="8" t="str">
        <f aca="false">IFERROR(INDEX(Section_Master!$D$2:$D$477,MATCH($E4621,Section_Master!$A$2:$A$477,0))&amp;"","")</f>
        <v>Not applicable - procedural provision (BNSS), no offence defined</v>
      </c>
      <c r="G4621" s="10" t="str">
        <f aca="false">IFERROR(INDEX(Section_Master!$E$2:$E$477,MATCH($E4621,Section_Master!$A$2:$A$477,0))&amp;"","")</f>
        <v>N/A</v>
      </c>
      <c r="H4621" s="10" t="str">
        <f aca="false">IFERROR(INDEX(Section_Master!$F$2:$F$477,MATCH($E4621,Section_Master!$A$2:$A$477,0))&amp;"","")</f>
        <v>N/A</v>
      </c>
      <c r="I4621" s="10" t="str">
        <f aca="false">IFERROR(INDEX(Section_Master!$G$2:$G$477,MATCH($E4621,Section_Master!$A$2:$A$477,0))&amp;"","")</f>
        <v>N/A</v>
      </c>
      <c r="J4621" s="10" t="s">
        <v>64</v>
      </c>
      <c r="K4621" s="8" t="s">
        <v>10809</v>
      </c>
    </row>
    <row r="4622" customFormat="false" ht="34.5" hidden="false" customHeight="true" outlineLevel="0" collapsed="false">
      <c r="A4622" s="10" t="s">
        <v>10820</v>
      </c>
      <c r="B4622" s="10" t="s">
        <v>10064</v>
      </c>
      <c r="C4622" s="8" t="s">
        <v>10821</v>
      </c>
      <c r="D4622" s="8" t="s">
        <v>10822</v>
      </c>
      <c r="E4622" s="11" t="n">
        <v>413</v>
      </c>
      <c r="F4622" s="8" t="str">
        <f aca="false">IFERROR(INDEX(Section_Master!$D$2:$D$477,MATCH($E4622,Section_Master!$A$2:$A$477,0))&amp;"","")</f>
        <v>Not applicable - procedural provision (BNSS), no offence defined</v>
      </c>
      <c r="G4622" s="10" t="str">
        <f aca="false">IFERROR(INDEX(Section_Master!$E$2:$E$477,MATCH($E4622,Section_Master!$A$2:$A$477,0))&amp;"","")</f>
        <v>N/A</v>
      </c>
      <c r="H4622" s="10" t="str">
        <f aca="false">IFERROR(INDEX(Section_Master!$F$2:$F$477,MATCH($E4622,Section_Master!$A$2:$A$477,0))&amp;"","")</f>
        <v>N/A</v>
      </c>
      <c r="I4622" s="10" t="str">
        <f aca="false">IFERROR(INDEX(Section_Master!$G$2:$G$477,MATCH($E4622,Section_Master!$A$2:$A$477,0))&amp;"","")</f>
        <v>N/A</v>
      </c>
      <c r="J4622" s="10" t="s">
        <v>48</v>
      </c>
      <c r="K4622" s="8" t="s">
        <v>10823</v>
      </c>
    </row>
    <row r="4623" customFormat="false" ht="45.75" hidden="false" customHeight="true" outlineLevel="0" collapsed="false">
      <c r="A4623" s="10" t="s">
        <v>10824</v>
      </c>
      <c r="B4623" s="10" t="s">
        <v>10064</v>
      </c>
      <c r="C4623" s="8" t="s">
        <v>10821</v>
      </c>
      <c r="D4623" s="8" t="s">
        <v>10825</v>
      </c>
      <c r="E4623" s="11" t="n">
        <v>413</v>
      </c>
      <c r="F4623" s="8" t="str">
        <f aca="false">IFERROR(INDEX(Section_Master!$D$2:$D$477,MATCH($E4623,Section_Master!$A$2:$A$477,0))&amp;"","")</f>
        <v>Not applicable - procedural provision (BNSS), no offence defined</v>
      </c>
      <c r="G4623" s="10" t="str">
        <f aca="false">IFERROR(INDEX(Section_Master!$E$2:$E$477,MATCH($E4623,Section_Master!$A$2:$A$477,0))&amp;"","")</f>
        <v>N/A</v>
      </c>
      <c r="H4623" s="10" t="str">
        <f aca="false">IFERROR(INDEX(Section_Master!$F$2:$F$477,MATCH($E4623,Section_Master!$A$2:$A$477,0))&amp;"","")</f>
        <v>N/A</v>
      </c>
      <c r="I4623" s="10" t="str">
        <f aca="false">IFERROR(INDEX(Section_Master!$G$2:$G$477,MATCH($E4623,Section_Master!$A$2:$A$477,0))&amp;"","")</f>
        <v>N/A</v>
      </c>
      <c r="J4623" s="10" t="s">
        <v>52</v>
      </c>
      <c r="K4623" s="8" t="s">
        <v>10823</v>
      </c>
    </row>
    <row r="4624" customFormat="false" ht="34.5" hidden="false" customHeight="true" outlineLevel="0" collapsed="false">
      <c r="A4624" s="10" t="s">
        <v>10826</v>
      </c>
      <c r="B4624" s="10" t="s">
        <v>10064</v>
      </c>
      <c r="C4624" s="8" t="s">
        <v>10821</v>
      </c>
      <c r="D4624" s="8" t="s">
        <v>10827</v>
      </c>
      <c r="E4624" s="11" t="n">
        <v>413</v>
      </c>
      <c r="F4624" s="8" t="str">
        <f aca="false">IFERROR(INDEX(Section_Master!$D$2:$D$477,MATCH($E4624,Section_Master!$A$2:$A$477,0))&amp;"","")</f>
        <v>Not applicable - procedural provision (BNSS), no offence defined</v>
      </c>
      <c r="G4624" s="10" t="str">
        <f aca="false">IFERROR(INDEX(Section_Master!$E$2:$E$477,MATCH($E4624,Section_Master!$A$2:$A$477,0))&amp;"","")</f>
        <v>N/A</v>
      </c>
      <c r="H4624" s="10" t="str">
        <f aca="false">IFERROR(INDEX(Section_Master!$F$2:$F$477,MATCH($E4624,Section_Master!$A$2:$A$477,0))&amp;"","")</f>
        <v>N/A</v>
      </c>
      <c r="I4624" s="10" t="str">
        <f aca="false">IFERROR(INDEX(Section_Master!$G$2:$G$477,MATCH($E4624,Section_Master!$A$2:$A$477,0))&amp;"","")</f>
        <v>N/A</v>
      </c>
      <c r="J4624" s="10" t="s">
        <v>55</v>
      </c>
      <c r="K4624" s="8" t="s">
        <v>10823</v>
      </c>
    </row>
    <row r="4625" customFormat="false" ht="23.25" hidden="false" customHeight="true" outlineLevel="0" collapsed="false">
      <c r="A4625" s="10" t="s">
        <v>10828</v>
      </c>
      <c r="B4625" s="10" t="s">
        <v>10064</v>
      </c>
      <c r="C4625" s="8" t="s">
        <v>10821</v>
      </c>
      <c r="D4625" s="8" t="s">
        <v>10829</v>
      </c>
      <c r="E4625" s="11" t="n">
        <v>413</v>
      </c>
      <c r="F4625" s="8" t="str">
        <f aca="false">IFERROR(INDEX(Section_Master!$D$2:$D$477,MATCH($E4625,Section_Master!$A$2:$A$477,0))&amp;"","")</f>
        <v>Not applicable - procedural provision (BNSS), no offence defined</v>
      </c>
      <c r="G4625" s="10" t="str">
        <f aca="false">IFERROR(INDEX(Section_Master!$E$2:$E$477,MATCH($E4625,Section_Master!$A$2:$A$477,0))&amp;"","")</f>
        <v>N/A</v>
      </c>
      <c r="H4625" s="10" t="str">
        <f aca="false">IFERROR(INDEX(Section_Master!$F$2:$F$477,MATCH($E4625,Section_Master!$A$2:$A$477,0))&amp;"","")</f>
        <v>N/A</v>
      </c>
      <c r="I4625" s="10" t="str">
        <f aca="false">IFERROR(INDEX(Section_Master!$G$2:$G$477,MATCH($E4625,Section_Master!$A$2:$A$477,0))&amp;"","")</f>
        <v>N/A</v>
      </c>
      <c r="J4625" s="10" t="s">
        <v>58</v>
      </c>
      <c r="K4625" s="8" t="s">
        <v>10823</v>
      </c>
    </row>
    <row r="4626" customFormat="false" ht="34.5" hidden="false" customHeight="true" outlineLevel="0" collapsed="false">
      <c r="A4626" s="10" t="s">
        <v>10830</v>
      </c>
      <c r="B4626" s="10" t="s">
        <v>10064</v>
      </c>
      <c r="C4626" s="8" t="s">
        <v>10821</v>
      </c>
      <c r="D4626" s="8" t="s">
        <v>10831</v>
      </c>
      <c r="E4626" s="11" t="n">
        <v>413</v>
      </c>
      <c r="F4626" s="8" t="str">
        <f aca="false">IFERROR(INDEX(Section_Master!$D$2:$D$477,MATCH($E4626,Section_Master!$A$2:$A$477,0))&amp;"","")</f>
        <v>Not applicable - procedural provision (BNSS), no offence defined</v>
      </c>
      <c r="G4626" s="10" t="str">
        <f aca="false">IFERROR(INDEX(Section_Master!$E$2:$E$477,MATCH($E4626,Section_Master!$A$2:$A$477,0))&amp;"","")</f>
        <v>N/A</v>
      </c>
      <c r="H4626" s="10" t="str">
        <f aca="false">IFERROR(INDEX(Section_Master!$F$2:$F$477,MATCH($E4626,Section_Master!$A$2:$A$477,0))&amp;"","")</f>
        <v>N/A</v>
      </c>
      <c r="I4626" s="10" t="str">
        <f aca="false">IFERROR(INDEX(Section_Master!$G$2:$G$477,MATCH($E4626,Section_Master!$A$2:$A$477,0))&amp;"","")</f>
        <v>N/A</v>
      </c>
      <c r="J4626" s="10" t="s">
        <v>61</v>
      </c>
      <c r="K4626" s="8" t="s">
        <v>10823</v>
      </c>
    </row>
    <row r="4627" customFormat="false" ht="45.75" hidden="false" customHeight="true" outlineLevel="0" collapsed="false">
      <c r="A4627" s="10" t="s">
        <v>10832</v>
      </c>
      <c r="B4627" s="10" t="s">
        <v>10064</v>
      </c>
      <c r="C4627" s="8" t="s">
        <v>10821</v>
      </c>
      <c r="D4627" s="8" t="s">
        <v>10833</v>
      </c>
      <c r="E4627" s="11" t="n">
        <v>413</v>
      </c>
      <c r="F4627" s="8" t="str">
        <f aca="false">IFERROR(INDEX(Section_Master!$D$2:$D$477,MATCH($E4627,Section_Master!$A$2:$A$477,0))&amp;"","")</f>
        <v>Not applicable - procedural provision (BNSS), no offence defined</v>
      </c>
      <c r="G4627" s="10" t="str">
        <f aca="false">IFERROR(INDEX(Section_Master!$E$2:$E$477,MATCH($E4627,Section_Master!$A$2:$A$477,0))&amp;"","")</f>
        <v>N/A</v>
      </c>
      <c r="H4627" s="10" t="str">
        <f aca="false">IFERROR(INDEX(Section_Master!$F$2:$F$477,MATCH($E4627,Section_Master!$A$2:$A$477,0))&amp;"","")</f>
        <v>N/A</v>
      </c>
      <c r="I4627" s="10" t="str">
        <f aca="false">IFERROR(INDEX(Section_Master!$G$2:$G$477,MATCH($E4627,Section_Master!$A$2:$A$477,0))&amp;"","")</f>
        <v>N/A</v>
      </c>
      <c r="J4627" s="10" t="s">
        <v>64</v>
      </c>
      <c r="K4627" s="8" t="s">
        <v>10823</v>
      </c>
    </row>
    <row r="4628" customFormat="false" ht="34.5" hidden="false" customHeight="true" outlineLevel="0" collapsed="false">
      <c r="A4628" s="10" t="s">
        <v>10834</v>
      </c>
      <c r="B4628" s="10" t="s">
        <v>10064</v>
      </c>
      <c r="C4628" s="8" t="s">
        <v>10835</v>
      </c>
      <c r="D4628" s="8" t="s">
        <v>10836</v>
      </c>
      <c r="E4628" s="11" t="n">
        <v>414</v>
      </c>
      <c r="F4628" s="8" t="str">
        <f aca="false">IFERROR(INDEX(Section_Master!$D$2:$D$477,MATCH($E4628,Section_Master!$A$2:$A$477,0))&amp;"","")</f>
        <v>Not applicable - procedural provision (BNSS), no offence defined</v>
      </c>
      <c r="G4628" s="10" t="str">
        <f aca="false">IFERROR(INDEX(Section_Master!$E$2:$E$477,MATCH($E4628,Section_Master!$A$2:$A$477,0))&amp;"","")</f>
        <v>N/A</v>
      </c>
      <c r="H4628" s="10" t="str">
        <f aca="false">IFERROR(INDEX(Section_Master!$F$2:$F$477,MATCH($E4628,Section_Master!$A$2:$A$477,0))&amp;"","")</f>
        <v>N/A</v>
      </c>
      <c r="I4628" s="10" t="str">
        <f aca="false">IFERROR(INDEX(Section_Master!$G$2:$G$477,MATCH($E4628,Section_Master!$A$2:$A$477,0))&amp;"","")</f>
        <v>N/A</v>
      </c>
      <c r="J4628" s="10" t="s">
        <v>48</v>
      </c>
      <c r="K4628" s="8" t="s">
        <v>10837</v>
      </c>
    </row>
    <row r="4629" customFormat="false" ht="45.75" hidden="false" customHeight="true" outlineLevel="0" collapsed="false">
      <c r="A4629" s="10" t="s">
        <v>10838</v>
      </c>
      <c r="B4629" s="10" t="s">
        <v>10064</v>
      </c>
      <c r="C4629" s="8" t="s">
        <v>10835</v>
      </c>
      <c r="D4629" s="8" t="s">
        <v>10839</v>
      </c>
      <c r="E4629" s="11" t="n">
        <v>414</v>
      </c>
      <c r="F4629" s="8" t="str">
        <f aca="false">IFERROR(INDEX(Section_Master!$D$2:$D$477,MATCH($E4629,Section_Master!$A$2:$A$477,0))&amp;"","")</f>
        <v>Not applicable - procedural provision (BNSS), no offence defined</v>
      </c>
      <c r="G4629" s="10" t="str">
        <f aca="false">IFERROR(INDEX(Section_Master!$E$2:$E$477,MATCH($E4629,Section_Master!$A$2:$A$477,0))&amp;"","")</f>
        <v>N/A</v>
      </c>
      <c r="H4629" s="10" t="str">
        <f aca="false">IFERROR(INDEX(Section_Master!$F$2:$F$477,MATCH($E4629,Section_Master!$A$2:$A$477,0))&amp;"","")</f>
        <v>N/A</v>
      </c>
      <c r="I4629" s="10" t="str">
        <f aca="false">IFERROR(INDEX(Section_Master!$G$2:$G$477,MATCH($E4629,Section_Master!$A$2:$A$477,0))&amp;"","")</f>
        <v>N/A</v>
      </c>
      <c r="J4629" s="10" t="s">
        <v>52</v>
      </c>
      <c r="K4629" s="8" t="s">
        <v>10837</v>
      </c>
    </row>
    <row r="4630" customFormat="false" ht="34.5" hidden="false" customHeight="true" outlineLevel="0" collapsed="false">
      <c r="A4630" s="10" t="s">
        <v>10840</v>
      </c>
      <c r="B4630" s="10" t="s">
        <v>10064</v>
      </c>
      <c r="C4630" s="8" t="s">
        <v>10835</v>
      </c>
      <c r="D4630" s="8" t="s">
        <v>10841</v>
      </c>
      <c r="E4630" s="11" t="n">
        <v>414</v>
      </c>
      <c r="F4630" s="8" t="str">
        <f aca="false">IFERROR(INDEX(Section_Master!$D$2:$D$477,MATCH($E4630,Section_Master!$A$2:$A$477,0))&amp;"","")</f>
        <v>Not applicable - procedural provision (BNSS), no offence defined</v>
      </c>
      <c r="G4630" s="10" t="str">
        <f aca="false">IFERROR(INDEX(Section_Master!$E$2:$E$477,MATCH($E4630,Section_Master!$A$2:$A$477,0))&amp;"","")</f>
        <v>N/A</v>
      </c>
      <c r="H4630" s="10" t="str">
        <f aca="false">IFERROR(INDEX(Section_Master!$F$2:$F$477,MATCH($E4630,Section_Master!$A$2:$A$477,0))&amp;"","")</f>
        <v>N/A</v>
      </c>
      <c r="I4630" s="10" t="str">
        <f aca="false">IFERROR(INDEX(Section_Master!$G$2:$G$477,MATCH($E4630,Section_Master!$A$2:$A$477,0))&amp;"","")</f>
        <v>N/A</v>
      </c>
      <c r="J4630" s="10" t="s">
        <v>55</v>
      </c>
      <c r="K4630" s="8" t="s">
        <v>10837</v>
      </c>
    </row>
    <row r="4631" customFormat="false" ht="34.5" hidden="false" customHeight="true" outlineLevel="0" collapsed="false">
      <c r="A4631" s="10" t="s">
        <v>10842</v>
      </c>
      <c r="B4631" s="10" t="s">
        <v>10064</v>
      </c>
      <c r="C4631" s="8" t="s">
        <v>10835</v>
      </c>
      <c r="D4631" s="8" t="s">
        <v>10843</v>
      </c>
      <c r="E4631" s="11" t="n">
        <v>414</v>
      </c>
      <c r="F4631" s="8" t="str">
        <f aca="false">IFERROR(INDEX(Section_Master!$D$2:$D$477,MATCH($E4631,Section_Master!$A$2:$A$477,0))&amp;"","")</f>
        <v>Not applicable - procedural provision (BNSS), no offence defined</v>
      </c>
      <c r="G4631" s="10" t="str">
        <f aca="false">IFERROR(INDEX(Section_Master!$E$2:$E$477,MATCH($E4631,Section_Master!$A$2:$A$477,0))&amp;"","")</f>
        <v>N/A</v>
      </c>
      <c r="H4631" s="10" t="str">
        <f aca="false">IFERROR(INDEX(Section_Master!$F$2:$F$477,MATCH($E4631,Section_Master!$A$2:$A$477,0))&amp;"","")</f>
        <v>N/A</v>
      </c>
      <c r="I4631" s="10" t="str">
        <f aca="false">IFERROR(INDEX(Section_Master!$G$2:$G$477,MATCH($E4631,Section_Master!$A$2:$A$477,0))&amp;"","")</f>
        <v>N/A</v>
      </c>
      <c r="J4631" s="10" t="s">
        <v>58</v>
      </c>
      <c r="K4631" s="8" t="s">
        <v>10837</v>
      </c>
    </row>
    <row r="4632" customFormat="false" ht="34.5" hidden="false" customHeight="true" outlineLevel="0" collapsed="false">
      <c r="A4632" s="10" t="s">
        <v>10844</v>
      </c>
      <c r="B4632" s="10" t="s">
        <v>10064</v>
      </c>
      <c r="C4632" s="8" t="s">
        <v>10835</v>
      </c>
      <c r="D4632" s="8" t="s">
        <v>10845</v>
      </c>
      <c r="E4632" s="11" t="n">
        <v>414</v>
      </c>
      <c r="F4632" s="8" t="str">
        <f aca="false">IFERROR(INDEX(Section_Master!$D$2:$D$477,MATCH($E4632,Section_Master!$A$2:$A$477,0))&amp;"","")</f>
        <v>Not applicable - procedural provision (BNSS), no offence defined</v>
      </c>
      <c r="G4632" s="10" t="str">
        <f aca="false">IFERROR(INDEX(Section_Master!$E$2:$E$477,MATCH($E4632,Section_Master!$A$2:$A$477,0))&amp;"","")</f>
        <v>N/A</v>
      </c>
      <c r="H4632" s="10" t="str">
        <f aca="false">IFERROR(INDEX(Section_Master!$F$2:$F$477,MATCH($E4632,Section_Master!$A$2:$A$477,0))&amp;"","")</f>
        <v>N/A</v>
      </c>
      <c r="I4632" s="10" t="str">
        <f aca="false">IFERROR(INDEX(Section_Master!$G$2:$G$477,MATCH($E4632,Section_Master!$A$2:$A$477,0))&amp;"","")</f>
        <v>N/A</v>
      </c>
      <c r="J4632" s="10" t="s">
        <v>61</v>
      </c>
      <c r="K4632" s="8" t="s">
        <v>10837</v>
      </c>
    </row>
    <row r="4633" customFormat="false" ht="45.75" hidden="false" customHeight="true" outlineLevel="0" collapsed="false">
      <c r="A4633" s="10" t="s">
        <v>10846</v>
      </c>
      <c r="B4633" s="10" t="s">
        <v>10064</v>
      </c>
      <c r="C4633" s="8" t="s">
        <v>10835</v>
      </c>
      <c r="D4633" s="8" t="s">
        <v>10847</v>
      </c>
      <c r="E4633" s="11" t="n">
        <v>414</v>
      </c>
      <c r="F4633" s="8" t="str">
        <f aca="false">IFERROR(INDEX(Section_Master!$D$2:$D$477,MATCH($E4633,Section_Master!$A$2:$A$477,0))&amp;"","")</f>
        <v>Not applicable - procedural provision (BNSS), no offence defined</v>
      </c>
      <c r="G4633" s="10" t="str">
        <f aca="false">IFERROR(INDEX(Section_Master!$E$2:$E$477,MATCH($E4633,Section_Master!$A$2:$A$477,0))&amp;"","")</f>
        <v>N/A</v>
      </c>
      <c r="H4633" s="10" t="str">
        <f aca="false">IFERROR(INDEX(Section_Master!$F$2:$F$477,MATCH($E4633,Section_Master!$A$2:$A$477,0))&amp;"","")</f>
        <v>N/A</v>
      </c>
      <c r="I4633" s="10" t="str">
        <f aca="false">IFERROR(INDEX(Section_Master!$G$2:$G$477,MATCH($E4633,Section_Master!$A$2:$A$477,0))&amp;"","")</f>
        <v>N/A</v>
      </c>
      <c r="J4633" s="10" t="s">
        <v>64</v>
      </c>
      <c r="K4633" s="8" t="s">
        <v>10837</v>
      </c>
    </row>
    <row r="4634" customFormat="false" ht="34.5" hidden="false" customHeight="true" outlineLevel="0" collapsed="false">
      <c r="A4634" s="10" t="s">
        <v>10848</v>
      </c>
      <c r="B4634" s="10" t="s">
        <v>10064</v>
      </c>
      <c r="C4634" s="8" t="s">
        <v>10849</v>
      </c>
      <c r="D4634" s="8" t="s">
        <v>10850</v>
      </c>
      <c r="E4634" s="11" t="n">
        <v>415</v>
      </c>
      <c r="F4634" s="8" t="str">
        <f aca="false">IFERROR(INDEX(Section_Master!$D$2:$D$477,MATCH($E4634,Section_Master!$A$2:$A$477,0))&amp;"","")</f>
        <v>Not applicable - procedural provision (BNSS), no offence defined</v>
      </c>
      <c r="G4634" s="10" t="str">
        <f aca="false">IFERROR(INDEX(Section_Master!$E$2:$E$477,MATCH($E4634,Section_Master!$A$2:$A$477,0))&amp;"","")</f>
        <v>N/A</v>
      </c>
      <c r="H4634" s="10" t="str">
        <f aca="false">IFERROR(INDEX(Section_Master!$F$2:$F$477,MATCH($E4634,Section_Master!$A$2:$A$477,0))&amp;"","")</f>
        <v>N/A</v>
      </c>
      <c r="I4634" s="10" t="str">
        <f aca="false">IFERROR(INDEX(Section_Master!$G$2:$G$477,MATCH($E4634,Section_Master!$A$2:$A$477,0))&amp;"","")</f>
        <v>N/A</v>
      </c>
      <c r="J4634" s="10" t="s">
        <v>48</v>
      </c>
      <c r="K4634" s="8" t="s">
        <v>10851</v>
      </c>
    </row>
    <row r="4635" customFormat="false" ht="45.75" hidden="false" customHeight="true" outlineLevel="0" collapsed="false">
      <c r="A4635" s="10" t="s">
        <v>10852</v>
      </c>
      <c r="B4635" s="10" t="s">
        <v>10064</v>
      </c>
      <c r="C4635" s="8" t="s">
        <v>10849</v>
      </c>
      <c r="D4635" s="8" t="s">
        <v>10853</v>
      </c>
      <c r="E4635" s="11" t="n">
        <v>415</v>
      </c>
      <c r="F4635" s="8" t="str">
        <f aca="false">IFERROR(INDEX(Section_Master!$D$2:$D$477,MATCH($E4635,Section_Master!$A$2:$A$477,0))&amp;"","")</f>
        <v>Not applicable - procedural provision (BNSS), no offence defined</v>
      </c>
      <c r="G4635" s="10" t="str">
        <f aca="false">IFERROR(INDEX(Section_Master!$E$2:$E$477,MATCH($E4635,Section_Master!$A$2:$A$477,0))&amp;"","")</f>
        <v>N/A</v>
      </c>
      <c r="H4635" s="10" t="str">
        <f aca="false">IFERROR(INDEX(Section_Master!$F$2:$F$477,MATCH($E4635,Section_Master!$A$2:$A$477,0))&amp;"","")</f>
        <v>N/A</v>
      </c>
      <c r="I4635" s="10" t="str">
        <f aca="false">IFERROR(INDEX(Section_Master!$G$2:$G$477,MATCH($E4635,Section_Master!$A$2:$A$477,0))&amp;"","")</f>
        <v>N/A</v>
      </c>
      <c r="J4635" s="10" t="s">
        <v>52</v>
      </c>
      <c r="K4635" s="8" t="s">
        <v>10851</v>
      </c>
    </row>
    <row r="4636" customFormat="false" ht="45.75" hidden="false" customHeight="true" outlineLevel="0" collapsed="false">
      <c r="A4636" s="10" t="s">
        <v>10854</v>
      </c>
      <c r="B4636" s="10" t="s">
        <v>10064</v>
      </c>
      <c r="C4636" s="8" t="s">
        <v>10849</v>
      </c>
      <c r="D4636" s="8" t="s">
        <v>10855</v>
      </c>
      <c r="E4636" s="11" t="n">
        <v>415</v>
      </c>
      <c r="F4636" s="8" t="str">
        <f aca="false">IFERROR(INDEX(Section_Master!$D$2:$D$477,MATCH($E4636,Section_Master!$A$2:$A$477,0))&amp;"","")</f>
        <v>Not applicable - procedural provision (BNSS), no offence defined</v>
      </c>
      <c r="G4636" s="10" t="str">
        <f aca="false">IFERROR(INDEX(Section_Master!$E$2:$E$477,MATCH($E4636,Section_Master!$A$2:$A$477,0))&amp;"","")</f>
        <v>N/A</v>
      </c>
      <c r="H4636" s="10" t="str">
        <f aca="false">IFERROR(INDEX(Section_Master!$F$2:$F$477,MATCH($E4636,Section_Master!$A$2:$A$477,0))&amp;"","")</f>
        <v>N/A</v>
      </c>
      <c r="I4636" s="10" t="str">
        <f aca="false">IFERROR(INDEX(Section_Master!$G$2:$G$477,MATCH($E4636,Section_Master!$A$2:$A$477,0))&amp;"","")</f>
        <v>N/A</v>
      </c>
      <c r="J4636" s="10" t="s">
        <v>55</v>
      </c>
      <c r="K4636" s="8" t="s">
        <v>10851</v>
      </c>
    </row>
    <row r="4637" customFormat="false" ht="23.25" hidden="false" customHeight="true" outlineLevel="0" collapsed="false">
      <c r="A4637" s="10" t="s">
        <v>10856</v>
      </c>
      <c r="B4637" s="10" t="s">
        <v>10064</v>
      </c>
      <c r="C4637" s="8" t="s">
        <v>10849</v>
      </c>
      <c r="D4637" s="8" t="s">
        <v>10857</v>
      </c>
      <c r="E4637" s="11" t="n">
        <v>415</v>
      </c>
      <c r="F4637" s="8" t="str">
        <f aca="false">IFERROR(INDEX(Section_Master!$D$2:$D$477,MATCH($E4637,Section_Master!$A$2:$A$477,0))&amp;"","")</f>
        <v>Not applicable - procedural provision (BNSS), no offence defined</v>
      </c>
      <c r="G4637" s="10" t="str">
        <f aca="false">IFERROR(INDEX(Section_Master!$E$2:$E$477,MATCH($E4637,Section_Master!$A$2:$A$477,0))&amp;"","")</f>
        <v>N/A</v>
      </c>
      <c r="H4637" s="10" t="str">
        <f aca="false">IFERROR(INDEX(Section_Master!$F$2:$F$477,MATCH($E4637,Section_Master!$A$2:$A$477,0))&amp;"","")</f>
        <v>N/A</v>
      </c>
      <c r="I4637" s="10" t="str">
        <f aca="false">IFERROR(INDEX(Section_Master!$G$2:$G$477,MATCH($E4637,Section_Master!$A$2:$A$477,0))&amp;"","")</f>
        <v>N/A</v>
      </c>
      <c r="J4637" s="10" t="s">
        <v>58</v>
      </c>
      <c r="K4637" s="8" t="s">
        <v>10851</v>
      </c>
    </row>
    <row r="4638" customFormat="false" ht="34.5" hidden="false" customHeight="true" outlineLevel="0" collapsed="false">
      <c r="A4638" s="10" t="s">
        <v>10858</v>
      </c>
      <c r="B4638" s="10" t="s">
        <v>10064</v>
      </c>
      <c r="C4638" s="8" t="s">
        <v>10849</v>
      </c>
      <c r="D4638" s="8" t="s">
        <v>10859</v>
      </c>
      <c r="E4638" s="11" t="n">
        <v>415</v>
      </c>
      <c r="F4638" s="8" t="str">
        <f aca="false">IFERROR(INDEX(Section_Master!$D$2:$D$477,MATCH($E4638,Section_Master!$A$2:$A$477,0))&amp;"","")</f>
        <v>Not applicable - procedural provision (BNSS), no offence defined</v>
      </c>
      <c r="G4638" s="10" t="str">
        <f aca="false">IFERROR(INDEX(Section_Master!$E$2:$E$477,MATCH($E4638,Section_Master!$A$2:$A$477,0))&amp;"","")</f>
        <v>N/A</v>
      </c>
      <c r="H4638" s="10" t="str">
        <f aca="false">IFERROR(INDEX(Section_Master!$F$2:$F$477,MATCH($E4638,Section_Master!$A$2:$A$477,0))&amp;"","")</f>
        <v>N/A</v>
      </c>
      <c r="I4638" s="10" t="str">
        <f aca="false">IFERROR(INDEX(Section_Master!$G$2:$G$477,MATCH($E4638,Section_Master!$A$2:$A$477,0))&amp;"","")</f>
        <v>N/A</v>
      </c>
      <c r="J4638" s="10" t="s">
        <v>61</v>
      </c>
      <c r="K4638" s="8" t="s">
        <v>10851</v>
      </c>
    </row>
    <row r="4639" customFormat="false" ht="45.75" hidden="false" customHeight="true" outlineLevel="0" collapsed="false">
      <c r="A4639" s="10" t="s">
        <v>10860</v>
      </c>
      <c r="B4639" s="10" t="s">
        <v>10064</v>
      </c>
      <c r="C4639" s="8" t="s">
        <v>10849</v>
      </c>
      <c r="D4639" s="8" t="s">
        <v>10861</v>
      </c>
      <c r="E4639" s="11" t="n">
        <v>415</v>
      </c>
      <c r="F4639" s="8" t="str">
        <f aca="false">IFERROR(INDEX(Section_Master!$D$2:$D$477,MATCH($E4639,Section_Master!$A$2:$A$477,0))&amp;"","")</f>
        <v>Not applicable - procedural provision (BNSS), no offence defined</v>
      </c>
      <c r="G4639" s="10" t="str">
        <f aca="false">IFERROR(INDEX(Section_Master!$E$2:$E$477,MATCH($E4639,Section_Master!$A$2:$A$477,0))&amp;"","")</f>
        <v>N/A</v>
      </c>
      <c r="H4639" s="10" t="str">
        <f aca="false">IFERROR(INDEX(Section_Master!$F$2:$F$477,MATCH($E4639,Section_Master!$A$2:$A$477,0))&amp;"","")</f>
        <v>N/A</v>
      </c>
      <c r="I4639" s="10" t="str">
        <f aca="false">IFERROR(INDEX(Section_Master!$G$2:$G$477,MATCH($E4639,Section_Master!$A$2:$A$477,0))&amp;"","")</f>
        <v>N/A</v>
      </c>
      <c r="J4639" s="10" t="s">
        <v>64</v>
      </c>
      <c r="K4639" s="8" t="s">
        <v>10851</v>
      </c>
    </row>
    <row r="4640" customFormat="false" ht="34.5" hidden="false" customHeight="true" outlineLevel="0" collapsed="false">
      <c r="A4640" s="10" t="s">
        <v>10862</v>
      </c>
      <c r="B4640" s="10" t="s">
        <v>10064</v>
      </c>
      <c r="C4640" s="8" t="s">
        <v>10863</v>
      </c>
      <c r="D4640" s="8" t="s">
        <v>10864</v>
      </c>
      <c r="E4640" s="11" t="n">
        <v>416</v>
      </c>
      <c r="F4640" s="8" t="str">
        <f aca="false">IFERROR(INDEX(Section_Master!$D$2:$D$477,MATCH($E4640,Section_Master!$A$2:$A$477,0))&amp;"","")</f>
        <v>Not applicable - procedural provision (BNSS), no offence defined</v>
      </c>
      <c r="G4640" s="10" t="str">
        <f aca="false">IFERROR(INDEX(Section_Master!$E$2:$E$477,MATCH($E4640,Section_Master!$A$2:$A$477,0))&amp;"","")</f>
        <v>N/A</v>
      </c>
      <c r="H4640" s="10" t="str">
        <f aca="false">IFERROR(INDEX(Section_Master!$F$2:$F$477,MATCH($E4640,Section_Master!$A$2:$A$477,0))&amp;"","")</f>
        <v>N/A</v>
      </c>
      <c r="I4640" s="10" t="str">
        <f aca="false">IFERROR(INDEX(Section_Master!$G$2:$G$477,MATCH($E4640,Section_Master!$A$2:$A$477,0))&amp;"","")</f>
        <v>N/A</v>
      </c>
      <c r="J4640" s="10" t="s">
        <v>48</v>
      </c>
      <c r="K4640" s="8" t="s">
        <v>10865</v>
      </c>
    </row>
    <row r="4641" customFormat="false" ht="45.75" hidden="false" customHeight="true" outlineLevel="0" collapsed="false">
      <c r="A4641" s="10" t="s">
        <v>10866</v>
      </c>
      <c r="B4641" s="10" t="s">
        <v>10064</v>
      </c>
      <c r="C4641" s="8" t="s">
        <v>10863</v>
      </c>
      <c r="D4641" s="8" t="s">
        <v>10867</v>
      </c>
      <c r="E4641" s="11" t="n">
        <v>416</v>
      </c>
      <c r="F4641" s="8" t="str">
        <f aca="false">IFERROR(INDEX(Section_Master!$D$2:$D$477,MATCH($E4641,Section_Master!$A$2:$A$477,0))&amp;"","")</f>
        <v>Not applicable - procedural provision (BNSS), no offence defined</v>
      </c>
      <c r="G4641" s="10" t="str">
        <f aca="false">IFERROR(INDEX(Section_Master!$E$2:$E$477,MATCH($E4641,Section_Master!$A$2:$A$477,0))&amp;"","")</f>
        <v>N/A</v>
      </c>
      <c r="H4641" s="10" t="str">
        <f aca="false">IFERROR(INDEX(Section_Master!$F$2:$F$477,MATCH($E4641,Section_Master!$A$2:$A$477,0))&amp;"","")</f>
        <v>N/A</v>
      </c>
      <c r="I4641" s="10" t="str">
        <f aca="false">IFERROR(INDEX(Section_Master!$G$2:$G$477,MATCH($E4641,Section_Master!$A$2:$A$477,0))&amp;"","")</f>
        <v>N/A</v>
      </c>
      <c r="J4641" s="10" t="s">
        <v>52</v>
      </c>
      <c r="K4641" s="8" t="s">
        <v>10865</v>
      </c>
    </row>
    <row r="4642" customFormat="false" ht="45.75" hidden="false" customHeight="true" outlineLevel="0" collapsed="false">
      <c r="A4642" s="10" t="s">
        <v>10868</v>
      </c>
      <c r="B4642" s="10" t="s">
        <v>10064</v>
      </c>
      <c r="C4642" s="8" t="s">
        <v>10863</v>
      </c>
      <c r="D4642" s="8" t="s">
        <v>10869</v>
      </c>
      <c r="E4642" s="11" t="n">
        <v>416</v>
      </c>
      <c r="F4642" s="8" t="str">
        <f aca="false">IFERROR(INDEX(Section_Master!$D$2:$D$477,MATCH($E4642,Section_Master!$A$2:$A$477,0))&amp;"","")</f>
        <v>Not applicable - procedural provision (BNSS), no offence defined</v>
      </c>
      <c r="G4642" s="10" t="str">
        <f aca="false">IFERROR(INDEX(Section_Master!$E$2:$E$477,MATCH($E4642,Section_Master!$A$2:$A$477,0))&amp;"","")</f>
        <v>N/A</v>
      </c>
      <c r="H4642" s="10" t="str">
        <f aca="false">IFERROR(INDEX(Section_Master!$F$2:$F$477,MATCH($E4642,Section_Master!$A$2:$A$477,0))&amp;"","")</f>
        <v>N/A</v>
      </c>
      <c r="I4642" s="10" t="str">
        <f aca="false">IFERROR(INDEX(Section_Master!$G$2:$G$477,MATCH($E4642,Section_Master!$A$2:$A$477,0))&amp;"","")</f>
        <v>N/A</v>
      </c>
      <c r="J4642" s="10" t="s">
        <v>55</v>
      </c>
      <c r="K4642" s="8" t="s">
        <v>10865</v>
      </c>
    </row>
    <row r="4643" customFormat="false" ht="34.5" hidden="false" customHeight="true" outlineLevel="0" collapsed="false">
      <c r="A4643" s="10" t="s">
        <v>10870</v>
      </c>
      <c r="B4643" s="10" t="s">
        <v>10064</v>
      </c>
      <c r="C4643" s="8" t="s">
        <v>10863</v>
      </c>
      <c r="D4643" s="8" t="s">
        <v>10871</v>
      </c>
      <c r="E4643" s="11" t="n">
        <v>416</v>
      </c>
      <c r="F4643" s="8" t="str">
        <f aca="false">IFERROR(INDEX(Section_Master!$D$2:$D$477,MATCH($E4643,Section_Master!$A$2:$A$477,0))&amp;"","")</f>
        <v>Not applicable - procedural provision (BNSS), no offence defined</v>
      </c>
      <c r="G4643" s="10" t="str">
        <f aca="false">IFERROR(INDEX(Section_Master!$E$2:$E$477,MATCH($E4643,Section_Master!$A$2:$A$477,0))&amp;"","")</f>
        <v>N/A</v>
      </c>
      <c r="H4643" s="10" t="str">
        <f aca="false">IFERROR(INDEX(Section_Master!$F$2:$F$477,MATCH($E4643,Section_Master!$A$2:$A$477,0))&amp;"","")</f>
        <v>N/A</v>
      </c>
      <c r="I4643" s="10" t="str">
        <f aca="false">IFERROR(INDEX(Section_Master!$G$2:$G$477,MATCH($E4643,Section_Master!$A$2:$A$477,0))&amp;"","")</f>
        <v>N/A</v>
      </c>
      <c r="J4643" s="10" t="s">
        <v>58</v>
      </c>
      <c r="K4643" s="8" t="s">
        <v>10865</v>
      </c>
    </row>
    <row r="4644" customFormat="false" ht="45.75" hidden="false" customHeight="true" outlineLevel="0" collapsed="false">
      <c r="A4644" s="10" t="s">
        <v>10872</v>
      </c>
      <c r="B4644" s="10" t="s">
        <v>10064</v>
      </c>
      <c r="C4644" s="8" t="s">
        <v>10863</v>
      </c>
      <c r="D4644" s="8" t="s">
        <v>10873</v>
      </c>
      <c r="E4644" s="11" t="n">
        <v>416</v>
      </c>
      <c r="F4644" s="8" t="str">
        <f aca="false">IFERROR(INDEX(Section_Master!$D$2:$D$477,MATCH($E4644,Section_Master!$A$2:$A$477,0))&amp;"","")</f>
        <v>Not applicable - procedural provision (BNSS), no offence defined</v>
      </c>
      <c r="G4644" s="10" t="str">
        <f aca="false">IFERROR(INDEX(Section_Master!$E$2:$E$477,MATCH($E4644,Section_Master!$A$2:$A$477,0))&amp;"","")</f>
        <v>N/A</v>
      </c>
      <c r="H4644" s="10" t="str">
        <f aca="false">IFERROR(INDEX(Section_Master!$F$2:$F$477,MATCH($E4644,Section_Master!$A$2:$A$477,0))&amp;"","")</f>
        <v>N/A</v>
      </c>
      <c r="I4644" s="10" t="str">
        <f aca="false">IFERROR(INDEX(Section_Master!$G$2:$G$477,MATCH($E4644,Section_Master!$A$2:$A$477,0))&amp;"","")</f>
        <v>N/A</v>
      </c>
      <c r="J4644" s="10" t="s">
        <v>61</v>
      </c>
      <c r="K4644" s="8" t="s">
        <v>10865</v>
      </c>
    </row>
    <row r="4645" customFormat="false" ht="45.75" hidden="false" customHeight="true" outlineLevel="0" collapsed="false">
      <c r="A4645" s="10" t="s">
        <v>10874</v>
      </c>
      <c r="B4645" s="10" t="s">
        <v>10064</v>
      </c>
      <c r="C4645" s="8" t="s">
        <v>10863</v>
      </c>
      <c r="D4645" s="8" t="s">
        <v>10875</v>
      </c>
      <c r="E4645" s="11" t="n">
        <v>416</v>
      </c>
      <c r="F4645" s="8" t="str">
        <f aca="false">IFERROR(INDEX(Section_Master!$D$2:$D$477,MATCH($E4645,Section_Master!$A$2:$A$477,0))&amp;"","")</f>
        <v>Not applicable - procedural provision (BNSS), no offence defined</v>
      </c>
      <c r="G4645" s="10" t="str">
        <f aca="false">IFERROR(INDEX(Section_Master!$E$2:$E$477,MATCH($E4645,Section_Master!$A$2:$A$477,0))&amp;"","")</f>
        <v>N/A</v>
      </c>
      <c r="H4645" s="10" t="str">
        <f aca="false">IFERROR(INDEX(Section_Master!$F$2:$F$477,MATCH($E4645,Section_Master!$A$2:$A$477,0))&amp;"","")</f>
        <v>N/A</v>
      </c>
      <c r="I4645" s="10" t="str">
        <f aca="false">IFERROR(INDEX(Section_Master!$G$2:$G$477,MATCH($E4645,Section_Master!$A$2:$A$477,0))&amp;"","")</f>
        <v>N/A</v>
      </c>
      <c r="J4645" s="10" t="s">
        <v>64</v>
      </c>
      <c r="K4645" s="8" t="s">
        <v>10865</v>
      </c>
    </row>
    <row r="4646" customFormat="false" ht="34.5" hidden="false" customHeight="true" outlineLevel="0" collapsed="false">
      <c r="A4646" s="10" t="s">
        <v>10876</v>
      </c>
      <c r="B4646" s="10" t="s">
        <v>10064</v>
      </c>
      <c r="C4646" s="8" t="s">
        <v>10877</v>
      </c>
      <c r="D4646" s="8" t="s">
        <v>10878</v>
      </c>
      <c r="E4646" s="11" t="n">
        <v>417</v>
      </c>
      <c r="F4646" s="8" t="str">
        <f aca="false">IFERROR(INDEX(Section_Master!$D$2:$D$477,MATCH($E4646,Section_Master!$A$2:$A$477,0))&amp;"","")</f>
        <v>Not applicable - procedural provision (BNSS), no offence defined</v>
      </c>
      <c r="G4646" s="10" t="str">
        <f aca="false">IFERROR(INDEX(Section_Master!$E$2:$E$477,MATCH($E4646,Section_Master!$A$2:$A$477,0))&amp;"","")</f>
        <v>N/A</v>
      </c>
      <c r="H4646" s="10" t="str">
        <f aca="false">IFERROR(INDEX(Section_Master!$F$2:$F$477,MATCH($E4646,Section_Master!$A$2:$A$477,0))&amp;"","")</f>
        <v>N/A</v>
      </c>
      <c r="I4646" s="10" t="str">
        <f aca="false">IFERROR(INDEX(Section_Master!$G$2:$G$477,MATCH($E4646,Section_Master!$A$2:$A$477,0))&amp;"","")</f>
        <v>N/A</v>
      </c>
      <c r="J4646" s="10" t="s">
        <v>48</v>
      </c>
      <c r="K4646" s="8" t="s">
        <v>10879</v>
      </c>
    </row>
    <row r="4647" customFormat="false" ht="45.75" hidden="false" customHeight="true" outlineLevel="0" collapsed="false">
      <c r="A4647" s="10" t="s">
        <v>10880</v>
      </c>
      <c r="B4647" s="10" t="s">
        <v>10064</v>
      </c>
      <c r="C4647" s="8" t="s">
        <v>10877</v>
      </c>
      <c r="D4647" s="8" t="s">
        <v>10881</v>
      </c>
      <c r="E4647" s="11" t="n">
        <v>417</v>
      </c>
      <c r="F4647" s="8" t="str">
        <f aca="false">IFERROR(INDEX(Section_Master!$D$2:$D$477,MATCH($E4647,Section_Master!$A$2:$A$477,0))&amp;"","")</f>
        <v>Not applicable - procedural provision (BNSS), no offence defined</v>
      </c>
      <c r="G4647" s="10" t="str">
        <f aca="false">IFERROR(INDEX(Section_Master!$E$2:$E$477,MATCH($E4647,Section_Master!$A$2:$A$477,0))&amp;"","")</f>
        <v>N/A</v>
      </c>
      <c r="H4647" s="10" t="str">
        <f aca="false">IFERROR(INDEX(Section_Master!$F$2:$F$477,MATCH($E4647,Section_Master!$A$2:$A$477,0))&amp;"","")</f>
        <v>N/A</v>
      </c>
      <c r="I4647" s="10" t="str">
        <f aca="false">IFERROR(INDEX(Section_Master!$G$2:$G$477,MATCH($E4647,Section_Master!$A$2:$A$477,0))&amp;"","")</f>
        <v>N/A</v>
      </c>
      <c r="J4647" s="10" t="s">
        <v>52</v>
      </c>
      <c r="K4647" s="8" t="s">
        <v>10879</v>
      </c>
    </row>
    <row r="4648" customFormat="false" ht="45.75" hidden="false" customHeight="true" outlineLevel="0" collapsed="false">
      <c r="A4648" s="10" t="s">
        <v>10882</v>
      </c>
      <c r="B4648" s="10" t="s">
        <v>10064</v>
      </c>
      <c r="C4648" s="8" t="s">
        <v>10877</v>
      </c>
      <c r="D4648" s="8" t="s">
        <v>10883</v>
      </c>
      <c r="E4648" s="11" t="n">
        <v>417</v>
      </c>
      <c r="F4648" s="8" t="str">
        <f aca="false">IFERROR(INDEX(Section_Master!$D$2:$D$477,MATCH($E4648,Section_Master!$A$2:$A$477,0))&amp;"","")</f>
        <v>Not applicable - procedural provision (BNSS), no offence defined</v>
      </c>
      <c r="G4648" s="10" t="str">
        <f aca="false">IFERROR(INDEX(Section_Master!$E$2:$E$477,MATCH($E4648,Section_Master!$A$2:$A$477,0))&amp;"","")</f>
        <v>N/A</v>
      </c>
      <c r="H4648" s="10" t="str">
        <f aca="false">IFERROR(INDEX(Section_Master!$F$2:$F$477,MATCH($E4648,Section_Master!$A$2:$A$477,0))&amp;"","")</f>
        <v>N/A</v>
      </c>
      <c r="I4648" s="10" t="str">
        <f aca="false">IFERROR(INDEX(Section_Master!$G$2:$G$477,MATCH($E4648,Section_Master!$A$2:$A$477,0))&amp;"","")</f>
        <v>N/A</v>
      </c>
      <c r="J4648" s="10" t="s">
        <v>55</v>
      </c>
      <c r="K4648" s="8" t="s">
        <v>10879</v>
      </c>
    </row>
    <row r="4649" customFormat="false" ht="23.25" hidden="false" customHeight="true" outlineLevel="0" collapsed="false">
      <c r="A4649" s="10" t="s">
        <v>10884</v>
      </c>
      <c r="B4649" s="10" t="s">
        <v>10064</v>
      </c>
      <c r="C4649" s="8" t="s">
        <v>10877</v>
      </c>
      <c r="D4649" s="8" t="s">
        <v>10885</v>
      </c>
      <c r="E4649" s="11" t="n">
        <v>417</v>
      </c>
      <c r="F4649" s="8" t="str">
        <f aca="false">IFERROR(INDEX(Section_Master!$D$2:$D$477,MATCH($E4649,Section_Master!$A$2:$A$477,0))&amp;"","")</f>
        <v>Not applicable - procedural provision (BNSS), no offence defined</v>
      </c>
      <c r="G4649" s="10" t="str">
        <f aca="false">IFERROR(INDEX(Section_Master!$E$2:$E$477,MATCH($E4649,Section_Master!$A$2:$A$477,0))&amp;"","")</f>
        <v>N/A</v>
      </c>
      <c r="H4649" s="10" t="str">
        <f aca="false">IFERROR(INDEX(Section_Master!$F$2:$F$477,MATCH($E4649,Section_Master!$A$2:$A$477,0))&amp;"","")</f>
        <v>N/A</v>
      </c>
      <c r="I4649" s="10" t="str">
        <f aca="false">IFERROR(INDEX(Section_Master!$G$2:$G$477,MATCH($E4649,Section_Master!$A$2:$A$477,0))&amp;"","")</f>
        <v>N/A</v>
      </c>
      <c r="J4649" s="10" t="s">
        <v>58</v>
      </c>
      <c r="K4649" s="8" t="s">
        <v>10879</v>
      </c>
    </row>
    <row r="4650" customFormat="false" ht="23.25" hidden="false" customHeight="true" outlineLevel="0" collapsed="false">
      <c r="A4650" s="10" t="s">
        <v>10886</v>
      </c>
      <c r="B4650" s="10" t="s">
        <v>10064</v>
      </c>
      <c r="C4650" s="8" t="s">
        <v>10877</v>
      </c>
      <c r="D4650" s="8" t="s">
        <v>10887</v>
      </c>
      <c r="E4650" s="11" t="n">
        <v>417</v>
      </c>
      <c r="F4650" s="8" t="str">
        <f aca="false">IFERROR(INDEX(Section_Master!$D$2:$D$477,MATCH($E4650,Section_Master!$A$2:$A$477,0))&amp;"","")</f>
        <v>Not applicable - procedural provision (BNSS), no offence defined</v>
      </c>
      <c r="G4650" s="10" t="str">
        <f aca="false">IFERROR(INDEX(Section_Master!$E$2:$E$477,MATCH($E4650,Section_Master!$A$2:$A$477,0))&amp;"","")</f>
        <v>N/A</v>
      </c>
      <c r="H4650" s="10" t="str">
        <f aca="false">IFERROR(INDEX(Section_Master!$F$2:$F$477,MATCH($E4650,Section_Master!$A$2:$A$477,0))&amp;"","")</f>
        <v>N/A</v>
      </c>
      <c r="I4650" s="10" t="str">
        <f aca="false">IFERROR(INDEX(Section_Master!$G$2:$G$477,MATCH($E4650,Section_Master!$A$2:$A$477,0))&amp;"","")</f>
        <v>N/A</v>
      </c>
      <c r="J4650" s="10" t="s">
        <v>61</v>
      </c>
      <c r="K4650" s="8" t="s">
        <v>10879</v>
      </c>
    </row>
    <row r="4651" customFormat="false" ht="45.75" hidden="false" customHeight="true" outlineLevel="0" collapsed="false">
      <c r="A4651" s="10" t="s">
        <v>10888</v>
      </c>
      <c r="B4651" s="10" t="s">
        <v>10064</v>
      </c>
      <c r="C4651" s="8" t="s">
        <v>10877</v>
      </c>
      <c r="D4651" s="8" t="s">
        <v>10889</v>
      </c>
      <c r="E4651" s="11" t="n">
        <v>417</v>
      </c>
      <c r="F4651" s="8" t="str">
        <f aca="false">IFERROR(INDEX(Section_Master!$D$2:$D$477,MATCH($E4651,Section_Master!$A$2:$A$477,0))&amp;"","")</f>
        <v>Not applicable - procedural provision (BNSS), no offence defined</v>
      </c>
      <c r="G4651" s="10" t="str">
        <f aca="false">IFERROR(INDEX(Section_Master!$E$2:$E$477,MATCH($E4651,Section_Master!$A$2:$A$477,0))&amp;"","")</f>
        <v>N/A</v>
      </c>
      <c r="H4651" s="10" t="str">
        <f aca="false">IFERROR(INDEX(Section_Master!$F$2:$F$477,MATCH($E4651,Section_Master!$A$2:$A$477,0))&amp;"","")</f>
        <v>N/A</v>
      </c>
      <c r="I4651" s="10" t="str">
        <f aca="false">IFERROR(INDEX(Section_Master!$G$2:$G$477,MATCH($E4651,Section_Master!$A$2:$A$477,0))&amp;"","")</f>
        <v>N/A</v>
      </c>
      <c r="J4651" s="10" t="s">
        <v>64</v>
      </c>
      <c r="K4651" s="8" t="s">
        <v>10879</v>
      </c>
    </row>
    <row r="4652" customFormat="false" ht="34.5" hidden="false" customHeight="true" outlineLevel="0" collapsed="false">
      <c r="A4652" s="10" t="s">
        <v>10890</v>
      </c>
      <c r="B4652" s="10" t="s">
        <v>10064</v>
      </c>
      <c r="C4652" s="8" t="s">
        <v>10891</v>
      </c>
      <c r="D4652" s="8" t="s">
        <v>10892</v>
      </c>
      <c r="E4652" s="11" t="n">
        <v>418</v>
      </c>
      <c r="F4652" s="8" t="str">
        <f aca="false">IFERROR(INDEX(Section_Master!$D$2:$D$477,MATCH($E4652,Section_Master!$A$2:$A$477,0))&amp;"","")</f>
        <v>Not applicable - procedural provision (BNSS), no offence defined</v>
      </c>
      <c r="G4652" s="10" t="str">
        <f aca="false">IFERROR(INDEX(Section_Master!$E$2:$E$477,MATCH($E4652,Section_Master!$A$2:$A$477,0))&amp;"","")</f>
        <v>N/A</v>
      </c>
      <c r="H4652" s="10" t="str">
        <f aca="false">IFERROR(INDEX(Section_Master!$F$2:$F$477,MATCH($E4652,Section_Master!$A$2:$A$477,0))&amp;"","")</f>
        <v>N/A</v>
      </c>
      <c r="I4652" s="10" t="str">
        <f aca="false">IFERROR(INDEX(Section_Master!$G$2:$G$477,MATCH($E4652,Section_Master!$A$2:$A$477,0))&amp;"","")</f>
        <v>N/A</v>
      </c>
      <c r="J4652" s="10" t="s">
        <v>48</v>
      </c>
      <c r="K4652" s="8" t="s">
        <v>10893</v>
      </c>
    </row>
    <row r="4653" customFormat="false" ht="45.75" hidden="false" customHeight="true" outlineLevel="0" collapsed="false">
      <c r="A4653" s="10" t="s">
        <v>10894</v>
      </c>
      <c r="B4653" s="10" t="s">
        <v>10064</v>
      </c>
      <c r="C4653" s="8" t="s">
        <v>10891</v>
      </c>
      <c r="D4653" s="8" t="s">
        <v>10895</v>
      </c>
      <c r="E4653" s="11" t="n">
        <v>418</v>
      </c>
      <c r="F4653" s="8" t="str">
        <f aca="false">IFERROR(INDEX(Section_Master!$D$2:$D$477,MATCH($E4653,Section_Master!$A$2:$A$477,0))&amp;"","")</f>
        <v>Not applicable - procedural provision (BNSS), no offence defined</v>
      </c>
      <c r="G4653" s="10" t="str">
        <f aca="false">IFERROR(INDEX(Section_Master!$E$2:$E$477,MATCH($E4653,Section_Master!$A$2:$A$477,0))&amp;"","")</f>
        <v>N/A</v>
      </c>
      <c r="H4653" s="10" t="str">
        <f aca="false">IFERROR(INDEX(Section_Master!$F$2:$F$477,MATCH($E4653,Section_Master!$A$2:$A$477,0))&amp;"","")</f>
        <v>N/A</v>
      </c>
      <c r="I4653" s="10" t="str">
        <f aca="false">IFERROR(INDEX(Section_Master!$G$2:$G$477,MATCH($E4653,Section_Master!$A$2:$A$477,0))&amp;"","")</f>
        <v>N/A</v>
      </c>
      <c r="J4653" s="10" t="s">
        <v>52</v>
      </c>
      <c r="K4653" s="8" t="s">
        <v>10893</v>
      </c>
    </row>
    <row r="4654" customFormat="false" ht="23.25" hidden="false" customHeight="true" outlineLevel="0" collapsed="false">
      <c r="A4654" s="10" t="s">
        <v>10896</v>
      </c>
      <c r="B4654" s="10" t="s">
        <v>10064</v>
      </c>
      <c r="C4654" s="8" t="s">
        <v>10891</v>
      </c>
      <c r="D4654" s="8" t="s">
        <v>10897</v>
      </c>
      <c r="E4654" s="11" t="n">
        <v>418</v>
      </c>
      <c r="F4654" s="8" t="str">
        <f aca="false">IFERROR(INDEX(Section_Master!$D$2:$D$477,MATCH($E4654,Section_Master!$A$2:$A$477,0))&amp;"","")</f>
        <v>Not applicable - procedural provision (BNSS), no offence defined</v>
      </c>
      <c r="G4654" s="10" t="str">
        <f aca="false">IFERROR(INDEX(Section_Master!$E$2:$E$477,MATCH($E4654,Section_Master!$A$2:$A$477,0))&amp;"","")</f>
        <v>N/A</v>
      </c>
      <c r="H4654" s="10" t="str">
        <f aca="false">IFERROR(INDEX(Section_Master!$F$2:$F$477,MATCH($E4654,Section_Master!$A$2:$A$477,0))&amp;"","")</f>
        <v>N/A</v>
      </c>
      <c r="I4654" s="10" t="str">
        <f aca="false">IFERROR(INDEX(Section_Master!$G$2:$G$477,MATCH($E4654,Section_Master!$A$2:$A$477,0))&amp;"","")</f>
        <v>N/A</v>
      </c>
      <c r="J4654" s="10" t="s">
        <v>55</v>
      </c>
      <c r="K4654" s="8" t="s">
        <v>10893</v>
      </c>
    </row>
    <row r="4655" customFormat="false" ht="23.25" hidden="false" customHeight="true" outlineLevel="0" collapsed="false">
      <c r="A4655" s="10" t="s">
        <v>10898</v>
      </c>
      <c r="B4655" s="10" t="s">
        <v>10064</v>
      </c>
      <c r="C4655" s="8" t="s">
        <v>10891</v>
      </c>
      <c r="D4655" s="8" t="s">
        <v>10899</v>
      </c>
      <c r="E4655" s="11" t="n">
        <v>418</v>
      </c>
      <c r="F4655" s="8" t="str">
        <f aca="false">IFERROR(INDEX(Section_Master!$D$2:$D$477,MATCH($E4655,Section_Master!$A$2:$A$477,0))&amp;"","")</f>
        <v>Not applicable - procedural provision (BNSS), no offence defined</v>
      </c>
      <c r="G4655" s="10" t="str">
        <f aca="false">IFERROR(INDEX(Section_Master!$E$2:$E$477,MATCH($E4655,Section_Master!$A$2:$A$477,0))&amp;"","")</f>
        <v>N/A</v>
      </c>
      <c r="H4655" s="10" t="str">
        <f aca="false">IFERROR(INDEX(Section_Master!$F$2:$F$477,MATCH($E4655,Section_Master!$A$2:$A$477,0))&amp;"","")</f>
        <v>N/A</v>
      </c>
      <c r="I4655" s="10" t="str">
        <f aca="false">IFERROR(INDEX(Section_Master!$G$2:$G$477,MATCH($E4655,Section_Master!$A$2:$A$477,0))&amp;"","")</f>
        <v>N/A</v>
      </c>
      <c r="J4655" s="10" t="s">
        <v>58</v>
      </c>
      <c r="K4655" s="8" t="s">
        <v>10893</v>
      </c>
    </row>
    <row r="4656" customFormat="false" ht="34.5" hidden="false" customHeight="true" outlineLevel="0" collapsed="false">
      <c r="A4656" s="10" t="s">
        <v>10900</v>
      </c>
      <c r="B4656" s="10" t="s">
        <v>10064</v>
      </c>
      <c r="C4656" s="8" t="s">
        <v>10891</v>
      </c>
      <c r="D4656" s="8" t="s">
        <v>10901</v>
      </c>
      <c r="E4656" s="11" t="n">
        <v>418</v>
      </c>
      <c r="F4656" s="8" t="str">
        <f aca="false">IFERROR(INDEX(Section_Master!$D$2:$D$477,MATCH($E4656,Section_Master!$A$2:$A$477,0))&amp;"","")</f>
        <v>Not applicable - procedural provision (BNSS), no offence defined</v>
      </c>
      <c r="G4656" s="10" t="str">
        <f aca="false">IFERROR(INDEX(Section_Master!$E$2:$E$477,MATCH($E4656,Section_Master!$A$2:$A$477,0))&amp;"","")</f>
        <v>N/A</v>
      </c>
      <c r="H4656" s="10" t="str">
        <f aca="false">IFERROR(INDEX(Section_Master!$F$2:$F$477,MATCH($E4656,Section_Master!$A$2:$A$477,0))&amp;"","")</f>
        <v>N/A</v>
      </c>
      <c r="I4656" s="10" t="str">
        <f aca="false">IFERROR(INDEX(Section_Master!$G$2:$G$477,MATCH($E4656,Section_Master!$A$2:$A$477,0))&amp;"","")</f>
        <v>N/A</v>
      </c>
      <c r="J4656" s="10" t="s">
        <v>61</v>
      </c>
      <c r="K4656" s="8" t="s">
        <v>10893</v>
      </c>
    </row>
    <row r="4657" customFormat="false" ht="45.75" hidden="false" customHeight="true" outlineLevel="0" collapsed="false">
      <c r="A4657" s="10" t="s">
        <v>10902</v>
      </c>
      <c r="B4657" s="10" t="s">
        <v>10064</v>
      </c>
      <c r="C4657" s="8" t="s">
        <v>10891</v>
      </c>
      <c r="D4657" s="8" t="s">
        <v>10903</v>
      </c>
      <c r="E4657" s="11" t="n">
        <v>418</v>
      </c>
      <c r="F4657" s="8" t="str">
        <f aca="false">IFERROR(INDEX(Section_Master!$D$2:$D$477,MATCH($E4657,Section_Master!$A$2:$A$477,0))&amp;"","")</f>
        <v>Not applicable - procedural provision (BNSS), no offence defined</v>
      </c>
      <c r="G4657" s="10" t="str">
        <f aca="false">IFERROR(INDEX(Section_Master!$E$2:$E$477,MATCH($E4657,Section_Master!$A$2:$A$477,0))&amp;"","")</f>
        <v>N/A</v>
      </c>
      <c r="H4657" s="10" t="str">
        <f aca="false">IFERROR(INDEX(Section_Master!$F$2:$F$477,MATCH($E4657,Section_Master!$A$2:$A$477,0))&amp;"","")</f>
        <v>N/A</v>
      </c>
      <c r="I4657" s="10" t="str">
        <f aca="false">IFERROR(INDEX(Section_Master!$G$2:$G$477,MATCH($E4657,Section_Master!$A$2:$A$477,0))&amp;"","")</f>
        <v>N/A</v>
      </c>
      <c r="J4657" s="10" t="s">
        <v>64</v>
      </c>
      <c r="K4657" s="8" t="s">
        <v>10893</v>
      </c>
    </row>
    <row r="4658" customFormat="false" ht="45.75" hidden="false" customHeight="true" outlineLevel="0" collapsed="false">
      <c r="A4658" s="10" t="s">
        <v>10904</v>
      </c>
      <c r="B4658" s="10" t="s">
        <v>10064</v>
      </c>
      <c r="C4658" s="8" t="s">
        <v>10905</v>
      </c>
      <c r="D4658" s="8" t="s">
        <v>10906</v>
      </c>
      <c r="E4658" s="11" t="n">
        <v>419</v>
      </c>
      <c r="F4658" s="8" t="str">
        <f aca="false">IFERROR(INDEX(Section_Master!$D$2:$D$477,MATCH($E4658,Section_Master!$A$2:$A$477,0))&amp;"","")</f>
        <v>Not applicable - procedural provision (BNSS), no offence defined</v>
      </c>
      <c r="G4658" s="10" t="str">
        <f aca="false">IFERROR(INDEX(Section_Master!$E$2:$E$477,MATCH($E4658,Section_Master!$A$2:$A$477,0))&amp;"","")</f>
        <v>N/A</v>
      </c>
      <c r="H4658" s="10" t="str">
        <f aca="false">IFERROR(INDEX(Section_Master!$F$2:$F$477,MATCH($E4658,Section_Master!$A$2:$A$477,0))&amp;"","")</f>
        <v>N/A</v>
      </c>
      <c r="I4658" s="10" t="str">
        <f aca="false">IFERROR(INDEX(Section_Master!$G$2:$G$477,MATCH($E4658,Section_Master!$A$2:$A$477,0))&amp;"","")</f>
        <v>N/A</v>
      </c>
      <c r="J4658" s="10" t="s">
        <v>48</v>
      </c>
      <c r="K4658" s="8" t="s">
        <v>10907</v>
      </c>
    </row>
    <row r="4659" customFormat="false" ht="45.75" hidden="false" customHeight="true" outlineLevel="0" collapsed="false">
      <c r="A4659" s="10" t="s">
        <v>10908</v>
      </c>
      <c r="B4659" s="10" t="s">
        <v>10064</v>
      </c>
      <c r="C4659" s="8" t="s">
        <v>10905</v>
      </c>
      <c r="D4659" s="8" t="s">
        <v>10909</v>
      </c>
      <c r="E4659" s="11" t="n">
        <v>419</v>
      </c>
      <c r="F4659" s="8" t="str">
        <f aca="false">IFERROR(INDEX(Section_Master!$D$2:$D$477,MATCH($E4659,Section_Master!$A$2:$A$477,0))&amp;"","")</f>
        <v>Not applicable - procedural provision (BNSS), no offence defined</v>
      </c>
      <c r="G4659" s="10" t="str">
        <f aca="false">IFERROR(INDEX(Section_Master!$E$2:$E$477,MATCH($E4659,Section_Master!$A$2:$A$477,0))&amp;"","")</f>
        <v>N/A</v>
      </c>
      <c r="H4659" s="10" t="str">
        <f aca="false">IFERROR(INDEX(Section_Master!$F$2:$F$477,MATCH($E4659,Section_Master!$A$2:$A$477,0))&amp;"","")</f>
        <v>N/A</v>
      </c>
      <c r="I4659" s="10" t="str">
        <f aca="false">IFERROR(INDEX(Section_Master!$G$2:$G$477,MATCH($E4659,Section_Master!$A$2:$A$477,0))&amp;"","")</f>
        <v>N/A</v>
      </c>
      <c r="J4659" s="10" t="s">
        <v>52</v>
      </c>
      <c r="K4659" s="8" t="s">
        <v>10907</v>
      </c>
    </row>
    <row r="4660" customFormat="false" ht="34.5" hidden="false" customHeight="true" outlineLevel="0" collapsed="false">
      <c r="A4660" s="10" t="s">
        <v>10910</v>
      </c>
      <c r="B4660" s="10" t="s">
        <v>10064</v>
      </c>
      <c r="C4660" s="8" t="s">
        <v>10905</v>
      </c>
      <c r="D4660" s="8" t="s">
        <v>10911</v>
      </c>
      <c r="E4660" s="11" t="n">
        <v>419</v>
      </c>
      <c r="F4660" s="8" t="str">
        <f aca="false">IFERROR(INDEX(Section_Master!$D$2:$D$477,MATCH($E4660,Section_Master!$A$2:$A$477,0))&amp;"","")</f>
        <v>Not applicable - procedural provision (BNSS), no offence defined</v>
      </c>
      <c r="G4660" s="10" t="str">
        <f aca="false">IFERROR(INDEX(Section_Master!$E$2:$E$477,MATCH($E4660,Section_Master!$A$2:$A$477,0))&amp;"","")</f>
        <v>N/A</v>
      </c>
      <c r="H4660" s="10" t="str">
        <f aca="false">IFERROR(INDEX(Section_Master!$F$2:$F$477,MATCH($E4660,Section_Master!$A$2:$A$477,0))&amp;"","")</f>
        <v>N/A</v>
      </c>
      <c r="I4660" s="10" t="str">
        <f aca="false">IFERROR(INDEX(Section_Master!$G$2:$G$477,MATCH($E4660,Section_Master!$A$2:$A$477,0))&amp;"","")</f>
        <v>N/A</v>
      </c>
      <c r="J4660" s="10" t="s">
        <v>55</v>
      </c>
      <c r="K4660" s="8" t="s">
        <v>10907</v>
      </c>
    </row>
    <row r="4661" customFormat="false" ht="23.25" hidden="false" customHeight="true" outlineLevel="0" collapsed="false">
      <c r="A4661" s="10" t="s">
        <v>10912</v>
      </c>
      <c r="B4661" s="10" t="s">
        <v>10064</v>
      </c>
      <c r="C4661" s="8" t="s">
        <v>10905</v>
      </c>
      <c r="D4661" s="8" t="s">
        <v>10913</v>
      </c>
      <c r="E4661" s="11" t="n">
        <v>419</v>
      </c>
      <c r="F4661" s="8" t="str">
        <f aca="false">IFERROR(INDEX(Section_Master!$D$2:$D$477,MATCH($E4661,Section_Master!$A$2:$A$477,0))&amp;"","")</f>
        <v>Not applicable - procedural provision (BNSS), no offence defined</v>
      </c>
      <c r="G4661" s="10" t="str">
        <f aca="false">IFERROR(INDEX(Section_Master!$E$2:$E$477,MATCH($E4661,Section_Master!$A$2:$A$477,0))&amp;"","")</f>
        <v>N/A</v>
      </c>
      <c r="H4661" s="10" t="str">
        <f aca="false">IFERROR(INDEX(Section_Master!$F$2:$F$477,MATCH($E4661,Section_Master!$A$2:$A$477,0))&amp;"","")</f>
        <v>N/A</v>
      </c>
      <c r="I4661" s="10" t="str">
        <f aca="false">IFERROR(INDEX(Section_Master!$G$2:$G$477,MATCH($E4661,Section_Master!$A$2:$A$477,0))&amp;"","")</f>
        <v>N/A</v>
      </c>
      <c r="J4661" s="10" t="s">
        <v>58</v>
      </c>
      <c r="K4661" s="8" t="s">
        <v>10907</v>
      </c>
    </row>
    <row r="4662" customFormat="false" ht="34.5" hidden="false" customHeight="true" outlineLevel="0" collapsed="false">
      <c r="A4662" s="10" t="s">
        <v>10914</v>
      </c>
      <c r="B4662" s="10" t="s">
        <v>10064</v>
      </c>
      <c r="C4662" s="8" t="s">
        <v>10905</v>
      </c>
      <c r="D4662" s="8" t="s">
        <v>10915</v>
      </c>
      <c r="E4662" s="11" t="n">
        <v>419</v>
      </c>
      <c r="F4662" s="8" t="str">
        <f aca="false">IFERROR(INDEX(Section_Master!$D$2:$D$477,MATCH($E4662,Section_Master!$A$2:$A$477,0))&amp;"","")</f>
        <v>Not applicable - procedural provision (BNSS), no offence defined</v>
      </c>
      <c r="G4662" s="10" t="str">
        <f aca="false">IFERROR(INDEX(Section_Master!$E$2:$E$477,MATCH($E4662,Section_Master!$A$2:$A$477,0))&amp;"","")</f>
        <v>N/A</v>
      </c>
      <c r="H4662" s="10" t="str">
        <f aca="false">IFERROR(INDEX(Section_Master!$F$2:$F$477,MATCH($E4662,Section_Master!$A$2:$A$477,0))&amp;"","")</f>
        <v>N/A</v>
      </c>
      <c r="I4662" s="10" t="str">
        <f aca="false">IFERROR(INDEX(Section_Master!$G$2:$G$477,MATCH($E4662,Section_Master!$A$2:$A$477,0))&amp;"","")</f>
        <v>N/A</v>
      </c>
      <c r="J4662" s="10" t="s">
        <v>61</v>
      </c>
      <c r="K4662" s="8" t="s">
        <v>10907</v>
      </c>
    </row>
    <row r="4663" customFormat="false" ht="57" hidden="false" customHeight="true" outlineLevel="0" collapsed="false">
      <c r="A4663" s="10" t="s">
        <v>10916</v>
      </c>
      <c r="B4663" s="10" t="s">
        <v>10064</v>
      </c>
      <c r="C4663" s="8" t="s">
        <v>10905</v>
      </c>
      <c r="D4663" s="8" t="s">
        <v>10917</v>
      </c>
      <c r="E4663" s="11" t="n">
        <v>419</v>
      </c>
      <c r="F4663" s="8" t="str">
        <f aca="false">IFERROR(INDEX(Section_Master!$D$2:$D$477,MATCH($E4663,Section_Master!$A$2:$A$477,0))&amp;"","")</f>
        <v>Not applicable - procedural provision (BNSS), no offence defined</v>
      </c>
      <c r="G4663" s="10" t="str">
        <f aca="false">IFERROR(INDEX(Section_Master!$E$2:$E$477,MATCH($E4663,Section_Master!$A$2:$A$477,0))&amp;"","")</f>
        <v>N/A</v>
      </c>
      <c r="H4663" s="10" t="str">
        <f aca="false">IFERROR(INDEX(Section_Master!$F$2:$F$477,MATCH($E4663,Section_Master!$A$2:$A$477,0))&amp;"","")</f>
        <v>N/A</v>
      </c>
      <c r="I4663" s="10" t="str">
        <f aca="false">IFERROR(INDEX(Section_Master!$G$2:$G$477,MATCH($E4663,Section_Master!$A$2:$A$477,0))&amp;"","")</f>
        <v>N/A</v>
      </c>
      <c r="J4663" s="10" t="s">
        <v>64</v>
      </c>
      <c r="K4663" s="8" t="s">
        <v>10907</v>
      </c>
    </row>
    <row r="4664" customFormat="false" ht="34.5" hidden="false" customHeight="true" outlineLevel="0" collapsed="false">
      <c r="A4664" s="10" t="s">
        <v>10918</v>
      </c>
      <c r="B4664" s="10" t="s">
        <v>10064</v>
      </c>
      <c r="C4664" s="8" t="s">
        <v>10919</v>
      </c>
      <c r="D4664" s="8" t="s">
        <v>10920</v>
      </c>
      <c r="E4664" s="11" t="n">
        <v>420</v>
      </c>
      <c r="F4664" s="8" t="str">
        <f aca="false">IFERROR(INDEX(Section_Master!$D$2:$D$477,MATCH($E4664,Section_Master!$A$2:$A$477,0))&amp;"","")</f>
        <v>Not applicable - procedural provision (BNSS), no offence defined</v>
      </c>
      <c r="G4664" s="10" t="str">
        <f aca="false">IFERROR(INDEX(Section_Master!$E$2:$E$477,MATCH($E4664,Section_Master!$A$2:$A$477,0))&amp;"","")</f>
        <v>N/A</v>
      </c>
      <c r="H4664" s="10" t="str">
        <f aca="false">IFERROR(INDEX(Section_Master!$F$2:$F$477,MATCH($E4664,Section_Master!$A$2:$A$477,0))&amp;"","")</f>
        <v>N/A</v>
      </c>
      <c r="I4664" s="10" t="str">
        <f aca="false">IFERROR(INDEX(Section_Master!$G$2:$G$477,MATCH($E4664,Section_Master!$A$2:$A$477,0))&amp;"","")</f>
        <v>N/A</v>
      </c>
      <c r="J4664" s="10" t="s">
        <v>48</v>
      </c>
      <c r="K4664" s="8" t="s">
        <v>10921</v>
      </c>
    </row>
    <row r="4665" customFormat="false" ht="45.75" hidden="false" customHeight="true" outlineLevel="0" collapsed="false">
      <c r="A4665" s="10" t="s">
        <v>10922</v>
      </c>
      <c r="B4665" s="10" t="s">
        <v>10064</v>
      </c>
      <c r="C4665" s="8" t="s">
        <v>10919</v>
      </c>
      <c r="D4665" s="8" t="s">
        <v>10923</v>
      </c>
      <c r="E4665" s="11" t="n">
        <v>420</v>
      </c>
      <c r="F4665" s="8" t="str">
        <f aca="false">IFERROR(INDEX(Section_Master!$D$2:$D$477,MATCH($E4665,Section_Master!$A$2:$A$477,0))&amp;"","")</f>
        <v>Not applicable - procedural provision (BNSS), no offence defined</v>
      </c>
      <c r="G4665" s="10" t="str">
        <f aca="false">IFERROR(INDEX(Section_Master!$E$2:$E$477,MATCH($E4665,Section_Master!$A$2:$A$477,0))&amp;"","")</f>
        <v>N/A</v>
      </c>
      <c r="H4665" s="10" t="str">
        <f aca="false">IFERROR(INDEX(Section_Master!$F$2:$F$477,MATCH($E4665,Section_Master!$A$2:$A$477,0))&amp;"","")</f>
        <v>N/A</v>
      </c>
      <c r="I4665" s="10" t="str">
        <f aca="false">IFERROR(INDEX(Section_Master!$G$2:$G$477,MATCH($E4665,Section_Master!$A$2:$A$477,0))&amp;"","")</f>
        <v>N/A</v>
      </c>
      <c r="J4665" s="10" t="s">
        <v>52</v>
      </c>
      <c r="K4665" s="8" t="s">
        <v>10921</v>
      </c>
    </row>
    <row r="4666" customFormat="false" ht="45.75" hidden="false" customHeight="true" outlineLevel="0" collapsed="false">
      <c r="A4666" s="10" t="s">
        <v>10924</v>
      </c>
      <c r="B4666" s="10" t="s">
        <v>10064</v>
      </c>
      <c r="C4666" s="8" t="s">
        <v>10919</v>
      </c>
      <c r="D4666" s="8" t="s">
        <v>10925</v>
      </c>
      <c r="E4666" s="11" t="n">
        <v>420</v>
      </c>
      <c r="F4666" s="8" t="str">
        <f aca="false">IFERROR(INDEX(Section_Master!$D$2:$D$477,MATCH($E4666,Section_Master!$A$2:$A$477,0))&amp;"","")</f>
        <v>Not applicable - procedural provision (BNSS), no offence defined</v>
      </c>
      <c r="G4666" s="10" t="str">
        <f aca="false">IFERROR(INDEX(Section_Master!$E$2:$E$477,MATCH($E4666,Section_Master!$A$2:$A$477,0))&amp;"","")</f>
        <v>N/A</v>
      </c>
      <c r="H4666" s="10" t="str">
        <f aca="false">IFERROR(INDEX(Section_Master!$F$2:$F$477,MATCH($E4666,Section_Master!$A$2:$A$477,0))&amp;"","")</f>
        <v>N/A</v>
      </c>
      <c r="I4666" s="10" t="str">
        <f aca="false">IFERROR(INDEX(Section_Master!$G$2:$G$477,MATCH($E4666,Section_Master!$A$2:$A$477,0))&amp;"","")</f>
        <v>N/A</v>
      </c>
      <c r="J4666" s="10" t="s">
        <v>55</v>
      </c>
      <c r="K4666" s="8" t="s">
        <v>10921</v>
      </c>
    </row>
    <row r="4667" customFormat="false" ht="23.25" hidden="false" customHeight="true" outlineLevel="0" collapsed="false">
      <c r="A4667" s="10" t="s">
        <v>10926</v>
      </c>
      <c r="B4667" s="10" t="s">
        <v>10064</v>
      </c>
      <c r="C4667" s="8" t="s">
        <v>10919</v>
      </c>
      <c r="D4667" s="8" t="s">
        <v>10927</v>
      </c>
      <c r="E4667" s="11" t="n">
        <v>420</v>
      </c>
      <c r="F4667" s="8" t="str">
        <f aca="false">IFERROR(INDEX(Section_Master!$D$2:$D$477,MATCH($E4667,Section_Master!$A$2:$A$477,0))&amp;"","")</f>
        <v>Not applicable - procedural provision (BNSS), no offence defined</v>
      </c>
      <c r="G4667" s="10" t="str">
        <f aca="false">IFERROR(INDEX(Section_Master!$E$2:$E$477,MATCH($E4667,Section_Master!$A$2:$A$477,0))&amp;"","")</f>
        <v>N/A</v>
      </c>
      <c r="H4667" s="10" t="str">
        <f aca="false">IFERROR(INDEX(Section_Master!$F$2:$F$477,MATCH($E4667,Section_Master!$A$2:$A$477,0))&amp;"","")</f>
        <v>N/A</v>
      </c>
      <c r="I4667" s="10" t="str">
        <f aca="false">IFERROR(INDEX(Section_Master!$G$2:$G$477,MATCH($E4667,Section_Master!$A$2:$A$477,0))&amp;"","")</f>
        <v>N/A</v>
      </c>
      <c r="J4667" s="10" t="s">
        <v>58</v>
      </c>
      <c r="K4667" s="8" t="s">
        <v>10921</v>
      </c>
    </row>
    <row r="4668" customFormat="false" ht="34.5" hidden="false" customHeight="true" outlineLevel="0" collapsed="false">
      <c r="A4668" s="10" t="s">
        <v>10928</v>
      </c>
      <c r="B4668" s="10" t="s">
        <v>10064</v>
      </c>
      <c r="C4668" s="8" t="s">
        <v>10919</v>
      </c>
      <c r="D4668" s="8" t="s">
        <v>10929</v>
      </c>
      <c r="E4668" s="11" t="n">
        <v>420</v>
      </c>
      <c r="F4668" s="8" t="str">
        <f aca="false">IFERROR(INDEX(Section_Master!$D$2:$D$477,MATCH($E4668,Section_Master!$A$2:$A$477,0))&amp;"","")</f>
        <v>Not applicable - procedural provision (BNSS), no offence defined</v>
      </c>
      <c r="G4668" s="10" t="str">
        <f aca="false">IFERROR(INDEX(Section_Master!$E$2:$E$477,MATCH($E4668,Section_Master!$A$2:$A$477,0))&amp;"","")</f>
        <v>N/A</v>
      </c>
      <c r="H4668" s="10" t="str">
        <f aca="false">IFERROR(INDEX(Section_Master!$F$2:$F$477,MATCH($E4668,Section_Master!$A$2:$A$477,0))&amp;"","")</f>
        <v>N/A</v>
      </c>
      <c r="I4668" s="10" t="str">
        <f aca="false">IFERROR(INDEX(Section_Master!$G$2:$G$477,MATCH($E4668,Section_Master!$A$2:$A$477,0))&amp;"","")</f>
        <v>N/A</v>
      </c>
      <c r="J4668" s="10" t="s">
        <v>61</v>
      </c>
      <c r="K4668" s="8" t="s">
        <v>10921</v>
      </c>
    </row>
    <row r="4669" customFormat="false" ht="45.75" hidden="false" customHeight="true" outlineLevel="0" collapsed="false">
      <c r="A4669" s="10" t="s">
        <v>10930</v>
      </c>
      <c r="B4669" s="10" t="s">
        <v>10064</v>
      </c>
      <c r="C4669" s="8" t="s">
        <v>10919</v>
      </c>
      <c r="D4669" s="8" t="s">
        <v>10931</v>
      </c>
      <c r="E4669" s="11" t="n">
        <v>420</v>
      </c>
      <c r="F4669" s="8" t="str">
        <f aca="false">IFERROR(INDEX(Section_Master!$D$2:$D$477,MATCH($E4669,Section_Master!$A$2:$A$477,0))&amp;"","")</f>
        <v>Not applicable - procedural provision (BNSS), no offence defined</v>
      </c>
      <c r="G4669" s="10" t="str">
        <f aca="false">IFERROR(INDEX(Section_Master!$E$2:$E$477,MATCH($E4669,Section_Master!$A$2:$A$477,0))&amp;"","")</f>
        <v>N/A</v>
      </c>
      <c r="H4669" s="10" t="str">
        <f aca="false">IFERROR(INDEX(Section_Master!$F$2:$F$477,MATCH($E4669,Section_Master!$A$2:$A$477,0))&amp;"","")</f>
        <v>N/A</v>
      </c>
      <c r="I4669" s="10" t="str">
        <f aca="false">IFERROR(INDEX(Section_Master!$G$2:$G$477,MATCH($E4669,Section_Master!$A$2:$A$477,0))&amp;"","")</f>
        <v>N/A</v>
      </c>
      <c r="J4669" s="10" t="s">
        <v>64</v>
      </c>
      <c r="K4669" s="8" t="s">
        <v>10921</v>
      </c>
    </row>
    <row r="4670" customFormat="false" ht="34.5" hidden="false" customHeight="true" outlineLevel="0" collapsed="false">
      <c r="A4670" s="10" t="s">
        <v>10932</v>
      </c>
      <c r="B4670" s="10" t="s">
        <v>10064</v>
      </c>
      <c r="C4670" s="8" t="s">
        <v>10933</v>
      </c>
      <c r="D4670" s="8" t="s">
        <v>10934</v>
      </c>
      <c r="E4670" s="11" t="n">
        <v>421</v>
      </c>
      <c r="F4670" s="8" t="str">
        <f aca="false">IFERROR(INDEX(Section_Master!$D$2:$D$477,MATCH($E4670,Section_Master!$A$2:$A$477,0))&amp;"","")</f>
        <v>Not applicable - procedural provision (BNSS), no offence defined</v>
      </c>
      <c r="G4670" s="10" t="str">
        <f aca="false">IFERROR(INDEX(Section_Master!$E$2:$E$477,MATCH($E4670,Section_Master!$A$2:$A$477,0))&amp;"","")</f>
        <v>N/A</v>
      </c>
      <c r="H4670" s="10" t="str">
        <f aca="false">IFERROR(INDEX(Section_Master!$F$2:$F$477,MATCH($E4670,Section_Master!$A$2:$A$477,0))&amp;"","")</f>
        <v>N/A</v>
      </c>
      <c r="I4670" s="10" t="str">
        <f aca="false">IFERROR(INDEX(Section_Master!$G$2:$G$477,MATCH($E4670,Section_Master!$A$2:$A$477,0))&amp;"","")</f>
        <v>N/A</v>
      </c>
      <c r="J4670" s="10" t="s">
        <v>48</v>
      </c>
      <c r="K4670" s="8" t="s">
        <v>10935</v>
      </c>
    </row>
    <row r="4671" customFormat="false" ht="45.75" hidden="false" customHeight="true" outlineLevel="0" collapsed="false">
      <c r="A4671" s="10" t="s">
        <v>10936</v>
      </c>
      <c r="B4671" s="10" t="s">
        <v>10064</v>
      </c>
      <c r="C4671" s="8" t="s">
        <v>10933</v>
      </c>
      <c r="D4671" s="8" t="s">
        <v>10937</v>
      </c>
      <c r="E4671" s="11" t="n">
        <v>421</v>
      </c>
      <c r="F4671" s="8" t="str">
        <f aca="false">IFERROR(INDEX(Section_Master!$D$2:$D$477,MATCH($E4671,Section_Master!$A$2:$A$477,0))&amp;"","")</f>
        <v>Not applicable - procedural provision (BNSS), no offence defined</v>
      </c>
      <c r="G4671" s="10" t="str">
        <f aca="false">IFERROR(INDEX(Section_Master!$E$2:$E$477,MATCH($E4671,Section_Master!$A$2:$A$477,0))&amp;"","")</f>
        <v>N/A</v>
      </c>
      <c r="H4671" s="10" t="str">
        <f aca="false">IFERROR(INDEX(Section_Master!$F$2:$F$477,MATCH($E4671,Section_Master!$A$2:$A$477,0))&amp;"","")</f>
        <v>N/A</v>
      </c>
      <c r="I4671" s="10" t="str">
        <f aca="false">IFERROR(INDEX(Section_Master!$G$2:$G$477,MATCH($E4671,Section_Master!$A$2:$A$477,0))&amp;"","")</f>
        <v>N/A</v>
      </c>
      <c r="J4671" s="10" t="s">
        <v>52</v>
      </c>
      <c r="K4671" s="8" t="s">
        <v>10935</v>
      </c>
    </row>
    <row r="4672" customFormat="false" ht="45.75" hidden="false" customHeight="true" outlineLevel="0" collapsed="false">
      <c r="A4672" s="10" t="s">
        <v>10938</v>
      </c>
      <c r="B4672" s="10" t="s">
        <v>10064</v>
      </c>
      <c r="C4672" s="8" t="s">
        <v>10933</v>
      </c>
      <c r="D4672" s="8" t="s">
        <v>10939</v>
      </c>
      <c r="E4672" s="11" t="n">
        <v>421</v>
      </c>
      <c r="F4672" s="8" t="str">
        <f aca="false">IFERROR(INDEX(Section_Master!$D$2:$D$477,MATCH($E4672,Section_Master!$A$2:$A$477,0))&amp;"","")</f>
        <v>Not applicable - procedural provision (BNSS), no offence defined</v>
      </c>
      <c r="G4672" s="10" t="str">
        <f aca="false">IFERROR(INDEX(Section_Master!$E$2:$E$477,MATCH($E4672,Section_Master!$A$2:$A$477,0))&amp;"","")</f>
        <v>N/A</v>
      </c>
      <c r="H4672" s="10" t="str">
        <f aca="false">IFERROR(INDEX(Section_Master!$F$2:$F$477,MATCH($E4672,Section_Master!$A$2:$A$477,0))&amp;"","")</f>
        <v>N/A</v>
      </c>
      <c r="I4672" s="10" t="str">
        <f aca="false">IFERROR(INDEX(Section_Master!$G$2:$G$477,MATCH($E4672,Section_Master!$A$2:$A$477,0))&amp;"","")</f>
        <v>N/A</v>
      </c>
      <c r="J4672" s="10" t="s">
        <v>55</v>
      </c>
      <c r="K4672" s="8" t="s">
        <v>10935</v>
      </c>
    </row>
    <row r="4673" customFormat="false" ht="23.25" hidden="false" customHeight="true" outlineLevel="0" collapsed="false">
      <c r="A4673" s="10" t="s">
        <v>10940</v>
      </c>
      <c r="B4673" s="10" t="s">
        <v>10064</v>
      </c>
      <c r="C4673" s="8" t="s">
        <v>10933</v>
      </c>
      <c r="D4673" s="8" t="s">
        <v>10941</v>
      </c>
      <c r="E4673" s="11" t="n">
        <v>421</v>
      </c>
      <c r="F4673" s="8" t="str">
        <f aca="false">IFERROR(INDEX(Section_Master!$D$2:$D$477,MATCH($E4673,Section_Master!$A$2:$A$477,0))&amp;"","")</f>
        <v>Not applicable - procedural provision (BNSS), no offence defined</v>
      </c>
      <c r="G4673" s="10" t="str">
        <f aca="false">IFERROR(INDEX(Section_Master!$E$2:$E$477,MATCH($E4673,Section_Master!$A$2:$A$477,0))&amp;"","")</f>
        <v>N/A</v>
      </c>
      <c r="H4673" s="10" t="str">
        <f aca="false">IFERROR(INDEX(Section_Master!$F$2:$F$477,MATCH($E4673,Section_Master!$A$2:$A$477,0))&amp;"","")</f>
        <v>N/A</v>
      </c>
      <c r="I4673" s="10" t="str">
        <f aca="false">IFERROR(INDEX(Section_Master!$G$2:$G$477,MATCH($E4673,Section_Master!$A$2:$A$477,0))&amp;"","")</f>
        <v>N/A</v>
      </c>
      <c r="J4673" s="10" t="s">
        <v>58</v>
      </c>
      <c r="K4673" s="8" t="s">
        <v>10935</v>
      </c>
    </row>
    <row r="4674" customFormat="false" ht="23.25" hidden="false" customHeight="true" outlineLevel="0" collapsed="false">
      <c r="A4674" s="10" t="s">
        <v>10942</v>
      </c>
      <c r="B4674" s="10" t="s">
        <v>10064</v>
      </c>
      <c r="C4674" s="8" t="s">
        <v>10933</v>
      </c>
      <c r="D4674" s="8" t="s">
        <v>10943</v>
      </c>
      <c r="E4674" s="11" t="n">
        <v>421</v>
      </c>
      <c r="F4674" s="8" t="str">
        <f aca="false">IFERROR(INDEX(Section_Master!$D$2:$D$477,MATCH($E4674,Section_Master!$A$2:$A$477,0))&amp;"","")</f>
        <v>Not applicable - procedural provision (BNSS), no offence defined</v>
      </c>
      <c r="G4674" s="10" t="str">
        <f aca="false">IFERROR(INDEX(Section_Master!$E$2:$E$477,MATCH($E4674,Section_Master!$A$2:$A$477,0))&amp;"","")</f>
        <v>N/A</v>
      </c>
      <c r="H4674" s="10" t="str">
        <f aca="false">IFERROR(INDEX(Section_Master!$F$2:$F$477,MATCH($E4674,Section_Master!$A$2:$A$477,0))&amp;"","")</f>
        <v>N/A</v>
      </c>
      <c r="I4674" s="10" t="str">
        <f aca="false">IFERROR(INDEX(Section_Master!$G$2:$G$477,MATCH($E4674,Section_Master!$A$2:$A$477,0))&amp;"","")</f>
        <v>N/A</v>
      </c>
      <c r="J4674" s="10" t="s">
        <v>61</v>
      </c>
      <c r="K4674" s="8" t="s">
        <v>10935</v>
      </c>
    </row>
    <row r="4675" customFormat="false" ht="45.75" hidden="false" customHeight="true" outlineLevel="0" collapsed="false">
      <c r="A4675" s="10" t="s">
        <v>10944</v>
      </c>
      <c r="B4675" s="10" t="s">
        <v>10064</v>
      </c>
      <c r="C4675" s="8" t="s">
        <v>10933</v>
      </c>
      <c r="D4675" s="8" t="s">
        <v>10945</v>
      </c>
      <c r="E4675" s="11" t="n">
        <v>421</v>
      </c>
      <c r="F4675" s="8" t="str">
        <f aca="false">IFERROR(INDEX(Section_Master!$D$2:$D$477,MATCH($E4675,Section_Master!$A$2:$A$477,0))&amp;"","")</f>
        <v>Not applicable - procedural provision (BNSS), no offence defined</v>
      </c>
      <c r="G4675" s="10" t="str">
        <f aca="false">IFERROR(INDEX(Section_Master!$E$2:$E$477,MATCH($E4675,Section_Master!$A$2:$A$477,0))&amp;"","")</f>
        <v>N/A</v>
      </c>
      <c r="H4675" s="10" t="str">
        <f aca="false">IFERROR(INDEX(Section_Master!$F$2:$F$477,MATCH($E4675,Section_Master!$A$2:$A$477,0))&amp;"","")</f>
        <v>N/A</v>
      </c>
      <c r="I4675" s="10" t="str">
        <f aca="false">IFERROR(INDEX(Section_Master!$G$2:$G$477,MATCH($E4675,Section_Master!$A$2:$A$477,0))&amp;"","")</f>
        <v>N/A</v>
      </c>
      <c r="J4675" s="10" t="s">
        <v>64</v>
      </c>
      <c r="K4675" s="8" t="s">
        <v>10935</v>
      </c>
    </row>
    <row r="4676" customFormat="false" ht="34.5" hidden="false" customHeight="true" outlineLevel="0" collapsed="false">
      <c r="A4676" s="10" t="s">
        <v>10946</v>
      </c>
      <c r="B4676" s="10" t="s">
        <v>10064</v>
      </c>
      <c r="C4676" s="8" t="s">
        <v>10947</v>
      </c>
      <c r="D4676" s="8" t="s">
        <v>10948</v>
      </c>
      <c r="E4676" s="11" t="n">
        <v>422</v>
      </c>
      <c r="F4676" s="8" t="str">
        <f aca="false">IFERROR(INDEX(Section_Master!$D$2:$D$477,MATCH($E4676,Section_Master!$A$2:$A$477,0))&amp;"","")</f>
        <v>Not applicable - procedural provision (BNSS), no offence defined</v>
      </c>
      <c r="G4676" s="10" t="str">
        <f aca="false">IFERROR(INDEX(Section_Master!$E$2:$E$477,MATCH($E4676,Section_Master!$A$2:$A$477,0))&amp;"","")</f>
        <v>N/A</v>
      </c>
      <c r="H4676" s="10" t="str">
        <f aca="false">IFERROR(INDEX(Section_Master!$F$2:$F$477,MATCH($E4676,Section_Master!$A$2:$A$477,0))&amp;"","")</f>
        <v>N/A</v>
      </c>
      <c r="I4676" s="10" t="str">
        <f aca="false">IFERROR(INDEX(Section_Master!$G$2:$G$477,MATCH($E4676,Section_Master!$A$2:$A$477,0))&amp;"","")</f>
        <v>N/A</v>
      </c>
      <c r="J4676" s="10" t="s">
        <v>48</v>
      </c>
      <c r="K4676" s="8" t="s">
        <v>10949</v>
      </c>
    </row>
    <row r="4677" customFormat="false" ht="45.75" hidden="false" customHeight="true" outlineLevel="0" collapsed="false">
      <c r="A4677" s="10" t="s">
        <v>10950</v>
      </c>
      <c r="B4677" s="10" t="s">
        <v>10064</v>
      </c>
      <c r="C4677" s="8" t="s">
        <v>10947</v>
      </c>
      <c r="D4677" s="8" t="s">
        <v>10951</v>
      </c>
      <c r="E4677" s="11" t="n">
        <v>422</v>
      </c>
      <c r="F4677" s="8" t="str">
        <f aca="false">IFERROR(INDEX(Section_Master!$D$2:$D$477,MATCH($E4677,Section_Master!$A$2:$A$477,0))&amp;"","")</f>
        <v>Not applicable - procedural provision (BNSS), no offence defined</v>
      </c>
      <c r="G4677" s="10" t="str">
        <f aca="false">IFERROR(INDEX(Section_Master!$E$2:$E$477,MATCH($E4677,Section_Master!$A$2:$A$477,0))&amp;"","")</f>
        <v>N/A</v>
      </c>
      <c r="H4677" s="10" t="str">
        <f aca="false">IFERROR(INDEX(Section_Master!$F$2:$F$477,MATCH($E4677,Section_Master!$A$2:$A$477,0))&amp;"","")</f>
        <v>N/A</v>
      </c>
      <c r="I4677" s="10" t="str">
        <f aca="false">IFERROR(INDEX(Section_Master!$G$2:$G$477,MATCH($E4677,Section_Master!$A$2:$A$477,0))&amp;"","")</f>
        <v>N/A</v>
      </c>
      <c r="J4677" s="10" t="s">
        <v>52</v>
      </c>
      <c r="K4677" s="8" t="s">
        <v>10949</v>
      </c>
    </row>
    <row r="4678" customFormat="false" ht="34.5" hidden="false" customHeight="true" outlineLevel="0" collapsed="false">
      <c r="A4678" s="10" t="s">
        <v>10952</v>
      </c>
      <c r="B4678" s="10" t="s">
        <v>10064</v>
      </c>
      <c r="C4678" s="8" t="s">
        <v>10947</v>
      </c>
      <c r="D4678" s="8" t="s">
        <v>10953</v>
      </c>
      <c r="E4678" s="11" t="n">
        <v>422</v>
      </c>
      <c r="F4678" s="8" t="str">
        <f aca="false">IFERROR(INDEX(Section_Master!$D$2:$D$477,MATCH($E4678,Section_Master!$A$2:$A$477,0))&amp;"","")</f>
        <v>Not applicable - procedural provision (BNSS), no offence defined</v>
      </c>
      <c r="G4678" s="10" t="str">
        <f aca="false">IFERROR(INDEX(Section_Master!$E$2:$E$477,MATCH($E4678,Section_Master!$A$2:$A$477,0))&amp;"","")</f>
        <v>N/A</v>
      </c>
      <c r="H4678" s="10" t="str">
        <f aca="false">IFERROR(INDEX(Section_Master!$F$2:$F$477,MATCH($E4678,Section_Master!$A$2:$A$477,0))&amp;"","")</f>
        <v>N/A</v>
      </c>
      <c r="I4678" s="10" t="str">
        <f aca="false">IFERROR(INDEX(Section_Master!$G$2:$G$477,MATCH($E4678,Section_Master!$A$2:$A$477,0))&amp;"","")</f>
        <v>N/A</v>
      </c>
      <c r="J4678" s="10" t="s">
        <v>55</v>
      </c>
      <c r="K4678" s="8" t="s">
        <v>10949</v>
      </c>
    </row>
    <row r="4679" customFormat="false" ht="23.25" hidden="false" customHeight="true" outlineLevel="0" collapsed="false">
      <c r="A4679" s="10" t="s">
        <v>10954</v>
      </c>
      <c r="B4679" s="10" t="s">
        <v>10064</v>
      </c>
      <c r="C4679" s="8" t="s">
        <v>10947</v>
      </c>
      <c r="D4679" s="8" t="s">
        <v>10955</v>
      </c>
      <c r="E4679" s="11" t="n">
        <v>422</v>
      </c>
      <c r="F4679" s="8" t="str">
        <f aca="false">IFERROR(INDEX(Section_Master!$D$2:$D$477,MATCH($E4679,Section_Master!$A$2:$A$477,0))&amp;"","")</f>
        <v>Not applicable - procedural provision (BNSS), no offence defined</v>
      </c>
      <c r="G4679" s="10" t="str">
        <f aca="false">IFERROR(INDEX(Section_Master!$E$2:$E$477,MATCH($E4679,Section_Master!$A$2:$A$477,0))&amp;"","")</f>
        <v>N/A</v>
      </c>
      <c r="H4679" s="10" t="str">
        <f aca="false">IFERROR(INDEX(Section_Master!$F$2:$F$477,MATCH($E4679,Section_Master!$A$2:$A$477,0))&amp;"","")</f>
        <v>N/A</v>
      </c>
      <c r="I4679" s="10" t="str">
        <f aca="false">IFERROR(INDEX(Section_Master!$G$2:$G$477,MATCH($E4679,Section_Master!$A$2:$A$477,0))&amp;"","")</f>
        <v>N/A</v>
      </c>
      <c r="J4679" s="10" t="s">
        <v>58</v>
      </c>
      <c r="K4679" s="8" t="s">
        <v>10949</v>
      </c>
    </row>
    <row r="4680" customFormat="false" ht="34.5" hidden="false" customHeight="true" outlineLevel="0" collapsed="false">
      <c r="A4680" s="10" t="s">
        <v>10956</v>
      </c>
      <c r="B4680" s="10" t="s">
        <v>10064</v>
      </c>
      <c r="C4680" s="8" t="s">
        <v>10947</v>
      </c>
      <c r="D4680" s="8" t="s">
        <v>10957</v>
      </c>
      <c r="E4680" s="11" t="n">
        <v>422</v>
      </c>
      <c r="F4680" s="8" t="str">
        <f aca="false">IFERROR(INDEX(Section_Master!$D$2:$D$477,MATCH($E4680,Section_Master!$A$2:$A$477,0))&amp;"","")</f>
        <v>Not applicable - procedural provision (BNSS), no offence defined</v>
      </c>
      <c r="G4680" s="10" t="str">
        <f aca="false">IFERROR(INDEX(Section_Master!$E$2:$E$477,MATCH($E4680,Section_Master!$A$2:$A$477,0))&amp;"","")</f>
        <v>N/A</v>
      </c>
      <c r="H4680" s="10" t="str">
        <f aca="false">IFERROR(INDEX(Section_Master!$F$2:$F$477,MATCH($E4680,Section_Master!$A$2:$A$477,0))&amp;"","")</f>
        <v>N/A</v>
      </c>
      <c r="I4680" s="10" t="str">
        <f aca="false">IFERROR(INDEX(Section_Master!$G$2:$G$477,MATCH($E4680,Section_Master!$A$2:$A$477,0))&amp;"","")</f>
        <v>N/A</v>
      </c>
      <c r="J4680" s="10" t="s">
        <v>61</v>
      </c>
      <c r="K4680" s="8" t="s">
        <v>10949</v>
      </c>
    </row>
    <row r="4681" customFormat="false" ht="45.75" hidden="false" customHeight="true" outlineLevel="0" collapsed="false">
      <c r="A4681" s="10" t="s">
        <v>10958</v>
      </c>
      <c r="B4681" s="10" t="s">
        <v>10064</v>
      </c>
      <c r="C4681" s="8" t="s">
        <v>10947</v>
      </c>
      <c r="D4681" s="8" t="s">
        <v>10959</v>
      </c>
      <c r="E4681" s="11" t="n">
        <v>422</v>
      </c>
      <c r="F4681" s="8" t="str">
        <f aca="false">IFERROR(INDEX(Section_Master!$D$2:$D$477,MATCH($E4681,Section_Master!$A$2:$A$477,0))&amp;"","")</f>
        <v>Not applicable - procedural provision (BNSS), no offence defined</v>
      </c>
      <c r="G4681" s="10" t="str">
        <f aca="false">IFERROR(INDEX(Section_Master!$E$2:$E$477,MATCH($E4681,Section_Master!$A$2:$A$477,0))&amp;"","")</f>
        <v>N/A</v>
      </c>
      <c r="H4681" s="10" t="str">
        <f aca="false">IFERROR(INDEX(Section_Master!$F$2:$F$477,MATCH($E4681,Section_Master!$A$2:$A$477,0))&amp;"","")</f>
        <v>N/A</v>
      </c>
      <c r="I4681" s="10" t="str">
        <f aca="false">IFERROR(INDEX(Section_Master!$G$2:$G$477,MATCH($E4681,Section_Master!$A$2:$A$477,0))&amp;"","")</f>
        <v>N/A</v>
      </c>
      <c r="J4681" s="10" t="s">
        <v>64</v>
      </c>
      <c r="K4681" s="8" t="s">
        <v>10949</v>
      </c>
    </row>
    <row r="4682" customFormat="false" ht="34.5" hidden="false" customHeight="true" outlineLevel="0" collapsed="false">
      <c r="A4682" s="10" t="s">
        <v>10960</v>
      </c>
      <c r="B4682" s="10" t="s">
        <v>10064</v>
      </c>
      <c r="C4682" s="8" t="s">
        <v>10961</v>
      </c>
      <c r="D4682" s="8" t="s">
        <v>10962</v>
      </c>
      <c r="E4682" s="11" t="n">
        <v>423</v>
      </c>
      <c r="F4682" s="8" t="str">
        <f aca="false">IFERROR(INDEX(Section_Master!$D$2:$D$477,MATCH($E4682,Section_Master!$A$2:$A$477,0))&amp;"","")</f>
        <v>Not applicable - procedural provision (BNSS), no offence defined</v>
      </c>
      <c r="G4682" s="10" t="str">
        <f aca="false">IFERROR(INDEX(Section_Master!$E$2:$E$477,MATCH($E4682,Section_Master!$A$2:$A$477,0))&amp;"","")</f>
        <v>N/A</v>
      </c>
      <c r="H4682" s="10" t="str">
        <f aca="false">IFERROR(INDEX(Section_Master!$F$2:$F$477,MATCH($E4682,Section_Master!$A$2:$A$477,0))&amp;"","")</f>
        <v>N/A</v>
      </c>
      <c r="I4682" s="10" t="str">
        <f aca="false">IFERROR(INDEX(Section_Master!$G$2:$G$477,MATCH($E4682,Section_Master!$A$2:$A$477,0))&amp;"","")</f>
        <v>N/A</v>
      </c>
      <c r="J4682" s="10" t="s">
        <v>48</v>
      </c>
      <c r="K4682" s="8" t="s">
        <v>10963</v>
      </c>
    </row>
    <row r="4683" customFormat="false" ht="34.5" hidden="false" customHeight="true" outlineLevel="0" collapsed="false">
      <c r="A4683" s="10" t="s">
        <v>10964</v>
      </c>
      <c r="B4683" s="10" t="s">
        <v>10064</v>
      </c>
      <c r="C4683" s="8" t="s">
        <v>10961</v>
      </c>
      <c r="D4683" s="8" t="s">
        <v>10965</v>
      </c>
      <c r="E4683" s="11" t="n">
        <v>423</v>
      </c>
      <c r="F4683" s="8" t="str">
        <f aca="false">IFERROR(INDEX(Section_Master!$D$2:$D$477,MATCH($E4683,Section_Master!$A$2:$A$477,0))&amp;"","")</f>
        <v>Not applicable - procedural provision (BNSS), no offence defined</v>
      </c>
      <c r="G4683" s="10" t="str">
        <f aca="false">IFERROR(INDEX(Section_Master!$E$2:$E$477,MATCH($E4683,Section_Master!$A$2:$A$477,0))&amp;"","")</f>
        <v>N/A</v>
      </c>
      <c r="H4683" s="10" t="str">
        <f aca="false">IFERROR(INDEX(Section_Master!$F$2:$F$477,MATCH($E4683,Section_Master!$A$2:$A$477,0))&amp;"","")</f>
        <v>N/A</v>
      </c>
      <c r="I4683" s="10" t="str">
        <f aca="false">IFERROR(INDEX(Section_Master!$G$2:$G$477,MATCH($E4683,Section_Master!$A$2:$A$477,0))&amp;"","")</f>
        <v>N/A</v>
      </c>
      <c r="J4683" s="10" t="s">
        <v>52</v>
      </c>
      <c r="K4683" s="8" t="s">
        <v>10963</v>
      </c>
    </row>
    <row r="4684" customFormat="false" ht="34.5" hidden="false" customHeight="true" outlineLevel="0" collapsed="false">
      <c r="A4684" s="10" t="s">
        <v>10966</v>
      </c>
      <c r="B4684" s="10" t="s">
        <v>10064</v>
      </c>
      <c r="C4684" s="8" t="s">
        <v>10961</v>
      </c>
      <c r="D4684" s="8" t="s">
        <v>10967</v>
      </c>
      <c r="E4684" s="11" t="n">
        <v>423</v>
      </c>
      <c r="F4684" s="8" t="str">
        <f aca="false">IFERROR(INDEX(Section_Master!$D$2:$D$477,MATCH($E4684,Section_Master!$A$2:$A$477,0))&amp;"","")</f>
        <v>Not applicable - procedural provision (BNSS), no offence defined</v>
      </c>
      <c r="G4684" s="10" t="str">
        <f aca="false">IFERROR(INDEX(Section_Master!$E$2:$E$477,MATCH($E4684,Section_Master!$A$2:$A$477,0))&amp;"","")</f>
        <v>N/A</v>
      </c>
      <c r="H4684" s="10" t="str">
        <f aca="false">IFERROR(INDEX(Section_Master!$F$2:$F$477,MATCH($E4684,Section_Master!$A$2:$A$477,0))&amp;"","")</f>
        <v>N/A</v>
      </c>
      <c r="I4684" s="10" t="str">
        <f aca="false">IFERROR(INDEX(Section_Master!$G$2:$G$477,MATCH($E4684,Section_Master!$A$2:$A$477,0))&amp;"","")</f>
        <v>N/A</v>
      </c>
      <c r="J4684" s="10" t="s">
        <v>55</v>
      </c>
      <c r="K4684" s="8" t="s">
        <v>10963</v>
      </c>
    </row>
    <row r="4685" customFormat="false" ht="23.25" hidden="false" customHeight="true" outlineLevel="0" collapsed="false">
      <c r="A4685" s="10" t="s">
        <v>10968</v>
      </c>
      <c r="B4685" s="10" t="s">
        <v>10064</v>
      </c>
      <c r="C4685" s="8" t="s">
        <v>10961</v>
      </c>
      <c r="D4685" s="8" t="s">
        <v>10969</v>
      </c>
      <c r="E4685" s="11" t="n">
        <v>423</v>
      </c>
      <c r="F4685" s="8" t="str">
        <f aca="false">IFERROR(INDEX(Section_Master!$D$2:$D$477,MATCH($E4685,Section_Master!$A$2:$A$477,0))&amp;"","")</f>
        <v>Not applicable - procedural provision (BNSS), no offence defined</v>
      </c>
      <c r="G4685" s="10" t="str">
        <f aca="false">IFERROR(INDEX(Section_Master!$E$2:$E$477,MATCH($E4685,Section_Master!$A$2:$A$477,0))&amp;"","")</f>
        <v>N/A</v>
      </c>
      <c r="H4685" s="10" t="str">
        <f aca="false">IFERROR(INDEX(Section_Master!$F$2:$F$477,MATCH($E4685,Section_Master!$A$2:$A$477,0))&amp;"","")</f>
        <v>N/A</v>
      </c>
      <c r="I4685" s="10" t="str">
        <f aca="false">IFERROR(INDEX(Section_Master!$G$2:$G$477,MATCH($E4685,Section_Master!$A$2:$A$477,0))&amp;"","")</f>
        <v>N/A</v>
      </c>
      <c r="J4685" s="10" t="s">
        <v>58</v>
      </c>
      <c r="K4685" s="8" t="s">
        <v>10963</v>
      </c>
    </row>
    <row r="4686" customFormat="false" ht="23.25" hidden="false" customHeight="true" outlineLevel="0" collapsed="false">
      <c r="A4686" s="10" t="s">
        <v>10970</v>
      </c>
      <c r="B4686" s="10" t="s">
        <v>10064</v>
      </c>
      <c r="C4686" s="8" t="s">
        <v>10961</v>
      </c>
      <c r="D4686" s="8" t="s">
        <v>10971</v>
      </c>
      <c r="E4686" s="11" t="n">
        <v>423</v>
      </c>
      <c r="F4686" s="8" t="str">
        <f aca="false">IFERROR(INDEX(Section_Master!$D$2:$D$477,MATCH($E4686,Section_Master!$A$2:$A$477,0))&amp;"","")</f>
        <v>Not applicable - procedural provision (BNSS), no offence defined</v>
      </c>
      <c r="G4686" s="10" t="str">
        <f aca="false">IFERROR(INDEX(Section_Master!$E$2:$E$477,MATCH($E4686,Section_Master!$A$2:$A$477,0))&amp;"","")</f>
        <v>N/A</v>
      </c>
      <c r="H4686" s="10" t="str">
        <f aca="false">IFERROR(INDEX(Section_Master!$F$2:$F$477,MATCH($E4686,Section_Master!$A$2:$A$477,0))&amp;"","")</f>
        <v>N/A</v>
      </c>
      <c r="I4686" s="10" t="str">
        <f aca="false">IFERROR(INDEX(Section_Master!$G$2:$G$477,MATCH($E4686,Section_Master!$A$2:$A$477,0))&amp;"","")</f>
        <v>N/A</v>
      </c>
      <c r="J4686" s="10" t="s">
        <v>61</v>
      </c>
      <c r="K4686" s="8" t="s">
        <v>10963</v>
      </c>
    </row>
    <row r="4687" customFormat="false" ht="45.75" hidden="false" customHeight="true" outlineLevel="0" collapsed="false">
      <c r="A4687" s="10" t="s">
        <v>10972</v>
      </c>
      <c r="B4687" s="10" t="s">
        <v>10064</v>
      </c>
      <c r="C4687" s="8" t="s">
        <v>10961</v>
      </c>
      <c r="D4687" s="8" t="s">
        <v>10973</v>
      </c>
      <c r="E4687" s="11" t="n">
        <v>423</v>
      </c>
      <c r="F4687" s="8" t="str">
        <f aca="false">IFERROR(INDEX(Section_Master!$D$2:$D$477,MATCH($E4687,Section_Master!$A$2:$A$477,0))&amp;"","")</f>
        <v>Not applicable - procedural provision (BNSS), no offence defined</v>
      </c>
      <c r="G4687" s="10" t="str">
        <f aca="false">IFERROR(INDEX(Section_Master!$E$2:$E$477,MATCH($E4687,Section_Master!$A$2:$A$477,0))&amp;"","")</f>
        <v>N/A</v>
      </c>
      <c r="H4687" s="10" t="str">
        <f aca="false">IFERROR(INDEX(Section_Master!$F$2:$F$477,MATCH($E4687,Section_Master!$A$2:$A$477,0))&amp;"","")</f>
        <v>N/A</v>
      </c>
      <c r="I4687" s="10" t="str">
        <f aca="false">IFERROR(INDEX(Section_Master!$G$2:$G$477,MATCH($E4687,Section_Master!$A$2:$A$477,0))&amp;"","")</f>
        <v>N/A</v>
      </c>
      <c r="J4687" s="10" t="s">
        <v>64</v>
      </c>
      <c r="K4687" s="8" t="s">
        <v>10963</v>
      </c>
    </row>
    <row r="4688" customFormat="false" ht="34.5" hidden="false" customHeight="true" outlineLevel="0" collapsed="false">
      <c r="A4688" s="10" t="s">
        <v>10974</v>
      </c>
      <c r="B4688" s="10" t="s">
        <v>10064</v>
      </c>
      <c r="C4688" s="8" t="s">
        <v>10975</v>
      </c>
      <c r="D4688" s="8" t="s">
        <v>10976</v>
      </c>
      <c r="E4688" s="11" t="n">
        <v>424</v>
      </c>
      <c r="F4688" s="8" t="str">
        <f aca="false">IFERROR(INDEX(Section_Master!$D$2:$D$477,MATCH($E4688,Section_Master!$A$2:$A$477,0))&amp;"","")</f>
        <v>Not applicable - procedural provision (BNSS), no offence defined</v>
      </c>
      <c r="G4688" s="10" t="str">
        <f aca="false">IFERROR(INDEX(Section_Master!$E$2:$E$477,MATCH($E4688,Section_Master!$A$2:$A$477,0))&amp;"","")</f>
        <v>N/A</v>
      </c>
      <c r="H4688" s="10" t="str">
        <f aca="false">IFERROR(INDEX(Section_Master!$F$2:$F$477,MATCH($E4688,Section_Master!$A$2:$A$477,0))&amp;"","")</f>
        <v>N/A</v>
      </c>
      <c r="I4688" s="10" t="str">
        <f aca="false">IFERROR(INDEX(Section_Master!$G$2:$G$477,MATCH($E4688,Section_Master!$A$2:$A$477,0))&amp;"","")</f>
        <v>N/A</v>
      </c>
      <c r="J4688" s="10" t="s">
        <v>48</v>
      </c>
      <c r="K4688" s="8" t="s">
        <v>10977</v>
      </c>
    </row>
    <row r="4689" customFormat="false" ht="34.5" hidden="false" customHeight="true" outlineLevel="0" collapsed="false">
      <c r="A4689" s="10" t="s">
        <v>10978</v>
      </c>
      <c r="B4689" s="10" t="s">
        <v>10064</v>
      </c>
      <c r="C4689" s="8" t="s">
        <v>10975</v>
      </c>
      <c r="D4689" s="8" t="s">
        <v>10979</v>
      </c>
      <c r="E4689" s="11" t="n">
        <v>424</v>
      </c>
      <c r="F4689" s="8" t="str">
        <f aca="false">IFERROR(INDEX(Section_Master!$D$2:$D$477,MATCH($E4689,Section_Master!$A$2:$A$477,0))&amp;"","")</f>
        <v>Not applicable - procedural provision (BNSS), no offence defined</v>
      </c>
      <c r="G4689" s="10" t="str">
        <f aca="false">IFERROR(INDEX(Section_Master!$E$2:$E$477,MATCH($E4689,Section_Master!$A$2:$A$477,0))&amp;"","")</f>
        <v>N/A</v>
      </c>
      <c r="H4689" s="10" t="str">
        <f aca="false">IFERROR(INDEX(Section_Master!$F$2:$F$477,MATCH($E4689,Section_Master!$A$2:$A$477,0))&amp;"","")</f>
        <v>N/A</v>
      </c>
      <c r="I4689" s="10" t="str">
        <f aca="false">IFERROR(INDEX(Section_Master!$G$2:$G$477,MATCH($E4689,Section_Master!$A$2:$A$477,0))&amp;"","")</f>
        <v>N/A</v>
      </c>
      <c r="J4689" s="10" t="s">
        <v>52</v>
      </c>
      <c r="K4689" s="8" t="s">
        <v>10977</v>
      </c>
    </row>
    <row r="4690" customFormat="false" ht="34.5" hidden="false" customHeight="true" outlineLevel="0" collapsed="false">
      <c r="A4690" s="10" t="s">
        <v>10980</v>
      </c>
      <c r="B4690" s="10" t="s">
        <v>10064</v>
      </c>
      <c r="C4690" s="8" t="s">
        <v>10975</v>
      </c>
      <c r="D4690" s="8" t="s">
        <v>10981</v>
      </c>
      <c r="E4690" s="11" t="n">
        <v>424</v>
      </c>
      <c r="F4690" s="8" t="str">
        <f aca="false">IFERROR(INDEX(Section_Master!$D$2:$D$477,MATCH($E4690,Section_Master!$A$2:$A$477,0))&amp;"","")</f>
        <v>Not applicable - procedural provision (BNSS), no offence defined</v>
      </c>
      <c r="G4690" s="10" t="str">
        <f aca="false">IFERROR(INDEX(Section_Master!$E$2:$E$477,MATCH($E4690,Section_Master!$A$2:$A$477,0))&amp;"","")</f>
        <v>N/A</v>
      </c>
      <c r="H4690" s="10" t="str">
        <f aca="false">IFERROR(INDEX(Section_Master!$F$2:$F$477,MATCH($E4690,Section_Master!$A$2:$A$477,0))&amp;"","")</f>
        <v>N/A</v>
      </c>
      <c r="I4690" s="10" t="str">
        <f aca="false">IFERROR(INDEX(Section_Master!$G$2:$G$477,MATCH($E4690,Section_Master!$A$2:$A$477,0))&amp;"","")</f>
        <v>N/A</v>
      </c>
      <c r="J4690" s="10" t="s">
        <v>55</v>
      </c>
      <c r="K4690" s="8" t="s">
        <v>10977</v>
      </c>
    </row>
    <row r="4691" customFormat="false" ht="23.25" hidden="false" customHeight="true" outlineLevel="0" collapsed="false">
      <c r="A4691" s="10" t="s">
        <v>10982</v>
      </c>
      <c r="B4691" s="10" t="s">
        <v>10064</v>
      </c>
      <c r="C4691" s="8" t="s">
        <v>10975</v>
      </c>
      <c r="D4691" s="8" t="s">
        <v>10983</v>
      </c>
      <c r="E4691" s="11" t="n">
        <v>424</v>
      </c>
      <c r="F4691" s="8" t="str">
        <f aca="false">IFERROR(INDEX(Section_Master!$D$2:$D$477,MATCH($E4691,Section_Master!$A$2:$A$477,0))&amp;"","")</f>
        <v>Not applicable - procedural provision (BNSS), no offence defined</v>
      </c>
      <c r="G4691" s="10" t="str">
        <f aca="false">IFERROR(INDEX(Section_Master!$E$2:$E$477,MATCH($E4691,Section_Master!$A$2:$A$477,0))&amp;"","")</f>
        <v>N/A</v>
      </c>
      <c r="H4691" s="10" t="str">
        <f aca="false">IFERROR(INDEX(Section_Master!$F$2:$F$477,MATCH($E4691,Section_Master!$A$2:$A$477,0))&amp;"","")</f>
        <v>N/A</v>
      </c>
      <c r="I4691" s="10" t="str">
        <f aca="false">IFERROR(INDEX(Section_Master!$G$2:$G$477,MATCH($E4691,Section_Master!$A$2:$A$477,0))&amp;"","")</f>
        <v>N/A</v>
      </c>
      <c r="J4691" s="10" t="s">
        <v>58</v>
      </c>
      <c r="K4691" s="8" t="s">
        <v>10977</v>
      </c>
    </row>
    <row r="4692" customFormat="false" ht="23.25" hidden="false" customHeight="true" outlineLevel="0" collapsed="false">
      <c r="A4692" s="10" t="s">
        <v>10984</v>
      </c>
      <c r="B4692" s="10" t="s">
        <v>10064</v>
      </c>
      <c r="C4692" s="8" t="s">
        <v>10975</v>
      </c>
      <c r="D4692" s="8" t="s">
        <v>10985</v>
      </c>
      <c r="E4692" s="11" t="n">
        <v>424</v>
      </c>
      <c r="F4692" s="8" t="str">
        <f aca="false">IFERROR(INDEX(Section_Master!$D$2:$D$477,MATCH($E4692,Section_Master!$A$2:$A$477,0))&amp;"","")</f>
        <v>Not applicable - procedural provision (BNSS), no offence defined</v>
      </c>
      <c r="G4692" s="10" t="str">
        <f aca="false">IFERROR(INDEX(Section_Master!$E$2:$E$477,MATCH($E4692,Section_Master!$A$2:$A$477,0))&amp;"","")</f>
        <v>N/A</v>
      </c>
      <c r="H4692" s="10" t="str">
        <f aca="false">IFERROR(INDEX(Section_Master!$F$2:$F$477,MATCH($E4692,Section_Master!$A$2:$A$477,0))&amp;"","")</f>
        <v>N/A</v>
      </c>
      <c r="I4692" s="10" t="str">
        <f aca="false">IFERROR(INDEX(Section_Master!$G$2:$G$477,MATCH($E4692,Section_Master!$A$2:$A$477,0))&amp;"","")</f>
        <v>N/A</v>
      </c>
      <c r="J4692" s="10" t="s">
        <v>61</v>
      </c>
      <c r="K4692" s="8" t="s">
        <v>10977</v>
      </c>
    </row>
    <row r="4693" customFormat="false" ht="45.75" hidden="false" customHeight="true" outlineLevel="0" collapsed="false">
      <c r="A4693" s="10" t="s">
        <v>10986</v>
      </c>
      <c r="B4693" s="10" t="s">
        <v>10064</v>
      </c>
      <c r="C4693" s="8" t="s">
        <v>10975</v>
      </c>
      <c r="D4693" s="8" t="s">
        <v>10987</v>
      </c>
      <c r="E4693" s="11" t="n">
        <v>424</v>
      </c>
      <c r="F4693" s="8" t="str">
        <f aca="false">IFERROR(INDEX(Section_Master!$D$2:$D$477,MATCH($E4693,Section_Master!$A$2:$A$477,0))&amp;"","")</f>
        <v>Not applicable - procedural provision (BNSS), no offence defined</v>
      </c>
      <c r="G4693" s="10" t="str">
        <f aca="false">IFERROR(INDEX(Section_Master!$E$2:$E$477,MATCH($E4693,Section_Master!$A$2:$A$477,0))&amp;"","")</f>
        <v>N/A</v>
      </c>
      <c r="H4693" s="10" t="str">
        <f aca="false">IFERROR(INDEX(Section_Master!$F$2:$F$477,MATCH($E4693,Section_Master!$A$2:$A$477,0))&amp;"","")</f>
        <v>N/A</v>
      </c>
      <c r="I4693" s="10" t="str">
        <f aca="false">IFERROR(INDEX(Section_Master!$G$2:$G$477,MATCH($E4693,Section_Master!$A$2:$A$477,0))&amp;"","")</f>
        <v>N/A</v>
      </c>
      <c r="J4693" s="10" t="s">
        <v>64</v>
      </c>
      <c r="K4693" s="8" t="s">
        <v>10977</v>
      </c>
    </row>
    <row r="4694" customFormat="false" ht="34.5" hidden="false" customHeight="true" outlineLevel="0" collapsed="false">
      <c r="A4694" s="10" t="s">
        <v>10988</v>
      </c>
      <c r="B4694" s="10" t="s">
        <v>10064</v>
      </c>
      <c r="C4694" s="8" t="s">
        <v>10989</v>
      </c>
      <c r="D4694" s="8" t="s">
        <v>10990</v>
      </c>
      <c r="E4694" s="11" t="n">
        <v>425</v>
      </c>
      <c r="F4694" s="8" t="str">
        <f aca="false">IFERROR(INDEX(Section_Master!$D$2:$D$477,MATCH($E4694,Section_Master!$A$2:$A$477,0))&amp;"","")</f>
        <v>Not applicable - procedural provision (BNSS), no offence defined</v>
      </c>
      <c r="G4694" s="10" t="str">
        <f aca="false">IFERROR(INDEX(Section_Master!$E$2:$E$477,MATCH($E4694,Section_Master!$A$2:$A$477,0))&amp;"","")</f>
        <v>N/A</v>
      </c>
      <c r="H4694" s="10" t="str">
        <f aca="false">IFERROR(INDEX(Section_Master!$F$2:$F$477,MATCH($E4694,Section_Master!$A$2:$A$477,0))&amp;"","")</f>
        <v>N/A</v>
      </c>
      <c r="I4694" s="10" t="str">
        <f aca="false">IFERROR(INDEX(Section_Master!$G$2:$G$477,MATCH($E4694,Section_Master!$A$2:$A$477,0))&amp;"","")</f>
        <v>N/A</v>
      </c>
      <c r="J4694" s="10" t="s">
        <v>48</v>
      </c>
      <c r="K4694" s="8" t="s">
        <v>10991</v>
      </c>
    </row>
    <row r="4695" customFormat="false" ht="45.75" hidden="false" customHeight="true" outlineLevel="0" collapsed="false">
      <c r="A4695" s="10" t="s">
        <v>10992</v>
      </c>
      <c r="B4695" s="10" t="s">
        <v>10064</v>
      </c>
      <c r="C4695" s="8" t="s">
        <v>10989</v>
      </c>
      <c r="D4695" s="8" t="s">
        <v>10993</v>
      </c>
      <c r="E4695" s="11" t="n">
        <v>425</v>
      </c>
      <c r="F4695" s="8" t="str">
        <f aca="false">IFERROR(INDEX(Section_Master!$D$2:$D$477,MATCH($E4695,Section_Master!$A$2:$A$477,0))&amp;"","")</f>
        <v>Not applicable - procedural provision (BNSS), no offence defined</v>
      </c>
      <c r="G4695" s="10" t="str">
        <f aca="false">IFERROR(INDEX(Section_Master!$E$2:$E$477,MATCH($E4695,Section_Master!$A$2:$A$477,0))&amp;"","")</f>
        <v>N/A</v>
      </c>
      <c r="H4695" s="10" t="str">
        <f aca="false">IFERROR(INDEX(Section_Master!$F$2:$F$477,MATCH($E4695,Section_Master!$A$2:$A$477,0))&amp;"","")</f>
        <v>N/A</v>
      </c>
      <c r="I4695" s="10" t="str">
        <f aca="false">IFERROR(INDEX(Section_Master!$G$2:$G$477,MATCH($E4695,Section_Master!$A$2:$A$477,0))&amp;"","")</f>
        <v>N/A</v>
      </c>
      <c r="J4695" s="10" t="s">
        <v>52</v>
      </c>
      <c r="K4695" s="8" t="s">
        <v>10991</v>
      </c>
    </row>
    <row r="4696" customFormat="false" ht="34.5" hidden="false" customHeight="true" outlineLevel="0" collapsed="false">
      <c r="A4696" s="10" t="s">
        <v>10994</v>
      </c>
      <c r="B4696" s="10" t="s">
        <v>10064</v>
      </c>
      <c r="C4696" s="8" t="s">
        <v>10989</v>
      </c>
      <c r="D4696" s="8" t="s">
        <v>10995</v>
      </c>
      <c r="E4696" s="11" t="n">
        <v>425</v>
      </c>
      <c r="F4696" s="8" t="str">
        <f aca="false">IFERROR(INDEX(Section_Master!$D$2:$D$477,MATCH($E4696,Section_Master!$A$2:$A$477,0))&amp;"","")</f>
        <v>Not applicable - procedural provision (BNSS), no offence defined</v>
      </c>
      <c r="G4696" s="10" t="str">
        <f aca="false">IFERROR(INDEX(Section_Master!$E$2:$E$477,MATCH($E4696,Section_Master!$A$2:$A$477,0))&amp;"","")</f>
        <v>N/A</v>
      </c>
      <c r="H4696" s="10" t="str">
        <f aca="false">IFERROR(INDEX(Section_Master!$F$2:$F$477,MATCH($E4696,Section_Master!$A$2:$A$477,0))&amp;"","")</f>
        <v>N/A</v>
      </c>
      <c r="I4696" s="10" t="str">
        <f aca="false">IFERROR(INDEX(Section_Master!$G$2:$G$477,MATCH($E4696,Section_Master!$A$2:$A$477,0))&amp;"","")</f>
        <v>N/A</v>
      </c>
      <c r="J4696" s="10" t="s">
        <v>55</v>
      </c>
      <c r="K4696" s="8" t="s">
        <v>10991</v>
      </c>
    </row>
    <row r="4697" customFormat="false" ht="34.5" hidden="false" customHeight="true" outlineLevel="0" collapsed="false">
      <c r="A4697" s="10" t="s">
        <v>10996</v>
      </c>
      <c r="B4697" s="10" t="s">
        <v>10064</v>
      </c>
      <c r="C4697" s="8" t="s">
        <v>10989</v>
      </c>
      <c r="D4697" s="8" t="s">
        <v>10997</v>
      </c>
      <c r="E4697" s="11" t="n">
        <v>425</v>
      </c>
      <c r="F4697" s="8" t="str">
        <f aca="false">IFERROR(INDEX(Section_Master!$D$2:$D$477,MATCH($E4697,Section_Master!$A$2:$A$477,0))&amp;"","")</f>
        <v>Not applicable - procedural provision (BNSS), no offence defined</v>
      </c>
      <c r="G4697" s="10" t="str">
        <f aca="false">IFERROR(INDEX(Section_Master!$E$2:$E$477,MATCH($E4697,Section_Master!$A$2:$A$477,0))&amp;"","")</f>
        <v>N/A</v>
      </c>
      <c r="H4697" s="10" t="str">
        <f aca="false">IFERROR(INDEX(Section_Master!$F$2:$F$477,MATCH($E4697,Section_Master!$A$2:$A$477,0))&amp;"","")</f>
        <v>N/A</v>
      </c>
      <c r="I4697" s="10" t="str">
        <f aca="false">IFERROR(INDEX(Section_Master!$G$2:$G$477,MATCH($E4697,Section_Master!$A$2:$A$477,0))&amp;"","")</f>
        <v>N/A</v>
      </c>
      <c r="J4697" s="10" t="s">
        <v>58</v>
      </c>
      <c r="K4697" s="8" t="s">
        <v>10991</v>
      </c>
    </row>
    <row r="4698" customFormat="false" ht="34.5" hidden="false" customHeight="true" outlineLevel="0" collapsed="false">
      <c r="A4698" s="10" t="s">
        <v>10998</v>
      </c>
      <c r="B4698" s="10" t="s">
        <v>10064</v>
      </c>
      <c r="C4698" s="8" t="s">
        <v>10989</v>
      </c>
      <c r="D4698" s="8" t="s">
        <v>10999</v>
      </c>
      <c r="E4698" s="11" t="n">
        <v>425</v>
      </c>
      <c r="F4698" s="8" t="str">
        <f aca="false">IFERROR(INDEX(Section_Master!$D$2:$D$477,MATCH($E4698,Section_Master!$A$2:$A$477,0))&amp;"","")</f>
        <v>Not applicable - procedural provision (BNSS), no offence defined</v>
      </c>
      <c r="G4698" s="10" t="str">
        <f aca="false">IFERROR(INDEX(Section_Master!$E$2:$E$477,MATCH($E4698,Section_Master!$A$2:$A$477,0))&amp;"","")</f>
        <v>N/A</v>
      </c>
      <c r="H4698" s="10" t="str">
        <f aca="false">IFERROR(INDEX(Section_Master!$F$2:$F$477,MATCH($E4698,Section_Master!$A$2:$A$477,0))&amp;"","")</f>
        <v>N/A</v>
      </c>
      <c r="I4698" s="10" t="str">
        <f aca="false">IFERROR(INDEX(Section_Master!$G$2:$G$477,MATCH($E4698,Section_Master!$A$2:$A$477,0))&amp;"","")</f>
        <v>N/A</v>
      </c>
      <c r="J4698" s="10" t="s">
        <v>61</v>
      </c>
      <c r="K4698" s="8" t="s">
        <v>10991</v>
      </c>
    </row>
    <row r="4699" customFormat="false" ht="45.75" hidden="false" customHeight="true" outlineLevel="0" collapsed="false">
      <c r="A4699" s="10" t="s">
        <v>11000</v>
      </c>
      <c r="B4699" s="10" t="s">
        <v>10064</v>
      </c>
      <c r="C4699" s="8" t="s">
        <v>10989</v>
      </c>
      <c r="D4699" s="8" t="s">
        <v>11001</v>
      </c>
      <c r="E4699" s="11" t="n">
        <v>425</v>
      </c>
      <c r="F4699" s="8" t="str">
        <f aca="false">IFERROR(INDEX(Section_Master!$D$2:$D$477,MATCH($E4699,Section_Master!$A$2:$A$477,0))&amp;"","")</f>
        <v>Not applicable - procedural provision (BNSS), no offence defined</v>
      </c>
      <c r="G4699" s="10" t="str">
        <f aca="false">IFERROR(INDEX(Section_Master!$E$2:$E$477,MATCH($E4699,Section_Master!$A$2:$A$477,0))&amp;"","")</f>
        <v>N/A</v>
      </c>
      <c r="H4699" s="10" t="str">
        <f aca="false">IFERROR(INDEX(Section_Master!$F$2:$F$477,MATCH($E4699,Section_Master!$A$2:$A$477,0))&amp;"","")</f>
        <v>N/A</v>
      </c>
      <c r="I4699" s="10" t="str">
        <f aca="false">IFERROR(INDEX(Section_Master!$G$2:$G$477,MATCH($E4699,Section_Master!$A$2:$A$477,0))&amp;"","")</f>
        <v>N/A</v>
      </c>
      <c r="J4699" s="10" t="s">
        <v>64</v>
      </c>
      <c r="K4699" s="8" t="s">
        <v>10991</v>
      </c>
    </row>
    <row r="4700" customFormat="false" ht="45.75" hidden="false" customHeight="true" outlineLevel="0" collapsed="false">
      <c r="A4700" s="10" t="s">
        <v>11002</v>
      </c>
      <c r="B4700" s="10" t="s">
        <v>10064</v>
      </c>
      <c r="C4700" s="8" t="s">
        <v>11003</v>
      </c>
      <c r="D4700" s="8" t="s">
        <v>11004</v>
      </c>
      <c r="E4700" s="11" t="n">
        <v>426</v>
      </c>
      <c r="F4700" s="8" t="str">
        <f aca="false">IFERROR(INDEX(Section_Master!$D$2:$D$477,MATCH($E4700,Section_Master!$A$2:$A$477,0))&amp;"","")</f>
        <v>Not applicable - procedural provision (BNSS), no offence defined</v>
      </c>
      <c r="G4700" s="10" t="str">
        <f aca="false">IFERROR(INDEX(Section_Master!$E$2:$E$477,MATCH($E4700,Section_Master!$A$2:$A$477,0))&amp;"","")</f>
        <v>N/A</v>
      </c>
      <c r="H4700" s="10" t="str">
        <f aca="false">IFERROR(INDEX(Section_Master!$F$2:$F$477,MATCH($E4700,Section_Master!$A$2:$A$477,0))&amp;"","")</f>
        <v>N/A</v>
      </c>
      <c r="I4700" s="10" t="str">
        <f aca="false">IFERROR(INDEX(Section_Master!$G$2:$G$477,MATCH($E4700,Section_Master!$A$2:$A$477,0))&amp;"","")</f>
        <v>N/A</v>
      </c>
      <c r="J4700" s="10" t="s">
        <v>48</v>
      </c>
      <c r="K4700" s="8" t="s">
        <v>11005</v>
      </c>
    </row>
    <row r="4701" customFormat="false" ht="45.75" hidden="false" customHeight="true" outlineLevel="0" collapsed="false">
      <c r="A4701" s="10" t="s">
        <v>11006</v>
      </c>
      <c r="B4701" s="10" t="s">
        <v>10064</v>
      </c>
      <c r="C4701" s="8" t="s">
        <v>11003</v>
      </c>
      <c r="D4701" s="8" t="s">
        <v>11007</v>
      </c>
      <c r="E4701" s="11" t="n">
        <v>426</v>
      </c>
      <c r="F4701" s="8" t="str">
        <f aca="false">IFERROR(INDEX(Section_Master!$D$2:$D$477,MATCH($E4701,Section_Master!$A$2:$A$477,0))&amp;"","")</f>
        <v>Not applicable - procedural provision (BNSS), no offence defined</v>
      </c>
      <c r="G4701" s="10" t="str">
        <f aca="false">IFERROR(INDEX(Section_Master!$E$2:$E$477,MATCH($E4701,Section_Master!$A$2:$A$477,0))&amp;"","")</f>
        <v>N/A</v>
      </c>
      <c r="H4701" s="10" t="str">
        <f aca="false">IFERROR(INDEX(Section_Master!$F$2:$F$477,MATCH($E4701,Section_Master!$A$2:$A$477,0))&amp;"","")</f>
        <v>N/A</v>
      </c>
      <c r="I4701" s="10" t="str">
        <f aca="false">IFERROR(INDEX(Section_Master!$G$2:$G$477,MATCH($E4701,Section_Master!$A$2:$A$477,0))&amp;"","")</f>
        <v>N/A</v>
      </c>
      <c r="J4701" s="10" t="s">
        <v>52</v>
      </c>
      <c r="K4701" s="8" t="s">
        <v>11005</v>
      </c>
    </row>
    <row r="4702" customFormat="false" ht="45.75" hidden="false" customHeight="true" outlineLevel="0" collapsed="false">
      <c r="A4702" s="10" t="s">
        <v>11008</v>
      </c>
      <c r="B4702" s="10" t="s">
        <v>10064</v>
      </c>
      <c r="C4702" s="8" t="s">
        <v>11003</v>
      </c>
      <c r="D4702" s="8" t="s">
        <v>11009</v>
      </c>
      <c r="E4702" s="11" t="n">
        <v>426</v>
      </c>
      <c r="F4702" s="8" t="str">
        <f aca="false">IFERROR(INDEX(Section_Master!$D$2:$D$477,MATCH($E4702,Section_Master!$A$2:$A$477,0))&amp;"","")</f>
        <v>Not applicable - procedural provision (BNSS), no offence defined</v>
      </c>
      <c r="G4702" s="10" t="str">
        <f aca="false">IFERROR(INDEX(Section_Master!$E$2:$E$477,MATCH($E4702,Section_Master!$A$2:$A$477,0))&amp;"","")</f>
        <v>N/A</v>
      </c>
      <c r="H4702" s="10" t="str">
        <f aca="false">IFERROR(INDEX(Section_Master!$F$2:$F$477,MATCH($E4702,Section_Master!$A$2:$A$477,0))&amp;"","")</f>
        <v>N/A</v>
      </c>
      <c r="I4702" s="10" t="str">
        <f aca="false">IFERROR(INDEX(Section_Master!$G$2:$G$477,MATCH($E4702,Section_Master!$A$2:$A$477,0))&amp;"","")</f>
        <v>N/A</v>
      </c>
      <c r="J4702" s="10" t="s">
        <v>55</v>
      </c>
      <c r="K4702" s="8" t="s">
        <v>11005</v>
      </c>
    </row>
    <row r="4703" customFormat="false" ht="23.25" hidden="false" customHeight="true" outlineLevel="0" collapsed="false">
      <c r="A4703" s="10" t="s">
        <v>11010</v>
      </c>
      <c r="B4703" s="10" t="s">
        <v>10064</v>
      </c>
      <c r="C4703" s="8" t="s">
        <v>11003</v>
      </c>
      <c r="D4703" s="8" t="s">
        <v>11011</v>
      </c>
      <c r="E4703" s="11" t="n">
        <v>426</v>
      </c>
      <c r="F4703" s="8" t="str">
        <f aca="false">IFERROR(INDEX(Section_Master!$D$2:$D$477,MATCH($E4703,Section_Master!$A$2:$A$477,0))&amp;"","")</f>
        <v>Not applicable - procedural provision (BNSS), no offence defined</v>
      </c>
      <c r="G4703" s="10" t="str">
        <f aca="false">IFERROR(INDEX(Section_Master!$E$2:$E$477,MATCH($E4703,Section_Master!$A$2:$A$477,0))&amp;"","")</f>
        <v>N/A</v>
      </c>
      <c r="H4703" s="10" t="str">
        <f aca="false">IFERROR(INDEX(Section_Master!$F$2:$F$477,MATCH($E4703,Section_Master!$A$2:$A$477,0))&amp;"","")</f>
        <v>N/A</v>
      </c>
      <c r="I4703" s="10" t="str">
        <f aca="false">IFERROR(INDEX(Section_Master!$G$2:$G$477,MATCH($E4703,Section_Master!$A$2:$A$477,0))&amp;"","")</f>
        <v>N/A</v>
      </c>
      <c r="J4703" s="10" t="s">
        <v>58</v>
      </c>
      <c r="K4703" s="8" t="s">
        <v>11005</v>
      </c>
    </row>
    <row r="4704" customFormat="false" ht="23.25" hidden="false" customHeight="true" outlineLevel="0" collapsed="false">
      <c r="A4704" s="10" t="s">
        <v>11012</v>
      </c>
      <c r="B4704" s="10" t="s">
        <v>10064</v>
      </c>
      <c r="C4704" s="8" t="s">
        <v>11003</v>
      </c>
      <c r="D4704" s="8" t="s">
        <v>11013</v>
      </c>
      <c r="E4704" s="11" t="n">
        <v>426</v>
      </c>
      <c r="F4704" s="8" t="str">
        <f aca="false">IFERROR(INDEX(Section_Master!$D$2:$D$477,MATCH($E4704,Section_Master!$A$2:$A$477,0))&amp;"","")</f>
        <v>Not applicable - procedural provision (BNSS), no offence defined</v>
      </c>
      <c r="G4704" s="10" t="str">
        <f aca="false">IFERROR(INDEX(Section_Master!$E$2:$E$477,MATCH($E4704,Section_Master!$A$2:$A$477,0))&amp;"","")</f>
        <v>N/A</v>
      </c>
      <c r="H4704" s="10" t="str">
        <f aca="false">IFERROR(INDEX(Section_Master!$F$2:$F$477,MATCH($E4704,Section_Master!$A$2:$A$477,0))&amp;"","")</f>
        <v>N/A</v>
      </c>
      <c r="I4704" s="10" t="str">
        <f aca="false">IFERROR(INDEX(Section_Master!$G$2:$G$477,MATCH($E4704,Section_Master!$A$2:$A$477,0))&amp;"","")</f>
        <v>N/A</v>
      </c>
      <c r="J4704" s="10" t="s">
        <v>61</v>
      </c>
      <c r="K4704" s="8" t="s">
        <v>11005</v>
      </c>
    </row>
    <row r="4705" customFormat="false" ht="45.75" hidden="false" customHeight="true" outlineLevel="0" collapsed="false">
      <c r="A4705" s="10" t="s">
        <v>11014</v>
      </c>
      <c r="B4705" s="10" t="s">
        <v>10064</v>
      </c>
      <c r="C4705" s="8" t="s">
        <v>11003</v>
      </c>
      <c r="D4705" s="8" t="s">
        <v>11015</v>
      </c>
      <c r="E4705" s="11" t="n">
        <v>426</v>
      </c>
      <c r="F4705" s="8" t="str">
        <f aca="false">IFERROR(INDEX(Section_Master!$D$2:$D$477,MATCH($E4705,Section_Master!$A$2:$A$477,0))&amp;"","")</f>
        <v>Not applicable - procedural provision (BNSS), no offence defined</v>
      </c>
      <c r="G4705" s="10" t="str">
        <f aca="false">IFERROR(INDEX(Section_Master!$E$2:$E$477,MATCH($E4705,Section_Master!$A$2:$A$477,0))&amp;"","")</f>
        <v>N/A</v>
      </c>
      <c r="H4705" s="10" t="str">
        <f aca="false">IFERROR(INDEX(Section_Master!$F$2:$F$477,MATCH($E4705,Section_Master!$A$2:$A$477,0))&amp;"","")</f>
        <v>N/A</v>
      </c>
      <c r="I4705" s="10" t="str">
        <f aca="false">IFERROR(INDEX(Section_Master!$G$2:$G$477,MATCH($E4705,Section_Master!$A$2:$A$477,0))&amp;"","")</f>
        <v>N/A</v>
      </c>
      <c r="J4705" s="10" t="s">
        <v>64</v>
      </c>
      <c r="K4705" s="8" t="s">
        <v>11005</v>
      </c>
    </row>
    <row r="4706" customFormat="false" ht="34.5" hidden="false" customHeight="true" outlineLevel="0" collapsed="false">
      <c r="A4706" s="10" t="s">
        <v>11016</v>
      </c>
      <c r="B4706" s="10" t="s">
        <v>10064</v>
      </c>
      <c r="C4706" s="8" t="s">
        <v>11017</v>
      </c>
      <c r="D4706" s="8" t="s">
        <v>11018</v>
      </c>
      <c r="E4706" s="11" t="n">
        <v>427</v>
      </c>
      <c r="F4706" s="8" t="str">
        <f aca="false">IFERROR(INDEX(Section_Master!$D$2:$D$477,MATCH($E4706,Section_Master!$A$2:$A$477,0))&amp;"","")</f>
        <v>Not applicable - procedural provision (BNSS), no offence defined</v>
      </c>
      <c r="G4706" s="10" t="str">
        <f aca="false">IFERROR(INDEX(Section_Master!$E$2:$E$477,MATCH($E4706,Section_Master!$A$2:$A$477,0))&amp;"","")</f>
        <v>N/A</v>
      </c>
      <c r="H4706" s="10" t="str">
        <f aca="false">IFERROR(INDEX(Section_Master!$F$2:$F$477,MATCH($E4706,Section_Master!$A$2:$A$477,0))&amp;"","")</f>
        <v>N/A</v>
      </c>
      <c r="I4706" s="10" t="str">
        <f aca="false">IFERROR(INDEX(Section_Master!$G$2:$G$477,MATCH($E4706,Section_Master!$A$2:$A$477,0))&amp;"","")</f>
        <v>N/A</v>
      </c>
      <c r="J4706" s="10" t="s">
        <v>48</v>
      </c>
      <c r="K4706" s="8" t="s">
        <v>11019</v>
      </c>
    </row>
    <row r="4707" customFormat="false" ht="45.75" hidden="false" customHeight="true" outlineLevel="0" collapsed="false">
      <c r="A4707" s="10" t="s">
        <v>11020</v>
      </c>
      <c r="B4707" s="10" t="s">
        <v>10064</v>
      </c>
      <c r="C4707" s="8" t="s">
        <v>11017</v>
      </c>
      <c r="D4707" s="8" t="s">
        <v>11021</v>
      </c>
      <c r="E4707" s="11" t="n">
        <v>427</v>
      </c>
      <c r="F4707" s="8" t="str">
        <f aca="false">IFERROR(INDEX(Section_Master!$D$2:$D$477,MATCH($E4707,Section_Master!$A$2:$A$477,0))&amp;"","")</f>
        <v>Not applicable - procedural provision (BNSS), no offence defined</v>
      </c>
      <c r="G4707" s="10" t="str">
        <f aca="false">IFERROR(INDEX(Section_Master!$E$2:$E$477,MATCH($E4707,Section_Master!$A$2:$A$477,0))&amp;"","")</f>
        <v>N/A</v>
      </c>
      <c r="H4707" s="10" t="str">
        <f aca="false">IFERROR(INDEX(Section_Master!$F$2:$F$477,MATCH($E4707,Section_Master!$A$2:$A$477,0))&amp;"","")</f>
        <v>N/A</v>
      </c>
      <c r="I4707" s="10" t="str">
        <f aca="false">IFERROR(INDEX(Section_Master!$G$2:$G$477,MATCH($E4707,Section_Master!$A$2:$A$477,0))&amp;"","")</f>
        <v>N/A</v>
      </c>
      <c r="J4707" s="10" t="s">
        <v>52</v>
      </c>
      <c r="K4707" s="8" t="s">
        <v>11019</v>
      </c>
    </row>
    <row r="4708" customFormat="false" ht="34.5" hidden="false" customHeight="true" outlineLevel="0" collapsed="false">
      <c r="A4708" s="10" t="s">
        <v>11022</v>
      </c>
      <c r="B4708" s="10" t="s">
        <v>10064</v>
      </c>
      <c r="C4708" s="8" t="s">
        <v>11017</v>
      </c>
      <c r="D4708" s="8" t="s">
        <v>11023</v>
      </c>
      <c r="E4708" s="11" t="n">
        <v>427</v>
      </c>
      <c r="F4708" s="8" t="str">
        <f aca="false">IFERROR(INDEX(Section_Master!$D$2:$D$477,MATCH($E4708,Section_Master!$A$2:$A$477,0))&amp;"","")</f>
        <v>Not applicable - procedural provision (BNSS), no offence defined</v>
      </c>
      <c r="G4708" s="10" t="str">
        <f aca="false">IFERROR(INDEX(Section_Master!$E$2:$E$477,MATCH($E4708,Section_Master!$A$2:$A$477,0))&amp;"","")</f>
        <v>N/A</v>
      </c>
      <c r="H4708" s="10" t="str">
        <f aca="false">IFERROR(INDEX(Section_Master!$F$2:$F$477,MATCH($E4708,Section_Master!$A$2:$A$477,0))&amp;"","")</f>
        <v>N/A</v>
      </c>
      <c r="I4708" s="10" t="str">
        <f aca="false">IFERROR(INDEX(Section_Master!$G$2:$G$477,MATCH($E4708,Section_Master!$A$2:$A$477,0))&amp;"","")</f>
        <v>N/A</v>
      </c>
      <c r="J4708" s="10" t="s">
        <v>55</v>
      </c>
      <c r="K4708" s="8" t="s">
        <v>11019</v>
      </c>
    </row>
    <row r="4709" customFormat="false" ht="23.25" hidden="false" customHeight="true" outlineLevel="0" collapsed="false">
      <c r="A4709" s="10" t="s">
        <v>11024</v>
      </c>
      <c r="B4709" s="10" t="s">
        <v>10064</v>
      </c>
      <c r="C4709" s="8" t="s">
        <v>11017</v>
      </c>
      <c r="D4709" s="8" t="s">
        <v>11025</v>
      </c>
      <c r="E4709" s="11" t="n">
        <v>427</v>
      </c>
      <c r="F4709" s="8" t="str">
        <f aca="false">IFERROR(INDEX(Section_Master!$D$2:$D$477,MATCH($E4709,Section_Master!$A$2:$A$477,0))&amp;"","")</f>
        <v>Not applicable - procedural provision (BNSS), no offence defined</v>
      </c>
      <c r="G4709" s="10" t="str">
        <f aca="false">IFERROR(INDEX(Section_Master!$E$2:$E$477,MATCH($E4709,Section_Master!$A$2:$A$477,0))&amp;"","")</f>
        <v>N/A</v>
      </c>
      <c r="H4709" s="10" t="str">
        <f aca="false">IFERROR(INDEX(Section_Master!$F$2:$F$477,MATCH($E4709,Section_Master!$A$2:$A$477,0))&amp;"","")</f>
        <v>N/A</v>
      </c>
      <c r="I4709" s="10" t="str">
        <f aca="false">IFERROR(INDEX(Section_Master!$G$2:$G$477,MATCH($E4709,Section_Master!$A$2:$A$477,0))&amp;"","")</f>
        <v>N/A</v>
      </c>
      <c r="J4709" s="10" t="s">
        <v>58</v>
      </c>
      <c r="K4709" s="8" t="s">
        <v>11019</v>
      </c>
    </row>
    <row r="4710" customFormat="false" ht="45.75" hidden="false" customHeight="true" outlineLevel="0" collapsed="false">
      <c r="A4710" s="10" t="s">
        <v>11026</v>
      </c>
      <c r="B4710" s="10" t="s">
        <v>10064</v>
      </c>
      <c r="C4710" s="8" t="s">
        <v>11017</v>
      </c>
      <c r="D4710" s="8" t="s">
        <v>11027</v>
      </c>
      <c r="E4710" s="11" t="n">
        <v>427</v>
      </c>
      <c r="F4710" s="8" t="str">
        <f aca="false">IFERROR(INDEX(Section_Master!$D$2:$D$477,MATCH($E4710,Section_Master!$A$2:$A$477,0))&amp;"","")</f>
        <v>Not applicable - procedural provision (BNSS), no offence defined</v>
      </c>
      <c r="G4710" s="10" t="str">
        <f aca="false">IFERROR(INDEX(Section_Master!$E$2:$E$477,MATCH($E4710,Section_Master!$A$2:$A$477,0))&amp;"","")</f>
        <v>N/A</v>
      </c>
      <c r="H4710" s="10" t="str">
        <f aca="false">IFERROR(INDEX(Section_Master!$F$2:$F$477,MATCH($E4710,Section_Master!$A$2:$A$477,0))&amp;"","")</f>
        <v>N/A</v>
      </c>
      <c r="I4710" s="10" t="str">
        <f aca="false">IFERROR(INDEX(Section_Master!$G$2:$G$477,MATCH($E4710,Section_Master!$A$2:$A$477,0))&amp;"","")</f>
        <v>N/A</v>
      </c>
      <c r="J4710" s="10" t="s">
        <v>61</v>
      </c>
      <c r="K4710" s="8" t="s">
        <v>11019</v>
      </c>
    </row>
    <row r="4711" customFormat="false" ht="45.75" hidden="false" customHeight="true" outlineLevel="0" collapsed="false">
      <c r="A4711" s="10" t="s">
        <v>11028</v>
      </c>
      <c r="B4711" s="10" t="s">
        <v>10064</v>
      </c>
      <c r="C4711" s="8" t="s">
        <v>11017</v>
      </c>
      <c r="D4711" s="8" t="s">
        <v>11029</v>
      </c>
      <c r="E4711" s="11" t="n">
        <v>427</v>
      </c>
      <c r="F4711" s="8" t="str">
        <f aca="false">IFERROR(INDEX(Section_Master!$D$2:$D$477,MATCH($E4711,Section_Master!$A$2:$A$477,0))&amp;"","")</f>
        <v>Not applicable - procedural provision (BNSS), no offence defined</v>
      </c>
      <c r="G4711" s="10" t="str">
        <f aca="false">IFERROR(INDEX(Section_Master!$E$2:$E$477,MATCH($E4711,Section_Master!$A$2:$A$477,0))&amp;"","")</f>
        <v>N/A</v>
      </c>
      <c r="H4711" s="10" t="str">
        <f aca="false">IFERROR(INDEX(Section_Master!$F$2:$F$477,MATCH($E4711,Section_Master!$A$2:$A$477,0))&amp;"","")</f>
        <v>N/A</v>
      </c>
      <c r="I4711" s="10" t="str">
        <f aca="false">IFERROR(INDEX(Section_Master!$G$2:$G$477,MATCH($E4711,Section_Master!$A$2:$A$477,0))&amp;"","")</f>
        <v>N/A</v>
      </c>
      <c r="J4711" s="10" t="s">
        <v>64</v>
      </c>
      <c r="K4711" s="8" t="s">
        <v>11019</v>
      </c>
    </row>
    <row r="4712" customFormat="false" ht="45.75" hidden="false" customHeight="true" outlineLevel="0" collapsed="false">
      <c r="A4712" s="10" t="s">
        <v>11030</v>
      </c>
      <c r="B4712" s="10" t="s">
        <v>10064</v>
      </c>
      <c r="C4712" s="8" t="s">
        <v>11031</v>
      </c>
      <c r="D4712" s="8" t="s">
        <v>11032</v>
      </c>
      <c r="E4712" s="11" t="n">
        <v>428</v>
      </c>
      <c r="F4712" s="8" t="str">
        <f aca="false">IFERROR(INDEX(Section_Master!$D$2:$D$477,MATCH($E4712,Section_Master!$A$2:$A$477,0))&amp;"","")</f>
        <v>Not applicable - procedural provision (BNSS), no offence defined</v>
      </c>
      <c r="G4712" s="10" t="str">
        <f aca="false">IFERROR(INDEX(Section_Master!$E$2:$E$477,MATCH($E4712,Section_Master!$A$2:$A$477,0))&amp;"","")</f>
        <v>N/A</v>
      </c>
      <c r="H4712" s="10" t="str">
        <f aca="false">IFERROR(INDEX(Section_Master!$F$2:$F$477,MATCH($E4712,Section_Master!$A$2:$A$477,0))&amp;"","")</f>
        <v>N/A</v>
      </c>
      <c r="I4712" s="10" t="str">
        <f aca="false">IFERROR(INDEX(Section_Master!$G$2:$G$477,MATCH($E4712,Section_Master!$A$2:$A$477,0))&amp;"","")</f>
        <v>N/A</v>
      </c>
      <c r="J4712" s="10" t="s">
        <v>48</v>
      </c>
      <c r="K4712" s="8" t="s">
        <v>11033</v>
      </c>
    </row>
    <row r="4713" customFormat="false" ht="45.75" hidden="false" customHeight="true" outlineLevel="0" collapsed="false">
      <c r="A4713" s="10" t="s">
        <v>11034</v>
      </c>
      <c r="B4713" s="10" t="s">
        <v>10064</v>
      </c>
      <c r="C4713" s="8" t="s">
        <v>11031</v>
      </c>
      <c r="D4713" s="8" t="s">
        <v>11035</v>
      </c>
      <c r="E4713" s="11" t="n">
        <v>428</v>
      </c>
      <c r="F4713" s="8" t="str">
        <f aca="false">IFERROR(INDEX(Section_Master!$D$2:$D$477,MATCH($E4713,Section_Master!$A$2:$A$477,0))&amp;"","")</f>
        <v>Not applicable - procedural provision (BNSS), no offence defined</v>
      </c>
      <c r="G4713" s="10" t="str">
        <f aca="false">IFERROR(INDEX(Section_Master!$E$2:$E$477,MATCH($E4713,Section_Master!$A$2:$A$477,0))&amp;"","")</f>
        <v>N/A</v>
      </c>
      <c r="H4713" s="10" t="str">
        <f aca="false">IFERROR(INDEX(Section_Master!$F$2:$F$477,MATCH($E4713,Section_Master!$A$2:$A$477,0))&amp;"","")</f>
        <v>N/A</v>
      </c>
      <c r="I4713" s="10" t="str">
        <f aca="false">IFERROR(INDEX(Section_Master!$G$2:$G$477,MATCH($E4713,Section_Master!$A$2:$A$477,0))&amp;"","")</f>
        <v>N/A</v>
      </c>
      <c r="J4713" s="10" t="s">
        <v>52</v>
      </c>
      <c r="K4713" s="8" t="s">
        <v>11033</v>
      </c>
    </row>
    <row r="4714" customFormat="false" ht="45.75" hidden="false" customHeight="true" outlineLevel="0" collapsed="false">
      <c r="A4714" s="10" t="s">
        <v>11036</v>
      </c>
      <c r="B4714" s="10" t="s">
        <v>10064</v>
      </c>
      <c r="C4714" s="8" t="s">
        <v>11031</v>
      </c>
      <c r="D4714" s="8" t="s">
        <v>11037</v>
      </c>
      <c r="E4714" s="11" t="n">
        <v>428</v>
      </c>
      <c r="F4714" s="8" t="str">
        <f aca="false">IFERROR(INDEX(Section_Master!$D$2:$D$477,MATCH($E4714,Section_Master!$A$2:$A$477,0))&amp;"","")</f>
        <v>Not applicable - procedural provision (BNSS), no offence defined</v>
      </c>
      <c r="G4714" s="10" t="str">
        <f aca="false">IFERROR(INDEX(Section_Master!$E$2:$E$477,MATCH($E4714,Section_Master!$A$2:$A$477,0))&amp;"","")</f>
        <v>N/A</v>
      </c>
      <c r="H4714" s="10" t="str">
        <f aca="false">IFERROR(INDEX(Section_Master!$F$2:$F$477,MATCH($E4714,Section_Master!$A$2:$A$477,0))&amp;"","")</f>
        <v>N/A</v>
      </c>
      <c r="I4714" s="10" t="str">
        <f aca="false">IFERROR(INDEX(Section_Master!$G$2:$G$477,MATCH($E4714,Section_Master!$A$2:$A$477,0))&amp;"","")</f>
        <v>N/A</v>
      </c>
      <c r="J4714" s="10" t="s">
        <v>55</v>
      </c>
      <c r="K4714" s="8" t="s">
        <v>11033</v>
      </c>
    </row>
    <row r="4715" customFormat="false" ht="23.25" hidden="false" customHeight="true" outlineLevel="0" collapsed="false">
      <c r="A4715" s="10" t="s">
        <v>11038</v>
      </c>
      <c r="B4715" s="10" t="s">
        <v>10064</v>
      </c>
      <c r="C4715" s="8" t="s">
        <v>11031</v>
      </c>
      <c r="D4715" s="8" t="s">
        <v>11039</v>
      </c>
      <c r="E4715" s="11" t="n">
        <v>428</v>
      </c>
      <c r="F4715" s="8" t="str">
        <f aca="false">IFERROR(INDEX(Section_Master!$D$2:$D$477,MATCH($E4715,Section_Master!$A$2:$A$477,0))&amp;"","")</f>
        <v>Not applicable - procedural provision (BNSS), no offence defined</v>
      </c>
      <c r="G4715" s="10" t="str">
        <f aca="false">IFERROR(INDEX(Section_Master!$E$2:$E$477,MATCH($E4715,Section_Master!$A$2:$A$477,0))&amp;"","")</f>
        <v>N/A</v>
      </c>
      <c r="H4715" s="10" t="str">
        <f aca="false">IFERROR(INDEX(Section_Master!$F$2:$F$477,MATCH($E4715,Section_Master!$A$2:$A$477,0))&amp;"","")</f>
        <v>N/A</v>
      </c>
      <c r="I4715" s="10" t="str">
        <f aca="false">IFERROR(INDEX(Section_Master!$G$2:$G$477,MATCH($E4715,Section_Master!$A$2:$A$477,0))&amp;"","")</f>
        <v>N/A</v>
      </c>
      <c r="J4715" s="10" t="s">
        <v>58</v>
      </c>
      <c r="K4715" s="8" t="s">
        <v>11033</v>
      </c>
    </row>
    <row r="4716" customFormat="false" ht="34.5" hidden="false" customHeight="true" outlineLevel="0" collapsed="false">
      <c r="A4716" s="10" t="s">
        <v>11040</v>
      </c>
      <c r="B4716" s="10" t="s">
        <v>10064</v>
      </c>
      <c r="C4716" s="8" t="s">
        <v>11031</v>
      </c>
      <c r="D4716" s="8" t="s">
        <v>11041</v>
      </c>
      <c r="E4716" s="11" t="n">
        <v>428</v>
      </c>
      <c r="F4716" s="8" t="str">
        <f aca="false">IFERROR(INDEX(Section_Master!$D$2:$D$477,MATCH($E4716,Section_Master!$A$2:$A$477,0))&amp;"","")</f>
        <v>Not applicable - procedural provision (BNSS), no offence defined</v>
      </c>
      <c r="G4716" s="10" t="str">
        <f aca="false">IFERROR(INDEX(Section_Master!$E$2:$E$477,MATCH($E4716,Section_Master!$A$2:$A$477,0))&amp;"","")</f>
        <v>N/A</v>
      </c>
      <c r="H4716" s="10" t="str">
        <f aca="false">IFERROR(INDEX(Section_Master!$F$2:$F$477,MATCH($E4716,Section_Master!$A$2:$A$477,0))&amp;"","")</f>
        <v>N/A</v>
      </c>
      <c r="I4716" s="10" t="str">
        <f aca="false">IFERROR(INDEX(Section_Master!$G$2:$G$477,MATCH($E4716,Section_Master!$A$2:$A$477,0))&amp;"","")</f>
        <v>N/A</v>
      </c>
      <c r="J4716" s="10" t="s">
        <v>61</v>
      </c>
      <c r="K4716" s="8" t="s">
        <v>11033</v>
      </c>
    </row>
    <row r="4717" customFormat="false" ht="57" hidden="false" customHeight="true" outlineLevel="0" collapsed="false">
      <c r="A4717" s="10" t="s">
        <v>11042</v>
      </c>
      <c r="B4717" s="10" t="s">
        <v>10064</v>
      </c>
      <c r="C4717" s="8" t="s">
        <v>11031</v>
      </c>
      <c r="D4717" s="8" t="s">
        <v>11043</v>
      </c>
      <c r="E4717" s="11" t="n">
        <v>428</v>
      </c>
      <c r="F4717" s="8" t="str">
        <f aca="false">IFERROR(INDEX(Section_Master!$D$2:$D$477,MATCH($E4717,Section_Master!$A$2:$A$477,0))&amp;"","")</f>
        <v>Not applicable - procedural provision (BNSS), no offence defined</v>
      </c>
      <c r="G4717" s="10" t="str">
        <f aca="false">IFERROR(INDEX(Section_Master!$E$2:$E$477,MATCH($E4717,Section_Master!$A$2:$A$477,0))&amp;"","")</f>
        <v>N/A</v>
      </c>
      <c r="H4717" s="10" t="str">
        <f aca="false">IFERROR(INDEX(Section_Master!$F$2:$F$477,MATCH($E4717,Section_Master!$A$2:$A$477,0))&amp;"","")</f>
        <v>N/A</v>
      </c>
      <c r="I4717" s="10" t="str">
        <f aca="false">IFERROR(INDEX(Section_Master!$G$2:$G$477,MATCH($E4717,Section_Master!$A$2:$A$477,0))&amp;"","")</f>
        <v>N/A</v>
      </c>
      <c r="J4717" s="10" t="s">
        <v>64</v>
      </c>
      <c r="K4717" s="8" t="s">
        <v>11033</v>
      </c>
    </row>
    <row r="4718" customFormat="false" ht="34.5" hidden="false" customHeight="true" outlineLevel="0" collapsed="false">
      <c r="A4718" s="10" t="s">
        <v>11044</v>
      </c>
      <c r="B4718" s="10" t="s">
        <v>10064</v>
      </c>
      <c r="C4718" s="8" t="s">
        <v>11045</v>
      </c>
      <c r="D4718" s="8" t="s">
        <v>11046</v>
      </c>
      <c r="E4718" s="11" t="n">
        <v>429</v>
      </c>
      <c r="F4718" s="8" t="str">
        <f aca="false">IFERROR(INDEX(Section_Master!$D$2:$D$477,MATCH($E4718,Section_Master!$A$2:$A$477,0))&amp;"","")</f>
        <v>Not applicable - procedural provision (BNSS), no offence defined</v>
      </c>
      <c r="G4718" s="10" t="str">
        <f aca="false">IFERROR(INDEX(Section_Master!$E$2:$E$477,MATCH($E4718,Section_Master!$A$2:$A$477,0))&amp;"","")</f>
        <v>N/A</v>
      </c>
      <c r="H4718" s="10" t="str">
        <f aca="false">IFERROR(INDEX(Section_Master!$F$2:$F$477,MATCH($E4718,Section_Master!$A$2:$A$477,0))&amp;"","")</f>
        <v>N/A</v>
      </c>
      <c r="I4718" s="10" t="str">
        <f aca="false">IFERROR(INDEX(Section_Master!$G$2:$G$477,MATCH($E4718,Section_Master!$A$2:$A$477,0))&amp;"","")</f>
        <v>N/A</v>
      </c>
      <c r="J4718" s="10" t="s">
        <v>48</v>
      </c>
      <c r="K4718" s="8" t="s">
        <v>11047</v>
      </c>
    </row>
    <row r="4719" customFormat="false" ht="45.75" hidden="false" customHeight="true" outlineLevel="0" collapsed="false">
      <c r="A4719" s="10" t="s">
        <v>11048</v>
      </c>
      <c r="B4719" s="10" t="s">
        <v>10064</v>
      </c>
      <c r="C4719" s="8" t="s">
        <v>11045</v>
      </c>
      <c r="D4719" s="8" t="s">
        <v>11049</v>
      </c>
      <c r="E4719" s="11" t="n">
        <v>429</v>
      </c>
      <c r="F4719" s="8" t="str">
        <f aca="false">IFERROR(INDEX(Section_Master!$D$2:$D$477,MATCH($E4719,Section_Master!$A$2:$A$477,0))&amp;"","")</f>
        <v>Not applicable - procedural provision (BNSS), no offence defined</v>
      </c>
      <c r="G4719" s="10" t="str">
        <f aca="false">IFERROR(INDEX(Section_Master!$E$2:$E$477,MATCH($E4719,Section_Master!$A$2:$A$477,0))&amp;"","")</f>
        <v>N/A</v>
      </c>
      <c r="H4719" s="10" t="str">
        <f aca="false">IFERROR(INDEX(Section_Master!$F$2:$F$477,MATCH($E4719,Section_Master!$A$2:$A$477,0))&amp;"","")</f>
        <v>N/A</v>
      </c>
      <c r="I4719" s="10" t="str">
        <f aca="false">IFERROR(INDEX(Section_Master!$G$2:$G$477,MATCH($E4719,Section_Master!$A$2:$A$477,0))&amp;"","")</f>
        <v>N/A</v>
      </c>
      <c r="J4719" s="10" t="s">
        <v>52</v>
      </c>
      <c r="K4719" s="8" t="s">
        <v>11047</v>
      </c>
    </row>
    <row r="4720" customFormat="false" ht="34.5" hidden="false" customHeight="true" outlineLevel="0" collapsed="false">
      <c r="A4720" s="10" t="s">
        <v>11050</v>
      </c>
      <c r="B4720" s="10" t="s">
        <v>10064</v>
      </c>
      <c r="C4720" s="8" t="s">
        <v>11045</v>
      </c>
      <c r="D4720" s="8" t="s">
        <v>11051</v>
      </c>
      <c r="E4720" s="11" t="n">
        <v>429</v>
      </c>
      <c r="F4720" s="8" t="str">
        <f aca="false">IFERROR(INDEX(Section_Master!$D$2:$D$477,MATCH($E4720,Section_Master!$A$2:$A$477,0))&amp;"","")</f>
        <v>Not applicable - procedural provision (BNSS), no offence defined</v>
      </c>
      <c r="G4720" s="10" t="str">
        <f aca="false">IFERROR(INDEX(Section_Master!$E$2:$E$477,MATCH($E4720,Section_Master!$A$2:$A$477,0))&amp;"","")</f>
        <v>N/A</v>
      </c>
      <c r="H4720" s="10" t="str">
        <f aca="false">IFERROR(INDEX(Section_Master!$F$2:$F$477,MATCH($E4720,Section_Master!$A$2:$A$477,0))&amp;"","")</f>
        <v>N/A</v>
      </c>
      <c r="I4720" s="10" t="str">
        <f aca="false">IFERROR(INDEX(Section_Master!$G$2:$G$477,MATCH($E4720,Section_Master!$A$2:$A$477,0))&amp;"","")</f>
        <v>N/A</v>
      </c>
      <c r="J4720" s="10" t="s">
        <v>55</v>
      </c>
      <c r="K4720" s="8" t="s">
        <v>11047</v>
      </c>
    </row>
    <row r="4721" customFormat="false" ht="23.25" hidden="false" customHeight="true" outlineLevel="0" collapsed="false">
      <c r="A4721" s="10" t="s">
        <v>11052</v>
      </c>
      <c r="B4721" s="10" t="s">
        <v>10064</v>
      </c>
      <c r="C4721" s="8" t="s">
        <v>11045</v>
      </c>
      <c r="D4721" s="8" t="s">
        <v>11053</v>
      </c>
      <c r="E4721" s="11" t="n">
        <v>429</v>
      </c>
      <c r="F4721" s="8" t="str">
        <f aca="false">IFERROR(INDEX(Section_Master!$D$2:$D$477,MATCH($E4721,Section_Master!$A$2:$A$477,0))&amp;"","")</f>
        <v>Not applicable - procedural provision (BNSS), no offence defined</v>
      </c>
      <c r="G4721" s="10" t="str">
        <f aca="false">IFERROR(INDEX(Section_Master!$E$2:$E$477,MATCH($E4721,Section_Master!$A$2:$A$477,0))&amp;"","")</f>
        <v>N/A</v>
      </c>
      <c r="H4721" s="10" t="str">
        <f aca="false">IFERROR(INDEX(Section_Master!$F$2:$F$477,MATCH($E4721,Section_Master!$A$2:$A$477,0))&amp;"","")</f>
        <v>N/A</v>
      </c>
      <c r="I4721" s="10" t="str">
        <f aca="false">IFERROR(INDEX(Section_Master!$G$2:$G$477,MATCH($E4721,Section_Master!$A$2:$A$477,0))&amp;"","")</f>
        <v>N/A</v>
      </c>
      <c r="J4721" s="10" t="s">
        <v>58</v>
      </c>
      <c r="K4721" s="8" t="s">
        <v>11047</v>
      </c>
    </row>
    <row r="4722" customFormat="false" ht="45.75" hidden="false" customHeight="true" outlineLevel="0" collapsed="false">
      <c r="A4722" s="10" t="s">
        <v>11054</v>
      </c>
      <c r="B4722" s="10" t="s">
        <v>10064</v>
      </c>
      <c r="C4722" s="8" t="s">
        <v>11045</v>
      </c>
      <c r="D4722" s="8" t="s">
        <v>11055</v>
      </c>
      <c r="E4722" s="11" t="n">
        <v>429</v>
      </c>
      <c r="F4722" s="8" t="str">
        <f aca="false">IFERROR(INDEX(Section_Master!$D$2:$D$477,MATCH($E4722,Section_Master!$A$2:$A$477,0))&amp;"","")</f>
        <v>Not applicable - procedural provision (BNSS), no offence defined</v>
      </c>
      <c r="G4722" s="10" t="str">
        <f aca="false">IFERROR(INDEX(Section_Master!$E$2:$E$477,MATCH($E4722,Section_Master!$A$2:$A$477,0))&amp;"","")</f>
        <v>N/A</v>
      </c>
      <c r="H4722" s="10" t="str">
        <f aca="false">IFERROR(INDEX(Section_Master!$F$2:$F$477,MATCH($E4722,Section_Master!$A$2:$A$477,0))&amp;"","")</f>
        <v>N/A</v>
      </c>
      <c r="I4722" s="10" t="str">
        <f aca="false">IFERROR(INDEX(Section_Master!$G$2:$G$477,MATCH($E4722,Section_Master!$A$2:$A$477,0))&amp;"","")</f>
        <v>N/A</v>
      </c>
      <c r="J4722" s="10" t="s">
        <v>61</v>
      </c>
      <c r="K4722" s="8" t="s">
        <v>11047</v>
      </c>
    </row>
    <row r="4723" customFormat="false" ht="45.75" hidden="false" customHeight="true" outlineLevel="0" collapsed="false">
      <c r="A4723" s="10" t="s">
        <v>11056</v>
      </c>
      <c r="B4723" s="10" t="s">
        <v>10064</v>
      </c>
      <c r="C4723" s="8" t="s">
        <v>11045</v>
      </c>
      <c r="D4723" s="8" t="s">
        <v>11057</v>
      </c>
      <c r="E4723" s="11" t="n">
        <v>429</v>
      </c>
      <c r="F4723" s="8" t="str">
        <f aca="false">IFERROR(INDEX(Section_Master!$D$2:$D$477,MATCH($E4723,Section_Master!$A$2:$A$477,0))&amp;"","")</f>
        <v>Not applicable - procedural provision (BNSS), no offence defined</v>
      </c>
      <c r="G4723" s="10" t="str">
        <f aca="false">IFERROR(INDEX(Section_Master!$E$2:$E$477,MATCH($E4723,Section_Master!$A$2:$A$477,0))&amp;"","")</f>
        <v>N/A</v>
      </c>
      <c r="H4723" s="10" t="str">
        <f aca="false">IFERROR(INDEX(Section_Master!$F$2:$F$477,MATCH($E4723,Section_Master!$A$2:$A$477,0))&amp;"","")</f>
        <v>N/A</v>
      </c>
      <c r="I4723" s="10" t="str">
        <f aca="false">IFERROR(INDEX(Section_Master!$G$2:$G$477,MATCH($E4723,Section_Master!$A$2:$A$477,0))&amp;"","")</f>
        <v>N/A</v>
      </c>
      <c r="J4723" s="10" t="s">
        <v>64</v>
      </c>
      <c r="K4723" s="8" t="s">
        <v>11047</v>
      </c>
    </row>
    <row r="4724" customFormat="false" ht="34.5" hidden="false" customHeight="true" outlineLevel="0" collapsed="false">
      <c r="A4724" s="10" t="s">
        <v>11058</v>
      </c>
      <c r="B4724" s="10" t="s">
        <v>10064</v>
      </c>
      <c r="C4724" s="8" t="s">
        <v>11059</v>
      </c>
      <c r="D4724" s="8" t="s">
        <v>11060</v>
      </c>
      <c r="E4724" s="11" t="n">
        <v>430</v>
      </c>
      <c r="F4724" s="8" t="str">
        <f aca="false">IFERROR(INDEX(Section_Master!$D$2:$D$477,MATCH($E4724,Section_Master!$A$2:$A$477,0))&amp;"","")</f>
        <v>Not applicable - procedural provision (BNSS), no offence defined</v>
      </c>
      <c r="G4724" s="10" t="str">
        <f aca="false">IFERROR(INDEX(Section_Master!$E$2:$E$477,MATCH($E4724,Section_Master!$A$2:$A$477,0))&amp;"","")</f>
        <v>N/A</v>
      </c>
      <c r="H4724" s="10" t="str">
        <f aca="false">IFERROR(INDEX(Section_Master!$F$2:$F$477,MATCH($E4724,Section_Master!$A$2:$A$477,0))&amp;"","")</f>
        <v>N/A</v>
      </c>
      <c r="I4724" s="10" t="str">
        <f aca="false">IFERROR(INDEX(Section_Master!$G$2:$G$477,MATCH($E4724,Section_Master!$A$2:$A$477,0))&amp;"","")</f>
        <v>N/A</v>
      </c>
      <c r="J4724" s="10" t="s">
        <v>48</v>
      </c>
      <c r="K4724" s="8" t="s">
        <v>11061</v>
      </c>
    </row>
    <row r="4725" customFormat="false" ht="45.75" hidden="false" customHeight="true" outlineLevel="0" collapsed="false">
      <c r="A4725" s="10" t="s">
        <v>11062</v>
      </c>
      <c r="B4725" s="10" t="s">
        <v>10064</v>
      </c>
      <c r="C4725" s="8" t="s">
        <v>11059</v>
      </c>
      <c r="D4725" s="8" t="s">
        <v>11063</v>
      </c>
      <c r="E4725" s="11" t="n">
        <v>430</v>
      </c>
      <c r="F4725" s="8" t="str">
        <f aca="false">IFERROR(INDEX(Section_Master!$D$2:$D$477,MATCH($E4725,Section_Master!$A$2:$A$477,0))&amp;"","")</f>
        <v>Not applicable - procedural provision (BNSS), no offence defined</v>
      </c>
      <c r="G4725" s="10" t="str">
        <f aca="false">IFERROR(INDEX(Section_Master!$E$2:$E$477,MATCH($E4725,Section_Master!$A$2:$A$477,0))&amp;"","")</f>
        <v>N/A</v>
      </c>
      <c r="H4725" s="10" t="str">
        <f aca="false">IFERROR(INDEX(Section_Master!$F$2:$F$477,MATCH($E4725,Section_Master!$A$2:$A$477,0))&amp;"","")</f>
        <v>N/A</v>
      </c>
      <c r="I4725" s="10" t="str">
        <f aca="false">IFERROR(INDEX(Section_Master!$G$2:$G$477,MATCH($E4725,Section_Master!$A$2:$A$477,0))&amp;"","")</f>
        <v>N/A</v>
      </c>
      <c r="J4725" s="10" t="s">
        <v>52</v>
      </c>
      <c r="K4725" s="8" t="s">
        <v>11061</v>
      </c>
    </row>
    <row r="4726" customFormat="false" ht="34.5" hidden="false" customHeight="true" outlineLevel="0" collapsed="false">
      <c r="A4726" s="10" t="s">
        <v>11064</v>
      </c>
      <c r="B4726" s="10" t="s">
        <v>10064</v>
      </c>
      <c r="C4726" s="8" t="s">
        <v>11059</v>
      </c>
      <c r="D4726" s="8" t="s">
        <v>11065</v>
      </c>
      <c r="E4726" s="11" t="n">
        <v>430</v>
      </c>
      <c r="F4726" s="8" t="str">
        <f aca="false">IFERROR(INDEX(Section_Master!$D$2:$D$477,MATCH($E4726,Section_Master!$A$2:$A$477,0))&amp;"","")</f>
        <v>Not applicable - procedural provision (BNSS), no offence defined</v>
      </c>
      <c r="G4726" s="10" t="str">
        <f aca="false">IFERROR(INDEX(Section_Master!$E$2:$E$477,MATCH($E4726,Section_Master!$A$2:$A$477,0))&amp;"","")</f>
        <v>N/A</v>
      </c>
      <c r="H4726" s="10" t="str">
        <f aca="false">IFERROR(INDEX(Section_Master!$F$2:$F$477,MATCH($E4726,Section_Master!$A$2:$A$477,0))&amp;"","")</f>
        <v>N/A</v>
      </c>
      <c r="I4726" s="10" t="str">
        <f aca="false">IFERROR(INDEX(Section_Master!$G$2:$G$477,MATCH($E4726,Section_Master!$A$2:$A$477,0))&amp;"","")</f>
        <v>N/A</v>
      </c>
      <c r="J4726" s="10" t="s">
        <v>55</v>
      </c>
      <c r="K4726" s="8" t="s">
        <v>11061</v>
      </c>
    </row>
    <row r="4727" customFormat="false" ht="23.25" hidden="false" customHeight="true" outlineLevel="0" collapsed="false">
      <c r="A4727" s="10" t="s">
        <v>11066</v>
      </c>
      <c r="B4727" s="10" t="s">
        <v>10064</v>
      </c>
      <c r="C4727" s="8" t="s">
        <v>11059</v>
      </c>
      <c r="D4727" s="8" t="s">
        <v>11067</v>
      </c>
      <c r="E4727" s="11" t="n">
        <v>430</v>
      </c>
      <c r="F4727" s="8" t="str">
        <f aca="false">IFERROR(INDEX(Section_Master!$D$2:$D$477,MATCH($E4727,Section_Master!$A$2:$A$477,0))&amp;"","")</f>
        <v>Not applicable - procedural provision (BNSS), no offence defined</v>
      </c>
      <c r="G4727" s="10" t="str">
        <f aca="false">IFERROR(INDEX(Section_Master!$E$2:$E$477,MATCH($E4727,Section_Master!$A$2:$A$477,0))&amp;"","")</f>
        <v>N/A</v>
      </c>
      <c r="H4727" s="10" t="str">
        <f aca="false">IFERROR(INDEX(Section_Master!$F$2:$F$477,MATCH($E4727,Section_Master!$A$2:$A$477,0))&amp;"","")</f>
        <v>N/A</v>
      </c>
      <c r="I4727" s="10" t="str">
        <f aca="false">IFERROR(INDEX(Section_Master!$G$2:$G$477,MATCH($E4727,Section_Master!$A$2:$A$477,0))&amp;"","")</f>
        <v>N/A</v>
      </c>
      <c r="J4727" s="10" t="s">
        <v>58</v>
      </c>
      <c r="K4727" s="8" t="s">
        <v>11061</v>
      </c>
    </row>
    <row r="4728" customFormat="false" ht="34.5" hidden="false" customHeight="true" outlineLevel="0" collapsed="false">
      <c r="A4728" s="10" t="s">
        <v>11068</v>
      </c>
      <c r="B4728" s="10" t="s">
        <v>10064</v>
      </c>
      <c r="C4728" s="8" t="s">
        <v>11059</v>
      </c>
      <c r="D4728" s="8" t="s">
        <v>11069</v>
      </c>
      <c r="E4728" s="11" t="n">
        <v>430</v>
      </c>
      <c r="F4728" s="8" t="str">
        <f aca="false">IFERROR(INDEX(Section_Master!$D$2:$D$477,MATCH($E4728,Section_Master!$A$2:$A$477,0))&amp;"","")</f>
        <v>Not applicable - procedural provision (BNSS), no offence defined</v>
      </c>
      <c r="G4728" s="10" t="str">
        <f aca="false">IFERROR(INDEX(Section_Master!$E$2:$E$477,MATCH($E4728,Section_Master!$A$2:$A$477,0))&amp;"","")</f>
        <v>N/A</v>
      </c>
      <c r="H4728" s="10" t="str">
        <f aca="false">IFERROR(INDEX(Section_Master!$F$2:$F$477,MATCH($E4728,Section_Master!$A$2:$A$477,0))&amp;"","")</f>
        <v>N/A</v>
      </c>
      <c r="I4728" s="10" t="str">
        <f aca="false">IFERROR(INDEX(Section_Master!$G$2:$G$477,MATCH($E4728,Section_Master!$A$2:$A$477,0))&amp;"","")</f>
        <v>N/A</v>
      </c>
      <c r="J4728" s="10" t="s">
        <v>61</v>
      </c>
      <c r="K4728" s="8" t="s">
        <v>11061</v>
      </c>
    </row>
    <row r="4729" customFormat="false" ht="45.75" hidden="false" customHeight="true" outlineLevel="0" collapsed="false">
      <c r="A4729" s="10" t="s">
        <v>11070</v>
      </c>
      <c r="B4729" s="10" t="s">
        <v>10064</v>
      </c>
      <c r="C4729" s="8" t="s">
        <v>11059</v>
      </c>
      <c r="D4729" s="8" t="s">
        <v>11071</v>
      </c>
      <c r="E4729" s="11" t="n">
        <v>430</v>
      </c>
      <c r="F4729" s="8" t="str">
        <f aca="false">IFERROR(INDEX(Section_Master!$D$2:$D$477,MATCH($E4729,Section_Master!$A$2:$A$477,0))&amp;"","")</f>
        <v>Not applicable - procedural provision (BNSS), no offence defined</v>
      </c>
      <c r="G4729" s="10" t="str">
        <f aca="false">IFERROR(INDEX(Section_Master!$E$2:$E$477,MATCH($E4729,Section_Master!$A$2:$A$477,0))&amp;"","")</f>
        <v>N/A</v>
      </c>
      <c r="H4729" s="10" t="str">
        <f aca="false">IFERROR(INDEX(Section_Master!$F$2:$F$477,MATCH($E4729,Section_Master!$A$2:$A$477,0))&amp;"","")</f>
        <v>N/A</v>
      </c>
      <c r="I4729" s="10" t="str">
        <f aca="false">IFERROR(INDEX(Section_Master!$G$2:$G$477,MATCH($E4729,Section_Master!$A$2:$A$477,0))&amp;"","")</f>
        <v>N/A</v>
      </c>
      <c r="J4729" s="10" t="s">
        <v>64</v>
      </c>
      <c r="K4729" s="8" t="s">
        <v>11061</v>
      </c>
    </row>
    <row r="4730" customFormat="false" ht="34.5" hidden="false" customHeight="true" outlineLevel="0" collapsed="false">
      <c r="A4730" s="10" t="s">
        <v>11072</v>
      </c>
      <c r="B4730" s="10" t="s">
        <v>10064</v>
      </c>
      <c r="C4730" s="8" t="s">
        <v>11073</v>
      </c>
      <c r="D4730" s="8" t="s">
        <v>11074</v>
      </c>
      <c r="E4730" s="11" t="n">
        <v>431</v>
      </c>
      <c r="F4730" s="8" t="str">
        <f aca="false">IFERROR(INDEX(Section_Master!$D$2:$D$477,MATCH($E4730,Section_Master!$A$2:$A$477,0))&amp;"","")</f>
        <v>Not applicable - procedural provision (BNSS), no offence defined</v>
      </c>
      <c r="G4730" s="10" t="str">
        <f aca="false">IFERROR(INDEX(Section_Master!$E$2:$E$477,MATCH($E4730,Section_Master!$A$2:$A$477,0))&amp;"","")</f>
        <v>N/A</v>
      </c>
      <c r="H4730" s="10" t="str">
        <f aca="false">IFERROR(INDEX(Section_Master!$F$2:$F$477,MATCH($E4730,Section_Master!$A$2:$A$477,0))&amp;"","")</f>
        <v>N/A</v>
      </c>
      <c r="I4730" s="10" t="str">
        <f aca="false">IFERROR(INDEX(Section_Master!$G$2:$G$477,MATCH($E4730,Section_Master!$A$2:$A$477,0))&amp;"","")</f>
        <v>N/A</v>
      </c>
      <c r="J4730" s="10" t="s">
        <v>48</v>
      </c>
      <c r="K4730" s="8" t="s">
        <v>11075</v>
      </c>
    </row>
    <row r="4731" customFormat="false" ht="45.75" hidden="false" customHeight="true" outlineLevel="0" collapsed="false">
      <c r="A4731" s="10" t="s">
        <v>11076</v>
      </c>
      <c r="B4731" s="10" t="s">
        <v>10064</v>
      </c>
      <c r="C4731" s="8" t="s">
        <v>11073</v>
      </c>
      <c r="D4731" s="8" t="s">
        <v>11077</v>
      </c>
      <c r="E4731" s="11" t="n">
        <v>431</v>
      </c>
      <c r="F4731" s="8" t="str">
        <f aca="false">IFERROR(INDEX(Section_Master!$D$2:$D$477,MATCH($E4731,Section_Master!$A$2:$A$477,0))&amp;"","")</f>
        <v>Not applicable - procedural provision (BNSS), no offence defined</v>
      </c>
      <c r="G4731" s="10" t="str">
        <f aca="false">IFERROR(INDEX(Section_Master!$E$2:$E$477,MATCH($E4731,Section_Master!$A$2:$A$477,0))&amp;"","")</f>
        <v>N/A</v>
      </c>
      <c r="H4731" s="10" t="str">
        <f aca="false">IFERROR(INDEX(Section_Master!$F$2:$F$477,MATCH($E4731,Section_Master!$A$2:$A$477,0))&amp;"","")</f>
        <v>N/A</v>
      </c>
      <c r="I4731" s="10" t="str">
        <f aca="false">IFERROR(INDEX(Section_Master!$G$2:$G$477,MATCH($E4731,Section_Master!$A$2:$A$477,0))&amp;"","")</f>
        <v>N/A</v>
      </c>
      <c r="J4731" s="10" t="s">
        <v>52</v>
      </c>
      <c r="K4731" s="8" t="s">
        <v>11075</v>
      </c>
    </row>
    <row r="4732" customFormat="false" ht="34.5" hidden="false" customHeight="true" outlineLevel="0" collapsed="false">
      <c r="A4732" s="10" t="s">
        <v>11078</v>
      </c>
      <c r="B4732" s="10" t="s">
        <v>10064</v>
      </c>
      <c r="C4732" s="8" t="s">
        <v>11073</v>
      </c>
      <c r="D4732" s="8" t="s">
        <v>11079</v>
      </c>
      <c r="E4732" s="11" t="n">
        <v>431</v>
      </c>
      <c r="F4732" s="8" t="str">
        <f aca="false">IFERROR(INDEX(Section_Master!$D$2:$D$477,MATCH($E4732,Section_Master!$A$2:$A$477,0))&amp;"","")</f>
        <v>Not applicable - procedural provision (BNSS), no offence defined</v>
      </c>
      <c r="G4732" s="10" t="str">
        <f aca="false">IFERROR(INDEX(Section_Master!$E$2:$E$477,MATCH($E4732,Section_Master!$A$2:$A$477,0))&amp;"","")</f>
        <v>N/A</v>
      </c>
      <c r="H4732" s="10" t="str">
        <f aca="false">IFERROR(INDEX(Section_Master!$F$2:$F$477,MATCH($E4732,Section_Master!$A$2:$A$477,0))&amp;"","")</f>
        <v>N/A</v>
      </c>
      <c r="I4732" s="10" t="str">
        <f aca="false">IFERROR(INDEX(Section_Master!$G$2:$G$477,MATCH($E4732,Section_Master!$A$2:$A$477,0))&amp;"","")</f>
        <v>N/A</v>
      </c>
      <c r="J4732" s="10" t="s">
        <v>55</v>
      </c>
      <c r="K4732" s="8" t="s">
        <v>11075</v>
      </c>
    </row>
    <row r="4733" customFormat="false" ht="23.25" hidden="false" customHeight="true" outlineLevel="0" collapsed="false">
      <c r="A4733" s="10" t="s">
        <v>11080</v>
      </c>
      <c r="B4733" s="10" t="s">
        <v>10064</v>
      </c>
      <c r="C4733" s="8" t="s">
        <v>11073</v>
      </c>
      <c r="D4733" s="8" t="s">
        <v>11081</v>
      </c>
      <c r="E4733" s="11" t="n">
        <v>431</v>
      </c>
      <c r="F4733" s="8" t="str">
        <f aca="false">IFERROR(INDEX(Section_Master!$D$2:$D$477,MATCH($E4733,Section_Master!$A$2:$A$477,0))&amp;"","")</f>
        <v>Not applicable - procedural provision (BNSS), no offence defined</v>
      </c>
      <c r="G4733" s="10" t="str">
        <f aca="false">IFERROR(INDEX(Section_Master!$E$2:$E$477,MATCH($E4733,Section_Master!$A$2:$A$477,0))&amp;"","")</f>
        <v>N/A</v>
      </c>
      <c r="H4733" s="10" t="str">
        <f aca="false">IFERROR(INDEX(Section_Master!$F$2:$F$477,MATCH($E4733,Section_Master!$A$2:$A$477,0))&amp;"","")</f>
        <v>N/A</v>
      </c>
      <c r="I4733" s="10" t="str">
        <f aca="false">IFERROR(INDEX(Section_Master!$G$2:$G$477,MATCH($E4733,Section_Master!$A$2:$A$477,0))&amp;"","")</f>
        <v>N/A</v>
      </c>
      <c r="J4733" s="10" t="s">
        <v>58</v>
      </c>
      <c r="K4733" s="8" t="s">
        <v>11075</v>
      </c>
    </row>
    <row r="4734" customFormat="false" ht="34.5" hidden="false" customHeight="true" outlineLevel="0" collapsed="false">
      <c r="A4734" s="10" t="s">
        <v>11082</v>
      </c>
      <c r="B4734" s="10" t="s">
        <v>10064</v>
      </c>
      <c r="C4734" s="8" t="s">
        <v>11073</v>
      </c>
      <c r="D4734" s="8" t="s">
        <v>11083</v>
      </c>
      <c r="E4734" s="11" t="n">
        <v>431</v>
      </c>
      <c r="F4734" s="8" t="str">
        <f aca="false">IFERROR(INDEX(Section_Master!$D$2:$D$477,MATCH($E4734,Section_Master!$A$2:$A$477,0))&amp;"","")</f>
        <v>Not applicable - procedural provision (BNSS), no offence defined</v>
      </c>
      <c r="G4734" s="10" t="str">
        <f aca="false">IFERROR(INDEX(Section_Master!$E$2:$E$477,MATCH($E4734,Section_Master!$A$2:$A$477,0))&amp;"","")</f>
        <v>N/A</v>
      </c>
      <c r="H4734" s="10" t="str">
        <f aca="false">IFERROR(INDEX(Section_Master!$F$2:$F$477,MATCH($E4734,Section_Master!$A$2:$A$477,0))&amp;"","")</f>
        <v>N/A</v>
      </c>
      <c r="I4734" s="10" t="str">
        <f aca="false">IFERROR(INDEX(Section_Master!$G$2:$G$477,MATCH($E4734,Section_Master!$A$2:$A$477,0))&amp;"","")</f>
        <v>N/A</v>
      </c>
      <c r="J4734" s="10" t="s">
        <v>61</v>
      </c>
      <c r="K4734" s="8" t="s">
        <v>11075</v>
      </c>
    </row>
    <row r="4735" customFormat="false" ht="45.75" hidden="false" customHeight="true" outlineLevel="0" collapsed="false">
      <c r="A4735" s="10" t="s">
        <v>11084</v>
      </c>
      <c r="B4735" s="10" t="s">
        <v>10064</v>
      </c>
      <c r="C4735" s="8" t="s">
        <v>11073</v>
      </c>
      <c r="D4735" s="8" t="s">
        <v>11085</v>
      </c>
      <c r="E4735" s="11" t="n">
        <v>431</v>
      </c>
      <c r="F4735" s="8" t="str">
        <f aca="false">IFERROR(INDEX(Section_Master!$D$2:$D$477,MATCH($E4735,Section_Master!$A$2:$A$477,0))&amp;"","")</f>
        <v>Not applicable - procedural provision (BNSS), no offence defined</v>
      </c>
      <c r="G4735" s="10" t="str">
        <f aca="false">IFERROR(INDEX(Section_Master!$E$2:$E$477,MATCH($E4735,Section_Master!$A$2:$A$477,0))&amp;"","")</f>
        <v>N/A</v>
      </c>
      <c r="H4735" s="10" t="str">
        <f aca="false">IFERROR(INDEX(Section_Master!$F$2:$F$477,MATCH($E4735,Section_Master!$A$2:$A$477,0))&amp;"","")</f>
        <v>N/A</v>
      </c>
      <c r="I4735" s="10" t="str">
        <f aca="false">IFERROR(INDEX(Section_Master!$G$2:$G$477,MATCH($E4735,Section_Master!$A$2:$A$477,0))&amp;"","")</f>
        <v>N/A</v>
      </c>
      <c r="J4735" s="10" t="s">
        <v>64</v>
      </c>
      <c r="K4735" s="8" t="s">
        <v>11075</v>
      </c>
    </row>
    <row r="4736" customFormat="false" ht="34.5" hidden="false" customHeight="true" outlineLevel="0" collapsed="false">
      <c r="A4736" s="10" t="s">
        <v>11086</v>
      </c>
      <c r="B4736" s="10" t="s">
        <v>10064</v>
      </c>
      <c r="C4736" s="8" t="s">
        <v>11087</v>
      </c>
      <c r="D4736" s="8" t="s">
        <v>11088</v>
      </c>
      <c r="E4736" s="11" t="n">
        <v>432</v>
      </c>
      <c r="F4736" s="8" t="str">
        <f aca="false">IFERROR(INDEX(Section_Master!$D$2:$D$477,MATCH($E4736,Section_Master!$A$2:$A$477,0))&amp;"","")</f>
        <v>Not applicable - procedural provision (BNSS), no offence defined</v>
      </c>
      <c r="G4736" s="10" t="str">
        <f aca="false">IFERROR(INDEX(Section_Master!$E$2:$E$477,MATCH($E4736,Section_Master!$A$2:$A$477,0))&amp;"","")</f>
        <v>N/A</v>
      </c>
      <c r="H4736" s="10" t="str">
        <f aca="false">IFERROR(INDEX(Section_Master!$F$2:$F$477,MATCH($E4736,Section_Master!$A$2:$A$477,0))&amp;"","")</f>
        <v>N/A</v>
      </c>
      <c r="I4736" s="10" t="str">
        <f aca="false">IFERROR(INDEX(Section_Master!$G$2:$G$477,MATCH($E4736,Section_Master!$A$2:$A$477,0))&amp;"","")</f>
        <v>N/A</v>
      </c>
      <c r="J4736" s="10" t="s">
        <v>48</v>
      </c>
      <c r="K4736" s="8" t="s">
        <v>11089</v>
      </c>
    </row>
    <row r="4737" customFormat="false" ht="45.75" hidden="false" customHeight="true" outlineLevel="0" collapsed="false">
      <c r="A4737" s="10" t="s">
        <v>11090</v>
      </c>
      <c r="B4737" s="10" t="s">
        <v>10064</v>
      </c>
      <c r="C4737" s="8" t="s">
        <v>11087</v>
      </c>
      <c r="D4737" s="8" t="s">
        <v>11091</v>
      </c>
      <c r="E4737" s="11" t="n">
        <v>432</v>
      </c>
      <c r="F4737" s="8" t="str">
        <f aca="false">IFERROR(INDEX(Section_Master!$D$2:$D$477,MATCH($E4737,Section_Master!$A$2:$A$477,0))&amp;"","")</f>
        <v>Not applicable - procedural provision (BNSS), no offence defined</v>
      </c>
      <c r="G4737" s="10" t="str">
        <f aca="false">IFERROR(INDEX(Section_Master!$E$2:$E$477,MATCH($E4737,Section_Master!$A$2:$A$477,0))&amp;"","")</f>
        <v>N/A</v>
      </c>
      <c r="H4737" s="10" t="str">
        <f aca="false">IFERROR(INDEX(Section_Master!$F$2:$F$477,MATCH($E4737,Section_Master!$A$2:$A$477,0))&amp;"","")</f>
        <v>N/A</v>
      </c>
      <c r="I4737" s="10" t="str">
        <f aca="false">IFERROR(INDEX(Section_Master!$G$2:$G$477,MATCH($E4737,Section_Master!$A$2:$A$477,0))&amp;"","")</f>
        <v>N/A</v>
      </c>
      <c r="J4737" s="10" t="s">
        <v>52</v>
      </c>
      <c r="K4737" s="8" t="s">
        <v>11089</v>
      </c>
    </row>
    <row r="4738" customFormat="false" ht="34.5" hidden="false" customHeight="true" outlineLevel="0" collapsed="false">
      <c r="A4738" s="10" t="s">
        <v>11092</v>
      </c>
      <c r="B4738" s="10" t="s">
        <v>10064</v>
      </c>
      <c r="C4738" s="8" t="s">
        <v>11087</v>
      </c>
      <c r="D4738" s="8" t="s">
        <v>11093</v>
      </c>
      <c r="E4738" s="11" t="n">
        <v>432</v>
      </c>
      <c r="F4738" s="8" t="str">
        <f aca="false">IFERROR(INDEX(Section_Master!$D$2:$D$477,MATCH($E4738,Section_Master!$A$2:$A$477,0))&amp;"","")</f>
        <v>Not applicable - procedural provision (BNSS), no offence defined</v>
      </c>
      <c r="G4738" s="10" t="str">
        <f aca="false">IFERROR(INDEX(Section_Master!$E$2:$E$477,MATCH($E4738,Section_Master!$A$2:$A$477,0))&amp;"","")</f>
        <v>N/A</v>
      </c>
      <c r="H4738" s="10" t="str">
        <f aca="false">IFERROR(INDEX(Section_Master!$F$2:$F$477,MATCH($E4738,Section_Master!$A$2:$A$477,0))&amp;"","")</f>
        <v>N/A</v>
      </c>
      <c r="I4738" s="10" t="str">
        <f aca="false">IFERROR(INDEX(Section_Master!$G$2:$G$477,MATCH($E4738,Section_Master!$A$2:$A$477,0))&amp;"","")</f>
        <v>N/A</v>
      </c>
      <c r="J4738" s="10" t="s">
        <v>55</v>
      </c>
      <c r="K4738" s="8" t="s">
        <v>11089</v>
      </c>
    </row>
    <row r="4739" customFormat="false" ht="23.25" hidden="false" customHeight="true" outlineLevel="0" collapsed="false">
      <c r="A4739" s="10" t="s">
        <v>11094</v>
      </c>
      <c r="B4739" s="10" t="s">
        <v>10064</v>
      </c>
      <c r="C4739" s="8" t="s">
        <v>11087</v>
      </c>
      <c r="D4739" s="8" t="s">
        <v>11095</v>
      </c>
      <c r="E4739" s="11" t="n">
        <v>432</v>
      </c>
      <c r="F4739" s="8" t="str">
        <f aca="false">IFERROR(INDEX(Section_Master!$D$2:$D$477,MATCH($E4739,Section_Master!$A$2:$A$477,0))&amp;"","")</f>
        <v>Not applicable - procedural provision (BNSS), no offence defined</v>
      </c>
      <c r="G4739" s="10" t="str">
        <f aca="false">IFERROR(INDEX(Section_Master!$E$2:$E$477,MATCH($E4739,Section_Master!$A$2:$A$477,0))&amp;"","")</f>
        <v>N/A</v>
      </c>
      <c r="H4739" s="10" t="str">
        <f aca="false">IFERROR(INDEX(Section_Master!$F$2:$F$477,MATCH($E4739,Section_Master!$A$2:$A$477,0))&amp;"","")</f>
        <v>N/A</v>
      </c>
      <c r="I4739" s="10" t="str">
        <f aca="false">IFERROR(INDEX(Section_Master!$G$2:$G$477,MATCH($E4739,Section_Master!$A$2:$A$477,0))&amp;"","")</f>
        <v>N/A</v>
      </c>
      <c r="J4739" s="10" t="s">
        <v>58</v>
      </c>
      <c r="K4739" s="8" t="s">
        <v>11089</v>
      </c>
    </row>
    <row r="4740" customFormat="false" ht="34.5" hidden="false" customHeight="true" outlineLevel="0" collapsed="false">
      <c r="A4740" s="10" t="s">
        <v>11096</v>
      </c>
      <c r="B4740" s="10" t="s">
        <v>10064</v>
      </c>
      <c r="C4740" s="8" t="s">
        <v>11087</v>
      </c>
      <c r="D4740" s="8" t="s">
        <v>11097</v>
      </c>
      <c r="E4740" s="11" t="n">
        <v>432</v>
      </c>
      <c r="F4740" s="8" t="str">
        <f aca="false">IFERROR(INDEX(Section_Master!$D$2:$D$477,MATCH($E4740,Section_Master!$A$2:$A$477,0))&amp;"","")</f>
        <v>Not applicable - procedural provision (BNSS), no offence defined</v>
      </c>
      <c r="G4740" s="10" t="str">
        <f aca="false">IFERROR(INDEX(Section_Master!$E$2:$E$477,MATCH($E4740,Section_Master!$A$2:$A$477,0))&amp;"","")</f>
        <v>N/A</v>
      </c>
      <c r="H4740" s="10" t="str">
        <f aca="false">IFERROR(INDEX(Section_Master!$F$2:$F$477,MATCH($E4740,Section_Master!$A$2:$A$477,0))&amp;"","")</f>
        <v>N/A</v>
      </c>
      <c r="I4740" s="10" t="str">
        <f aca="false">IFERROR(INDEX(Section_Master!$G$2:$G$477,MATCH($E4740,Section_Master!$A$2:$A$477,0))&amp;"","")</f>
        <v>N/A</v>
      </c>
      <c r="J4740" s="10" t="s">
        <v>61</v>
      </c>
      <c r="K4740" s="8" t="s">
        <v>11089</v>
      </c>
    </row>
    <row r="4741" customFormat="false" ht="45.75" hidden="false" customHeight="true" outlineLevel="0" collapsed="false">
      <c r="A4741" s="10" t="s">
        <v>11098</v>
      </c>
      <c r="B4741" s="10" t="s">
        <v>10064</v>
      </c>
      <c r="C4741" s="8" t="s">
        <v>11087</v>
      </c>
      <c r="D4741" s="8" t="s">
        <v>11099</v>
      </c>
      <c r="E4741" s="11" t="n">
        <v>432</v>
      </c>
      <c r="F4741" s="8" t="str">
        <f aca="false">IFERROR(INDEX(Section_Master!$D$2:$D$477,MATCH($E4741,Section_Master!$A$2:$A$477,0))&amp;"","")</f>
        <v>Not applicable - procedural provision (BNSS), no offence defined</v>
      </c>
      <c r="G4741" s="10" t="str">
        <f aca="false">IFERROR(INDEX(Section_Master!$E$2:$E$477,MATCH($E4741,Section_Master!$A$2:$A$477,0))&amp;"","")</f>
        <v>N/A</v>
      </c>
      <c r="H4741" s="10" t="str">
        <f aca="false">IFERROR(INDEX(Section_Master!$F$2:$F$477,MATCH($E4741,Section_Master!$A$2:$A$477,0))&amp;"","")</f>
        <v>N/A</v>
      </c>
      <c r="I4741" s="10" t="str">
        <f aca="false">IFERROR(INDEX(Section_Master!$G$2:$G$477,MATCH($E4741,Section_Master!$A$2:$A$477,0))&amp;"","")</f>
        <v>N/A</v>
      </c>
      <c r="J4741" s="10" t="s">
        <v>64</v>
      </c>
      <c r="K4741" s="8" t="s">
        <v>11089</v>
      </c>
    </row>
    <row r="4742" customFormat="false" ht="34.5" hidden="false" customHeight="true" outlineLevel="0" collapsed="false">
      <c r="A4742" s="10" t="s">
        <v>11100</v>
      </c>
      <c r="B4742" s="10" t="s">
        <v>10064</v>
      </c>
      <c r="C4742" s="8" t="s">
        <v>11101</v>
      </c>
      <c r="D4742" s="8" t="s">
        <v>11102</v>
      </c>
      <c r="E4742" s="11" t="n">
        <v>433</v>
      </c>
      <c r="F4742" s="8" t="str">
        <f aca="false">IFERROR(INDEX(Section_Master!$D$2:$D$477,MATCH($E4742,Section_Master!$A$2:$A$477,0))&amp;"","")</f>
        <v>Not applicable - procedural provision (BNSS), no offence defined</v>
      </c>
      <c r="G4742" s="10" t="str">
        <f aca="false">IFERROR(INDEX(Section_Master!$E$2:$E$477,MATCH($E4742,Section_Master!$A$2:$A$477,0))&amp;"","")</f>
        <v>N/A</v>
      </c>
      <c r="H4742" s="10" t="str">
        <f aca="false">IFERROR(INDEX(Section_Master!$F$2:$F$477,MATCH($E4742,Section_Master!$A$2:$A$477,0))&amp;"","")</f>
        <v>N/A</v>
      </c>
      <c r="I4742" s="10" t="str">
        <f aca="false">IFERROR(INDEX(Section_Master!$G$2:$G$477,MATCH($E4742,Section_Master!$A$2:$A$477,0))&amp;"","")</f>
        <v>N/A</v>
      </c>
      <c r="J4742" s="10" t="s">
        <v>48</v>
      </c>
      <c r="K4742" s="8" t="s">
        <v>11103</v>
      </c>
    </row>
    <row r="4743" customFormat="false" ht="45.75" hidden="false" customHeight="true" outlineLevel="0" collapsed="false">
      <c r="A4743" s="10" t="s">
        <v>11104</v>
      </c>
      <c r="B4743" s="10" t="s">
        <v>10064</v>
      </c>
      <c r="C4743" s="8" t="s">
        <v>11101</v>
      </c>
      <c r="D4743" s="8" t="s">
        <v>11105</v>
      </c>
      <c r="E4743" s="11" t="n">
        <v>433</v>
      </c>
      <c r="F4743" s="8" t="str">
        <f aca="false">IFERROR(INDEX(Section_Master!$D$2:$D$477,MATCH($E4743,Section_Master!$A$2:$A$477,0))&amp;"","")</f>
        <v>Not applicable - procedural provision (BNSS), no offence defined</v>
      </c>
      <c r="G4743" s="10" t="str">
        <f aca="false">IFERROR(INDEX(Section_Master!$E$2:$E$477,MATCH($E4743,Section_Master!$A$2:$A$477,0))&amp;"","")</f>
        <v>N/A</v>
      </c>
      <c r="H4743" s="10" t="str">
        <f aca="false">IFERROR(INDEX(Section_Master!$F$2:$F$477,MATCH($E4743,Section_Master!$A$2:$A$477,0))&amp;"","")</f>
        <v>N/A</v>
      </c>
      <c r="I4743" s="10" t="str">
        <f aca="false">IFERROR(INDEX(Section_Master!$G$2:$G$477,MATCH($E4743,Section_Master!$A$2:$A$477,0))&amp;"","")</f>
        <v>N/A</v>
      </c>
      <c r="J4743" s="10" t="s">
        <v>52</v>
      </c>
      <c r="K4743" s="8" t="s">
        <v>11103</v>
      </c>
    </row>
    <row r="4744" customFormat="false" ht="34.5" hidden="false" customHeight="true" outlineLevel="0" collapsed="false">
      <c r="A4744" s="10" t="s">
        <v>11106</v>
      </c>
      <c r="B4744" s="10" t="s">
        <v>10064</v>
      </c>
      <c r="C4744" s="8" t="s">
        <v>11101</v>
      </c>
      <c r="D4744" s="8" t="s">
        <v>11107</v>
      </c>
      <c r="E4744" s="11" t="n">
        <v>433</v>
      </c>
      <c r="F4744" s="8" t="str">
        <f aca="false">IFERROR(INDEX(Section_Master!$D$2:$D$477,MATCH($E4744,Section_Master!$A$2:$A$477,0))&amp;"","")</f>
        <v>Not applicable - procedural provision (BNSS), no offence defined</v>
      </c>
      <c r="G4744" s="10" t="str">
        <f aca="false">IFERROR(INDEX(Section_Master!$E$2:$E$477,MATCH($E4744,Section_Master!$A$2:$A$477,0))&amp;"","")</f>
        <v>N/A</v>
      </c>
      <c r="H4744" s="10" t="str">
        <f aca="false">IFERROR(INDEX(Section_Master!$F$2:$F$477,MATCH($E4744,Section_Master!$A$2:$A$477,0))&amp;"","")</f>
        <v>N/A</v>
      </c>
      <c r="I4744" s="10" t="str">
        <f aca="false">IFERROR(INDEX(Section_Master!$G$2:$G$477,MATCH($E4744,Section_Master!$A$2:$A$477,0))&amp;"","")</f>
        <v>N/A</v>
      </c>
      <c r="J4744" s="10" t="s">
        <v>55</v>
      </c>
      <c r="K4744" s="8" t="s">
        <v>11103</v>
      </c>
    </row>
    <row r="4745" customFormat="false" ht="23.25" hidden="false" customHeight="true" outlineLevel="0" collapsed="false">
      <c r="A4745" s="10" t="s">
        <v>11108</v>
      </c>
      <c r="B4745" s="10" t="s">
        <v>10064</v>
      </c>
      <c r="C4745" s="8" t="s">
        <v>11101</v>
      </c>
      <c r="D4745" s="8" t="s">
        <v>11109</v>
      </c>
      <c r="E4745" s="11" t="n">
        <v>433</v>
      </c>
      <c r="F4745" s="8" t="str">
        <f aca="false">IFERROR(INDEX(Section_Master!$D$2:$D$477,MATCH($E4745,Section_Master!$A$2:$A$477,0))&amp;"","")</f>
        <v>Not applicable - procedural provision (BNSS), no offence defined</v>
      </c>
      <c r="G4745" s="10" t="str">
        <f aca="false">IFERROR(INDEX(Section_Master!$E$2:$E$477,MATCH($E4745,Section_Master!$A$2:$A$477,0))&amp;"","")</f>
        <v>N/A</v>
      </c>
      <c r="H4745" s="10" t="str">
        <f aca="false">IFERROR(INDEX(Section_Master!$F$2:$F$477,MATCH($E4745,Section_Master!$A$2:$A$477,0))&amp;"","")</f>
        <v>N/A</v>
      </c>
      <c r="I4745" s="10" t="str">
        <f aca="false">IFERROR(INDEX(Section_Master!$G$2:$G$477,MATCH($E4745,Section_Master!$A$2:$A$477,0))&amp;"","")</f>
        <v>N/A</v>
      </c>
      <c r="J4745" s="10" t="s">
        <v>58</v>
      </c>
      <c r="K4745" s="8" t="s">
        <v>11103</v>
      </c>
    </row>
    <row r="4746" customFormat="false" ht="34.5" hidden="false" customHeight="true" outlineLevel="0" collapsed="false">
      <c r="A4746" s="10" t="s">
        <v>11110</v>
      </c>
      <c r="B4746" s="10" t="s">
        <v>10064</v>
      </c>
      <c r="C4746" s="8" t="s">
        <v>11101</v>
      </c>
      <c r="D4746" s="8" t="s">
        <v>11111</v>
      </c>
      <c r="E4746" s="11" t="n">
        <v>433</v>
      </c>
      <c r="F4746" s="8" t="str">
        <f aca="false">IFERROR(INDEX(Section_Master!$D$2:$D$477,MATCH($E4746,Section_Master!$A$2:$A$477,0))&amp;"","")</f>
        <v>Not applicable - procedural provision (BNSS), no offence defined</v>
      </c>
      <c r="G4746" s="10" t="str">
        <f aca="false">IFERROR(INDEX(Section_Master!$E$2:$E$477,MATCH($E4746,Section_Master!$A$2:$A$477,0))&amp;"","")</f>
        <v>N/A</v>
      </c>
      <c r="H4746" s="10" t="str">
        <f aca="false">IFERROR(INDEX(Section_Master!$F$2:$F$477,MATCH($E4746,Section_Master!$A$2:$A$477,0))&amp;"","")</f>
        <v>N/A</v>
      </c>
      <c r="I4746" s="10" t="str">
        <f aca="false">IFERROR(INDEX(Section_Master!$G$2:$G$477,MATCH($E4746,Section_Master!$A$2:$A$477,0))&amp;"","")</f>
        <v>N/A</v>
      </c>
      <c r="J4746" s="10" t="s">
        <v>61</v>
      </c>
      <c r="K4746" s="8" t="s">
        <v>11103</v>
      </c>
    </row>
    <row r="4747" customFormat="false" ht="45.75" hidden="false" customHeight="true" outlineLevel="0" collapsed="false">
      <c r="A4747" s="10" t="s">
        <v>11112</v>
      </c>
      <c r="B4747" s="10" t="s">
        <v>10064</v>
      </c>
      <c r="C4747" s="8" t="s">
        <v>11101</v>
      </c>
      <c r="D4747" s="8" t="s">
        <v>11113</v>
      </c>
      <c r="E4747" s="11" t="n">
        <v>433</v>
      </c>
      <c r="F4747" s="8" t="str">
        <f aca="false">IFERROR(INDEX(Section_Master!$D$2:$D$477,MATCH($E4747,Section_Master!$A$2:$A$477,0))&amp;"","")</f>
        <v>Not applicable - procedural provision (BNSS), no offence defined</v>
      </c>
      <c r="G4747" s="10" t="str">
        <f aca="false">IFERROR(INDEX(Section_Master!$E$2:$E$477,MATCH($E4747,Section_Master!$A$2:$A$477,0))&amp;"","")</f>
        <v>N/A</v>
      </c>
      <c r="H4747" s="10" t="str">
        <f aca="false">IFERROR(INDEX(Section_Master!$F$2:$F$477,MATCH($E4747,Section_Master!$A$2:$A$477,0))&amp;"","")</f>
        <v>N/A</v>
      </c>
      <c r="I4747" s="10" t="str">
        <f aca="false">IFERROR(INDEX(Section_Master!$G$2:$G$477,MATCH($E4747,Section_Master!$A$2:$A$477,0))&amp;"","")</f>
        <v>N/A</v>
      </c>
      <c r="J4747" s="10" t="s">
        <v>64</v>
      </c>
      <c r="K4747" s="8" t="s">
        <v>11103</v>
      </c>
    </row>
    <row r="4748" customFormat="false" ht="23.25" hidden="false" customHeight="true" outlineLevel="0" collapsed="false">
      <c r="A4748" s="10" t="s">
        <v>11114</v>
      </c>
      <c r="B4748" s="10" t="s">
        <v>10064</v>
      </c>
      <c r="C4748" s="8" t="s">
        <v>11115</v>
      </c>
      <c r="D4748" s="8" t="s">
        <v>11116</v>
      </c>
      <c r="E4748" s="11" t="n">
        <v>434</v>
      </c>
      <c r="F4748" s="8" t="str">
        <f aca="false">IFERROR(INDEX(Section_Master!$D$2:$D$477,MATCH($E4748,Section_Master!$A$2:$A$477,0))&amp;"","")</f>
        <v>Not applicable - procedural provision (BNSS), no offence defined</v>
      </c>
      <c r="G4748" s="10" t="str">
        <f aca="false">IFERROR(INDEX(Section_Master!$E$2:$E$477,MATCH($E4748,Section_Master!$A$2:$A$477,0))&amp;"","")</f>
        <v>N/A</v>
      </c>
      <c r="H4748" s="10" t="str">
        <f aca="false">IFERROR(INDEX(Section_Master!$F$2:$F$477,MATCH($E4748,Section_Master!$A$2:$A$477,0))&amp;"","")</f>
        <v>N/A</v>
      </c>
      <c r="I4748" s="10" t="str">
        <f aca="false">IFERROR(INDEX(Section_Master!$G$2:$G$477,MATCH($E4748,Section_Master!$A$2:$A$477,0))&amp;"","")</f>
        <v>N/A</v>
      </c>
      <c r="J4748" s="10" t="s">
        <v>48</v>
      </c>
      <c r="K4748" s="8" t="s">
        <v>11117</v>
      </c>
    </row>
    <row r="4749" customFormat="false" ht="57" hidden="false" customHeight="true" outlineLevel="0" collapsed="false">
      <c r="A4749" s="10" t="s">
        <v>11118</v>
      </c>
      <c r="B4749" s="10" t="s">
        <v>10064</v>
      </c>
      <c r="C4749" s="8" t="s">
        <v>11115</v>
      </c>
      <c r="D4749" s="8" t="s">
        <v>11119</v>
      </c>
      <c r="E4749" s="11" t="n">
        <v>434</v>
      </c>
      <c r="F4749" s="8" t="str">
        <f aca="false">IFERROR(INDEX(Section_Master!$D$2:$D$477,MATCH($E4749,Section_Master!$A$2:$A$477,0))&amp;"","")</f>
        <v>Not applicable - procedural provision (BNSS), no offence defined</v>
      </c>
      <c r="G4749" s="10" t="str">
        <f aca="false">IFERROR(INDEX(Section_Master!$E$2:$E$477,MATCH($E4749,Section_Master!$A$2:$A$477,0))&amp;"","")</f>
        <v>N/A</v>
      </c>
      <c r="H4749" s="10" t="str">
        <f aca="false">IFERROR(INDEX(Section_Master!$F$2:$F$477,MATCH($E4749,Section_Master!$A$2:$A$477,0))&amp;"","")</f>
        <v>N/A</v>
      </c>
      <c r="I4749" s="10" t="str">
        <f aca="false">IFERROR(INDEX(Section_Master!$G$2:$G$477,MATCH($E4749,Section_Master!$A$2:$A$477,0))&amp;"","")</f>
        <v>N/A</v>
      </c>
      <c r="J4749" s="10" t="s">
        <v>52</v>
      </c>
      <c r="K4749" s="8" t="s">
        <v>11117</v>
      </c>
    </row>
    <row r="4750" customFormat="false" ht="45.75" hidden="false" customHeight="true" outlineLevel="0" collapsed="false">
      <c r="A4750" s="10" t="s">
        <v>11120</v>
      </c>
      <c r="B4750" s="10" t="s">
        <v>10064</v>
      </c>
      <c r="C4750" s="8" t="s">
        <v>11115</v>
      </c>
      <c r="D4750" s="8" t="s">
        <v>11121</v>
      </c>
      <c r="E4750" s="11" t="n">
        <v>434</v>
      </c>
      <c r="F4750" s="8" t="str">
        <f aca="false">IFERROR(INDEX(Section_Master!$D$2:$D$477,MATCH($E4750,Section_Master!$A$2:$A$477,0))&amp;"","")</f>
        <v>Not applicable - procedural provision (BNSS), no offence defined</v>
      </c>
      <c r="G4750" s="10" t="str">
        <f aca="false">IFERROR(INDEX(Section_Master!$E$2:$E$477,MATCH($E4750,Section_Master!$A$2:$A$477,0))&amp;"","")</f>
        <v>N/A</v>
      </c>
      <c r="H4750" s="10" t="str">
        <f aca="false">IFERROR(INDEX(Section_Master!$F$2:$F$477,MATCH($E4750,Section_Master!$A$2:$A$477,0))&amp;"","")</f>
        <v>N/A</v>
      </c>
      <c r="I4750" s="10" t="str">
        <f aca="false">IFERROR(INDEX(Section_Master!$G$2:$G$477,MATCH($E4750,Section_Master!$A$2:$A$477,0))&amp;"","")</f>
        <v>N/A</v>
      </c>
      <c r="J4750" s="10" t="s">
        <v>55</v>
      </c>
      <c r="K4750" s="8" t="s">
        <v>11117</v>
      </c>
    </row>
    <row r="4751" customFormat="false" ht="23.25" hidden="false" customHeight="true" outlineLevel="0" collapsed="false">
      <c r="A4751" s="10" t="s">
        <v>11122</v>
      </c>
      <c r="B4751" s="10" t="s">
        <v>10064</v>
      </c>
      <c r="C4751" s="8" t="s">
        <v>11115</v>
      </c>
      <c r="D4751" s="8" t="s">
        <v>11123</v>
      </c>
      <c r="E4751" s="11" t="n">
        <v>434</v>
      </c>
      <c r="F4751" s="8" t="str">
        <f aca="false">IFERROR(INDEX(Section_Master!$D$2:$D$477,MATCH($E4751,Section_Master!$A$2:$A$477,0))&amp;"","")</f>
        <v>Not applicable - procedural provision (BNSS), no offence defined</v>
      </c>
      <c r="G4751" s="10" t="str">
        <f aca="false">IFERROR(INDEX(Section_Master!$E$2:$E$477,MATCH($E4751,Section_Master!$A$2:$A$477,0))&amp;"","")</f>
        <v>N/A</v>
      </c>
      <c r="H4751" s="10" t="str">
        <f aca="false">IFERROR(INDEX(Section_Master!$F$2:$F$477,MATCH($E4751,Section_Master!$A$2:$A$477,0))&amp;"","")</f>
        <v>N/A</v>
      </c>
      <c r="I4751" s="10" t="str">
        <f aca="false">IFERROR(INDEX(Section_Master!$G$2:$G$477,MATCH($E4751,Section_Master!$A$2:$A$477,0))&amp;"","")</f>
        <v>N/A</v>
      </c>
      <c r="J4751" s="10" t="s">
        <v>58</v>
      </c>
      <c r="K4751" s="8" t="s">
        <v>11117</v>
      </c>
    </row>
    <row r="4752" customFormat="false" ht="34.5" hidden="false" customHeight="true" outlineLevel="0" collapsed="false">
      <c r="A4752" s="10" t="s">
        <v>11124</v>
      </c>
      <c r="B4752" s="10" t="s">
        <v>10064</v>
      </c>
      <c r="C4752" s="8" t="s">
        <v>11115</v>
      </c>
      <c r="D4752" s="8" t="s">
        <v>11125</v>
      </c>
      <c r="E4752" s="11" t="n">
        <v>434</v>
      </c>
      <c r="F4752" s="8" t="str">
        <f aca="false">IFERROR(INDEX(Section_Master!$D$2:$D$477,MATCH($E4752,Section_Master!$A$2:$A$477,0))&amp;"","")</f>
        <v>Not applicable - procedural provision (BNSS), no offence defined</v>
      </c>
      <c r="G4752" s="10" t="str">
        <f aca="false">IFERROR(INDEX(Section_Master!$E$2:$E$477,MATCH($E4752,Section_Master!$A$2:$A$477,0))&amp;"","")</f>
        <v>N/A</v>
      </c>
      <c r="H4752" s="10" t="str">
        <f aca="false">IFERROR(INDEX(Section_Master!$F$2:$F$477,MATCH($E4752,Section_Master!$A$2:$A$477,0))&amp;"","")</f>
        <v>N/A</v>
      </c>
      <c r="I4752" s="10" t="str">
        <f aca="false">IFERROR(INDEX(Section_Master!$G$2:$G$477,MATCH($E4752,Section_Master!$A$2:$A$477,0))&amp;"","")</f>
        <v>N/A</v>
      </c>
      <c r="J4752" s="10" t="s">
        <v>61</v>
      </c>
      <c r="K4752" s="8" t="s">
        <v>11117</v>
      </c>
    </row>
    <row r="4753" customFormat="false" ht="45.75" hidden="false" customHeight="true" outlineLevel="0" collapsed="false">
      <c r="A4753" s="10" t="s">
        <v>11126</v>
      </c>
      <c r="B4753" s="10" t="s">
        <v>10064</v>
      </c>
      <c r="C4753" s="8" t="s">
        <v>11115</v>
      </c>
      <c r="D4753" s="8" t="s">
        <v>11127</v>
      </c>
      <c r="E4753" s="11" t="n">
        <v>434</v>
      </c>
      <c r="F4753" s="8" t="str">
        <f aca="false">IFERROR(INDEX(Section_Master!$D$2:$D$477,MATCH($E4753,Section_Master!$A$2:$A$477,0))&amp;"","")</f>
        <v>Not applicable - procedural provision (BNSS), no offence defined</v>
      </c>
      <c r="G4753" s="10" t="str">
        <f aca="false">IFERROR(INDEX(Section_Master!$E$2:$E$477,MATCH($E4753,Section_Master!$A$2:$A$477,0))&amp;"","")</f>
        <v>N/A</v>
      </c>
      <c r="H4753" s="10" t="str">
        <f aca="false">IFERROR(INDEX(Section_Master!$F$2:$F$477,MATCH($E4753,Section_Master!$A$2:$A$477,0))&amp;"","")</f>
        <v>N/A</v>
      </c>
      <c r="I4753" s="10" t="str">
        <f aca="false">IFERROR(INDEX(Section_Master!$G$2:$G$477,MATCH($E4753,Section_Master!$A$2:$A$477,0))&amp;"","")</f>
        <v>N/A</v>
      </c>
      <c r="J4753" s="10" t="s">
        <v>64</v>
      </c>
      <c r="K4753" s="8" t="s">
        <v>11117</v>
      </c>
    </row>
    <row r="4754" customFormat="false" ht="45.75" hidden="false" customHeight="true" outlineLevel="0" collapsed="false">
      <c r="A4754" s="10" t="s">
        <v>11128</v>
      </c>
      <c r="B4754" s="10" t="s">
        <v>10064</v>
      </c>
      <c r="C4754" s="8" t="s">
        <v>11129</v>
      </c>
      <c r="D4754" s="8" t="s">
        <v>11130</v>
      </c>
      <c r="E4754" s="11" t="n">
        <v>435</v>
      </c>
      <c r="F4754" s="8" t="str">
        <f aca="false">IFERROR(INDEX(Section_Master!$D$2:$D$477,MATCH($E4754,Section_Master!$A$2:$A$477,0))&amp;"","")</f>
        <v>Not applicable - procedural provision (BNSS), no offence defined</v>
      </c>
      <c r="G4754" s="10" t="str">
        <f aca="false">IFERROR(INDEX(Section_Master!$E$2:$E$477,MATCH($E4754,Section_Master!$A$2:$A$477,0))&amp;"","")</f>
        <v>N/A</v>
      </c>
      <c r="H4754" s="10" t="str">
        <f aca="false">IFERROR(INDEX(Section_Master!$F$2:$F$477,MATCH($E4754,Section_Master!$A$2:$A$477,0))&amp;"","")</f>
        <v>N/A</v>
      </c>
      <c r="I4754" s="10" t="str">
        <f aca="false">IFERROR(INDEX(Section_Master!$G$2:$G$477,MATCH($E4754,Section_Master!$A$2:$A$477,0))&amp;"","")</f>
        <v>N/A</v>
      </c>
      <c r="J4754" s="10" t="s">
        <v>48</v>
      </c>
      <c r="K4754" s="8" t="s">
        <v>11131</v>
      </c>
    </row>
    <row r="4755" customFormat="false" ht="45.75" hidden="false" customHeight="true" outlineLevel="0" collapsed="false">
      <c r="A4755" s="10" t="s">
        <v>11132</v>
      </c>
      <c r="B4755" s="10" t="s">
        <v>10064</v>
      </c>
      <c r="C4755" s="8" t="s">
        <v>11129</v>
      </c>
      <c r="D4755" s="8" t="s">
        <v>11133</v>
      </c>
      <c r="E4755" s="11" t="n">
        <v>435</v>
      </c>
      <c r="F4755" s="8" t="str">
        <f aca="false">IFERROR(INDEX(Section_Master!$D$2:$D$477,MATCH($E4755,Section_Master!$A$2:$A$477,0))&amp;"","")</f>
        <v>Not applicable - procedural provision (BNSS), no offence defined</v>
      </c>
      <c r="G4755" s="10" t="str">
        <f aca="false">IFERROR(INDEX(Section_Master!$E$2:$E$477,MATCH($E4755,Section_Master!$A$2:$A$477,0))&amp;"","")</f>
        <v>N/A</v>
      </c>
      <c r="H4755" s="10" t="str">
        <f aca="false">IFERROR(INDEX(Section_Master!$F$2:$F$477,MATCH($E4755,Section_Master!$A$2:$A$477,0))&amp;"","")</f>
        <v>N/A</v>
      </c>
      <c r="I4755" s="10" t="str">
        <f aca="false">IFERROR(INDEX(Section_Master!$G$2:$G$477,MATCH($E4755,Section_Master!$A$2:$A$477,0))&amp;"","")</f>
        <v>N/A</v>
      </c>
      <c r="J4755" s="10" t="s">
        <v>52</v>
      </c>
      <c r="K4755" s="8" t="s">
        <v>11131</v>
      </c>
    </row>
    <row r="4756" customFormat="false" ht="34.5" hidden="false" customHeight="true" outlineLevel="0" collapsed="false">
      <c r="A4756" s="10" t="s">
        <v>11134</v>
      </c>
      <c r="B4756" s="10" t="s">
        <v>10064</v>
      </c>
      <c r="C4756" s="8" t="s">
        <v>11129</v>
      </c>
      <c r="D4756" s="8" t="s">
        <v>11135</v>
      </c>
      <c r="E4756" s="11" t="n">
        <v>435</v>
      </c>
      <c r="F4756" s="8" t="str">
        <f aca="false">IFERROR(INDEX(Section_Master!$D$2:$D$477,MATCH($E4756,Section_Master!$A$2:$A$477,0))&amp;"","")</f>
        <v>Not applicable - procedural provision (BNSS), no offence defined</v>
      </c>
      <c r="G4756" s="10" t="str">
        <f aca="false">IFERROR(INDEX(Section_Master!$E$2:$E$477,MATCH($E4756,Section_Master!$A$2:$A$477,0))&amp;"","")</f>
        <v>N/A</v>
      </c>
      <c r="H4756" s="10" t="str">
        <f aca="false">IFERROR(INDEX(Section_Master!$F$2:$F$477,MATCH($E4756,Section_Master!$A$2:$A$477,0))&amp;"","")</f>
        <v>N/A</v>
      </c>
      <c r="I4756" s="10" t="str">
        <f aca="false">IFERROR(INDEX(Section_Master!$G$2:$G$477,MATCH($E4756,Section_Master!$A$2:$A$477,0))&amp;"","")</f>
        <v>N/A</v>
      </c>
      <c r="J4756" s="10" t="s">
        <v>55</v>
      </c>
      <c r="K4756" s="8" t="s">
        <v>11131</v>
      </c>
    </row>
    <row r="4757" customFormat="false" ht="23.25" hidden="false" customHeight="true" outlineLevel="0" collapsed="false">
      <c r="A4757" s="10" t="s">
        <v>11136</v>
      </c>
      <c r="B4757" s="10" t="s">
        <v>10064</v>
      </c>
      <c r="C4757" s="8" t="s">
        <v>11129</v>
      </c>
      <c r="D4757" s="8" t="s">
        <v>11137</v>
      </c>
      <c r="E4757" s="11" t="n">
        <v>435</v>
      </c>
      <c r="F4757" s="8" t="str">
        <f aca="false">IFERROR(INDEX(Section_Master!$D$2:$D$477,MATCH($E4757,Section_Master!$A$2:$A$477,0))&amp;"","")</f>
        <v>Not applicable - procedural provision (BNSS), no offence defined</v>
      </c>
      <c r="G4757" s="10" t="str">
        <f aca="false">IFERROR(INDEX(Section_Master!$E$2:$E$477,MATCH($E4757,Section_Master!$A$2:$A$477,0))&amp;"","")</f>
        <v>N/A</v>
      </c>
      <c r="H4757" s="10" t="str">
        <f aca="false">IFERROR(INDEX(Section_Master!$F$2:$F$477,MATCH($E4757,Section_Master!$A$2:$A$477,0))&amp;"","")</f>
        <v>N/A</v>
      </c>
      <c r="I4757" s="10" t="str">
        <f aca="false">IFERROR(INDEX(Section_Master!$G$2:$G$477,MATCH($E4757,Section_Master!$A$2:$A$477,0))&amp;"","")</f>
        <v>N/A</v>
      </c>
      <c r="J4757" s="10" t="s">
        <v>58</v>
      </c>
      <c r="K4757" s="8" t="s">
        <v>11131</v>
      </c>
    </row>
    <row r="4758" customFormat="false" ht="45.75" hidden="false" customHeight="true" outlineLevel="0" collapsed="false">
      <c r="A4758" s="10" t="s">
        <v>11138</v>
      </c>
      <c r="B4758" s="10" t="s">
        <v>10064</v>
      </c>
      <c r="C4758" s="8" t="s">
        <v>11129</v>
      </c>
      <c r="D4758" s="8" t="s">
        <v>11139</v>
      </c>
      <c r="E4758" s="11" t="n">
        <v>435</v>
      </c>
      <c r="F4758" s="8" t="str">
        <f aca="false">IFERROR(INDEX(Section_Master!$D$2:$D$477,MATCH($E4758,Section_Master!$A$2:$A$477,0))&amp;"","")</f>
        <v>Not applicable - procedural provision (BNSS), no offence defined</v>
      </c>
      <c r="G4758" s="10" t="str">
        <f aca="false">IFERROR(INDEX(Section_Master!$E$2:$E$477,MATCH($E4758,Section_Master!$A$2:$A$477,0))&amp;"","")</f>
        <v>N/A</v>
      </c>
      <c r="H4758" s="10" t="str">
        <f aca="false">IFERROR(INDEX(Section_Master!$F$2:$F$477,MATCH($E4758,Section_Master!$A$2:$A$477,0))&amp;"","")</f>
        <v>N/A</v>
      </c>
      <c r="I4758" s="10" t="str">
        <f aca="false">IFERROR(INDEX(Section_Master!$G$2:$G$477,MATCH($E4758,Section_Master!$A$2:$A$477,0))&amp;"","")</f>
        <v>N/A</v>
      </c>
      <c r="J4758" s="10" t="s">
        <v>61</v>
      </c>
      <c r="K4758" s="8" t="s">
        <v>11131</v>
      </c>
    </row>
    <row r="4759" customFormat="false" ht="45.75" hidden="false" customHeight="true" outlineLevel="0" collapsed="false">
      <c r="A4759" s="10" t="s">
        <v>11140</v>
      </c>
      <c r="B4759" s="10" t="s">
        <v>10064</v>
      </c>
      <c r="C4759" s="8" t="s">
        <v>11129</v>
      </c>
      <c r="D4759" s="8" t="s">
        <v>11141</v>
      </c>
      <c r="E4759" s="11" t="n">
        <v>435</v>
      </c>
      <c r="F4759" s="8" t="str">
        <f aca="false">IFERROR(INDEX(Section_Master!$D$2:$D$477,MATCH($E4759,Section_Master!$A$2:$A$477,0))&amp;"","")</f>
        <v>Not applicable - procedural provision (BNSS), no offence defined</v>
      </c>
      <c r="G4759" s="10" t="str">
        <f aca="false">IFERROR(INDEX(Section_Master!$E$2:$E$477,MATCH($E4759,Section_Master!$A$2:$A$477,0))&amp;"","")</f>
        <v>N/A</v>
      </c>
      <c r="H4759" s="10" t="str">
        <f aca="false">IFERROR(INDEX(Section_Master!$F$2:$F$477,MATCH($E4759,Section_Master!$A$2:$A$477,0))&amp;"","")</f>
        <v>N/A</v>
      </c>
      <c r="I4759" s="10" t="str">
        <f aca="false">IFERROR(INDEX(Section_Master!$G$2:$G$477,MATCH($E4759,Section_Master!$A$2:$A$477,0))&amp;"","")</f>
        <v>N/A</v>
      </c>
      <c r="J4759" s="10" t="s">
        <v>64</v>
      </c>
      <c r="K4759" s="8" t="s">
        <v>11131</v>
      </c>
    </row>
    <row r="4760" customFormat="false" ht="34.5" hidden="false" customHeight="true" outlineLevel="0" collapsed="false">
      <c r="A4760" s="10" t="s">
        <v>11142</v>
      </c>
      <c r="B4760" s="10" t="s">
        <v>10064</v>
      </c>
      <c r="C4760" s="8" t="s">
        <v>11143</v>
      </c>
      <c r="D4760" s="8" t="s">
        <v>11144</v>
      </c>
      <c r="E4760" s="11" t="n">
        <v>436</v>
      </c>
      <c r="F4760" s="8" t="str">
        <f aca="false">IFERROR(INDEX(Section_Master!$D$2:$D$477,MATCH($E4760,Section_Master!$A$2:$A$477,0))&amp;"","")</f>
        <v>Not applicable - procedural provision (BNSS), no offence defined</v>
      </c>
      <c r="G4760" s="10" t="str">
        <f aca="false">IFERROR(INDEX(Section_Master!$E$2:$E$477,MATCH($E4760,Section_Master!$A$2:$A$477,0))&amp;"","")</f>
        <v>N/A</v>
      </c>
      <c r="H4760" s="10" t="str">
        <f aca="false">IFERROR(INDEX(Section_Master!$F$2:$F$477,MATCH($E4760,Section_Master!$A$2:$A$477,0))&amp;"","")</f>
        <v>N/A</v>
      </c>
      <c r="I4760" s="10" t="str">
        <f aca="false">IFERROR(INDEX(Section_Master!$G$2:$G$477,MATCH($E4760,Section_Master!$A$2:$A$477,0))&amp;"","")</f>
        <v>N/A</v>
      </c>
      <c r="J4760" s="10" t="s">
        <v>48</v>
      </c>
      <c r="K4760" s="8" t="s">
        <v>11145</v>
      </c>
    </row>
    <row r="4761" customFormat="false" ht="45.75" hidden="false" customHeight="true" outlineLevel="0" collapsed="false">
      <c r="A4761" s="10" t="s">
        <v>11146</v>
      </c>
      <c r="B4761" s="10" t="s">
        <v>10064</v>
      </c>
      <c r="C4761" s="8" t="s">
        <v>11143</v>
      </c>
      <c r="D4761" s="8" t="s">
        <v>11147</v>
      </c>
      <c r="E4761" s="11" t="n">
        <v>436</v>
      </c>
      <c r="F4761" s="8" t="str">
        <f aca="false">IFERROR(INDEX(Section_Master!$D$2:$D$477,MATCH($E4761,Section_Master!$A$2:$A$477,0))&amp;"","")</f>
        <v>Not applicable - procedural provision (BNSS), no offence defined</v>
      </c>
      <c r="G4761" s="10" t="str">
        <f aca="false">IFERROR(INDEX(Section_Master!$E$2:$E$477,MATCH($E4761,Section_Master!$A$2:$A$477,0))&amp;"","")</f>
        <v>N/A</v>
      </c>
      <c r="H4761" s="10" t="str">
        <f aca="false">IFERROR(INDEX(Section_Master!$F$2:$F$477,MATCH($E4761,Section_Master!$A$2:$A$477,0))&amp;"","")</f>
        <v>N/A</v>
      </c>
      <c r="I4761" s="10" t="str">
        <f aca="false">IFERROR(INDEX(Section_Master!$G$2:$G$477,MATCH($E4761,Section_Master!$A$2:$A$477,0))&amp;"","")</f>
        <v>N/A</v>
      </c>
      <c r="J4761" s="10" t="s">
        <v>52</v>
      </c>
      <c r="K4761" s="8" t="s">
        <v>11145</v>
      </c>
    </row>
    <row r="4762" customFormat="false" ht="34.5" hidden="false" customHeight="true" outlineLevel="0" collapsed="false">
      <c r="A4762" s="10" t="s">
        <v>11148</v>
      </c>
      <c r="B4762" s="10" t="s">
        <v>10064</v>
      </c>
      <c r="C4762" s="8" t="s">
        <v>11143</v>
      </c>
      <c r="D4762" s="8" t="s">
        <v>11149</v>
      </c>
      <c r="E4762" s="11" t="n">
        <v>436</v>
      </c>
      <c r="F4762" s="8" t="str">
        <f aca="false">IFERROR(INDEX(Section_Master!$D$2:$D$477,MATCH($E4762,Section_Master!$A$2:$A$477,0))&amp;"","")</f>
        <v>Not applicable - procedural provision (BNSS), no offence defined</v>
      </c>
      <c r="G4762" s="10" t="str">
        <f aca="false">IFERROR(INDEX(Section_Master!$E$2:$E$477,MATCH($E4762,Section_Master!$A$2:$A$477,0))&amp;"","")</f>
        <v>N/A</v>
      </c>
      <c r="H4762" s="10" t="str">
        <f aca="false">IFERROR(INDEX(Section_Master!$F$2:$F$477,MATCH($E4762,Section_Master!$A$2:$A$477,0))&amp;"","")</f>
        <v>N/A</v>
      </c>
      <c r="I4762" s="10" t="str">
        <f aca="false">IFERROR(INDEX(Section_Master!$G$2:$G$477,MATCH($E4762,Section_Master!$A$2:$A$477,0))&amp;"","")</f>
        <v>N/A</v>
      </c>
      <c r="J4762" s="10" t="s">
        <v>55</v>
      </c>
      <c r="K4762" s="8" t="s">
        <v>11145</v>
      </c>
    </row>
    <row r="4763" customFormat="false" ht="23.25" hidden="false" customHeight="true" outlineLevel="0" collapsed="false">
      <c r="A4763" s="10" t="s">
        <v>11150</v>
      </c>
      <c r="B4763" s="10" t="s">
        <v>10064</v>
      </c>
      <c r="C4763" s="8" t="s">
        <v>11143</v>
      </c>
      <c r="D4763" s="8" t="s">
        <v>11151</v>
      </c>
      <c r="E4763" s="11" t="n">
        <v>436</v>
      </c>
      <c r="F4763" s="8" t="str">
        <f aca="false">IFERROR(INDEX(Section_Master!$D$2:$D$477,MATCH($E4763,Section_Master!$A$2:$A$477,0))&amp;"","")</f>
        <v>Not applicable - procedural provision (BNSS), no offence defined</v>
      </c>
      <c r="G4763" s="10" t="str">
        <f aca="false">IFERROR(INDEX(Section_Master!$E$2:$E$477,MATCH($E4763,Section_Master!$A$2:$A$477,0))&amp;"","")</f>
        <v>N/A</v>
      </c>
      <c r="H4763" s="10" t="str">
        <f aca="false">IFERROR(INDEX(Section_Master!$F$2:$F$477,MATCH($E4763,Section_Master!$A$2:$A$477,0))&amp;"","")</f>
        <v>N/A</v>
      </c>
      <c r="I4763" s="10" t="str">
        <f aca="false">IFERROR(INDEX(Section_Master!$G$2:$G$477,MATCH($E4763,Section_Master!$A$2:$A$477,0))&amp;"","")</f>
        <v>N/A</v>
      </c>
      <c r="J4763" s="10" t="s">
        <v>58</v>
      </c>
      <c r="K4763" s="8" t="s">
        <v>11145</v>
      </c>
    </row>
    <row r="4764" customFormat="false" ht="34.5" hidden="false" customHeight="true" outlineLevel="0" collapsed="false">
      <c r="A4764" s="10" t="s">
        <v>11152</v>
      </c>
      <c r="B4764" s="10" t="s">
        <v>10064</v>
      </c>
      <c r="C4764" s="8" t="s">
        <v>11143</v>
      </c>
      <c r="D4764" s="8" t="s">
        <v>11153</v>
      </c>
      <c r="E4764" s="11" t="n">
        <v>436</v>
      </c>
      <c r="F4764" s="8" t="str">
        <f aca="false">IFERROR(INDEX(Section_Master!$D$2:$D$477,MATCH($E4764,Section_Master!$A$2:$A$477,0))&amp;"","")</f>
        <v>Not applicable - procedural provision (BNSS), no offence defined</v>
      </c>
      <c r="G4764" s="10" t="str">
        <f aca="false">IFERROR(INDEX(Section_Master!$E$2:$E$477,MATCH($E4764,Section_Master!$A$2:$A$477,0))&amp;"","")</f>
        <v>N/A</v>
      </c>
      <c r="H4764" s="10" t="str">
        <f aca="false">IFERROR(INDEX(Section_Master!$F$2:$F$477,MATCH($E4764,Section_Master!$A$2:$A$477,0))&amp;"","")</f>
        <v>N/A</v>
      </c>
      <c r="I4764" s="10" t="str">
        <f aca="false">IFERROR(INDEX(Section_Master!$G$2:$G$477,MATCH($E4764,Section_Master!$A$2:$A$477,0))&amp;"","")</f>
        <v>N/A</v>
      </c>
      <c r="J4764" s="10" t="s">
        <v>61</v>
      </c>
      <c r="K4764" s="8" t="s">
        <v>11145</v>
      </c>
    </row>
    <row r="4765" customFormat="false" ht="45.75" hidden="false" customHeight="true" outlineLevel="0" collapsed="false">
      <c r="A4765" s="10" t="s">
        <v>11154</v>
      </c>
      <c r="B4765" s="10" t="s">
        <v>10064</v>
      </c>
      <c r="C4765" s="8" t="s">
        <v>11143</v>
      </c>
      <c r="D4765" s="8" t="s">
        <v>11155</v>
      </c>
      <c r="E4765" s="11" t="n">
        <v>436</v>
      </c>
      <c r="F4765" s="8" t="str">
        <f aca="false">IFERROR(INDEX(Section_Master!$D$2:$D$477,MATCH($E4765,Section_Master!$A$2:$A$477,0))&amp;"","")</f>
        <v>Not applicable - procedural provision (BNSS), no offence defined</v>
      </c>
      <c r="G4765" s="10" t="str">
        <f aca="false">IFERROR(INDEX(Section_Master!$E$2:$E$477,MATCH($E4765,Section_Master!$A$2:$A$477,0))&amp;"","")</f>
        <v>N/A</v>
      </c>
      <c r="H4765" s="10" t="str">
        <f aca="false">IFERROR(INDEX(Section_Master!$F$2:$F$477,MATCH($E4765,Section_Master!$A$2:$A$477,0))&amp;"","")</f>
        <v>N/A</v>
      </c>
      <c r="I4765" s="10" t="str">
        <f aca="false">IFERROR(INDEX(Section_Master!$G$2:$G$477,MATCH($E4765,Section_Master!$A$2:$A$477,0))&amp;"","")</f>
        <v>N/A</v>
      </c>
      <c r="J4765" s="10" t="s">
        <v>64</v>
      </c>
      <c r="K4765" s="8" t="s">
        <v>11145</v>
      </c>
    </row>
    <row r="4766" customFormat="false" ht="34.5" hidden="false" customHeight="true" outlineLevel="0" collapsed="false">
      <c r="A4766" s="10" t="s">
        <v>11156</v>
      </c>
      <c r="B4766" s="10" t="s">
        <v>10064</v>
      </c>
      <c r="C4766" s="8" t="s">
        <v>11157</v>
      </c>
      <c r="D4766" s="8" t="s">
        <v>11158</v>
      </c>
      <c r="E4766" s="11" t="n">
        <v>437</v>
      </c>
      <c r="F4766" s="8" t="str">
        <f aca="false">IFERROR(INDEX(Section_Master!$D$2:$D$477,MATCH($E4766,Section_Master!$A$2:$A$477,0))&amp;"","")</f>
        <v>Not applicable - procedural provision (BNSS), no offence defined</v>
      </c>
      <c r="G4766" s="10" t="str">
        <f aca="false">IFERROR(INDEX(Section_Master!$E$2:$E$477,MATCH($E4766,Section_Master!$A$2:$A$477,0))&amp;"","")</f>
        <v>N/A</v>
      </c>
      <c r="H4766" s="10" t="str">
        <f aca="false">IFERROR(INDEX(Section_Master!$F$2:$F$477,MATCH($E4766,Section_Master!$A$2:$A$477,0))&amp;"","")</f>
        <v>N/A</v>
      </c>
      <c r="I4766" s="10" t="str">
        <f aca="false">IFERROR(INDEX(Section_Master!$G$2:$G$477,MATCH($E4766,Section_Master!$A$2:$A$477,0))&amp;"","")</f>
        <v>N/A</v>
      </c>
      <c r="J4766" s="10" t="s">
        <v>48</v>
      </c>
      <c r="K4766" s="8" t="s">
        <v>11159</v>
      </c>
    </row>
    <row r="4767" customFormat="false" ht="45.75" hidden="false" customHeight="true" outlineLevel="0" collapsed="false">
      <c r="A4767" s="10" t="s">
        <v>11160</v>
      </c>
      <c r="B4767" s="10" t="s">
        <v>10064</v>
      </c>
      <c r="C4767" s="8" t="s">
        <v>11157</v>
      </c>
      <c r="D4767" s="8" t="s">
        <v>11161</v>
      </c>
      <c r="E4767" s="11" t="n">
        <v>437</v>
      </c>
      <c r="F4767" s="8" t="str">
        <f aca="false">IFERROR(INDEX(Section_Master!$D$2:$D$477,MATCH($E4767,Section_Master!$A$2:$A$477,0))&amp;"","")</f>
        <v>Not applicable - procedural provision (BNSS), no offence defined</v>
      </c>
      <c r="G4767" s="10" t="str">
        <f aca="false">IFERROR(INDEX(Section_Master!$E$2:$E$477,MATCH($E4767,Section_Master!$A$2:$A$477,0))&amp;"","")</f>
        <v>N/A</v>
      </c>
      <c r="H4767" s="10" t="str">
        <f aca="false">IFERROR(INDEX(Section_Master!$F$2:$F$477,MATCH($E4767,Section_Master!$A$2:$A$477,0))&amp;"","")</f>
        <v>N/A</v>
      </c>
      <c r="I4767" s="10" t="str">
        <f aca="false">IFERROR(INDEX(Section_Master!$G$2:$G$477,MATCH($E4767,Section_Master!$A$2:$A$477,0))&amp;"","")</f>
        <v>N/A</v>
      </c>
      <c r="J4767" s="10" t="s">
        <v>52</v>
      </c>
      <c r="K4767" s="8" t="s">
        <v>11159</v>
      </c>
    </row>
    <row r="4768" customFormat="false" ht="34.5" hidden="false" customHeight="true" outlineLevel="0" collapsed="false">
      <c r="A4768" s="10" t="s">
        <v>11162</v>
      </c>
      <c r="B4768" s="10" t="s">
        <v>10064</v>
      </c>
      <c r="C4768" s="8" t="s">
        <v>11157</v>
      </c>
      <c r="D4768" s="8" t="s">
        <v>11163</v>
      </c>
      <c r="E4768" s="11" t="n">
        <v>437</v>
      </c>
      <c r="F4768" s="8" t="str">
        <f aca="false">IFERROR(INDEX(Section_Master!$D$2:$D$477,MATCH($E4768,Section_Master!$A$2:$A$477,0))&amp;"","")</f>
        <v>Not applicable - procedural provision (BNSS), no offence defined</v>
      </c>
      <c r="G4768" s="10" t="str">
        <f aca="false">IFERROR(INDEX(Section_Master!$E$2:$E$477,MATCH($E4768,Section_Master!$A$2:$A$477,0))&amp;"","")</f>
        <v>N/A</v>
      </c>
      <c r="H4768" s="10" t="str">
        <f aca="false">IFERROR(INDEX(Section_Master!$F$2:$F$477,MATCH($E4768,Section_Master!$A$2:$A$477,0))&amp;"","")</f>
        <v>N/A</v>
      </c>
      <c r="I4768" s="10" t="str">
        <f aca="false">IFERROR(INDEX(Section_Master!$G$2:$G$477,MATCH($E4768,Section_Master!$A$2:$A$477,0))&amp;"","")</f>
        <v>N/A</v>
      </c>
      <c r="J4768" s="10" t="s">
        <v>55</v>
      </c>
      <c r="K4768" s="8" t="s">
        <v>11159</v>
      </c>
    </row>
    <row r="4769" customFormat="false" ht="23.25" hidden="false" customHeight="true" outlineLevel="0" collapsed="false">
      <c r="A4769" s="10" t="s">
        <v>11164</v>
      </c>
      <c r="B4769" s="10" t="s">
        <v>10064</v>
      </c>
      <c r="C4769" s="8" t="s">
        <v>11157</v>
      </c>
      <c r="D4769" s="8" t="s">
        <v>11165</v>
      </c>
      <c r="E4769" s="11" t="n">
        <v>437</v>
      </c>
      <c r="F4769" s="8" t="str">
        <f aca="false">IFERROR(INDEX(Section_Master!$D$2:$D$477,MATCH($E4769,Section_Master!$A$2:$A$477,0))&amp;"","")</f>
        <v>Not applicable - procedural provision (BNSS), no offence defined</v>
      </c>
      <c r="G4769" s="10" t="str">
        <f aca="false">IFERROR(INDEX(Section_Master!$E$2:$E$477,MATCH($E4769,Section_Master!$A$2:$A$477,0))&amp;"","")</f>
        <v>N/A</v>
      </c>
      <c r="H4769" s="10" t="str">
        <f aca="false">IFERROR(INDEX(Section_Master!$F$2:$F$477,MATCH($E4769,Section_Master!$A$2:$A$477,0))&amp;"","")</f>
        <v>N/A</v>
      </c>
      <c r="I4769" s="10" t="str">
        <f aca="false">IFERROR(INDEX(Section_Master!$G$2:$G$477,MATCH($E4769,Section_Master!$A$2:$A$477,0))&amp;"","")</f>
        <v>N/A</v>
      </c>
      <c r="J4769" s="10" t="s">
        <v>58</v>
      </c>
      <c r="K4769" s="8" t="s">
        <v>11159</v>
      </c>
    </row>
    <row r="4770" customFormat="false" ht="23.25" hidden="false" customHeight="true" outlineLevel="0" collapsed="false">
      <c r="A4770" s="10" t="s">
        <v>11166</v>
      </c>
      <c r="B4770" s="10" t="s">
        <v>10064</v>
      </c>
      <c r="C4770" s="8" t="s">
        <v>11157</v>
      </c>
      <c r="D4770" s="8" t="s">
        <v>11167</v>
      </c>
      <c r="E4770" s="11" t="n">
        <v>437</v>
      </c>
      <c r="F4770" s="8" t="str">
        <f aca="false">IFERROR(INDEX(Section_Master!$D$2:$D$477,MATCH($E4770,Section_Master!$A$2:$A$477,0))&amp;"","")</f>
        <v>Not applicable - procedural provision (BNSS), no offence defined</v>
      </c>
      <c r="G4770" s="10" t="str">
        <f aca="false">IFERROR(INDEX(Section_Master!$E$2:$E$477,MATCH($E4770,Section_Master!$A$2:$A$477,0))&amp;"","")</f>
        <v>N/A</v>
      </c>
      <c r="H4770" s="10" t="str">
        <f aca="false">IFERROR(INDEX(Section_Master!$F$2:$F$477,MATCH($E4770,Section_Master!$A$2:$A$477,0))&amp;"","")</f>
        <v>N/A</v>
      </c>
      <c r="I4770" s="10" t="str">
        <f aca="false">IFERROR(INDEX(Section_Master!$G$2:$G$477,MATCH($E4770,Section_Master!$A$2:$A$477,0))&amp;"","")</f>
        <v>N/A</v>
      </c>
      <c r="J4770" s="10" t="s">
        <v>61</v>
      </c>
      <c r="K4770" s="8" t="s">
        <v>11159</v>
      </c>
    </row>
    <row r="4771" customFormat="false" ht="45.75" hidden="false" customHeight="true" outlineLevel="0" collapsed="false">
      <c r="A4771" s="10" t="s">
        <v>11168</v>
      </c>
      <c r="B4771" s="10" t="s">
        <v>10064</v>
      </c>
      <c r="C4771" s="8" t="s">
        <v>11157</v>
      </c>
      <c r="D4771" s="8" t="s">
        <v>11169</v>
      </c>
      <c r="E4771" s="11" t="n">
        <v>437</v>
      </c>
      <c r="F4771" s="8" t="str">
        <f aca="false">IFERROR(INDEX(Section_Master!$D$2:$D$477,MATCH($E4771,Section_Master!$A$2:$A$477,0))&amp;"","")</f>
        <v>Not applicable - procedural provision (BNSS), no offence defined</v>
      </c>
      <c r="G4771" s="10" t="str">
        <f aca="false">IFERROR(INDEX(Section_Master!$E$2:$E$477,MATCH($E4771,Section_Master!$A$2:$A$477,0))&amp;"","")</f>
        <v>N/A</v>
      </c>
      <c r="H4771" s="10" t="str">
        <f aca="false">IFERROR(INDEX(Section_Master!$F$2:$F$477,MATCH($E4771,Section_Master!$A$2:$A$477,0))&amp;"","")</f>
        <v>N/A</v>
      </c>
      <c r="I4771" s="10" t="str">
        <f aca="false">IFERROR(INDEX(Section_Master!$G$2:$G$477,MATCH($E4771,Section_Master!$A$2:$A$477,0))&amp;"","")</f>
        <v>N/A</v>
      </c>
      <c r="J4771" s="10" t="s">
        <v>64</v>
      </c>
      <c r="K4771" s="8" t="s">
        <v>11159</v>
      </c>
    </row>
    <row r="4772" customFormat="false" ht="34.5" hidden="false" customHeight="true" outlineLevel="0" collapsed="false">
      <c r="A4772" s="10" t="s">
        <v>11170</v>
      </c>
      <c r="B4772" s="10" t="s">
        <v>10064</v>
      </c>
      <c r="C4772" s="8" t="s">
        <v>11171</v>
      </c>
      <c r="D4772" s="8" t="s">
        <v>11172</v>
      </c>
      <c r="E4772" s="11" t="n">
        <v>438</v>
      </c>
      <c r="F4772" s="8" t="str">
        <f aca="false">IFERROR(INDEX(Section_Master!$D$2:$D$477,MATCH($E4772,Section_Master!$A$2:$A$477,0))&amp;"","")</f>
        <v>Not applicable - procedural provision (BNSS), no offence defined</v>
      </c>
      <c r="G4772" s="10" t="str">
        <f aca="false">IFERROR(INDEX(Section_Master!$E$2:$E$477,MATCH($E4772,Section_Master!$A$2:$A$477,0))&amp;"","")</f>
        <v>N/A</v>
      </c>
      <c r="H4772" s="10" t="str">
        <f aca="false">IFERROR(INDEX(Section_Master!$F$2:$F$477,MATCH($E4772,Section_Master!$A$2:$A$477,0))&amp;"","")</f>
        <v>N/A</v>
      </c>
      <c r="I4772" s="10" t="str">
        <f aca="false">IFERROR(INDEX(Section_Master!$G$2:$G$477,MATCH($E4772,Section_Master!$A$2:$A$477,0))&amp;"","")</f>
        <v>N/A</v>
      </c>
      <c r="J4772" s="10" t="s">
        <v>48</v>
      </c>
      <c r="K4772" s="8" t="s">
        <v>11173</v>
      </c>
    </row>
    <row r="4773" customFormat="false" ht="45.75" hidden="false" customHeight="true" outlineLevel="0" collapsed="false">
      <c r="A4773" s="10" t="s">
        <v>11174</v>
      </c>
      <c r="B4773" s="10" t="s">
        <v>10064</v>
      </c>
      <c r="C4773" s="8" t="s">
        <v>11171</v>
      </c>
      <c r="D4773" s="8" t="s">
        <v>11175</v>
      </c>
      <c r="E4773" s="11" t="n">
        <v>438</v>
      </c>
      <c r="F4773" s="8" t="str">
        <f aca="false">IFERROR(INDEX(Section_Master!$D$2:$D$477,MATCH($E4773,Section_Master!$A$2:$A$477,0))&amp;"","")</f>
        <v>Not applicable - procedural provision (BNSS), no offence defined</v>
      </c>
      <c r="G4773" s="10" t="str">
        <f aca="false">IFERROR(INDEX(Section_Master!$E$2:$E$477,MATCH($E4773,Section_Master!$A$2:$A$477,0))&amp;"","")</f>
        <v>N/A</v>
      </c>
      <c r="H4773" s="10" t="str">
        <f aca="false">IFERROR(INDEX(Section_Master!$F$2:$F$477,MATCH($E4773,Section_Master!$A$2:$A$477,0))&amp;"","")</f>
        <v>N/A</v>
      </c>
      <c r="I4773" s="10" t="str">
        <f aca="false">IFERROR(INDEX(Section_Master!$G$2:$G$477,MATCH($E4773,Section_Master!$A$2:$A$477,0))&amp;"","")</f>
        <v>N/A</v>
      </c>
      <c r="J4773" s="10" t="s">
        <v>52</v>
      </c>
      <c r="K4773" s="8" t="s">
        <v>11173</v>
      </c>
    </row>
    <row r="4774" customFormat="false" ht="34.5" hidden="false" customHeight="true" outlineLevel="0" collapsed="false">
      <c r="A4774" s="10" t="s">
        <v>11176</v>
      </c>
      <c r="B4774" s="10" t="s">
        <v>10064</v>
      </c>
      <c r="C4774" s="8" t="s">
        <v>11171</v>
      </c>
      <c r="D4774" s="8" t="s">
        <v>11177</v>
      </c>
      <c r="E4774" s="11" t="n">
        <v>438</v>
      </c>
      <c r="F4774" s="8" t="str">
        <f aca="false">IFERROR(INDEX(Section_Master!$D$2:$D$477,MATCH($E4774,Section_Master!$A$2:$A$477,0))&amp;"","")</f>
        <v>Not applicable - procedural provision (BNSS), no offence defined</v>
      </c>
      <c r="G4774" s="10" t="str">
        <f aca="false">IFERROR(INDEX(Section_Master!$E$2:$E$477,MATCH($E4774,Section_Master!$A$2:$A$477,0))&amp;"","")</f>
        <v>N/A</v>
      </c>
      <c r="H4774" s="10" t="str">
        <f aca="false">IFERROR(INDEX(Section_Master!$F$2:$F$477,MATCH($E4774,Section_Master!$A$2:$A$477,0))&amp;"","")</f>
        <v>N/A</v>
      </c>
      <c r="I4774" s="10" t="str">
        <f aca="false">IFERROR(INDEX(Section_Master!$G$2:$G$477,MATCH($E4774,Section_Master!$A$2:$A$477,0))&amp;"","")</f>
        <v>N/A</v>
      </c>
      <c r="J4774" s="10" t="s">
        <v>55</v>
      </c>
      <c r="K4774" s="8" t="s">
        <v>11173</v>
      </c>
    </row>
    <row r="4775" customFormat="false" ht="23.25" hidden="false" customHeight="true" outlineLevel="0" collapsed="false">
      <c r="A4775" s="10" t="s">
        <v>11178</v>
      </c>
      <c r="B4775" s="10" t="s">
        <v>10064</v>
      </c>
      <c r="C4775" s="8" t="s">
        <v>11171</v>
      </c>
      <c r="D4775" s="8" t="s">
        <v>11179</v>
      </c>
      <c r="E4775" s="11" t="n">
        <v>438</v>
      </c>
      <c r="F4775" s="8" t="str">
        <f aca="false">IFERROR(INDEX(Section_Master!$D$2:$D$477,MATCH($E4775,Section_Master!$A$2:$A$477,0))&amp;"","")</f>
        <v>Not applicable - procedural provision (BNSS), no offence defined</v>
      </c>
      <c r="G4775" s="10" t="str">
        <f aca="false">IFERROR(INDEX(Section_Master!$E$2:$E$477,MATCH($E4775,Section_Master!$A$2:$A$477,0))&amp;"","")</f>
        <v>N/A</v>
      </c>
      <c r="H4775" s="10" t="str">
        <f aca="false">IFERROR(INDEX(Section_Master!$F$2:$F$477,MATCH($E4775,Section_Master!$A$2:$A$477,0))&amp;"","")</f>
        <v>N/A</v>
      </c>
      <c r="I4775" s="10" t="str">
        <f aca="false">IFERROR(INDEX(Section_Master!$G$2:$G$477,MATCH($E4775,Section_Master!$A$2:$A$477,0))&amp;"","")</f>
        <v>N/A</v>
      </c>
      <c r="J4775" s="10" t="s">
        <v>58</v>
      </c>
      <c r="K4775" s="8" t="s">
        <v>11173</v>
      </c>
    </row>
    <row r="4776" customFormat="false" ht="34.5" hidden="false" customHeight="true" outlineLevel="0" collapsed="false">
      <c r="A4776" s="10" t="s">
        <v>11180</v>
      </c>
      <c r="B4776" s="10" t="s">
        <v>10064</v>
      </c>
      <c r="C4776" s="8" t="s">
        <v>11171</v>
      </c>
      <c r="D4776" s="8" t="s">
        <v>11181</v>
      </c>
      <c r="E4776" s="11" t="n">
        <v>438</v>
      </c>
      <c r="F4776" s="8" t="str">
        <f aca="false">IFERROR(INDEX(Section_Master!$D$2:$D$477,MATCH($E4776,Section_Master!$A$2:$A$477,0))&amp;"","")</f>
        <v>Not applicable - procedural provision (BNSS), no offence defined</v>
      </c>
      <c r="G4776" s="10" t="str">
        <f aca="false">IFERROR(INDEX(Section_Master!$E$2:$E$477,MATCH($E4776,Section_Master!$A$2:$A$477,0))&amp;"","")</f>
        <v>N/A</v>
      </c>
      <c r="H4776" s="10" t="str">
        <f aca="false">IFERROR(INDEX(Section_Master!$F$2:$F$477,MATCH($E4776,Section_Master!$A$2:$A$477,0))&amp;"","")</f>
        <v>N/A</v>
      </c>
      <c r="I4776" s="10" t="str">
        <f aca="false">IFERROR(INDEX(Section_Master!$G$2:$G$477,MATCH($E4776,Section_Master!$A$2:$A$477,0))&amp;"","")</f>
        <v>N/A</v>
      </c>
      <c r="J4776" s="10" t="s">
        <v>61</v>
      </c>
      <c r="K4776" s="8" t="s">
        <v>11173</v>
      </c>
    </row>
    <row r="4777" customFormat="false" ht="45.75" hidden="false" customHeight="true" outlineLevel="0" collapsed="false">
      <c r="A4777" s="10" t="s">
        <v>11182</v>
      </c>
      <c r="B4777" s="10" t="s">
        <v>10064</v>
      </c>
      <c r="C4777" s="8" t="s">
        <v>11171</v>
      </c>
      <c r="D4777" s="8" t="s">
        <v>11183</v>
      </c>
      <c r="E4777" s="11" t="n">
        <v>438</v>
      </c>
      <c r="F4777" s="8" t="str">
        <f aca="false">IFERROR(INDEX(Section_Master!$D$2:$D$477,MATCH($E4777,Section_Master!$A$2:$A$477,0))&amp;"","")</f>
        <v>Not applicable - procedural provision (BNSS), no offence defined</v>
      </c>
      <c r="G4777" s="10" t="str">
        <f aca="false">IFERROR(INDEX(Section_Master!$E$2:$E$477,MATCH($E4777,Section_Master!$A$2:$A$477,0))&amp;"","")</f>
        <v>N/A</v>
      </c>
      <c r="H4777" s="10" t="str">
        <f aca="false">IFERROR(INDEX(Section_Master!$F$2:$F$477,MATCH($E4777,Section_Master!$A$2:$A$477,0))&amp;"","")</f>
        <v>N/A</v>
      </c>
      <c r="I4777" s="10" t="str">
        <f aca="false">IFERROR(INDEX(Section_Master!$G$2:$G$477,MATCH($E4777,Section_Master!$A$2:$A$477,0))&amp;"","")</f>
        <v>N/A</v>
      </c>
      <c r="J4777" s="10" t="s">
        <v>64</v>
      </c>
      <c r="K4777" s="8" t="s">
        <v>11173</v>
      </c>
    </row>
    <row r="4778" customFormat="false" ht="34.5" hidden="false" customHeight="true" outlineLevel="0" collapsed="false">
      <c r="A4778" s="10" t="s">
        <v>11184</v>
      </c>
      <c r="B4778" s="10" t="s">
        <v>10064</v>
      </c>
      <c r="C4778" s="8" t="s">
        <v>11185</v>
      </c>
      <c r="D4778" s="8" t="s">
        <v>11186</v>
      </c>
      <c r="E4778" s="11" t="n">
        <v>439</v>
      </c>
      <c r="F4778" s="8" t="str">
        <f aca="false">IFERROR(INDEX(Section_Master!$D$2:$D$477,MATCH($E4778,Section_Master!$A$2:$A$477,0))&amp;"","")</f>
        <v>Not applicable - procedural provision (BNSS), no offence defined</v>
      </c>
      <c r="G4778" s="10" t="str">
        <f aca="false">IFERROR(INDEX(Section_Master!$E$2:$E$477,MATCH($E4778,Section_Master!$A$2:$A$477,0))&amp;"","")</f>
        <v>N/A</v>
      </c>
      <c r="H4778" s="10" t="str">
        <f aca="false">IFERROR(INDEX(Section_Master!$F$2:$F$477,MATCH($E4778,Section_Master!$A$2:$A$477,0))&amp;"","")</f>
        <v>N/A</v>
      </c>
      <c r="I4778" s="10" t="str">
        <f aca="false">IFERROR(INDEX(Section_Master!$G$2:$G$477,MATCH($E4778,Section_Master!$A$2:$A$477,0))&amp;"","")</f>
        <v>N/A</v>
      </c>
      <c r="J4778" s="10" t="s">
        <v>48</v>
      </c>
      <c r="K4778" s="8" t="s">
        <v>11187</v>
      </c>
    </row>
    <row r="4779" customFormat="false" ht="45.75" hidden="false" customHeight="true" outlineLevel="0" collapsed="false">
      <c r="A4779" s="10" t="s">
        <v>11188</v>
      </c>
      <c r="B4779" s="10" t="s">
        <v>10064</v>
      </c>
      <c r="C4779" s="8" t="s">
        <v>11185</v>
      </c>
      <c r="D4779" s="8" t="s">
        <v>11189</v>
      </c>
      <c r="E4779" s="11" t="n">
        <v>439</v>
      </c>
      <c r="F4779" s="8" t="str">
        <f aca="false">IFERROR(INDEX(Section_Master!$D$2:$D$477,MATCH($E4779,Section_Master!$A$2:$A$477,0))&amp;"","")</f>
        <v>Not applicable - procedural provision (BNSS), no offence defined</v>
      </c>
      <c r="G4779" s="10" t="str">
        <f aca="false">IFERROR(INDEX(Section_Master!$E$2:$E$477,MATCH($E4779,Section_Master!$A$2:$A$477,0))&amp;"","")</f>
        <v>N/A</v>
      </c>
      <c r="H4779" s="10" t="str">
        <f aca="false">IFERROR(INDEX(Section_Master!$F$2:$F$477,MATCH($E4779,Section_Master!$A$2:$A$477,0))&amp;"","")</f>
        <v>N/A</v>
      </c>
      <c r="I4779" s="10" t="str">
        <f aca="false">IFERROR(INDEX(Section_Master!$G$2:$G$477,MATCH($E4779,Section_Master!$A$2:$A$477,0))&amp;"","")</f>
        <v>N/A</v>
      </c>
      <c r="J4779" s="10" t="s">
        <v>52</v>
      </c>
      <c r="K4779" s="8" t="s">
        <v>11187</v>
      </c>
    </row>
    <row r="4780" customFormat="false" ht="34.5" hidden="false" customHeight="true" outlineLevel="0" collapsed="false">
      <c r="A4780" s="10" t="s">
        <v>11190</v>
      </c>
      <c r="B4780" s="10" t="s">
        <v>10064</v>
      </c>
      <c r="C4780" s="8" t="s">
        <v>11185</v>
      </c>
      <c r="D4780" s="8" t="s">
        <v>11191</v>
      </c>
      <c r="E4780" s="11" t="n">
        <v>439</v>
      </c>
      <c r="F4780" s="8" t="str">
        <f aca="false">IFERROR(INDEX(Section_Master!$D$2:$D$477,MATCH($E4780,Section_Master!$A$2:$A$477,0))&amp;"","")</f>
        <v>Not applicable - procedural provision (BNSS), no offence defined</v>
      </c>
      <c r="G4780" s="10" t="str">
        <f aca="false">IFERROR(INDEX(Section_Master!$E$2:$E$477,MATCH($E4780,Section_Master!$A$2:$A$477,0))&amp;"","")</f>
        <v>N/A</v>
      </c>
      <c r="H4780" s="10" t="str">
        <f aca="false">IFERROR(INDEX(Section_Master!$F$2:$F$477,MATCH($E4780,Section_Master!$A$2:$A$477,0))&amp;"","")</f>
        <v>N/A</v>
      </c>
      <c r="I4780" s="10" t="str">
        <f aca="false">IFERROR(INDEX(Section_Master!$G$2:$G$477,MATCH($E4780,Section_Master!$A$2:$A$477,0))&amp;"","")</f>
        <v>N/A</v>
      </c>
      <c r="J4780" s="10" t="s">
        <v>55</v>
      </c>
      <c r="K4780" s="8" t="s">
        <v>11187</v>
      </c>
    </row>
    <row r="4781" customFormat="false" ht="23.25" hidden="false" customHeight="true" outlineLevel="0" collapsed="false">
      <c r="A4781" s="10" t="s">
        <v>11192</v>
      </c>
      <c r="B4781" s="10" t="s">
        <v>10064</v>
      </c>
      <c r="C4781" s="8" t="s">
        <v>11185</v>
      </c>
      <c r="D4781" s="8" t="s">
        <v>11193</v>
      </c>
      <c r="E4781" s="11" t="n">
        <v>439</v>
      </c>
      <c r="F4781" s="8" t="str">
        <f aca="false">IFERROR(INDEX(Section_Master!$D$2:$D$477,MATCH($E4781,Section_Master!$A$2:$A$477,0))&amp;"","")</f>
        <v>Not applicable - procedural provision (BNSS), no offence defined</v>
      </c>
      <c r="G4781" s="10" t="str">
        <f aca="false">IFERROR(INDEX(Section_Master!$E$2:$E$477,MATCH($E4781,Section_Master!$A$2:$A$477,0))&amp;"","")</f>
        <v>N/A</v>
      </c>
      <c r="H4781" s="10" t="str">
        <f aca="false">IFERROR(INDEX(Section_Master!$F$2:$F$477,MATCH($E4781,Section_Master!$A$2:$A$477,0))&amp;"","")</f>
        <v>N/A</v>
      </c>
      <c r="I4781" s="10" t="str">
        <f aca="false">IFERROR(INDEX(Section_Master!$G$2:$G$477,MATCH($E4781,Section_Master!$A$2:$A$477,0))&amp;"","")</f>
        <v>N/A</v>
      </c>
      <c r="J4781" s="10" t="s">
        <v>58</v>
      </c>
      <c r="K4781" s="8" t="s">
        <v>11187</v>
      </c>
    </row>
    <row r="4782" customFormat="false" ht="23.25" hidden="false" customHeight="true" outlineLevel="0" collapsed="false">
      <c r="A4782" s="10" t="s">
        <v>11194</v>
      </c>
      <c r="B4782" s="10" t="s">
        <v>10064</v>
      </c>
      <c r="C4782" s="8" t="s">
        <v>11185</v>
      </c>
      <c r="D4782" s="8" t="s">
        <v>11195</v>
      </c>
      <c r="E4782" s="11" t="n">
        <v>439</v>
      </c>
      <c r="F4782" s="8" t="str">
        <f aca="false">IFERROR(INDEX(Section_Master!$D$2:$D$477,MATCH($E4782,Section_Master!$A$2:$A$477,0))&amp;"","")</f>
        <v>Not applicable - procedural provision (BNSS), no offence defined</v>
      </c>
      <c r="G4782" s="10" t="str">
        <f aca="false">IFERROR(INDEX(Section_Master!$E$2:$E$477,MATCH($E4782,Section_Master!$A$2:$A$477,0))&amp;"","")</f>
        <v>N/A</v>
      </c>
      <c r="H4782" s="10" t="str">
        <f aca="false">IFERROR(INDEX(Section_Master!$F$2:$F$477,MATCH($E4782,Section_Master!$A$2:$A$477,0))&amp;"","")</f>
        <v>N/A</v>
      </c>
      <c r="I4782" s="10" t="str">
        <f aca="false">IFERROR(INDEX(Section_Master!$G$2:$G$477,MATCH($E4782,Section_Master!$A$2:$A$477,0))&amp;"","")</f>
        <v>N/A</v>
      </c>
      <c r="J4782" s="10" t="s">
        <v>61</v>
      </c>
      <c r="K4782" s="8" t="s">
        <v>11187</v>
      </c>
    </row>
    <row r="4783" customFormat="false" ht="45.75" hidden="false" customHeight="true" outlineLevel="0" collapsed="false">
      <c r="A4783" s="10" t="s">
        <v>11196</v>
      </c>
      <c r="B4783" s="10" t="s">
        <v>10064</v>
      </c>
      <c r="C4783" s="8" t="s">
        <v>11185</v>
      </c>
      <c r="D4783" s="8" t="s">
        <v>11197</v>
      </c>
      <c r="E4783" s="11" t="n">
        <v>439</v>
      </c>
      <c r="F4783" s="8" t="str">
        <f aca="false">IFERROR(INDEX(Section_Master!$D$2:$D$477,MATCH($E4783,Section_Master!$A$2:$A$477,0))&amp;"","")</f>
        <v>Not applicable - procedural provision (BNSS), no offence defined</v>
      </c>
      <c r="G4783" s="10" t="str">
        <f aca="false">IFERROR(INDEX(Section_Master!$E$2:$E$477,MATCH($E4783,Section_Master!$A$2:$A$477,0))&amp;"","")</f>
        <v>N/A</v>
      </c>
      <c r="H4783" s="10" t="str">
        <f aca="false">IFERROR(INDEX(Section_Master!$F$2:$F$477,MATCH($E4783,Section_Master!$A$2:$A$477,0))&amp;"","")</f>
        <v>N/A</v>
      </c>
      <c r="I4783" s="10" t="str">
        <f aca="false">IFERROR(INDEX(Section_Master!$G$2:$G$477,MATCH($E4783,Section_Master!$A$2:$A$477,0))&amp;"","")</f>
        <v>N/A</v>
      </c>
      <c r="J4783" s="10" t="s">
        <v>64</v>
      </c>
      <c r="K4783" s="8" t="s">
        <v>11187</v>
      </c>
    </row>
    <row r="4784" customFormat="false" ht="34.5" hidden="false" customHeight="true" outlineLevel="0" collapsed="false">
      <c r="A4784" s="10" t="s">
        <v>11198</v>
      </c>
      <c r="B4784" s="10" t="s">
        <v>10064</v>
      </c>
      <c r="C4784" s="8" t="s">
        <v>11199</v>
      </c>
      <c r="D4784" s="8" t="s">
        <v>11200</v>
      </c>
      <c r="E4784" s="11" t="n">
        <v>440</v>
      </c>
      <c r="F4784" s="8" t="str">
        <f aca="false">IFERROR(INDEX(Section_Master!$D$2:$D$477,MATCH($E4784,Section_Master!$A$2:$A$477,0))&amp;"","")</f>
        <v>Not applicable - procedural provision (BNSS), no offence defined</v>
      </c>
      <c r="G4784" s="10" t="str">
        <f aca="false">IFERROR(INDEX(Section_Master!$E$2:$E$477,MATCH($E4784,Section_Master!$A$2:$A$477,0))&amp;"","")</f>
        <v>N/A</v>
      </c>
      <c r="H4784" s="10" t="str">
        <f aca="false">IFERROR(INDEX(Section_Master!$F$2:$F$477,MATCH($E4784,Section_Master!$A$2:$A$477,0))&amp;"","")</f>
        <v>N/A</v>
      </c>
      <c r="I4784" s="10" t="str">
        <f aca="false">IFERROR(INDEX(Section_Master!$G$2:$G$477,MATCH($E4784,Section_Master!$A$2:$A$477,0))&amp;"","")</f>
        <v>N/A</v>
      </c>
      <c r="J4784" s="10" t="s">
        <v>48</v>
      </c>
      <c r="K4784" s="8" t="s">
        <v>11201</v>
      </c>
    </row>
    <row r="4785" customFormat="false" ht="45.75" hidden="false" customHeight="true" outlineLevel="0" collapsed="false">
      <c r="A4785" s="10" t="s">
        <v>11202</v>
      </c>
      <c r="B4785" s="10" t="s">
        <v>10064</v>
      </c>
      <c r="C4785" s="8" t="s">
        <v>11199</v>
      </c>
      <c r="D4785" s="8" t="s">
        <v>11203</v>
      </c>
      <c r="E4785" s="11" t="n">
        <v>440</v>
      </c>
      <c r="F4785" s="8" t="str">
        <f aca="false">IFERROR(INDEX(Section_Master!$D$2:$D$477,MATCH($E4785,Section_Master!$A$2:$A$477,0))&amp;"","")</f>
        <v>Not applicable - procedural provision (BNSS), no offence defined</v>
      </c>
      <c r="G4785" s="10" t="str">
        <f aca="false">IFERROR(INDEX(Section_Master!$E$2:$E$477,MATCH($E4785,Section_Master!$A$2:$A$477,0))&amp;"","")</f>
        <v>N/A</v>
      </c>
      <c r="H4785" s="10" t="str">
        <f aca="false">IFERROR(INDEX(Section_Master!$F$2:$F$477,MATCH($E4785,Section_Master!$A$2:$A$477,0))&amp;"","")</f>
        <v>N/A</v>
      </c>
      <c r="I4785" s="10" t="str">
        <f aca="false">IFERROR(INDEX(Section_Master!$G$2:$G$477,MATCH($E4785,Section_Master!$A$2:$A$477,0))&amp;"","")</f>
        <v>N/A</v>
      </c>
      <c r="J4785" s="10" t="s">
        <v>52</v>
      </c>
      <c r="K4785" s="8" t="s">
        <v>11201</v>
      </c>
    </row>
    <row r="4786" customFormat="false" ht="34.5" hidden="false" customHeight="true" outlineLevel="0" collapsed="false">
      <c r="A4786" s="10" t="s">
        <v>11204</v>
      </c>
      <c r="B4786" s="10" t="s">
        <v>10064</v>
      </c>
      <c r="C4786" s="8" t="s">
        <v>11199</v>
      </c>
      <c r="D4786" s="8" t="s">
        <v>11205</v>
      </c>
      <c r="E4786" s="11" t="n">
        <v>440</v>
      </c>
      <c r="F4786" s="8" t="str">
        <f aca="false">IFERROR(INDEX(Section_Master!$D$2:$D$477,MATCH($E4786,Section_Master!$A$2:$A$477,0))&amp;"","")</f>
        <v>Not applicable - procedural provision (BNSS), no offence defined</v>
      </c>
      <c r="G4786" s="10" t="str">
        <f aca="false">IFERROR(INDEX(Section_Master!$E$2:$E$477,MATCH($E4786,Section_Master!$A$2:$A$477,0))&amp;"","")</f>
        <v>N/A</v>
      </c>
      <c r="H4786" s="10" t="str">
        <f aca="false">IFERROR(INDEX(Section_Master!$F$2:$F$477,MATCH($E4786,Section_Master!$A$2:$A$477,0))&amp;"","")</f>
        <v>N/A</v>
      </c>
      <c r="I4786" s="10" t="str">
        <f aca="false">IFERROR(INDEX(Section_Master!$G$2:$G$477,MATCH($E4786,Section_Master!$A$2:$A$477,0))&amp;"","")</f>
        <v>N/A</v>
      </c>
      <c r="J4786" s="10" t="s">
        <v>55</v>
      </c>
      <c r="K4786" s="8" t="s">
        <v>11201</v>
      </c>
    </row>
    <row r="4787" customFormat="false" ht="23.25" hidden="false" customHeight="true" outlineLevel="0" collapsed="false">
      <c r="A4787" s="10" t="s">
        <v>11206</v>
      </c>
      <c r="B4787" s="10" t="s">
        <v>10064</v>
      </c>
      <c r="C4787" s="8" t="s">
        <v>11199</v>
      </c>
      <c r="D4787" s="8" t="s">
        <v>11207</v>
      </c>
      <c r="E4787" s="11" t="n">
        <v>440</v>
      </c>
      <c r="F4787" s="8" t="str">
        <f aca="false">IFERROR(INDEX(Section_Master!$D$2:$D$477,MATCH($E4787,Section_Master!$A$2:$A$477,0))&amp;"","")</f>
        <v>Not applicable - procedural provision (BNSS), no offence defined</v>
      </c>
      <c r="G4787" s="10" t="str">
        <f aca="false">IFERROR(INDEX(Section_Master!$E$2:$E$477,MATCH($E4787,Section_Master!$A$2:$A$477,0))&amp;"","")</f>
        <v>N/A</v>
      </c>
      <c r="H4787" s="10" t="str">
        <f aca="false">IFERROR(INDEX(Section_Master!$F$2:$F$477,MATCH($E4787,Section_Master!$A$2:$A$477,0))&amp;"","")</f>
        <v>N/A</v>
      </c>
      <c r="I4787" s="10" t="str">
        <f aca="false">IFERROR(INDEX(Section_Master!$G$2:$G$477,MATCH($E4787,Section_Master!$A$2:$A$477,0))&amp;"","")</f>
        <v>N/A</v>
      </c>
      <c r="J4787" s="10" t="s">
        <v>58</v>
      </c>
      <c r="K4787" s="8" t="s">
        <v>11201</v>
      </c>
    </row>
    <row r="4788" customFormat="false" ht="34.5" hidden="false" customHeight="true" outlineLevel="0" collapsed="false">
      <c r="A4788" s="10" t="s">
        <v>11208</v>
      </c>
      <c r="B4788" s="10" t="s">
        <v>10064</v>
      </c>
      <c r="C4788" s="8" t="s">
        <v>11199</v>
      </c>
      <c r="D4788" s="8" t="s">
        <v>11209</v>
      </c>
      <c r="E4788" s="11" t="n">
        <v>440</v>
      </c>
      <c r="F4788" s="8" t="str">
        <f aca="false">IFERROR(INDEX(Section_Master!$D$2:$D$477,MATCH($E4788,Section_Master!$A$2:$A$477,0))&amp;"","")</f>
        <v>Not applicable - procedural provision (BNSS), no offence defined</v>
      </c>
      <c r="G4788" s="10" t="str">
        <f aca="false">IFERROR(INDEX(Section_Master!$E$2:$E$477,MATCH($E4788,Section_Master!$A$2:$A$477,0))&amp;"","")</f>
        <v>N/A</v>
      </c>
      <c r="H4788" s="10" t="str">
        <f aca="false">IFERROR(INDEX(Section_Master!$F$2:$F$477,MATCH($E4788,Section_Master!$A$2:$A$477,0))&amp;"","")</f>
        <v>N/A</v>
      </c>
      <c r="I4788" s="10" t="str">
        <f aca="false">IFERROR(INDEX(Section_Master!$G$2:$G$477,MATCH($E4788,Section_Master!$A$2:$A$477,0))&amp;"","")</f>
        <v>N/A</v>
      </c>
      <c r="J4788" s="10" t="s">
        <v>61</v>
      </c>
      <c r="K4788" s="8" t="s">
        <v>11201</v>
      </c>
    </row>
    <row r="4789" customFormat="false" ht="45.75" hidden="false" customHeight="true" outlineLevel="0" collapsed="false">
      <c r="A4789" s="10" t="s">
        <v>11210</v>
      </c>
      <c r="B4789" s="10" t="s">
        <v>10064</v>
      </c>
      <c r="C4789" s="8" t="s">
        <v>11199</v>
      </c>
      <c r="D4789" s="8" t="s">
        <v>11211</v>
      </c>
      <c r="E4789" s="11" t="n">
        <v>440</v>
      </c>
      <c r="F4789" s="8" t="str">
        <f aca="false">IFERROR(INDEX(Section_Master!$D$2:$D$477,MATCH($E4789,Section_Master!$A$2:$A$477,0))&amp;"","")</f>
        <v>Not applicable - procedural provision (BNSS), no offence defined</v>
      </c>
      <c r="G4789" s="10" t="str">
        <f aca="false">IFERROR(INDEX(Section_Master!$E$2:$E$477,MATCH($E4789,Section_Master!$A$2:$A$477,0))&amp;"","")</f>
        <v>N/A</v>
      </c>
      <c r="H4789" s="10" t="str">
        <f aca="false">IFERROR(INDEX(Section_Master!$F$2:$F$477,MATCH($E4789,Section_Master!$A$2:$A$477,0))&amp;"","")</f>
        <v>N/A</v>
      </c>
      <c r="I4789" s="10" t="str">
        <f aca="false">IFERROR(INDEX(Section_Master!$G$2:$G$477,MATCH($E4789,Section_Master!$A$2:$A$477,0))&amp;"","")</f>
        <v>N/A</v>
      </c>
      <c r="J4789" s="10" t="s">
        <v>64</v>
      </c>
      <c r="K4789" s="8" t="s">
        <v>11201</v>
      </c>
    </row>
    <row r="4790" customFormat="false" ht="34.5" hidden="false" customHeight="true" outlineLevel="0" collapsed="false">
      <c r="A4790" s="10" t="s">
        <v>11212</v>
      </c>
      <c r="B4790" s="10" t="s">
        <v>10064</v>
      </c>
      <c r="C4790" s="8" t="s">
        <v>11213</v>
      </c>
      <c r="D4790" s="8" t="s">
        <v>11214</v>
      </c>
      <c r="E4790" s="11" t="n">
        <v>441</v>
      </c>
      <c r="F4790" s="8" t="str">
        <f aca="false">IFERROR(INDEX(Section_Master!$D$2:$D$477,MATCH($E4790,Section_Master!$A$2:$A$477,0))&amp;"","")</f>
        <v>Not applicable - procedural provision (BNSS), no offence defined</v>
      </c>
      <c r="G4790" s="10" t="str">
        <f aca="false">IFERROR(INDEX(Section_Master!$E$2:$E$477,MATCH($E4790,Section_Master!$A$2:$A$477,0))&amp;"","")</f>
        <v>N/A</v>
      </c>
      <c r="H4790" s="10" t="str">
        <f aca="false">IFERROR(INDEX(Section_Master!$F$2:$F$477,MATCH($E4790,Section_Master!$A$2:$A$477,0))&amp;"","")</f>
        <v>N/A</v>
      </c>
      <c r="I4790" s="10" t="str">
        <f aca="false">IFERROR(INDEX(Section_Master!$G$2:$G$477,MATCH($E4790,Section_Master!$A$2:$A$477,0))&amp;"","")</f>
        <v>N/A</v>
      </c>
      <c r="J4790" s="10" t="s">
        <v>48</v>
      </c>
      <c r="K4790" s="8" t="s">
        <v>11215</v>
      </c>
    </row>
    <row r="4791" customFormat="false" ht="45.75" hidden="false" customHeight="true" outlineLevel="0" collapsed="false">
      <c r="A4791" s="10" t="s">
        <v>11216</v>
      </c>
      <c r="B4791" s="10" t="s">
        <v>10064</v>
      </c>
      <c r="C4791" s="8" t="s">
        <v>11213</v>
      </c>
      <c r="D4791" s="8" t="s">
        <v>11217</v>
      </c>
      <c r="E4791" s="11" t="n">
        <v>441</v>
      </c>
      <c r="F4791" s="8" t="str">
        <f aca="false">IFERROR(INDEX(Section_Master!$D$2:$D$477,MATCH($E4791,Section_Master!$A$2:$A$477,0))&amp;"","")</f>
        <v>Not applicable - procedural provision (BNSS), no offence defined</v>
      </c>
      <c r="G4791" s="10" t="str">
        <f aca="false">IFERROR(INDEX(Section_Master!$E$2:$E$477,MATCH($E4791,Section_Master!$A$2:$A$477,0))&amp;"","")</f>
        <v>N/A</v>
      </c>
      <c r="H4791" s="10" t="str">
        <f aca="false">IFERROR(INDEX(Section_Master!$F$2:$F$477,MATCH($E4791,Section_Master!$A$2:$A$477,0))&amp;"","")</f>
        <v>N/A</v>
      </c>
      <c r="I4791" s="10" t="str">
        <f aca="false">IFERROR(INDEX(Section_Master!$G$2:$G$477,MATCH($E4791,Section_Master!$A$2:$A$477,0))&amp;"","")</f>
        <v>N/A</v>
      </c>
      <c r="J4791" s="10" t="s">
        <v>52</v>
      </c>
      <c r="K4791" s="8" t="s">
        <v>11215</v>
      </c>
    </row>
    <row r="4792" customFormat="false" ht="34.5" hidden="false" customHeight="true" outlineLevel="0" collapsed="false">
      <c r="A4792" s="10" t="s">
        <v>11218</v>
      </c>
      <c r="B4792" s="10" t="s">
        <v>10064</v>
      </c>
      <c r="C4792" s="8" t="s">
        <v>11213</v>
      </c>
      <c r="D4792" s="8" t="s">
        <v>11219</v>
      </c>
      <c r="E4792" s="11" t="n">
        <v>441</v>
      </c>
      <c r="F4792" s="8" t="str">
        <f aca="false">IFERROR(INDEX(Section_Master!$D$2:$D$477,MATCH($E4792,Section_Master!$A$2:$A$477,0))&amp;"","")</f>
        <v>Not applicable - procedural provision (BNSS), no offence defined</v>
      </c>
      <c r="G4792" s="10" t="str">
        <f aca="false">IFERROR(INDEX(Section_Master!$E$2:$E$477,MATCH($E4792,Section_Master!$A$2:$A$477,0))&amp;"","")</f>
        <v>N/A</v>
      </c>
      <c r="H4792" s="10" t="str">
        <f aca="false">IFERROR(INDEX(Section_Master!$F$2:$F$477,MATCH($E4792,Section_Master!$A$2:$A$477,0))&amp;"","")</f>
        <v>N/A</v>
      </c>
      <c r="I4792" s="10" t="str">
        <f aca="false">IFERROR(INDEX(Section_Master!$G$2:$G$477,MATCH($E4792,Section_Master!$A$2:$A$477,0))&amp;"","")</f>
        <v>N/A</v>
      </c>
      <c r="J4792" s="10" t="s">
        <v>55</v>
      </c>
      <c r="K4792" s="8" t="s">
        <v>11215</v>
      </c>
    </row>
    <row r="4793" customFormat="false" ht="23.25" hidden="false" customHeight="true" outlineLevel="0" collapsed="false">
      <c r="A4793" s="10" t="s">
        <v>11220</v>
      </c>
      <c r="B4793" s="10" t="s">
        <v>10064</v>
      </c>
      <c r="C4793" s="8" t="s">
        <v>11213</v>
      </c>
      <c r="D4793" s="8" t="s">
        <v>11221</v>
      </c>
      <c r="E4793" s="11" t="n">
        <v>441</v>
      </c>
      <c r="F4793" s="8" t="str">
        <f aca="false">IFERROR(INDEX(Section_Master!$D$2:$D$477,MATCH($E4793,Section_Master!$A$2:$A$477,0))&amp;"","")</f>
        <v>Not applicable - procedural provision (BNSS), no offence defined</v>
      </c>
      <c r="G4793" s="10" t="str">
        <f aca="false">IFERROR(INDEX(Section_Master!$E$2:$E$477,MATCH($E4793,Section_Master!$A$2:$A$477,0))&amp;"","")</f>
        <v>N/A</v>
      </c>
      <c r="H4793" s="10" t="str">
        <f aca="false">IFERROR(INDEX(Section_Master!$F$2:$F$477,MATCH($E4793,Section_Master!$A$2:$A$477,0))&amp;"","")</f>
        <v>N/A</v>
      </c>
      <c r="I4793" s="10" t="str">
        <f aca="false">IFERROR(INDEX(Section_Master!$G$2:$G$477,MATCH($E4793,Section_Master!$A$2:$A$477,0))&amp;"","")</f>
        <v>N/A</v>
      </c>
      <c r="J4793" s="10" t="s">
        <v>58</v>
      </c>
      <c r="K4793" s="8" t="s">
        <v>11215</v>
      </c>
    </row>
    <row r="4794" customFormat="false" ht="34.5" hidden="false" customHeight="true" outlineLevel="0" collapsed="false">
      <c r="A4794" s="10" t="s">
        <v>11222</v>
      </c>
      <c r="B4794" s="10" t="s">
        <v>10064</v>
      </c>
      <c r="C4794" s="8" t="s">
        <v>11213</v>
      </c>
      <c r="D4794" s="8" t="s">
        <v>11223</v>
      </c>
      <c r="E4794" s="11" t="n">
        <v>441</v>
      </c>
      <c r="F4794" s="8" t="str">
        <f aca="false">IFERROR(INDEX(Section_Master!$D$2:$D$477,MATCH($E4794,Section_Master!$A$2:$A$477,0))&amp;"","")</f>
        <v>Not applicable - procedural provision (BNSS), no offence defined</v>
      </c>
      <c r="G4794" s="10" t="str">
        <f aca="false">IFERROR(INDEX(Section_Master!$E$2:$E$477,MATCH($E4794,Section_Master!$A$2:$A$477,0))&amp;"","")</f>
        <v>N/A</v>
      </c>
      <c r="H4794" s="10" t="str">
        <f aca="false">IFERROR(INDEX(Section_Master!$F$2:$F$477,MATCH($E4794,Section_Master!$A$2:$A$477,0))&amp;"","")</f>
        <v>N/A</v>
      </c>
      <c r="I4794" s="10" t="str">
        <f aca="false">IFERROR(INDEX(Section_Master!$G$2:$G$477,MATCH($E4794,Section_Master!$A$2:$A$477,0))&amp;"","")</f>
        <v>N/A</v>
      </c>
      <c r="J4794" s="10" t="s">
        <v>61</v>
      </c>
      <c r="K4794" s="8" t="s">
        <v>11215</v>
      </c>
    </row>
    <row r="4795" customFormat="false" ht="57" hidden="false" customHeight="true" outlineLevel="0" collapsed="false">
      <c r="A4795" s="10" t="s">
        <v>11224</v>
      </c>
      <c r="B4795" s="10" t="s">
        <v>10064</v>
      </c>
      <c r="C4795" s="8" t="s">
        <v>11213</v>
      </c>
      <c r="D4795" s="8" t="s">
        <v>11225</v>
      </c>
      <c r="E4795" s="11" t="n">
        <v>441</v>
      </c>
      <c r="F4795" s="8" t="str">
        <f aca="false">IFERROR(INDEX(Section_Master!$D$2:$D$477,MATCH($E4795,Section_Master!$A$2:$A$477,0))&amp;"","")</f>
        <v>Not applicable - procedural provision (BNSS), no offence defined</v>
      </c>
      <c r="G4795" s="10" t="str">
        <f aca="false">IFERROR(INDEX(Section_Master!$E$2:$E$477,MATCH($E4795,Section_Master!$A$2:$A$477,0))&amp;"","")</f>
        <v>N/A</v>
      </c>
      <c r="H4795" s="10" t="str">
        <f aca="false">IFERROR(INDEX(Section_Master!$F$2:$F$477,MATCH($E4795,Section_Master!$A$2:$A$477,0))&amp;"","")</f>
        <v>N/A</v>
      </c>
      <c r="I4795" s="10" t="str">
        <f aca="false">IFERROR(INDEX(Section_Master!$G$2:$G$477,MATCH($E4795,Section_Master!$A$2:$A$477,0))&amp;"","")</f>
        <v>N/A</v>
      </c>
      <c r="J4795" s="10" t="s">
        <v>64</v>
      </c>
      <c r="K4795" s="8" t="s">
        <v>11215</v>
      </c>
    </row>
    <row r="4796" customFormat="false" ht="34.5" hidden="false" customHeight="true" outlineLevel="0" collapsed="false">
      <c r="A4796" s="10" t="s">
        <v>11226</v>
      </c>
      <c r="B4796" s="10" t="s">
        <v>10064</v>
      </c>
      <c r="C4796" s="8" t="s">
        <v>11227</v>
      </c>
      <c r="D4796" s="8" t="s">
        <v>11228</v>
      </c>
      <c r="E4796" s="11" t="n">
        <v>442</v>
      </c>
      <c r="F4796" s="8" t="str">
        <f aca="false">IFERROR(INDEX(Section_Master!$D$2:$D$477,MATCH($E4796,Section_Master!$A$2:$A$477,0))&amp;"","")</f>
        <v>Not applicable - procedural provision (BNSS), no offence defined</v>
      </c>
      <c r="G4796" s="10" t="str">
        <f aca="false">IFERROR(INDEX(Section_Master!$E$2:$E$477,MATCH($E4796,Section_Master!$A$2:$A$477,0))&amp;"","")</f>
        <v>N/A</v>
      </c>
      <c r="H4796" s="10" t="str">
        <f aca="false">IFERROR(INDEX(Section_Master!$F$2:$F$477,MATCH($E4796,Section_Master!$A$2:$A$477,0))&amp;"","")</f>
        <v>N/A</v>
      </c>
      <c r="I4796" s="10" t="str">
        <f aca="false">IFERROR(INDEX(Section_Master!$G$2:$G$477,MATCH($E4796,Section_Master!$A$2:$A$477,0))&amp;"","")</f>
        <v>N/A</v>
      </c>
      <c r="J4796" s="10" t="s">
        <v>48</v>
      </c>
      <c r="K4796" s="8" t="s">
        <v>11229</v>
      </c>
    </row>
    <row r="4797" customFormat="false" ht="45.75" hidden="false" customHeight="true" outlineLevel="0" collapsed="false">
      <c r="A4797" s="10" t="s">
        <v>11230</v>
      </c>
      <c r="B4797" s="10" t="s">
        <v>10064</v>
      </c>
      <c r="C4797" s="8" t="s">
        <v>11227</v>
      </c>
      <c r="D4797" s="8" t="s">
        <v>11231</v>
      </c>
      <c r="E4797" s="11" t="n">
        <v>442</v>
      </c>
      <c r="F4797" s="8" t="str">
        <f aca="false">IFERROR(INDEX(Section_Master!$D$2:$D$477,MATCH($E4797,Section_Master!$A$2:$A$477,0))&amp;"","")</f>
        <v>Not applicable - procedural provision (BNSS), no offence defined</v>
      </c>
      <c r="G4797" s="10" t="str">
        <f aca="false">IFERROR(INDEX(Section_Master!$E$2:$E$477,MATCH($E4797,Section_Master!$A$2:$A$477,0))&amp;"","")</f>
        <v>N/A</v>
      </c>
      <c r="H4797" s="10" t="str">
        <f aca="false">IFERROR(INDEX(Section_Master!$F$2:$F$477,MATCH($E4797,Section_Master!$A$2:$A$477,0))&amp;"","")</f>
        <v>N/A</v>
      </c>
      <c r="I4797" s="10" t="str">
        <f aca="false">IFERROR(INDEX(Section_Master!$G$2:$G$477,MATCH($E4797,Section_Master!$A$2:$A$477,0))&amp;"","")</f>
        <v>N/A</v>
      </c>
      <c r="J4797" s="10" t="s">
        <v>52</v>
      </c>
      <c r="K4797" s="8" t="s">
        <v>11229</v>
      </c>
    </row>
    <row r="4798" customFormat="false" ht="45.75" hidden="false" customHeight="true" outlineLevel="0" collapsed="false">
      <c r="A4798" s="10" t="s">
        <v>11232</v>
      </c>
      <c r="B4798" s="10" t="s">
        <v>10064</v>
      </c>
      <c r="C4798" s="8" t="s">
        <v>11227</v>
      </c>
      <c r="D4798" s="8" t="s">
        <v>11233</v>
      </c>
      <c r="E4798" s="11" t="n">
        <v>442</v>
      </c>
      <c r="F4798" s="8" t="str">
        <f aca="false">IFERROR(INDEX(Section_Master!$D$2:$D$477,MATCH($E4798,Section_Master!$A$2:$A$477,0))&amp;"","")</f>
        <v>Not applicable - procedural provision (BNSS), no offence defined</v>
      </c>
      <c r="G4798" s="10" t="str">
        <f aca="false">IFERROR(INDEX(Section_Master!$E$2:$E$477,MATCH($E4798,Section_Master!$A$2:$A$477,0))&amp;"","")</f>
        <v>N/A</v>
      </c>
      <c r="H4798" s="10" t="str">
        <f aca="false">IFERROR(INDEX(Section_Master!$F$2:$F$477,MATCH($E4798,Section_Master!$A$2:$A$477,0))&amp;"","")</f>
        <v>N/A</v>
      </c>
      <c r="I4798" s="10" t="str">
        <f aca="false">IFERROR(INDEX(Section_Master!$G$2:$G$477,MATCH($E4798,Section_Master!$A$2:$A$477,0))&amp;"","")</f>
        <v>N/A</v>
      </c>
      <c r="J4798" s="10" t="s">
        <v>55</v>
      </c>
      <c r="K4798" s="8" t="s">
        <v>11229</v>
      </c>
    </row>
    <row r="4799" customFormat="false" ht="23.25" hidden="false" customHeight="true" outlineLevel="0" collapsed="false">
      <c r="A4799" s="10" t="s">
        <v>11234</v>
      </c>
      <c r="B4799" s="10" t="s">
        <v>10064</v>
      </c>
      <c r="C4799" s="8" t="s">
        <v>11227</v>
      </c>
      <c r="D4799" s="8" t="s">
        <v>11235</v>
      </c>
      <c r="E4799" s="11" t="n">
        <v>442</v>
      </c>
      <c r="F4799" s="8" t="str">
        <f aca="false">IFERROR(INDEX(Section_Master!$D$2:$D$477,MATCH($E4799,Section_Master!$A$2:$A$477,0))&amp;"","")</f>
        <v>Not applicable - procedural provision (BNSS), no offence defined</v>
      </c>
      <c r="G4799" s="10" t="str">
        <f aca="false">IFERROR(INDEX(Section_Master!$E$2:$E$477,MATCH($E4799,Section_Master!$A$2:$A$477,0))&amp;"","")</f>
        <v>N/A</v>
      </c>
      <c r="H4799" s="10" t="str">
        <f aca="false">IFERROR(INDEX(Section_Master!$F$2:$F$477,MATCH($E4799,Section_Master!$A$2:$A$477,0))&amp;"","")</f>
        <v>N/A</v>
      </c>
      <c r="I4799" s="10" t="str">
        <f aca="false">IFERROR(INDEX(Section_Master!$G$2:$G$477,MATCH($E4799,Section_Master!$A$2:$A$477,0))&amp;"","")</f>
        <v>N/A</v>
      </c>
      <c r="J4799" s="10" t="s">
        <v>58</v>
      </c>
      <c r="K4799" s="8" t="s">
        <v>11229</v>
      </c>
    </row>
    <row r="4800" customFormat="false" ht="34.5" hidden="false" customHeight="true" outlineLevel="0" collapsed="false">
      <c r="A4800" s="10" t="s">
        <v>11236</v>
      </c>
      <c r="B4800" s="10" t="s">
        <v>10064</v>
      </c>
      <c r="C4800" s="8" t="s">
        <v>11227</v>
      </c>
      <c r="D4800" s="8" t="s">
        <v>11237</v>
      </c>
      <c r="E4800" s="11" t="n">
        <v>442</v>
      </c>
      <c r="F4800" s="8" t="str">
        <f aca="false">IFERROR(INDEX(Section_Master!$D$2:$D$477,MATCH($E4800,Section_Master!$A$2:$A$477,0))&amp;"","")</f>
        <v>Not applicable - procedural provision (BNSS), no offence defined</v>
      </c>
      <c r="G4800" s="10" t="str">
        <f aca="false">IFERROR(INDEX(Section_Master!$E$2:$E$477,MATCH($E4800,Section_Master!$A$2:$A$477,0))&amp;"","")</f>
        <v>N/A</v>
      </c>
      <c r="H4800" s="10" t="str">
        <f aca="false">IFERROR(INDEX(Section_Master!$F$2:$F$477,MATCH($E4800,Section_Master!$A$2:$A$477,0))&amp;"","")</f>
        <v>N/A</v>
      </c>
      <c r="I4800" s="10" t="str">
        <f aca="false">IFERROR(INDEX(Section_Master!$G$2:$G$477,MATCH($E4800,Section_Master!$A$2:$A$477,0))&amp;"","")</f>
        <v>N/A</v>
      </c>
      <c r="J4800" s="10" t="s">
        <v>61</v>
      </c>
      <c r="K4800" s="8" t="s">
        <v>11229</v>
      </c>
    </row>
    <row r="4801" customFormat="false" ht="57" hidden="false" customHeight="true" outlineLevel="0" collapsed="false">
      <c r="A4801" s="10" t="s">
        <v>11238</v>
      </c>
      <c r="B4801" s="10" t="s">
        <v>10064</v>
      </c>
      <c r="C4801" s="8" t="s">
        <v>11227</v>
      </c>
      <c r="D4801" s="8" t="s">
        <v>11239</v>
      </c>
      <c r="E4801" s="11" t="n">
        <v>442</v>
      </c>
      <c r="F4801" s="8" t="str">
        <f aca="false">IFERROR(INDEX(Section_Master!$D$2:$D$477,MATCH($E4801,Section_Master!$A$2:$A$477,0))&amp;"","")</f>
        <v>Not applicable - procedural provision (BNSS), no offence defined</v>
      </c>
      <c r="G4801" s="10" t="str">
        <f aca="false">IFERROR(INDEX(Section_Master!$E$2:$E$477,MATCH($E4801,Section_Master!$A$2:$A$477,0))&amp;"","")</f>
        <v>N/A</v>
      </c>
      <c r="H4801" s="10" t="str">
        <f aca="false">IFERROR(INDEX(Section_Master!$F$2:$F$477,MATCH($E4801,Section_Master!$A$2:$A$477,0))&amp;"","")</f>
        <v>N/A</v>
      </c>
      <c r="I4801" s="10" t="str">
        <f aca="false">IFERROR(INDEX(Section_Master!$G$2:$G$477,MATCH($E4801,Section_Master!$A$2:$A$477,0))&amp;"","")</f>
        <v>N/A</v>
      </c>
      <c r="J4801" s="10" t="s">
        <v>64</v>
      </c>
      <c r="K4801" s="8" t="s">
        <v>11229</v>
      </c>
    </row>
    <row r="4802" customFormat="false" ht="34.5" hidden="false" customHeight="true" outlineLevel="0" collapsed="false">
      <c r="A4802" s="10" t="s">
        <v>11240</v>
      </c>
      <c r="B4802" s="10" t="s">
        <v>10064</v>
      </c>
      <c r="C4802" s="8" t="s">
        <v>11241</v>
      </c>
      <c r="D4802" s="8" t="s">
        <v>11242</v>
      </c>
      <c r="E4802" s="11" t="n">
        <v>443</v>
      </c>
      <c r="F4802" s="8" t="str">
        <f aca="false">IFERROR(INDEX(Section_Master!$D$2:$D$477,MATCH($E4802,Section_Master!$A$2:$A$477,0))&amp;"","")</f>
        <v>Not applicable - procedural provision (BNSS), no offence defined</v>
      </c>
      <c r="G4802" s="10" t="str">
        <f aca="false">IFERROR(INDEX(Section_Master!$E$2:$E$477,MATCH($E4802,Section_Master!$A$2:$A$477,0))&amp;"","")</f>
        <v>N/A</v>
      </c>
      <c r="H4802" s="10" t="str">
        <f aca="false">IFERROR(INDEX(Section_Master!$F$2:$F$477,MATCH($E4802,Section_Master!$A$2:$A$477,0))&amp;"","")</f>
        <v>N/A</v>
      </c>
      <c r="I4802" s="10" t="str">
        <f aca="false">IFERROR(INDEX(Section_Master!$G$2:$G$477,MATCH($E4802,Section_Master!$A$2:$A$477,0))&amp;"","")</f>
        <v>N/A</v>
      </c>
      <c r="J4802" s="10" t="s">
        <v>48</v>
      </c>
      <c r="K4802" s="8" t="s">
        <v>11243</v>
      </c>
    </row>
    <row r="4803" customFormat="false" ht="45.75" hidden="false" customHeight="true" outlineLevel="0" collapsed="false">
      <c r="A4803" s="10" t="s">
        <v>11244</v>
      </c>
      <c r="B4803" s="10" t="s">
        <v>10064</v>
      </c>
      <c r="C4803" s="8" t="s">
        <v>11241</v>
      </c>
      <c r="D4803" s="8" t="s">
        <v>11245</v>
      </c>
      <c r="E4803" s="11" t="n">
        <v>443</v>
      </c>
      <c r="F4803" s="8" t="str">
        <f aca="false">IFERROR(INDEX(Section_Master!$D$2:$D$477,MATCH($E4803,Section_Master!$A$2:$A$477,0))&amp;"","")</f>
        <v>Not applicable - procedural provision (BNSS), no offence defined</v>
      </c>
      <c r="G4803" s="10" t="str">
        <f aca="false">IFERROR(INDEX(Section_Master!$E$2:$E$477,MATCH($E4803,Section_Master!$A$2:$A$477,0))&amp;"","")</f>
        <v>N/A</v>
      </c>
      <c r="H4803" s="10" t="str">
        <f aca="false">IFERROR(INDEX(Section_Master!$F$2:$F$477,MATCH($E4803,Section_Master!$A$2:$A$477,0))&amp;"","")</f>
        <v>N/A</v>
      </c>
      <c r="I4803" s="10" t="str">
        <f aca="false">IFERROR(INDEX(Section_Master!$G$2:$G$477,MATCH($E4803,Section_Master!$A$2:$A$477,0))&amp;"","")</f>
        <v>N/A</v>
      </c>
      <c r="J4803" s="10" t="s">
        <v>52</v>
      </c>
      <c r="K4803" s="8" t="s">
        <v>11243</v>
      </c>
    </row>
    <row r="4804" customFormat="false" ht="45.75" hidden="false" customHeight="true" outlineLevel="0" collapsed="false">
      <c r="A4804" s="10" t="s">
        <v>11246</v>
      </c>
      <c r="B4804" s="10" t="s">
        <v>10064</v>
      </c>
      <c r="C4804" s="8" t="s">
        <v>11241</v>
      </c>
      <c r="D4804" s="8" t="s">
        <v>11247</v>
      </c>
      <c r="E4804" s="11" t="n">
        <v>443</v>
      </c>
      <c r="F4804" s="8" t="str">
        <f aca="false">IFERROR(INDEX(Section_Master!$D$2:$D$477,MATCH($E4804,Section_Master!$A$2:$A$477,0))&amp;"","")</f>
        <v>Not applicable - procedural provision (BNSS), no offence defined</v>
      </c>
      <c r="G4804" s="10" t="str">
        <f aca="false">IFERROR(INDEX(Section_Master!$E$2:$E$477,MATCH($E4804,Section_Master!$A$2:$A$477,0))&amp;"","")</f>
        <v>N/A</v>
      </c>
      <c r="H4804" s="10" t="str">
        <f aca="false">IFERROR(INDEX(Section_Master!$F$2:$F$477,MATCH($E4804,Section_Master!$A$2:$A$477,0))&amp;"","")</f>
        <v>N/A</v>
      </c>
      <c r="I4804" s="10" t="str">
        <f aca="false">IFERROR(INDEX(Section_Master!$G$2:$G$477,MATCH($E4804,Section_Master!$A$2:$A$477,0))&amp;"","")</f>
        <v>N/A</v>
      </c>
      <c r="J4804" s="10" t="s">
        <v>55</v>
      </c>
      <c r="K4804" s="8" t="s">
        <v>11243</v>
      </c>
    </row>
    <row r="4805" customFormat="false" ht="23.25" hidden="false" customHeight="true" outlineLevel="0" collapsed="false">
      <c r="A4805" s="10" t="s">
        <v>11248</v>
      </c>
      <c r="B4805" s="10" t="s">
        <v>10064</v>
      </c>
      <c r="C4805" s="8" t="s">
        <v>11241</v>
      </c>
      <c r="D4805" s="8" t="s">
        <v>11249</v>
      </c>
      <c r="E4805" s="11" t="n">
        <v>443</v>
      </c>
      <c r="F4805" s="8" t="str">
        <f aca="false">IFERROR(INDEX(Section_Master!$D$2:$D$477,MATCH($E4805,Section_Master!$A$2:$A$477,0))&amp;"","")</f>
        <v>Not applicable - procedural provision (BNSS), no offence defined</v>
      </c>
      <c r="G4805" s="10" t="str">
        <f aca="false">IFERROR(INDEX(Section_Master!$E$2:$E$477,MATCH($E4805,Section_Master!$A$2:$A$477,0))&amp;"","")</f>
        <v>N/A</v>
      </c>
      <c r="H4805" s="10" t="str">
        <f aca="false">IFERROR(INDEX(Section_Master!$F$2:$F$477,MATCH($E4805,Section_Master!$A$2:$A$477,0))&amp;"","")</f>
        <v>N/A</v>
      </c>
      <c r="I4805" s="10" t="str">
        <f aca="false">IFERROR(INDEX(Section_Master!$G$2:$G$477,MATCH($E4805,Section_Master!$A$2:$A$477,0))&amp;"","")</f>
        <v>N/A</v>
      </c>
      <c r="J4805" s="10" t="s">
        <v>58</v>
      </c>
      <c r="K4805" s="8" t="s">
        <v>11243</v>
      </c>
    </row>
    <row r="4806" customFormat="false" ht="23.25" hidden="false" customHeight="true" outlineLevel="0" collapsed="false">
      <c r="A4806" s="10" t="s">
        <v>11250</v>
      </c>
      <c r="B4806" s="10" t="s">
        <v>10064</v>
      </c>
      <c r="C4806" s="8" t="s">
        <v>11241</v>
      </c>
      <c r="D4806" s="8" t="s">
        <v>11251</v>
      </c>
      <c r="E4806" s="11" t="n">
        <v>443</v>
      </c>
      <c r="F4806" s="8" t="str">
        <f aca="false">IFERROR(INDEX(Section_Master!$D$2:$D$477,MATCH($E4806,Section_Master!$A$2:$A$477,0))&amp;"","")</f>
        <v>Not applicable - procedural provision (BNSS), no offence defined</v>
      </c>
      <c r="G4806" s="10" t="str">
        <f aca="false">IFERROR(INDEX(Section_Master!$E$2:$E$477,MATCH($E4806,Section_Master!$A$2:$A$477,0))&amp;"","")</f>
        <v>N/A</v>
      </c>
      <c r="H4806" s="10" t="str">
        <f aca="false">IFERROR(INDEX(Section_Master!$F$2:$F$477,MATCH($E4806,Section_Master!$A$2:$A$477,0))&amp;"","")</f>
        <v>N/A</v>
      </c>
      <c r="I4806" s="10" t="str">
        <f aca="false">IFERROR(INDEX(Section_Master!$G$2:$G$477,MATCH($E4806,Section_Master!$A$2:$A$477,0))&amp;"","")</f>
        <v>N/A</v>
      </c>
      <c r="J4806" s="10" t="s">
        <v>61</v>
      </c>
      <c r="K4806" s="8" t="s">
        <v>11243</v>
      </c>
    </row>
    <row r="4807" customFormat="false" ht="45.75" hidden="false" customHeight="true" outlineLevel="0" collapsed="false">
      <c r="A4807" s="10" t="s">
        <v>11252</v>
      </c>
      <c r="B4807" s="10" t="s">
        <v>10064</v>
      </c>
      <c r="C4807" s="8" t="s">
        <v>11241</v>
      </c>
      <c r="D4807" s="8" t="s">
        <v>11253</v>
      </c>
      <c r="E4807" s="11" t="n">
        <v>443</v>
      </c>
      <c r="F4807" s="8" t="str">
        <f aca="false">IFERROR(INDEX(Section_Master!$D$2:$D$477,MATCH($E4807,Section_Master!$A$2:$A$477,0))&amp;"","")</f>
        <v>Not applicable - procedural provision (BNSS), no offence defined</v>
      </c>
      <c r="G4807" s="10" t="str">
        <f aca="false">IFERROR(INDEX(Section_Master!$E$2:$E$477,MATCH($E4807,Section_Master!$A$2:$A$477,0))&amp;"","")</f>
        <v>N/A</v>
      </c>
      <c r="H4807" s="10" t="str">
        <f aca="false">IFERROR(INDEX(Section_Master!$F$2:$F$477,MATCH($E4807,Section_Master!$A$2:$A$477,0))&amp;"","")</f>
        <v>N/A</v>
      </c>
      <c r="I4807" s="10" t="str">
        <f aca="false">IFERROR(INDEX(Section_Master!$G$2:$G$477,MATCH($E4807,Section_Master!$A$2:$A$477,0))&amp;"","")</f>
        <v>N/A</v>
      </c>
      <c r="J4807" s="10" t="s">
        <v>64</v>
      </c>
      <c r="K4807" s="8" t="s">
        <v>11243</v>
      </c>
    </row>
    <row r="4808" customFormat="false" ht="34.5" hidden="false" customHeight="true" outlineLevel="0" collapsed="false">
      <c r="A4808" s="10" t="s">
        <v>11254</v>
      </c>
      <c r="B4808" s="10" t="s">
        <v>10064</v>
      </c>
      <c r="C4808" s="8" t="s">
        <v>11255</v>
      </c>
      <c r="D4808" s="8" t="s">
        <v>11256</v>
      </c>
      <c r="E4808" s="11" t="n">
        <v>444</v>
      </c>
      <c r="F4808" s="8" t="str">
        <f aca="false">IFERROR(INDEX(Section_Master!$D$2:$D$477,MATCH($E4808,Section_Master!$A$2:$A$477,0))&amp;"","")</f>
        <v>Not applicable - procedural provision (BNSS), no offence defined</v>
      </c>
      <c r="G4808" s="10" t="str">
        <f aca="false">IFERROR(INDEX(Section_Master!$E$2:$E$477,MATCH($E4808,Section_Master!$A$2:$A$477,0))&amp;"","")</f>
        <v>N/A</v>
      </c>
      <c r="H4808" s="10" t="str">
        <f aca="false">IFERROR(INDEX(Section_Master!$F$2:$F$477,MATCH($E4808,Section_Master!$A$2:$A$477,0))&amp;"","")</f>
        <v>N/A</v>
      </c>
      <c r="I4808" s="10" t="str">
        <f aca="false">IFERROR(INDEX(Section_Master!$G$2:$G$477,MATCH($E4808,Section_Master!$A$2:$A$477,0))&amp;"","")</f>
        <v>N/A</v>
      </c>
      <c r="J4808" s="10" t="s">
        <v>48</v>
      </c>
      <c r="K4808" s="8" t="s">
        <v>11257</v>
      </c>
    </row>
    <row r="4809" customFormat="false" ht="45.75" hidden="false" customHeight="true" outlineLevel="0" collapsed="false">
      <c r="A4809" s="10" t="s">
        <v>11258</v>
      </c>
      <c r="B4809" s="10" t="s">
        <v>10064</v>
      </c>
      <c r="C4809" s="8" t="s">
        <v>11255</v>
      </c>
      <c r="D4809" s="8" t="s">
        <v>11259</v>
      </c>
      <c r="E4809" s="11" t="n">
        <v>444</v>
      </c>
      <c r="F4809" s="8" t="str">
        <f aca="false">IFERROR(INDEX(Section_Master!$D$2:$D$477,MATCH($E4809,Section_Master!$A$2:$A$477,0))&amp;"","")</f>
        <v>Not applicable - procedural provision (BNSS), no offence defined</v>
      </c>
      <c r="G4809" s="10" t="str">
        <f aca="false">IFERROR(INDEX(Section_Master!$E$2:$E$477,MATCH($E4809,Section_Master!$A$2:$A$477,0))&amp;"","")</f>
        <v>N/A</v>
      </c>
      <c r="H4809" s="10" t="str">
        <f aca="false">IFERROR(INDEX(Section_Master!$F$2:$F$477,MATCH($E4809,Section_Master!$A$2:$A$477,0))&amp;"","")</f>
        <v>N/A</v>
      </c>
      <c r="I4809" s="10" t="str">
        <f aca="false">IFERROR(INDEX(Section_Master!$G$2:$G$477,MATCH($E4809,Section_Master!$A$2:$A$477,0))&amp;"","")</f>
        <v>N/A</v>
      </c>
      <c r="J4809" s="10" t="s">
        <v>52</v>
      </c>
      <c r="K4809" s="8" t="s">
        <v>11257</v>
      </c>
    </row>
    <row r="4810" customFormat="false" ht="34.5" hidden="false" customHeight="true" outlineLevel="0" collapsed="false">
      <c r="A4810" s="10" t="s">
        <v>11260</v>
      </c>
      <c r="B4810" s="10" t="s">
        <v>10064</v>
      </c>
      <c r="C4810" s="8" t="s">
        <v>11255</v>
      </c>
      <c r="D4810" s="8" t="s">
        <v>11261</v>
      </c>
      <c r="E4810" s="11" t="n">
        <v>444</v>
      </c>
      <c r="F4810" s="8" t="str">
        <f aca="false">IFERROR(INDEX(Section_Master!$D$2:$D$477,MATCH($E4810,Section_Master!$A$2:$A$477,0))&amp;"","")</f>
        <v>Not applicable - procedural provision (BNSS), no offence defined</v>
      </c>
      <c r="G4810" s="10" t="str">
        <f aca="false">IFERROR(INDEX(Section_Master!$E$2:$E$477,MATCH($E4810,Section_Master!$A$2:$A$477,0))&amp;"","")</f>
        <v>N/A</v>
      </c>
      <c r="H4810" s="10" t="str">
        <f aca="false">IFERROR(INDEX(Section_Master!$F$2:$F$477,MATCH($E4810,Section_Master!$A$2:$A$477,0))&amp;"","")</f>
        <v>N/A</v>
      </c>
      <c r="I4810" s="10" t="str">
        <f aca="false">IFERROR(INDEX(Section_Master!$G$2:$G$477,MATCH($E4810,Section_Master!$A$2:$A$477,0))&amp;"","")</f>
        <v>N/A</v>
      </c>
      <c r="J4810" s="10" t="s">
        <v>55</v>
      </c>
      <c r="K4810" s="8" t="s">
        <v>11257</v>
      </c>
    </row>
    <row r="4811" customFormat="false" ht="23.25" hidden="false" customHeight="true" outlineLevel="0" collapsed="false">
      <c r="A4811" s="10" t="s">
        <v>11262</v>
      </c>
      <c r="B4811" s="10" t="s">
        <v>10064</v>
      </c>
      <c r="C4811" s="8" t="s">
        <v>11255</v>
      </c>
      <c r="D4811" s="8" t="s">
        <v>11263</v>
      </c>
      <c r="E4811" s="11" t="n">
        <v>444</v>
      </c>
      <c r="F4811" s="8" t="str">
        <f aca="false">IFERROR(INDEX(Section_Master!$D$2:$D$477,MATCH($E4811,Section_Master!$A$2:$A$477,0))&amp;"","")</f>
        <v>Not applicable - procedural provision (BNSS), no offence defined</v>
      </c>
      <c r="G4811" s="10" t="str">
        <f aca="false">IFERROR(INDEX(Section_Master!$E$2:$E$477,MATCH($E4811,Section_Master!$A$2:$A$477,0))&amp;"","")</f>
        <v>N/A</v>
      </c>
      <c r="H4811" s="10" t="str">
        <f aca="false">IFERROR(INDEX(Section_Master!$F$2:$F$477,MATCH($E4811,Section_Master!$A$2:$A$477,0))&amp;"","")</f>
        <v>N/A</v>
      </c>
      <c r="I4811" s="10" t="str">
        <f aca="false">IFERROR(INDEX(Section_Master!$G$2:$G$477,MATCH($E4811,Section_Master!$A$2:$A$477,0))&amp;"","")</f>
        <v>N/A</v>
      </c>
      <c r="J4811" s="10" t="s">
        <v>58</v>
      </c>
      <c r="K4811" s="8" t="s">
        <v>11257</v>
      </c>
    </row>
    <row r="4812" customFormat="false" ht="45.75" hidden="false" customHeight="true" outlineLevel="0" collapsed="false">
      <c r="A4812" s="10" t="s">
        <v>11264</v>
      </c>
      <c r="B4812" s="10" t="s">
        <v>10064</v>
      </c>
      <c r="C4812" s="8" t="s">
        <v>11255</v>
      </c>
      <c r="D4812" s="8" t="s">
        <v>11265</v>
      </c>
      <c r="E4812" s="11" t="n">
        <v>444</v>
      </c>
      <c r="F4812" s="8" t="str">
        <f aca="false">IFERROR(INDEX(Section_Master!$D$2:$D$477,MATCH($E4812,Section_Master!$A$2:$A$477,0))&amp;"","")</f>
        <v>Not applicable - procedural provision (BNSS), no offence defined</v>
      </c>
      <c r="G4812" s="10" t="str">
        <f aca="false">IFERROR(INDEX(Section_Master!$E$2:$E$477,MATCH($E4812,Section_Master!$A$2:$A$477,0))&amp;"","")</f>
        <v>N/A</v>
      </c>
      <c r="H4812" s="10" t="str">
        <f aca="false">IFERROR(INDEX(Section_Master!$F$2:$F$477,MATCH($E4812,Section_Master!$A$2:$A$477,0))&amp;"","")</f>
        <v>N/A</v>
      </c>
      <c r="I4812" s="10" t="str">
        <f aca="false">IFERROR(INDEX(Section_Master!$G$2:$G$477,MATCH($E4812,Section_Master!$A$2:$A$477,0))&amp;"","")</f>
        <v>N/A</v>
      </c>
      <c r="J4812" s="10" t="s">
        <v>61</v>
      </c>
      <c r="K4812" s="8" t="s">
        <v>11257</v>
      </c>
    </row>
    <row r="4813" customFormat="false" ht="45.75" hidden="false" customHeight="true" outlineLevel="0" collapsed="false">
      <c r="A4813" s="10" t="s">
        <v>11266</v>
      </c>
      <c r="B4813" s="10" t="s">
        <v>10064</v>
      </c>
      <c r="C4813" s="8" t="s">
        <v>11255</v>
      </c>
      <c r="D4813" s="8" t="s">
        <v>11267</v>
      </c>
      <c r="E4813" s="11" t="n">
        <v>444</v>
      </c>
      <c r="F4813" s="8" t="str">
        <f aca="false">IFERROR(INDEX(Section_Master!$D$2:$D$477,MATCH($E4813,Section_Master!$A$2:$A$477,0))&amp;"","")</f>
        <v>Not applicable - procedural provision (BNSS), no offence defined</v>
      </c>
      <c r="G4813" s="10" t="str">
        <f aca="false">IFERROR(INDEX(Section_Master!$E$2:$E$477,MATCH($E4813,Section_Master!$A$2:$A$477,0))&amp;"","")</f>
        <v>N/A</v>
      </c>
      <c r="H4813" s="10" t="str">
        <f aca="false">IFERROR(INDEX(Section_Master!$F$2:$F$477,MATCH($E4813,Section_Master!$A$2:$A$477,0))&amp;"","")</f>
        <v>N/A</v>
      </c>
      <c r="I4813" s="10" t="str">
        <f aca="false">IFERROR(INDEX(Section_Master!$G$2:$G$477,MATCH($E4813,Section_Master!$A$2:$A$477,0))&amp;"","")</f>
        <v>N/A</v>
      </c>
      <c r="J4813" s="10" t="s">
        <v>64</v>
      </c>
      <c r="K4813" s="8" t="s">
        <v>11257</v>
      </c>
    </row>
    <row r="4814" customFormat="false" ht="34.5" hidden="false" customHeight="true" outlineLevel="0" collapsed="false">
      <c r="A4814" s="10" t="s">
        <v>11268</v>
      </c>
      <c r="B4814" s="10" t="s">
        <v>10064</v>
      </c>
      <c r="C4814" s="8" t="s">
        <v>11269</v>
      </c>
      <c r="D4814" s="8" t="s">
        <v>11270</v>
      </c>
      <c r="E4814" s="11" t="n">
        <v>445</v>
      </c>
      <c r="F4814" s="8" t="str">
        <f aca="false">IFERROR(INDEX(Section_Master!$D$2:$D$477,MATCH($E4814,Section_Master!$A$2:$A$477,0))&amp;"","")</f>
        <v>Not applicable - procedural provision (BNSS), no offence defined</v>
      </c>
      <c r="G4814" s="10" t="str">
        <f aca="false">IFERROR(INDEX(Section_Master!$E$2:$E$477,MATCH($E4814,Section_Master!$A$2:$A$477,0))&amp;"","")</f>
        <v>N/A</v>
      </c>
      <c r="H4814" s="10" t="str">
        <f aca="false">IFERROR(INDEX(Section_Master!$F$2:$F$477,MATCH($E4814,Section_Master!$A$2:$A$477,0))&amp;"","")</f>
        <v>N/A</v>
      </c>
      <c r="I4814" s="10" t="str">
        <f aca="false">IFERROR(INDEX(Section_Master!$G$2:$G$477,MATCH($E4814,Section_Master!$A$2:$A$477,0))&amp;"","")</f>
        <v>N/A</v>
      </c>
      <c r="J4814" s="10" t="s">
        <v>48</v>
      </c>
      <c r="K4814" s="8" t="s">
        <v>11271</v>
      </c>
    </row>
    <row r="4815" customFormat="false" ht="45.75" hidden="false" customHeight="true" outlineLevel="0" collapsed="false">
      <c r="A4815" s="10" t="s">
        <v>11272</v>
      </c>
      <c r="B4815" s="10" t="s">
        <v>10064</v>
      </c>
      <c r="C4815" s="8" t="s">
        <v>11269</v>
      </c>
      <c r="D4815" s="8" t="s">
        <v>11273</v>
      </c>
      <c r="E4815" s="11" t="n">
        <v>445</v>
      </c>
      <c r="F4815" s="8" t="str">
        <f aca="false">IFERROR(INDEX(Section_Master!$D$2:$D$477,MATCH($E4815,Section_Master!$A$2:$A$477,0))&amp;"","")</f>
        <v>Not applicable - procedural provision (BNSS), no offence defined</v>
      </c>
      <c r="G4815" s="10" t="str">
        <f aca="false">IFERROR(INDEX(Section_Master!$E$2:$E$477,MATCH($E4815,Section_Master!$A$2:$A$477,0))&amp;"","")</f>
        <v>N/A</v>
      </c>
      <c r="H4815" s="10" t="str">
        <f aca="false">IFERROR(INDEX(Section_Master!$F$2:$F$477,MATCH($E4815,Section_Master!$A$2:$A$477,0))&amp;"","")</f>
        <v>N/A</v>
      </c>
      <c r="I4815" s="10" t="str">
        <f aca="false">IFERROR(INDEX(Section_Master!$G$2:$G$477,MATCH($E4815,Section_Master!$A$2:$A$477,0))&amp;"","")</f>
        <v>N/A</v>
      </c>
      <c r="J4815" s="10" t="s">
        <v>52</v>
      </c>
      <c r="K4815" s="8" t="s">
        <v>11271</v>
      </c>
    </row>
    <row r="4816" customFormat="false" ht="34.5" hidden="false" customHeight="true" outlineLevel="0" collapsed="false">
      <c r="A4816" s="10" t="s">
        <v>11274</v>
      </c>
      <c r="B4816" s="10" t="s">
        <v>10064</v>
      </c>
      <c r="C4816" s="8" t="s">
        <v>11269</v>
      </c>
      <c r="D4816" s="8" t="s">
        <v>11275</v>
      </c>
      <c r="E4816" s="11" t="n">
        <v>445</v>
      </c>
      <c r="F4816" s="8" t="str">
        <f aca="false">IFERROR(INDEX(Section_Master!$D$2:$D$477,MATCH($E4816,Section_Master!$A$2:$A$477,0))&amp;"","")</f>
        <v>Not applicable - procedural provision (BNSS), no offence defined</v>
      </c>
      <c r="G4816" s="10" t="str">
        <f aca="false">IFERROR(INDEX(Section_Master!$E$2:$E$477,MATCH($E4816,Section_Master!$A$2:$A$477,0))&amp;"","")</f>
        <v>N/A</v>
      </c>
      <c r="H4816" s="10" t="str">
        <f aca="false">IFERROR(INDEX(Section_Master!$F$2:$F$477,MATCH($E4816,Section_Master!$A$2:$A$477,0))&amp;"","")</f>
        <v>N/A</v>
      </c>
      <c r="I4816" s="10" t="str">
        <f aca="false">IFERROR(INDEX(Section_Master!$G$2:$G$477,MATCH($E4816,Section_Master!$A$2:$A$477,0))&amp;"","")</f>
        <v>N/A</v>
      </c>
      <c r="J4816" s="10" t="s">
        <v>55</v>
      </c>
      <c r="K4816" s="8" t="s">
        <v>11271</v>
      </c>
    </row>
    <row r="4817" customFormat="false" ht="23.25" hidden="false" customHeight="true" outlineLevel="0" collapsed="false">
      <c r="A4817" s="10" t="s">
        <v>11276</v>
      </c>
      <c r="B4817" s="10" t="s">
        <v>10064</v>
      </c>
      <c r="C4817" s="8" t="s">
        <v>11269</v>
      </c>
      <c r="D4817" s="8" t="s">
        <v>11277</v>
      </c>
      <c r="E4817" s="11" t="n">
        <v>445</v>
      </c>
      <c r="F4817" s="8" t="str">
        <f aca="false">IFERROR(INDEX(Section_Master!$D$2:$D$477,MATCH($E4817,Section_Master!$A$2:$A$477,0))&amp;"","")</f>
        <v>Not applicable - procedural provision (BNSS), no offence defined</v>
      </c>
      <c r="G4817" s="10" t="str">
        <f aca="false">IFERROR(INDEX(Section_Master!$E$2:$E$477,MATCH($E4817,Section_Master!$A$2:$A$477,0))&amp;"","")</f>
        <v>N/A</v>
      </c>
      <c r="H4817" s="10" t="str">
        <f aca="false">IFERROR(INDEX(Section_Master!$F$2:$F$477,MATCH($E4817,Section_Master!$A$2:$A$477,0))&amp;"","")</f>
        <v>N/A</v>
      </c>
      <c r="I4817" s="10" t="str">
        <f aca="false">IFERROR(INDEX(Section_Master!$G$2:$G$477,MATCH($E4817,Section_Master!$A$2:$A$477,0))&amp;"","")</f>
        <v>N/A</v>
      </c>
      <c r="J4817" s="10" t="s">
        <v>58</v>
      </c>
      <c r="K4817" s="8" t="s">
        <v>11271</v>
      </c>
    </row>
    <row r="4818" customFormat="false" ht="23.25" hidden="false" customHeight="true" outlineLevel="0" collapsed="false">
      <c r="A4818" s="10" t="s">
        <v>11278</v>
      </c>
      <c r="B4818" s="10" t="s">
        <v>10064</v>
      </c>
      <c r="C4818" s="8" t="s">
        <v>11269</v>
      </c>
      <c r="D4818" s="8" t="s">
        <v>11279</v>
      </c>
      <c r="E4818" s="11" t="n">
        <v>445</v>
      </c>
      <c r="F4818" s="8" t="str">
        <f aca="false">IFERROR(INDEX(Section_Master!$D$2:$D$477,MATCH($E4818,Section_Master!$A$2:$A$477,0))&amp;"","")</f>
        <v>Not applicable - procedural provision (BNSS), no offence defined</v>
      </c>
      <c r="G4818" s="10" t="str">
        <f aca="false">IFERROR(INDEX(Section_Master!$E$2:$E$477,MATCH($E4818,Section_Master!$A$2:$A$477,0))&amp;"","")</f>
        <v>N/A</v>
      </c>
      <c r="H4818" s="10" t="str">
        <f aca="false">IFERROR(INDEX(Section_Master!$F$2:$F$477,MATCH($E4818,Section_Master!$A$2:$A$477,0))&amp;"","")</f>
        <v>N/A</v>
      </c>
      <c r="I4818" s="10" t="str">
        <f aca="false">IFERROR(INDEX(Section_Master!$G$2:$G$477,MATCH($E4818,Section_Master!$A$2:$A$477,0))&amp;"","")</f>
        <v>N/A</v>
      </c>
      <c r="J4818" s="10" t="s">
        <v>61</v>
      </c>
      <c r="K4818" s="8" t="s">
        <v>11271</v>
      </c>
    </row>
    <row r="4819" customFormat="false" ht="57" hidden="false" customHeight="true" outlineLevel="0" collapsed="false">
      <c r="A4819" s="10" t="s">
        <v>11280</v>
      </c>
      <c r="B4819" s="10" t="s">
        <v>10064</v>
      </c>
      <c r="C4819" s="8" t="s">
        <v>11269</v>
      </c>
      <c r="D4819" s="8" t="s">
        <v>11281</v>
      </c>
      <c r="E4819" s="11" t="n">
        <v>445</v>
      </c>
      <c r="F4819" s="8" t="str">
        <f aca="false">IFERROR(INDEX(Section_Master!$D$2:$D$477,MATCH($E4819,Section_Master!$A$2:$A$477,0))&amp;"","")</f>
        <v>Not applicable - procedural provision (BNSS), no offence defined</v>
      </c>
      <c r="G4819" s="10" t="str">
        <f aca="false">IFERROR(INDEX(Section_Master!$E$2:$E$477,MATCH($E4819,Section_Master!$A$2:$A$477,0))&amp;"","")</f>
        <v>N/A</v>
      </c>
      <c r="H4819" s="10" t="str">
        <f aca="false">IFERROR(INDEX(Section_Master!$F$2:$F$477,MATCH($E4819,Section_Master!$A$2:$A$477,0))&amp;"","")</f>
        <v>N/A</v>
      </c>
      <c r="I4819" s="10" t="str">
        <f aca="false">IFERROR(INDEX(Section_Master!$G$2:$G$477,MATCH($E4819,Section_Master!$A$2:$A$477,0))&amp;"","")</f>
        <v>N/A</v>
      </c>
      <c r="J4819" s="10" t="s">
        <v>64</v>
      </c>
      <c r="K4819" s="8" t="s">
        <v>11271</v>
      </c>
    </row>
    <row r="4820" customFormat="false" ht="34.5" hidden="false" customHeight="true" outlineLevel="0" collapsed="false">
      <c r="A4820" s="10" t="s">
        <v>11282</v>
      </c>
      <c r="B4820" s="10" t="s">
        <v>10064</v>
      </c>
      <c r="C4820" s="8" t="s">
        <v>11283</v>
      </c>
      <c r="D4820" s="8" t="s">
        <v>11284</v>
      </c>
      <c r="E4820" s="11" t="n">
        <v>446</v>
      </c>
      <c r="F4820" s="8" t="str">
        <f aca="false">IFERROR(INDEX(Section_Master!$D$2:$D$477,MATCH($E4820,Section_Master!$A$2:$A$477,0))&amp;"","")</f>
        <v>Not applicable - procedural provision (BNSS), no offence defined</v>
      </c>
      <c r="G4820" s="10" t="str">
        <f aca="false">IFERROR(INDEX(Section_Master!$E$2:$E$477,MATCH($E4820,Section_Master!$A$2:$A$477,0))&amp;"","")</f>
        <v>N/A</v>
      </c>
      <c r="H4820" s="10" t="str">
        <f aca="false">IFERROR(INDEX(Section_Master!$F$2:$F$477,MATCH($E4820,Section_Master!$A$2:$A$477,0))&amp;"","")</f>
        <v>N/A</v>
      </c>
      <c r="I4820" s="10" t="str">
        <f aca="false">IFERROR(INDEX(Section_Master!$G$2:$G$477,MATCH($E4820,Section_Master!$A$2:$A$477,0))&amp;"","")</f>
        <v>N/A</v>
      </c>
      <c r="J4820" s="10" t="s">
        <v>48</v>
      </c>
      <c r="K4820" s="8" t="s">
        <v>11285</v>
      </c>
    </row>
    <row r="4821" customFormat="false" ht="45.75" hidden="false" customHeight="true" outlineLevel="0" collapsed="false">
      <c r="A4821" s="10" t="s">
        <v>11286</v>
      </c>
      <c r="B4821" s="10" t="s">
        <v>10064</v>
      </c>
      <c r="C4821" s="8" t="s">
        <v>11283</v>
      </c>
      <c r="D4821" s="8" t="s">
        <v>11287</v>
      </c>
      <c r="E4821" s="11" t="n">
        <v>446</v>
      </c>
      <c r="F4821" s="8" t="str">
        <f aca="false">IFERROR(INDEX(Section_Master!$D$2:$D$477,MATCH($E4821,Section_Master!$A$2:$A$477,0))&amp;"","")</f>
        <v>Not applicable - procedural provision (BNSS), no offence defined</v>
      </c>
      <c r="G4821" s="10" t="str">
        <f aca="false">IFERROR(INDEX(Section_Master!$E$2:$E$477,MATCH($E4821,Section_Master!$A$2:$A$477,0))&amp;"","")</f>
        <v>N/A</v>
      </c>
      <c r="H4821" s="10" t="str">
        <f aca="false">IFERROR(INDEX(Section_Master!$F$2:$F$477,MATCH($E4821,Section_Master!$A$2:$A$477,0))&amp;"","")</f>
        <v>N/A</v>
      </c>
      <c r="I4821" s="10" t="str">
        <f aca="false">IFERROR(INDEX(Section_Master!$G$2:$G$477,MATCH($E4821,Section_Master!$A$2:$A$477,0))&amp;"","")</f>
        <v>N/A</v>
      </c>
      <c r="J4821" s="10" t="s">
        <v>52</v>
      </c>
      <c r="K4821" s="8" t="s">
        <v>11285</v>
      </c>
    </row>
    <row r="4822" customFormat="false" ht="34.5" hidden="false" customHeight="true" outlineLevel="0" collapsed="false">
      <c r="A4822" s="10" t="s">
        <v>11288</v>
      </c>
      <c r="B4822" s="10" t="s">
        <v>10064</v>
      </c>
      <c r="C4822" s="8" t="s">
        <v>11283</v>
      </c>
      <c r="D4822" s="8" t="s">
        <v>11289</v>
      </c>
      <c r="E4822" s="11" t="n">
        <v>446</v>
      </c>
      <c r="F4822" s="8" t="str">
        <f aca="false">IFERROR(INDEX(Section_Master!$D$2:$D$477,MATCH($E4822,Section_Master!$A$2:$A$477,0))&amp;"","")</f>
        <v>Not applicable - procedural provision (BNSS), no offence defined</v>
      </c>
      <c r="G4822" s="10" t="str">
        <f aca="false">IFERROR(INDEX(Section_Master!$E$2:$E$477,MATCH($E4822,Section_Master!$A$2:$A$477,0))&amp;"","")</f>
        <v>N/A</v>
      </c>
      <c r="H4822" s="10" t="str">
        <f aca="false">IFERROR(INDEX(Section_Master!$F$2:$F$477,MATCH($E4822,Section_Master!$A$2:$A$477,0))&amp;"","")</f>
        <v>N/A</v>
      </c>
      <c r="I4822" s="10" t="str">
        <f aca="false">IFERROR(INDEX(Section_Master!$G$2:$G$477,MATCH($E4822,Section_Master!$A$2:$A$477,0))&amp;"","")</f>
        <v>N/A</v>
      </c>
      <c r="J4822" s="10" t="s">
        <v>55</v>
      </c>
      <c r="K4822" s="8" t="s">
        <v>11285</v>
      </c>
    </row>
    <row r="4823" customFormat="false" ht="23.25" hidden="false" customHeight="true" outlineLevel="0" collapsed="false">
      <c r="A4823" s="10" t="s">
        <v>11290</v>
      </c>
      <c r="B4823" s="10" t="s">
        <v>10064</v>
      </c>
      <c r="C4823" s="8" t="s">
        <v>11283</v>
      </c>
      <c r="D4823" s="8" t="s">
        <v>11291</v>
      </c>
      <c r="E4823" s="11" t="n">
        <v>446</v>
      </c>
      <c r="F4823" s="8" t="str">
        <f aca="false">IFERROR(INDEX(Section_Master!$D$2:$D$477,MATCH($E4823,Section_Master!$A$2:$A$477,0))&amp;"","")</f>
        <v>Not applicable - procedural provision (BNSS), no offence defined</v>
      </c>
      <c r="G4823" s="10" t="str">
        <f aca="false">IFERROR(INDEX(Section_Master!$E$2:$E$477,MATCH($E4823,Section_Master!$A$2:$A$477,0))&amp;"","")</f>
        <v>N/A</v>
      </c>
      <c r="H4823" s="10" t="str">
        <f aca="false">IFERROR(INDEX(Section_Master!$F$2:$F$477,MATCH($E4823,Section_Master!$A$2:$A$477,0))&amp;"","")</f>
        <v>N/A</v>
      </c>
      <c r="I4823" s="10" t="str">
        <f aca="false">IFERROR(INDEX(Section_Master!$G$2:$G$477,MATCH($E4823,Section_Master!$A$2:$A$477,0))&amp;"","")</f>
        <v>N/A</v>
      </c>
      <c r="J4823" s="10" t="s">
        <v>58</v>
      </c>
      <c r="K4823" s="8" t="s">
        <v>11285</v>
      </c>
    </row>
    <row r="4824" customFormat="false" ht="34.5" hidden="false" customHeight="true" outlineLevel="0" collapsed="false">
      <c r="A4824" s="10" t="s">
        <v>11292</v>
      </c>
      <c r="B4824" s="10" t="s">
        <v>10064</v>
      </c>
      <c r="C4824" s="8" t="s">
        <v>11283</v>
      </c>
      <c r="D4824" s="8" t="s">
        <v>11293</v>
      </c>
      <c r="E4824" s="11" t="n">
        <v>446</v>
      </c>
      <c r="F4824" s="8" t="str">
        <f aca="false">IFERROR(INDEX(Section_Master!$D$2:$D$477,MATCH($E4824,Section_Master!$A$2:$A$477,0))&amp;"","")</f>
        <v>Not applicable - procedural provision (BNSS), no offence defined</v>
      </c>
      <c r="G4824" s="10" t="str">
        <f aca="false">IFERROR(INDEX(Section_Master!$E$2:$E$477,MATCH($E4824,Section_Master!$A$2:$A$477,0))&amp;"","")</f>
        <v>N/A</v>
      </c>
      <c r="H4824" s="10" t="str">
        <f aca="false">IFERROR(INDEX(Section_Master!$F$2:$F$477,MATCH($E4824,Section_Master!$A$2:$A$477,0))&amp;"","")</f>
        <v>N/A</v>
      </c>
      <c r="I4824" s="10" t="str">
        <f aca="false">IFERROR(INDEX(Section_Master!$G$2:$G$477,MATCH($E4824,Section_Master!$A$2:$A$477,0))&amp;"","")</f>
        <v>N/A</v>
      </c>
      <c r="J4824" s="10" t="s">
        <v>61</v>
      </c>
      <c r="K4824" s="8" t="s">
        <v>11285</v>
      </c>
    </row>
    <row r="4825" customFormat="false" ht="45.75" hidden="false" customHeight="true" outlineLevel="0" collapsed="false">
      <c r="A4825" s="10" t="s">
        <v>11294</v>
      </c>
      <c r="B4825" s="10" t="s">
        <v>10064</v>
      </c>
      <c r="C4825" s="8" t="s">
        <v>11283</v>
      </c>
      <c r="D4825" s="8" t="s">
        <v>11295</v>
      </c>
      <c r="E4825" s="11" t="n">
        <v>446</v>
      </c>
      <c r="F4825" s="8" t="str">
        <f aca="false">IFERROR(INDEX(Section_Master!$D$2:$D$477,MATCH($E4825,Section_Master!$A$2:$A$477,0))&amp;"","")</f>
        <v>Not applicable - procedural provision (BNSS), no offence defined</v>
      </c>
      <c r="G4825" s="10" t="str">
        <f aca="false">IFERROR(INDEX(Section_Master!$E$2:$E$477,MATCH($E4825,Section_Master!$A$2:$A$477,0))&amp;"","")</f>
        <v>N/A</v>
      </c>
      <c r="H4825" s="10" t="str">
        <f aca="false">IFERROR(INDEX(Section_Master!$F$2:$F$477,MATCH($E4825,Section_Master!$A$2:$A$477,0))&amp;"","")</f>
        <v>N/A</v>
      </c>
      <c r="I4825" s="10" t="str">
        <f aca="false">IFERROR(INDEX(Section_Master!$G$2:$G$477,MATCH($E4825,Section_Master!$A$2:$A$477,0))&amp;"","")</f>
        <v>N/A</v>
      </c>
      <c r="J4825" s="10" t="s">
        <v>64</v>
      </c>
      <c r="K4825" s="8" t="s">
        <v>11285</v>
      </c>
    </row>
    <row r="4826" customFormat="false" ht="34.5" hidden="false" customHeight="true" outlineLevel="0" collapsed="false">
      <c r="A4826" s="10" t="s">
        <v>11296</v>
      </c>
      <c r="B4826" s="10" t="s">
        <v>10064</v>
      </c>
      <c r="C4826" s="8" t="s">
        <v>11297</v>
      </c>
      <c r="D4826" s="8" t="s">
        <v>11298</v>
      </c>
      <c r="E4826" s="11" t="n">
        <v>447</v>
      </c>
      <c r="F4826" s="8" t="str">
        <f aca="false">IFERROR(INDEX(Section_Master!$D$2:$D$477,MATCH($E4826,Section_Master!$A$2:$A$477,0))&amp;"","")</f>
        <v>Not applicable - procedural provision (BNSS), no offence defined</v>
      </c>
      <c r="G4826" s="10" t="str">
        <f aca="false">IFERROR(INDEX(Section_Master!$E$2:$E$477,MATCH($E4826,Section_Master!$A$2:$A$477,0))&amp;"","")</f>
        <v>N/A</v>
      </c>
      <c r="H4826" s="10" t="str">
        <f aca="false">IFERROR(INDEX(Section_Master!$F$2:$F$477,MATCH($E4826,Section_Master!$A$2:$A$477,0))&amp;"","")</f>
        <v>N/A</v>
      </c>
      <c r="I4826" s="10" t="str">
        <f aca="false">IFERROR(INDEX(Section_Master!$G$2:$G$477,MATCH($E4826,Section_Master!$A$2:$A$477,0))&amp;"","")</f>
        <v>N/A</v>
      </c>
      <c r="J4826" s="10" t="s">
        <v>48</v>
      </c>
      <c r="K4826" s="8" t="s">
        <v>11299</v>
      </c>
    </row>
    <row r="4827" customFormat="false" ht="45.75" hidden="false" customHeight="true" outlineLevel="0" collapsed="false">
      <c r="A4827" s="10" t="s">
        <v>11300</v>
      </c>
      <c r="B4827" s="10" t="s">
        <v>10064</v>
      </c>
      <c r="C4827" s="8" t="s">
        <v>11297</v>
      </c>
      <c r="D4827" s="8" t="s">
        <v>11301</v>
      </c>
      <c r="E4827" s="11" t="n">
        <v>447</v>
      </c>
      <c r="F4827" s="8" t="str">
        <f aca="false">IFERROR(INDEX(Section_Master!$D$2:$D$477,MATCH($E4827,Section_Master!$A$2:$A$477,0))&amp;"","")</f>
        <v>Not applicable - procedural provision (BNSS), no offence defined</v>
      </c>
      <c r="G4827" s="10" t="str">
        <f aca="false">IFERROR(INDEX(Section_Master!$E$2:$E$477,MATCH($E4827,Section_Master!$A$2:$A$477,0))&amp;"","")</f>
        <v>N/A</v>
      </c>
      <c r="H4827" s="10" t="str">
        <f aca="false">IFERROR(INDEX(Section_Master!$F$2:$F$477,MATCH($E4827,Section_Master!$A$2:$A$477,0))&amp;"","")</f>
        <v>N/A</v>
      </c>
      <c r="I4827" s="10" t="str">
        <f aca="false">IFERROR(INDEX(Section_Master!$G$2:$G$477,MATCH($E4827,Section_Master!$A$2:$A$477,0))&amp;"","")</f>
        <v>N/A</v>
      </c>
      <c r="J4827" s="10" t="s">
        <v>52</v>
      </c>
      <c r="K4827" s="8" t="s">
        <v>11299</v>
      </c>
    </row>
    <row r="4828" customFormat="false" ht="45.75" hidden="false" customHeight="true" outlineLevel="0" collapsed="false">
      <c r="A4828" s="10" t="s">
        <v>11302</v>
      </c>
      <c r="B4828" s="10" t="s">
        <v>10064</v>
      </c>
      <c r="C4828" s="8" t="s">
        <v>11297</v>
      </c>
      <c r="D4828" s="8" t="s">
        <v>11303</v>
      </c>
      <c r="E4828" s="11" t="n">
        <v>447</v>
      </c>
      <c r="F4828" s="8" t="str">
        <f aca="false">IFERROR(INDEX(Section_Master!$D$2:$D$477,MATCH($E4828,Section_Master!$A$2:$A$477,0))&amp;"","")</f>
        <v>Not applicable - procedural provision (BNSS), no offence defined</v>
      </c>
      <c r="G4828" s="10" t="str">
        <f aca="false">IFERROR(INDEX(Section_Master!$E$2:$E$477,MATCH($E4828,Section_Master!$A$2:$A$477,0))&amp;"","")</f>
        <v>N/A</v>
      </c>
      <c r="H4828" s="10" t="str">
        <f aca="false">IFERROR(INDEX(Section_Master!$F$2:$F$477,MATCH($E4828,Section_Master!$A$2:$A$477,0))&amp;"","")</f>
        <v>N/A</v>
      </c>
      <c r="I4828" s="10" t="str">
        <f aca="false">IFERROR(INDEX(Section_Master!$G$2:$G$477,MATCH($E4828,Section_Master!$A$2:$A$477,0))&amp;"","")</f>
        <v>N/A</v>
      </c>
      <c r="J4828" s="10" t="s">
        <v>55</v>
      </c>
      <c r="K4828" s="8" t="s">
        <v>11299</v>
      </c>
    </row>
    <row r="4829" customFormat="false" ht="23.25" hidden="false" customHeight="true" outlineLevel="0" collapsed="false">
      <c r="A4829" s="10" t="s">
        <v>11304</v>
      </c>
      <c r="B4829" s="10" t="s">
        <v>10064</v>
      </c>
      <c r="C4829" s="8" t="s">
        <v>11297</v>
      </c>
      <c r="D4829" s="8" t="s">
        <v>11305</v>
      </c>
      <c r="E4829" s="11" t="n">
        <v>447</v>
      </c>
      <c r="F4829" s="8" t="str">
        <f aca="false">IFERROR(INDEX(Section_Master!$D$2:$D$477,MATCH($E4829,Section_Master!$A$2:$A$477,0))&amp;"","")</f>
        <v>Not applicable - procedural provision (BNSS), no offence defined</v>
      </c>
      <c r="G4829" s="10" t="str">
        <f aca="false">IFERROR(INDEX(Section_Master!$E$2:$E$477,MATCH($E4829,Section_Master!$A$2:$A$477,0))&amp;"","")</f>
        <v>N/A</v>
      </c>
      <c r="H4829" s="10" t="str">
        <f aca="false">IFERROR(INDEX(Section_Master!$F$2:$F$477,MATCH($E4829,Section_Master!$A$2:$A$477,0))&amp;"","")</f>
        <v>N/A</v>
      </c>
      <c r="I4829" s="10" t="str">
        <f aca="false">IFERROR(INDEX(Section_Master!$G$2:$G$477,MATCH($E4829,Section_Master!$A$2:$A$477,0))&amp;"","")</f>
        <v>N/A</v>
      </c>
      <c r="J4829" s="10" t="s">
        <v>58</v>
      </c>
      <c r="K4829" s="8" t="s">
        <v>11299</v>
      </c>
    </row>
    <row r="4830" customFormat="false" ht="34.5" hidden="false" customHeight="true" outlineLevel="0" collapsed="false">
      <c r="A4830" s="10" t="s">
        <v>11306</v>
      </c>
      <c r="B4830" s="10" t="s">
        <v>10064</v>
      </c>
      <c r="C4830" s="8" t="s">
        <v>11297</v>
      </c>
      <c r="D4830" s="8" t="s">
        <v>11307</v>
      </c>
      <c r="E4830" s="11" t="n">
        <v>447</v>
      </c>
      <c r="F4830" s="8" t="str">
        <f aca="false">IFERROR(INDEX(Section_Master!$D$2:$D$477,MATCH($E4830,Section_Master!$A$2:$A$477,0))&amp;"","")</f>
        <v>Not applicable - procedural provision (BNSS), no offence defined</v>
      </c>
      <c r="G4830" s="10" t="str">
        <f aca="false">IFERROR(INDEX(Section_Master!$E$2:$E$477,MATCH($E4830,Section_Master!$A$2:$A$477,0))&amp;"","")</f>
        <v>N/A</v>
      </c>
      <c r="H4830" s="10" t="str">
        <f aca="false">IFERROR(INDEX(Section_Master!$F$2:$F$477,MATCH($E4830,Section_Master!$A$2:$A$477,0))&amp;"","")</f>
        <v>N/A</v>
      </c>
      <c r="I4830" s="10" t="str">
        <f aca="false">IFERROR(INDEX(Section_Master!$G$2:$G$477,MATCH($E4830,Section_Master!$A$2:$A$477,0))&amp;"","")</f>
        <v>N/A</v>
      </c>
      <c r="J4830" s="10" t="s">
        <v>61</v>
      </c>
      <c r="K4830" s="8" t="s">
        <v>11299</v>
      </c>
    </row>
    <row r="4831" customFormat="false" ht="45.75" hidden="false" customHeight="true" outlineLevel="0" collapsed="false">
      <c r="A4831" s="10" t="s">
        <v>11308</v>
      </c>
      <c r="B4831" s="10" t="s">
        <v>10064</v>
      </c>
      <c r="C4831" s="8" t="s">
        <v>11297</v>
      </c>
      <c r="D4831" s="8" t="s">
        <v>11309</v>
      </c>
      <c r="E4831" s="11" t="n">
        <v>447</v>
      </c>
      <c r="F4831" s="8" t="str">
        <f aca="false">IFERROR(INDEX(Section_Master!$D$2:$D$477,MATCH($E4831,Section_Master!$A$2:$A$477,0))&amp;"","")</f>
        <v>Not applicable - procedural provision (BNSS), no offence defined</v>
      </c>
      <c r="G4831" s="10" t="str">
        <f aca="false">IFERROR(INDEX(Section_Master!$E$2:$E$477,MATCH($E4831,Section_Master!$A$2:$A$477,0))&amp;"","")</f>
        <v>N/A</v>
      </c>
      <c r="H4831" s="10" t="str">
        <f aca="false">IFERROR(INDEX(Section_Master!$F$2:$F$477,MATCH($E4831,Section_Master!$A$2:$A$477,0))&amp;"","")</f>
        <v>N/A</v>
      </c>
      <c r="I4831" s="10" t="str">
        <f aca="false">IFERROR(INDEX(Section_Master!$G$2:$G$477,MATCH($E4831,Section_Master!$A$2:$A$477,0))&amp;"","")</f>
        <v>N/A</v>
      </c>
      <c r="J4831" s="10" t="s">
        <v>64</v>
      </c>
      <c r="K4831" s="8" t="s">
        <v>11299</v>
      </c>
    </row>
    <row r="4832" customFormat="false" ht="34.5" hidden="false" customHeight="true" outlineLevel="0" collapsed="false">
      <c r="A4832" s="10" t="s">
        <v>11310</v>
      </c>
      <c r="B4832" s="10" t="s">
        <v>10064</v>
      </c>
      <c r="C4832" s="8" t="s">
        <v>11311</v>
      </c>
      <c r="D4832" s="8" t="s">
        <v>11312</v>
      </c>
      <c r="E4832" s="11" t="n">
        <v>448</v>
      </c>
      <c r="F4832" s="8" t="str">
        <f aca="false">IFERROR(INDEX(Section_Master!$D$2:$D$477,MATCH($E4832,Section_Master!$A$2:$A$477,0))&amp;"","")</f>
        <v>Not applicable - procedural provision (BNSS), no offence defined</v>
      </c>
      <c r="G4832" s="10" t="str">
        <f aca="false">IFERROR(INDEX(Section_Master!$E$2:$E$477,MATCH($E4832,Section_Master!$A$2:$A$477,0))&amp;"","")</f>
        <v>N/A</v>
      </c>
      <c r="H4832" s="10" t="str">
        <f aca="false">IFERROR(INDEX(Section_Master!$F$2:$F$477,MATCH($E4832,Section_Master!$A$2:$A$477,0))&amp;"","")</f>
        <v>N/A</v>
      </c>
      <c r="I4832" s="10" t="str">
        <f aca="false">IFERROR(INDEX(Section_Master!$G$2:$G$477,MATCH($E4832,Section_Master!$A$2:$A$477,0))&amp;"","")</f>
        <v>N/A</v>
      </c>
      <c r="J4832" s="10" t="s">
        <v>48</v>
      </c>
      <c r="K4832" s="8" t="s">
        <v>11313</v>
      </c>
    </row>
    <row r="4833" customFormat="false" ht="45.75" hidden="false" customHeight="true" outlineLevel="0" collapsed="false">
      <c r="A4833" s="10" t="s">
        <v>11314</v>
      </c>
      <c r="B4833" s="10" t="s">
        <v>10064</v>
      </c>
      <c r="C4833" s="8" t="s">
        <v>11311</v>
      </c>
      <c r="D4833" s="8" t="s">
        <v>11315</v>
      </c>
      <c r="E4833" s="11" t="n">
        <v>448</v>
      </c>
      <c r="F4833" s="8" t="str">
        <f aca="false">IFERROR(INDEX(Section_Master!$D$2:$D$477,MATCH($E4833,Section_Master!$A$2:$A$477,0))&amp;"","")</f>
        <v>Not applicable - procedural provision (BNSS), no offence defined</v>
      </c>
      <c r="G4833" s="10" t="str">
        <f aca="false">IFERROR(INDEX(Section_Master!$E$2:$E$477,MATCH($E4833,Section_Master!$A$2:$A$477,0))&amp;"","")</f>
        <v>N/A</v>
      </c>
      <c r="H4833" s="10" t="str">
        <f aca="false">IFERROR(INDEX(Section_Master!$F$2:$F$477,MATCH($E4833,Section_Master!$A$2:$A$477,0))&amp;"","")</f>
        <v>N/A</v>
      </c>
      <c r="I4833" s="10" t="str">
        <f aca="false">IFERROR(INDEX(Section_Master!$G$2:$G$477,MATCH($E4833,Section_Master!$A$2:$A$477,0))&amp;"","")</f>
        <v>N/A</v>
      </c>
      <c r="J4833" s="10" t="s">
        <v>52</v>
      </c>
      <c r="K4833" s="8" t="s">
        <v>11313</v>
      </c>
    </row>
    <row r="4834" customFormat="false" ht="45.75" hidden="false" customHeight="true" outlineLevel="0" collapsed="false">
      <c r="A4834" s="10" t="s">
        <v>11316</v>
      </c>
      <c r="B4834" s="10" t="s">
        <v>10064</v>
      </c>
      <c r="C4834" s="8" t="s">
        <v>11311</v>
      </c>
      <c r="D4834" s="8" t="s">
        <v>11317</v>
      </c>
      <c r="E4834" s="11" t="n">
        <v>448</v>
      </c>
      <c r="F4834" s="8" t="str">
        <f aca="false">IFERROR(INDEX(Section_Master!$D$2:$D$477,MATCH($E4834,Section_Master!$A$2:$A$477,0))&amp;"","")</f>
        <v>Not applicable - procedural provision (BNSS), no offence defined</v>
      </c>
      <c r="G4834" s="10" t="str">
        <f aca="false">IFERROR(INDEX(Section_Master!$E$2:$E$477,MATCH($E4834,Section_Master!$A$2:$A$477,0))&amp;"","")</f>
        <v>N/A</v>
      </c>
      <c r="H4834" s="10" t="str">
        <f aca="false">IFERROR(INDEX(Section_Master!$F$2:$F$477,MATCH($E4834,Section_Master!$A$2:$A$477,0))&amp;"","")</f>
        <v>N/A</v>
      </c>
      <c r="I4834" s="10" t="str">
        <f aca="false">IFERROR(INDEX(Section_Master!$G$2:$G$477,MATCH($E4834,Section_Master!$A$2:$A$477,0))&amp;"","")</f>
        <v>N/A</v>
      </c>
      <c r="J4834" s="10" t="s">
        <v>55</v>
      </c>
      <c r="K4834" s="8" t="s">
        <v>11313</v>
      </c>
    </row>
    <row r="4835" customFormat="false" ht="23.25" hidden="false" customHeight="true" outlineLevel="0" collapsed="false">
      <c r="A4835" s="10" t="s">
        <v>11318</v>
      </c>
      <c r="B4835" s="10" t="s">
        <v>10064</v>
      </c>
      <c r="C4835" s="8" t="s">
        <v>11311</v>
      </c>
      <c r="D4835" s="8" t="s">
        <v>11319</v>
      </c>
      <c r="E4835" s="11" t="n">
        <v>448</v>
      </c>
      <c r="F4835" s="8" t="str">
        <f aca="false">IFERROR(INDEX(Section_Master!$D$2:$D$477,MATCH($E4835,Section_Master!$A$2:$A$477,0))&amp;"","")</f>
        <v>Not applicable - procedural provision (BNSS), no offence defined</v>
      </c>
      <c r="G4835" s="10" t="str">
        <f aca="false">IFERROR(INDEX(Section_Master!$E$2:$E$477,MATCH($E4835,Section_Master!$A$2:$A$477,0))&amp;"","")</f>
        <v>N/A</v>
      </c>
      <c r="H4835" s="10" t="str">
        <f aca="false">IFERROR(INDEX(Section_Master!$F$2:$F$477,MATCH($E4835,Section_Master!$A$2:$A$477,0))&amp;"","")</f>
        <v>N/A</v>
      </c>
      <c r="I4835" s="10" t="str">
        <f aca="false">IFERROR(INDEX(Section_Master!$G$2:$G$477,MATCH($E4835,Section_Master!$A$2:$A$477,0))&amp;"","")</f>
        <v>N/A</v>
      </c>
      <c r="J4835" s="10" t="s">
        <v>58</v>
      </c>
      <c r="K4835" s="8" t="s">
        <v>11313</v>
      </c>
    </row>
    <row r="4836" customFormat="false" ht="34.5" hidden="false" customHeight="true" outlineLevel="0" collapsed="false">
      <c r="A4836" s="10" t="s">
        <v>11320</v>
      </c>
      <c r="B4836" s="10" t="s">
        <v>10064</v>
      </c>
      <c r="C4836" s="8" t="s">
        <v>11311</v>
      </c>
      <c r="D4836" s="8" t="s">
        <v>11321</v>
      </c>
      <c r="E4836" s="11" t="n">
        <v>448</v>
      </c>
      <c r="F4836" s="8" t="str">
        <f aca="false">IFERROR(INDEX(Section_Master!$D$2:$D$477,MATCH($E4836,Section_Master!$A$2:$A$477,0))&amp;"","")</f>
        <v>Not applicable - procedural provision (BNSS), no offence defined</v>
      </c>
      <c r="G4836" s="10" t="str">
        <f aca="false">IFERROR(INDEX(Section_Master!$E$2:$E$477,MATCH($E4836,Section_Master!$A$2:$A$477,0))&amp;"","")</f>
        <v>N/A</v>
      </c>
      <c r="H4836" s="10" t="str">
        <f aca="false">IFERROR(INDEX(Section_Master!$F$2:$F$477,MATCH($E4836,Section_Master!$A$2:$A$477,0))&amp;"","")</f>
        <v>N/A</v>
      </c>
      <c r="I4836" s="10" t="str">
        <f aca="false">IFERROR(INDEX(Section_Master!$G$2:$G$477,MATCH($E4836,Section_Master!$A$2:$A$477,0))&amp;"","")</f>
        <v>N/A</v>
      </c>
      <c r="J4836" s="10" t="s">
        <v>61</v>
      </c>
      <c r="K4836" s="8" t="s">
        <v>11313</v>
      </c>
    </row>
    <row r="4837" customFormat="false" ht="45.75" hidden="false" customHeight="true" outlineLevel="0" collapsed="false">
      <c r="A4837" s="10" t="s">
        <v>11322</v>
      </c>
      <c r="B4837" s="10" t="s">
        <v>10064</v>
      </c>
      <c r="C4837" s="8" t="s">
        <v>11311</v>
      </c>
      <c r="D4837" s="8" t="s">
        <v>11323</v>
      </c>
      <c r="E4837" s="11" t="n">
        <v>448</v>
      </c>
      <c r="F4837" s="8" t="str">
        <f aca="false">IFERROR(INDEX(Section_Master!$D$2:$D$477,MATCH($E4837,Section_Master!$A$2:$A$477,0))&amp;"","")</f>
        <v>Not applicable - procedural provision (BNSS), no offence defined</v>
      </c>
      <c r="G4837" s="10" t="str">
        <f aca="false">IFERROR(INDEX(Section_Master!$E$2:$E$477,MATCH($E4837,Section_Master!$A$2:$A$477,0))&amp;"","")</f>
        <v>N/A</v>
      </c>
      <c r="H4837" s="10" t="str">
        <f aca="false">IFERROR(INDEX(Section_Master!$F$2:$F$477,MATCH($E4837,Section_Master!$A$2:$A$477,0))&amp;"","")</f>
        <v>N/A</v>
      </c>
      <c r="I4837" s="10" t="str">
        <f aca="false">IFERROR(INDEX(Section_Master!$G$2:$G$477,MATCH($E4837,Section_Master!$A$2:$A$477,0))&amp;"","")</f>
        <v>N/A</v>
      </c>
      <c r="J4837" s="10" t="s">
        <v>64</v>
      </c>
      <c r="K4837" s="8" t="s">
        <v>11313</v>
      </c>
    </row>
    <row r="4838" customFormat="false" ht="34.5" hidden="false" customHeight="true" outlineLevel="0" collapsed="false">
      <c r="A4838" s="10" t="s">
        <v>11324</v>
      </c>
      <c r="B4838" s="10" t="s">
        <v>10064</v>
      </c>
      <c r="C4838" s="8" t="s">
        <v>11325</v>
      </c>
      <c r="D4838" s="8" t="s">
        <v>11326</v>
      </c>
      <c r="E4838" s="11" t="n">
        <v>449</v>
      </c>
      <c r="F4838" s="8" t="str">
        <f aca="false">IFERROR(INDEX(Section_Master!$D$2:$D$477,MATCH($E4838,Section_Master!$A$2:$A$477,0))&amp;"","")</f>
        <v>Not applicable - procedural provision (BNSS), no offence defined</v>
      </c>
      <c r="G4838" s="10" t="str">
        <f aca="false">IFERROR(INDEX(Section_Master!$E$2:$E$477,MATCH($E4838,Section_Master!$A$2:$A$477,0))&amp;"","")</f>
        <v>N/A</v>
      </c>
      <c r="H4838" s="10" t="str">
        <f aca="false">IFERROR(INDEX(Section_Master!$F$2:$F$477,MATCH($E4838,Section_Master!$A$2:$A$477,0))&amp;"","")</f>
        <v>N/A</v>
      </c>
      <c r="I4838" s="10" t="str">
        <f aca="false">IFERROR(INDEX(Section_Master!$G$2:$G$477,MATCH($E4838,Section_Master!$A$2:$A$477,0))&amp;"","")</f>
        <v>N/A</v>
      </c>
      <c r="J4838" s="10" t="s">
        <v>48</v>
      </c>
      <c r="K4838" s="8" t="s">
        <v>11327</v>
      </c>
    </row>
    <row r="4839" customFormat="false" ht="45.75" hidden="false" customHeight="true" outlineLevel="0" collapsed="false">
      <c r="A4839" s="10" t="s">
        <v>11328</v>
      </c>
      <c r="B4839" s="10" t="s">
        <v>10064</v>
      </c>
      <c r="C4839" s="8" t="s">
        <v>11325</v>
      </c>
      <c r="D4839" s="8" t="s">
        <v>11329</v>
      </c>
      <c r="E4839" s="11" t="n">
        <v>449</v>
      </c>
      <c r="F4839" s="8" t="str">
        <f aca="false">IFERROR(INDEX(Section_Master!$D$2:$D$477,MATCH($E4839,Section_Master!$A$2:$A$477,0))&amp;"","")</f>
        <v>Not applicable - procedural provision (BNSS), no offence defined</v>
      </c>
      <c r="G4839" s="10" t="str">
        <f aca="false">IFERROR(INDEX(Section_Master!$E$2:$E$477,MATCH($E4839,Section_Master!$A$2:$A$477,0))&amp;"","")</f>
        <v>N/A</v>
      </c>
      <c r="H4839" s="10" t="str">
        <f aca="false">IFERROR(INDEX(Section_Master!$F$2:$F$477,MATCH($E4839,Section_Master!$A$2:$A$477,0))&amp;"","")</f>
        <v>N/A</v>
      </c>
      <c r="I4839" s="10" t="str">
        <f aca="false">IFERROR(INDEX(Section_Master!$G$2:$G$477,MATCH($E4839,Section_Master!$A$2:$A$477,0))&amp;"","")</f>
        <v>N/A</v>
      </c>
      <c r="J4839" s="10" t="s">
        <v>52</v>
      </c>
      <c r="K4839" s="8" t="s">
        <v>11327</v>
      </c>
    </row>
    <row r="4840" customFormat="false" ht="45.75" hidden="false" customHeight="true" outlineLevel="0" collapsed="false">
      <c r="A4840" s="10" t="s">
        <v>11330</v>
      </c>
      <c r="B4840" s="10" t="s">
        <v>10064</v>
      </c>
      <c r="C4840" s="8" t="s">
        <v>11325</v>
      </c>
      <c r="D4840" s="8" t="s">
        <v>11331</v>
      </c>
      <c r="E4840" s="11" t="n">
        <v>449</v>
      </c>
      <c r="F4840" s="8" t="str">
        <f aca="false">IFERROR(INDEX(Section_Master!$D$2:$D$477,MATCH($E4840,Section_Master!$A$2:$A$477,0))&amp;"","")</f>
        <v>Not applicable - procedural provision (BNSS), no offence defined</v>
      </c>
      <c r="G4840" s="10" t="str">
        <f aca="false">IFERROR(INDEX(Section_Master!$E$2:$E$477,MATCH($E4840,Section_Master!$A$2:$A$477,0))&amp;"","")</f>
        <v>N/A</v>
      </c>
      <c r="H4840" s="10" t="str">
        <f aca="false">IFERROR(INDEX(Section_Master!$F$2:$F$477,MATCH($E4840,Section_Master!$A$2:$A$477,0))&amp;"","")</f>
        <v>N/A</v>
      </c>
      <c r="I4840" s="10" t="str">
        <f aca="false">IFERROR(INDEX(Section_Master!$G$2:$G$477,MATCH($E4840,Section_Master!$A$2:$A$477,0))&amp;"","")</f>
        <v>N/A</v>
      </c>
      <c r="J4840" s="10" t="s">
        <v>55</v>
      </c>
      <c r="K4840" s="8" t="s">
        <v>11327</v>
      </c>
    </row>
    <row r="4841" customFormat="false" ht="23.25" hidden="false" customHeight="true" outlineLevel="0" collapsed="false">
      <c r="A4841" s="10" t="s">
        <v>11332</v>
      </c>
      <c r="B4841" s="10" t="s">
        <v>10064</v>
      </c>
      <c r="C4841" s="8" t="s">
        <v>11325</v>
      </c>
      <c r="D4841" s="8" t="s">
        <v>11333</v>
      </c>
      <c r="E4841" s="11" t="n">
        <v>449</v>
      </c>
      <c r="F4841" s="8" t="str">
        <f aca="false">IFERROR(INDEX(Section_Master!$D$2:$D$477,MATCH($E4841,Section_Master!$A$2:$A$477,0))&amp;"","")</f>
        <v>Not applicable - procedural provision (BNSS), no offence defined</v>
      </c>
      <c r="G4841" s="10" t="str">
        <f aca="false">IFERROR(INDEX(Section_Master!$E$2:$E$477,MATCH($E4841,Section_Master!$A$2:$A$477,0))&amp;"","")</f>
        <v>N/A</v>
      </c>
      <c r="H4841" s="10" t="str">
        <f aca="false">IFERROR(INDEX(Section_Master!$F$2:$F$477,MATCH($E4841,Section_Master!$A$2:$A$477,0))&amp;"","")</f>
        <v>N/A</v>
      </c>
      <c r="I4841" s="10" t="str">
        <f aca="false">IFERROR(INDEX(Section_Master!$G$2:$G$477,MATCH($E4841,Section_Master!$A$2:$A$477,0))&amp;"","")</f>
        <v>N/A</v>
      </c>
      <c r="J4841" s="10" t="s">
        <v>58</v>
      </c>
      <c r="K4841" s="8" t="s">
        <v>11327</v>
      </c>
    </row>
    <row r="4842" customFormat="false" ht="34.5" hidden="false" customHeight="true" outlineLevel="0" collapsed="false">
      <c r="A4842" s="10" t="s">
        <v>11334</v>
      </c>
      <c r="B4842" s="10" t="s">
        <v>10064</v>
      </c>
      <c r="C4842" s="8" t="s">
        <v>11325</v>
      </c>
      <c r="D4842" s="8" t="s">
        <v>11335</v>
      </c>
      <c r="E4842" s="11" t="n">
        <v>449</v>
      </c>
      <c r="F4842" s="8" t="str">
        <f aca="false">IFERROR(INDEX(Section_Master!$D$2:$D$477,MATCH($E4842,Section_Master!$A$2:$A$477,0))&amp;"","")</f>
        <v>Not applicable - procedural provision (BNSS), no offence defined</v>
      </c>
      <c r="G4842" s="10" t="str">
        <f aca="false">IFERROR(INDEX(Section_Master!$E$2:$E$477,MATCH($E4842,Section_Master!$A$2:$A$477,0))&amp;"","")</f>
        <v>N/A</v>
      </c>
      <c r="H4842" s="10" t="str">
        <f aca="false">IFERROR(INDEX(Section_Master!$F$2:$F$477,MATCH($E4842,Section_Master!$A$2:$A$477,0))&amp;"","")</f>
        <v>N/A</v>
      </c>
      <c r="I4842" s="10" t="str">
        <f aca="false">IFERROR(INDEX(Section_Master!$G$2:$G$477,MATCH($E4842,Section_Master!$A$2:$A$477,0))&amp;"","")</f>
        <v>N/A</v>
      </c>
      <c r="J4842" s="10" t="s">
        <v>61</v>
      </c>
      <c r="K4842" s="8" t="s">
        <v>11327</v>
      </c>
    </row>
    <row r="4843" customFormat="false" ht="57" hidden="false" customHeight="true" outlineLevel="0" collapsed="false">
      <c r="A4843" s="10" t="s">
        <v>11336</v>
      </c>
      <c r="B4843" s="10" t="s">
        <v>10064</v>
      </c>
      <c r="C4843" s="8" t="s">
        <v>11325</v>
      </c>
      <c r="D4843" s="8" t="s">
        <v>11337</v>
      </c>
      <c r="E4843" s="11" t="n">
        <v>449</v>
      </c>
      <c r="F4843" s="8" t="str">
        <f aca="false">IFERROR(INDEX(Section_Master!$D$2:$D$477,MATCH($E4843,Section_Master!$A$2:$A$477,0))&amp;"","")</f>
        <v>Not applicable - procedural provision (BNSS), no offence defined</v>
      </c>
      <c r="G4843" s="10" t="str">
        <f aca="false">IFERROR(INDEX(Section_Master!$E$2:$E$477,MATCH($E4843,Section_Master!$A$2:$A$477,0))&amp;"","")</f>
        <v>N/A</v>
      </c>
      <c r="H4843" s="10" t="str">
        <f aca="false">IFERROR(INDEX(Section_Master!$F$2:$F$477,MATCH($E4843,Section_Master!$A$2:$A$477,0))&amp;"","")</f>
        <v>N/A</v>
      </c>
      <c r="I4843" s="10" t="str">
        <f aca="false">IFERROR(INDEX(Section_Master!$G$2:$G$477,MATCH($E4843,Section_Master!$A$2:$A$477,0))&amp;"","")</f>
        <v>N/A</v>
      </c>
      <c r="J4843" s="10" t="s">
        <v>64</v>
      </c>
      <c r="K4843" s="8" t="s">
        <v>11327</v>
      </c>
    </row>
    <row r="4844" customFormat="false" ht="34.5" hidden="false" customHeight="true" outlineLevel="0" collapsed="false">
      <c r="A4844" s="10" t="s">
        <v>11338</v>
      </c>
      <c r="B4844" s="10" t="s">
        <v>10064</v>
      </c>
      <c r="C4844" s="8" t="s">
        <v>11339</v>
      </c>
      <c r="D4844" s="8" t="s">
        <v>11340</v>
      </c>
      <c r="E4844" s="11" t="n">
        <v>450</v>
      </c>
      <c r="F4844" s="8" t="str">
        <f aca="false">IFERROR(INDEX(Section_Master!$D$2:$D$477,MATCH($E4844,Section_Master!$A$2:$A$477,0))&amp;"","")</f>
        <v>Not applicable - procedural provision (BNSS), no offence defined</v>
      </c>
      <c r="G4844" s="10" t="str">
        <f aca="false">IFERROR(INDEX(Section_Master!$E$2:$E$477,MATCH($E4844,Section_Master!$A$2:$A$477,0))&amp;"","")</f>
        <v>N/A</v>
      </c>
      <c r="H4844" s="10" t="str">
        <f aca="false">IFERROR(INDEX(Section_Master!$F$2:$F$477,MATCH($E4844,Section_Master!$A$2:$A$477,0))&amp;"","")</f>
        <v>N/A</v>
      </c>
      <c r="I4844" s="10" t="str">
        <f aca="false">IFERROR(INDEX(Section_Master!$G$2:$G$477,MATCH($E4844,Section_Master!$A$2:$A$477,0))&amp;"","")</f>
        <v>N/A</v>
      </c>
      <c r="J4844" s="10" t="s">
        <v>48</v>
      </c>
      <c r="K4844" s="8" t="s">
        <v>11341</v>
      </c>
    </row>
    <row r="4845" customFormat="false" ht="45.75" hidden="false" customHeight="true" outlineLevel="0" collapsed="false">
      <c r="A4845" s="10" t="s">
        <v>11342</v>
      </c>
      <c r="B4845" s="10" t="s">
        <v>10064</v>
      </c>
      <c r="C4845" s="8" t="s">
        <v>11339</v>
      </c>
      <c r="D4845" s="8" t="s">
        <v>11343</v>
      </c>
      <c r="E4845" s="11" t="n">
        <v>450</v>
      </c>
      <c r="F4845" s="8" t="str">
        <f aca="false">IFERROR(INDEX(Section_Master!$D$2:$D$477,MATCH($E4845,Section_Master!$A$2:$A$477,0))&amp;"","")</f>
        <v>Not applicable - procedural provision (BNSS), no offence defined</v>
      </c>
      <c r="G4845" s="10" t="str">
        <f aca="false">IFERROR(INDEX(Section_Master!$E$2:$E$477,MATCH($E4845,Section_Master!$A$2:$A$477,0))&amp;"","")</f>
        <v>N/A</v>
      </c>
      <c r="H4845" s="10" t="str">
        <f aca="false">IFERROR(INDEX(Section_Master!$F$2:$F$477,MATCH($E4845,Section_Master!$A$2:$A$477,0))&amp;"","")</f>
        <v>N/A</v>
      </c>
      <c r="I4845" s="10" t="str">
        <f aca="false">IFERROR(INDEX(Section_Master!$G$2:$G$477,MATCH($E4845,Section_Master!$A$2:$A$477,0))&amp;"","")</f>
        <v>N/A</v>
      </c>
      <c r="J4845" s="10" t="s">
        <v>52</v>
      </c>
      <c r="K4845" s="8" t="s">
        <v>11341</v>
      </c>
    </row>
    <row r="4846" customFormat="false" ht="34.5" hidden="false" customHeight="true" outlineLevel="0" collapsed="false">
      <c r="A4846" s="10" t="s">
        <v>11344</v>
      </c>
      <c r="B4846" s="10" t="s">
        <v>10064</v>
      </c>
      <c r="C4846" s="8" t="s">
        <v>11339</v>
      </c>
      <c r="D4846" s="8" t="s">
        <v>11345</v>
      </c>
      <c r="E4846" s="11" t="n">
        <v>450</v>
      </c>
      <c r="F4846" s="8" t="str">
        <f aca="false">IFERROR(INDEX(Section_Master!$D$2:$D$477,MATCH($E4846,Section_Master!$A$2:$A$477,0))&amp;"","")</f>
        <v>Not applicable - procedural provision (BNSS), no offence defined</v>
      </c>
      <c r="G4846" s="10" t="str">
        <f aca="false">IFERROR(INDEX(Section_Master!$E$2:$E$477,MATCH($E4846,Section_Master!$A$2:$A$477,0))&amp;"","")</f>
        <v>N/A</v>
      </c>
      <c r="H4846" s="10" t="str">
        <f aca="false">IFERROR(INDEX(Section_Master!$F$2:$F$477,MATCH($E4846,Section_Master!$A$2:$A$477,0))&amp;"","")</f>
        <v>N/A</v>
      </c>
      <c r="I4846" s="10" t="str">
        <f aca="false">IFERROR(INDEX(Section_Master!$G$2:$G$477,MATCH($E4846,Section_Master!$A$2:$A$477,0))&amp;"","")</f>
        <v>N/A</v>
      </c>
      <c r="J4846" s="10" t="s">
        <v>55</v>
      </c>
      <c r="K4846" s="8" t="s">
        <v>11341</v>
      </c>
    </row>
    <row r="4847" customFormat="false" ht="23.25" hidden="false" customHeight="true" outlineLevel="0" collapsed="false">
      <c r="A4847" s="10" t="s">
        <v>11346</v>
      </c>
      <c r="B4847" s="10" t="s">
        <v>10064</v>
      </c>
      <c r="C4847" s="8" t="s">
        <v>11339</v>
      </c>
      <c r="D4847" s="8" t="s">
        <v>11347</v>
      </c>
      <c r="E4847" s="11" t="n">
        <v>450</v>
      </c>
      <c r="F4847" s="8" t="str">
        <f aca="false">IFERROR(INDEX(Section_Master!$D$2:$D$477,MATCH($E4847,Section_Master!$A$2:$A$477,0))&amp;"","")</f>
        <v>Not applicable - procedural provision (BNSS), no offence defined</v>
      </c>
      <c r="G4847" s="10" t="str">
        <f aca="false">IFERROR(INDEX(Section_Master!$E$2:$E$477,MATCH($E4847,Section_Master!$A$2:$A$477,0))&amp;"","")</f>
        <v>N/A</v>
      </c>
      <c r="H4847" s="10" t="str">
        <f aca="false">IFERROR(INDEX(Section_Master!$F$2:$F$477,MATCH($E4847,Section_Master!$A$2:$A$477,0))&amp;"","")</f>
        <v>N/A</v>
      </c>
      <c r="I4847" s="10" t="str">
        <f aca="false">IFERROR(INDEX(Section_Master!$G$2:$G$477,MATCH($E4847,Section_Master!$A$2:$A$477,0))&amp;"","")</f>
        <v>N/A</v>
      </c>
      <c r="J4847" s="10" t="s">
        <v>58</v>
      </c>
      <c r="K4847" s="8" t="s">
        <v>11341</v>
      </c>
    </row>
    <row r="4848" customFormat="false" ht="45.75" hidden="false" customHeight="true" outlineLevel="0" collapsed="false">
      <c r="A4848" s="10" t="s">
        <v>11348</v>
      </c>
      <c r="B4848" s="10" t="s">
        <v>10064</v>
      </c>
      <c r="C4848" s="8" t="s">
        <v>11339</v>
      </c>
      <c r="D4848" s="8" t="s">
        <v>11349</v>
      </c>
      <c r="E4848" s="11" t="n">
        <v>450</v>
      </c>
      <c r="F4848" s="8" t="str">
        <f aca="false">IFERROR(INDEX(Section_Master!$D$2:$D$477,MATCH($E4848,Section_Master!$A$2:$A$477,0))&amp;"","")</f>
        <v>Not applicable - procedural provision (BNSS), no offence defined</v>
      </c>
      <c r="G4848" s="10" t="str">
        <f aca="false">IFERROR(INDEX(Section_Master!$E$2:$E$477,MATCH($E4848,Section_Master!$A$2:$A$477,0))&amp;"","")</f>
        <v>N/A</v>
      </c>
      <c r="H4848" s="10" t="str">
        <f aca="false">IFERROR(INDEX(Section_Master!$F$2:$F$477,MATCH($E4848,Section_Master!$A$2:$A$477,0))&amp;"","")</f>
        <v>N/A</v>
      </c>
      <c r="I4848" s="10" t="str">
        <f aca="false">IFERROR(INDEX(Section_Master!$G$2:$G$477,MATCH($E4848,Section_Master!$A$2:$A$477,0))&amp;"","")</f>
        <v>N/A</v>
      </c>
      <c r="J4848" s="10" t="s">
        <v>61</v>
      </c>
      <c r="K4848" s="8" t="s">
        <v>11341</v>
      </c>
    </row>
    <row r="4849" customFormat="false" ht="34.5" hidden="false" customHeight="true" outlineLevel="0" collapsed="false">
      <c r="A4849" s="10" t="s">
        <v>11350</v>
      </c>
      <c r="B4849" s="10" t="s">
        <v>10064</v>
      </c>
      <c r="C4849" s="8" t="s">
        <v>11339</v>
      </c>
      <c r="D4849" s="8" t="s">
        <v>11351</v>
      </c>
      <c r="E4849" s="11" t="n">
        <v>450</v>
      </c>
      <c r="F4849" s="8" t="str">
        <f aca="false">IFERROR(INDEX(Section_Master!$D$2:$D$477,MATCH($E4849,Section_Master!$A$2:$A$477,0))&amp;"","")</f>
        <v>Not applicable - procedural provision (BNSS), no offence defined</v>
      </c>
      <c r="G4849" s="10" t="str">
        <f aca="false">IFERROR(INDEX(Section_Master!$E$2:$E$477,MATCH($E4849,Section_Master!$A$2:$A$477,0))&amp;"","")</f>
        <v>N/A</v>
      </c>
      <c r="H4849" s="10" t="str">
        <f aca="false">IFERROR(INDEX(Section_Master!$F$2:$F$477,MATCH($E4849,Section_Master!$A$2:$A$477,0))&amp;"","")</f>
        <v>N/A</v>
      </c>
      <c r="I4849" s="10" t="str">
        <f aca="false">IFERROR(INDEX(Section_Master!$G$2:$G$477,MATCH($E4849,Section_Master!$A$2:$A$477,0))&amp;"","")</f>
        <v>N/A</v>
      </c>
      <c r="J4849" s="10" t="s">
        <v>64</v>
      </c>
      <c r="K4849" s="8" t="s">
        <v>11341</v>
      </c>
    </row>
    <row r="4850" customFormat="false" ht="34.5" hidden="false" customHeight="true" outlineLevel="0" collapsed="false">
      <c r="A4850" s="10" t="s">
        <v>11352</v>
      </c>
      <c r="B4850" s="10" t="s">
        <v>10064</v>
      </c>
      <c r="C4850" s="8" t="s">
        <v>11353</v>
      </c>
      <c r="D4850" s="8" t="s">
        <v>11354</v>
      </c>
      <c r="E4850" s="11" t="n">
        <v>451</v>
      </c>
      <c r="F4850" s="8" t="str">
        <f aca="false">IFERROR(INDEX(Section_Master!$D$2:$D$477,MATCH($E4850,Section_Master!$A$2:$A$477,0))&amp;"","")</f>
        <v>Not applicable - procedural provision (BNSS), no offence defined</v>
      </c>
      <c r="G4850" s="10" t="str">
        <f aca="false">IFERROR(INDEX(Section_Master!$E$2:$E$477,MATCH($E4850,Section_Master!$A$2:$A$477,0))&amp;"","")</f>
        <v>N/A</v>
      </c>
      <c r="H4850" s="10" t="str">
        <f aca="false">IFERROR(INDEX(Section_Master!$F$2:$F$477,MATCH($E4850,Section_Master!$A$2:$A$477,0))&amp;"","")</f>
        <v>N/A</v>
      </c>
      <c r="I4850" s="10" t="str">
        <f aca="false">IFERROR(INDEX(Section_Master!$G$2:$G$477,MATCH($E4850,Section_Master!$A$2:$A$477,0))&amp;"","")</f>
        <v>N/A</v>
      </c>
      <c r="J4850" s="10" t="s">
        <v>48</v>
      </c>
      <c r="K4850" s="8" t="s">
        <v>11355</v>
      </c>
    </row>
    <row r="4851" customFormat="false" ht="45.75" hidden="false" customHeight="true" outlineLevel="0" collapsed="false">
      <c r="A4851" s="10" t="s">
        <v>11356</v>
      </c>
      <c r="B4851" s="10" t="s">
        <v>10064</v>
      </c>
      <c r="C4851" s="8" t="s">
        <v>11353</v>
      </c>
      <c r="D4851" s="8" t="s">
        <v>11357</v>
      </c>
      <c r="E4851" s="11" t="n">
        <v>451</v>
      </c>
      <c r="F4851" s="8" t="str">
        <f aca="false">IFERROR(INDEX(Section_Master!$D$2:$D$477,MATCH($E4851,Section_Master!$A$2:$A$477,0))&amp;"","")</f>
        <v>Not applicable - procedural provision (BNSS), no offence defined</v>
      </c>
      <c r="G4851" s="10" t="str">
        <f aca="false">IFERROR(INDEX(Section_Master!$E$2:$E$477,MATCH($E4851,Section_Master!$A$2:$A$477,0))&amp;"","")</f>
        <v>N/A</v>
      </c>
      <c r="H4851" s="10" t="str">
        <f aca="false">IFERROR(INDEX(Section_Master!$F$2:$F$477,MATCH($E4851,Section_Master!$A$2:$A$477,0))&amp;"","")</f>
        <v>N/A</v>
      </c>
      <c r="I4851" s="10" t="str">
        <f aca="false">IFERROR(INDEX(Section_Master!$G$2:$G$477,MATCH($E4851,Section_Master!$A$2:$A$477,0))&amp;"","")</f>
        <v>N/A</v>
      </c>
      <c r="J4851" s="10" t="s">
        <v>52</v>
      </c>
      <c r="K4851" s="8" t="s">
        <v>11355</v>
      </c>
    </row>
    <row r="4852" customFormat="false" ht="34.5" hidden="false" customHeight="true" outlineLevel="0" collapsed="false">
      <c r="A4852" s="10" t="s">
        <v>11358</v>
      </c>
      <c r="B4852" s="10" t="s">
        <v>10064</v>
      </c>
      <c r="C4852" s="8" t="s">
        <v>11353</v>
      </c>
      <c r="D4852" s="8" t="s">
        <v>11359</v>
      </c>
      <c r="E4852" s="11" t="n">
        <v>451</v>
      </c>
      <c r="F4852" s="8" t="str">
        <f aca="false">IFERROR(INDEX(Section_Master!$D$2:$D$477,MATCH($E4852,Section_Master!$A$2:$A$477,0))&amp;"","")</f>
        <v>Not applicable - procedural provision (BNSS), no offence defined</v>
      </c>
      <c r="G4852" s="10" t="str">
        <f aca="false">IFERROR(INDEX(Section_Master!$E$2:$E$477,MATCH($E4852,Section_Master!$A$2:$A$477,0))&amp;"","")</f>
        <v>N/A</v>
      </c>
      <c r="H4852" s="10" t="str">
        <f aca="false">IFERROR(INDEX(Section_Master!$F$2:$F$477,MATCH($E4852,Section_Master!$A$2:$A$477,0))&amp;"","")</f>
        <v>N/A</v>
      </c>
      <c r="I4852" s="10" t="str">
        <f aca="false">IFERROR(INDEX(Section_Master!$G$2:$G$477,MATCH($E4852,Section_Master!$A$2:$A$477,0))&amp;"","")</f>
        <v>N/A</v>
      </c>
      <c r="J4852" s="10" t="s">
        <v>55</v>
      </c>
      <c r="K4852" s="8" t="s">
        <v>11355</v>
      </c>
    </row>
    <row r="4853" customFormat="false" ht="23.25" hidden="false" customHeight="true" outlineLevel="0" collapsed="false">
      <c r="A4853" s="10" t="s">
        <v>11360</v>
      </c>
      <c r="B4853" s="10" t="s">
        <v>10064</v>
      </c>
      <c r="C4853" s="8" t="s">
        <v>11353</v>
      </c>
      <c r="D4853" s="8" t="s">
        <v>11361</v>
      </c>
      <c r="E4853" s="11" t="n">
        <v>451</v>
      </c>
      <c r="F4853" s="8" t="str">
        <f aca="false">IFERROR(INDEX(Section_Master!$D$2:$D$477,MATCH($E4853,Section_Master!$A$2:$A$477,0))&amp;"","")</f>
        <v>Not applicable - procedural provision (BNSS), no offence defined</v>
      </c>
      <c r="G4853" s="10" t="str">
        <f aca="false">IFERROR(INDEX(Section_Master!$E$2:$E$477,MATCH($E4853,Section_Master!$A$2:$A$477,0))&amp;"","")</f>
        <v>N/A</v>
      </c>
      <c r="H4853" s="10" t="str">
        <f aca="false">IFERROR(INDEX(Section_Master!$F$2:$F$477,MATCH($E4853,Section_Master!$A$2:$A$477,0))&amp;"","")</f>
        <v>N/A</v>
      </c>
      <c r="I4853" s="10" t="str">
        <f aca="false">IFERROR(INDEX(Section_Master!$G$2:$G$477,MATCH($E4853,Section_Master!$A$2:$A$477,0))&amp;"","")</f>
        <v>N/A</v>
      </c>
      <c r="J4853" s="10" t="s">
        <v>58</v>
      </c>
      <c r="K4853" s="8" t="s">
        <v>11355</v>
      </c>
    </row>
    <row r="4854" customFormat="false" ht="34.5" hidden="false" customHeight="true" outlineLevel="0" collapsed="false">
      <c r="A4854" s="10" t="s">
        <v>11362</v>
      </c>
      <c r="B4854" s="10" t="s">
        <v>10064</v>
      </c>
      <c r="C4854" s="8" t="s">
        <v>11353</v>
      </c>
      <c r="D4854" s="8" t="s">
        <v>11363</v>
      </c>
      <c r="E4854" s="11" t="n">
        <v>451</v>
      </c>
      <c r="F4854" s="8" t="str">
        <f aca="false">IFERROR(INDEX(Section_Master!$D$2:$D$477,MATCH($E4854,Section_Master!$A$2:$A$477,0))&amp;"","")</f>
        <v>Not applicable - procedural provision (BNSS), no offence defined</v>
      </c>
      <c r="G4854" s="10" t="str">
        <f aca="false">IFERROR(INDEX(Section_Master!$E$2:$E$477,MATCH($E4854,Section_Master!$A$2:$A$477,0))&amp;"","")</f>
        <v>N/A</v>
      </c>
      <c r="H4854" s="10" t="str">
        <f aca="false">IFERROR(INDEX(Section_Master!$F$2:$F$477,MATCH($E4854,Section_Master!$A$2:$A$477,0))&amp;"","")</f>
        <v>N/A</v>
      </c>
      <c r="I4854" s="10" t="str">
        <f aca="false">IFERROR(INDEX(Section_Master!$G$2:$G$477,MATCH($E4854,Section_Master!$A$2:$A$477,0))&amp;"","")</f>
        <v>N/A</v>
      </c>
      <c r="J4854" s="10" t="s">
        <v>61</v>
      </c>
      <c r="K4854" s="8" t="s">
        <v>11355</v>
      </c>
    </row>
    <row r="4855" customFormat="false" ht="45.75" hidden="false" customHeight="true" outlineLevel="0" collapsed="false">
      <c r="A4855" s="10" t="s">
        <v>11364</v>
      </c>
      <c r="B4855" s="10" t="s">
        <v>10064</v>
      </c>
      <c r="C4855" s="8" t="s">
        <v>11353</v>
      </c>
      <c r="D4855" s="8" t="s">
        <v>11365</v>
      </c>
      <c r="E4855" s="11" t="n">
        <v>451</v>
      </c>
      <c r="F4855" s="8" t="str">
        <f aca="false">IFERROR(INDEX(Section_Master!$D$2:$D$477,MATCH($E4855,Section_Master!$A$2:$A$477,0))&amp;"","")</f>
        <v>Not applicable - procedural provision (BNSS), no offence defined</v>
      </c>
      <c r="G4855" s="10" t="str">
        <f aca="false">IFERROR(INDEX(Section_Master!$E$2:$E$477,MATCH($E4855,Section_Master!$A$2:$A$477,0))&amp;"","")</f>
        <v>N/A</v>
      </c>
      <c r="H4855" s="10" t="str">
        <f aca="false">IFERROR(INDEX(Section_Master!$F$2:$F$477,MATCH($E4855,Section_Master!$A$2:$A$477,0))&amp;"","")</f>
        <v>N/A</v>
      </c>
      <c r="I4855" s="10" t="str">
        <f aca="false">IFERROR(INDEX(Section_Master!$G$2:$G$477,MATCH($E4855,Section_Master!$A$2:$A$477,0))&amp;"","")</f>
        <v>N/A</v>
      </c>
      <c r="J4855" s="10" t="s">
        <v>64</v>
      </c>
      <c r="K4855" s="8" t="s">
        <v>11355</v>
      </c>
    </row>
    <row r="4856" customFormat="false" ht="34.5" hidden="false" customHeight="true" outlineLevel="0" collapsed="false">
      <c r="A4856" s="10" t="s">
        <v>11366</v>
      </c>
      <c r="B4856" s="10" t="s">
        <v>10064</v>
      </c>
      <c r="C4856" s="8" t="s">
        <v>11367</v>
      </c>
      <c r="D4856" s="8" t="s">
        <v>11368</v>
      </c>
      <c r="E4856" s="11" t="n">
        <v>452</v>
      </c>
      <c r="F4856" s="8" t="str">
        <f aca="false">IFERROR(INDEX(Section_Master!$D$2:$D$477,MATCH($E4856,Section_Master!$A$2:$A$477,0))&amp;"","")</f>
        <v>Not applicable - procedural provision (BNSS), no offence defined</v>
      </c>
      <c r="G4856" s="10" t="str">
        <f aca="false">IFERROR(INDEX(Section_Master!$E$2:$E$477,MATCH($E4856,Section_Master!$A$2:$A$477,0))&amp;"","")</f>
        <v>N/A</v>
      </c>
      <c r="H4856" s="10" t="str">
        <f aca="false">IFERROR(INDEX(Section_Master!$F$2:$F$477,MATCH($E4856,Section_Master!$A$2:$A$477,0))&amp;"","")</f>
        <v>N/A</v>
      </c>
      <c r="I4856" s="10" t="str">
        <f aca="false">IFERROR(INDEX(Section_Master!$G$2:$G$477,MATCH($E4856,Section_Master!$A$2:$A$477,0))&amp;"","")</f>
        <v>N/A</v>
      </c>
      <c r="J4856" s="10" t="s">
        <v>48</v>
      </c>
      <c r="K4856" s="8" t="s">
        <v>11369</v>
      </c>
    </row>
    <row r="4857" customFormat="false" ht="34.5" hidden="false" customHeight="true" outlineLevel="0" collapsed="false">
      <c r="A4857" s="10" t="s">
        <v>11370</v>
      </c>
      <c r="B4857" s="10" t="s">
        <v>10064</v>
      </c>
      <c r="C4857" s="8" t="s">
        <v>11367</v>
      </c>
      <c r="D4857" s="8" t="s">
        <v>11371</v>
      </c>
      <c r="E4857" s="11" t="n">
        <v>452</v>
      </c>
      <c r="F4857" s="8" t="str">
        <f aca="false">IFERROR(INDEX(Section_Master!$D$2:$D$477,MATCH($E4857,Section_Master!$A$2:$A$477,0))&amp;"","")</f>
        <v>Not applicable - procedural provision (BNSS), no offence defined</v>
      </c>
      <c r="G4857" s="10" t="str">
        <f aca="false">IFERROR(INDEX(Section_Master!$E$2:$E$477,MATCH($E4857,Section_Master!$A$2:$A$477,0))&amp;"","")</f>
        <v>N/A</v>
      </c>
      <c r="H4857" s="10" t="str">
        <f aca="false">IFERROR(INDEX(Section_Master!$F$2:$F$477,MATCH($E4857,Section_Master!$A$2:$A$477,0))&amp;"","")</f>
        <v>N/A</v>
      </c>
      <c r="I4857" s="10" t="str">
        <f aca="false">IFERROR(INDEX(Section_Master!$G$2:$G$477,MATCH($E4857,Section_Master!$A$2:$A$477,0))&amp;"","")</f>
        <v>N/A</v>
      </c>
      <c r="J4857" s="10" t="s">
        <v>52</v>
      </c>
      <c r="K4857" s="8" t="s">
        <v>11369</v>
      </c>
    </row>
    <row r="4858" customFormat="false" ht="34.5" hidden="false" customHeight="true" outlineLevel="0" collapsed="false">
      <c r="A4858" s="10" t="s">
        <v>11372</v>
      </c>
      <c r="B4858" s="10" t="s">
        <v>10064</v>
      </c>
      <c r="C4858" s="8" t="s">
        <v>11367</v>
      </c>
      <c r="D4858" s="8" t="s">
        <v>11373</v>
      </c>
      <c r="E4858" s="11" t="n">
        <v>452</v>
      </c>
      <c r="F4858" s="8" t="str">
        <f aca="false">IFERROR(INDEX(Section_Master!$D$2:$D$477,MATCH($E4858,Section_Master!$A$2:$A$477,0))&amp;"","")</f>
        <v>Not applicable - procedural provision (BNSS), no offence defined</v>
      </c>
      <c r="G4858" s="10" t="str">
        <f aca="false">IFERROR(INDEX(Section_Master!$E$2:$E$477,MATCH($E4858,Section_Master!$A$2:$A$477,0))&amp;"","")</f>
        <v>N/A</v>
      </c>
      <c r="H4858" s="10" t="str">
        <f aca="false">IFERROR(INDEX(Section_Master!$F$2:$F$477,MATCH($E4858,Section_Master!$A$2:$A$477,0))&amp;"","")</f>
        <v>N/A</v>
      </c>
      <c r="I4858" s="10" t="str">
        <f aca="false">IFERROR(INDEX(Section_Master!$G$2:$G$477,MATCH($E4858,Section_Master!$A$2:$A$477,0))&amp;"","")</f>
        <v>N/A</v>
      </c>
      <c r="J4858" s="10" t="s">
        <v>55</v>
      </c>
      <c r="K4858" s="8" t="s">
        <v>11369</v>
      </c>
    </row>
    <row r="4859" customFormat="false" ht="23.25" hidden="false" customHeight="true" outlineLevel="0" collapsed="false">
      <c r="A4859" s="10" t="s">
        <v>11374</v>
      </c>
      <c r="B4859" s="10" t="s">
        <v>10064</v>
      </c>
      <c r="C4859" s="8" t="s">
        <v>11367</v>
      </c>
      <c r="D4859" s="8" t="s">
        <v>11375</v>
      </c>
      <c r="E4859" s="11" t="n">
        <v>452</v>
      </c>
      <c r="F4859" s="8" t="str">
        <f aca="false">IFERROR(INDEX(Section_Master!$D$2:$D$477,MATCH($E4859,Section_Master!$A$2:$A$477,0))&amp;"","")</f>
        <v>Not applicable - procedural provision (BNSS), no offence defined</v>
      </c>
      <c r="G4859" s="10" t="str">
        <f aca="false">IFERROR(INDEX(Section_Master!$E$2:$E$477,MATCH($E4859,Section_Master!$A$2:$A$477,0))&amp;"","")</f>
        <v>N/A</v>
      </c>
      <c r="H4859" s="10" t="str">
        <f aca="false">IFERROR(INDEX(Section_Master!$F$2:$F$477,MATCH($E4859,Section_Master!$A$2:$A$477,0))&amp;"","")</f>
        <v>N/A</v>
      </c>
      <c r="I4859" s="10" t="str">
        <f aca="false">IFERROR(INDEX(Section_Master!$G$2:$G$477,MATCH($E4859,Section_Master!$A$2:$A$477,0))&amp;"","")</f>
        <v>N/A</v>
      </c>
      <c r="J4859" s="10" t="s">
        <v>58</v>
      </c>
      <c r="K4859" s="8" t="s">
        <v>11369</v>
      </c>
    </row>
    <row r="4860" customFormat="false" ht="45.75" hidden="false" customHeight="true" outlineLevel="0" collapsed="false">
      <c r="A4860" s="10" t="s">
        <v>11376</v>
      </c>
      <c r="B4860" s="10" t="s">
        <v>10064</v>
      </c>
      <c r="C4860" s="8" t="s">
        <v>11367</v>
      </c>
      <c r="D4860" s="8" t="s">
        <v>11377</v>
      </c>
      <c r="E4860" s="11" t="n">
        <v>452</v>
      </c>
      <c r="F4860" s="8" t="str">
        <f aca="false">IFERROR(INDEX(Section_Master!$D$2:$D$477,MATCH($E4860,Section_Master!$A$2:$A$477,0))&amp;"","")</f>
        <v>Not applicable - procedural provision (BNSS), no offence defined</v>
      </c>
      <c r="G4860" s="10" t="str">
        <f aca="false">IFERROR(INDEX(Section_Master!$E$2:$E$477,MATCH($E4860,Section_Master!$A$2:$A$477,0))&amp;"","")</f>
        <v>N/A</v>
      </c>
      <c r="H4860" s="10" t="str">
        <f aca="false">IFERROR(INDEX(Section_Master!$F$2:$F$477,MATCH($E4860,Section_Master!$A$2:$A$477,0))&amp;"","")</f>
        <v>N/A</v>
      </c>
      <c r="I4860" s="10" t="str">
        <f aca="false">IFERROR(INDEX(Section_Master!$G$2:$G$477,MATCH($E4860,Section_Master!$A$2:$A$477,0))&amp;"","")</f>
        <v>N/A</v>
      </c>
      <c r="J4860" s="10" t="s">
        <v>61</v>
      </c>
      <c r="K4860" s="8" t="s">
        <v>11369</v>
      </c>
    </row>
    <row r="4861" customFormat="false" ht="45.75" hidden="false" customHeight="true" outlineLevel="0" collapsed="false">
      <c r="A4861" s="10" t="s">
        <v>11378</v>
      </c>
      <c r="B4861" s="10" t="s">
        <v>10064</v>
      </c>
      <c r="C4861" s="8" t="s">
        <v>11367</v>
      </c>
      <c r="D4861" s="8" t="s">
        <v>11379</v>
      </c>
      <c r="E4861" s="11" t="n">
        <v>452</v>
      </c>
      <c r="F4861" s="8" t="str">
        <f aca="false">IFERROR(INDEX(Section_Master!$D$2:$D$477,MATCH($E4861,Section_Master!$A$2:$A$477,0))&amp;"","")</f>
        <v>Not applicable - procedural provision (BNSS), no offence defined</v>
      </c>
      <c r="G4861" s="10" t="str">
        <f aca="false">IFERROR(INDEX(Section_Master!$E$2:$E$477,MATCH($E4861,Section_Master!$A$2:$A$477,0))&amp;"","")</f>
        <v>N/A</v>
      </c>
      <c r="H4861" s="10" t="str">
        <f aca="false">IFERROR(INDEX(Section_Master!$F$2:$F$477,MATCH($E4861,Section_Master!$A$2:$A$477,0))&amp;"","")</f>
        <v>N/A</v>
      </c>
      <c r="I4861" s="10" t="str">
        <f aca="false">IFERROR(INDEX(Section_Master!$G$2:$G$477,MATCH($E4861,Section_Master!$A$2:$A$477,0))&amp;"","")</f>
        <v>N/A</v>
      </c>
      <c r="J4861" s="10" t="s">
        <v>64</v>
      </c>
      <c r="K4861" s="8" t="s">
        <v>11369</v>
      </c>
    </row>
    <row r="4862" customFormat="false" ht="34.5" hidden="false" customHeight="true" outlineLevel="0" collapsed="false">
      <c r="A4862" s="10" t="s">
        <v>11380</v>
      </c>
      <c r="B4862" s="10" t="s">
        <v>10064</v>
      </c>
      <c r="C4862" s="8" t="s">
        <v>11381</v>
      </c>
      <c r="D4862" s="8" t="s">
        <v>11382</v>
      </c>
      <c r="E4862" s="11" t="n">
        <v>453</v>
      </c>
      <c r="F4862" s="8" t="str">
        <f aca="false">IFERROR(INDEX(Section_Master!$D$2:$D$477,MATCH($E4862,Section_Master!$A$2:$A$477,0))&amp;"","")</f>
        <v>Not applicable - procedural provision (BNSS), no offence defined</v>
      </c>
      <c r="G4862" s="10" t="str">
        <f aca="false">IFERROR(INDEX(Section_Master!$E$2:$E$477,MATCH($E4862,Section_Master!$A$2:$A$477,0))&amp;"","")</f>
        <v>N/A</v>
      </c>
      <c r="H4862" s="10" t="str">
        <f aca="false">IFERROR(INDEX(Section_Master!$F$2:$F$477,MATCH($E4862,Section_Master!$A$2:$A$477,0))&amp;"","")</f>
        <v>N/A</v>
      </c>
      <c r="I4862" s="10" t="str">
        <f aca="false">IFERROR(INDEX(Section_Master!$G$2:$G$477,MATCH($E4862,Section_Master!$A$2:$A$477,0))&amp;"","")</f>
        <v>N/A</v>
      </c>
      <c r="J4862" s="10" t="s">
        <v>48</v>
      </c>
      <c r="K4862" s="8" t="s">
        <v>11383</v>
      </c>
    </row>
    <row r="4863" customFormat="false" ht="45.75" hidden="false" customHeight="true" outlineLevel="0" collapsed="false">
      <c r="A4863" s="10" t="s">
        <v>11384</v>
      </c>
      <c r="B4863" s="10" t="s">
        <v>10064</v>
      </c>
      <c r="C4863" s="8" t="s">
        <v>11381</v>
      </c>
      <c r="D4863" s="8" t="s">
        <v>11385</v>
      </c>
      <c r="E4863" s="11" t="n">
        <v>453</v>
      </c>
      <c r="F4863" s="8" t="str">
        <f aca="false">IFERROR(INDEX(Section_Master!$D$2:$D$477,MATCH($E4863,Section_Master!$A$2:$A$477,0))&amp;"","")</f>
        <v>Not applicable - procedural provision (BNSS), no offence defined</v>
      </c>
      <c r="G4863" s="10" t="str">
        <f aca="false">IFERROR(INDEX(Section_Master!$E$2:$E$477,MATCH($E4863,Section_Master!$A$2:$A$477,0))&amp;"","")</f>
        <v>N/A</v>
      </c>
      <c r="H4863" s="10" t="str">
        <f aca="false">IFERROR(INDEX(Section_Master!$F$2:$F$477,MATCH($E4863,Section_Master!$A$2:$A$477,0))&amp;"","")</f>
        <v>N/A</v>
      </c>
      <c r="I4863" s="10" t="str">
        <f aca="false">IFERROR(INDEX(Section_Master!$G$2:$G$477,MATCH($E4863,Section_Master!$A$2:$A$477,0))&amp;"","")</f>
        <v>N/A</v>
      </c>
      <c r="J4863" s="10" t="s">
        <v>52</v>
      </c>
      <c r="K4863" s="8" t="s">
        <v>11383</v>
      </c>
    </row>
    <row r="4864" customFormat="false" ht="34.5" hidden="false" customHeight="true" outlineLevel="0" collapsed="false">
      <c r="A4864" s="10" t="s">
        <v>11386</v>
      </c>
      <c r="B4864" s="10" t="s">
        <v>10064</v>
      </c>
      <c r="C4864" s="8" t="s">
        <v>11381</v>
      </c>
      <c r="D4864" s="8" t="s">
        <v>11387</v>
      </c>
      <c r="E4864" s="11" t="n">
        <v>453</v>
      </c>
      <c r="F4864" s="8" t="str">
        <f aca="false">IFERROR(INDEX(Section_Master!$D$2:$D$477,MATCH($E4864,Section_Master!$A$2:$A$477,0))&amp;"","")</f>
        <v>Not applicable - procedural provision (BNSS), no offence defined</v>
      </c>
      <c r="G4864" s="10" t="str">
        <f aca="false">IFERROR(INDEX(Section_Master!$E$2:$E$477,MATCH($E4864,Section_Master!$A$2:$A$477,0))&amp;"","")</f>
        <v>N/A</v>
      </c>
      <c r="H4864" s="10" t="str">
        <f aca="false">IFERROR(INDEX(Section_Master!$F$2:$F$477,MATCH($E4864,Section_Master!$A$2:$A$477,0))&amp;"","")</f>
        <v>N/A</v>
      </c>
      <c r="I4864" s="10" t="str">
        <f aca="false">IFERROR(INDEX(Section_Master!$G$2:$G$477,MATCH($E4864,Section_Master!$A$2:$A$477,0))&amp;"","")</f>
        <v>N/A</v>
      </c>
      <c r="J4864" s="10" t="s">
        <v>55</v>
      </c>
      <c r="K4864" s="8" t="s">
        <v>11383</v>
      </c>
    </row>
    <row r="4865" customFormat="false" ht="23.25" hidden="false" customHeight="true" outlineLevel="0" collapsed="false">
      <c r="A4865" s="10" t="s">
        <v>11388</v>
      </c>
      <c r="B4865" s="10" t="s">
        <v>10064</v>
      </c>
      <c r="C4865" s="8" t="s">
        <v>11381</v>
      </c>
      <c r="D4865" s="8" t="s">
        <v>11389</v>
      </c>
      <c r="E4865" s="11" t="n">
        <v>453</v>
      </c>
      <c r="F4865" s="8" t="str">
        <f aca="false">IFERROR(INDEX(Section_Master!$D$2:$D$477,MATCH($E4865,Section_Master!$A$2:$A$477,0))&amp;"","")</f>
        <v>Not applicable - procedural provision (BNSS), no offence defined</v>
      </c>
      <c r="G4865" s="10" t="str">
        <f aca="false">IFERROR(INDEX(Section_Master!$E$2:$E$477,MATCH($E4865,Section_Master!$A$2:$A$477,0))&amp;"","")</f>
        <v>N/A</v>
      </c>
      <c r="H4865" s="10" t="str">
        <f aca="false">IFERROR(INDEX(Section_Master!$F$2:$F$477,MATCH($E4865,Section_Master!$A$2:$A$477,0))&amp;"","")</f>
        <v>N/A</v>
      </c>
      <c r="I4865" s="10" t="str">
        <f aca="false">IFERROR(INDEX(Section_Master!$G$2:$G$477,MATCH($E4865,Section_Master!$A$2:$A$477,0))&amp;"","")</f>
        <v>N/A</v>
      </c>
      <c r="J4865" s="10" t="s">
        <v>58</v>
      </c>
      <c r="K4865" s="8" t="s">
        <v>11383</v>
      </c>
    </row>
    <row r="4866" customFormat="false" ht="34.5" hidden="false" customHeight="true" outlineLevel="0" collapsed="false">
      <c r="A4866" s="10" t="s">
        <v>11390</v>
      </c>
      <c r="B4866" s="10" t="s">
        <v>10064</v>
      </c>
      <c r="C4866" s="8" t="s">
        <v>11381</v>
      </c>
      <c r="D4866" s="8" t="s">
        <v>11391</v>
      </c>
      <c r="E4866" s="11" t="n">
        <v>453</v>
      </c>
      <c r="F4866" s="8" t="str">
        <f aca="false">IFERROR(INDEX(Section_Master!$D$2:$D$477,MATCH($E4866,Section_Master!$A$2:$A$477,0))&amp;"","")</f>
        <v>Not applicable - procedural provision (BNSS), no offence defined</v>
      </c>
      <c r="G4866" s="10" t="str">
        <f aca="false">IFERROR(INDEX(Section_Master!$E$2:$E$477,MATCH($E4866,Section_Master!$A$2:$A$477,0))&amp;"","")</f>
        <v>N/A</v>
      </c>
      <c r="H4866" s="10" t="str">
        <f aca="false">IFERROR(INDEX(Section_Master!$F$2:$F$477,MATCH($E4866,Section_Master!$A$2:$A$477,0))&amp;"","")</f>
        <v>N/A</v>
      </c>
      <c r="I4866" s="10" t="str">
        <f aca="false">IFERROR(INDEX(Section_Master!$G$2:$G$477,MATCH($E4866,Section_Master!$A$2:$A$477,0))&amp;"","")</f>
        <v>N/A</v>
      </c>
      <c r="J4866" s="10" t="s">
        <v>61</v>
      </c>
      <c r="K4866" s="8" t="s">
        <v>11383</v>
      </c>
    </row>
    <row r="4867" customFormat="false" ht="45.75" hidden="false" customHeight="true" outlineLevel="0" collapsed="false">
      <c r="A4867" s="10" t="s">
        <v>11392</v>
      </c>
      <c r="B4867" s="10" t="s">
        <v>10064</v>
      </c>
      <c r="C4867" s="8" t="s">
        <v>11381</v>
      </c>
      <c r="D4867" s="8" t="s">
        <v>11393</v>
      </c>
      <c r="E4867" s="11" t="n">
        <v>453</v>
      </c>
      <c r="F4867" s="8" t="str">
        <f aca="false">IFERROR(INDEX(Section_Master!$D$2:$D$477,MATCH($E4867,Section_Master!$A$2:$A$477,0))&amp;"","")</f>
        <v>Not applicable - procedural provision (BNSS), no offence defined</v>
      </c>
      <c r="G4867" s="10" t="str">
        <f aca="false">IFERROR(INDEX(Section_Master!$E$2:$E$477,MATCH($E4867,Section_Master!$A$2:$A$477,0))&amp;"","")</f>
        <v>N/A</v>
      </c>
      <c r="H4867" s="10" t="str">
        <f aca="false">IFERROR(INDEX(Section_Master!$F$2:$F$477,MATCH($E4867,Section_Master!$A$2:$A$477,0))&amp;"","")</f>
        <v>N/A</v>
      </c>
      <c r="I4867" s="10" t="str">
        <f aca="false">IFERROR(INDEX(Section_Master!$G$2:$G$477,MATCH($E4867,Section_Master!$A$2:$A$477,0))&amp;"","")</f>
        <v>N/A</v>
      </c>
      <c r="J4867" s="10" t="s">
        <v>64</v>
      </c>
      <c r="K4867" s="8" t="s">
        <v>11383</v>
      </c>
    </row>
    <row r="4868" customFormat="false" ht="34.5" hidden="false" customHeight="true" outlineLevel="0" collapsed="false">
      <c r="A4868" s="10" t="s">
        <v>11394</v>
      </c>
      <c r="B4868" s="10" t="s">
        <v>10064</v>
      </c>
      <c r="C4868" s="8" t="s">
        <v>11395</v>
      </c>
      <c r="D4868" s="8" t="s">
        <v>11396</v>
      </c>
      <c r="E4868" s="11" t="n">
        <v>454</v>
      </c>
      <c r="F4868" s="8" t="str">
        <f aca="false">IFERROR(INDEX(Section_Master!$D$2:$D$477,MATCH($E4868,Section_Master!$A$2:$A$477,0))&amp;"","")</f>
        <v>Not applicable - procedural provision (BNSS), no offence defined</v>
      </c>
      <c r="G4868" s="10" t="str">
        <f aca="false">IFERROR(INDEX(Section_Master!$E$2:$E$477,MATCH($E4868,Section_Master!$A$2:$A$477,0))&amp;"","")</f>
        <v>N/A</v>
      </c>
      <c r="H4868" s="10" t="str">
        <f aca="false">IFERROR(INDEX(Section_Master!$F$2:$F$477,MATCH($E4868,Section_Master!$A$2:$A$477,0))&amp;"","")</f>
        <v>N/A</v>
      </c>
      <c r="I4868" s="10" t="str">
        <f aca="false">IFERROR(INDEX(Section_Master!$G$2:$G$477,MATCH($E4868,Section_Master!$A$2:$A$477,0))&amp;"","")</f>
        <v>N/A</v>
      </c>
      <c r="J4868" s="10" t="s">
        <v>48</v>
      </c>
      <c r="K4868" s="8" t="s">
        <v>11397</v>
      </c>
    </row>
    <row r="4869" customFormat="false" ht="45.75" hidden="false" customHeight="true" outlineLevel="0" collapsed="false">
      <c r="A4869" s="10" t="s">
        <v>11398</v>
      </c>
      <c r="B4869" s="10" t="s">
        <v>10064</v>
      </c>
      <c r="C4869" s="8" t="s">
        <v>11395</v>
      </c>
      <c r="D4869" s="8" t="s">
        <v>11399</v>
      </c>
      <c r="E4869" s="11" t="n">
        <v>454</v>
      </c>
      <c r="F4869" s="8" t="str">
        <f aca="false">IFERROR(INDEX(Section_Master!$D$2:$D$477,MATCH($E4869,Section_Master!$A$2:$A$477,0))&amp;"","")</f>
        <v>Not applicable - procedural provision (BNSS), no offence defined</v>
      </c>
      <c r="G4869" s="10" t="str">
        <f aca="false">IFERROR(INDEX(Section_Master!$E$2:$E$477,MATCH($E4869,Section_Master!$A$2:$A$477,0))&amp;"","")</f>
        <v>N/A</v>
      </c>
      <c r="H4869" s="10" t="str">
        <f aca="false">IFERROR(INDEX(Section_Master!$F$2:$F$477,MATCH($E4869,Section_Master!$A$2:$A$477,0))&amp;"","")</f>
        <v>N/A</v>
      </c>
      <c r="I4869" s="10" t="str">
        <f aca="false">IFERROR(INDEX(Section_Master!$G$2:$G$477,MATCH($E4869,Section_Master!$A$2:$A$477,0))&amp;"","")</f>
        <v>N/A</v>
      </c>
      <c r="J4869" s="10" t="s">
        <v>52</v>
      </c>
      <c r="K4869" s="8" t="s">
        <v>11397</v>
      </c>
    </row>
    <row r="4870" customFormat="false" ht="34.5" hidden="false" customHeight="true" outlineLevel="0" collapsed="false">
      <c r="A4870" s="10" t="s">
        <v>11400</v>
      </c>
      <c r="B4870" s="10" t="s">
        <v>10064</v>
      </c>
      <c r="C4870" s="8" t="s">
        <v>11395</v>
      </c>
      <c r="D4870" s="8" t="s">
        <v>11401</v>
      </c>
      <c r="E4870" s="11" t="n">
        <v>454</v>
      </c>
      <c r="F4870" s="8" t="str">
        <f aca="false">IFERROR(INDEX(Section_Master!$D$2:$D$477,MATCH($E4870,Section_Master!$A$2:$A$477,0))&amp;"","")</f>
        <v>Not applicable - procedural provision (BNSS), no offence defined</v>
      </c>
      <c r="G4870" s="10" t="str">
        <f aca="false">IFERROR(INDEX(Section_Master!$E$2:$E$477,MATCH($E4870,Section_Master!$A$2:$A$477,0))&amp;"","")</f>
        <v>N/A</v>
      </c>
      <c r="H4870" s="10" t="str">
        <f aca="false">IFERROR(INDEX(Section_Master!$F$2:$F$477,MATCH($E4870,Section_Master!$A$2:$A$477,0))&amp;"","")</f>
        <v>N/A</v>
      </c>
      <c r="I4870" s="10" t="str">
        <f aca="false">IFERROR(INDEX(Section_Master!$G$2:$G$477,MATCH($E4870,Section_Master!$A$2:$A$477,0))&amp;"","")</f>
        <v>N/A</v>
      </c>
      <c r="J4870" s="10" t="s">
        <v>55</v>
      </c>
      <c r="K4870" s="8" t="s">
        <v>11397</v>
      </c>
    </row>
    <row r="4871" customFormat="false" ht="23.25" hidden="false" customHeight="true" outlineLevel="0" collapsed="false">
      <c r="A4871" s="10" t="s">
        <v>11402</v>
      </c>
      <c r="B4871" s="10" t="s">
        <v>10064</v>
      </c>
      <c r="C4871" s="8" t="s">
        <v>11395</v>
      </c>
      <c r="D4871" s="8" t="s">
        <v>11403</v>
      </c>
      <c r="E4871" s="11" t="n">
        <v>454</v>
      </c>
      <c r="F4871" s="8" t="str">
        <f aca="false">IFERROR(INDEX(Section_Master!$D$2:$D$477,MATCH($E4871,Section_Master!$A$2:$A$477,0))&amp;"","")</f>
        <v>Not applicable - procedural provision (BNSS), no offence defined</v>
      </c>
      <c r="G4871" s="10" t="str">
        <f aca="false">IFERROR(INDEX(Section_Master!$E$2:$E$477,MATCH($E4871,Section_Master!$A$2:$A$477,0))&amp;"","")</f>
        <v>N/A</v>
      </c>
      <c r="H4871" s="10" t="str">
        <f aca="false">IFERROR(INDEX(Section_Master!$F$2:$F$477,MATCH($E4871,Section_Master!$A$2:$A$477,0))&amp;"","")</f>
        <v>N/A</v>
      </c>
      <c r="I4871" s="10" t="str">
        <f aca="false">IFERROR(INDEX(Section_Master!$G$2:$G$477,MATCH($E4871,Section_Master!$A$2:$A$477,0))&amp;"","")</f>
        <v>N/A</v>
      </c>
      <c r="J4871" s="10" t="s">
        <v>58</v>
      </c>
      <c r="K4871" s="8" t="s">
        <v>11397</v>
      </c>
    </row>
    <row r="4872" customFormat="false" ht="23.25" hidden="false" customHeight="true" outlineLevel="0" collapsed="false">
      <c r="A4872" s="10" t="s">
        <v>11404</v>
      </c>
      <c r="B4872" s="10" t="s">
        <v>10064</v>
      </c>
      <c r="C4872" s="8" t="s">
        <v>11395</v>
      </c>
      <c r="D4872" s="8" t="s">
        <v>11405</v>
      </c>
      <c r="E4872" s="11" t="n">
        <v>454</v>
      </c>
      <c r="F4872" s="8" t="str">
        <f aca="false">IFERROR(INDEX(Section_Master!$D$2:$D$477,MATCH($E4872,Section_Master!$A$2:$A$477,0))&amp;"","")</f>
        <v>Not applicable - procedural provision (BNSS), no offence defined</v>
      </c>
      <c r="G4872" s="10" t="str">
        <f aca="false">IFERROR(INDEX(Section_Master!$E$2:$E$477,MATCH($E4872,Section_Master!$A$2:$A$477,0))&amp;"","")</f>
        <v>N/A</v>
      </c>
      <c r="H4872" s="10" t="str">
        <f aca="false">IFERROR(INDEX(Section_Master!$F$2:$F$477,MATCH($E4872,Section_Master!$A$2:$A$477,0))&amp;"","")</f>
        <v>N/A</v>
      </c>
      <c r="I4872" s="10" t="str">
        <f aca="false">IFERROR(INDEX(Section_Master!$G$2:$G$477,MATCH($E4872,Section_Master!$A$2:$A$477,0))&amp;"","")</f>
        <v>N/A</v>
      </c>
      <c r="J4872" s="10" t="s">
        <v>61</v>
      </c>
      <c r="K4872" s="8" t="s">
        <v>11397</v>
      </c>
    </row>
    <row r="4873" customFormat="false" ht="45.75" hidden="false" customHeight="true" outlineLevel="0" collapsed="false">
      <c r="A4873" s="10" t="s">
        <v>11406</v>
      </c>
      <c r="B4873" s="10" t="s">
        <v>10064</v>
      </c>
      <c r="C4873" s="8" t="s">
        <v>11395</v>
      </c>
      <c r="D4873" s="8" t="s">
        <v>11407</v>
      </c>
      <c r="E4873" s="11" t="n">
        <v>454</v>
      </c>
      <c r="F4873" s="8" t="str">
        <f aca="false">IFERROR(INDEX(Section_Master!$D$2:$D$477,MATCH($E4873,Section_Master!$A$2:$A$477,0))&amp;"","")</f>
        <v>Not applicable - procedural provision (BNSS), no offence defined</v>
      </c>
      <c r="G4873" s="10" t="str">
        <f aca="false">IFERROR(INDEX(Section_Master!$E$2:$E$477,MATCH($E4873,Section_Master!$A$2:$A$477,0))&amp;"","")</f>
        <v>N/A</v>
      </c>
      <c r="H4873" s="10" t="str">
        <f aca="false">IFERROR(INDEX(Section_Master!$F$2:$F$477,MATCH($E4873,Section_Master!$A$2:$A$477,0))&amp;"","")</f>
        <v>N/A</v>
      </c>
      <c r="I4873" s="10" t="str">
        <f aca="false">IFERROR(INDEX(Section_Master!$G$2:$G$477,MATCH($E4873,Section_Master!$A$2:$A$477,0))&amp;"","")</f>
        <v>N/A</v>
      </c>
      <c r="J4873" s="10" t="s">
        <v>64</v>
      </c>
      <c r="K4873" s="8" t="s">
        <v>11397</v>
      </c>
    </row>
    <row r="4874" customFormat="false" ht="34.5" hidden="false" customHeight="true" outlineLevel="0" collapsed="false">
      <c r="A4874" s="10" t="s">
        <v>11408</v>
      </c>
      <c r="B4874" s="10" t="s">
        <v>10064</v>
      </c>
      <c r="C4874" s="8" t="s">
        <v>11409</v>
      </c>
      <c r="D4874" s="8" t="s">
        <v>11410</v>
      </c>
      <c r="E4874" s="11" t="n">
        <v>455</v>
      </c>
      <c r="F4874" s="8" t="str">
        <f aca="false">IFERROR(INDEX(Section_Master!$D$2:$D$477,MATCH($E4874,Section_Master!$A$2:$A$477,0))&amp;"","")</f>
        <v>Not applicable - procedural provision (BNSS), no offence defined</v>
      </c>
      <c r="G4874" s="10" t="str">
        <f aca="false">IFERROR(INDEX(Section_Master!$E$2:$E$477,MATCH($E4874,Section_Master!$A$2:$A$477,0))&amp;"","")</f>
        <v>N/A</v>
      </c>
      <c r="H4874" s="10" t="str">
        <f aca="false">IFERROR(INDEX(Section_Master!$F$2:$F$477,MATCH($E4874,Section_Master!$A$2:$A$477,0))&amp;"","")</f>
        <v>N/A</v>
      </c>
      <c r="I4874" s="10" t="str">
        <f aca="false">IFERROR(INDEX(Section_Master!$G$2:$G$477,MATCH($E4874,Section_Master!$A$2:$A$477,0))&amp;"","")</f>
        <v>N/A</v>
      </c>
      <c r="J4874" s="10" t="s">
        <v>48</v>
      </c>
      <c r="K4874" s="8" t="s">
        <v>11411</v>
      </c>
    </row>
    <row r="4875" customFormat="false" ht="45.75" hidden="false" customHeight="true" outlineLevel="0" collapsed="false">
      <c r="A4875" s="10" t="s">
        <v>11412</v>
      </c>
      <c r="B4875" s="10" t="s">
        <v>10064</v>
      </c>
      <c r="C4875" s="8" t="s">
        <v>11409</v>
      </c>
      <c r="D4875" s="8" t="s">
        <v>11413</v>
      </c>
      <c r="E4875" s="11" t="n">
        <v>455</v>
      </c>
      <c r="F4875" s="8" t="str">
        <f aca="false">IFERROR(INDEX(Section_Master!$D$2:$D$477,MATCH($E4875,Section_Master!$A$2:$A$477,0))&amp;"","")</f>
        <v>Not applicable - procedural provision (BNSS), no offence defined</v>
      </c>
      <c r="G4875" s="10" t="str">
        <f aca="false">IFERROR(INDEX(Section_Master!$E$2:$E$477,MATCH($E4875,Section_Master!$A$2:$A$477,0))&amp;"","")</f>
        <v>N/A</v>
      </c>
      <c r="H4875" s="10" t="str">
        <f aca="false">IFERROR(INDEX(Section_Master!$F$2:$F$477,MATCH($E4875,Section_Master!$A$2:$A$477,0))&amp;"","")</f>
        <v>N/A</v>
      </c>
      <c r="I4875" s="10" t="str">
        <f aca="false">IFERROR(INDEX(Section_Master!$G$2:$G$477,MATCH($E4875,Section_Master!$A$2:$A$477,0))&amp;"","")</f>
        <v>N/A</v>
      </c>
      <c r="J4875" s="10" t="s">
        <v>52</v>
      </c>
      <c r="K4875" s="8" t="s">
        <v>11411</v>
      </c>
    </row>
    <row r="4876" customFormat="false" ht="45.75" hidden="false" customHeight="true" outlineLevel="0" collapsed="false">
      <c r="A4876" s="10" t="s">
        <v>11414</v>
      </c>
      <c r="B4876" s="10" t="s">
        <v>10064</v>
      </c>
      <c r="C4876" s="8" t="s">
        <v>11409</v>
      </c>
      <c r="D4876" s="8" t="s">
        <v>11415</v>
      </c>
      <c r="E4876" s="11" t="n">
        <v>455</v>
      </c>
      <c r="F4876" s="8" t="str">
        <f aca="false">IFERROR(INDEX(Section_Master!$D$2:$D$477,MATCH($E4876,Section_Master!$A$2:$A$477,0))&amp;"","")</f>
        <v>Not applicable - procedural provision (BNSS), no offence defined</v>
      </c>
      <c r="G4876" s="10" t="str">
        <f aca="false">IFERROR(INDEX(Section_Master!$E$2:$E$477,MATCH($E4876,Section_Master!$A$2:$A$477,0))&amp;"","")</f>
        <v>N/A</v>
      </c>
      <c r="H4876" s="10" t="str">
        <f aca="false">IFERROR(INDEX(Section_Master!$F$2:$F$477,MATCH($E4876,Section_Master!$A$2:$A$477,0))&amp;"","")</f>
        <v>N/A</v>
      </c>
      <c r="I4876" s="10" t="str">
        <f aca="false">IFERROR(INDEX(Section_Master!$G$2:$G$477,MATCH($E4876,Section_Master!$A$2:$A$477,0))&amp;"","")</f>
        <v>N/A</v>
      </c>
      <c r="J4876" s="10" t="s">
        <v>55</v>
      </c>
      <c r="K4876" s="8" t="s">
        <v>11411</v>
      </c>
    </row>
    <row r="4877" customFormat="false" ht="34.5" hidden="false" customHeight="true" outlineLevel="0" collapsed="false">
      <c r="A4877" s="10" t="s">
        <v>11416</v>
      </c>
      <c r="B4877" s="10" t="s">
        <v>10064</v>
      </c>
      <c r="C4877" s="8" t="s">
        <v>11409</v>
      </c>
      <c r="D4877" s="8" t="s">
        <v>11417</v>
      </c>
      <c r="E4877" s="11" t="n">
        <v>455</v>
      </c>
      <c r="F4877" s="8" t="str">
        <f aca="false">IFERROR(INDEX(Section_Master!$D$2:$D$477,MATCH($E4877,Section_Master!$A$2:$A$477,0))&amp;"","")</f>
        <v>Not applicable - procedural provision (BNSS), no offence defined</v>
      </c>
      <c r="G4877" s="10" t="str">
        <f aca="false">IFERROR(INDEX(Section_Master!$E$2:$E$477,MATCH($E4877,Section_Master!$A$2:$A$477,0))&amp;"","")</f>
        <v>N/A</v>
      </c>
      <c r="H4877" s="10" t="str">
        <f aca="false">IFERROR(INDEX(Section_Master!$F$2:$F$477,MATCH($E4877,Section_Master!$A$2:$A$477,0))&amp;"","")</f>
        <v>N/A</v>
      </c>
      <c r="I4877" s="10" t="str">
        <f aca="false">IFERROR(INDEX(Section_Master!$G$2:$G$477,MATCH($E4877,Section_Master!$A$2:$A$477,0))&amp;"","")</f>
        <v>N/A</v>
      </c>
      <c r="J4877" s="10" t="s">
        <v>58</v>
      </c>
      <c r="K4877" s="8" t="s">
        <v>11411</v>
      </c>
    </row>
    <row r="4878" customFormat="false" ht="34.5" hidden="false" customHeight="true" outlineLevel="0" collapsed="false">
      <c r="A4878" s="10" t="s">
        <v>11418</v>
      </c>
      <c r="B4878" s="10" t="s">
        <v>10064</v>
      </c>
      <c r="C4878" s="8" t="s">
        <v>11409</v>
      </c>
      <c r="D4878" s="8" t="s">
        <v>11419</v>
      </c>
      <c r="E4878" s="11" t="n">
        <v>455</v>
      </c>
      <c r="F4878" s="8" t="str">
        <f aca="false">IFERROR(INDEX(Section_Master!$D$2:$D$477,MATCH($E4878,Section_Master!$A$2:$A$477,0))&amp;"","")</f>
        <v>Not applicable - procedural provision (BNSS), no offence defined</v>
      </c>
      <c r="G4878" s="10" t="str">
        <f aca="false">IFERROR(INDEX(Section_Master!$E$2:$E$477,MATCH($E4878,Section_Master!$A$2:$A$477,0))&amp;"","")</f>
        <v>N/A</v>
      </c>
      <c r="H4878" s="10" t="str">
        <f aca="false">IFERROR(INDEX(Section_Master!$F$2:$F$477,MATCH($E4878,Section_Master!$A$2:$A$477,0))&amp;"","")</f>
        <v>N/A</v>
      </c>
      <c r="I4878" s="10" t="str">
        <f aca="false">IFERROR(INDEX(Section_Master!$G$2:$G$477,MATCH($E4878,Section_Master!$A$2:$A$477,0))&amp;"","")</f>
        <v>N/A</v>
      </c>
      <c r="J4878" s="10" t="s">
        <v>61</v>
      </c>
      <c r="K4878" s="8" t="s">
        <v>11411</v>
      </c>
    </row>
    <row r="4879" customFormat="false" ht="57" hidden="false" customHeight="true" outlineLevel="0" collapsed="false">
      <c r="A4879" s="10" t="s">
        <v>11420</v>
      </c>
      <c r="B4879" s="10" t="s">
        <v>10064</v>
      </c>
      <c r="C4879" s="8" t="s">
        <v>11409</v>
      </c>
      <c r="D4879" s="8" t="s">
        <v>11421</v>
      </c>
      <c r="E4879" s="11" t="n">
        <v>455</v>
      </c>
      <c r="F4879" s="8" t="str">
        <f aca="false">IFERROR(INDEX(Section_Master!$D$2:$D$477,MATCH($E4879,Section_Master!$A$2:$A$477,0))&amp;"","")</f>
        <v>Not applicable - procedural provision (BNSS), no offence defined</v>
      </c>
      <c r="G4879" s="10" t="str">
        <f aca="false">IFERROR(INDEX(Section_Master!$E$2:$E$477,MATCH($E4879,Section_Master!$A$2:$A$477,0))&amp;"","")</f>
        <v>N/A</v>
      </c>
      <c r="H4879" s="10" t="str">
        <f aca="false">IFERROR(INDEX(Section_Master!$F$2:$F$477,MATCH($E4879,Section_Master!$A$2:$A$477,0))&amp;"","")</f>
        <v>N/A</v>
      </c>
      <c r="I4879" s="10" t="str">
        <f aca="false">IFERROR(INDEX(Section_Master!$G$2:$G$477,MATCH($E4879,Section_Master!$A$2:$A$477,0))&amp;"","")</f>
        <v>N/A</v>
      </c>
      <c r="J4879" s="10" t="s">
        <v>64</v>
      </c>
      <c r="K4879" s="8" t="s">
        <v>11411</v>
      </c>
    </row>
    <row r="4880" customFormat="false" ht="34.5" hidden="false" customHeight="true" outlineLevel="0" collapsed="false">
      <c r="A4880" s="10" t="s">
        <v>11422</v>
      </c>
      <c r="B4880" s="10" t="s">
        <v>10064</v>
      </c>
      <c r="C4880" s="8" t="s">
        <v>11423</v>
      </c>
      <c r="D4880" s="8" t="s">
        <v>11424</v>
      </c>
      <c r="E4880" s="11" t="n">
        <v>456</v>
      </c>
      <c r="F4880" s="8" t="str">
        <f aca="false">IFERROR(INDEX(Section_Master!$D$2:$D$477,MATCH($E4880,Section_Master!$A$2:$A$477,0))&amp;"","")</f>
        <v>Not applicable - procedural provision (BNSS), no offence defined</v>
      </c>
      <c r="G4880" s="10" t="str">
        <f aca="false">IFERROR(INDEX(Section_Master!$E$2:$E$477,MATCH($E4880,Section_Master!$A$2:$A$477,0))&amp;"","")</f>
        <v>N/A</v>
      </c>
      <c r="H4880" s="10" t="str">
        <f aca="false">IFERROR(INDEX(Section_Master!$F$2:$F$477,MATCH($E4880,Section_Master!$A$2:$A$477,0))&amp;"","")</f>
        <v>N/A</v>
      </c>
      <c r="I4880" s="10" t="str">
        <f aca="false">IFERROR(INDEX(Section_Master!$G$2:$G$477,MATCH($E4880,Section_Master!$A$2:$A$477,0))&amp;"","")</f>
        <v>N/A</v>
      </c>
      <c r="J4880" s="10" t="s">
        <v>48</v>
      </c>
      <c r="K4880" s="8" t="s">
        <v>11425</v>
      </c>
    </row>
    <row r="4881" customFormat="false" ht="34.5" hidden="false" customHeight="true" outlineLevel="0" collapsed="false">
      <c r="A4881" s="10" t="s">
        <v>11426</v>
      </c>
      <c r="B4881" s="10" t="s">
        <v>10064</v>
      </c>
      <c r="C4881" s="8" t="s">
        <v>11423</v>
      </c>
      <c r="D4881" s="8" t="s">
        <v>11427</v>
      </c>
      <c r="E4881" s="11" t="n">
        <v>456</v>
      </c>
      <c r="F4881" s="8" t="str">
        <f aca="false">IFERROR(INDEX(Section_Master!$D$2:$D$477,MATCH($E4881,Section_Master!$A$2:$A$477,0))&amp;"","")</f>
        <v>Not applicable - procedural provision (BNSS), no offence defined</v>
      </c>
      <c r="G4881" s="10" t="str">
        <f aca="false">IFERROR(INDEX(Section_Master!$E$2:$E$477,MATCH($E4881,Section_Master!$A$2:$A$477,0))&amp;"","")</f>
        <v>N/A</v>
      </c>
      <c r="H4881" s="10" t="str">
        <f aca="false">IFERROR(INDEX(Section_Master!$F$2:$F$477,MATCH($E4881,Section_Master!$A$2:$A$477,0))&amp;"","")</f>
        <v>N/A</v>
      </c>
      <c r="I4881" s="10" t="str">
        <f aca="false">IFERROR(INDEX(Section_Master!$G$2:$G$477,MATCH($E4881,Section_Master!$A$2:$A$477,0))&amp;"","")</f>
        <v>N/A</v>
      </c>
      <c r="J4881" s="10" t="s">
        <v>52</v>
      </c>
      <c r="K4881" s="8" t="s">
        <v>11425</v>
      </c>
    </row>
    <row r="4882" customFormat="false" ht="23.25" hidden="false" customHeight="true" outlineLevel="0" collapsed="false">
      <c r="A4882" s="10" t="s">
        <v>11428</v>
      </c>
      <c r="B4882" s="10" t="s">
        <v>10064</v>
      </c>
      <c r="C4882" s="8" t="s">
        <v>11423</v>
      </c>
      <c r="D4882" s="8" t="s">
        <v>11429</v>
      </c>
      <c r="E4882" s="11" t="n">
        <v>456</v>
      </c>
      <c r="F4882" s="8" t="str">
        <f aca="false">IFERROR(INDEX(Section_Master!$D$2:$D$477,MATCH($E4882,Section_Master!$A$2:$A$477,0))&amp;"","")</f>
        <v>Not applicable - procedural provision (BNSS), no offence defined</v>
      </c>
      <c r="G4882" s="10" t="str">
        <f aca="false">IFERROR(INDEX(Section_Master!$E$2:$E$477,MATCH($E4882,Section_Master!$A$2:$A$477,0))&amp;"","")</f>
        <v>N/A</v>
      </c>
      <c r="H4882" s="10" t="str">
        <f aca="false">IFERROR(INDEX(Section_Master!$F$2:$F$477,MATCH($E4882,Section_Master!$A$2:$A$477,0))&amp;"","")</f>
        <v>N/A</v>
      </c>
      <c r="I4882" s="10" t="str">
        <f aca="false">IFERROR(INDEX(Section_Master!$G$2:$G$477,MATCH($E4882,Section_Master!$A$2:$A$477,0))&amp;"","")</f>
        <v>N/A</v>
      </c>
      <c r="J4882" s="10" t="s">
        <v>55</v>
      </c>
      <c r="K4882" s="8" t="s">
        <v>11425</v>
      </c>
    </row>
    <row r="4883" customFormat="false" ht="23.25" hidden="false" customHeight="true" outlineLevel="0" collapsed="false">
      <c r="A4883" s="10" t="s">
        <v>11430</v>
      </c>
      <c r="B4883" s="10" t="s">
        <v>10064</v>
      </c>
      <c r="C4883" s="8" t="s">
        <v>11423</v>
      </c>
      <c r="D4883" s="8" t="s">
        <v>11431</v>
      </c>
      <c r="E4883" s="11" t="n">
        <v>456</v>
      </c>
      <c r="F4883" s="8" t="str">
        <f aca="false">IFERROR(INDEX(Section_Master!$D$2:$D$477,MATCH($E4883,Section_Master!$A$2:$A$477,0))&amp;"","")</f>
        <v>Not applicable - procedural provision (BNSS), no offence defined</v>
      </c>
      <c r="G4883" s="10" t="str">
        <f aca="false">IFERROR(INDEX(Section_Master!$E$2:$E$477,MATCH($E4883,Section_Master!$A$2:$A$477,0))&amp;"","")</f>
        <v>N/A</v>
      </c>
      <c r="H4883" s="10" t="str">
        <f aca="false">IFERROR(INDEX(Section_Master!$F$2:$F$477,MATCH($E4883,Section_Master!$A$2:$A$477,0))&amp;"","")</f>
        <v>N/A</v>
      </c>
      <c r="I4883" s="10" t="str">
        <f aca="false">IFERROR(INDEX(Section_Master!$G$2:$G$477,MATCH($E4883,Section_Master!$A$2:$A$477,0))&amp;"","")</f>
        <v>N/A</v>
      </c>
      <c r="J4883" s="10" t="s">
        <v>58</v>
      </c>
      <c r="K4883" s="8" t="s">
        <v>11425</v>
      </c>
    </row>
    <row r="4884" customFormat="false" ht="23.25" hidden="false" customHeight="true" outlineLevel="0" collapsed="false">
      <c r="A4884" s="10" t="s">
        <v>11432</v>
      </c>
      <c r="B4884" s="10" t="s">
        <v>10064</v>
      </c>
      <c r="C4884" s="8" t="s">
        <v>11423</v>
      </c>
      <c r="D4884" s="8" t="s">
        <v>11433</v>
      </c>
      <c r="E4884" s="11" t="n">
        <v>456</v>
      </c>
      <c r="F4884" s="8" t="str">
        <f aca="false">IFERROR(INDEX(Section_Master!$D$2:$D$477,MATCH($E4884,Section_Master!$A$2:$A$477,0))&amp;"","")</f>
        <v>Not applicable - procedural provision (BNSS), no offence defined</v>
      </c>
      <c r="G4884" s="10" t="str">
        <f aca="false">IFERROR(INDEX(Section_Master!$E$2:$E$477,MATCH($E4884,Section_Master!$A$2:$A$477,0))&amp;"","")</f>
        <v>N/A</v>
      </c>
      <c r="H4884" s="10" t="str">
        <f aca="false">IFERROR(INDEX(Section_Master!$F$2:$F$477,MATCH($E4884,Section_Master!$A$2:$A$477,0))&amp;"","")</f>
        <v>N/A</v>
      </c>
      <c r="I4884" s="10" t="str">
        <f aca="false">IFERROR(INDEX(Section_Master!$G$2:$G$477,MATCH($E4884,Section_Master!$A$2:$A$477,0))&amp;"","")</f>
        <v>N/A</v>
      </c>
      <c r="J4884" s="10" t="s">
        <v>61</v>
      </c>
      <c r="K4884" s="8" t="s">
        <v>11425</v>
      </c>
    </row>
    <row r="4885" customFormat="false" ht="45.75" hidden="false" customHeight="true" outlineLevel="0" collapsed="false">
      <c r="A4885" s="10" t="s">
        <v>11434</v>
      </c>
      <c r="B4885" s="10" t="s">
        <v>10064</v>
      </c>
      <c r="C4885" s="8" t="s">
        <v>11423</v>
      </c>
      <c r="D4885" s="8" t="s">
        <v>11435</v>
      </c>
      <c r="E4885" s="11" t="n">
        <v>456</v>
      </c>
      <c r="F4885" s="8" t="str">
        <f aca="false">IFERROR(INDEX(Section_Master!$D$2:$D$477,MATCH($E4885,Section_Master!$A$2:$A$477,0))&amp;"","")</f>
        <v>Not applicable - procedural provision (BNSS), no offence defined</v>
      </c>
      <c r="G4885" s="10" t="str">
        <f aca="false">IFERROR(INDEX(Section_Master!$E$2:$E$477,MATCH($E4885,Section_Master!$A$2:$A$477,0))&amp;"","")</f>
        <v>N/A</v>
      </c>
      <c r="H4885" s="10" t="str">
        <f aca="false">IFERROR(INDEX(Section_Master!$F$2:$F$477,MATCH($E4885,Section_Master!$A$2:$A$477,0))&amp;"","")</f>
        <v>N/A</v>
      </c>
      <c r="I4885" s="10" t="str">
        <f aca="false">IFERROR(INDEX(Section_Master!$G$2:$G$477,MATCH($E4885,Section_Master!$A$2:$A$477,0))&amp;"","")</f>
        <v>N/A</v>
      </c>
      <c r="J4885" s="10" t="s">
        <v>64</v>
      </c>
      <c r="K4885" s="8" t="s">
        <v>11425</v>
      </c>
    </row>
    <row r="4886" customFormat="false" ht="34.5" hidden="false" customHeight="true" outlineLevel="0" collapsed="false">
      <c r="A4886" s="10" t="s">
        <v>11436</v>
      </c>
      <c r="B4886" s="10" t="s">
        <v>10064</v>
      </c>
      <c r="C4886" s="8" t="s">
        <v>11437</v>
      </c>
      <c r="D4886" s="8" t="s">
        <v>11438</v>
      </c>
      <c r="E4886" s="11" t="n">
        <v>457</v>
      </c>
      <c r="F4886" s="8" t="str">
        <f aca="false">IFERROR(INDEX(Section_Master!$D$2:$D$477,MATCH($E4886,Section_Master!$A$2:$A$477,0))&amp;"","")</f>
        <v>Not applicable - procedural provision (BNSS), no offence defined</v>
      </c>
      <c r="G4886" s="10" t="str">
        <f aca="false">IFERROR(INDEX(Section_Master!$E$2:$E$477,MATCH($E4886,Section_Master!$A$2:$A$477,0))&amp;"","")</f>
        <v>N/A</v>
      </c>
      <c r="H4886" s="10" t="str">
        <f aca="false">IFERROR(INDEX(Section_Master!$F$2:$F$477,MATCH($E4886,Section_Master!$A$2:$A$477,0))&amp;"","")</f>
        <v>N/A</v>
      </c>
      <c r="I4886" s="10" t="str">
        <f aca="false">IFERROR(INDEX(Section_Master!$G$2:$G$477,MATCH($E4886,Section_Master!$A$2:$A$477,0))&amp;"","")</f>
        <v>N/A</v>
      </c>
      <c r="J4886" s="10" t="s">
        <v>48</v>
      </c>
      <c r="K4886" s="8" t="s">
        <v>11439</v>
      </c>
    </row>
    <row r="4887" customFormat="false" ht="45.75" hidden="false" customHeight="true" outlineLevel="0" collapsed="false">
      <c r="A4887" s="10" t="s">
        <v>11440</v>
      </c>
      <c r="B4887" s="10" t="s">
        <v>10064</v>
      </c>
      <c r="C4887" s="8" t="s">
        <v>11437</v>
      </c>
      <c r="D4887" s="8" t="s">
        <v>11441</v>
      </c>
      <c r="E4887" s="11" t="n">
        <v>457</v>
      </c>
      <c r="F4887" s="8" t="str">
        <f aca="false">IFERROR(INDEX(Section_Master!$D$2:$D$477,MATCH($E4887,Section_Master!$A$2:$A$477,0))&amp;"","")</f>
        <v>Not applicable - procedural provision (BNSS), no offence defined</v>
      </c>
      <c r="G4887" s="10" t="str">
        <f aca="false">IFERROR(INDEX(Section_Master!$E$2:$E$477,MATCH($E4887,Section_Master!$A$2:$A$477,0))&amp;"","")</f>
        <v>N/A</v>
      </c>
      <c r="H4887" s="10" t="str">
        <f aca="false">IFERROR(INDEX(Section_Master!$F$2:$F$477,MATCH($E4887,Section_Master!$A$2:$A$477,0))&amp;"","")</f>
        <v>N/A</v>
      </c>
      <c r="I4887" s="10" t="str">
        <f aca="false">IFERROR(INDEX(Section_Master!$G$2:$G$477,MATCH($E4887,Section_Master!$A$2:$A$477,0))&amp;"","")</f>
        <v>N/A</v>
      </c>
      <c r="J4887" s="10" t="s">
        <v>52</v>
      </c>
      <c r="K4887" s="8" t="s">
        <v>11439</v>
      </c>
    </row>
    <row r="4888" customFormat="false" ht="45.75" hidden="false" customHeight="true" outlineLevel="0" collapsed="false">
      <c r="A4888" s="10" t="s">
        <v>11442</v>
      </c>
      <c r="B4888" s="10" t="s">
        <v>10064</v>
      </c>
      <c r="C4888" s="8" t="s">
        <v>11437</v>
      </c>
      <c r="D4888" s="8" t="s">
        <v>11443</v>
      </c>
      <c r="E4888" s="11" t="n">
        <v>457</v>
      </c>
      <c r="F4888" s="8" t="str">
        <f aca="false">IFERROR(INDEX(Section_Master!$D$2:$D$477,MATCH($E4888,Section_Master!$A$2:$A$477,0))&amp;"","")</f>
        <v>Not applicable - procedural provision (BNSS), no offence defined</v>
      </c>
      <c r="G4888" s="10" t="str">
        <f aca="false">IFERROR(INDEX(Section_Master!$E$2:$E$477,MATCH($E4888,Section_Master!$A$2:$A$477,0))&amp;"","")</f>
        <v>N/A</v>
      </c>
      <c r="H4888" s="10" t="str">
        <f aca="false">IFERROR(INDEX(Section_Master!$F$2:$F$477,MATCH($E4888,Section_Master!$A$2:$A$477,0))&amp;"","")</f>
        <v>N/A</v>
      </c>
      <c r="I4888" s="10" t="str">
        <f aca="false">IFERROR(INDEX(Section_Master!$G$2:$G$477,MATCH($E4888,Section_Master!$A$2:$A$477,0))&amp;"","")</f>
        <v>N/A</v>
      </c>
      <c r="J4888" s="10" t="s">
        <v>55</v>
      </c>
      <c r="K4888" s="8" t="s">
        <v>11439</v>
      </c>
    </row>
    <row r="4889" customFormat="false" ht="23.25" hidden="false" customHeight="true" outlineLevel="0" collapsed="false">
      <c r="A4889" s="10" t="s">
        <v>11444</v>
      </c>
      <c r="B4889" s="10" t="s">
        <v>10064</v>
      </c>
      <c r="C4889" s="8" t="s">
        <v>11437</v>
      </c>
      <c r="D4889" s="8" t="s">
        <v>11445</v>
      </c>
      <c r="E4889" s="11" t="n">
        <v>457</v>
      </c>
      <c r="F4889" s="8" t="str">
        <f aca="false">IFERROR(INDEX(Section_Master!$D$2:$D$477,MATCH($E4889,Section_Master!$A$2:$A$477,0))&amp;"","")</f>
        <v>Not applicable - procedural provision (BNSS), no offence defined</v>
      </c>
      <c r="G4889" s="10" t="str">
        <f aca="false">IFERROR(INDEX(Section_Master!$E$2:$E$477,MATCH($E4889,Section_Master!$A$2:$A$477,0))&amp;"","")</f>
        <v>N/A</v>
      </c>
      <c r="H4889" s="10" t="str">
        <f aca="false">IFERROR(INDEX(Section_Master!$F$2:$F$477,MATCH($E4889,Section_Master!$A$2:$A$477,0))&amp;"","")</f>
        <v>N/A</v>
      </c>
      <c r="I4889" s="10" t="str">
        <f aca="false">IFERROR(INDEX(Section_Master!$G$2:$G$477,MATCH($E4889,Section_Master!$A$2:$A$477,0))&amp;"","")</f>
        <v>N/A</v>
      </c>
      <c r="J4889" s="10" t="s">
        <v>58</v>
      </c>
      <c r="K4889" s="8" t="s">
        <v>11439</v>
      </c>
    </row>
    <row r="4890" customFormat="false" ht="34.5" hidden="false" customHeight="true" outlineLevel="0" collapsed="false">
      <c r="A4890" s="10" t="s">
        <v>11446</v>
      </c>
      <c r="B4890" s="10" t="s">
        <v>10064</v>
      </c>
      <c r="C4890" s="8" t="s">
        <v>11437</v>
      </c>
      <c r="D4890" s="8" t="s">
        <v>11447</v>
      </c>
      <c r="E4890" s="11" t="n">
        <v>457</v>
      </c>
      <c r="F4890" s="8" t="str">
        <f aca="false">IFERROR(INDEX(Section_Master!$D$2:$D$477,MATCH($E4890,Section_Master!$A$2:$A$477,0))&amp;"","")</f>
        <v>Not applicable - procedural provision (BNSS), no offence defined</v>
      </c>
      <c r="G4890" s="10" t="str">
        <f aca="false">IFERROR(INDEX(Section_Master!$E$2:$E$477,MATCH($E4890,Section_Master!$A$2:$A$477,0))&amp;"","")</f>
        <v>N/A</v>
      </c>
      <c r="H4890" s="10" t="str">
        <f aca="false">IFERROR(INDEX(Section_Master!$F$2:$F$477,MATCH($E4890,Section_Master!$A$2:$A$477,0))&amp;"","")</f>
        <v>N/A</v>
      </c>
      <c r="I4890" s="10" t="str">
        <f aca="false">IFERROR(INDEX(Section_Master!$G$2:$G$477,MATCH($E4890,Section_Master!$A$2:$A$477,0))&amp;"","")</f>
        <v>N/A</v>
      </c>
      <c r="J4890" s="10" t="s">
        <v>61</v>
      </c>
      <c r="K4890" s="8" t="s">
        <v>11439</v>
      </c>
    </row>
    <row r="4891" customFormat="false" ht="45.75" hidden="false" customHeight="true" outlineLevel="0" collapsed="false">
      <c r="A4891" s="10" t="s">
        <v>11448</v>
      </c>
      <c r="B4891" s="10" t="s">
        <v>10064</v>
      </c>
      <c r="C4891" s="8" t="s">
        <v>11437</v>
      </c>
      <c r="D4891" s="8" t="s">
        <v>11449</v>
      </c>
      <c r="E4891" s="11" t="n">
        <v>457</v>
      </c>
      <c r="F4891" s="8" t="str">
        <f aca="false">IFERROR(INDEX(Section_Master!$D$2:$D$477,MATCH($E4891,Section_Master!$A$2:$A$477,0))&amp;"","")</f>
        <v>Not applicable - procedural provision (BNSS), no offence defined</v>
      </c>
      <c r="G4891" s="10" t="str">
        <f aca="false">IFERROR(INDEX(Section_Master!$E$2:$E$477,MATCH($E4891,Section_Master!$A$2:$A$477,0))&amp;"","")</f>
        <v>N/A</v>
      </c>
      <c r="H4891" s="10" t="str">
        <f aca="false">IFERROR(INDEX(Section_Master!$F$2:$F$477,MATCH($E4891,Section_Master!$A$2:$A$477,0))&amp;"","")</f>
        <v>N/A</v>
      </c>
      <c r="I4891" s="10" t="str">
        <f aca="false">IFERROR(INDEX(Section_Master!$G$2:$G$477,MATCH($E4891,Section_Master!$A$2:$A$477,0))&amp;"","")</f>
        <v>N/A</v>
      </c>
      <c r="J4891" s="10" t="s">
        <v>64</v>
      </c>
      <c r="K4891" s="8" t="s">
        <v>11439</v>
      </c>
    </row>
    <row r="4892" customFormat="false" ht="45.75" hidden="false" customHeight="true" outlineLevel="0" collapsed="false">
      <c r="A4892" s="10" t="s">
        <v>11450</v>
      </c>
      <c r="B4892" s="10" t="s">
        <v>10064</v>
      </c>
      <c r="C4892" s="8" t="s">
        <v>11451</v>
      </c>
      <c r="D4892" s="8" t="s">
        <v>11452</v>
      </c>
      <c r="E4892" s="11" t="n">
        <v>458</v>
      </c>
      <c r="F4892" s="8" t="str">
        <f aca="false">IFERROR(INDEX(Section_Master!$D$2:$D$477,MATCH($E4892,Section_Master!$A$2:$A$477,0))&amp;"","")</f>
        <v>Not applicable - procedural provision (BNSS), no offence defined</v>
      </c>
      <c r="G4892" s="10" t="str">
        <f aca="false">IFERROR(INDEX(Section_Master!$E$2:$E$477,MATCH($E4892,Section_Master!$A$2:$A$477,0))&amp;"","")</f>
        <v>N/A</v>
      </c>
      <c r="H4892" s="10" t="str">
        <f aca="false">IFERROR(INDEX(Section_Master!$F$2:$F$477,MATCH($E4892,Section_Master!$A$2:$A$477,0))&amp;"","")</f>
        <v>N/A</v>
      </c>
      <c r="I4892" s="10" t="str">
        <f aca="false">IFERROR(INDEX(Section_Master!$G$2:$G$477,MATCH($E4892,Section_Master!$A$2:$A$477,0))&amp;"","")</f>
        <v>N/A</v>
      </c>
      <c r="J4892" s="10" t="s">
        <v>48</v>
      </c>
      <c r="K4892" s="8" t="s">
        <v>11453</v>
      </c>
    </row>
    <row r="4893" customFormat="false" ht="45.75" hidden="false" customHeight="true" outlineLevel="0" collapsed="false">
      <c r="A4893" s="10" t="s">
        <v>11454</v>
      </c>
      <c r="B4893" s="10" t="s">
        <v>10064</v>
      </c>
      <c r="C4893" s="8" t="s">
        <v>11451</v>
      </c>
      <c r="D4893" s="8" t="s">
        <v>11455</v>
      </c>
      <c r="E4893" s="11" t="n">
        <v>458</v>
      </c>
      <c r="F4893" s="8" t="str">
        <f aca="false">IFERROR(INDEX(Section_Master!$D$2:$D$477,MATCH($E4893,Section_Master!$A$2:$A$477,0))&amp;"","")</f>
        <v>Not applicable - procedural provision (BNSS), no offence defined</v>
      </c>
      <c r="G4893" s="10" t="str">
        <f aca="false">IFERROR(INDEX(Section_Master!$E$2:$E$477,MATCH($E4893,Section_Master!$A$2:$A$477,0))&amp;"","")</f>
        <v>N/A</v>
      </c>
      <c r="H4893" s="10" t="str">
        <f aca="false">IFERROR(INDEX(Section_Master!$F$2:$F$477,MATCH($E4893,Section_Master!$A$2:$A$477,0))&amp;"","")</f>
        <v>N/A</v>
      </c>
      <c r="I4893" s="10" t="str">
        <f aca="false">IFERROR(INDEX(Section_Master!$G$2:$G$477,MATCH($E4893,Section_Master!$A$2:$A$477,0))&amp;"","")</f>
        <v>N/A</v>
      </c>
      <c r="J4893" s="10" t="s">
        <v>52</v>
      </c>
      <c r="K4893" s="8" t="s">
        <v>11453</v>
      </c>
    </row>
    <row r="4894" customFormat="false" ht="34.5" hidden="false" customHeight="true" outlineLevel="0" collapsed="false">
      <c r="A4894" s="10" t="s">
        <v>11456</v>
      </c>
      <c r="B4894" s="10" t="s">
        <v>10064</v>
      </c>
      <c r="C4894" s="8" t="s">
        <v>11451</v>
      </c>
      <c r="D4894" s="8" t="s">
        <v>11457</v>
      </c>
      <c r="E4894" s="11" t="n">
        <v>458</v>
      </c>
      <c r="F4894" s="8" t="str">
        <f aca="false">IFERROR(INDEX(Section_Master!$D$2:$D$477,MATCH($E4894,Section_Master!$A$2:$A$477,0))&amp;"","")</f>
        <v>Not applicable - procedural provision (BNSS), no offence defined</v>
      </c>
      <c r="G4894" s="10" t="str">
        <f aca="false">IFERROR(INDEX(Section_Master!$E$2:$E$477,MATCH($E4894,Section_Master!$A$2:$A$477,0))&amp;"","")</f>
        <v>N/A</v>
      </c>
      <c r="H4894" s="10" t="str">
        <f aca="false">IFERROR(INDEX(Section_Master!$F$2:$F$477,MATCH($E4894,Section_Master!$A$2:$A$477,0))&amp;"","")</f>
        <v>N/A</v>
      </c>
      <c r="I4894" s="10" t="str">
        <f aca="false">IFERROR(INDEX(Section_Master!$G$2:$G$477,MATCH($E4894,Section_Master!$A$2:$A$477,0))&amp;"","")</f>
        <v>N/A</v>
      </c>
      <c r="J4894" s="10" t="s">
        <v>55</v>
      </c>
      <c r="K4894" s="8" t="s">
        <v>11453</v>
      </c>
    </row>
    <row r="4895" customFormat="false" ht="23.25" hidden="false" customHeight="true" outlineLevel="0" collapsed="false">
      <c r="A4895" s="10" t="s">
        <v>11458</v>
      </c>
      <c r="B4895" s="10" t="s">
        <v>10064</v>
      </c>
      <c r="C4895" s="8" t="s">
        <v>11451</v>
      </c>
      <c r="D4895" s="8" t="s">
        <v>11459</v>
      </c>
      <c r="E4895" s="11" t="n">
        <v>458</v>
      </c>
      <c r="F4895" s="8" t="str">
        <f aca="false">IFERROR(INDEX(Section_Master!$D$2:$D$477,MATCH($E4895,Section_Master!$A$2:$A$477,0))&amp;"","")</f>
        <v>Not applicable - procedural provision (BNSS), no offence defined</v>
      </c>
      <c r="G4895" s="10" t="str">
        <f aca="false">IFERROR(INDEX(Section_Master!$E$2:$E$477,MATCH($E4895,Section_Master!$A$2:$A$477,0))&amp;"","")</f>
        <v>N/A</v>
      </c>
      <c r="H4895" s="10" t="str">
        <f aca="false">IFERROR(INDEX(Section_Master!$F$2:$F$477,MATCH($E4895,Section_Master!$A$2:$A$477,0))&amp;"","")</f>
        <v>N/A</v>
      </c>
      <c r="I4895" s="10" t="str">
        <f aca="false">IFERROR(INDEX(Section_Master!$G$2:$G$477,MATCH($E4895,Section_Master!$A$2:$A$477,0))&amp;"","")</f>
        <v>N/A</v>
      </c>
      <c r="J4895" s="10" t="s">
        <v>58</v>
      </c>
      <c r="K4895" s="8" t="s">
        <v>11453</v>
      </c>
    </row>
    <row r="4896" customFormat="false" ht="23.25" hidden="false" customHeight="true" outlineLevel="0" collapsed="false">
      <c r="A4896" s="10" t="s">
        <v>11460</v>
      </c>
      <c r="B4896" s="10" t="s">
        <v>10064</v>
      </c>
      <c r="C4896" s="8" t="s">
        <v>11451</v>
      </c>
      <c r="D4896" s="8" t="s">
        <v>11461</v>
      </c>
      <c r="E4896" s="11" t="n">
        <v>458</v>
      </c>
      <c r="F4896" s="8" t="str">
        <f aca="false">IFERROR(INDEX(Section_Master!$D$2:$D$477,MATCH($E4896,Section_Master!$A$2:$A$477,0))&amp;"","")</f>
        <v>Not applicable - procedural provision (BNSS), no offence defined</v>
      </c>
      <c r="G4896" s="10" t="str">
        <f aca="false">IFERROR(INDEX(Section_Master!$E$2:$E$477,MATCH($E4896,Section_Master!$A$2:$A$477,0))&amp;"","")</f>
        <v>N/A</v>
      </c>
      <c r="H4896" s="10" t="str">
        <f aca="false">IFERROR(INDEX(Section_Master!$F$2:$F$477,MATCH($E4896,Section_Master!$A$2:$A$477,0))&amp;"","")</f>
        <v>N/A</v>
      </c>
      <c r="I4896" s="10" t="str">
        <f aca="false">IFERROR(INDEX(Section_Master!$G$2:$G$477,MATCH($E4896,Section_Master!$A$2:$A$477,0))&amp;"","")</f>
        <v>N/A</v>
      </c>
      <c r="J4896" s="10" t="s">
        <v>61</v>
      </c>
      <c r="K4896" s="8" t="s">
        <v>11453</v>
      </c>
    </row>
    <row r="4897" customFormat="false" ht="45.75" hidden="false" customHeight="true" outlineLevel="0" collapsed="false">
      <c r="A4897" s="10" t="s">
        <v>11462</v>
      </c>
      <c r="B4897" s="10" t="s">
        <v>10064</v>
      </c>
      <c r="C4897" s="8" t="s">
        <v>11451</v>
      </c>
      <c r="D4897" s="8" t="s">
        <v>11463</v>
      </c>
      <c r="E4897" s="11" t="n">
        <v>458</v>
      </c>
      <c r="F4897" s="8" t="str">
        <f aca="false">IFERROR(INDEX(Section_Master!$D$2:$D$477,MATCH($E4897,Section_Master!$A$2:$A$477,0))&amp;"","")</f>
        <v>Not applicable - procedural provision (BNSS), no offence defined</v>
      </c>
      <c r="G4897" s="10" t="str">
        <f aca="false">IFERROR(INDEX(Section_Master!$E$2:$E$477,MATCH($E4897,Section_Master!$A$2:$A$477,0))&amp;"","")</f>
        <v>N/A</v>
      </c>
      <c r="H4897" s="10" t="str">
        <f aca="false">IFERROR(INDEX(Section_Master!$F$2:$F$477,MATCH($E4897,Section_Master!$A$2:$A$477,0))&amp;"","")</f>
        <v>N/A</v>
      </c>
      <c r="I4897" s="10" t="str">
        <f aca="false">IFERROR(INDEX(Section_Master!$G$2:$G$477,MATCH($E4897,Section_Master!$A$2:$A$477,0))&amp;"","")</f>
        <v>N/A</v>
      </c>
      <c r="J4897" s="10" t="s">
        <v>64</v>
      </c>
      <c r="K4897" s="8" t="s">
        <v>11453</v>
      </c>
    </row>
    <row r="4898" customFormat="false" ht="23.25" hidden="false" customHeight="true" outlineLevel="0" collapsed="false">
      <c r="A4898" s="10" t="s">
        <v>11464</v>
      </c>
      <c r="B4898" s="10" t="s">
        <v>10064</v>
      </c>
      <c r="C4898" s="8" t="s">
        <v>11465</v>
      </c>
      <c r="D4898" s="8" t="s">
        <v>11466</v>
      </c>
      <c r="E4898" s="11" t="n">
        <v>459</v>
      </c>
      <c r="F4898" s="8" t="str">
        <f aca="false">IFERROR(INDEX(Section_Master!$D$2:$D$477,MATCH($E4898,Section_Master!$A$2:$A$477,0))&amp;"","")</f>
        <v>Not applicable - procedural provision (BNSS), no offence defined</v>
      </c>
      <c r="G4898" s="10" t="str">
        <f aca="false">IFERROR(INDEX(Section_Master!$E$2:$E$477,MATCH($E4898,Section_Master!$A$2:$A$477,0))&amp;"","")</f>
        <v>N/A</v>
      </c>
      <c r="H4898" s="10" t="str">
        <f aca="false">IFERROR(INDEX(Section_Master!$F$2:$F$477,MATCH($E4898,Section_Master!$A$2:$A$477,0))&amp;"","")</f>
        <v>N/A</v>
      </c>
      <c r="I4898" s="10" t="str">
        <f aca="false">IFERROR(INDEX(Section_Master!$G$2:$G$477,MATCH($E4898,Section_Master!$A$2:$A$477,0))&amp;"","")</f>
        <v>N/A</v>
      </c>
      <c r="J4898" s="10" t="s">
        <v>48</v>
      </c>
      <c r="K4898" s="8" t="s">
        <v>11467</v>
      </c>
    </row>
    <row r="4899" customFormat="false" ht="34.5" hidden="false" customHeight="true" outlineLevel="0" collapsed="false">
      <c r="A4899" s="10" t="s">
        <v>11468</v>
      </c>
      <c r="B4899" s="10" t="s">
        <v>10064</v>
      </c>
      <c r="C4899" s="8" t="s">
        <v>11465</v>
      </c>
      <c r="D4899" s="8" t="s">
        <v>11469</v>
      </c>
      <c r="E4899" s="11" t="n">
        <v>459</v>
      </c>
      <c r="F4899" s="8" t="str">
        <f aca="false">IFERROR(INDEX(Section_Master!$D$2:$D$477,MATCH($E4899,Section_Master!$A$2:$A$477,0))&amp;"","")</f>
        <v>Not applicable - procedural provision (BNSS), no offence defined</v>
      </c>
      <c r="G4899" s="10" t="str">
        <f aca="false">IFERROR(INDEX(Section_Master!$E$2:$E$477,MATCH($E4899,Section_Master!$A$2:$A$477,0))&amp;"","")</f>
        <v>N/A</v>
      </c>
      <c r="H4899" s="10" t="str">
        <f aca="false">IFERROR(INDEX(Section_Master!$F$2:$F$477,MATCH($E4899,Section_Master!$A$2:$A$477,0))&amp;"","")</f>
        <v>N/A</v>
      </c>
      <c r="I4899" s="10" t="str">
        <f aca="false">IFERROR(INDEX(Section_Master!$G$2:$G$477,MATCH($E4899,Section_Master!$A$2:$A$477,0))&amp;"","")</f>
        <v>N/A</v>
      </c>
      <c r="J4899" s="10" t="s">
        <v>52</v>
      </c>
      <c r="K4899" s="8" t="s">
        <v>11467</v>
      </c>
    </row>
    <row r="4900" customFormat="false" ht="34.5" hidden="false" customHeight="true" outlineLevel="0" collapsed="false">
      <c r="A4900" s="10" t="s">
        <v>11470</v>
      </c>
      <c r="B4900" s="10" t="s">
        <v>10064</v>
      </c>
      <c r="C4900" s="8" t="s">
        <v>11465</v>
      </c>
      <c r="D4900" s="8" t="s">
        <v>11471</v>
      </c>
      <c r="E4900" s="11" t="n">
        <v>459</v>
      </c>
      <c r="F4900" s="8" t="str">
        <f aca="false">IFERROR(INDEX(Section_Master!$D$2:$D$477,MATCH($E4900,Section_Master!$A$2:$A$477,0))&amp;"","")</f>
        <v>Not applicable - procedural provision (BNSS), no offence defined</v>
      </c>
      <c r="G4900" s="10" t="str">
        <f aca="false">IFERROR(INDEX(Section_Master!$E$2:$E$477,MATCH($E4900,Section_Master!$A$2:$A$477,0))&amp;"","")</f>
        <v>N/A</v>
      </c>
      <c r="H4900" s="10" t="str">
        <f aca="false">IFERROR(INDEX(Section_Master!$F$2:$F$477,MATCH($E4900,Section_Master!$A$2:$A$477,0))&amp;"","")</f>
        <v>N/A</v>
      </c>
      <c r="I4900" s="10" t="str">
        <f aca="false">IFERROR(INDEX(Section_Master!$G$2:$G$477,MATCH($E4900,Section_Master!$A$2:$A$477,0))&amp;"","")</f>
        <v>N/A</v>
      </c>
      <c r="J4900" s="10" t="s">
        <v>55</v>
      </c>
      <c r="K4900" s="8" t="s">
        <v>11467</v>
      </c>
    </row>
    <row r="4901" customFormat="false" ht="23.25" hidden="false" customHeight="true" outlineLevel="0" collapsed="false">
      <c r="A4901" s="10" t="s">
        <v>11472</v>
      </c>
      <c r="B4901" s="10" t="s">
        <v>10064</v>
      </c>
      <c r="C4901" s="8" t="s">
        <v>11465</v>
      </c>
      <c r="D4901" s="8" t="s">
        <v>11473</v>
      </c>
      <c r="E4901" s="11" t="n">
        <v>459</v>
      </c>
      <c r="F4901" s="8" t="str">
        <f aca="false">IFERROR(INDEX(Section_Master!$D$2:$D$477,MATCH($E4901,Section_Master!$A$2:$A$477,0))&amp;"","")</f>
        <v>Not applicable - procedural provision (BNSS), no offence defined</v>
      </c>
      <c r="G4901" s="10" t="str">
        <f aca="false">IFERROR(INDEX(Section_Master!$E$2:$E$477,MATCH($E4901,Section_Master!$A$2:$A$477,0))&amp;"","")</f>
        <v>N/A</v>
      </c>
      <c r="H4901" s="10" t="str">
        <f aca="false">IFERROR(INDEX(Section_Master!$F$2:$F$477,MATCH($E4901,Section_Master!$A$2:$A$477,0))&amp;"","")</f>
        <v>N/A</v>
      </c>
      <c r="I4901" s="10" t="str">
        <f aca="false">IFERROR(INDEX(Section_Master!$G$2:$G$477,MATCH($E4901,Section_Master!$A$2:$A$477,0))&amp;"","")</f>
        <v>N/A</v>
      </c>
      <c r="J4901" s="10" t="s">
        <v>58</v>
      </c>
      <c r="K4901" s="8" t="s">
        <v>11467</v>
      </c>
    </row>
    <row r="4902" customFormat="false" ht="23.25" hidden="false" customHeight="true" outlineLevel="0" collapsed="false">
      <c r="A4902" s="10" t="s">
        <v>11474</v>
      </c>
      <c r="B4902" s="10" t="s">
        <v>10064</v>
      </c>
      <c r="C4902" s="8" t="s">
        <v>11465</v>
      </c>
      <c r="D4902" s="8" t="s">
        <v>11475</v>
      </c>
      <c r="E4902" s="11" t="n">
        <v>459</v>
      </c>
      <c r="F4902" s="8" t="str">
        <f aca="false">IFERROR(INDEX(Section_Master!$D$2:$D$477,MATCH($E4902,Section_Master!$A$2:$A$477,0))&amp;"","")</f>
        <v>Not applicable - procedural provision (BNSS), no offence defined</v>
      </c>
      <c r="G4902" s="10" t="str">
        <f aca="false">IFERROR(INDEX(Section_Master!$E$2:$E$477,MATCH($E4902,Section_Master!$A$2:$A$477,0))&amp;"","")</f>
        <v>N/A</v>
      </c>
      <c r="H4902" s="10" t="str">
        <f aca="false">IFERROR(INDEX(Section_Master!$F$2:$F$477,MATCH($E4902,Section_Master!$A$2:$A$477,0))&amp;"","")</f>
        <v>N/A</v>
      </c>
      <c r="I4902" s="10" t="str">
        <f aca="false">IFERROR(INDEX(Section_Master!$G$2:$G$477,MATCH($E4902,Section_Master!$A$2:$A$477,0))&amp;"","")</f>
        <v>N/A</v>
      </c>
      <c r="J4902" s="10" t="s">
        <v>61</v>
      </c>
      <c r="K4902" s="8" t="s">
        <v>11467</v>
      </c>
    </row>
    <row r="4903" customFormat="false" ht="45.75" hidden="false" customHeight="true" outlineLevel="0" collapsed="false">
      <c r="A4903" s="10" t="s">
        <v>11476</v>
      </c>
      <c r="B4903" s="10" t="s">
        <v>10064</v>
      </c>
      <c r="C4903" s="8" t="s">
        <v>11465</v>
      </c>
      <c r="D4903" s="8" t="s">
        <v>11477</v>
      </c>
      <c r="E4903" s="11" t="n">
        <v>459</v>
      </c>
      <c r="F4903" s="8" t="str">
        <f aca="false">IFERROR(INDEX(Section_Master!$D$2:$D$477,MATCH($E4903,Section_Master!$A$2:$A$477,0))&amp;"","")</f>
        <v>Not applicable - procedural provision (BNSS), no offence defined</v>
      </c>
      <c r="G4903" s="10" t="str">
        <f aca="false">IFERROR(INDEX(Section_Master!$E$2:$E$477,MATCH($E4903,Section_Master!$A$2:$A$477,0))&amp;"","")</f>
        <v>N/A</v>
      </c>
      <c r="H4903" s="10" t="str">
        <f aca="false">IFERROR(INDEX(Section_Master!$F$2:$F$477,MATCH($E4903,Section_Master!$A$2:$A$477,0))&amp;"","")</f>
        <v>N/A</v>
      </c>
      <c r="I4903" s="10" t="str">
        <f aca="false">IFERROR(INDEX(Section_Master!$G$2:$G$477,MATCH($E4903,Section_Master!$A$2:$A$477,0))&amp;"","")</f>
        <v>N/A</v>
      </c>
      <c r="J4903" s="10" t="s">
        <v>64</v>
      </c>
      <c r="K4903" s="8" t="s">
        <v>11467</v>
      </c>
    </row>
    <row r="4904" customFormat="false" ht="23.25" hidden="false" customHeight="true" outlineLevel="0" collapsed="false">
      <c r="A4904" s="10" t="s">
        <v>11478</v>
      </c>
      <c r="B4904" s="10" t="s">
        <v>10064</v>
      </c>
      <c r="C4904" s="8" t="s">
        <v>11479</v>
      </c>
      <c r="D4904" s="8" t="s">
        <v>11480</v>
      </c>
      <c r="E4904" s="11" t="n">
        <v>460</v>
      </c>
      <c r="F4904" s="8" t="str">
        <f aca="false">IFERROR(INDEX(Section_Master!$D$2:$D$477,MATCH($E4904,Section_Master!$A$2:$A$477,0))&amp;"","")</f>
        <v>Not applicable - procedural provision (BNSS), no offence defined</v>
      </c>
      <c r="G4904" s="10" t="str">
        <f aca="false">IFERROR(INDEX(Section_Master!$E$2:$E$477,MATCH($E4904,Section_Master!$A$2:$A$477,0))&amp;"","")</f>
        <v>N/A</v>
      </c>
      <c r="H4904" s="10" t="str">
        <f aca="false">IFERROR(INDEX(Section_Master!$F$2:$F$477,MATCH($E4904,Section_Master!$A$2:$A$477,0))&amp;"","")</f>
        <v>N/A</v>
      </c>
      <c r="I4904" s="10" t="str">
        <f aca="false">IFERROR(INDEX(Section_Master!$G$2:$G$477,MATCH($E4904,Section_Master!$A$2:$A$477,0))&amp;"","")</f>
        <v>N/A</v>
      </c>
      <c r="J4904" s="10" t="s">
        <v>48</v>
      </c>
      <c r="K4904" s="8" t="s">
        <v>11481</v>
      </c>
    </row>
    <row r="4905" customFormat="false" ht="34.5" hidden="false" customHeight="true" outlineLevel="0" collapsed="false">
      <c r="A4905" s="10" t="s">
        <v>11482</v>
      </c>
      <c r="B4905" s="10" t="s">
        <v>10064</v>
      </c>
      <c r="C4905" s="8" t="s">
        <v>11479</v>
      </c>
      <c r="D4905" s="8" t="s">
        <v>11483</v>
      </c>
      <c r="E4905" s="11" t="n">
        <v>460</v>
      </c>
      <c r="F4905" s="8" t="str">
        <f aca="false">IFERROR(INDEX(Section_Master!$D$2:$D$477,MATCH($E4905,Section_Master!$A$2:$A$477,0))&amp;"","")</f>
        <v>Not applicable - procedural provision (BNSS), no offence defined</v>
      </c>
      <c r="G4905" s="10" t="str">
        <f aca="false">IFERROR(INDEX(Section_Master!$E$2:$E$477,MATCH($E4905,Section_Master!$A$2:$A$477,0))&amp;"","")</f>
        <v>N/A</v>
      </c>
      <c r="H4905" s="10" t="str">
        <f aca="false">IFERROR(INDEX(Section_Master!$F$2:$F$477,MATCH($E4905,Section_Master!$A$2:$A$477,0))&amp;"","")</f>
        <v>N/A</v>
      </c>
      <c r="I4905" s="10" t="str">
        <f aca="false">IFERROR(INDEX(Section_Master!$G$2:$G$477,MATCH($E4905,Section_Master!$A$2:$A$477,0))&amp;"","")</f>
        <v>N/A</v>
      </c>
      <c r="J4905" s="10" t="s">
        <v>52</v>
      </c>
      <c r="K4905" s="8" t="s">
        <v>11481</v>
      </c>
    </row>
    <row r="4906" customFormat="false" ht="34.5" hidden="false" customHeight="true" outlineLevel="0" collapsed="false">
      <c r="A4906" s="10" t="s">
        <v>11484</v>
      </c>
      <c r="B4906" s="10" t="s">
        <v>10064</v>
      </c>
      <c r="C4906" s="8" t="s">
        <v>11479</v>
      </c>
      <c r="D4906" s="8" t="s">
        <v>11485</v>
      </c>
      <c r="E4906" s="11" t="n">
        <v>460</v>
      </c>
      <c r="F4906" s="8" t="str">
        <f aca="false">IFERROR(INDEX(Section_Master!$D$2:$D$477,MATCH($E4906,Section_Master!$A$2:$A$477,0))&amp;"","")</f>
        <v>Not applicable - procedural provision (BNSS), no offence defined</v>
      </c>
      <c r="G4906" s="10" t="str">
        <f aca="false">IFERROR(INDEX(Section_Master!$E$2:$E$477,MATCH($E4906,Section_Master!$A$2:$A$477,0))&amp;"","")</f>
        <v>N/A</v>
      </c>
      <c r="H4906" s="10" t="str">
        <f aca="false">IFERROR(INDEX(Section_Master!$F$2:$F$477,MATCH($E4906,Section_Master!$A$2:$A$477,0))&amp;"","")</f>
        <v>N/A</v>
      </c>
      <c r="I4906" s="10" t="str">
        <f aca="false">IFERROR(INDEX(Section_Master!$G$2:$G$477,MATCH($E4906,Section_Master!$A$2:$A$477,0))&amp;"","")</f>
        <v>N/A</v>
      </c>
      <c r="J4906" s="10" t="s">
        <v>55</v>
      </c>
      <c r="K4906" s="8" t="s">
        <v>11481</v>
      </c>
    </row>
    <row r="4907" customFormat="false" ht="23.25" hidden="false" customHeight="true" outlineLevel="0" collapsed="false">
      <c r="A4907" s="10" t="s">
        <v>11486</v>
      </c>
      <c r="B4907" s="10" t="s">
        <v>10064</v>
      </c>
      <c r="C4907" s="8" t="s">
        <v>11479</v>
      </c>
      <c r="D4907" s="8" t="s">
        <v>11487</v>
      </c>
      <c r="E4907" s="11" t="n">
        <v>460</v>
      </c>
      <c r="F4907" s="8" t="str">
        <f aca="false">IFERROR(INDEX(Section_Master!$D$2:$D$477,MATCH($E4907,Section_Master!$A$2:$A$477,0))&amp;"","")</f>
        <v>Not applicable - procedural provision (BNSS), no offence defined</v>
      </c>
      <c r="G4907" s="10" t="str">
        <f aca="false">IFERROR(INDEX(Section_Master!$E$2:$E$477,MATCH($E4907,Section_Master!$A$2:$A$477,0))&amp;"","")</f>
        <v>N/A</v>
      </c>
      <c r="H4907" s="10" t="str">
        <f aca="false">IFERROR(INDEX(Section_Master!$F$2:$F$477,MATCH($E4907,Section_Master!$A$2:$A$477,0))&amp;"","")</f>
        <v>N/A</v>
      </c>
      <c r="I4907" s="10" t="str">
        <f aca="false">IFERROR(INDEX(Section_Master!$G$2:$G$477,MATCH($E4907,Section_Master!$A$2:$A$477,0))&amp;"","")</f>
        <v>N/A</v>
      </c>
      <c r="J4907" s="10" t="s">
        <v>58</v>
      </c>
      <c r="K4907" s="8" t="s">
        <v>11481</v>
      </c>
    </row>
    <row r="4908" customFormat="false" ht="23.25" hidden="false" customHeight="true" outlineLevel="0" collapsed="false">
      <c r="A4908" s="10" t="s">
        <v>11488</v>
      </c>
      <c r="B4908" s="10" t="s">
        <v>10064</v>
      </c>
      <c r="C4908" s="8" t="s">
        <v>11479</v>
      </c>
      <c r="D4908" s="8" t="s">
        <v>11489</v>
      </c>
      <c r="E4908" s="11" t="n">
        <v>460</v>
      </c>
      <c r="F4908" s="8" t="str">
        <f aca="false">IFERROR(INDEX(Section_Master!$D$2:$D$477,MATCH($E4908,Section_Master!$A$2:$A$477,0))&amp;"","")</f>
        <v>Not applicable - procedural provision (BNSS), no offence defined</v>
      </c>
      <c r="G4908" s="10" t="str">
        <f aca="false">IFERROR(INDEX(Section_Master!$E$2:$E$477,MATCH($E4908,Section_Master!$A$2:$A$477,0))&amp;"","")</f>
        <v>N/A</v>
      </c>
      <c r="H4908" s="10" t="str">
        <f aca="false">IFERROR(INDEX(Section_Master!$F$2:$F$477,MATCH($E4908,Section_Master!$A$2:$A$477,0))&amp;"","")</f>
        <v>N/A</v>
      </c>
      <c r="I4908" s="10" t="str">
        <f aca="false">IFERROR(INDEX(Section_Master!$G$2:$G$477,MATCH($E4908,Section_Master!$A$2:$A$477,0))&amp;"","")</f>
        <v>N/A</v>
      </c>
      <c r="J4908" s="10" t="s">
        <v>61</v>
      </c>
      <c r="K4908" s="8" t="s">
        <v>11481</v>
      </c>
    </row>
    <row r="4909" customFormat="false" ht="45.75" hidden="false" customHeight="true" outlineLevel="0" collapsed="false">
      <c r="A4909" s="10" t="s">
        <v>11490</v>
      </c>
      <c r="B4909" s="10" t="s">
        <v>10064</v>
      </c>
      <c r="C4909" s="8" t="s">
        <v>11479</v>
      </c>
      <c r="D4909" s="8" t="s">
        <v>11491</v>
      </c>
      <c r="E4909" s="11" t="n">
        <v>460</v>
      </c>
      <c r="F4909" s="8" t="str">
        <f aca="false">IFERROR(INDEX(Section_Master!$D$2:$D$477,MATCH($E4909,Section_Master!$A$2:$A$477,0))&amp;"","")</f>
        <v>Not applicable - procedural provision (BNSS), no offence defined</v>
      </c>
      <c r="G4909" s="10" t="str">
        <f aca="false">IFERROR(INDEX(Section_Master!$E$2:$E$477,MATCH($E4909,Section_Master!$A$2:$A$477,0))&amp;"","")</f>
        <v>N/A</v>
      </c>
      <c r="H4909" s="10" t="str">
        <f aca="false">IFERROR(INDEX(Section_Master!$F$2:$F$477,MATCH($E4909,Section_Master!$A$2:$A$477,0))&amp;"","")</f>
        <v>N/A</v>
      </c>
      <c r="I4909" s="10" t="str">
        <f aca="false">IFERROR(INDEX(Section_Master!$G$2:$G$477,MATCH($E4909,Section_Master!$A$2:$A$477,0))&amp;"","")</f>
        <v>N/A</v>
      </c>
      <c r="J4909" s="10" t="s">
        <v>64</v>
      </c>
      <c r="K4909" s="8" t="s">
        <v>11481</v>
      </c>
    </row>
    <row r="4910" customFormat="false" ht="34.5" hidden="false" customHeight="true" outlineLevel="0" collapsed="false">
      <c r="A4910" s="10" t="s">
        <v>11492</v>
      </c>
      <c r="B4910" s="10" t="s">
        <v>10064</v>
      </c>
      <c r="C4910" s="8" t="s">
        <v>11493</v>
      </c>
      <c r="D4910" s="8" t="s">
        <v>11494</v>
      </c>
      <c r="E4910" s="11" t="n">
        <v>461</v>
      </c>
      <c r="F4910" s="8" t="str">
        <f aca="false">IFERROR(INDEX(Section_Master!$D$2:$D$477,MATCH($E4910,Section_Master!$A$2:$A$477,0))&amp;"","")</f>
        <v>Not applicable - procedural provision (BNSS), no offence defined</v>
      </c>
      <c r="G4910" s="10" t="str">
        <f aca="false">IFERROR(INDEX(Section_Master!$E$2:$E$477,MATCH($E4910,Section_Master!$A$2:$A$477,0))&amp;"","")</f>
        <v>N/A</v>
      </c>
      <c r="H4910" s="10" t="str">
        <f aca="false">IFERROR(INDEX(Section_Master!$F$2:$F$477,MATCH($E4910,Section_Master!$A$2:$A$477,0))&amp;"","")</f>
        <v>N/A</v>
      </c>
      <c r="I4910" s="10" t="str">
        <f aca="false">IFERROR(INDEX(Section_Master!$G$2:$G$477,MATCH($E4910,Section_Master!$A$2:$A$477,0))&amp;"","")</f>
        <v>N/A</v>
      </c>
      <c r="J4910" s="10" t="s">
        <v>48</v>
      </c>
      <c r="K4910" s="8" t="s">
        <v>11495</v>
      </c>
    </row>
    <row r="4911" customFormat="false" ht="45.75" hidden="false" customHeight="true" outlineLevel="0" collapsed="false">
      <c r="A4911" s="10" t="s">
        <v>11496</v>
      </c>
      <c r="B4911" s="10" t="s">
        <v>10064</v>
      </c>
      <c r="C4911" s="8" t="s">
        <v>11493</v>
      </c>
      <c r="D4911" s="8" t="s">
        <v>11497</v>
      </c>
      <c r="E4911" s="11" t="n">
        <v>461</v>
      </c>
      <c r="F4911" s="8" t="str">
        <f aca="false">IFERROR(INDEX(Section_Master!$D$2:$D$477,MATCH($E4911,Section_Master!$A$2:$A$477,0))&amp;"","")</f>
        <v>Not applicable - procedural provision (BNSS), no offence defined</v>
      </c>
      <c r="G4911" s="10" t="str">
        <f aca="false">IFERROR(INDEX(Section_Master!$E$2:$E$477,MATCH($E4911,Section_Master!$A$2:$A$477,0))&amp;"","")</f>
        <v>N/A</v>
      </c>
      <c r="H4911" s="10" t="str">
        <f aca="false">IFERROR(INDEX(Section_Master!$F$2:$F$477,MATCH($E4911,Section_Master!$A$2:$A$477,0))&amp;"","")</f>
        <v>N/A</v>
      </c>
      <c r="I4911" s="10" t="str">
        <f aca="false">IFERROR(INDEX(Section_Master!$G$2:$G$477,MATCH($E4911,Section_Master!$A$2:$A$477,0))&amp;"","")</f>
        <v>N/A</v>
      </c>
      <c r="J4911" s="10" t="s">
        <v>52</v>
      </c>
      <c r="K4911" s="8" t="s">
        <v>11495</v>
      </c>
    </row>
    <row r="4912" customFormat="false" ht="34.5" hidden="false" customHeight="true" outlineLevel="0" collapsed="false">
      <c r="A4912" s="10" t="s">
        <v>11498</v>
      </c>
      <c r="B4912" s="10" t="s">
        <v>10064</v>
      </c>
      <c r="C4912" s="8" t="s">
        <v>11493</v>
      </c>
      <c r="D4912" s="8" t="s">
        <v>11499</v>
      </c>
      <c r="E4912" s="11" t="n">
        <v>461</v>
      </c>
      <c r="F4912" s="8" t="str">
        <f aca="false">IFERROR(INDEX(Section_Master!$D$2:$D$477,MATCH($E4912,Section_Master!$A$2:$A$477,0))&amp;"","")</f>
        <v>Not applicable - procedural provision (BNSS), no offence defined</v>
      </c>
      <c r="G4912" s="10" t="str">
        <f aca="false">IFERROR(INDEX(Section_Master!$E$2:$E$477,MATCH($E4912,Section_Master!$A$2:$A$477,0))&amp;"","")</f>
        <v>N/A</v>
      </c>
      <c r="H4912" s="10" t="str">
        <f aca="false">IFERROR(INDEX(Section_Master!$F$2:$F$477,MATCH($E4912,Section_Master!$A$2:$A$477,0))&amp;"","")</f>
        <v>N/A</v>
      </c>
      <c r="I4912" s="10" t="str">
        <f aca="false">IFERROR(INDEX(Section_Master!$G$2:$G$477,MATCH($E4912,Section_Master!$A$2:$A$477,0))&amp;"","")</f>
        <v>N/A</v>
      </c>
      <c r="J4912" s="10" t="s">
        <v>55</v>
      </c>
      <c r="K4912" s="8" t="s">
        <v>11495</v>
      </c>
    </row>
    <row r="4913" customFormat="false" ht="23.25" hidden="false" customHeight="true" outlineLevel="0" collapsed="false">
      <c r="A4913" s="10" t="s">
        <v>11500</v>
      </c>
      <c r="B4913" s="10" t="s">
        <v>10064</v>
      </c>
      <c r="C4913" s="8" t="s">
        <v>11493</v>
      </c>
      <c r="D4913" s="8" t="s">
        <v>11501</v>
      </c>
      <c r="E4913" s="11" t="n">
        <v>461</v>
      </c>
      <c r="F4913" s="8" t="str">
        <f aca="false">IFERROR(INDEX(Section_Master!$D$2:$D$477,MATCH($E4913,Section_Master!$A$2:$A$477,0))&amp;"","")</f>
        <v>Not applicable - procedural provision (BNSS), no offence defined</v>
      </c>
      <c r="G4913" s="10" t="str">
        <f aca="false">IFERROR(INDEX(Section_Master!$E$2:$E$477,MATCH($E4913,Section_Master!$A$2:$A$477,0))&amp;"","")</f>
        <v>N/A</v>
      </c>
      <c r="H4913" s="10" t="str">
        <f aca="false">IFERROR(INDEX(Section_Master!$F$2:$F$477,MATCH($E4913,Section_Master!$A$2:$A$477,0))&amp;"","")</f>
        <v>N/A</v>
      </c>
      <c r="I4913" s="10" t="str">
        <f aca="false">IFERROR(INDEX(Section_Master!$G$2:$G$477,MATCH($E4913,Section_Master!$A$2:$A$477,0))&amp;"","")</f>
        <v>N/A</v>
      </c>
      <c r="J4913" s="10" t="s">
        <v>58</v>
      </c>
      <c r="K4913" s="8" t="s">
        <v>11495</v>
      </c>
    </row>
    <row r="4914" customFormat="false" ht="45.75" hidden="false" customHeight="true" outlineLevel="0" collapsed="false">
      <c r="A4914" s="10" t="s">
        <v>11502</v>
      </c>
      <c r="B4914" s="10" t="s">
        <v>10064</v>
      </c>
      <c r="C4914" s="8" t="s">
        <v>11493</v>
      </c>
      <c r="D4914" s="8" t="s">
        <v>11503</v>
      </c>
      <c r="E4914" s="11" t="n">
        <v>461</v>
      </c>
      <c r="F4914" s="8" t="str">
        <f aca="false">IFERROR(INDEX(Section_Master!$D$2:$D$477,MATCH($E4914,Section_Master!$A$2:$A$477,0))&amp;"","")</f>
        <v>Not applicable - procedural provision (BNSS), no offence defined</v>
      </c>
      <c r="G4914" s="10" t="str">
        <f aca="false">IFERROR(INDEX(Section_Master!$E$2:$E$477,MATCH($E4914,Section_Master!$A$2:$A$477,0))&amp;"","")</f>
        <v>N/A</v>
      </c>
      <c r="H4914" s="10" t="str">
        <f aca="false">IFERROR(INDEX(Section_Master!$F$2:$F$477,MATCH($E4914,Section_Master!$A$2:$A$477,0))&amp;"","")</f>
        <v>N/A</v>
      </c>
      <c r="I4914" s="10" t="str">
        <f aca="false">IFERROR(INDEX(Section_Master!$G$2:$G$477,MATCH($E4914,Section_Master!$A$2:$A$477,0))&amp;"","")</f>
        <v>N/A</v>
      </c>
      <c r="J4914" s="10" t="s">
        <v>61</v>
      </c>
      <c r="K4914" s="8" t="s">
        <v>11495</v>
      </c>
    </row>
    <row r="4915" customFormat="false" ht="45.75" hidden="false" customHeight="true" outlineLevel="0" collapsed="false">
      <c r="A4915" s="10" t="s">
        <v>11504</v>
      </c>
      <c r="B4915" s="10" t="s">
        <v>10064</v>
      </c>
      <c r="C4915" s="8" t="s">
        <v>11493</v>
      </c>
      <c r="D4915" s="8" t="s">
        <v>11505</v>
      </c>
      <c r="E4915" s="11" t="n">
        <v>461</v>
      </c>
      <c r="F4915" s="8" t="str">
        <f aca="false">IFERROR(INDEX(Section_Master!$D$2:$D$477,MATCH($E4915,Section_Master!$A$2:$A$477,0))&amp;"","")</f>
        <v>Not applicable - procedural provision (BNSS), no offence defined</v>
      </c>
      <c r="G4915" s="10" t="str">
        <f aca="false">IFERROR(INDEX(Section_Master!$E$2:$E$477,MATCH($E4915,Section_Master!$A$2:$A$477,0))&amp;"","")</f>
        <v>N/A</v>
      </c>
      <c r="H4915" s="10" t="str">
        <f aca="false">IFERROR(INDEX(Section_Master!$F$2:$F$477,MATCH($E4915,Section_Master!$A$2:$A$477,0))&amp;"","")</f>
        <v>N/A</v>
      </c>
      <c r="I4915" s="10" t="str">
        <f aca="false">IFERROR(INDEX(Section_Master!$G$2:$G$477,MATCH($E4915,Section_Master!$A$2:$A$477,0))&amp;"","")</f>
        <v>N/A</v>
      </c>
      <c r="J4915" s="10" t="s">
        <v>64</v>
      </c>
      <c r="K4915" s="8" t="s">
        <v>11495</v>
      </c>
    </row>
    <row r="4916" customFormat="false" ht="34.5" hidden="false" customHeight="true" outlineLevel="0" collapsed="false">
      <c r="A4916" s="10" t="s">
        <v>11506</v>
      </c>
      <c r="B4916" s="10" t="s">
        <v>10064</v>
      </c>
      <c r="C4916" s="8" t="s">
        <v>11507</v>
      </c>
      <c r="D4916" s="8" t="s">
        <v>11508</v>
      </c>
      <c r="E4916" s="11" t="n">
        <v>462</v>
      </c>
      <c r="F4916" s="8" t="str">
        <f aca="false">IFERROR(INDEX(Section_Master!$D$2:$D$477,MATCH($E4916,Section_Master!$A$2:$A$477,0))&amp;"","")</f>
        <v>Not applicable - procedural provision (BNSS), no offence defined</v>
      </c>
      <c r="G4916" s="10" t="str">
        <f aca="false">IFERROR(INDEX(Section_Master!$E$2:$E$477,MATCH($E4916,Section_Master!$A$2:$A$477,0))&amp;"","")</f>
        <v>N/A</v>
      </c>
      <c r="H4916" s="10" t="str">
        <f aca="false">IFERROR(INDEX(Section_Master!$F$2:$F$477,MATCH($E4916,Section_Master!$A$2:$A$477,0))&amp;"","")</f>
        <v>N/A</v>
      </c>
      <c r="I4916" s="10" t="str">
        <f aca="false">IFERROR(INDEX(Section_Master!$G$2:$G$477,MATCH($E4916,Section_Master!$A$2:$A$477,0))&amp;"","")</f>
        <v>N/A</v>
      </c>
      <c r="J4916" s="10" t="s">
        <v>48</v>
      </c>
      <c r="K4916" s="8" t="s">
        <v>11509</v>
      </c>
    </row>
    <row r="4917" customFormat="false" ht="45.75" hidden="false" customHeight="true" outlineLevel="0" collapsed="false">
      <c r="A4917" s="10" t="s">
        <v>11510</v>
      </c>
      <c r="B4917" s="10" t="s">
        <v>10064</v>
      </c>
      <c r="C4917" s="8" t="s">
        <v>11507</v>
      </c>
      <c r="D4917" s="8" t="s">
        <v>11511</v>
      </c>
      <c r="E4917" s="11" t="n">
        <v>462</v>
      </c>
      <c r="F4917" s="8" t="str">
        <f aca="false">IFERROR(INDEX(Section_Master!$D$2:$D$477,MATCH($E4917,Section_Master!$A$2:$A$477,0))&amp;"","")</f>
        <v>Not applicable - procedural provision (BNSS), no offence defined</v>
      </c>
      <c r="G4917" s="10" t="str">
        <f aca="false">IFERROR(INDEX(Section_Master!$E$2:$E$477,MATCH($E4917,Section_Master!$A$2:$A$477,0))&amp;"","")</f>
        <v>N/A</v>
      </c>
      <c r="H4917" s="10" t="str">
        <f aca="false">IFERROR(INDEX(Section_Master!$F$2:$F$477,MATCH($E4917,Section_Master!$A$2:$A$477,0))&amp;"","")</f>
        <v>N/A</v>
      </c>
      <c r="I4917" s="10" t="str">
        <f aca="false">IFERROR(INDEX(Section_Master!$G$2:$G$477,MATCH($E4917,Section_Master!$A$2:$A$477,0))&amp;"","")</f>
        <v>N/A</v>
      </c>
      <c r="J4917" s="10" t="s">
        <v>52</v>
      </c>
      <c r="K4917" s="8" t="s">
        <v>11509</v>
      </c>
    </row>
    <row r="4918" customFormat="false" ht="45.75" hidden="false" customHeight="true" outlineLevel="0" collapsed="false">
      <c r="A4918" s="10" t="s">
        <v>11512</v>
      </c>
      <c r="B4918" s="10" t="s">
        <v>10064</v>
      </c>
      <c r="C4918" s="8" t="s">
        <v>11507</v>
      </c>
      <c r="D4918" s="8" t="s">
        <v>11513</v>
      </c>
      <c r="E4918" s="11" t="n">
        <v>462</v>
      </c>
      <c r="F4918" s="8" t="str">
        <f aca="false">IFERROR(INDEX(Section_Master!$D$2:$D$477,MATCH($E4918,Section_Master!$A$2:$A$477,0))&amp;"","")</f>
        <v>Not applicable - procedural provision (BNSS), no offence defined</v>
      </c>
      <c r="G4918" s="10" t="str">
        <f aca="false">IFERROR(INDEX(Section_Master!$E$2:$E$477,MATCH($E4918,Section_Master!$A$2:$A$477,0))&amp;"","")</f>
        <v>N/A</v>
      </c>
      <c r="H4918" s="10" t="str">
        <f aca="false">IFERROR(INDEX(Section_Master!$F$2:$F$477,MATCH($E4918,Section_Master!$A$2:$A$477,0))&amp;"","")</f>
        <v>N/A</v>
      </c>
      <c r="I4918" s="10" t="str">
        <f aca="false">IFERROR(INDEX(Section_Master!$G$2:$G$477,MATCH($E4918,Section_Master!$A$2:$A$477,0))&amp;"","")</f>
        <v>N/A</v>
      </c>
      <c r="J4918" s="10" t="s">
        <v>55</v>
      </c>
      <c r="K4918" s="8" t="s">
        <v>11509</v>
      </c>
    </row>
    <row r="4919" customFormat="false" ht="23.25" hidden="false" customHeight="true" outlineLevel="0" collapsed="false">
      <c r="A4919" s="10" t="s">
        <v>11514</v>
      </c>
      <c r="B4919" s="10" t="s">
        <v>10064</v>
      </c>
      <c r="C4919" s="8" t="s">
        <v>11507</v>
      </c>
      <c r="D4919" s="8" t="s">
        <v>11515</v>
      </c>
      <c r="E4919" s="11" t="n">
        <v>462</v>
      </c>
      <c r="F4919" s="8" t="str">
        <f aca="false">IFERROR(INDEX(Section_Master!$D$2:$D$477,MATCH($E4919,Section_Master!$A$2:$A$477,0))&amp;"","")</f>
        <v>Not applicable - procedural provision (BNSS), no offence defined</v>
      </c>
      <c r="G4919" s="10" t="str">
        <f aca="false">IFERROR(INDEX(Section_Master!$E$2:$E$477,MATCH($E4919,Section_Master!$A$2:$A$477,0))&amp;"","")</f>
        <v>N/A</v>
      </c>
      <c r="H4919" s="10" t="str">
        <f aca="false">IFERROR(INDEX(Section_Master!$F$2:$F$477,MATCH($E4919,Section_Master!$A$2:$A$477,0))&amp;"","")</f>
        <v>N/A</v>
      </c>
      <c r="I4919" s="10" t="str">
        <f aca="false">IFERROR(INDEX(Section_Master!$G$2:$G$477,MATCH($E4919,Section_Master!$A$2:$A$477,0))&amp;"","")</f>
        <v>N/A</v>
      </c>
      <c r="J4919" s="10" t="s">
        <v>58</v>
      </c>
      <c r="K4919" s="8" t="s">
        <v>11509</v>
      </c>
    </row>
    <row r="4920" customFormat="false" ht="34.5" hidden="false" customHeight="true" outlineLevel="0" collapsed="false">
      <c r="A4920" s="10" t="s">
        <v>11516</v>
      </c>
      <c r="B4920" s="10" t="s">
        <v>10064</v>
      </c>
      <c r="C4920" s="8" t="s">
        <v>11507</v>
      </c>
      <c r="D4920" s="8" t="s">
        <v>11517</v>
      </c>
      <c r="E4920" s="11" t="n">
        <v>462</v>
      </c>
      <c r="F4920" s="8" t="str">
        <f aca="false">IFERROR(INDEX(Section_Master!$D$2:$D$477,MATCH($E4920,Section_Master!$A$2:$A$477,0))&amp;"","")</f>
        <v>Not applicable - procedural provision (BNSS), no offence defined</v>
      </c>
      <c r="G4920" s="10" t="str">
        <f aca="false">IFERROR(INDEX(Section_Master!$E$2:$E$477,MATCH($E4920,Section_Master!$A$2:$A$477,0))&amp;"","")</f>
        <v>N/A</v>
      </c>
      <c r="H4920" s="10" t="str">
        <f aca="false">IFERROR(INDEX(Section_Master!$F$2:$F$477,MATCH($E4920,Section_Master!$A$2:$A$477,0))&amp;"","")</f>
        <v>N/A</v>
      </c>
      <c r="I4920" s="10" t="str">
        <f aca="false">IFERROR(INDEX(Section_Master!$G$2:$G$477,MATCH($E4920,Section_Master!$A$2:$A$477,0))&amp;"","")</f>
        <v>N/A</v>
      </c>
      <c r="J4920" s="10" t="s">
        <v>61</v>
      </c>
      <c r="K4920" s="8" t="s">
        <v>11509</v>
      </c>
    </row>
    <row r="4921" customFormat="false" ht="45.75" hidden="false" customHeight="true" outlineLevel="0" collapsed="false">
      <c r="A4921" s="10" t="s">
        <v>11518</v>
      </c>
      <c r="B4921" s="10" t="s">
        <v>10064</v>
      </c>
      <c r="C4921" s="8" t="s">
        <v>11507</v>
      </c>
      <c r="D4921" s="8" t="s">
        <v>11519</v>
      </c>
      <c r="E4921" s="11" t="n">
        <v>462</v>
      </c>
      <c r="F4921" s="8" t="str">
        <f aca="false">IFERROR(INDEX(Section_Master!$D$2:$D$477,MATCH($E4921,Section_Master!$A$2:$A$477,0))&amp;"","")</f>
        <v>Not applicable - procedural provision (BNSS), no offence defined</v>
      </c>
      <c r="G4921" s="10" t="str">
        <f aca="false">IFERROR(INDEX(Section_Master!$E$2:$E$477,MATCH($E4921,Section_Master!$A$2:$A$477,0))&amp;"","")</f>
        <v>N/A</v>
      </c>
      <c r="H4921" s="10" t="str">
        <f aca="false">IFERROR(INDEX(Section_Master!$F$2:$F$477,MATCH($E4921,Section_Master!$A$2:$A$477,0))&amp;"","")</f>
        <v>N/A</v>
      </c>
      <c r="I4921" s="10" t="str">
        <f aca="false">IFERROR(INDEX(Section_Master!$G$2:$G$477,MATCH($E4921,Section_Master!$A$2:$A$477,0))&amp;"","")</f>
        <v>N/A</v>
      </c>
      <c r="J4921" s="10" t="s">
        <v>64</v>
      </c>
      <c r="K4921" s="8" t="s">
        <v>11509</v>
      </c>
    </row>
    <row r="4922" customFormat="false" ht="34.5" hidden="false" customHeight="true" outlineLevel="0" collapsed="false">
      <c r="A4922" s="10" t="s">
        <v>11520</v>
      </c>
      <c r="B4922" s="10" t="s">
        <v>10064</v>
      </c>
      <c r="C4922" s="8" t="s">
        <v>11521</v>
      </c>
      <c r="D4922" s="8" t="s">
        <v>11522</v>
      </c>
      <c r="E4922" s="11" t="n">
        <v>463</v>
      </c>
      <c r="F4922" s="8" t="str">
        <f aca="false">IFERROR(INDEX(Section_Master!$D$2:$D$477,MATCH($E4922,Section_Master!$A$2:$A$477,0))&amp;"","")</f>
        <v>Not applicable - procedural provision (BNSS), no offence defined</v>
      </c>
      <c r="G4922" s="10" t="str">
        <f aca="false">IFERROR(INDEX(Section_Master!$E$2:$E$477,MATCH($E4922,Section_Master!$A$2:$A$477,0))&amp;"","")</f>
        <v>N/A</v>
      </c>
      <c r="H4922" s="10" t="str">
        <f aca="false">IFERROR(INDEX(Section_Master!$F$2:$F$477,MATCH($E4922,Section_Master!$A$2:$A$477,0))&amp;"","")</f>
        <v>N/A</v>
      </c>
      <c r="I4922" s="10" t="str">
        <f aca="false">IFERROR(INDEX(Section_Master!$G$2:$G$477,MATCH($E4922,Section_Master!$A$2:$A$477,0))&amp;"","")</f>
        <v>N/A</v>
      </c>
      <c r="J4922" s="10" t="s">
        <v>48</v>
      </c>
      <c r="K4922" s="8" t="s">
        <v>11523</v>
      </c>
    </row>
    <row r="4923" customFormat="false" ht="45.75" hidden="false" customHeight="true" outlineLevel="0" collapsed="false">
      <c r="A4923" s="10" t="s">
        <v>11524</v>
      </c>
      <c r="B4923" s="10" t="s">
        <v>10064</v>
      </c>
      <c r="C4923" s="8" t="s">
        <v>11521</v>
      </c>
      <c r="D4923" s="8" t="s">
        <v>11525</v>
      </c>
      <c r="E4923" s="11" t="n">
        <v>463</v>
      </c>
      <c r="F4923" s="8" t="str">
        <f aca="false">IFERROR(INDEX(Section_Master!$D$2:$D$477,MATCH($E4923,Section_Master!$A$2:$A$477,0))&amp;"","")</f>
        <v>Not applicable - procedural provision (BNSS), no offence defined</v>
      </c>
      <c r="G4923" s="10" t="str">
        <f aca="false">IFERROR(INDEX(Section_Master!$E$2:$E$477,MATCH($E4923,Section_Master!$A$2:$A$477,0))&amp;"","")</f>
        <v>N/A</v>
      </c>
      <c r="H4923" s="10" t="str">
        <f aca="false">IFERROR(INDEX(Section_Master!$F$2:$F$477,MATCH($E4923,Section_Master!$A$2:$A$477,0))&amp;"","")</f>
        <v>N/A</v>
      </c>
      <c r="I4923" s="10" t="str">
        <f aca="false">IFERROR(INDEX(Section_Master!$G$2:$G$477,MATCH($E4923,Section_Master!$A$2:$A$477,0))&amp;"","")</f>
        <v>N/A</v>
      </c>
      <c r="J4923" s="10" t="s">
        <v>52</v>
      </c>
      <c r="K4923" s="8" t="s">
        <v>11523</v>
      </c>
    </row>
    <row r="4924" customFormat="false" ht="34.5" hidden="false" customHeight="true" outlineLevel="0" collapsed="false">
      <c r="A4924" s="10" t="s">
        <v>11526</v>
      </c>
      <c r="B4924" s="10" t="s">
        <v>10064</v>
      </c>
      <c r="C4924" s="8" t="s">
        <v>11521</v>
      </c>
      <c r="D4924" s="8" t="s">
        <v>11527</v>
      </c>
      <c r="E4924" s="11" t="n">
        <v>463</v>
      </c>
      <c r="F4924" s="8" t="str">
        <f aca="false">IFERROR(INDEX(Section_Master!$D$2:$D$477,MATCH($E4924,Section_Master!$A$2:$A$477,0))&amp;"","")</f>
        <v>Not applicable - procedural provision (BNSS), no offence defined</v>
      </c>
      <c r="G4924" s="10" t="str">
        <f aca="false">IFERROR(INDEX(Section_Master!$E$2:$E$477,MATCH($E4924,Section_Master!$A$2:$A$477,0))&amp;"","")</f>
        <v>N/A</v>
      </c>
      <c r="H4924" s="10" t="str">
        <f aca="false">IFERROR(INDEX(Section_Master!$F$2:$F$477,MATCH($E4924,Section_Master!$A$2:$A$477,0))&amp;"","")</f>
        <v>N/A</v>
      </c>
      <c r="I4924" s="10" t="str">
        <f aca="false">IFERROR(INDEX(Section_Master!$G$2:$G$477,MATCH($E4924,Section_Master!$A$2:$A$477,0))&amp;"","")</f>
        <v>N/A</v>
      </c>
      <c r="J4924" s="10" t="s">
        <v>55</v>
      </c>
      <c r="K4924" s="8" t="s">
        <v>11523</v>
      </c>
    </row>
    <row r="4925" customFormat="false" ht="34.5" hidden="false" customHeight="true" outlineLevel="0" collapsed="false">
      <c r="A4925" s="10" t="s">
        <v>11528</v>
      </c>
      <c r="B4925" s="10" t="s">
        <v>10064</v>
      </c>
      <c r="C4925" s="8" t="s">
        <v>11521</v>
      </c>
      <c r="D4925" s="8" t="s">
        <v>11529</v>
      </c>
      <c r="E4925" s="11" t="n">
        <v>463</v>
      </c>
      <c r="F4925" s="8" t="str">
        <f aca="false">IFERROR(INDEX(Section_Master!$D$2:$D$477,MATCH($E4925,Section_Master!$A$2:$A$477,0))&amp;"","")</f>
        <v>Not applicable - procedural provision (BNSS), no offence defined</v>
      </c>
      <c r="G4925" s="10" t="str">
        <f aca="false">IFERROR(INDEX(Section_Master!$E$2:$E$477,MATCH($E4925,Section_Master!$A$2:$A$477,0))&amp;"","")</f>
        <v>N/A</v>
      </c>
      <c r="H4925" s="10" t="str">
        <f aca="false">IFERROR(INDEX(Section_Master!$F$2:$F$477,MATCH($E4925,Section_Master!$A$2:$A$477,0))&amp;"","")</f>
        <v>N/A</v>
      </c>
      <c r="I4925" s="10" t="str">
        <f aca="false">IFERROR(INDEX(Section_Master!$G$2:$G$477,MATCH($E4925,Section_Master!$A$2:$A$477,0))&amp;"","")</f>
        <v>N/A</v>
      </c>
      <c r="J4925" s="10" t="s">
        <v>58</v>
      </c>
      <c r="K4925" s="8" t="s">
        <v>11523</v>
      </c>
    </row>
    <row r="4926" customFormat="false" ht="45.75" hidden="false" customHeight="true" outlineLevel="0" collapsed="false">
      <c r="A4926" s="10" t="s">
        <v>11530</v>
      </c>
      <c r="B4926" s="10" t="s">
        <v>10064</v>
      </c>
      <c r="C4926" s="8" t="s">
        <v>11521</v>
      </c>
      <c r="D4926" s="8" t="s">
        <v>11531</v>
      </c>
      <c r="E4926" s="11" t="n">
        <v>463</v>
      </c>
      <c r="F4926" s="8" t="str">
        <f aca="false">IFERROR(INDEX(Section_Master!$D$2:$D$477,MATCH($E4926,Section_Master!$A$2:$A$477,0))&amp;"","")</f>
        <v>Not applicable - procedural provision (BNSS), no offence defined</v>
      </c>
      <c r="G4926" s="10" t="str">
        <f aca="false">IFERROR(INDEX(Section_Master!$E$2:$E$477,MATCH($E4926,Section_Master!$A$2:$A$477,0))&amp;"","")</f>
        <v>N/A</v>
      </c>
      <c r="H4926" s="10" t="str">
        <f aca="false">IFERROR(INDEX(Section_Master!$F$2:$F$477,MATCH($E4926,Section_Master!$A$2:$A$477,0))&amp;"","")</f>
        <v>N/A</v>
      </c>
      <c r="I4926" s="10" t="str">
        <f aca="false">IFERROR(INDEX(Section_Master!$G$2:$G$477,MATCH($E4926,Section_Master!$A$2:$A$477,0))&amp;"","")</f>
        <v>N/A</v>
      </c>
      <c r="J4926" s="10" t="s">
        <v>61</v>
      </c>
      <c r="K4926" s="8" t="s">
        <v>11523</v>
      </c>
    </row>
    <row r="4927" customFormat="false" ht="45.75" hidden="false" customHeight="true" outlineLevel="0" collapsed="false">
      <c r="A4927" s="10" t="s">
        <v>11532</v>
      </c>
      <c r="B4927" s="10" t="s">
        <v>10064</v>
      </c>
      <c r="C4927" s="8" t="s">
        <v>11521</v>
      </c>
      <c r="D4927" s="8" t="s">
        <v>11533</v>
      </c>
      <c r="E4927" s="11" t="n">
        <v>463</v>
      </c>
      <c r="F4927" s="8" t="str">
        <f aca="false">IFERROR(INDEX(Section_Master!$D$2:$D$477,MATCH($E4927,Section_Master!$A$2:$A$477,0))&amp;"","")</f>
        <v>Not applicable - procedural provision (BNSS), no offence defined</v>
      </c>
      <c r="G4927" s="10" t="str">
        <f aca="false">IFERROR(INDEX(Section_Master!$E$2:$E$477,MATCH($E4927,Section_Master!$A$2:$A$477,0))&amp;"","")</f>
        <v>N/A</v>
      </c>
      <c r="H4927" s="10" t="str">
        <f aca="false">IFERROR(INDEX(Section_Master!$F$2:$F$477,MATCH($E4927,Section_Master!$A$2:$A$477,0))&amp;"","")</f>
        <v>N/A</v>
      </c>
      <c r="I4927" s="10" t="str">
        <f aca="false">IFERROR(INDEX(Section_Master!$G$2:$G$477,MATCH($E4927,Section_Master!$A$2:$A$477,0))&amp;"","")</f>
        <v>N/A</v>
      </c>
      <c r="J4927" s="10" t="s">
        <v>64</v>
      </c>
      <c r="K4927" s="8" t="s">
        <v>11523</v>
      </c>
    </row>
    <row r="4928" customFormat="false" ht="34.5" hidden="false" customHeight="true" outlineLevel="0" collapsed="false">
      <c r="A4928" s="10" t="s">
        <v>11534</v>
      </c>
      <c r="B4928" s="10" t="s">
        <v>10064</v>
      </c>
      <c r="C4928" s="8" t="s">
        <v>11535</v>
      </c>
      <c r="D4928" s="8" t="s">
        <v>11536</v>
      </c>
      <c r="E4928" s="11" t="n">
        <v>464</v>
      </c>
      <c r="F4928" s="8" t="str">
        <f aca="false">IFERROR(INDEX(Section_Master!$D$2:$D$477,MATCH($E4928,Section_Master!$A$2:$A$477,0))&amp;"","")</f>
        <v>Not applicable - procedural provision (BNSS), no offence defined</v>
      </c>
      <c r="G4928" s="10" t="str">
        <f aca="false">IFERROR(INDEX(Section_Master!$E$2:$E$477,MATCH($E4928,Section_Master!$A$2:$A$477,0))&amp;"","")</f>
        <v>N/A</v>
      </c>
      <c r="H4928" s="10" t="str">
        <f aca="false">IFERROR(INDEX(Section_Master!$F$2:$F$477,MATCH($E4928,Section_Master!$A$2:$A$477,0))&amp;"","")</f>
        <v>N/A</v>
      </c>
      <c r="I4928" s="10" t="str">
        <f aca="false">IFERROR(INDEX(Section_Master!$G$2:$G$477,MATCH($E4928,Section_Master!$A$2:$A$477,0))&amp;"","")</f>
        <v>N/A</v>
      </c>
      <c r="J4928" s="10" t="s">
        <v>48</v>
      </c>
      <c r="K4928" s="8" t="s">
        <v>11537</v>
      </c>
    </row>
    <row r="4929" customFormat="false" ht="45.75" hidden="false" customHeight="true" outlineLevel="0" collapsed="false">
      <c r="A4929" s="10" t="s">
        <v>11538</v>
      </c>
      <c r="B4929" s="10" t="s">
        <v>10064</v>
      </c>
      <c r="C4929" s="8" t="s">
        <v>11535</v>
      </c>
      <c r="D4929" s="8" t="s">
        <v>11539</v>
      </c>
      <c r="E4929" s="11" t="n">
        <v>464</v>
      </c>
      <c r="F4929" s="8" t="str">
        <f aca="false">IFERROR(INDEX(Section_Master!$D$2:$D$477,MATCH($E4929,Section_Master!$A$2:$A$477,0))&amp;"","")</f>
        <v>Not applicable - procedural provision (BNSS), no offence defined</v>
      </c>
      <c r="G4929" s="10" t="str">
        <f aca="false">IFERROR(INDEX(Section_Master!$E$2:$E$477,MATCH($E4929,Section_Master!$A$2:$A$477,0))&amp;"","")</f>
        <v>N/A</v>
      </c>
      <c r="H4929" s="10" t="str">
        <f aca="false">IFERROR(INDEX(Section_Master!$F$2:$F$477,MATCH($E4929,Section_Master!$A$2:$A$477,0))&amp;"","")</f>
        <v>N/A</v>
      </c>
      <c r="I4929" s="10" t="str">
        <f aca="false">IFERROR(INDEX(Section_Master!$G$2:$G$477,MATCH($E4929,Section_Master!$A$2:$A$477,0))&amp;"","")</f>
        <v>N/A</v>
      </c>
      <c r="J4929" s="10" t="s">
        <v>52</v>
      </c>
      <c r="K4929" s="8" t="s">
        <v>11537</v>
      </c>
    </row>
    <row r="4930" customFormat="false" ht="45.75" hidden="false" customHeight="true" outlineLevel="0" collapsed="false">
      <c r="A4930" s="10" t="s">
        <v>11540</v>
      </c>
      <c r="B4930" s="10" t="s">
        <v>10064</v>
      </c>
      <c r="C4930" s="8" t="s">
        <v>11535</v>
      </c>
      <c r="D4930" s="8" t="s">
        <v>11541</v>
      </c>
      <c r="E4930" s="11" t="n">
        <v>464</v>
      </c>
      <c r="F4930" s="8" t="str">
        <f aca="false">IFERROR(INDEX(Section_Master!$D$2:$D$477,MATCH($E4930,Section_Master!$A$2:$A$477,0))&amp;"","")</f>
        <v>Not applicable - procedural provision (BNSS), no offence defined</v>
      </c>
      <c r="G4930" s="10" t="str">
        <f aca="false">IFERROR(INDEX(Section_Master!$E$2:$E$477,MATCH($E4930,Section_Master!$A$2:$A$477,0))&amp;"","")</f>
        <v>N/A</v>
      </c>
      <c r="H4930" s="10" t="str">
        <f aca="false">IFERROR(INDEX(Section_Master!$F$2:$F$477,MATCH($E4930,Section_Master!$A$2:$A$477,0))&amp;"","")</f>
        <v>N/A</v>
      </c>
      <c r="I4930" s="10" t="str">
        <f aca="false">IFERROR(INDEX(Section_Master!$G$2:$G$477,MATCH($E4930,Section_Master!$A$2:$A$477,0))&amp;"","")</f>
        <v>N/A</v>
      </c>
      <c r="J4930" s="10" t="s">
        <v>55</v>
      </c>
      <c r="K4930" s="8" t="s">
        <v>11537</v>
      </c>
    </row>
    <row r="4931" customFormat="false" ht="23.25" hidden="false" customHeight="true" outlineLevel="0" collapsed="false">
      <c r="A4931" s="10" t="s">
        <v>11542</v>
      </c>
      <c r="B4931" s="10" t="s">
        <v>10064</v>
      </c>
      <c r="C4931" s="8" t="s">
        <v>11535</v>
      </c>
      <c r="D4931" s="8" t="s">
        <v>11543</v>
      </c>
      <c r="E4931" s="11" t="n">
        <v>464</v>
      </c>
      <c r="F4931" s="8" t="str">
        <f aca="false">IFERROR(INDEX(Section_Master!$D$2:$D$477,MATCH($E4931,Section_Master!$A$2:$A$477,0))&amp;"","")</f>
        <v>Not applicable - procedural provision (BNSS), no offence defined</v>
      </c>
      <c r="G4931" s="10" t="str">
        <f aca="false">IFERROR(INDEX(Section_Master!$E$2:$E$477,MATCH($E4931,Section_Master!$A$2:$A$477,0))&amp;"","")</f>
        <v>N/A</v>
      </c>
      <c r="H4931" s="10" t="str">
        <f aca="false">IFERROR(INDEX(Section_Master!$F$2:$F$477,MATCH($E4931,Section_Master!$A$2:$A$477,0))&amp;"","")</f>
        <v>N/A</v>
      </c>
      <c r="I4931" s="10" t="str">
        <f aca="false">IFERROR(INDEX(Section_Master!$G$2:$G$477,MATCH($E4931,Section_Master!$A$2:$A$477,0))&amp;"","")</f>
        <v>N/A</v>
      </c>
      <c r="J4931" s="10" t="s">
        <v>58</v>
      </c>
      <c r="K4931" s="8" t="s">
        <v>11537</v>
      </c>
    </row>
    <row r="4932" customFormat="false" ht="34.5" hidden="false" customHeight="true" outlineLevel="0" collapsed="false">
      <c r="A4932" s="10" t="s">
        <v>11544</v>
      </c>
      <c r="B4932" s="10" t="s">
        <v>10064</v>
      </c>
      <c r="C4932" s="8" t="s">
        <v>11535</v>
      </c>
      <c r="D4932" s="8" t="s">
        <v>11545</v>
      </c>
      <c r="E4932" s="11" t="n">
        <v>464</v>
      </c>
      <c r="F4932" s="8" t="str">
        <f aca="false">IFERROR(INDEX(Section_Master!$D$2:$D$477,MATCH($E4932,Section_Master!$A$2:$A$477,0))&amp;"","")</f>
        <v>Not applicable - procedural provision (BNSS), no offence defined</v>
      </c>
      <c r="G4932" s="10" t="str">
        <f aca="false">IFERROR(INDEX(Section_Master!$E$2:$E$477,MATCH($E4932,Section_Master!$A$2:$A$477,0))&amp;"","")</f>
        <v>N/A</v>
      </c>
      <c r="H4932" s="10" t="str">
        <f aca="false">IFERROR(INDEX(Section_Master!$F$2:$F$477,MATCH($E4932,Section_Master!$A$2:$A$477,0))&amp;"","")</f>
        <v>N/A</v>
      </c>
      <c r="I4932" s="10" t="str">
        <f aca="false">IFERROR(INDEX(Section_Master!$G$2:$G$477,MATCH($E4932,Section_Master!$A$2:$A$477,0))&amp;"","")</f>
        <v>N/A</v>
      </c>
      <c r="J4932" s="10" t="s">
        <v>61</v>
      </c>
      <c r="K4932" s="8" t="s">
        <v>11537</v>
      </c>
    </row>
    <row r="4933" customFormat="false" ht="45.75" hidden="false" customHeight="true" outlineLevel="0" collapsed="false">
      <c r="A4933" s="10" t="s">
        <v>11546</v>
      </c>
      <c r="B4933" s="10" t="s">
        <v>10064</v>
      </c>
      <c r="C4933" s="8" t="s">
        <v>11535</v>
      </c>
      <c r="D4933" s="8" t="s">
        <v>11547</v>
      </c>
      <c r="E4933" s="11" t="n">
        <v>464</v>
      </c>
      <c r="F4933" s="8" t="str">
        <f aca="false">IFERROR(INDEX(Section_Master!$D$2:$D$477,MATCH($E4933,Section_Master!$A$2:$A$477,0))&amp;"","")</f>
        <v>Not applicable - procedural provision (BNSS), no offence defined</v>
      </c>
      <c r="G4933" s="10" t="str">
        <f aca="false">IFERROR(INDEX(Section_Master!$E$2:$E$477,MATCH($E4933,Section_Master!$A$2:$A$477,0))&amp;"","")</f>
        <v>N/A</v>
      </c>
      <c r="H4933" s="10" t="str">
        <f aca="false">IFERROR(INDEX(Section_Master!$F$2:$F$477,MATCH($E4933,Section_Master!$A$2:$A$477,0))&amp;"","")</f>
        <v>N/A</v>
      </c>
      <c r="I4933" s="10" t="str">
        <f aca="false">IFERROR(INDEX(Section_Master!$G$2:$G$477,MATCH($E4933,Section_Master!$A$2:$A$477,0))&amp;"","")</f>
        <v>N/A</v>
      </c>
      <c r="J4933" s="10" t="s">
        <v>64</v>
      </c>
      <c r="K4933" s="8" t="s">
        <v>11537</v>
      </c>
    </row>
    <row r="4934" customFormat="false" ht="23.25" hidden="false" customHeight="true" outlineLevel="0" collapsed="false">
      <c r="A4934" s="10" t="s">
        <v>11548</v>
      </c>
      <c r="B4934" s="10" t="s">
        <v>10064</v>
      </c>
      <c r="C4934" s="8" t="s">
        <v>11549</v>
      </c>
      <c r="D4934" s="8" t="s">
        <v>11550</v>
      </c>
      <c r="E4934" s="11" t="n">
        <v>465</v>
      </c>
      <c r="F4934" s="8" t="str">
        <f aca="false">IFERROR(INDEX(Section_Master!$D$2:$D$477,MATCH($E4934,Section_Master!$A$2:$A$477,0))&amp;"","")</f>
        <v>Not applicable - procedural provision (BNSS), no offence defined</v>
      </c>
      <c r="G4934" s="10" t="str">
        <f aca="false">IFERROR(INDEX(Section_Master!$E$2:$E$477,MATCH($E4934,Section_Master!$A$2:$A$477,0))&amp;"","")</f>
        <v>N/A</v>
      </c>
      <c r="H4934" s="10" t="str">
        <f aca="false">IFERROR(INDEX(Section_Master!$F$2:$F$477,MATCH($E4934,Section_Master!$A$2:$A$477,0))&amp;"","")</f>
        <v>N/A</v>
      </c>
      <c r="I4934" s="10" t="str">
        <f aca="false">IFERROR(INDEX(Section_Master!$G$2:$G$477,MATCH($E4934,Section_Master!$A$2:$A$477,0))&amp;"","")</f>
        <v>N/A</v>
      </c>
      <c r="J4934" s="10" t="s">
        <v>48</v>
      </c>
      <c r="K4934" s="8" t="s">
        <v>11551</v>
      </c>
    </row>
    <row r="4935" customFormat="false" ht="34.5" hidden="false" customHeight="true" outlineLevel="0" collapsed="false">
      <c r="A4935" s="10" t="s">
        <v>11552</v>
      </c>
      <c r="B4935" s="10" t="s">
        <v>10064</v>
      </c>
      <c r="C4935" s="8" t="s">
        <v>11549</v>
      </c>
      <c r="D4935" s="8" t="s">
        <v>11553</v>
      </c>
      <c r="E4935" s="11" t="n">
        <v>465</v>
      </c>
      <c r="F4935" s="8" t="str">
        <f aca="false">IFERROR(INDEX(Section_Master!$D$2:$D$477,MATCH($E4935,Section_Master!$A$2:$A$477,0))&amp;"","")</f>
        <v>Not applicable - procedural provision (BNSS), no offence defined</v>
      </c>
      <c r="G4935" s="10" t="str">
        <f aca="false">IFERROR(INDEX(Section_Master!$E$2:$E$477,MATCH($E4935,Section_Master!$A$2:$A$477,0))&amp;"","")</f>
        <v>N/A</v>
      </c>
      <c r="H4935" s="10" t="str">
        <f aca="false">IFERROR(INDEX(Section_Master!$F$2:$F$477,MATCH($E4935,Section_Master!$A$2:$A$477,0))&amp;"","")</f>
        <v>N/A</v>
      </c>
      <c r="I4935" s="10" t="str">
        <f aca="false">IFERROR(INDEX(Section_Master!$G$2:$G$477,MATCH($E4935,Section_Master!$A$2:$A$477,0))&amp;"","")</f>
        <v>N/A</v>
      </c>
      <c r="J4935" s="10" t="s">
        <v>52</v>
      </c>
      <c r="K4935" s="8" t="s">
        <v>11551</v>
      </c>
    </row>
    <row r="4936" customFormat="false" ht="34.5" hidden="false" customHeight="true" outlineLevel="0" collapsed="false">
      <c r="A4936" s="10" t="s">
        <v>11554</v>
      </c>
      <c r="B4936" s="10" t="s">
        <v>10064</v>
      </c>
      <c r="C4936" s="8" t="s">
        <v>11549</v>
      </c>
      <c r="D4936" s="8" t="s">
        <v>11555</v>
      </c>
      <c r="E4936" s="11" t="n">
        <v>465</v>
      </c>
      <c r="F4936" s="8" t="str">
        <f aca="false">IFERROR(INDEX(Section_Master!$D$2:$D$477,MATCH($E4936,Section_Master!$A$2:$A$477,0))&amp;"","")</f>
        <v>Not applicable - procedural provision (BNSS), no offence defined</v>
      </c>
      <c r="G4936" s="10" t="str">
        <f aca="false">IFERROR(INDEX(Section_Master!$E$2:$E$477,MATCH($E4936,Section_Master!$A$2:$A$477,0))&amp;"","")</f>
        <v>N/A</v>
      </c>
      <c r="H4936" s="10" t="str">
        <f aca="false">IFERROR(INDEX(Section_Master!$F$2:$F$477,MATCH($E4936,Section_Master!$A$2:$A$477,0))&amp;"","")</f>
        <v>N/A</v>
      </c>
      <c r="I4936" s="10" t="str">
        <f aca="false">IFERROR(INDEX(Section_Master!$G$2:$G$477,MATCH($E4936,Section_Master!$A$2:$A$477,0))&amp;"","")</f>
        <v>N/A</v>
      </c>
      <c r="J4936" s="10" t="s">
        <v>55</v>
      </c>
      <c r="K4936" s="8" t="s">
        <v>11551</v>
      </c>
    </row>
    <row r="4937" customFormat="false" ht="23.25" hidden="false" customHeight="true" outlineLevel="0" collapsed="false">
      <c r="A4937" s="10" t="s">
        <v>11556</v>
      </c>
      <c r="B4937" s="10" t="s">
        <v>10064</v>
      </c>
      <c r="C4937" s="8" t="s">
        <v>11549</v>
      </c>
      <c r="D4937" s="8" t="s">
        <v>11557</v>
      </c>
      <c r="E4937" s="11" t="n">
        <v>465</v>
      </c>
      <c r="F4937" s="8" t="str">
        <f aca="false">IFERROR(INDEX(Section_Master!$D$2:$D$477,MATCH($E4937,Section_Master!$A$2:$A$477,0))&amp;"","")</f>
        <v>Not applicable - procedural provision (BNSS), no offence defined</v>
      </c>
      <c r="G4937" s="10" t="str">
        <f aca="false">IFERROR(INDEX(Section_Master!$E$2:$E$477,MATCH($E4937,Section_Master!$A$2:$A$477,0))&amp;"","")</f>
        <v>N/A</v>
      </c>
      <c r="H4937" s="10" t="str">
        <f aca="false">IFERROR(INDEX(Section_Master!$F$2:$F$477,MATCH($E4937,Section_Master!$A$2:$A$477,0))&amp;"","")</f>
        <v>N/A</v>
      </c>
      <c r="I4937" s="10" t="str">
        <f aca="false">IFERROR(INDEX(Section_Master!$G$2:$G$477,MATCH($E4937,Section_Master!$A$2:$A$477,0))&amp;"","")</f>
        <v>N/A</v>
      </c>
      <c r="J4937" s="10" t="s">
        <v>58</v>
      </c>
      <c r="K4937" s="8" t="s">
        <v>11551</v>
      </c>
    </row>
    <row r="4938" customFormat="false" ht="34.5" hidden="false" customHeight="true" outlineLevel="0" collapsed="false">
      <c r="A4938" s="10" t="s">
        <v>11558</v>
      </c>
      <c r="B4938" s="10" t="s">
        <v>10064</v>
      </c>
      <c r="C4938" s="8" t="s">
        <v>11549</v>
      </c>
      <c r="D4938" s="8" t="s">
        <v>11559</v>
      </c>
      <c r="E4938" s="11" t="n">
        <v>465</v>
      </c>
      <c r="F4938" s="8" t="str">
        <f aca="false">IFERROR(INDEX(Section_Master!$D$2:$D$477,MATCH($E4938,Section_Master!$A$2:$A$477,0))&amp;"","")</f>
        <v>Not applicable - procedural provision (BNSS), no offence defined</v>
      </c>
      <c r="G4938" s="10" t="str">
        <f aca="false">IFERROR(INDEX(Section_Master!$E$2:$E$477,MATCH($E4938,Section_Master!$A$2:$A$477,0))&amp;"","")</f>
        <v>N/A</v>
      </c>
      <c r="H4938" s="10" t="str">
        <f aca="false">IFERROR(INDEX(Section_Master!$F$2:$F$477,MATCH($E4938,Section_Master!$A$2:$A$477,0))&amp;"","")</f>
        <v>N/A</v>
      </c>
      <c r="I4938" s="10" t="str">
        <f aca="false">IFERROR(INDEX(Section_Master!$G$2:$G$477,MATCH($E4938,Section_Master!$A$2:$A$477,0))&amp;"","")</f>
        <v>N/A</v>
      </c>
      <c r="J4938" s="10" t="s">
        <v>61</v>
      </c>
      <c r="K4938" s="8" t="s">
        <v>11551</v>
      </c>
    </row>
    <row r="4939" customFormat="false" ht="57" hidden="false" customHeight="true" outlineLevel="0" collapsed="false">
      <c r="A4939" s="10" t="s">
        <v>11560</v>
      </c>
      <c r="B4939" s="10" t="s">
        <v>10064</v>
      </c>
      <c r="C4939" s="8" t="s">
        <v>11549</v>
      </c>
      <c r="D4939" s="8" t="s">
        <v>11561</v>
      </c>
      <c r="E4939" s="11" t="n">
        <v>465</v>
      </c>
      <c r="F4939" s="8" t="str">
        <f aca="false">IFERROR(INDEX(Section_Master!$D$2:$D$477,MATCH($E4939,Section_Master!$A$2:$A$477,0))&amp;"","")</f>
        <v>Not applicable - procedural provision (BNSS), no offence defined</v>
      </c>
      <c r="G4939" s="10" t="str">
        <f aca="false">IFERROR(INDEX(Section_Master!$E$2:$E$477,MATCH($E4939,Section_Master!$A$2:$A$477,0))&amp;"","")</f>
        <v>N/A</v>
      </c>
      <c r="H4939" s="10" t="str">
        <f aca="false">IFERROR(INDEX(Section_Master!$F$2:$F$477,MATCH($E4939,Section_Master!$A$2:$A$477,0))&amp;"","")</f>
        <v>N/A</v>
      </c>
      <c r="I4939" s="10" t="str">
        <f aca="false">IFERROR(INDEX(Section_Master!$G$2:$G$477,MATCH($E4939,Section_Master!$A$2:$A$477,0))&amp;"","")</f>
        <v>N/A</v>
      </c>
      <c r="J4939" s="10" t="s">
        <v>64</v>
      </c>
      <c r="K4939" s="8" t="s">
        <v>11551</v>
      </c>
    </row>
    <row r="4940" customFormat="false" ht="45.75" hidden="false" customHeight="true" outlineLevel="0" collapsed="false">
      <c r="A4940" s="10" t="s">
        <v>11562</v>
      </c>
      <c r="B4940" s="10" t="s">
        <v>10064</v>
      </c>
      <c r="C4940" s="8" t="s">
        <v>11563</v>
      </c>
      <c r="D4940" s="8" t="s">
        <v>11564</v>
      </c>
      <c r="E4940" s="11" t="n">
        <v>466</v>
      </c>
      <c r="F4940" s="8" t="str">
        <f aca="false">IFERROR(INDEX(Section_Master!$D$2:$D$477,MATCH($E4940,Section_Master!$A$2:$A$477,0))&amp;"","")</f>
        <v>Not applicable - procedural provision (BNSS), no offence defined</v>
      </c>
      <c r="G4940" s="10" t="str">
        <f aca="false">IFERROR(INDEX(Section_Master!$E$2:$E$477,MATCH($E4940,Section_Master!$A$2:$A$477,0))&amp;"","")</f>
        <v>N/A</v>
      </c>
      <c r="H4940" s="10" t="str">
        <f aca="false">IFERROR(INDEX(Section_Master!$F$2:$F$477,MATCH($E4940,Section_Master!$A$2:$A$477,0))&amp;"","")</f>
        <v>N/A</v>
      </c>
      <c r="I4940" s="10" t="str">
        <f aca="false">IFERROR(INDEX(Section_Master!$G$2:$G$477,MATCH($E4940,Section_Master!$A$2:$A$477,0))&amp;"","")</f>
        <v>N/A</v>
      </c>
      <c r="J4940" s="10" t="s">
        <v>48</v>
      </c>
      <c r="K4940" s="8" t="s">
        <v>11565</v>
      </c>
    </row>
    <row r="4941" customFormat="false" ht="45.75" hidden="false" customHeight="true" outlineLevel="0" collapsed="false">
      <c r="A4941" s="10" t="s">
        <v>11566</v>
      </c>
      <c r="B4941" s="10" t="s">
        <v>10064</v>
      </c>
      <c r="C4941" s="8" t="s">
        <v>11563</v>
      </c>
      <c r="D4941" s="8" t="s">
        <v>11567</v>
      </c>
      <c r="E4941" s="11" t="n">
        <v>466</v>
      </c>
      <c r="F4941" s="8" t="str">
        <f aca="false">IFERROR(INDEX(Section_Master!$D$2:$D$477,MATCH($E4941,Section_Master!$A$2:$A$477,0))&amp;"","")</f>
        <v>Not applicable - procedural provision (BNSS), no offence defined</v>
      </c>
      <c r="G4941" s="10" t="str">
        <f aca="false">IFERROR(INDEX(Section_Master!$E$2:$E$477,MATCH($E4941,Section_Master!$A$2:$A$477,0))&amp;"","")</f>
        <v>N/A</v>
      </c>
      <c r="H4941" s="10" t="str">
        <f aca="false">IFERROR(INDEX(Section_Master!$F$2:$F$477,MATCH($E4941,Section_Master!$A$2:$A$477,0))&amp;"","")</f>
        <v>N/A</v>
      </c>
      <c r="I4941" s="10" t="str">
        <f aca="false">IFERROR(INDEX(Section_Master!$G$2:$G$477,MATCH($E4941,Section_Master!$A$2:$A$477,0))&amp;"","")</f>
        <v>N/A</v>
      </c>
      <c r="J4941" s="10" t="s">
        <v>52</v>
      </c>
      <c r="K4941" s="8" t="s">
        <v>11565</v>
      </c>
    </row>
    <row r="4942" customFormat="false" ht="45.75" hidden="false" customHeight="true" outlineLevel="0" collapsed="false">
      <c r="A4942" s="10" t="s">
        <v>11568</v>
      </c>
      <c r="B4942" s="10" t="s">
        <v>10064</v>
      </c>
      <c r="C4942" s="8" t="s">
        <v>11563</v>
      </c>
      <c r="D4942" s="8" t="s">
        <v>11569</v>
      </c>
      <c r="E4942" s="11" t="n">
        <v>466</v>
      </c>
      <c r="F4942" s="8" t="str">
        <f aca="false">IFERROR(INDEX(Section_Master!$D$2:$D$477,MATCH($E4942,Section_Master!$A$2:$A$477,0))&amp;"","")</f>
        <v>Not applicable - procedural provision (BNSS), no offence defined</v>
      </c>
      <c r="G4942" s="10" t="str">
        <f aca="false">IFERROR(INDEX(Section_Master!$E$2:$E$477,MATCH($E4942,Section_Master!$A$2:$A$477,0))&amp;"","")</f>
        <v>N/A</v>
      </c>
      <c r="H4942" s="10" t="str">
        <f aca="false">IFERROR(INDEX(Section_Master!$F$2:$F$477,MATCH($E4942,Section_Master!$A$2:$A$477,0))&amp;"","")</f>
        <v>N/A</v>
      </c>
      <c r="I4942" s="10" t="str">
        <f aca="false">IFERROR(INDEX(Section_Master!$G$2:$G$477,MATCH($E4942,Section_Master!$A$2:$A$477,0))&amp;"","")</f>
        <v>N/A</v>
      </c>
      <c r="J4942" s="10" t="s">
        <v>55</v>
      </c>
      <c r="K4942" s="8" t="s">
        <v>11565</v>
      </c>
    </row>
    <row r="4943" customFormat="false" ht="23.25" hidden="false" customHeight="true" outlineLevel="0" collapsed="false">
      <c r="A4943" s="10" t="s">
        <v>11570</v>
      </c>
      <c r="B4943" s="10" t="s">
        <v>10064</v>
      </c>
      <c r="C4943" s="8" t="s">
        <v>11563</v>
      </c>
      <c r="D4943" s="8" t="s">
        <v>11571</v>
      </c>
      <c r="E4943" s="11" t="n">
        <v>466</v>
      </c>
      <c r="F4943" s="8" t="str">
        <f aca="false">IFERROR(INDEX(Section_Master!$D$2:$D$477,MATCH($E4943,Section_Master!$A$2:$A$477,0))&amp;"","")</f>
        <v>Not applicable - procedural provision (BNSS), no offence defined</v>
      </c>
      <c r="G4943" s="10" t="str">
        <f aca="false">IFERROR(INDEX(Section_Master!$E$2:$E$477,MATCH($E4943,Section_Master!$A$2:$A$477,0))&amp;"","")</f>
        <v>N/A</v>
      </c>
      <c r="H4943" s="10" t="str">
        <f aca="false">IFERROR(INDEX(Section_Master!$F$2:$F$477,MATCH($E4943,Section_Master!$A$2:$A$477,0))&amp;"","")</f>
        <v>N/A</v>
      </c>
      <c r="I4943" s="10" t="str">
        <f aca="false">IFERROR(INDEX(Section_Master!$G$2:$G$477,MATCH($E4943,Section_Master!$A$2:$A$477,0))&amp;"","")</f>
        <v>N/A</v>
      </c>
      <c r="J4943" s="10" t="s">
        <v>58</v>
      </c>
      <c r="K4943" s="8" t="s">
        <v>11565</v>
      </c>
    </row>
    <row r="4944" customFormat="false" ht="34.5" hidden="false" customHeight="true" outlineLevel="0" collapsed="false">
      <c r="A4944" s="10" t="s">
        <v>11572</v>
      </c>
      <c r="B4944" s="10" t="s">
        <v>10064</v>
      </c>
      <c r="C4944" s="8" t="s">
        <v>11563</v>
      </c>
      <c r="D4944" s="8" t="s">
        <v>11573</v>
      </c>
      <c r="E4944" s="11" t="n">
        <v>466</v>
      </c>
      <c r="F4944" s="8" t="str">
        <f aca="false">IFERROR(INDEX(Section_Master!$D$2:$D$477,MATCH($E4944,Section_Master!$A$2:$A$477,0))&amp;"","")</f>
        <v>Not applicable - procedural provision (BNSS), no offence defined</v>
      </c>
      <c r="G4944" s="10" t="str">
        <f aca="false">IFERROR(INDEX(Section_Master!$E$2:$E$477,MATCH($E4944,Section_Master!$A$2:$A$477,0))&amp;"","")</f>
        <v>N/A</v>
      </c>
      <c r="H4944" s="10" t="str">
        <f aca="false">IFERROR(INDEX(Section_Master!$F$2:$F$477,MATCH($E4944,Section_Master!$A$2:$A$477,0))&amp;"","")</f>
        <v>N/A</v>
      </c>
      <c r="I4944" s="10" t="str">
        <f aca="false">IFERROR(INDEX(Section_Master!$G$2:$G$477,MATCH($E4944,Section_Master!$A$2:$A$477,0))&amp;"","")</f>
        <v>N/A</v>
      </c>
      <c r="J4944" s="10" t="s">
        <v>61</v>
      </c>
      <c r="K4944" s="8" t="s">
        <v>11565</v>
      </c>
    </row>
    <row r="4945" customFormat="false" ht="45.75" hidden="false" customHeight="true" outlineLevel="0" collapsed="false">
      <c r="A4945" s="10" t="s">
        <v>11574</v>
      </c>
      <c r="B4945" s="10" t="s">
        <v>10064</v>
      </c>
      <c r="C4945" s="8" t="s">
        <v>11563</v>
      </c>
      <c r="D4945" s="8" t="s">
        <v>11575</v>
      </c>
      <c r="E4945" s="11" t="n">
        <v>466</v>
      </c>
      <c r="F4945" s="8" t="str">
        <f aca="false">IFERROR(INDEX(Section_Master!$D$2:$D$477,MATCH($E4945,Section_Master!$A$2:$A$477,0))&amp;"","")</f>
        <v>Not applicable - procedural provision (BNSS), no offence defined</v>
      </c>
      <c r="G4945" s="10" t="str">
        <f aca="false">IFERROR(INDEX(Section_Master!$E$2:$E$477,MATCH($E4945,Section_Master!$A$2:$A$477,0))&amp;"","")</f>
        <v>N/A</v>
      </c>
      <c r="H4945" s="10" t="str">
        <f aca="false">IFERROR(INDEX(Section_Master!$F$2:$F$477,MATCH($E4945,Section_Master!$A$2:$A$477,0))&amp;"","")</f>
        <v>N/A</v>
      </c>
      <c r="I4945" s="10" t="str">
        <f aca="false">IFERROR(INDEX(Section_Master!$G$2:$G$477,MATCH($E4945,Section_Master!$A$2:$A$477,0))&amp;"","")</f>
        <v>N/A</v>
      </c>
      <c r="J4945" s="10" t="s">
        <v>64</v>
      </c>
      <c r="K4945" s="8" t="s">
        <v>11565</v>
      </c>
    </row>
    <row r="4946" customFormat="false" ht="45.75" hidden="false" customHeight="true" outlineLevel="0" collapsed="false">
      <c r="A4946" s="10" t="s">
        <v>11576</v>
      </c>
      <c r="B4946" s="10" t="s">
        <v>10064</v>
      </c>
      <c r="C4946" s="8" t="s">
        <v>11577</v>
      </c>
      <c r="D4946" s="8" t="s">
        <v>11578</v>
      </c>
      <c r="E4946" s="11" t="n">
        <v>467</v>
      </c>
      <c r="F4946" s="8" t="str">
        <f aca="false">IFERROR(INDEX(Section_Master!$D$2:$D$477,MATCH($E4946,Section_Master!$A$2:$A$477,0))&amp;"","")</f>
        <v>Not applicable - procedural provision (BNSS), no offence defined</v>
      </c>
      <c r="G4946" s="10" t="str">
        <f aca="false">IFERROR(INDEX(Section_Master!$E$2:$E$477,MATCH($E4946,Section_Master!$A$2:$A$477,0))&amp;"","")</f>
        <v>N/A</v>
      </c>
      <c r="H4946" s="10" t="str">
        <f aca="false">IFERROR(INDEX(Section_Master!$F$2:$F$477,MATCH($E4946,Section_Master!$A$2:$A$477,0))&amp;"","")</f>
        <v>N/A</v>
      </c>
      <c r="I4946" s="10" t="str">
        <f aca="false">IFERROR(INDEX(Section_Master!$G$2:$G$477,MATCH($E4946,Section_Master!$A$2:$A$477,0))&amp;"","")</f>
        <v>N/A</v>
      </c>
      <c r="J4946" s="10" t="s">
        <v>48</v>
      </c>
      <c r="K4946" s="8" t="s">
        <v>11579</v>
      </c>
    </row>
    <row r="4947" customFormat="false" ht="45.75" hidden="false" customHeight="true" outlineLevel="0" collapsed="false">
      <c r="A4947" s="10" t="s">
        <v>11580</v>
      </c>
      <c r="B4947" s="10" t="s">
        <v>10064</v>
      </c>
      <c r="C4947" s="8" t="s">
        <v>11577</v>
      </c>
      <c r="D4947" s="8" t="s">
        <v>11581</v>
      </c>
      <c r="E4947" s="11" t="n">
        <v>467</v>
      </c>
      <c r="F4947" s="8" t="str">
        <f aca="false">IFERROR(INDEX(Section_Master!$D$2:$D$477,MATCH($E4947,Section_Master!$A$2:$A$477,0))&amp;"","")</f>
        <v>Not applicable - procedural provision (BNSS), no offence defined</v>
      </c>
      <c r="G4947" s="10" t="str">
        <f aca="false">IFERROR(INDEX(Section_Master!$E$2:$E$477,MATCH($E4947,Section_Master!$A$2:$A$477,0))&amp;"","")</f>
        <v>N/A</v>
      </c>
      <c r="H4947" s="10" t="str">
        <f aca="false">IFERROR(INDEX(Section_Master!$F$2:$F$477,MATCH($E4947,Section_Master!$A$2:$A$477,0))&amp;"","")</f>
        <v>N/A</v>
      </c>
      <c r="I4947" s="10" t="str">
        <f aca="false">IFERROR(INDEX(Section_Master!$G$2:$G$477,MATCH($E4947,Section_Master!$A$2:$A$477,0))&amp;"","")</f>
        <v>N/A</v>
      </c>
      <c r="J4947" s="10" t="s">
        <v>52</v>
      </c>
      <c r="K4947" s="8" t="s">
        <v>11579</v>
      </c>
    </row>
    <row r="4948" customFormat="false" ht="34.5" hidden="false" customHeight="true" outlineLevel="0" collapsed="false">
      <c r="A4948" s="10" t="s">
        <v>11582</v>
      </c>
      <c r="B4948" s="10" t="s">
        <v>10064</v>
      </c>
      <c r="C4948" s="8" t="s">
        <v>11577</v>
      </c>
      <c r="D4948" s="8" t="s">
        <v>11583</v>
      </c>
      <c r="E4948" s="11" t="n">
        <v>467</v>
      </c>
      <c r="F4948" s="8" t="str">
        <f aca="false">IFERROR(INDEX(Section_Master!$D$2:$D$477,MATCH($E4948,Section_Master!$A$2:$A$477,0))&amp;"","")</f>
        <v>Not applicable - procedural provision (BNSS), no offence defined</v>
      </c>
      <c r="G4948" s="10" t="str">
        <f aca="false">IFERROR(INDEX(Section_Master!$E$2:$E$477,MATCH($E4948,Section_Master!$A$2:$A$477,0))&amp;"","")</f>
        <v>N/A</v>
      </c>
      <c r="H4948" s="10" t="str">
        <f aca="false">IFERROR(INDEX(Section_Master!$F$2:$F$477,MATCH($E4948,Section_Master!$A$2:$A$477,0))&amp;"","")</f>
        <v>N/A</v>
      </c>
      <c r="I4948" s="10" t="str">
        <f aca="false">IFERROR(INDEX(Section_Master!$G$2:$G$477,MATCH($E4948,Section_Master!$A$2:$A$477,0))&amp;"","")</f>
        <v>N/A</v>
      </c>
      <c r="J4948" s="10" t="s">
        <v>55</v>
      </c>
      <c r="K4948" s="8" t="s">
        <v>11579</v>
      </c>
    </row>
    <row r="4949" customFormat="false" ht="23.25" hidden="false" customHeight="true" outlineLevel="0" collapsed="false">
      <c r="A4949" s="10" t="s">
        <v>11584</v>
      </c>
      <c r="B4949" s="10" t="s">
        <v>10064</v>
      </c>
      <c r="C4949" s="8" t="s">
        <v>11577</v>
      </c>
      <c r="D4949" s="8" t="s">
        <v>11585</v>
      </c>
      <c r="E4949" s="11" t="n">
        <v>467</v>
      </c>
      <c r="F4949" s="8" t="str">
        <f aca="false">IFERROR(INDEX(Section_Master!$D$2:$D$477,MATCH($E4949,Section_Master!$A$2:$A$477,0))&amp;"","")</f>
        <v>Not applicable - procedural provision (BNSS), no offence defined</v>
      </c>
      <c r="G4949" s="10" t="str">
        <f aca="false">IFERROR(INDEX(Section_Master!$E$2:$E$477,MATCH($E4949,Section_Master!$A$2:$A$477,0))&amp;"","")</f>
        <v>N/A</v>
      </c>
      <c r="H4949" s="10" t="str">
        <f aca="false">IFERROR(INDEX(Section_Master!$F$2:$F$477,MATCH($E4949,Section_Master!$A$2:$A$477,0))&amp;"","")</f>
        <v>N/A</v>
      </c>
      <c r="I4949" s="10" t="str">
        <f aca="false">IFERROR(INDEX(Section_Master!$G$2:$G$477,MATCH($E4949,Section_Master!$A$2:$A$477,0))&amp;"","")</f>
        <v>N/A</v>
      </c>
      <c r="J4949" s="10" t="s">
        <v>58</v>
      </c>
      <c r="K4949" s="8" t="s">
        <v>11579</v>
      </c>
    </row>
    <row r="4950" customFormat="false" ht="34.5" hidden="false" customHeight="true" outlineLevel="0" collapsed="false">
      <c r="A4950" s="10" t="s">
        <v>11586</v>
      </c>
      <c r="B4950" s="10" t="s">
        <v>10064</v>
      </c>
      <c r="C4950" s="8" t="s">
        <v>11577</v>
      </c>
      <c r="D4950" s="8" t="s">
        <v>11587</v>
      </c>
      <c r="E4950" s="11" t="n">
        <v>467</v>
      </c>
      <c r="F4950" s="8" t="str">
        <f aca="false">IFERROR(INDEX(Section_Master!$D$2:$D$477,MATCH($E4950,Section_Master!$A$2:$A$477,0))&amp;"","")</f>
        <v>Not applicable - procedural provision (BNSS), no offence defined</v>
      </c>
      <c r="G4950" s="10" t="str">
        <f aca="false">IFERROR(INDEX(Section_Master!$E$2:$E$477,MATCH($E4950,Section_Master!$A$2:$A$477,0))&amp;"","")</f>
        <v>N/A</v>
      </c>
      <c r="H4950" s="10" t="str">
        <f aca="false">IFERROR(INDEX(Section_Master!$F$2:$F$477,MATCH($E4950,Section_Master!$A$2:$A$477,0))&amp;"","")</f>
        <v>N/A</v>
      </c>
      <c r="I4950" s="10" t="str">
        <f aca="false">IFERROR(INDEX(Section_Master!$G$2:$G$477,MATCH($E4950,Section_Master!$A$2:$A$477,0))&amp;"","")</f>
        <v>N/A</v>
      </c>
      <c r="J4950" s="10" t="s">
        <v>61</v>
      </c>
      <c r="K4950" s="8" t="s">
        <v>11579</v>
      </c>
    </row>
    <row r="4951" customFormat="false" ht="57" hidden="false" customHeight="true" outlineLevel="0" collapsed="false">
      <c r="A4951" s="10" t="s">
        <v>11588</v>
      </c>
      <c r="B4951" s="10" t="s">
        <v>10064</v>
      </c>
      <c r="C4951" s="8" t="s">
        <v>11577</v>
      </c>
      <c r="D4951" s="8" t="s">
        <v>11589</v>
      </c>
      <c r="E4951" s="11" t="n">
        <v>467</v>
      </c>
      <c r="F4951" s="8" t="str">
        <f aca="false">IFERROR(INDEX(Section_Master!$D$2:$D$477,MATCH($E4951,Section_Master!$A$2:$A$477,0))&amp;"","")</f>
        <v>Not applicable - procedural provision (BNSS), no offence defined</v>
      </c>
      <c r="G4951" s="10" t="str">
        <f aca="false">IFERROR(INDEX(Section_Master!$E$2:$E$477,MATCH($E4951,Section_Master!$A$2:$A$477,0))&amp;"","")</f>
        <v>N/A</v>
      </c>
      <c r="H4951" s="10" t="str">
        <f aca="false">IFERROR(INDEX(Section_Master!$F$2:$F$477,MATCH($E4951,Section_Master!$A$2:$A$477,0))&amp;"","")</f>
        <v>N/A</v>
      </c>
      <c r="I4951" s="10" t="str">
        <f aca="false">IFERROR(INDEX(Section_Master!$G$2:$G$477,MATCH($E4951,Section_Master!$A$2:$A$477,0))&amp;"","")</f>
        <v>N/A</v>
      </c>
      <c r="J4951" s="10" t="s">
        <v>64</v>
      </c>
      <c r="K4951" s="8" t="s">
        <v>11579</v>
      </c>
    </row>
    <row r="4952" customFormat="false" ht="34.5" hidden="false" customHeight="true" outlineLevel="0" collapsed="false">
      <c r="A4952" s="10" t="s">
        <v>11590</v>
      </c>
      <c r="B4952" s="10" t="s">
        <v>10064</v>
      </c>
      <c r="C4952" s="8" t="s">
        <v>9197</v>
      </c>
      <c r="D4952" s="8" t="s">
        <v>11591</v>
      </c>
      <c r="E4952" s="11" t="n">
        <v>468</v>
      </c>
      <c r="F4952" s="8" t="str">
        <f aca="false">IFERROR(INDEX(Section_Master!$D$2:$D$477,MATCH($E4952,Section_Master!$A$2:$A$477,0))&amp;"","")</f>
        <v>Not applicable - procedural provision (BNSS), no offence defined</v>
      </c>
      <c r="G4952" s="10" t="str">
        <f aca="false">IFERROR(INDEX(Section_Master!$E$2:$E$477,MATCH($E4952,Section_Master!$A$2:$A$477,0))&amp;"","")</f>
        <v>N/A</v>
      </c>
      <c r="H4952" s="10" t="str">
        <f aca="false">IFERROR(INDEX(Section_Master!$F$2:$F$477,MATCH($E4952,Section_Master!$A$2:$A$477,0))&amp;"","")</f>
        <v>N/A</v>
      </c>
      <c r="I4952" s="10" t="str">
        <f aca="false">IFERROR(INDEX(Section_Master!$G$2:$G$477,MATCH($E4952,Section_Master!$A$2:$A$477,0))&amp;"","")</f>
        <v>N/A</v>
      </c>
      <c r="J4952" s="10" t="s">
        <v>48</v>
      </c>
      <c r="K4952" s="8" t="s">
        <v>11592</v>
      </c>
    </row>
    <row r="4953" customFormat="false" ht="45.75" hidden="false" customHeight="true" outlineLevel="0" collapsed="false">
      <c r="A4953" s="10" t="s">
        <v>11593</v>
      </c>
      <c r="B4953" s="10" t="s">
        <v>10064</v>
      </c>
      <c r="C4953" s="8" t="s">
        <v>9197</v>
      </c>
      <c r="D4953" s="8" t="s">
        <v>11594</v>
      </c>
      <c r="E4953" s="11" t="n">
        <v>468</v>
      </c>
      <c r="F4953" s="8" t="str">
        <f aca="false">IFERROR(INDEX(Section_Master!$D$2:$D$477,MATCH($E4953,Section_Master!$A$2:$A$477,0))&amp;"","")</f>
        <v>Not applicable - procedural provision (BNSS), no offence defined</v>
      </c>
      <c r="G4953" s="10" t="str">
        <f aca="false">IFERROR(INDEX(Section_Master!$E$2:$E$477,MATCH($E4953,Section_Master!$A$2:$A$477,0))&amp;"","")</f>
        <v>N/A</v>
      </c>
      <c r="H4953" s="10" t="str">
        <f aca="false">IFERROR(INDEX(Section_Master!$F$2:$F$477,MATCH($E4953,Section_Master!$A$2:$A$477,0))&amp;"","")</f>
        <v>N/A</v>
      </c>
      <c r="I4953" s="10" t="str">
        <f aca="false">IFERROR(INDEX(Section_Master!$G$2:$G$477,MATCH($E4953,Section_Master!$A$2:$A$477,0))&amp;"","")</f>
        <v>N/A</v>
      </c>
      <c r="J4953" s="10" t="s">
        <v>52</v>
      </c>
      <c r="K4953" s="8" t="s">
        <v>11592</v>
      </c>
    </row>
    <row r="4954" customFormat="false" ht="34.5" hidden="false" customHeight="true" outlineLevel="0" collapsed="false">
      <c r="A4954" s="10" t="s">
        <v>11595</v>
      </c>
      <c r="B4954" s="10" t="s">
        <v>10064</v>
      </c>
      <c r="C4954" s="8" t="s">
        <v>9197</v>
      </c>
      <c r="D4954" s="8" t="s">
        <v>11596</v>
      </c>
      <c r="E4954" s="11" t="n">
        <v>468</v>
      </c>
      <c r="F4954" s="8" t="str">
        <f aca="false">IFERROR(INDEX(Section_Master!$D$2:$D$477,MATCH($E4954,Section_Master!$A$2:$A$477,0))&amp;"","")</f>
        <v>Not applicable - procedural provision (BNSS), no offence defined</v>
      </c>
      <c r="G4954" s="10" t="str">
        <f aca="false">IFERROR(INDEX(Section_Master!$E$2:$E$477,MATCH($E4954,Section_Master!$A$2:$A$477,0))&amp;"","")</f>
        <v>N/A</v>
      </c>
      <c r="H4954" s="10" t="str">
        <f aca="false">IFERROR(INDEX(Section_Master!$F$2:$F$477,MATCH($E4954,Section_Master!$A$2:$A$477,0))&amp;"","")</f>
        <v>N/A</v>
      </c>
      <c r="I4954" s="10" t="str">
        <f aca="false">IFERROR(INDEX(Section_Master!$G$2:$G$477,MATCH($E4954,Section_Master!$A$2:$A$477,0))&amp;"","")</f>
        <v>N/A</v>
      </c>
      <c r="J4954" s="10" t="s">
        <v>55</v>
      </c>
      <c r="K4954" s="8" t="s">
        <v>11592</v>
      </c>
    </row>
    <row r="4955" customFormat="false" ht="34.5" hidden="false" customHeight="true" outlineLevel="0" collapsed="false">
      <c r="A4955" s="10" t="s">
        <v>11597</v>
      </c>
      <c r="B4955" s="10" t="s">
        <v>10064</v>
      </c>
      <c r="C4955" s="8" t="s">
        <v>9197</v>
      </c>
      <c r="D4955" s="8" t="s">
        <v>11598</v>
      </c>
      <c r="E4955" s="11" t="n">
        <v>468</v>
      </c>
      <c r="F4955" s="8" t="str">
        <f aca="false">IFERROR(INDEX(Section_Master!$D$2:$D$477,MATCH($E4955,Section_Master!$A$2:$A$477,0))&amp;"","")</f>
        <v>Not applicable - procedural provision (BNSS), no offence defined</v>
      </c>
      <c r="G4955" s="10" t="str">
        <f aca="false">IFERROR(INDEX(Section_Master!$E$2:$E$477,MATCH($E4955,Section_Master!$A$2:$A$477,0))&amp;"","")</f>
        <v>N/A</v>
      </c>
      <c r="H4955" s="10" t="str">
        <f aca="false">IFERROR(INDEX(Section_Master!$F$2:$F$477,MATCH($E4955,Section_Master!$A$2:$A$477,0))&amp;"","")</f>
        <v>N/A</v>
      </c>
      <c r="I4955" s="10" t="str">
        <f aca="false">IFERROR(INDEX(Section_Master!$G$2:$G$477,MATCH($E4955,Section_Master!$A$2:$A$477,0))&amp;"","")</f>
        <v>N/A</v>
      </c>
      <c r="J4955" s="10" t="s">
        <v>58</v>
      </c>
      <c r="K4955" s="8" t="s">
        <v>11592</v>
      </c>
    </row>
    <row r="4956" customFormat="false" ht="34.5" hidden="false" customHeight="true" outlineLevel="0" collapsed="false">
      <c r="A4956" s="10" t="s">
        <v>11599</v>
      </c>
      <c r="B4956" s="10" t="s">
        <v>10064</v>
      </c>
      <c r="C4956" s="8" t="s">
        <v>9197</v>
      </c>
      <c r="D4956" s="8" t="s">
        <v>11600</v>
      </c>
      <c r="E4956" s="11" t="n">
        <v>468</v>
      </c>
      <c r="F4956" s="8" t="str">
        <f aca="false">IFERROR(INDEX(Section_Master!$D$2:$D$477,MATCH($E4956,Section_Master!$A$2:$A$477,0))&amp;"","")</f>
        <v>Not applicable - procedural provision (BNSS), no offence defined</v>
      </c>
      <c r="G4956" s="10" t="str">
        <f aca="false">IFERROR(INDEX(Section_Master!$E$2:$E$477,MATCH($E4956,Section_Master!$A$2:$A$477,0))&amp;"","")</f>
        <v>N/A</v>
      </c>
      <c r="H4956" s="10" t="str">
        <f aca="false">IFERROR(INDEX(Section_Master!$F$2:$F$477,MATCH($E4956,Section_Master!$A$2:$A$477,0))&amp;"","")</f>
        <v>N/A</v>
      </c>
      <c r="I4956" s="10" t="str">
        <f aca="false">IFERROR(INDEX(Section_Master!$G$2:$G$477,MATCH($E4956,Section_Master!$A$2:$A$477,0))&amp;"","")</f>
        <v>N/A</v>
      </c>
      <c r="J4956" s="10" t="s">
        <v>61</v>
      </c>
      <c r="K4956" s="8" t="s">
        <v>11592</v>
      </c>
    </row>
    <row r="4957" customFormat="false" ht="45.75" hidden="false" customHeight="true" outlineLevel="0" collapsed="false">
      <c r="A4957" s="10" t="s">
        <v>11601</v>
      </c>
      <c r="B4957" s="10" t="s">
        <v>10064</v>
      </c>
      <c r="C4957" s="8" t="s">
        <v>9197</v>
      </c>
      <c r="D4957" s="8" t="s">
        <v>11602</v>
      </c>
      <c r="E4957" s="11" t="n">
        <v>468</v>
      </c>
      <c r="F4957" s="8" t="str">
        <f aca="false">IFERROR(INDEX(Section_Master!$D$2:$D$477,MATCH($E4957,Section_Master!$A$2:$A$477,0))&amp;"","")</f>
        <v>Not applicable - procedural provision (BNSS), no offence defined</v>
      </c>
      <c r="G4957" s="10" t="str">
        <f aca="false">IFERROR(INDEX(Section_Master!$E$2:$E$477,MATCH($E4957,Section_Master!$A$2:$A$477,0))&amp;"","")</f>
        <v>N/A</v>
      </c>
      <c r="H4957" s="10" t="str">
        <f aca="false">IFERROR(INDEX(Section_Master!$F$2:$F$477,MATCH($E4957,Section_Master!$A$2:$A$477,0))&amp;"","")</f>
        <v>N/A</v>
      </c>
      <c r="I4957" s="10" t="str">
        <f aca="false">IFERROR(INDEX(Section_Master!$G$2:$G$477,MATCH($E4957,Section_Master!$A$2:$A$477,0))&amp;"","")</f>
        <v>N/A</v>
      </c>
      <c r="J4957" s="10" t="s">
        <v>64</v>
      </c>
      <c r="K4957" s="8" t="s">
        <v>11592</v>
      </c>
    </row>
    <row r="4958" customFormat="false" ht="34.5" hidden="false" customHeight="true" outlineLevel="0" collapsed="false">
      <c r="A4958" s="10" t="s">
        <v>11603</v>
      </c>
      <c r="B4958" s="10" t="s">
        <v>10064</v>
      </c>
      <c r="C4958" s="8" t="s">
        <v>5118</v>
      </c>
      <c r="D4958" s="8" t="s">
        <v>11604</v>
      </c>
      <c r="E4958" s="11" t="n">
        <v>469</v>
      </c>
      <c r="F4958" s="8" t="str">
        <f aca="false">IFERROR(INDEX(Section_Master!$D$2:$D$477,MATCH($E4958,Section_Master!$A$2:$A$477,0))&amp;"","")</f>
        <v>Not applicable - procedural provision (BNSS), no offence defined</v>
      </c>
      <c r="G4958" s="10" t="str">
        <f aca="false">IFERROR(INDEX(Section_Master!$E$2:$E$477,MATCH($E4958,Section_Master!$A$2:$A$477,0))&amp;"","")</f>
        <v>N/A</v>
      </c>
      <c r="H4958" s="10" t="str">
        <f aca="false">IFERROR(INDEX(Section_Master!$F$2:$F$477,MATCH($E4958,Section_Master!$A$2:$A$477,0))&amp;"","")</f>
        <v>N/A</v>
      </c>
      <c r="I4958" s="10" t="str">
        <f aca="false">IFERROR(INDEX(Section_Master!$G$2:$G$477,MATCH($E4958,Section_Master!$A$2:$A$477,0))&amp;"","")</f>
        <v>N/A</v>
      </c>
      <c r="J4958" s="10" t="s">
        <v>48</v>
      </c>
      <c r="K4958" s="8" t="s">
        <v>11605</v>
      </c>
    </row>
    <row r="4959" customFormat="false" ht="45.75" hidden="false" customHeight="true" outlineLevel="0" collapsed="false">
      <c r="A4959" s="10" t="s">
        <v>11606</v>
      </c>
      <c r="B4959" s="10" t="s">
        <v>10064</v>
      </c>
      <c r="C4959" s="8" t="s">
        <v>5118</v>
      </c>
      <c r="D4959" s="8" t="s">
        <v>11607</v>
      </c>
      <c r="E4959" s="11" t="n">
        <v>469</v>
      </c>
      <c r="F4959" s="8" t="str">
        <f aca="false">IFERROR(INDEX(Section_Master!$D$2:$D$477,MATCH($E4959,Section_Master!$A$2:$A$477,0))&amp;"","")</f>
        <v>Not applicable - procedural provision (BNSS), no offence defined</v>
      </c>
      <c r="G4959" s="10" t="str">
        <f aca="false">IFERROR(INDEX(Section_Master!$E$2:$E$477,MATCH($E4959,Section_Master!$A$2:$A$477,0))&amp;"","")</f>
        <v>N/A</v>
      </c>
      <c r="H4959" s="10" t="str">
        <f aca="false">IFERROR(INDEX(Section_Master!$F$2:$F$477,MATCH($E4959,Section_Master!$A$2:$A$477,0))&amp;"","")</f>
        <v>N/A</v>
      </c>
      <c r="I4959" s="10" t="str">
        <f aca="false">IFERROR(INDEX(Section_Master!$G$2:$G$477,MATCH($E4959,Section_Master!$A$2:$A$477,0))&amp;"","")</f>
        <v>N/A</v>
      </c>
      <c r="J4959" s="10" t="s">
        <v>52</v>
      </c>
      <c r="K4959" s="8" t="s">
        <v>11605</v>
      </c>
    </row>
    <row r="4960" customFormat="false" ht="45.75" hidden="false" customHeight="true" outlineLevel="0" collapsed="false">
      <c r="A4960" s="10" t="s">
        <v>11608</v>
      </c>
      <c r="B4960" s="10" t="s">
        <v>10064</v>
      </c>
      <c r="C4960" s="8" t="s">
        <v>5118</v>
      </c>
      <c r="D4960" s="8" t="s">
        <v>11609</v>
      </c>
      <c r="E4960" s="11" t="n">
        <v>469</v>
      </c>
      <c r="F4960" s="8" t="str">
        <f aca="false">IFERROR(INDEX(Section_Master!$D$2:$D$477,MATCH($E4960,Section_Master!$A$2:$A$477,0))&amp;"","")</f>
        <v>Not applicable - procedural provision (BNSS), no offence defined</v>
      </c>
      <c r="G4960" s="10" t="str">
        <f aca="false">IFERROR(INDEX(Section_Master!$E$2:$E$477,MATCH($E4960,Section_Master!$A$2:$A$477,0))&amp;"","")</f>
        <v>N/A</v>
      </c>
      <c r="H4960" s="10" t="str">
        <f aca="false">IFERROR(INDEX(Section_Master!$F$2:$F$477,MATCH($E4960,Section_Master!$A$2:$A$477,0))&amp;"","")</f>
        <v>N/A</v>
      </c>
      <c r="I4960" s="10" t="str">
        <f aca="false">IFERROR(INDEX(Section_Master!$G$2:$G$477,MATCH($E4960,Section_Master!$A$2:$A$477,0))&amp;"","")</f>
        <v>N/A</v>
      </c>
      <c r="J4960" s="10" t="s">
        <v>55</v>
      </c>
      <c r="K4960" s="8" t="s">
        <v>11605</v>
      </c>
    </row>
    <row r="4961" customFormat="false" ht="23.25" hidden="false" customHeight="true" outlineLevel="0" collapsed="false">
      <c r="A4961" s="10" t="s">
        <v>11610</v>
      </c>
      <c r="B4961" s="10" t="s">
        <v>10064</v>
      </c>
      <c r="C4961" s="8" t="s">
        <v>5118</v>
      </c>
      <c r="D4961" s="8" t="s">
        <v>11611</v>
      </c>
      <c r="E4961" s="11" t="n">
        <v>469</v>
      </c>
      <c r="F4961" s="8" t="str">
        <f aca="false">IFERROR(INDEX(Section_Master!$D$2:$D$477,MATCH($E4961,Section_Master!$A$2:$A$477,0))&amp;"","")</f>
        <v>Not applicable - procedural provision (BNSS), no offence defined</v>
      </c>
      <c r="G4961" s="10" t="str">
        <f aca="false">IFERROR(INDEX(Section_Master!$E$2:$E$477,MATCH($E4961,Section_Master!$A$2:$A$477,0))&amp;"","")</f>
        <v>N/A</v>
      </c>
      <c r="H4961" s="10" t="str">
        <f aca="false">IFERROR(INDEX(Section_Master!$F$2:$F$477,MATCH($E4961,Section_Master!$A$2:$A$477,0))&amp;"","")</f>
        <v>N/A</v>
      </c>
      <c r="I4961" s="10" t="str">
        <f aca="false">IFERROR(INDEX(Section_Master!$G$2:$G$477,MATCH($E4961,Section_Master!$A$2:$A$477,0))&amp;"","")</f>
        <v>N/A</v>
      </c>
      <c r="J4961" s="10" t="s">
        <v>58</v>
      </c>
      <c r="K4961" s="8" t="s">
        <v>11605</v>
      </c>
    </row>
    <row r="4962" customFormat="false" ht="34.5" hidden="false" customHeight="true" outlineLevel="0" collapsed="false">
      <c r="A4962" s="10" t="s">
        <v>11612</v>
      </c>
      <c r="B4962" s="10" t="s">
        <v>10064</v>
      </c>
      <c r="C4962" s="8" t="s">
        <v>5118</v>
      </c>
      <c r="D4962" s="8" t="s">
        <v>11613</v>
      </c>
      <c r="E4962" s="11" t="n">
        <v>469</v>
      </c>
      <c r="F4962" s="8" t="str">
        <f aca="false">IFERROR(INDEX(Section_Master!$D$2:$D$477,MATCH($E4962,Section_Master!$A$2:$A$477,0))&amp;"","")</f>
        <v>Not applicable - procedural provision (BNSS), no offence defined</v>
      </c>
      <c r="G4962" s="10" t="str">
        <f aca="false">IFERROR(INDEX(Section_Master!$E$2:$E$477,MATCH($E4962,Section_Master!$A$2:$A$477,0))&amp;"","")</f>
        <v>N/A</v>
      </c>
      <c r="H4962" s="10" t="str">
        <f aca="false">IFERROR(INDEX(Section_Master!$F$2:$F$477,MATCH($E4962,Section_Master!$A$2:$A$477,0))&amp;"","")</f>
        <v>N/A</v>
      </c>
      <c r="I4962" s="10" t="str">
        <f aca="false">IFERROR(INDEX(Section_Master!$G$2:$G$477,MATCH($E4962,Section_Master!$A$2:$A$477,0))&amp;"","")</f>
        <v>N/A</v>
      </c>
      <c r="J4962" s="10" t="s">
        <v>61</v>
      </c>
      <c r="K4962" s="8" t="s">
        <v>11605</v>
      </c>
    </row>
    <row r="4963" customFormat="false" ht="57" hidden="false" customHeight="true" outlineLevel="0" collapsed="false">
      <c r="A4963" s="10" t="s">
        <v>11614</v>
      </c>
      <c r="B4963" s="10" t="s">
        <v>10064</v>
      </c>
      <c r="C4963" s="8" t="s">
        <v>5118</v>
      </c>
      <c r="D4963" s="8" t="s">
        <v>11615</v>
      </c>
      <c r="E4963" s="11" t="n">
        <v>469</v>
      </c>
      <c r="F4963" s="8" t="str">
        <f aca="false">IFERROR(INDEX(Section_Master!$D$2:$D$477,MATCH($E4963,Section_Master!$A$2:$A$477,0))&amp;"","")</f>
        <v>Not applicable - procedural provision (BNSS), no offence defined</v>
      </c>
      <c r="G4963" s="10" t="str">
        <f aca="false">IFERROR(INDEX(Section_Master!$E$2:$E$477,MATCH($E4963,Section_Master!$A$2:$A$477,0))&amp;"","")</f>
        <v>N/A</v>
      </c>
      <c r="H4963" s="10" t="str">
        <f aca="false">IFERROR(INDEX(Section_Master!$F$2:$F$477,MATCH($E4963,Section_Master!$A$2:$A$477,0))&amp;"","")</f>
        <v>N/A</v>
      </c>
      <c r="I4963" s="10" t="str">
        <f aca="false">IFERROR(INDEX(Section_Master!$G$2:$G$477,MATCH($E4963,Section_Master!$A$2:$A$477,0))&amp;"","")</f>
        <v>N/A</v>
      </c>
      <c r="J4963" s="10" t="s">
        <v>64</v>
      </c>
      <c r="K4963" s="8" t="s">
        <v>11605</v>
      </c>
    </row>
    <row r="4964" customFormat="false" ht="34.5" hidden="false" customHeight="true" outlineLevel="0" collapsed="false">
      <c r="A4964" s="10" t="s">
        <v>11616</v>
      </c>
      <c r="B4964" s="10" t="s">
        <v>10064</v>
      </c>
      <c r="C4964" s="8" t="s">
        <v>11617</v>
      </c>
      <c r="D4964" s="8" t="s">
        <v>11618</v>
      </c>
      <c r="E4964" s="11" t="n">
        <v>470</v>
      </c>
      <c r="F4964" s="8" t="str">
        <f aca="false">IFERROR(INDEX(Section_Master!$D$2:$D$477,MATCH($E4964,Section_Master!$A$2:$A$477,0))&amp;"","")</f>
        <v>Not applicable - procedural provision (BNSS), no offence defined</v>
      </c>
      <c r="G4964" s="10" t="str">
        <f aca="false">IFERROR(INDEX(Section_Master!$E$2:$E$477,MATCH($E4964,Section_Master!$A$2:$A$477,0))&amp;"","")</f>
        <v>N/A</v>
      </c>
      <c r="H4964" s="10" t="str">
        <f aca="false">IFERROR(INDEX(Section_Master!$F$2:$F$477,MATCH($E4964,Section_Master!$A$2:$A$477,0))&amp;"","")</f>
        <v>N/A</v>
      </c>
      <c r="I4964" s="10" t="str">
        <f aca="false">IFERROR(INDEX(Section_Master!$G$2:$G$477,MATCH($E4964,Section_Master!$A$2:$A$477,0))&amp;"","")</f>
        <v>N/A</v>
      </c>
      <c r="J4964" s="10" t="s">
        <v>48</v>
      </c>
      <c r="K4964" s="8" t="s">
        <v>11619</v>
      </c>
    </row>
    <row r="4965" customFormat="false" ht="34.5" hidden="false" customHeight="true" outlineLevel="0" collapsed="false">
      <c r="A4965" s="10" t="s">
        <v>11620</v>
      </c>
      <c r="B4965" s="10" t="s">
        <v>10064</v>
      </c>
      <c r="C4965" s="8" t="s">
        <v>11617</v>
      </c>
      <c r="D4965" s="8" t="s">
        <v>11621</v>
      </c>
      <c r="E4965" s="11" t="n">
        <v>470</v>
      </c>
      <c r="F4965" s="8" t="str">
        <f aca="false">IFERROR(INDEX(Section_Master!$D$2:$D$477,MATCH($E4965,Section_Master!$A$2:$A$477,0))&amp;"","")</f>
        <v>Not applicable - procedural provision (BNSS), no offence defined</v>
      </c>
      <c r="G4965" s="10" t="str">
        <f aca="false">IFERROR(INDEX(Section_Master!$E$2:$E$477,MATCH($E4965,Section_Master!$A$2:$A$477,0))&amp;"","")</f>
        <v>N/A</v>
      </c>
      <c r="H4965" s="10" t="str">
        <f aca="false">IFERROR(INDEX(Section_Master!$F$2:$F$477,MATCH($E4965,Section_Master!$A$2:$A$477,0))&amp;"","")</f>
        <v>N/A</v>
      </c>
      <c r="I4965" s="10" t="str">
        <f aca="false">IFERROR(INDEX(Section_Master!$G$2:$G$477,MATCH($E4965,Section_Master!$A$2:$A$477,0))&amp;"","")</f>
        <v>N/A</v>
      </c>
      <c r="J4965" s="10" t="s">
        <v>52</v>
      </c>
      <c r="K4965" s="8" t="s">
        <v>11619</v>
      </c>
    </row>
    <row r="4966" customFormat="false" ht="34.5" hidden="false" customHeight="true" outlineLevel="0" collapsed="false">
      <c r="A4966" s="10" t="s">
        <v>11622</v>
      </c>
      <c r="B4966" s="10" t="s">
        <v>10064</v>
      </c>
      <c r="C4966" s="8" t="s">
        <v>11617</v>
      </c>
      <c r="D4966" s="8" t="s">
        <v>11623</v>
      </c>
      <c r="E4966" s="11" t="n">
        <v>470</v>
      </c>
      <c r="F4966" s="8" t="str">
        <f aca="false">IFERROR(INDEX(Section_Master!$D$2:$D$477,MATCH($E4966,Section_Master!$A$2:$A$477,0))&amp;"","")</f>
        <v>Not applicable - procedural provision (BNSS), no offence defined</v>
      </c>
      <c r="G4966" s="10" t="str">
        <f aca="false">IFERROR(INDEX(Section_Master!$E$2:$E$477,MATCH($E4966,Section_Master!$A$2:$A$477,0))&amp;"","")</f>
        <v>N/A</v>
      </c>
      <c r="H4966" s="10" t="str">
        <f aca="false">IFERROR(INDEX(Section_Master!$F$2:$F$477,MATCH($E4966,Section_Master!$A$2:$A$477,0))&amp;"","")</f>
        <v>N/A</v>
      </c>
      <c r="I4966" s="10" t="str">
        <f aca="false">IFERROR(INDEX(Section_Master!$G$2:$G$477,MATCH($E4966,Section_Master!$A$2:$A$477,0))&amp;"","")</f>
        <v>N/A</v>
      </c>
      <c r="J4966" s="10" t="s">
        <v>55</v>
      </c>
      <c r="K4966" s="8" t="s">
        <v>11619</v>
      </c>
    </row>
    <row r="4967" customFormat="false" ht="23.25" hidden="false" customHeight="true" outlineLevel="0" collapsed="false">
      <c r="A4967" s="10" t="s">
        <v>11624</v>
      </c>
      <c r="B4967" s="10" t="s">
        <v>10064</v>
      </c>
      <c r="C4967" s="8" t="s">
        <v>11617</v>
      </c>
      <c r="D4967" s="8" t="s">
        <v>11625</v>
      </c>
      <c r="E4967" s="11" t="n">
        <v>470</v>
      </c>
      <c r="F4967" s="8" t="str">
        <f aca="false">IFERROR(INDEX(Section_Master!$D$2:$D$477,MATCH($E4967,Section_Master!$A$2:$A$477,0))&amp;"","")</f>
        <v>Not applicable - procedural provision (BNSS), no offence defined</v>
      </c>
      <c r="G4967" s="10" t="str">
        <f aca="false">IFERROR(INDEX(Section_Master!$E$2:$E$477,MATCH($E4967,Section_Master!$A$2:$A$477,0))&amp;"","")</f>
        <v>N/A</v>
      </c>
      <c r="H4967" s="10" t="str">
        <f aca="false">IFERROR(INDEX(Section_Master!$F$2:$F$477,MATCH($E4967,Section_Master!$A$2:$A$477,0))&amp;"","")</f>
        <v>N/A</v>
      </c>
      <c r="I4967" s="10" t="str">
        <f aca="false">IFERROR(INDEX(Section_Master!$G$2:$G$477,MATCH($E4967,Section_Master!$A$2:$A$477,0))&amp;"","")</f>
        <v>N/A</v>
      </c>
      <c r="J4967" s="10" t="s">
        <v>58</v>
      </c>
      <c r="K4967" s="8" t="s">
        <v>11619</v>
      </c>
    </row>
    <row r="4968" customFormat="false" ht="23.25" hidden="false" customHeight="true" outlineLevel="0" collapsed="false">
      <c r="A4968" s="10" t="s">
        <v>11626</v>
      </c>
      <c r="B4968" s="10" t="s">
        <v>10064</v>
      </c>
      <c r="C4968" s="8" t="s">
        <v>11617</v>
      </c>
      <c r="D4968" s="8" t="s">
        <v>11627</v>
      </c>
      <c r="E4968" s="11" t="n">
        <v>470</v>
      </c>
      <c r="F4968" s="8" t="str">
        <f aca="false">IFERROR(INDEX(Section_Master!$D$2:$D$477,MATCH($E4968,Section_Master!$A$2:$A$477,0))&amp;"","")</f>
        <v>Not applicable - procedural provision (BNSS), no offence defined</v>
      </c>
      <c r="G4968" s="10" t="str">
        <f aca="false">IFERROR(INDEX(Section_Master!$E$2:$E$477,MATCH($E4968,Section_Master!$A$2:$A$477,0))&amp;"","")</f>
        <v>N/A</v>
      </c>
      <c r="H4968" s="10" t="str">
        <f aca="false">IFERROR(INDEX(Section_Master!$F$2:$F$477,MATCH($E4968,Section_Master!$A$2:$A$477,0))&amp;"","")</f>
        <v>N/A</v>
      </c>
      <c r="I4968" s="10" t="str">
        <f aca="false">IFERROR(INDEX(Section_Master!$G$2:$G$477,MATCH($E4968,Section_Master!$A$2:$A$477,0))&amp;"","")</f>
        <v>N/A</v>
      </c>
      <c r="J4968" s="10" t="s">
        <v>61</v>
      </c>
      <c r="K4968" s="8" t="s">
        <v>11619</v>
      </c>
    </row>
    <row r="4969" customFormat="false" ht="45.75" hidden="false" customHeight="true" outlineLevel="0" collapsed="false">
      <c r="A4969" s="10" t="s">
        <v>11628</v>
      </c>
      <c r="B4969" s="10" t="s">
        <v>10064</v>
      </c>
      <c r="C4969" s="8" t="s">
        <v>11617</v>
      </c>
      <c r="D4969" s="8" t="s">
        <v>11629</v>
      </c>
      <c r="E4969" s="11" t="n">
        <v>470</v>
      </c>
      <c r="F4969" s="8" t="str">
        <f aca="false">IFERROR(INDEX(Section_Master!$D$2:$D$477,MATCH($E4969,Section_Master!$A$2:$A$477,0))&amp;"","")</f>
        <v>Not applicable - procedural provision (BNSS), no offence defined</v>
      </c>
      <c r="G4969" s="10" t="str">
        <f aca="false">IFERROR(INDEX(Section_Master!$E$2:$E$477,MATCH($E4969,Section_Master!$A$2:$A$477,0))&amp;"","")</f>
        <v>N/A</v>
      </c>
      <c r="H4969" s="10" t="str">
        <f aca="false">IFERROR(INDEX(Section_Master!$F$2:$F$477,MATCH($E4969,Section_Master!$A$2:$A$477,0))&amp;"","")</f>
        <v>N/A</v>
      </c>
      <c r="I4969" s="10" t="str">
        <f aca="false">IFERROR(INDEX(Section_Master!$G$2:$G$477,MATCH($E4969,Section_Master!$A$2:$A$477,0))&amp;"","")</f>
        <v>N/A</v>
      </c>
      <c r="J4969" s="10" t="s">
        <v>64</v>
      </c>
      <c r="K4969" s="8" t="s">
        <v>11619</v>
      </c>
    </row>
    <row r="4970" customFormat="false" ht="34.5" hidden="false" customHeight="true" outlineLevel="0" collapsed="false">
      <c r="A4970" s="10" t="s">
        <v>11630</v>
      </c>
      <c r="B4970" s="10" t="s">
        <v>10064</v>
      </c>
      <c r="C4970" s="8" t="s">
        <v>11631</v>
      </c>
      <c r="D4970" s="8" t="s">
        <v>11632</v>
      </c>
      <c r="E4970" s="11" t="n">
        <v>471</v>
      </c>
      <c r="F4970" s="8" t="str">
        <f aca="false">IFERROR(INDEX(Section_Master!$D$2:$D$477,MATCH($E4970,Section_Master!$A$2:$A$477,0))&amp;"","")</f>
        <v>Not applicable - procedural provision (BNSS), no offence defined</v>
      </c>
      <c r="G4970" s="10" t="str">
        <f aca="false">IFERROR(INDEX(Section_Master!$E$2:$E$477,MATCH($E4970,Section_Master!$A$2:$A$477,0))&amp;"","")</f>
        <v>N/A</v>
      </c>
      <c r="H4970" s="10" t="str">
        <f aca="false">IFERROR(INDEX(Section_Master!$F$2:$F$477,MATCH($E4970,Section_Master!$A$2:$A$477,0))&amp;"","")</f>
        <v>N/A</v>
      </c>
      <c r="I4970" s="10" t="str">
        <f aca="false">IFERROR(INDEX(Section_Master!$G$2:$G$477,MATCH($E4970,Section_Master!$A$2:$A$477,0))&amp;"","")</f>
        <v>N/A</v>
      </c>
      <c r="J4970" s="10" t="s">
        <v>48</v>
      </c>
      <c r="K4970" s="8" t="s">
        <v>11633</v>
      </c>
    </row>
    <row r="4971" customFormat="false" ht="57" hidden="false" customHeight="true" outlineLevel="0" collapsed="false">
      <c r="A4971" s="10" t="s">
        <v>11634</v>
      </c>
      <c r="B4971" s="10" t="s">
        <v>10064</v>
      </c>
      <c r="C4971" s="8" t="s">
        <v>11631</v>
      </c>
      <c r="D4971" s="8" t="s">
        <v>11635</v>
      </c>
      <c r="E4971" s="11" t="n">
        <v>471</v>
      </c>
      <c r="F4971" s="8" t="str">
        <f aca="false">IFERROR(INDEX(Section_Master!$D$2:$D$477,MATCH($E4971,Section_Master!$A$2:$A$477,0))&amp;"","")</f>
        <v>Not applicable - procedural provision (BNSS), no offence defined</v>
      </c>
      <c r="G4971" s="10" t="str">
        <f aca="false">IFERROR(INDEX(Section_Master!$E$2:$E$477,MATCH($E4971,Section_Master!$A$2:$A$477,0))&amp;"","")</f>
        <v>N/A</v>
      </c>
      <c r="H4971" s="10" t="str">
        <f aca="false">IFERROR(INDEX(Section_Master!$F$2:$F$477,MATCH($E4971,Section_Master!$A$2:$A$477,0))&amp;"","")</f>
        <v>N/A</v>
      </c>
      <c r="I4971" s="10" t="str">
        <f aca="false">IFERROR(INDEX(Section_Master!$G$2:$G$477,MATCH($E4971,Section_Master!$A$2:$A$477,0))&amp;"","")</f>
        <v>N/A</v>
      </c>
      <c r="J4971" s="10" t="s">
        <v>52</v>
      </c>
      <c r="K4971" s="8" t="s">
        <v>11633</v>
      </c>
    </row>
    <row r="4972" customFormat="false" ht="23.25" hidden="false" customHeight="true" outlineLevel="0" collapsed="false">
      <c r="A4972" s="10" t="s">
        <v>11636</v>
      </c>
      <c r="B4972" s="10" t="s">
        <v>10064</v>
      </c>
      <c r="C4972" s="8" t="s">
        <v>11631</v>
      </c>
      <c r="D4972" s="8" t="s">
        <v>11637</v>
      </c>
      <c r="E4972" s="11" t="n">
        <v>471</v>
      </c>
      <c r="F4972" s="8" t="str">
        <f aca="false">IFERROR(INDEX(Section_Master!$D$2:$D$477,MATCH($E4972,Section_Master!$A$2:$A$477,0))&amp;"","")</f>
        <v>Not applicable - procedural provision (BNSS), no offence defined</v>
      </c>
      <c r="G4972" s="10" t="str">
        <f aca="false">IFERROR(INDEX(Section_Master!$E$2:$E$477,MATCH($E4972,Section_Master!$A$2:$A$477,0))&amp;"","")</f>
        <v>N/A</v>
      </c>
      <c r="H4972" s="10" t="str">
        <f aca="false">IFERROR(INDEX(Section_Master!$F$2:$F$477,MATCH($E4972,Section_Master!$A$2:$A$477,0))&amp;"","")</f>
        <v>N/A</v>
      </c>
      <c r="I4972" s="10" t="str">
        <f aca="false">IFERROR(INDEX(Section_Master!$G$2:$G$477,MATCH($E4972,Section_Master!$A$2:$A$477,0))&amp;"","")</f>
        <v>N/A</v>
      </c>
      <c r="J4972" s="10" t="s">
        <v>55</v>
      </c>
      <c r="K4972" s="8" t="s">
        <v>11633</v>
      </c>
    </row>
    <row r="4973" customFormat="false" ht="34.5" hidden="false" customHeight="true" outlineLevel="0" collapsed="false">
      <c r="A4973" s="10" t="s">
        <v>11638</v>
      </c>
      <c r="B4973" s="10" t="s">
        <v>10064</v>
      </c>
      <c r="C4973" s="8" t="s">
        <v>11631</v>
      </c>
      <c r="D4973" s="8" t="s">
        <v>11639</v>
      </c>
      <c r="E4973" s="11" t="n">
        <v>471</v>
      </c>
      <c r="F4973" s="8" t="str">
        <f aca="false">IFERROR(INDEX(Section_Master!$D$2:$D$477,MATCH($E4973,Section_Master!$A$2:$A$477,0))&amp;"","")</f>
        <v>Not applicable - procedural provision (BNSS), no offence defined</v>
      </c>
      <c r="G4973" s="10" t="str">
        <f aca="false">IFERROR(INDEX(Section_Master!$E$2:$E$477,MATCH($E4973,Section_Master!$A$2:$A$477,0))&amp;"","")</f>
        <v>N/A</v>
      </c>
      <c r="H4973" s="10" t="str">
        <f aca="false">IFERROR(INDEX(Section_Master!$F$2:$F$477,MATCH($E4973,Section_Master!$A$2:$A$477,0))&amp;"","")</f>
        <v>N/A</v>
      </c>
      <c r="I4973" s="10" t="str">
        <f aca="false">IFERROR(INDEX(Section_Master!$G$2:$G$477,MATCH($E4973,Section_Master!$A$2:$A$477,0))&amp;"","")</f>
        <v>N/A</v>
      </c>
      <c r="J4973" s="10" t="s">
        <v>58</v>
      </c>
      <c r="K4973" s="8" t="s">
        <v>11633</v>
      </c>
    </row>
    <row r="4974" customFormat="false" ht="34.5" hidden="false" customHeight="true" outlineLevel="0" collapsed="false">
      <c r="A4974" s="10" t="s">
        <v>11640</v>
      </c>
      <c r="B4974" s="10" t="s">
        <v>10064</v>
      </c>
      <c r="C4974" s="8" t="s">
        <v>11631</v>
      </c>
      <c r="D4974" s="8" t="s">
        <v>11641</v>
      </c>
      <c r="E4974" s="11" t="n">
        <v>471</v>
      </c>
      <c r="F4974" s="8" t="str">
        <f aca="false">IFERROR(INDEX(Section_Master!$D$2:$D$477,MATCH($E4974,Section_Master!$A$2:$A$477,0))&amp;"","")</f>
        <v>Not applicable - procedural provision (BNSS), no offence defined</v>
      </c>
      <c r="G4974" s="10" t="str">
        <f aca="false">IFERROR(INDEX(Section_Master!$E$2:$E$477,MATCH($E4974,Section_Master!$A$2:$A$477,0))&amp;"","")</f>
        <v>N/A</v>
      </c>
      <c r="H4974" s="10" t="str">
        <f aca="false">IFERROR(INDEX(Section_Master!$F$2:$F$477,MATCH($E4974,Section_Master!$A$2:$A$477,0))&amp;"","")</f>
        <v>N/A</v>
      </c>
      <c r="I4974" s="10" t="str">
        <f aca="false">IFERROR(INDEX(Section_Master!$G$2:$G$477,MATCH($E4974,Section_Master!$A$2:$A$477,0))&amp;"","")</f>
        <v>N/A</v>
      </c>
      <c r="J4974" s="10" t="s">
        <v>61</v>
      </c>
      <c r="K4974" s="8" t="s">
        <v>11633</v>
      </c>
    </row>
    <row r="4975" customFormat="false" ht="45.75" hidden="false" customHeight="true" outlineLevel="0" collapsed="false">
      <c r="A4975" s="10" t="s">
        <v>11642</v>
      </c>
      <c r="B4975" s="10" t="s">
        <v>10064</v>
      </c>
      <c r="C4975" s="8" t="s">
        <v>11631</v>
      </c>
      <c r="D4975" s="8" t="s">
        <v>11643</v>
      </c>
      <c r="E4975" s="11" t="n">
        <v>471</v>
      </c>
      <c r="F4975" s="8" t="str">
        <f aca="false">IFERROR(INDEX(Section_Master!$D$2:$D$477,MATCH($E4975,Section_Master!$A$2:$A$477,0))&amp;"","")</f>
        <v>Not applicable - procedural provision (BNSS), no offence defined</v>
      </c>
      <c r="G4975" s="10" t="str">
        <f aca="false">IFERROR(INDEX(Section_Master!$E$2:$E$477,MATCH($E4975,Section_Master!$A$2:$A$477,0))&amp;"","")</f>
        <v>N/A</v>
      </c>
      <c r="H4975" s="10" t="str">
        <f aca="false">IFERROR(INDEX(Section_Master!$F$2:$F$477,MATCH($E4975,Section_Master!$A$2:$A$477,0))&amp;"","")</f>
        <v>N/A</v>
      </c>
      <c r="I4975" s="10" t="str">
        <f aca="false">IFERROR(INDEX(Section_Master!$G$2:$G$477,MATCH($E4975,Section_Master!$A$2:$A$477,0))&amp;"","")</f>
        <v>N/A</v>
      </c>
      <c r="J4975" s="10" t="s">
        <v>64</v>
      </c>
      <c r="K4975" s="8" t="s">
        <v>11633</v>
      </c>
    </row>
    <row r="4976" customFormat="false" ht="34.5" hidden="false" customHeight="true" outlineLevel="0" collapsed="false">
      <c r="A4976" s="10" t="s">
        <v>11644</v>
      </c>
      <c r="B4976" s="10" t="s">
        <v>10064</v>
      </c>
      <c r="C4976" s="8" t="s">
        <v>11645</v>
      </c>
      <c r="D4976" s="8" t="s">
        <v>11646</v>
      </c>
      <c r="E4976" s="11" t="n">
        <v>472</v>
      </c>
      <c r="F4976" s="8" t="str">
        <f aca="false">IFERROR(INDEX(Section_Master!$D$2:$D$477,MATCH($E4976,Section_Master!$A$2:$A$477,0))&amp;"","")</f>
        <v>Not applicable - procedural provision (BNSS), no offence defined</v>
      </c>
      <c r="G4976" s="10" t="str">
        <f aca="false">IFERROR(INDEX(Section_Master!$E$2:$E$477,MATCH($E4976,Section_Master!$A$2:$A$477,0))&amp;"","")</f>
        <v>N/A</v>
      </c>
      <c r="H4976" s="10" t="str">
        <f aca="false">IFERROR(INDEX(Section_Master!$F$2:$F$477,MATCH($E4976,Section_Master!$A$2:$A$477,0))&amp;"","")</f>
        <v>N/A</v>
      </c>
      <c r="I4976" s="10" t="str">
        <f aca="false">IFERROR(INDEX(Section_Master!$G$2:$G$477,MATCH($E4976,Section_Master!$A$2:$A$477,0))&amp;"","")</f>
        <v>N/A</v>
      </c>
      <c r="J4976" s="10" t="s">
        <v>48</v>
      </c>
      <c r="K4976" s="8" t="s">
        <v>11647</v>
      </c>
    </row>
    <row r="4977" customFormat="false" ht="57" hidden="false" customHeight="true" outlineLevel="0" collapsed="false">
      <c r="A4977" s="10" t="s">
        <v>11648</v>
      </c>
      <c r="B4977" s="10" t="s">
        <v>10064</v>
      </c>
      <c r="C4977" s="8" t="s">
        <v>11645</v>
      </c>
      <c r="D4977" s="8" t="s">
        <v>11649</v>
      </c>
      <c r="E4977" s="11" t="n">
        <v>472</v>
      </c>
      <c r="F4977" s="8" t="str">
        <f aca="false">IFERROR(INDEX(Section_Master!$D$2:$D$477,MATCH($E4977,Section_Master!$A$2:$A$477,0))&amp;"","")</f>
        <v>Not applicable - procedural provision (BNSS), no offence defined</v>
      </c>
      <c r="G4977" s="10" t="str">
        <f aca="false">IFERROR(INDEX(Section_Master!$E$2:$E$477,MATCH($E4977,Section_Master!$A$2:$A$477,0))&amp;"","")</f>
        <v>N/A</v>
      </c>
      <c r="H4977" s="10" t="str">
        <f aca="false">IFERROR(INDEX(Section_Master!$F$2:$F$477,MATCH($E4977,Section_Master!$A$2:$A$477,0))&amp;"","")</f>
        <v>N/A</v>
      </c>
      <c r="I4977" s="10" t="str">
        <f aca="false">IFERROR(INDEX(Section_Master!$G$2:$G$477,MATCH($E4977,Section_Master!$A$2:$A$477,0))&amp;"","")</f>
        <v>N/A</v>
      </c>
      <c r="J4977" s="10" t="s">
        <v>52</v>
      </c>
      <c r="K4977" s="8" t="s">
        <v>11647</v>
      </c>
    </row>
    <row r="4978" customFormat="false" ht="34.5" hidden="false" customHeight="true" outlineLevel="0" collapsed="false">
      <c r="A4978" s="10" t="s">
        <v>11650</v>
      </c>
      <c r="B4978" s="10" t="s">
        <v>10064</v>
      </c>
      <c r="C4978" s="8" t="s">
        <v>11645</v>
      </c>
      <c r="D4978" s="8" t="s">
        <v>11651</v>
      </c>
      <c r="E4978" s="11" t="n">
        <v>472</v>
      </c>
      <c r="F4978" s="8" t="str">
        <f aca="false">IFERROR(INDEX(Section_Master!$D$2:$D$477,MATCH($E4978,Section_Master!$A$2:$A$477,0))&amp;"","")</f>
        <v>Not applicable - procedural provision (BNSS), no offence defined</v>
      </c>
      <c r="G4978" s="10" t="str">
        <f aca="false">IFERROR(INDEX(Section_Master!$E$2:$E$477,MATCH($E4978,Section_Master!$A$2:$A$477,0))&amp;"","")</f>
        <v>N/A</v>
      </c>
      <c r="H4978" s="10" t="str">
        <f aca="false">IFERROR(INDEX(Section_Master!$F$2:$F$477,MATCH($E4978,Section_Master!$A$2:$A$477,0))&amp;"","")</f>
        <v>N/A</v>
      </c>
      <c r="I4978" s="10" t="str">
        <f aca="false">IFERROR(INDEX(Section_Master!$G$2:$G$477,MATCH($E4978,Section_Master!$A$2:$A$477,0))&amp;"","")</f>
        <v>N/A</v>
      </c>
      <c r="J4978" s="10" t="s">
        <v>55</v>
      </c>
      <c r="K4978" s="8" t="s">
        <v>11647</v>
      </c>
    </row>
    <row r="4979" customFormat="false" ht="23.25" hidden="false" customHeight="true" outlineLevel="0" collapsed="false">
      <c r="A4979" s="10" t="s">
        <v>11652</v>
      </c>
      <c r="B4979" s="10" t="s">
        <v>10064</v>
      </c>
      <c r="C4979" s="8" t="s">
        <v>11645</v>
      </c>
      <c r="D4979" s="8" t="s">
        <v>11653</v>
      </c>
      <c r="E4979" s="11" t="n">
        <v>472</v>
      </c>
      <c r="F4979" s="8" t="str">
        <f aca="false">IFERROR(INDEX(Section_Master!$D$2:$D$477,MATCH($E4979,Section_Master!$A$2:$A$477,0))&amp;"","")</f>
        <v>Not applicable - procedural provision (BNSS), no offence defined</v>
      </c>
      <c r="G4979" s="10" t="str">
        <f aca="false">IFERROR(INDEX(Section_Master!$E$2:$E$477,MATCH($E4979,Section_Master!$A$2:$A$477,0))&amp;"","")</f>
        <v>N/A</v>
      </c>
      <c r="H4979" s="10" t="str">
        <f aca="false">IFERROR(INDEX(Section_Master!$F$2:$F$477,MATCH($E4979,Section_Master!$A$2:$A$477,0))&amp;"","")</f>
        <v>N/A</v>
      </c>
      <c r="I4979" s="10" t="str">
        <f aca="false">IFERROR(INDEX(Section_Master!$G$2:$G$477,MATCH($E4979,Section_Master!$A$2:$A$477,0))&amp;"","")</f>
        <v>N/A</v>
      </c>
      <c r="J4979" s="10" t="s">
        <v>58</v>
      </c>
      <c r="K4979" s="8" t="s">
        <v>11647</v>
      </c>
    </row>
    <row r="4980" customFormat="false" ht="45.75" hidden="false" customHeight="true" outlineLevel="0" collapsed="false">
      <c r="A4980" s="10" t="s">
        <v>11654</v>
      </c>
      <c r="B4980" s="10" t="s">
        <v>10064</v>
      </c>
      <c r="C4980" s="8" t="s">
        <v>11645</v>
      </c>
      <c r="D4980" s="8" t="s">
        <v>11655</v>
      </c>
      <c r="E4980" s="11" t="n">
        <v>472</v>
      </c>
      <c r="F4980" s="8" t="str">
        <f aca="false">IFERROR(INDEX(Section_Master!$D$2:$D$477,MATCH($E4980,Section_Master!$A$2:$A$477,0))&amp;"","")</f>
        <v>Not applicable - procedural provision (BNSS), no offence defined</v>
      </c>
      <c r="G4980" s="10" t="str">
        <f aca="false">IFERROR(INDEX(Section_Master!$E$2:$E$477,MATCH($E4980,Section_Master!$A$2:$A$477,0))&amp;"","")</f>
        <v>N/A</v>
      </c>
      <c r="H4980" s="10" t="str">
        <f aca="false">IFERROR(INDEX(Section_Master!$F$2:$F$477,MATCH($E4980,Section_Master!$A$2:$A$477,0))&amp;"","")</f>
        <v>N/A</v>
      </c>
      <c r="I4980" s="10" t="str">
        <f aca="false">IFERROR(INDEX(Section_Master!$G$2:$G$477,MATCH($E4980,Section_Master!$A$2:$A$477,0))&amp;"","")</f>
        <v>N/A</v>
      </c>
      <c r="J4980" s="10" t="s">
        <v>61</v>
      </c>
      <c r="K4980" s="8" t="s">
        <v>11647</v>
      </c>
    </row>
    <row r="4981" customFormat="false" ht="45.75" hidden="false" customHeight="true" outlineLevel="0" collapsed="false">
      <c r="A4981" s="10" t="s">
        <v>11656</v>
      </c>
      <c r="B4981" s="10" t="s">
        <v>10064</v>
      </c>
      <c r="C4981" s="8" t="s">
        <v>11645</v>
      </c>
      <c r="D4981" s="8" t="s">
        <v>11657</v>
      </c>
      <c r="E4981" s="11" t="n">
        <v>472</v>
      </c>
      <c r="F4981" s="8" t="str">
        <f aca="false">IFERROR(INDEX(Section_Master!$D$2:$D$477,MATCH($E4981,Section_Master!$A$2:$A$477,0))&amp;"","")</f>
        <v>Not applicable - procedural provision (BNSS), no offence defined</v>
      </c>
      <c r="G4981" s="10" t="str">
        <f aca="false">IFERROR(INDEX(Section_Master!$E$2:$E$477,MATCH($E4981,Section_Master!$A$2:$A$477,0))&amp;"","")</f>
        <v>N/A</v>
      </c>
      <c r="H4981" s="10" t="str">
        <f aca="false">IFERROR(INDEX(Section_Master!$F$2:$F$477,MATCH($E4981,Section_Master!$A$2:$A$477,0))&amp;"","")</f>
        <v>N/A</v>
      </c>
      <c r="I4981" s="10" t="str">
        <f aca="false">IFERROR(INDEX(Section_Master!$G$2:$G$477,MATCH($E4981,Section_Master!$A$2:$A$477,0))&amp;"","")</f>
        <v>N/A</v>
      </c>
      <c r="J4981" s="10" t="s">
        <v>64</v>
      </c>
      <c r="K4981" s="8" t="s">
        <v>11647</v>
      </c>
    </row>
    <row r="4982" customFormat="false" ht="34.5" hidden="false" customHeight="true" outlineLevel="0" collapsed="false">
      <c r="A4982" s="10" t="s">
        <v>11658</v>
      </c>
      <c r="B4982" s="10" t="s">
        <v>10064</v>
      </c>
      <c r="C4982" s="8" t="s">
        <v>11659</v>
      </c>
      <c r="D4982" s="8" t="s">
        <v>11660</v>
      </c>
      <c r="E4982" s="11" t="n">
        <v>473</v>
      </c>
      <c r="F4982" s="8" t="str">
        <f aca="false">IFERROR(INDEX(Section_Master!$D$2:$D$477,MATCH($E4982,Section_Master!$A$2:$A$477,0))&amp;"","")</f>
        <v>Not applicable - procedural provision (BNSS), no offence defined</v>
      </c>
      <c r="G4982" s="10" t="str">
        <f aca="false">IFERROR(INDEX(Section_Master!$E$2:$E$477,MATCH($E4982,Section_Master!$A$2:$A$477,0))&amp;"","")</f>
        <v>N/A</v>
      </c>
      <c r="H4982" s="10" t="str">
        <f aca="false">IFERROR(INDEX(Section_Master!$F$2:$F$477,MATCH($E4982,Section_Master!$A$2:$A$477,0))&amp;"","")</f>
        <v>N/A</v>
      </c>
      <c r="I4982" s="10" t="str">
        <f aca="false">IFERROR(INDEX(Section_Master!$G$2:$G$477,MATCH($E4982,Section_Master!$A$2:$A$477,0))&amp;"","")</f>
        <v>N/A</v>
      </c>
      <c r="J4982" s="10" t="s">
        <v>48</v>
      </c>
      <c r="K4982" s="8" t="s">
        <v>11661</v>
      </c>
    </row>
    <row r="4983" customFormat="false" ht="45.75" hidden="false" customHeight="true" outlineLevel="0" collapsed="false">
      <c r="A4983" s="10" t="s">
        <v>11662</v>
      </c>
      <c r="B4983" s="10" t="s">
        <v>10064</v>
      </c>
      <c r="C4983" s="8" t="s">
        <v>11659</v>
      </c>
      <c r="D4983" s="8" t="s">
        <v>11663</v>
      </c>
      <c r="E4983" s="11" t="n">
        <v>473</v>
      </c>
      <c r="F4983" s="8" t="str">
        <f aca="false">IFERROR(INDEX(Section_Master!$D$2:$D$477,MATCH($E4983,Section_Master!$A$2:$A$477,0))&amp;"","")</f>
        <v>Not applicable - procedural provision (BNSS), no offence defined</v>
      </c>
      <c r="G4983" s="10" t="str">
        <f aca="false">IFERROR(INDEX(Section_Master!$E$2:$E$477,MATCH($E4983,Section_Master!$A$2:$A$477,0))&amp;"","")</f>
        <v>N/A</v>
      </c>
      <c r="H4983" s="10" t="str">
        <f aca="false">IFERROR(INDEX(Section_Master!$F$2:$F$477,MATCH($E4983,Section_Master!$A$2:$A$477,0))&amp;"","")</f>
        <v>N/A</v>
      </c>
      <c r="I4983" s="10" t="str">
        <f aca="false">IFERROR(INDEX(Section_Master!$G$2:$G$477,MATCH($E4983,Section_Master!$A$2:$A$477,0))&amp;"","")</f>
        <v>N/A</v>
      </c>
      <c r="J4983" s="10" t="s">
        <v>52</v>
      </c>
      <c r="K4983" s="8" t="s">
        <v>11661</v>
      </c>
    </row>
    <row r="4984" customFormat="false" ht="34.5" hidden="false" customHeight="true" outlineLevel="0" collapsed="false">
      <c r="A4984" s="10" t="s">
        <v>11664</v>
      </c>
      <c r="B4984" s="10" t="s">
        <v>10064</v>
      </c>
      <c r="C4984" s="8" t="s">
        <v>11659</v>
      </c>
      <c r="D4984" s="8" t="s">
        <v>11665</v>
      </c>
      <c r="E4984" s="11" t="n">
        <v>473</v>
      </c>
      <c r="F4984" s="8" t="str">
        <f aca="false">IFERROR(INDEX(Section_Master!$D$2:$D$477,MATCH($E4984,Section_Master!$A$2:$A$477,0))&amp;"","")</f>
        <v>Not applicable - procedural provision (BNSS), no offence defined</v>
      </c>
      <c r="G4984" s="10" t="str">
        <f aca="false">IFERROR(INDEX(Section_Master!$E$2:$E$477,MATCH($E4984,Section_Master!$A$2:$A$477,0))&amp;"","")</f>
        <v>N/A</v>
      </c>
      <c r="H4984" s="10" t="str">
        <f aca="false">IFERROR(INDEX(Section_Master!$F$2:$F$477,MATCH($E4984,Section_Master!$A$2:$A$477,0))&amp;"","")</f>
        <v>N/A</v>
      </c>
      <c r="I4984" s="10" t="str">
        <f aca="false">IFERROR(INDEX(Section_Master!$G$2:$G$477,MATCH($E4984,Section_Master!$A$2:$A$477,0))&amp;"","")</f>
        <v>N/A</v>
      </c>
      <c r="J4984" s="10" t="s">
        <v>55</v>
      </c>
      <c r="K4984" s="8" t="s">
        <v>11661</v>
      </c>
    </row>
    <row r="4985" customFormat="false" ht="23.25" hidden="false" customHeight="true" outlineLevel="0" collapsed="false">
      <c r="A4985" s="10" t="s">
        <v>11666</v>
      </c>
      <c r="B4985" s="10" t="s">
        <v>10064</v>
      </c>
      <c r="C4985" s="8" t="s">
        <v>11659</v>
      </c>
      <c r="D4985" s="8" t="s">
        <v>11667</v>
      </c>
      <c r="E4985" s="11" t="n">
        <v>473</v>
      </c>
      <c r="F4985" s="8" t="str">
        <f aca="false">IFERROR(INDEX(Section_Master!$D$2:$D$477,MATCH($E4985,Section_Master!$A$2:$A$477,0))&amp;"","")</f>
        <v>Not applicable - procedural provision (BNSS), no offence defined</v>
      </c>
      <c r="G4985" s="10" t="str">
        <f aca="false">IFERROR(INDEX(Section_Master!$E$2:$E$477,MATCH($E4985,Section_Master!$A$2:$A$477,0))&amp;"","")</f>
        <v>N/A</v>
      </c>
      <c r="H4985" s="10" t="str">
        <f aca="false">IFERROR(INDEX(Section_Master!$F$2:$F$477,MATCH($E4985,Section_Master!$A$2:$A$477,0))&amp;"","")</f>
        <v>N/A</v>
      </c>
      <c r="I4985" s="10" t="str">
        <f aca="false">IFERROR(INDEX(Section_Master!$G$2:$G$477,MATCH($E4985,Section_Master!$A$2:$A$477,0))&amp;"","")</f>
        <v>N/A</v>
      </c>
      <c r="J4985" s="10" t="s">
        <v>58</v>
      </c>
      <c r="K4985" s="8" t="s">
        <v>11661</v>
      </c>
    </row>
    <row r="4986" customFormat="false" ht="34.5" hidden="false" customHeight="true" outlineLevel="0" collapsed="false">
      <c r="A4986" s="10" t="s">
        <v>11668</v>
      </c>
      <c r="B4986" s="10" t="s">
        <v>10064</v>
      </c>
      <c r="C4986" s="8" t="s">
        <v>11659</v>
      </c>
      <c r="D4986" s="8" t="s">
        <v>11669</v>
      </c>
      <c r="E4986" s="11" t="n">
        <v>473</v>
      </c>
      <c r="F4986" s="8" t="str">
        <f aca="false">IFERROR(INDEX(Section_Master!$D$2:$D$477,MATCH($E4986,Section_Master!$A$2:$A$477,0))&amp;"","")</f>
        <v>Not applicable - procedural provision (BNSS), no offence defined</v>
      </c>
      <c r="G4986" s="10" t="str">
        <f aca="false">IFERROR(INDEX(Section_Master!$E$2:$E$477,MATCH($E4986,Section_Master!$A$2:$A$477,0))&amp;"","")</f>
        <v>N/A</v>
      </c>
      <c r="H4986" s="10" t="str">
        <f aca="false">IFERROR(INDEX(Section_Master!$F$2:$F$477,MATCH($E4986,Section_Master!$A$2:$A$477,0))&amp;"","")</f>
        <v>N/A</v>
      </c>
      <c r="I4986" s="10" t="str">
        <f aca="false">IFERROR(INDEX(Section_Master!$G$2:$G$477,MATCH($E4986,Section_Master!$A$2:$A$477,0))&amp;"","")</f>
        <v>N/A</v>
      </c>
      <c r="J4986" s="10" t="s">
        <v>61</v>
      </c>
      <c r="K4986" s="8" t="s">
        <v>11661</v>
      </c>
    </row>
    <row r="4987" customFormat="false" ht="57" hidden="false" customHeight="true" outlineLevel="0" collapsed="false">
      <c r="A4987" s="10" t="s">
        <v>11670</v>
      </c>
      <c r="B4987" s="10" t="s">
        <v>10064</v>
      </c>
      <c r="C4987" s="8" t="s">
        <v>11659</v>
      </c>
      <c r="D4987" s="8" t="s">
        <v>11671</v>
      </c>
      <c r="E4987" s="11" t="n">
        <v>473</v>
      </c>
      <c r="F4987" s="8" t="str">
        <f aca="false">IFERROR(INDEX(Section_Master!$D$2:$D$477,MATCH($E4987,Section_Master!$A$2:$A$477,0))&amp;"","")</f>
        <v>Not applicable - procedural provision (BNSS), no offence defined</v>
      </c>
      <c r="G4987" s="10" t="str">
        <f aca="false">IFERROR(INDEX(Section_Master!$E$2:$E$477,MATCH($E4987,Section_Master!$A$2:$A$477,0))&amp;"","")</f>
        <v>N/A</v>
      </c>
      <c r="H4987" s="10" t="str">
        <f aca="false">IFERROR(INDEX(Section_Master!$F$2:$F$477,MATCH($E4987,Section_Master!$A$2:$A$477,0))&amp;"","")</f>
        <v>N/A</v>
      </c>
      <c r="I4987" s="10" t="str">
        <f aca="false">IFERROR(INDEX(Section_Master!$G$2:$G$477,MATCH($E4987,Section_Master!$A$2:$A$477,0))&amp;"","")</f>
        <v>N/A</v>
      </c>
      <c r="J4987" s="10" t="s">
        <v>64</v>
      </c>
      <c r="K4987" s="8" t="s">
        <v>11661</v>
      </c>
    </row>
    <row r="4988" customFormat="false" ht="34.5" hidden="false" customHeight="true" outlineLevel="0" collapsed="false">
      <c r="A4988" s="10" t="s">
        <v>11672</v>
      </c>
      <c r="B4988" s="10" t="s">
        <v>10064</v>
      </c>
      <c r="C4988" s="8" t="s">
        <v>11673</v>
      </c>
      <c r="D4988" s="8" t="s">
        <v>11674</v>
      </c>
      <c r="E4988" s="11" t="n">
        <v>474</v>
      </c>
      <c r="F4988" s="8" t="str">
        <f aca="false">IFERROR(INDEX(Section_Master!$D$2:$D$477,MATCH($E4988,Section_Master!$A$2:$A$477,0))&amp;"","")</f>
        <v>Not applicable - procedural provision (BNSS), no offence defined</v>
      </c>
      <c r="G4988" s="10" t="str">
        <f aca="false">IFERROR(INDEX(Section_Master!$E$2:$E$477,MATCH($E4988,Section_Master!$A$2:$A$477,0))&amp;"","")</f>
        <v>N/A</v>
      </c>
      <c r="H4988" s="10" t="str">
        <f aca="false">IFERROR(INDEX(Section_Master!$F$2:$F$477,MATCH($E4988,Section_Master!$A$2:$A$477,0))&amp;"","")</f>
        <v>N/A</v>
      </c>
      <c r="I4988" s="10" t="str">
        <f aca="false">IFERROR(INDEX(Section_Master!$G$2:$G$477,MATCH($E4988,Section_Master!$A$2:$A$477,0))&amp;"","")</f>
        <v>N/A</v>
      </c>
      <c r="J4988" s="10" t="s">
        <v>48</v>
      </c>
      <c r="K4988" s="8" t="s">
        <v>11675</v>
      </c>
    </row>
    <row r="4989" customFormat="false" ht="45.75" hidden="false" customHeight="true" outlineLevel="0" collapsed="false">
      <c r="A4989" s="10" t="s">
        <v>11676</v>
      </c>
      <c r="B4989" s="10" t="s">
        <v>10064</v>
      </c>
      <c r="C4989" s="8" t="s">
        <v>11673</v>
      </c>
      <c r="D4989" s="8" t="s">
        <v>11677</v>
      </c>
      <c r="E4989" s="11" t="n">
        <v>474</v>
      </c>
      <c r="F4989" s="8" t="str">
        <f aca="false">IFERROR(INDEX(Section_Master!$D$2:$D$477,MATCH($E4989,Section_Master!$A$2:$A$477,0))&amp;"","")</f>
        <v>Not applicable - procedural provision (BNSS), no offence defined</v>
      </c>
      <c r="G4989" s="10" t="str">
        <f aca="false">IFERROR(INDEX(Section_Master!$E$2:$E$477,MATCH($E4989,Section_Master!$A$2:$A$477,0))&amp;"","")</f>
        <v>N/A</v>
      </c>
      <c r="H4989" s="10" t="str">
        <f aca="false">IFERROR(INDEX(Section_Master!$F$2:$F$477,MATCH($E4989,Section_Master!$A$2:$A$477,0))&amp;"","")</f>
        <v>N/A</v>
      </c>
      <c r="I4989" s="10" t="str">
        <f aca="false">IFERROR(INDEX(Section_Master!$G$2:$G$477,MATCH($E4989,Section_Master!$A$2:$A$477,0))&amp;"","")</f>
        <v>N/A</v>
      </c>
      <c r="J4989" s="10" t="s">
        <v>52</v>
      </c>
      <c r="K4989" s="8" t="s">
        <v>11675</v>
      </c>
    </row>
    <row r="4990" customFormat="false" ht="34.5" hidden="false" customHeight="true" outlineLevel="0" collapsed="false">
      <c r="A4990" s="10" t="s">
        <v>11678</v>
      </c>
      <c r="B4990" s="10" t="s">
        <v>10064</v>
      </c>
      <c r="C4990" s="8" t="s">
        <v>11673</v>
      </c>
      <c r="D4990" s="8" t="s">
        <v>11679</v>
      </c>
      <c r="E4990" s="11" t="n">
        <v>474</v>
      </c>
      <c r="F4990" s="8" t="str">
        <f aca="false">IFERROR(INDEX(Section_Master!$D$2:$D$477,MATCH($E4990,Section_Master!$A$2:$A$477,0))&amp;"","")</f>
        <v>Not applicable - procedural provision (BNSS), no offence defined</v>
      </c>
      <c r="G4990" s="10" t="str">
        <f aca="false">IFERROR(INDEX(Section_Master!$E$2:$E$477,MATCH($E4990,Section_Master!$A$2:$A$477,0))&amp;"","")</f>
        <v>N/A</v>
      </c>
      <c r="H4990" s="10" t="str">
        <f aca="false">IFERROR(INDEX(Section_Master!$F$2:$F$477,MATCH($E4990,Section_Master!$A$2:$A$477,0))&amp;"","")</f>
        <v>N/A</v>
      </c>
      <c r="I4990" s="10" t="str">
        <f aca="false">IFERROR(INDEX(Section_Master!$G$2:$G$477,MATCH($E4990,Section_Master!$A$2:$A$477,0))&amp;"","")</f>
        <v>N/A</v>
      </c>
      <c r="J4990" s="10" t="s">
        <v>55</v>
      </c>
      <c r="K4990" s="8" t="s">
        <v>11675</v>
      </c>
    </row>
    <row r="4991" customFormat="false" ht="23.25" hidden="false" customHeight="true" outlineLevel="0" collapsed="false">
      <c r="A4991" s="10" t="s">
        <v>11680</v>
      </c>
      <c r="B4991" s="10" t="s">
        <v>10064</v>
      </c>
      <c r="C4991" s="8" t="s">
        <v>11673</v>
      </c>
      <c r="D4991" s="8" t="s">
        <v>11681</v>
      </c>
      <c r="E4991" s="11" t="n">
        <v>474</v>
      </c>
      <c r="F4991" s="8" t="str">
        <f aca="false">IFERROR(INDEX(Section_Master!$D$2:$D$477,MATCH($E4991,Section_Master!$A$2:$A$477,0))&amp;"","")</f>
        <v>Not applicable - procedural provision (BNSS), no offence defined</v>
      </c>
      <c r="G4991" s="10" t="str">
        <f aca="false">IFERROR(INDEX(Section_Master!$E$2:$E$477,MATCH($E4991,Section_Master!$A$2:$A$477,0))&amp;"","")</f>
        <v>N/A</v>
      </c>
      <c r="H4991" s="10" t="str">
        <f aca="false">IFERROR(INDEX(Section_Master!$F$2:$F$477,MATCH($E4991,Section_Master!$A$2:$A$477,0))&amp;"","")</f>
        <v>N/A</v>
      </c>
      <c r="I4991" s="10" t="str">
        <f aca="false">IFERROR(INDEX(Section_Master!$G$2:$G$477,MATCH($E4991,Section_Master!$A$2:$A$477,0))&amp;"","")</f>
        <v>N/A</v>
      </c>
      <c r="J4991" s="10" t="s">
        <v>58</v>
      </c>
      <c r="K4991" s="8" t="s">
        <v>11675</v>
      </c>
    </row>
    <row r="4992" customFormat="false" ht="23.25" hidden="false" customHeight="true" outlineLevel="0" collapsed="false">
      <c r="A4992" s="10" t="s">
        <v>11682</v>
      </c>
      <c r="B4992" s="10" t="s">
        <v>10064</v>
      </c>
      <c r="C4992" s="8" t="s">
        <v>11673</v>
      </c>
      <c r="D4992" s="8" t="s">
        <v>11683</v>
      </c>
      <c r="E4992" s="11" t="n">
        <v>474</v>
      </c>
      <c r="F4992" s="8" t="str">
        <f aca="false">IFERROR(INDEX(Section_Master!$D$2:$D$477,MATCH($E4992,Section_Master!$A$2:$A$477,0))&amp;"","")</f>
        <v>Not applicable - procedural provision (BNSS), no offence defined</v>
      </c>
      <c r="G4992" s="10" t="str">
        <f aca="false">IFERROR(INDEX(Section_Master!$E$2:$E$477,MATCH($E4992,Section_Master!$A$2:$A$477,0))&amp;"","")</f>
        <v>N/A</v>
      </c>
      <c r="H4992" s="10" t="str">
        <f aca="false">IFERROR(INDEX(Section_Master!$F$2:$F$477,MATCH($E4992,Section_Master!$A$2:$A$477,0))&amp;"","")</f>
        <v>N/A</v>
      </c>
      <c r="I4992" s="10" t="str">
        <f aca="false">IFERROR(INDEX(Section_Master!$G$2:$G$477,MATCH($E4992,Section_Master!$A$2:$A$477,0))&amp;"","")</f>
        <v>N/A</v>
      </c>
      <c r="J4992" s="10" t="s">
        <v>61</v>
      </c>
      <c r="K4992" s="8" t="s">
        <v>11675</v>
      </c>
    </row>
    <row r="4993" customFormat="false" ht="45.75" hidden="false" customHeight="true" outlineLevel="0" collapsed="false">
      <c r="A4993" s="10" t="s">
        <v>11684</v>
      </c>
      <c r="B4993" s="10" t="s">
        <v>10064</v>
      </c>
      <c r="C4993" s="8" t="s">
        <v>11673</v>
      </c>
      <c r="D4993" s="8" t="s">
        <v>11685</v>
      </c>
      <c r="E4993" s="11" t="n">
        <v>474</v>
      </c>
      <c r="F4993" s="8" t="str">
        <f aca="false">IFERROR(INDEX(Section_Master!$D$2:$D$477,MATCH($E4993,Section_Master!$A$2:$A$477,0))&amp;"","")</f>
        <v>Not applicable - procedural provision (BNSS), no offence defined</v>
      </c>
      <c r="G4993" s="10" t="str">
        <f aca="false">IFERROR(INDEX(Section_Master!$E$2:$E$477,MATCH($E4993,Section_Master!$A$2:$A$477,0))&amp;"","")</f>
        <v>N/A</v>
      </c>
      <c r="H4993" s="10" t="str">
        <f aca="false">IFERROR(INDEX(Section_Master!$F$2:$F$477,MATCH($E4993,Section_Master!$A$2:$A$477,0))&amp;"","")</f>
        <v>N/A</v>
      </c>
      <c r="I4993" s="10" t="str">
        <f aca="false">IFERROR(INDEX(Section_Master!$G$2:$G$477,MATCH($E4993,Section_Master!$A$2:$A$477,0))&amp;"","")</f>
        <v>N/A</v>
      </c>
      <c r="J4993" s="10" t="s">
        <v>64</v>
      </c>
      <c r="K4993" s="8" t="s">
        <v>11675</v>
      </c>
    </row>
    <row r="4994" customFormat="false" ht="45.75" hidden="false" customHeight="true" outlineLevel="0" collapsed="false">
      <c r="A4994" s="10" t="s">
        <v>11686</v>
      </c>
      <c r="B4994" s="10" t="s">
        <v>10064</v>
      </c>
      <c r="C4994" s="8" t="s">
        <v>11687</v>
      </c>
      <c r="D4994" s="8" t="s">
        <v>11688</v>
      </c>
      <c r="E4994" s="11" t="n">
        <v>475</v>
      </c>
      <c r="F4994" s="8" t="str">
        <f aca="false">IFERROR(INDEX(Section_Master!$D$2:$D$477,MATCH($E4994,Section_Master!$A$2:$A$477,0))&amp;"","")</f>
        <v>Not applicable - procedural provision (BNSS), no offence defined</v>
      </c>
      <c r="G4994" s="10" t="str">
        <f aca="false">IFERROR(INDEX(Section_Master!$E$2:$E$477,MATCH($E4994,Section_Master!$A$2:$A$477,0))&amp;"","")</f>
        <v>N/A</v>
      </c>
      <c r="H4994" s="10" t="str">
        <f aca="false">IFERROR(INDEX(Section_Master!$F$2:$F$477,MATCH($E4994,Section_Master!$A$2:$A$477,0))&amp;"","")</f>
        <v>N/A</v>
      </c>
      <c r="I4994" s="10" t="str">
        <f aca="false">IFERROR(INDEX(Section_Master!$G$2:$G$477,MATCH($E4994,Section_Master!$A$2:$A$477,0))&amp;"","")</f>
        <v>N/A</v>
      </c>
      <c r="J4994" s="10" t="s">
        <v>48</v>
      </c>
      <c r="K4994" s="8" t="s">
        <v>11689</v>
      </c>
    </row>
    <row r="4995" customFormat="false" ht="45.75" hidden="false" customHeight="true" outlineLevel="0" collapsed="false">
      <c r="A4995" s="10" t="s">
        <v>11690</v>
      </c>
      <c r="B4995" s="10" t="s">
        <v>10064</v>
      </c>
      <c r="C4995" s="8" t="s">
        <v>11687</v>
      </c>
      <c r="D4995" s="8" t="s">
        <v>11691</v>
      </c>
      <c r="E4995" s="11" t="n">
        <v>475</v>
      </c>
      <c r="F4995" s="8" t="str">
        <f aca="false">IFERROR(INDEX(Section_Master!$D$2:$D$477,MATCH($E4995,Section_Master!$A$2:$A$477,0))&amp;"","")</f>
        <v>Not applicable - procedural provision (BNSS), no offence defined</v>
      </c>
      <c r="G4995" s="10" t="str">
        <f aca="false">IFERROR(INDEX(Section_Master!$E$2:$E$477,MATCH($E4995,Section_Master!$A$2:$A$477,0))&amp;"","")</f>
        <v>N/A</v>
      </c>
      <c r="H4995" s="10" t="str">
        <f aca="false">IFERROR(INDEX(Section_Master!$F$2:$F$477,MATCH($E4995,Section_Master!$A$2:$A$477,0))&amp;"","")</f>
        <v>N/A</v>
      </c>
      <c r="I4995" s="10" t="str">
        <f aca="false">IFERROR(INDEX(Section_Master!$G$2:$G$477,MATCH($E4995,Section_Master!$A$2:$A$477,0))&amp;"","")</f>
        <v>N/A</v>
      </c>
      <c r="J4995" s="10" t="s">
        <v>52</v>
      </c>
      <c r="K4995" s="8" t="s">
        <v>11689</v>
      </c>
    </row>
    <row r="4996" customFormat="false" ht="45.75" hidden="false" customHeight="true" outlineLevel="0" collapsed="false">
      <c r="A4996" s="10" t="s">
        <v>11692</v>
      </c>
      <c r="B4996" s="10" t="s">
        <v>10064</v>
      </c>
      <c r="C4996" s="8" t="s">
        <v>11687</v>
      </c>
      <c r="D4996" s="8" t="s">
        <v>11693</v>
      </c>
      <c r="E4996" s="11" t="n">
        <v>475</v>
      </c>
      <c r="F4996" s="8" t="str">
        <f aca="false">IFERROR(INDEX(Section_Master!$D$2:$D$477,MATCH($E4996,Section_Master!$A$2:$A$477,0))&amp;"","")</f>
        <v>Not applicable - procedural provision (BNSS), no offence defined</v>
      </c>
      <c r="G4996" s="10" t="str">
        <f aca="false">IFERROR(INDEX(Section_Master!$E$2:$E$477,MATCH($E4996,Section_Master!$A$2:$A$477,0))&amp;"","")</f>
        <v>N/A</v>
      </c>
      <c r="H4996" s="10" t="str">
        <f aca="false">IFERROR(INDEX(Section_Master!$F$2:$F$477,MATCH($E4996,Section_Master!$A$2:$A$477,0))&amp;"","")</f>
        <v>N/A</v>
      </c>
      <c r="I4996" s="10" t="str">
        <f aca="false">IFERROR(INDEX(Section_Master!$G$2:$G$477,MATCH($E4996,Section_Master!$A$2:$A$477,0))&amp;"","")</f>
        <v>N/A</v>
      </c>
      <c r="J4996" s="10" t="s">
        <v>55</v>
      </c>
      <c r="K4996" s="8" t="s">
        <v>11689</v>
      </c>
    </row>
    <row r="4997" customFormat="false" ht="23.25" hidden="false" customHeight="true" outlineLevel="0" collapsed="false">
      <c r="A4997" s="10" t="s">
        <v>11694</v>
      </c>
      <c r="B4997" s="10" t="s">
        <v>10064</v>
      </c>
      <c r="C4997" s="8" t="s">
        <v>11687</v>
      </c>
      <c r="D4997" s="8" t="s">
        <v>11695</v>
      </c>
      <c r="E4997" s="11" t="n">
        <v>475</v>
      </c>
      <c r="F4997" s="8" t="str">
        <f aca="false">IFERROR(INDEX(Section_Master!$D$2:$D$477,MATCH($E4997,Section_Master!$A$2:$A$477,0))&amp;"","")</f>
        <v>Not applicable - procedural provision (BNSS), no offence defined</v>
      </c>
      <c r="G4997" s="10" t="str">
        <f aca="false">IFERROR(INDEX(Section_Master!$E$2:$E$477,MATCH($E4997,Section_Master!$A$2:$A$477,0))&amp;"","")</f>
        <v>N/A</v>
      </c>
      <c r="H4997" s="10" t="str">
        <f aca="false">IFERROR(INDEX(Section_Master!$F$2:$F$477,MATCH($E4997,Section_Master!$A$2:$A$477,0))&amp;"","")</f>
        <v>N/A</v>
      </c>
      <c r="I4997" s="10" t="str">
        <f aca="false">IFERROR(INDEX(Section_Master!$G$2:$G$477,MATCH($E4997,Section_Master!$A$2:$A$477,0))&amp;"","")</f>
        <v>N/A</v>
      </c>
      <c r="J4997" s="10" t="s">
        <v>58</v>
      </c>
      <c r="K4997" s="8" t="s">
        <v>11689</v>
      </c>
    </row>
    <row r="4998" customFormat="false" ht="45.75" hidden="false" customHeight="true" outlineLevel="0" collapsed="false">
      <c r="A4998" s="10" t="s">
        <v>11696</v>
      </c>
      <c r="B4998" s="10" t="s">
        <v>10064</v>
      </c>
      <c r="C4998" s="8" t="s">
        <v>11687</v>
      </c>
      <c r="D4998" s="8" t="s">
        <v>11697</v>
      </c>
      <c r="E4998" s="11" t="n">
        <v>475</v>
      </c>
      <c r="F4998" s="8" t="str">
        <f aca="false">IFERROR(INDEX(Section_Master!$D$2:$D$477,MATCH($E4998,Section_Master!$A$2:$A$477,0))&amp;"","")</f>
        <v>Not applicable - procedural provision (BNSS), no offence defined</v>
      </c>
      <c r="G4998" s="10" t="str">
        <f aca="false">IFERROR(INDEX(Section_Master!$E$2:$E$477,MATCH($E4998,Section_Master!$A$2:$A$477,0))&amp;"","")</f>
        <v>N/A</v>
      </c>
      <c r="H4998" s="10" t="str">
        <f aca="false">IFERROR(INDEX(Section_Master!$F$2:$F$477,MATCH($E4998,Section_Master!$A$2:$A$477,0))&amp;"","")</f>
        <v>N/A</v>
      </c>
      <c r="I4998" s="10" t="str">
        <f aca="false">IFERROR(INDEX(Section_Master!$G$2:$G$477,MATCH($E4998,Section_Master!$A$2:$A$477,0))&amp;"","")</f>
        <v>N/A</v>
      </c>
      <c r="J4998" s="10" t="s">
        <v>61</v>
      </c>
      <c r="K4998" s="8" t="s">
        <v>11689</v>
      </c>
    </row>
    <row r="4999" customFormat="false" ht="57" hidden="false" customHeight="true" outlineLevel="0" collapsed="false">
      <c r="A4999" s="10" t="s">
        <v>11698</v>
      </c>
      <c r="B4999" s="10" t="s">
        <v>10064</v>
      </c>
      <c r="C4999" s="8" t="s">
        <v>11687</v>
      </c>
      <c r="D4999" s="8" t="s">
        <v>11699</v>
      </c>
      <c r="E4999" s="11" t="n">
        <v>475</v>
      </c>
      <c r="F4999" s="8" t="str">
        <f aca="false">IFERROR(INDEX(Section_Master!$D$2:$D$477,MATCH($E4999,Section_Master!$A$2:$A$477,0))&amp;"","")</f>
        <v>Not applicable - procedural provision (BNSS), no offence defined</v>
      </c>
      <c r="G4999" s="10" t="str">
        <f aca="false">IFERROR(INDEX(Section_Master!$E$2:$E$477,MATCH($E4999,Section_Master!$A$2:$A$477,0))&amp;"","")</f>
        <v>N/A</v>
      </c>
      <c r="H4999" s="10" t="str">
        <f aca="false">IFERROR(INDEX(Section_Master!$F$2:$F$477,MATCH($E4999,Section_Master!$A$2:$A$477,0))&amp;"","")</f>
        <v>N/A</v>
      </c>
      <c r="I4999" s="10" t="str">
        <f aca="false">IFERROR(INDEX(Section_Master!$G$2:$G$477,MATCH($E4999,Section_Master!$A$2:$A$477,0))&amp;"","")</f>
        <v>N/A</v>
      </c>
      <c r="J4999" s="10" t="s">
        <v>64</v>
      </c>
      <c r="K4999" s="8" t="s">
        <v>11689</v>
      </c>
    </row>
    <row r="5000" customFormat="false" ht="34.5" hidden="false" customHeight="true" outlineLevel="0" collapsed="false">
      <c r="A5000" s="10" t="s">
        <v>11700</v>
      </c>
      <c r="B5000" s="10" t="s">
        <v>10064</v>
      </c>
      <c r="C5000" s="8" t="s">
        <v>11701</v>
      </c>
      <c r="D5000" s="8" t="s">
        <v>11702</v>
      </c>
      <c r="E5000" s="11" t="n">
        <v>476</v>
      </c>
      <c r="F5000" s="8" t="str">
        <f aca="false">IFERROR(INDEX(Section_Master!$D$2:$D$477,MATCH($E5000,Section_Master!$A$2:$A$477,0))&amp;"","")</f>
        <v>Not applicable - procedural provision (BNSS), no offence defined</v>
      </c>
      <c r="G5000" s="10" t="str">
        <f aca="false">IFERROR(INDEX(Section_Master!$E$2:$E$477,MATCH($E5000,Section_Master!$A$2:$A$477,0))&amp;"","")</f>
        <v>N/A</v>
      </c>
      <c r="H5000" s="10" t="str">
        <f aca="false">IFERROR(INDEX(Section_Master!$F$2:$F$477,MATCH($E5000,Section_Master!$A$2:$A$477,0))&amp;"","")</f>
        <v>N/A</v>
      </c>
      <c r="I5000" s="10" t="str">
        <f aca="false">IFERROR(INDEX(Section_Master!$G$2:$G$477,MATCH($E5000,Section_Master!$A$2:$A$477,0))&amp;"","")</f>
        <v>N/A</v>
      </c>
      <c r="J5000" s="10" t="s">
        <v>48</v>
      </c>
      <c r="K5000" s="8" t="s">
        <v>11703</v>
      </c>
    </row>
    <row r="5001" customFormat="false" ht="45.75" hidden="false" customHeight="true" outlineLevel="0" collapsed="false">
      <c r="A5001" s="10" t="s">
        <v>11704</v>
      </c>
      <c r="B5001" s="10" t="s">
        <v>10064</v>
      </c>
      <c r="C5001" s="8" t="s">
        <v>11701</v>
      </c>
      <c r="D5001" s="8" t="s">
        <v>11705</v>
      </c>
      <c r="E5001" s="11" t="n">
        <v>476</v>
      </c>
      <c r="F5001" s="8" t="str">
        <f aca="false">IFERROR(INDEX(Section_Master!$D$2:$D$477,MATCH($E5001,Section_Master!$A$2:$A$477,0))&amp;"","")</f>
        <v>Not applicable - procedural provision (BNSS), no offence defined</v>
      </c>
      <c r="G5001" s="10" t="str">
        <f aca="false">IFERROR(INDEX(Section_Master!$E$2:$E$477,MATCH($E5001,Section_Master!$A$2:$A$477,0))&amp;"","")</f>
        <v>N/A</v>
      </c>
      <c r="H5001" s="10" t="str">
        <f aca="false">IFERROR(INDEX(Section_Master!$F$2:$F$477,MATCH($E5001,Section_Master!$A$2:$A$477,0))&amp;"","")</f>
        <v>N/A</v>
      </c>
      <c r="I5001" s="10" t="str">
        <f aca="false">IFERROR(INDEX(Section_Master!$G$2:$G$477,MATCH($E5001,Section_Master!$A$2:$A$477,0))&amp;"","")</f>
        <v>N/A</v>
      </c>
      <c r="J5001" s="10" t="s">
        <v>52</v>
      </c>
      <c r="K5001" s="8" t="s">
        <v>11703</v>
      </c>
    </row>
  </sheetData>
  <autoFilter ref="A1:K5001"/>
  <dataValidations count="1">
    <dataValidation allowBlank="false" errorStyle="stop" operator="between" showDropDown="false" showErrorMessage="false" showInputMessage="false" sqref="J2:J5001" type="list">
      <formula1>"definitional_topic,definitional_section,scenario,elements,exceptions,consequence"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5"/>
    <col collapsed="false" customWidth="true" hidden="false" outlineLevel="0" max="3" min="3" style="1" width="9"/>
    <col collapsed="false" customWidth="true" hidden="false" outlineLevel="0" max="4" min="4" style="1" width="40"/>
    <col collapsed="false" customWidth="true" hidden="false" outlineLevel="0" max="5" min="5" style="1" width="12"/>
    <col collapsed="false" customWidth="true" hidden="false" outlineLevel="0" max="6" min="6" style="1" width="10"/>
    <col collapsed="false" customWidth="true" hidden="false" outlineLevel="0" max="7" min="7" style="1" width="14"/>
    <col collapsed="false" customWidth="true" hidden="false" outlineLevel="0" max="8" min="8" style="1" width="16"/>
    <col collapsed="false" customWidth="true" hidden="false" outlineLevel="0" max="9" min="9" style="1" width="10"/>
    <col collapsed="false" customWidth="true" hidden="false" outlineLevel="0" max="10" min="10" style="1" width="38"/>
  </cols>
  <sheetData>
    <row r="1" customFormat="false" ht="30" hidden="false" customHeight="true" outlineLevel="0" collapsed="false">
      <c r="A1" s="12" t="s">
        <v>11706</v>
      </c>
      <c r="B1" s="12" t="s">
        <v>11707</v>
      </c>
      <c r="C1" s="12" t="s">
        <v>3</v>
      </c>
      <c r="D1" s="12" t="s">
        <v>40</v>
      </c>
      <c r="E1" s="12" t="s">
        <v>41</v>
      </c>
      <c r="F1" s="12" t="s">
        <v>42</v>
      </c>
      <c r="G1" s="12" t="s">
        <v>43</v>
      </c>
      <c r="H1" s="12" t="s">
        <v>11708</v>
      </c>
      <c r="I1" s="12" t="s">
        <v>11709</v>
      </c>
      <c r="J1" s="12" t="s">
        <v>11710</v>
      </c>
    </row>
    <row r="2" customFormat="false" ht="15" hidden="false" customHeight="true" outlineLevel="0" collapsed="false">
      <c r="A2" s="10" t="n">
        <v>1</v>
      </c>
      <c r="B2" s="8" t="s">
        <v>46</v>
      </c>
      <c r="C2" s="10" t="n">
        <f aca="false">COUNTIF(Dataset!$E$2:$E$5001,A2)</f>
        <v>12</v>
      </c>
      <c r="D2" s="13" t="s">
        <v>11711</v>
      </c>
      <c r="E2" s="14" t="s">
        <v>11712</v>
      </c>
      <c r="F2" s="14" t="s">
        <v>11712</v>
      </c>
      <c r="G2" s="14" t="s">
        <v>11712</v>
      </c>
      <c r="H2" s="14"/>
      <c r="I2" s="14"/>
      <c r="J2" s="13" t="s">
        <v>11713</v>
      </c>
    </row>
    <row r="3" customFormat="false" ht="15" hidden="false" customHeight="true" outlineLevel="0" collapsed="false">
      <c r="A3" s="10" t="n">
        <v>2</v>
      </c>
      <c r="B3" s="8" t="s">
        <v>66</v>
      </c>
      <c r="C3" s="10" t="n">
        <f aca="false">COUNTIF(Dataset!$E$2:$E$5001,A3)</f>
        <v>12</v>
      </c>
      <c r="D3" s="13" t="s">
        <v>11711</v>
      </c>
      <c r="E3" s="14" t="s">
        <v>11712</v>
      </c>
      <c r="F3" s="14" t="s">
        <v>11712</v>
      </c>
      <c r="G3" s="14" t="s">
        <v>11712</v>
      </c>
      <c r="H3" s="14"/>
      <c r="I3" s="14"/>
      <c r="J3" s="13" t="s">
        <v>11713</v>
      </c>
    </row>
    <row r="4" customFormat="false" ht="15" hidden="false" customHeight="true" outlineLevel="0" collapsed="false">
      <c r="A4" s="10" t="n">
        <v>3</v>
      </c>
      <c r="B4" s="8" t="s">
        <v>80</v>
      </c>
      <c r="C4" s="10" t="n">
        <f aca="false">COUNTIF(Dataset!$E$2:$E$5001,A4)</f>
        <v>12</v>
      </c>
      <c r="D4" s="13" t="s">
        <v>11711</v>
      </c>
      <c r="E4" s="14" t="s">
        <v>11712</v>
      </c>
      <c r="F4" s="14" t="s">
        <v>11712</v>
      </c>
      <c r="G4" s="14" t="s">
        <v>11712</v>
      </c>
      <c r="H4" s="14"/>
      <c r="I4" s="14"/>
      <c r="J4" s="13" t="s">
        <v>11713</v>
      </c>
    </row>
    <row r="5" customFormat="false" ht="15" hidden="false" customHeight="true" outlineLevel="0" collapsed="false">
      <c r="A5" s="10" t="n">
        <v>4</v>
      </c>
      <c r="B5" s="8" t="s">
        <v>94</v>
      </c>
      <c r="C5" s="10" t="n">
        <f aca="false">COUNTIF(Dataset!$E$2:$E$5001,A5)</f>
        <v>12</v>
      </c>
      <c r="D5" s="13" t="s">
        <v>11711</v>
      </c>
      <c r="E5" s="14" t="s">
        <v>11712</v>
      </c>
      <c r="F5" s="14" t="s">
        <v>11712</v>
      </c>
      <c r="G5" s="14" t="s">
        <v>11712</v>
      </c>
      <c r="H5" s="14"/>
      <c r="I5" s="14"/>
      <c r="J5" s="13" t="s">
        <v>11713</v>
      </c>
    </row>
    <row r="6" customFormat="false" ht="15" hidden="false" customHeight="true" outlineLevel="0" collapsed="false">
      <c r="A6" s="10" t="n">
        <v>5</v>
      </c>
      <c r="B6" s="8" t="s">
        <v>108</v>
      </c>
      <c r="C6" s="10" t="n">
        <f aca="false">COUNTIF(Dataset!$E$2:$E$5001,A6)</f>
        <v>12</v>
      </c>
      <c r="D6" s="13" t="s">
        <v>11711</v>
      </c>
      <c r="E6" s="14" t="s">
        <v>11712</v>
      </c>
      <c r="F6" s="14" t="s">
        <v>11712</v>
      </c>
      <c r="G6" s="14" t="s">
        <v>11712</v>
      </c>
      <c r="H6" s="14"/>
      <c r="I6" s="14"/>
      <c r="J6" s="13" t="s">
        <v>11713</v>
      </c>
    </row>
    <row r="7" customFormat="false" ht="15" hidden="false" customHeight="true" outlineLevel="0" collapsed="false">
      <c r="A7" s="10" t="n">
        <v>6</v>
      </c>
      <c r="B7" s="8" t="s">
        <v>122</v>
      </c>
      <c r="C7" s="10" t="n">
        <f aca="false">COUNTIF(Dataset!$E$2:$E$5001,A7)</f>
        <v>12</v>
      </c>
      <c r="D7" s="13" t="s">
        <v>11711</v>
      </c>
      <c r="E7" s="14" t="s">
        <v>11712</v>
      </c>
      <c r="F7" s="14" t="s">
        <v>11712</v>
      </c>
      <c r="G7" s="14" t="s">
        <v>11712</v>
      </c>
      <c r="H7" s="14"/>
      <c r="I7" s="14"/>
      <c r="J7" s="13" t="s">
        <v>11713</v>
      </c>
    </row>
    <row r="8" customFormat="false" ht="23.25" hidden="false" customHeight="true" outlineLevel="0" collapsed="false">
      <c r="A8" s="10" t="n">
        <v>7</v>
      </c>
      <c r="B8" s="8" t="s">
        <v>136</v>
      </c>
      <c r="C8" s="10" t="n">
        <f aca="false">COUNTIF(Dataset!$E$2:$E$5001,A8)</f>
        <v>12</v>
      </c>
      <c r="D8" s="13" t="s">
        <v>11711</v>
      </c>
      <c r="E8" s="14" t="s">
        <v>11712</v>
      </c>
      <c r="F8" s="14" t="s">
        <v>11712</v>
      </c>
      <c r="G8" s="14" t="s">
        <v>11712</v>
      </c>
      <c r="H8" s="14"/>
      <c r="I8" s="14"/>
      <c r="J8" s="13" t="s">
        <v>11713</v>
      </c>
    </row>
    <row r="9" customFormat="false" ht="15" hidden="false" customHeight="true" outlineLevel="0" collapsed="false">
      <c r="A9" s="10" t="n">
        <v>8</v>
      </c>
      <c r="B9" s="8" t="s">
        <v>150</v>
      </c>
      <c r="C9" s="10" t="n">
        <f aca="false">COUNTIF(Dataset!$E$2:$E$5001,A9)</f>
        <v>12</v>
      </c>
      <c r="D9" s="13" t="s">
        <v>11711</v>
      </c>
      <c r="E9" s="14" t="s">
        <v>11712</v>
      </c>
      <c r="F9" s="14" t="s">
        <v>11712</v>
      </c>
      <c r="G9" s="14" t="s">
        <v>11712</v>
      </c>
      <c r="H9" s="14"/>
      <c r="I9" s="14"/>
      <c r="J9" s="13" t="s">
        <v>11713</v>
      </c>
    </row>
    <row r="10" customFormat="false" ht="23.25" hidden="false" customHeight="true" outlineLevel="0" collapsed="false">
      <c r="A10" s="10" t="n">
        <v>9</v>
      </c>
      <c r="B10" s="8" t="s">
        <v>164</v>
      </c>
      <c r="C10" s="10" t="n">
        <f aca="false">COUNTIF(Dataset!$E$2:$E$5001,A10)</f>
        <v>12</v>
      </c>
      <c r="D10" s="13" t="s">
        <v>11711</v>
      </c>
      <c r="E10" s="14" t="s">
        <v>11712</v>
      </c>
      <c r="F10" s="14" t="s">
        <v>11712</v>
      </c>
      <c r="G10" s="14" t="s">
        <v>11712</v>
      </c>
      <c r="H10" s="14"/>
      <c r="I10" s="14"/>
      <c r="J10" s="13" t="s">
        <v>11713</v>
      </c>
    </row>
    <row r="11" customFormat="false" ht="23.25" hidden="false" customHeight="true" outlineLevel="0" collapsed="false">
      <c r="A11" s="10" t="n">
        <v>10</v>
      </c>
      <c r="B11" s="8" t="s">
        <v>178</v>
      </c>
      <c r="C11" s="10" t="n">
        <f aca="false">COUNTIF(Dataset!$E$2:$E$5001,A11)</f>
        <v>12</v>
      </c>
      <c r="D11" s="13" t="s">
        <v>11711</v>
      </c>
      <c r="E11" s="14" t="s">
        <v>11712</v>
      </c>
      <c r="F11" s="14" t="s">
        <v>11712</v>
      </c>
      <c r="G11" s="14" t="s">
        <v>11712</v>
      </c>
      <c r="H11" s="14"/>
      <c r="I11" s="14"/>
      <c r="J11" s="13" t="s">
        <v>11713</v>
      </c>
    </row>
    <row r="12" customFormat="false" ht="15" hidden="false" customHeight="true" outlineLevel="0" collapsed="false">
      <c r="A12" s="10" t="n">
        <v>11</v>
      </c>
      <c r="B12" s="8" t="s">
        <v>192</v>
      </c>
      <c r="C12" s="10" t="n">
        <f aca="false">COUNTIF(Dataset!$E$2:$E$5001,A12)</f>
        <v>12</v>
      </c>
      <c r="D12" s="13" t="s">
        <v>11711</v>
      </c>
      <c r="E12" s="14" t="s">
        <v>11712</v>
      </c>
      <c r="F12" s="14" t="s">
        <v>11712</v>
      </c>
      <c r="G12" s="14" t="s">
        <v>11712</v>
      </c>
      <c r="H12" s="14"/>
      <c r="I12" s="14"/>
      <c r="J12" s="13" t="s">
        <v>11713</v>
      </c>
    </row>
    <row r="13" customFormat="false" ht="15" hidden="false" customHeight="true" outlineLevel="0" collapsed="false">
      <c r="A13" s="10" t="n">
        <v>12</v>
      </c>
      <c r="B13" s="8" t="s">
        <v>206</v>
      </c>
      <c r="C13" s="10" t="n">
        <f aca="false">COUNTIF(Dataset!$E$2:$E$5001,A13)</f>
        <v>12</v>
      </c>
      <c r="D13" s="13" t="s">
        <v>11711</v>
      </c>
      <c r="E13" s="14" t="s">
        <v>11712</v>
      </c>
      <c r="F13" s="14" t="s">
        <v>11712</v>
      </c>
      <c r="G13" s="14" t="s">
        <v>11712</v>
      </c>
      <c r="H13" s="14"/>
      <c r="I13" s="14"/>
      <c r="J13" s="13" t="s">
        <v>11713</v>
      </c>
    </row>
    <row r="14" customFormat="false" ht="23.25" hidden="false" customHeight="true" outlineLevel="0" collapsed="false">
      <c r="A14" s="10" t="n">
        <v>13</v>
      </c>
      <c r="B14" s="8" t="s">
        <v>220</v>
      </c>
      <c r="C14" s="10" t="n">
        <f aca="false">COUNTIF(Dataset!$E$2:$E$5001,A14)</f>
        <v>12</v>
      </c>
      <c r="D14" s="13" t="s">
        <v>11711</v>
      </c>
      <c r="E14" s="14" t="s">
        <v>11712</v>
      </c>
      <c r="F14" s="14" t="s">
        <v>11712</v>
      </c>
      <c r="G14" s="14" t="s">
        <v>11712</v>
      </c>
      <c r="H14" s="14"/>
      <c r="I14" s="14"/>
      <c r="J14" s="13" t="s">
        <v>11713</v>
      </c>
    </row>
    <row r="15" customFormat="false" ht="23.25" hidden="false" customHeight="true" outlineLevel="0" collapsed="false">
      <c r="A15" s="10" t="n">
        <v>14</v>
      </c>
      <c r="B15" s="8" t="s">
        <v>234</v>
      </c>
      <c r="C15" s="10" t="n">
        <f aca="false">COUNTIF(Dataset!$E$2:$E$5001,A15)</f>
        <v>12</v>
      </c>
      <c r="D15" s="13" t="s">
        <v>11711</v>
      </c>
      <c r="E15" s="14" t="s">
        <v>11712</v>
      </c>
      <c r="F15" s="14" t="s">
        <v>11712</v>
      </c>
      <c r="G15" s="14" t="s">
        <v>11712</v>
      </c>
      <c r="H15" s="14"/>
      <c r="I15" s="14"/>
      <c r="J15" s="13" t="s">
        <v>11713</v>
      </c>
    </row>
    <row r="16" customFormat="false" ht="15" hidden="false" customHeight="true" outlineLevel="0" collapsed="false">
      <c r="A16" s="10" t="n">
        <v>15</v>
      </c>
      <c r="B16" s="8" t="s">
        <v>248</v>
      </c>
      <c r="C16" s="10" t="n">
        <f aca="false">COUNTIF(Dataset!$E$2:$E$5001,A16)</f>
        <v>12</v>
      </c>
      <c r="D16" s="13" t="s">
        <v>11711</v>
      </c>
      <c r="E16" s="14" t="s">
        <v>11712</v>
      </c>
      <c r="F16" s="14" t="s">
        <v>11712</v>
      </c>
      <c r="G16" s="14" t="s">
        <v>11712</v>
      </c>
      <c r="H16" s="14"/>
      <c r="I16" s="14"/>
      <c r="J16" s="13" t="s">
        <v>11713</v>
      </c>
    </row>
    <row r="17" customFormat="false" ht="15" hidden="false" customHeight="true" outlineLevel="0" collapsed="false">
      <c r="A17" s="10" t="n">
        <v>16</v>
      </c>
      <c r="B17" s="8" t="s">
        <v>262</v>
      </c>
      <c r="C17" s="10" t="n">
        <f aca="false">COUNTIF(Dataset!$E$2:$E$5001,A17)</f>
        <v>12</v>
      </c>
      <c r="D17" s="13" t="s">
        <v>11711</v>
      </c>
      <c r="E17" s="14" t="s">
        <v>11712</v>
      </c>
      <c r="F17" s="14" t="s">
        <v>11712</v>
      </c>
      <c r="G17" s="14" t="s">
        <v>11712</v>
      </c>
      <c r="H17" s="14"/>
      <c r="I17" s="14"/>
      <c r="J17" s="13" t="s">
        <v>11713</v>
      </c>
    </row>
    <row r="18" customFormat="false" ht="23.25" hidden="false" customHeight="true" outlineLevel="0" collapsed="false">
      <c r="A18" s="10" t="n">
        <v>17</v>
      </c>
      <c r="B18" s="8" t="s">
        <v>276</v>
      </c>
      <c r="C18" s="10" t="n">
        <f aca="false">COUNTIF(Dataset!$E$2:$E$5001,A18)</f>
        <v>12</v>
      </c>
      <c r="D18" s="13" t="s">
        <v>11711</v>
      </c>
      <c r="E18" s="14" t="s">
        <v>11712</v>
      </c>
      <c r="F18" s="14" t="s">
        <v>11712</v>
      </c>
      <c r="G18" s="14" t="s">
        <v>11712</v>
      </c>
      <c r="H18" s="14"/>
      <c r="I18" s="14"/>
      <c r="J18" s="13" t="s">
        <v>11713</v>
      </c>
    </row>
    <row r="19" customFormat="false" ht="15" hidden="false" customHeight="true" outlineLevel="0" collapsed="false">
      <c r="A19" s="10" t="n">
        <v>18</v>
      </c>
      <c r="B19" s="8" t="s">
        <v>290</v>
      </c>
      <c r="C19" s="10" t="n">
        <f aca="false">COUNTIF(Dataset!$E$2:$E$5001,A19)</f>
        <v>12</v>
      </c>
      <c r="D19" s="13" t="s">
        <v>11711</v>
      </c>
      <c r="E19" s="14" t="s">
        <v>11712</v>
      </c>
      <c r="F19" s="14" t="s">
        <v>11712</v>
      </c>
      <c r="G19" s="14" t="s">
        <v>11712</v>
      </c>
      <c r="H19" s="14"/>
      <c r="I19" s="14"/>
      <c r="J19" s="13" t="s">
        <v>11713</v>
      </c>
    </row>
    <row r="20" customFormat="false" ht="23.25" hidden="false" customHeight="true" outlineLevel="0" collapsed="false">
      <c r="A20" s="10" t="n">
        <v>19</v>
      </c>
      <c r="B20" s="8" t="s">
        <v>304</v>
      </c>
      <c r="C20" s="10" t="n">
        <f aca="false">COUNTIF(Dataset!$E$2:$E$5001,A20)</f>
        <v>12</v>
      </c>
      <c r="D20" s="13" t="s">
        <v>11711</v>
      </c>
      <c r="E20" s="14" t="s">
        <v>11712</v>
      </c>
      <c r="F20" s="14" t="s">
        <v>11712</v>
      </c>
      <c r="G20" s="14" t="s">
        <v>11712</v>
      </c>
      <c r="H20" s="14"/>
      <c r="I20" s="14"/>
      <c r="J20" s="13" t="s">
        <v>11713</v>
      </c>
    </row>
    <row r="21" customFormat="false" ht="15" hidden="false" customHeight="true" outlineLevel="0" collapsed="false">
      <c r="A21" s="10" t="n">
        <v>20</v>
      </c>
      <c r="B21" s="8" t="s">
        <v>318</v>
      </c>
      <c r="C21" s="10" t="n">
        <f aca="false">COUNTIF(Dataset!$E$2:$E$5001,A21)</f>
        <v>12</v>
      </c>
      <c r="D21" s="13" t="s">
        <v>11711</v>
      </c>
      <c r="E21" s="14" t="s">
        <v>11712</v>
      </c>
      <c r="F21" s="14" t="s">
        <v>11712</v>
      </c>
      <c r="G21" s="14" t="s">
        <v>11712</v>
      </c>
      <c r="H21" s="14"/>
      <c r="I21" s="14"/>
      <c r="J21" s="13" t="s">
        <v>11713</v>
      </c>
    </row>
    <row r="22" customFormat="false" ht="23.25" hidden="false" customHeight="true" outlineLevel="0" collapsed="false">
      <c r="A22" s="10" t="n">
        <v>21</v>
      </c>
      <c r="B22" s="8" t="s">
        <v>332</v>
      </c>
      <c r="C22" s="10" t="n">
        <f aca="false">COUNTIF(Dataset!$E$2:$E$5001,A22)</f>
        <v>12</v>
      </c>
      <c r="D22" s="13" t="s">
        <v>11711</v>
      </c>
      <c r="E22" s="14" t="s">
        <v>11712</v>
      </c>
      <c r="F22" s="14" t="s">
        <v>11712</v>
      </c>
      <c r="G22" s="14" t="s">
        <v>11712</v>
      </c>
      <c r="H22" s="14"/>
      <c r="I22" s="14"/>
      <c r="J22" s="13" t="s">
        <v>11713</v>
      </c>
    </row>
    <row r="23" customFormat="false" ht="15" hidden="false" customHeight="true" outlineLevel="0" collapsed="false">
      <c r="A23" s="10" t="n">
        <v>22</v>
      </c>
      <c r="B23" s="8" t="s">
        <v>346</v>
      </c>
      <c r="C23" s="10" t="n">
        <f aca="false">COUNTIF(Dataset!$E$2:$E$5001,A23)</f>
        <v>12</v>
      </c>
      <c r="D23" s="13" t="s">
        <v>11711</v>
      </c>
      <c r="E23" s="14" t="s">
        <v>11712</v>
      </c>
      <c r="F23" s="14" t="s">
        <v>11712</v>
      </c>
      <c r="G23" s="14" t="s">
        <v>11712</v>
      </c>
      <c r="H23" s="14"/>
      <c r="I23" s="14"/>
      <c r="J23" s="13" t="s">
        <v>11713</v>
      </c>
    </row>
    <row r="24" customFormat="false" ht="23.25" hidden="false" customHeight="true" outlineLevel="0" collapsed="false">
      <c r="A24" s="10" t="n">
        <v>23</v>
      </c>
      <c r="B24" s="8" t="s">
        <v>360</v>
      </c>
      <c r="C24" s="10" t="n">
        <f aca="false">COUNTIF(Dataset!$E$2:$E$5001,A24)</f>
        <v>12</v>
      </c>
      <c r="D24" s="13" t="s">
        <v>11711</v>
      </c>
      <c r="E24" s="14" t="s">
        <v>11712</v>
      </c>
      <c r="F24" s="14" t="s">
        <v>11712</v>
      </c>
      <c r="G24" s="14" t="s">
        <v>11712</v>
      </c>
      <c r="H24" s="14"/>
      <c r="I24" s="14"/>
      <c r="J24" s="13" t="s">
        <v>11713</v>
      </c>
    </row>
    <row r="25" customFormat="false" ht="23.25" hidden="false" customHeight="true" outlineLevel="0" collapsed="false">
      <c r="A25" s="10" t="n">
        <v>24</v>
      </c>
      <c r="B25" s="8" t="s">
        <v>374</v>
      </c>
      <c r="C25" s="10" t="n">
        <f aca="false">COUNTIF(Dataset!$E$2:$E$5001,A25)</f>
        <v>12</v>
      </c>
      <c r="D25" s="13" t="s">
        <v>11711</v>
      </c>
      <c r="E25" s="14" t="s">
        <v>11712</v>
      </c>
      <c r="F25" s="14" t="s">
        <v>11712</v>
      </c>
      <c r="G25" s="14" t="s">
        <v>11712</v>
      </c>
      <c r="H25" s="14"/>
      <c r="I25" s="14"/>
      <c r="J25" s="13" t="s">
        <v>11713</v>
      </c>
    </row>
    <row r="26" customFormat="false" ht="23.25" hidden="false" customHeight="true" outlineLevel="0" collapsed="false">
      <c r="A26" s="10" t="n">
        <v>25</v>
      </c>
      <c r="B26" s="8" t="s">
        <v>388</v>
      </c>
      <c r="C26" s="10" t="n">
        <f aca="false">COUNTIF(Dataset!$E$2:$E$5001,A26)</f>
        <v>12</v>
      </c>
      <c r="D26" s="13" t="s">
        <v>11711</v>
      </c>
      <c r="E26" s="14" t="s">
        <v>11712</v>
      </c>
      <c r="F26" s="14" t="s">
        <v>11712</v>
      </c>
      <c r="G26" s="14" t="s">
        <v>11712</v>
      </c>
      <c r="H26" s="14"/>
      <c r="I26" s="14"/>
      <c r="J26" s="13" t="s">
        <v>11713</v>
      </c>
    </row>
    <row r="27" customFormat="false" ht="23.25" hidden="false" customHeight="true" outlineLevel="0" collapsed="false">
      <c r="A27" s="10" t="n">
        <v>26</v>
      </c>
      <c r="B27" s="8" t="s">
        <v>402</v>
      </c>
      <c r="C27" s="10" t="n">
        <f aca="false">COUNTIF(Dataset!$E$2:$E$5001,A27)</f>
        <v>12</v>
      </c>
      <c r="D27" s="13" t="s">
        <v>11711</v>
      </c>
      <c r="E27" s="14" t="s">
        <v>11712</v>
      </c>
      <c r="F27" s="14" t="s">
        <v>11712</v>
      </c>
      <c r="G27" s="14" t="s">
        <v>11712</v>
      </c>
      <c r="H27" s="14"/>
      <c r="I27" s="14"/>
      <c r="J27" s="13" t="s">
        <v>11713</v>
      </c>
    </row>
    <row r="28" customFormat="false" ht="23.25" hidden="false" customHeight="true" outlineLevel="0" collapsed="false">
      <c r="A28" s="10" t="n">
        <v>27</v>
      </c>
      <c r="B28" s="8" t="s">
        <v>416</v>
      </c>
      <c r="C28" s="10" t="n">
        <f aca="false">COUNTIF(Dataset!$E$2:$E$5001,A28)</f>
        <v>12</v>
      </c>
      <c r="D28" s="13" t="s">
        <v>11711</v>
      </c>
      <c r="E28" s="14" t="s">
        <v>11712</v>
      </c>
      <c r="F28" s="14" t="s">
        <v>11712</v>
      </c>
      <c r="G28" s="14" t="s">
        <v>11712</v>
      </c>
      <c r="H28" s="14"/>
      <c r="I28" s="14"/>
      <c r="J28" s="13" t="s">
        <v>11713</v>
      </c>
    </row>
    <row r="29" customFormat="false" ht="23.25" hidden="false" customHeight="true" outlineLevel="0" collapsed="false">
      <c r="A29" s="10" t="n">
        <v>28</v>
      </c>
      <c r="B29" s="8" t="s">
        <v>430</v>
      </c>
      <c r="C29" s="10" t="n">
        <f aca="false">COUNTIF(Dataset!$E$2:$E$5001,A29)</f>
        <v>12</v>
      </c>
      <c r="D29" s="13" t="s">
        <v>11711</v>
      </c>
      <c r="E29" s="14" t="s">
        <v>11712</v>
      </c>
      <c r="F29" s="14" t="s">
        <v>11712</v>
      </c>
      <c r="G29" s="14" t="s">
        <v>11712</v>
      </c>
      <c r="H29" s="14"/>
      <c r="I29" s="14"/>
      <c r="J29" s="13" t="s">
        <v>11713</v>
      </c>
    </row>
    <row r="30" customFormat="false" ht="23.25" hidden="false" customHeight="true" outlineLevel="0" collapsed="false">
      <c r="A30" s="10" t="n">
        <v>29</v>
      </c>
      <c r="B30" s="8" t="s">
        <v>444</v>
      </c>
      <c r="C30" s="10" t="n">
        <f aca="false">COUNTIF(Dataset!$E$2:$E$5001,A30)</f>
        <v>12</v>
      </c>
      <c r="D30" s="13" t="s">
        <v>11711</v>
      </c>
      <c r="E30" s="14" t="s">
        <v>11712</v>
      </c>
      <c r="F30" s="14" t="s">
        <v>11712</v>
      </c>
      <c r="G30" s="14" t="s">
        <v>11712</v>
      </c>
      <c r="H30" s="14"/>
      <c r="I30" s="14"/>
      <c r="J30" s="13" t="s">
        <v>11713</v>
      </c>
    </row>
    <row r="31" customFormat="false" ht="23.25" hidden="false" customHeight="true" outlineLevel="0" collapsed="false">
      <c r="A31" s="10" t="n">
        <v>30</v>
      </c>
      <c r="B31" s="8" t="s">
        <v>458</v>
      </c>
      <c r="C31" s="10" t="n">
        <f aca="false">COUNTIF(Dataset!$E$2:$E$5001,A31)</f>
        <v>12</v>
      </c>
      <c r="D31" s="13" t="s">
        <v>11711</v>
      </c>
      <c r="E31" s="14" t="s">
        <v>11712</v>
      </c>
      <c r="F31" s="14" t="s">
        <v>11712</v>
      </c>
      <c r="G31" s="14" t="s">
        <v>11712</v>
      </c>
      <c r="H31" s="14"/>
      <c r="I31" s="14"/>
      <c r="J31" s="13" t="s">
        <v>11713</v>
      </c>
    </row>
    <row r="32" customFormat="false" ht="15" hidden="false" customHeight="true" outlineLevel="0" collapsed="false">
      <c r="A32" s="10" t="n">
        <v>31</v>
      </c>
      <c r="B32" s="8" t="s">
        <v>472</v>
      </c>
      <c r="C32" s="10" t="n">
        <f aca="false">COUNTIF(Dataset!$E$2:$E$5001,A32)</f>
        <v>12</v>
      </c>
      <c r="D32" s="13" t="s">
        <v>11711</v>
      </c>
      <c r="E32" s="14" t="s">
        <v>11712</v>
      </c>
      <c r="F32" s="14" t="s">
        <v>11712</v>
      </c>
      <c r="G32" s="14" t="s">
        <v>11712</v>
      </c>
      <c r="H32" s="14"/>
      <c r="I32" s="14"/>
      <c r="J32" s="13" t="s">
        <v>11713</v>
      </c>
    </row>
    <row r="33" customFormat="false" ht="15" hidden="false" customHeight="true" outlineLevel="0" collapsed="false">
      <c r="A33" s="10" t="n">
        <v>32</v>
      </c>
      <c r="B33" s="8" t="s">
        <v>486</v>
      </c>
      <c r="C33" s="10" t="n">
        <f aca="false">COUNTIF(Dataset!$E$2:$E$5001,A33)</f>
        <v>12</v>
      </c>
      <c r="D33" s="13" t="s">
        <v>11711</v>
      </c>
      <c r="E33" s="14" t="s">
        <v>11712</v>
      </c>
      <c r="F33" s="14" t="s">
        <v>11712</v>
      </c>
      <c r="G33" s="14" t="s">
        <v>11712</v>
      </c>
      <c r="H33" s="14"/>
      <c r="I33" s="14"/>
      <c r="J33" s="13" t="s">
        <v>11713</v>
      </c>
    </row>
    <row r="34" customFormat="false" ht="15" hidden="false" customHeight="true" outlineLevel="0" collapsed="false">
      <c r="A34" s="10" t="n">
        <v>33</v>
      </c>
      <c r="B34" s="8" t="s">
        <v>500</v>
      </c>
      <c r="C34" s="10" t="n">
        <f aca="false">COUNTIF(Dataset!$E$2:$E$5001,A34)</f>
        <v>12</v>
      </c>
      <c r="D34" s="13" t="s">
        <v>11711</v>
      </c>
      <c r="E34" s="14" t="s">
        <v>11712</v>
      </c>
      <c r="F34" s="14" t="s">
        <v>11712</v>
      </c>
      <c r="G34" s="14" t="s">
        <v>11712</v>
      </c>
      <c r="H34" s="14"/>
      <c r="I34" s="14"/>
      <c r="J34" s="13" t="s">
        <v>11713</v>
      </c>
    </row>
    <row r="35" customFormat="false" ht="15" hidden="false" customHeight="true" outlineLevel="0" collapsed="false">
      <c r="A35" s="10" t="n">
        <v>34</v>
      </c>
      <c r="B35" s="8" t="s">
        <v>514</v>
      </c>
      <c r="C35" s="10" t="n">
        <f aca="false">COUNTIF(Dataset!$E$2:$E$5001,A35)</f>
        <v>12</v>
      </c>
      <c r="D35" s="13" t="s">
        <v>11711</v>
      </c>
      <c r="E35" s="14" t="s">
        <v>11712</v>
      </c>
      <c r="F35" s="14" t="s">
        <v>11712</v>
      </c>
      <c r="G35" s="14" t="s">
        <v>11712</v>
      </c>
      <c r="H35" s="14"/>
      <c r="I35" s="14"/>
      <c r="J35" s="13" t="s">
        <v>11713</v>
      </c>
    </row>
    <row r="36" customFormat="false" ht="15" hidden="false" customHeight="true" outlineLevel="0" collapsed="false">
      <c r="A36" s="10" t="n">
        <v>35</v>
      </c>
      <c r="B36" s="8" t="s">
        <v>528</v>
      </c>
      <c r="C36" s="10" t="n">
        <f aca="false">COUNTIF(Dataset!$E$2:$E$5001,A36)</f>
        <v>12</v>
      </c>
      <c r="D36" s="13" t="s">
        <v>11711</v>
      </c>
      <c r="E36" s="14" t="s">
        <v>11712</v>
      </c>
      <c r="F36" s="14" t="s">
        <v>11712</v>
      </c>
      <c r="G36" s="14" t="s">
        <v>11712</v>
      </c>
      <c r="H36" s="14"/>
      <c r="I36" s="14"/>
      <c r="J36" s="13" t="s">
        <v>11713</v>
      </c>
    </row>
    <row r="37" customFormat="false" ht="23.25" hidden="false" customHeight="true" outlineLevel="0" collapsed="false">
      <c r="A37" s="10" t="n">
        <v>36</v>
      </c>
      <c r="B37" s="8" t="s">
        <v>542</v>
      </c>
      <c r="C37" s="10" t="n">
        <f aca="false">COUNTIF(Dataset!$E$2:$E$5001,A37)</f>
        <v>12</v>
      </c>
      <c r="D37" s="13" t="s">
        <v>11711</v>
      </c>
      <c r="E37" s="14" t="s">
        <v>11712</v>
      </c>
      <c r="F37" s="14" t="s">
        <v>11712</v>
      </c>
      <c r="G37" s="14" t="s">
        <v>11712</v>
      </c>
      <c r="H37" s="14"/>
      <c r="I37" s="14"/>
      <c r="J37" s="13" t="s">
        <v>11713</v>
      </c>
    </row>
    <row r="38" customFormat="false" ht="15" hidden="false" customHeight="true" outlineLevel="0" collapsed="false">
      <c r="A38" s="10" t="n">
        <v>37</v>
      </c>
      <c r="B38" s="8" t="s">
        <v>556</v>
      </c>
      <c r="C38" s="10" t="n">
        <f aca="false">COUNTIF(Dataset!$E$2:$E$5001,A38)</f>
        <v>12</v>
      </c>
      <c r="D38" s="13" t="s">
        <v>11711</v>
      </c>
      <c r="E38" s="14" t="s">
        <v>11712</v>
      </c>
      <c r="F38" s="14" t="s">
        <v>11712</v>
      </c>
      <c r="G38" s="14" t="s">
        <v>11712</v>
      </c>
      <c r="H38" s="14"/>
      <c r="I38" s="14"/>
      <c r="J38" s="13" t="s">
        <v>11713</v>
      </c>
    </row>
    <row r="39" customFormat="false" ht="23.25" hidden="false" customHeight="true" outlineLevel="0" collapsed="false">
      <c r="A39" s="10" t="n">
        <v>38</v>
      </c>
      <c r="B39" s="8" t="s">
        <v>570</v>
      </c>
      <c r="C39" s="10" t="n">
        <f aca="false">COUNTIF(Dataset!$E$2:$E$5001,A39)</f>
        <v>12</v>
      </c>
      <c r="D39" s="13" t="s">
        <v>11711</v>
      </c>
      <c r="E39" s="14" t="s">
        <v>11712</v>
      </c>
      <c r="F39" s="14" t="s">
        <v>11712</v>
      </c>
      <c r="G39" s="14" t="s">
        <v>11712</v>
      </c>
      <c r="H39" s="14"/>
      <c r="I39" s="14"/>
      <c r="J39" s="13" t="s">
        <v>11713</v>
      </c>
    </row>
    <row r="40" customFormat="false" ht="23.25" hidden="false" customHeight="true" outlineLevel="0" collapsed="false">
      <c r="A40" s="10" t="n">
        <v>39</v>
      </c>
      <c r="B40" s="8" t="s">
        <v>584</v>
      </c>
      <c r="C40" s="10" t="n">
        <f aca="false">COUNTIF(Dataset!$E$2:$E$5001,A40)</f>
        <v>12</v>
      </c>
      <c r="D40" s="13" t="s">
        <v>11711</v>
      </c>
      <c r="E40" s="14" t="s">
        <v>11712</v>
      </c>
      <c r="F40" s="14" t="s">
        <v>11712</v>
      </c>
      <c r="G40" s="14" t="s">
        <v>11712</v>
      </c>
      <c r="H40" s="14"/>
      <c r="I40" s="14"/>
      <c r="J40" s="13" t="s">
        <v>11713</v>
      </c>
    </row>
    <row r="41" customFormat="false" ht="23.25" hidden="false" customHeight="true" outlineLevel="0" collapsed="false">
      <c r="A41" s="10" t="n">
        <v>40</v>
      </c>
      <c r="B41" s="8" t="s">
        <v>598</v>
      </c>
      <c r="C41" s="10" t="n">
        <f aca="false">COUNTIF(Dataset!$E$2:$E$5001,A41)</f>
        <v>12</v>
      </c>
      <c r="D41" s="13" t="s">
        <v>11711</v>
      </c>
      <c r="E41" s="14" t="s">
        <v>11712</v>
      </c>
      <c r="F41" s="14" t="s">
        <v>11712</v>
      </c>
      <c r="G41" s="14" t="s">
        <v>11712</v>
      </c>
      <c r="H41" s="14"/>
      <c r="I41" s="14"/>
      <c r="J41" s="13" t="s">
        <v>11713</v>
      </c>
    </row>
    <row r="42" customFormat="false" ht="23.25" hidden="false" customHeight="true" outlineLevel="0" collapsed="false">
      <c r="A42" s="10" t="n">
        <v>41</v>
      </c>
      <c r="B42" s="8" t="s">
        <v>612</v>
      </c>
      <c r="C42" s="10" t="n">
        <f aca="false">COUNTIF(Dataset!$E$2:$E$5001,A42)</f>
        <v>12</v>
      </c>
      <c r="D42" s="13" t="s">
        <v>11711</v>
      </c>
      <c r="E42" s="14" t="s">
        <v>11712</v>
      </c>
      <c r="F42" s="14" t="s">
        <v>11712</v>
      </c>
      <c r="G42" s="14" t="s">
        <v>11712</v>
      </c>
      <c r="H42" s="14"/>
      <c r="I42" s="14"/>
      <c r="J42" s="13" t="s">
        <v>11713</v>
      </c>
    </row>
    <row r="43" customFormat="false" ht="23.25" hidden="false" customHeight="true" outlineLevel="0" collapsed="false">
      <c r="A43" s="10" t="n">
        <v>42</v>
      </c>
      <c r="B43" s="8" t="s">
        <v>584</v>
      </c>
      <c r="C43" s="10" t="n">
        <f aca="false">COUNTIF(Dataset!$E$2:$E$5001,A43)</f>
        <v>12</v>
      </c>
      <c r="D43" s="13" t="s">
        <v>11711</v>
      </c>
      <c r="E43" s="14" t="s">
        <v>11712</v>
      </c>
      <c r="F43" s="14" t="s">
        <v>11712</v>
      </c>
      <c r="G43" s="14" t="s">
        <v>11712</v>
      </c>
      <c r="H43" s="14"/>
      <c r="I43" s="14"/>
      <c r="J43" s="13" t="s">
        <v>11713</v>
      </c>
    </row>
    <row r="44" customFormat="false" ht="23.25" hidden="false" customHeight="true" outlineLevel="0" collapsed="false">
      <c r="A44" s="10" t="n">
        <v>43</v>
      </c>
      <c r="B44" s="8" t="s">
        <v>639</v>
      </c>
      <c r="C44" s="10" t="n">
        <f aca="false">COUNTIF(Dataset!$E$2:$E$5001,A44)</f>
        <v>12</v>
      </c>
      <c r="D44" s="13" t="s">
        <v>11711</v>
      </c>
      <c r="E44" s="14" t="s">
        <v>11712</v>
      </c>
      <c r="F44" s="14" t="s">
        <v>11712</v>
      </c>
      <c r="G44" s="14" t="s">
        <v>11712</v>
      </c>
      <c r="H44" s="14"/>
      <c r="I44" s="14"/>
      <c r="J44" s="13" t="s">
        <v>11713</v>
      </c>
    </row>
    <row r="45" customFormat="false" ht="23.25" hidden="false" customHeight="true" outlineLevel="0" collapsed="false">
      <c r="A45" s="10" t="n">
        <v>44</v>
      </c>
      <c r="B45" s="8" t="s">
        <v>653</v>
      </c>
      <c r="C45" s="10" t="n">
        <f aca="false">COUNTIF(Dataset!$E$2:$E$5001,A45)</f>
        <v>12</v>
      </c>
      <c r="D45" s="13" t="s">
        <v>11711</v>
      </c>
      <c r="E45" s="14" t="s">
        <v>11712</v>
      </c>
      <c r="F45" s="14" t="s">
        <v>11712</v>
      </c>
      <c r="G45" s="14" t="s">
        <v>11712</v>
      </c>
      <c r="H45" s="14"/>
      <c r="I45" s="14"/>
      <c r="J45" s="13" t="s">
        <v>11713</v>
      </c>
    </row>
    <row r="46" customFormat="false" ht="15" hidden="false" customHeight="true" outlineLevel="0" collapsed="false">
      <c r="A46" s="10" t="n">
        <v>45</v>
      </c>
      <c r="B46" s="8" t="s">
        <v>667</v>
      </c>
      <c r="C46" s="10" t="n">
        <f aca="false">COUNTIF(Dataset!$E$2:$E$5001,A46)</f>
        <v>12</v>
      </c>
      <c r="D46" s="13" t="s">
        <v>11711</v>
      </c>
      <c r="E46" s="14" t="s">
        <v>11712</v>
      </c>
      <c r="F46" s="14" t="s">
        <v>11712</v>
      </c>
      <c r="G46" s="14" t="s">
        <v>11712</v>
      </c>
      <c r="H46" s="14"/>
      <c r="I46" s="14"/>
      <c r="J46" s="13" t="s">
        <v>11713</v>
      </c>
    </row>
    <row r="47" customFormat="false" ht="15" hidden="false" customHeight="true" outlineLevel="0" collapsed="false">
      <c r="A47" s="10" t="n">
        <v>46</v>
      </c>
      <c r="B47" s="8" t="s">
        <v>681</v>
      </c>
      <c r="C47" s="10" t="n">
        <f aca="false">COUNTIF(Dataset!$E$2:$E$5001,A47)</f>
        <v>12</v>
      </c>
      <c r="D47" s="13" t="s">
        <v>11711</v>
      </c>
      <c r="E47" s="14" t="s">
        <v>11712</v>
      </c>
      <c r="F47" s="14" t="s">
        <v>11712</v>
      </c>
      <c r="G47" s="14" t="s">
        <v>11712</v>
      </c>
      <c r="H47" s="14"/>
      <c r="I47" s="14"/>
      <c r="J47" s="13" t="s">
        <v>11713</v>
      </c>
    </row>
    <row r="48" customFormat="false" ht="15" hidden="false" customHeight="true" outlineLevel="0" collapsed="false">
      <c r="A48" s="10" t="n">
        <v>47</v>
      </c>
      <c r="B48" s="8" t="s">
        <v>695</v>
      </c>
      <c r="C48" s="10" t="n">
        <f aca="false">COUNTIF(Dataset!$E$2:$E$5001,A48)</f>
        <v>12</v>
      </c>
      <c r="D48" s="13" t="s">
        <v>11714</v>
      </c>
      <c r="E48" s="14" t="s">
        <v>11715</v>
      </c>
      <c r="F48" s="14" t="s">
        <v>11715</v>
      </c>
      <c r="G48" s="14" t="s">
        <v>11715</v>
      </c>
      <c r="H48" s="14" t="s">
        <v>11716</v>
      </c>
      <c r="I48" s="14"/>
      <c r="J48" s="13" t="s">
        <v>11717</v>
      </c>
    </row>
    <row r="49" customFormat="false" ht="15" hidden="false" customHeight="true" outlineLevel="0" collapsed="false">
      <c r="A49" s="10" t="n">
        <v>48</v>
      </c>
      <c r="B49" s="8" t="s">
        <v>709</v>
      </c>
      <c r="C49" s="10" t="n">
        <f aca="false">COUNTIF(Dataset!$E$2:$E$5001,A49)</f>
        <v>12</v>
      </c>
      <c r="D49" s="13" t="s">
        <v>11718</v>
      </c>
      <c r="E49" s="14" t="s">
        <v>11715</v>
      </c>
      <c r="F49" s="14" t="s">
        <v>11715</v>
      </c>
      <c r="G49" s="14" t="s">
        <v>11715</v>
      </c>
      <c r="H49" s="14" t="s">
        <v>11719</v>
      </c>
      <c r="I49" s="14"/>
      <c r="J49" s="13" t="s">
        <v>11717</v>
      </c>
    </row>
    <row r="50" customFormat="false" ht="34.5" hidden="false" customHeight="true" outlineLevel="0" collapsed="false">
      <c r="A50" s="10" t="n">
        <v>49</v>
      </c>
      <c r="B50" s="8" t="s">
        <v>723</v>
      </c>
      <c r="C50" s="10" t="n">
        <f aca="false">COUNTIF(Dataset!$E$2:$E$5001,A50)</f>
        <v>12</v>
      </c>
      <c r="D50" s="13" t="s">
        <v>11720</v>
      </c>
      <c r="E50" s="14" t="s">
        <v>11715</v>
      </c>
      <c r="F50" s="14" t="s">
        <v>11715</v>
      </c>
      <c r="G50" s="14" t="s">
        <v>11715</v>
      </c>
      <c r="H50" s="14" t="s">
        <v>11721</v>
      </c>
      <c r="I50" s="14"/>
      <c r="J50" s="13" t="s">
        <v>11717</v>
      </c>
    </row>
    <row r="51" customFormat="false" ht="23.25" hidden="false" customHeight="true" outlineLevel="0" collapsed="false">
      <c r="A51" s="10" t="n">
        <v>50</v>
      </c>
      <c r="B51" s="8" t="s">
        <v>737</v>
      </c>
      <c r="C51" s="10" t="n">
        <f aca="false">COUNTIF(Dataset!$E$2:$E$5001,A51)</f>
        <v>12</v>
      </c>
      <c r="D51" s="13" t="s">
        <v>11722</v>
      </c>
      <c r="E51" s="14" t="s">
        <v>11715</v>
      </c>
      <c r="F51" s="14" t="s">
        <v>11715</v>
      </c>
      <c r="G51" s="14" t="s">
        <v>11715</v>
      </c>
      <c r="H51" s="14" t="s">
        <v>11723</v>
      </c>
      <c r="I51" s="14"/>
      <c r="J51" s="13" t="s">
        <v>11717</v>
      </c>
    </row>
    <row r="52" customFormat="false" ht="23.25" hidden="false" customHeight="true" outlineLevel="0" collapsed="false">
      <c r="A52" s="10" t="n">
        <v>51</v>
      </c>
      <c r="B52" s="8" t="s">
        <v>751</v>
      </c>
      <c r="C52" s="10" t="n">
        <f aca="false">COUNTIF(Dataset!$E$2:$E$5001,A52)</f>
        <v>12</v>
      </c>
      <c r="D52" s="13" t="s">
        <v>11724</v>
      </c>
      <c r="E52" s="14" t="s">
        <v>11715</v>
      </c>
      <c r="F52" s="14" t="s">
        <v>11715</v>
      </c>
      <c r="G52" s="14" t="s">
        <v>11715</v>
      </c>
      <c r="H52" s="14" t="s">
        <v>11725</v>
      </c>
      <c r="I52" s="14"/>
      <c r="J52" s="13" t="s">
        <v>11717</v>
      </c>
    </row>
    <row r="53" customFormat="false" ht="23.25" hidden="false" customHeight="true" outlineLevel="0" collapsed="false">
      <c r="A53" s="10" t="n">
        <v>52</v>
      </c>
      <c r="B53" s="8" t="s">
        <v>765</v>
      </c>
      <c r="C53" s="10" t="n">
        <f aca="false">COUNTIF(Dataset!$E$2:$E$5001,A53)</f>
        <v>12</v>
      </c>
      <c r="D53" s="13" t="s">
        <v>11726</v>
      </c>
      <c r="E53" s="14" t="s">
        <v>11715</v>
      </c>
      <c r="F53" s="14" t="s">
        <v>11715</v>
      </c>
      <c r="G53" s="14" t="s">
        <v>11715</v>
      </c>
      <c r="H53" s="14" t="s">
        <v>11727</v>
      </c>
      <c r="I53" s="14"/>
      <c r="J53" s="13" t="s">
        <v>11717</v>
      </c>
    </row>
    <row r="54" customFormat="false" ht="23.25" hidden="false" customHeight="true" outlineLevel="0" collapsed="false">
      <c r="A54" s="10" t="n">
        <v>53</v>
      </c>
      <c r="B54" s="8" t="s">
        <v>779</v>
      </c>
      <c r="C54" s="10" t="n">
        <f aca="false">COUNTIF(Dataset!$E$2:$E$5001,A54)</f>
        <v>12</v>
      </c>
      <c r="D54" s="13" t="s">
        <v>11728</v>
      </c>
      <c r="E54" s="14" t="s">
        <v>11715</v>
      </c>
      <c r="F54" s="14" t="s">
        <v>11715</v>
      </c>
      <c r="G54" s="14" t="s">
        <v>11715</v>
      </c>
      <c r="H54" s="14" t="s">
        <v>11729</v>
      </c>
      <c r="I54" s="14"/>
      <c r="J54" s="13" t="s">
        <v>11717</v>
      </c>
    </row>
    <row r="55" customFormat="false" ht="15" hidden="false" customHeight="true" outlineLevel="0" collapsed="false">
      <c r="A55" s="10" t="n">
        <v>54</v>
      </c>
      <c r="B55" s="8" t="s">
        <v>793</v>
      </c>
      <c r="C55" s="10" t="n">
        <f aca="false">COUNTIF(Dataset!$E$2:$E$5001,A55)</f>
        <v>12</v>
      </c>
      <c r="D55" s="13" t="s">
        <v>11730</v>
      </c>
      <c r="E55" s="14" t="s">
        <v>11715</v>
      </c>
      <c r="F55" s="14" t="s">
        <v>11715</v>
      </c>
      <c r="G55" s="14" t="s">
        <v>11715</v>
      </c>
      <c r="H55" s="14" t="s">
        <v>11731</v>
      </c>
      <c r="I55" s="14"/>
      <c r="J55" s="13" t="s">
        <v>11717</v>
      </c>
    </row>
    <row r="56" customFormat="false" ht="23.25" hidden="false" customHeight="true" outlineLevel="0" collapsed="false">
      <c r="A56" s="10" t="n">
        <v>55</v>
      </c>
      <c r="B56" s="8" t="s">
        <v>807</v>
      </c>
      <c r="C56" s="10" t="n">
        <f aca="false">COUNTIF(Dataset!$E$2:$E$5001,A56)</f>
        <v>12</v>
      </c>
      <c r="D56" s="13" t="s">
        <v>11732</v>
      </c>
      <c r="E56" s="14" t="s">
        <v>11715</v>
      </c>
      <c r="F56" s="14" t="s">
        <v>11715</v>
      </c>
      <c r="G56" s="14" t="s">
        <v>11715</v>
      </c>
      <c r="H56" s="14" t="s">
        <v>11733</v>
      </c>
      <c r="I56" s="14"/>
      <c r="J56" s="13" t="s">
        <v>11717</v>
      </c>
    </row>
    <row r="57" customFormat="false" ht="15" hidden="false" customHeight="true" outlineLevel="0" collapsed="false">
      <c r="A57" s="10" t="n">
        <v>56</v>
      </c>
      <c r="B57" s="8" t="s">
        <v>821</v>
      </c>
      <c r="C57" s="10" t="n">
        <f aca="false">COUNTIF(Dataset!$E$2:$E$5001,A57)</f>
        <v>12</v>
      </c>
      <c r="D57" s="13" t="s">
        <v>11734</v>
      </c>
      <c r="E57" s="14" t="s">
        <v>11715</v>
      </c>
      <c r="F57" s="14" t="s">
        <v>11715</v>
      </c>
      <c r="G57" s="14" t="s">
        <v>11715</v>
      </c>
      <c r="H57" s="14" t="s">
        <v>11735</v>
      </c>
      <c r="I57" s="14"/>
      <c r="J57" s="13" t="s">
        <v>11717</v>
      </c>
    </row>
    <row r="58" customFormat="false" ht="23.25" hidden="false" customHeight="true" outlineLevel="0" collapsed="false">
      <c r="A58" s="10" t="n">
        <v>57</v>
      </c>
      <c r="B58" s="8" t="s">
        <v>835</v>
      </c>
      <c r="C58" s="10" t="n">
        <f aca="false">COUNTIF(Dataset!$E$2:$E$5001,A58)</f>
        <v>12</v>
      </c>
      <c r="D58" s="13" t="s">
        <v>11736</v>
      </c>
      <c r="E58" s="14" t="s">
        <v>11715</v>
      </c>
      <c r="F58" s="14" t="s">
        <v>11715</v>
      </c>
      <c r="G58" s="14" t="s">
        <v>11715</v>
      </c>
      <c r="H58" s="14" t="s">
        <v>11737</v>
      </c>
      <c r="I58" s="14"/>
      <c r="J58" s="13" t="s">
        <v>11717</v>
      </c>
    </row>
    <row r="59" customFormat="false" ht="23.25" hidden="false" customHeight="true" outlineLevel="0" collapsed="false">
      <c r="A59" s="10" t="n">
        <v>58</v>
      </c>
      <c r="B59" s="8" t="s">
        <v>849</v>
      </c>
      <c r="C59" s="10" t="n">
        <f aca="false">COUNTIF(Dataset!$E$2:$E$5001,A59)</f>
        <v>12</v>
      </c>
      <c r="D59" s="13" t="s">
        <v>11738</v>
      </c>
      <c r="E59" s="14" t="s">
        <v>11715</v>
      </c>
      <c r="F59" s="14" t="s">
        <v>11715</v>
      </c>
      <c r="G59" s="14" t="s">
        <v>11715</v>
      </c>
      <c r="H59" s="14" t="s">
        <v>11739</v>
      </c>
      <c r="I59" s="14"/>
      <c r="J59" s="13" t="s">
        <v>11717</v>
      </c>
    </row>
    <row r="60" customFormat="false" ht="23.25" hidden="false" customHeight="true" outlineLevel="0" collapsed="false">
      <c r="A60" s="10" t="n">
        <v>59</v>
      </c>
      <c r="B60" s="8" t="s">
        <v>863</v>
      </c>
      <c r="C60" s="10" t="n">
        <f aca="false">COUNTIF(Dataset!$E$2:$E$5001,A60)</f>
        <v>12</v>
      </c>
      <c r="D60" s="13" t="s">
        <v>11740</v>
      </c>
      <c r="E60" s="14" t="s">
        <v>11715</v>
      </c>
      <c r="F60" s="14" t="s">
        <v>11715</v>
      </c>
      <c r="G60" s="14" t="s">
        <v>11715</v>
      </c>
      <c r="H60" s="14" t="s">
        <v>11741</v>
      </c>
      <c r="I60" s="14"/>
      <c r="J60" s="13" t="s">
        <v>11717</v>
      </c>
    </row>
    <row r="61" customFormat="false" ht="23.25" hidden="false" customHeight="true" outlineLevel="0" collapsed="false">
      <c r="A61" s="10" t="n">
        <v>60</v>
      </c>
      <c r="B61" s="8" t="s">
        <v>877</v>
      </c>
      <c r="C61" s="10" t="n">
        <f aca="false">COUNTIF(Dataset!$E$2:$E$5001,A61)</f>
        <v>12</v>
      </c>
      <c r="D61" s="13" t="s">
        <v>11742</v>
      </c>
      <c r="E61" s="14" t="s">
        <v>11715</v>
      </c>
      <c r="F61" s="14" t="s">
        <v>11715</v>
      </c>
      <c r="G61" s="14" t="s">
        <v>11715</v>
      </c>
      <c r="H61" s="14" t="s">
        <v>11743</v>
      </c>
      <c r="I61" s="14"/>
      <c r="J61" s="13" t="s">
        <v>11717</v>
      </c>
    </row>
    <row r="62" customFormat="false" ht="15" hidden="false" customHeight="true" outlineLevel="0" collapsed="false">
      <c r="A62" s="10" t="n">
        <v>61</v>
      </c>
      <c r="B62" s="8" t="s">
        <v>891</v>
      </c>
      <c r="C62" s="10" t="n">
        <f aca="false">COUNTIF(Dataset!$E$2:$E$5001,A62)</f>
        <v>12</v>
      </c>
      <c r="D62" s="13" t="s">
        <v>11744</v>
      </c>
      <c r="E62" s="14" t="s">
        <v>11715</v>
      </c>
      <c r="F62" s="14" t="s">
        <v>11715</v>
      </c>
      <c r="G62" s="14" t="s">
        <v>11715</v>
      </c>
      <c r="H62" s="14" t="s">
        <v>11745</v>
      </c>
      <c r="I62" s="14"/>
      <c r="J62" s="13" t="s">
        <v>11717</v>
      </c>
    </row>
    <row r="63" customFormat="false" ht="34.5" hidden="false" customHeight="true" outlineLevel="0" collapsed="false">
      <c r="A63" s="10" t="n">
        <v>62</v>
      </c>
      <c r="B63" s="8" t="s">
        <v>905</v>
      </c>
      <c r="C63" s="10" t="n">
        <f aca="false">COUNTIF(Dataset!$E$2:$E$5001,A63)</f>
        <v>12</v>
      </c>
      <c r="D63" s="13" t="s">
        <v>11746</v>
      </c>
      <c r="E63" s="14" t="s">
        <v>11715</v>
      </c>
      <c r="F63" s="14" t="s">
        <v>11715</v>
      </c>
      <c r="G63" s="14" t="s">
        <v>11715</v>
      </c>
      <c r="H63" s="14" t="s">
        <v>11747</v>
      </c>
      <c r="I63" s="14"/>
      <c r="J63" s="13" t="s">
        <v>11717</v>
      </c>
    </row>
    <row r="64" customFormat="false" ht="15" hidden="false" customHeight="true" outlineLevel="0" collapsed="false">
      <c r="A64" s="10" t="n">
        <v>63</v>
      </c>
      <c r="B64" s="8" t="s">
        <v>919</v>
      </c>
      <c r="C64" s="10" t="n">
        <f aca="false">COUNTIF(Dataset!$E$2:$E$5001,A64)</f>
        <v>12</v>
      </c>
      <c r="D64" s="13" t="s">
        <v>11711</v>
      </c>
      <c r="E64" s="14" t="s">
        <v>11712</v>
      </c>
      <c r="F64" s="14" t="s">
        <v>11712</v>
      </c>
      <c r="G64" s="14" t="s">
        <v>11712</v>
      </c>
      <c r="H64" s="14"/>
      <c r="I64" s="14"/>
      <c r="J64" s="13" t="s">
        <v>11713</v>
      </c>
    </row>
    <row r="65" customFormat="false" ht="15" hidden="false" customHeight="true" outlineLevel="0" collapsed="false">
      <c r="A65" s="10" t="n">
        <v>64</v>
      </c>
      <c r="B65" s="8" t="s">
        <v>933</v>
      </c>
      <c r="C65" s="10" t="n">
        <f aca="false">COUNTIF(Dataset!$E$2:$E$5001,A65)</f>
        <v>12</v>
      </c>
      <c r="D65" s="13" t="s">
        <v>11748</v>
      </c>
      <c r="E65" s="14" t="s">
        <v>11749</v>
      </c>
      <c r="F65" s="14" t="s">
        <v>11750</v>
      </c>
      <c r="G65" s="14" t="s">
        <v>11750</v>
      </c>
      <c r="H65" s="14" t="s">
        <v>11751</v>
      </c>
      <c r="I65" s="14"/>
      <c r="J65" s="13" t="s">
        <v>11717</v>
      </c>
    </row>
    <row r="66" customFormat="false" ht="15" hidden="false" customHeight="true" outlineLevel="0" collapsed="false">
      <c r="A66" s="10" t="n">
        <v>65</v>
      </c>
      <c r="B66" s="8" t="s">
        <v>947</v>
      </c>
      <c r="C66" s="10" t="n">
        <f aca="false">COUNTIF(Dataset!$E$2:$E$5001,A66)</f>
        <v>12</v>
      </c>
      <c r="D66" s="13" t="s">
        <v>11752</v>
      </c>
      <c r="E66" s="14" t="s">
        <v>11749</v>
      </c>
      <c r="F66" s="14" t="s">
        <v>11750</v>
      </c>
      <c r="G66" s="14" t="s">
        <v>11750</v>
      </c>
      <c r="H66" s="14" t="s">
        <v>11753</v>
      </c>
      <c r="I66" s="14"/>
      <c r="J66" s="13" t="s">
        <v>11717</v>
      </c>
    </row>
    <row r="67" customFormat="false" ht="23.25" hidden="false" customHeight="true" outlineLevel="0" collapsed="false">
      <c r="A67" s="10" t="n">
        <v>66</v>
      </c>
      <c r="B67" s="8" t="s">
        <v>961</v>
      </c>
      <c r="C67" s="10" t="n">
        <f aca="false">COUNTIF(Dataset!$E$2:$E$5001,A67)</f>
        <v>12</v>
      </c>
      <c r="D67" s="13" t="s">
        <v>11754</v>
      </c>
      <c r="E67" s="14" t="s">
        <v>11749</v>
      </c>
      <c r="F67" s="14" t="s">
        <v>11750</v>
      </c>
      <c r="G67" s="14" t="s">
        <v>11750</v>
      </c>
      <c r="H67" s="14" t="s">
        <v>11755</v>
      </c>
      <c r="I67" s="14"/>
      <c r="J67" s="13" t="s">
        <v>11717</v>
      </c>
    </row>
    <row r="68" customFormat="false" ht="23.25" hidden="false" customHeight="true" outlineLevel="0" collapsed="false">
      <c r="A68" s="10" t="n">
        <v>67</v>
      </c>
      <c r="B68" s="8" t="s">
        <v>975</v>
      </c>
      <c r="C68" s="10" t="n">
        <f aca="false">COUNTIF(Dataset!$E$2:$E$5001,A68)</f>
        <v>12</v>
      </c>
      <c r="D68" s="13" t="s">
        <v>11756</v>
      </c>
      <c r="E68" s="14" t="s">
        <v>11749</v>
      </c>
      <c r="F68" s="14" t="s">
        <v>11750</v>
      </c>
      <c r="G68" s="14" t="s">
        <v>11750</v>
      </c>
      <c r="H68" s="14" t="s">
        <v>11757</v>
      </c>
      <c r="I68" s="14"/>
      <c r="J68" s="13" t="s">
        <v>11717</v>
      </c>
    </row>
    <row r="69" customFormat="false" ht="15" hidden="false" customHeight="true" outlineLevel="0" collapsed="false">
      <c r="A69" s="10" t="n">
        <v>68</v>
      </c>
      <c r="B69" s="8" t="s">
        <v>989</v>
      </c>
      <c r="C69" s="10" t="n">
        <f aca="false">COUNTIF(Dataset!$E$2:$E$5001,A69)</f>
        <v>12</v>
      </c>
      <c r="D69" s="13" t="s">
        <v>11758</v>
      </c>
      <c r="E69" s="14" t="s">
        <v>11749</v>
      </c>
      <c r="F69" s="14" t="s">
        <v>11750</v>
      </c>
      <c r="G69" s="14" t="s">
        <v>11750</v>
      </c>
      <c r="H69" s="14" t="s">
        <v>11759</v>
      </c>
      <c r="I69" s="14"/>
      <c r="J69" s="13" t="s">
        <v>11717</v>
      </c>
    </row>
    <row r="70" customFormat="false" ht="15" hidden="false" customHeight="true" outlineLevel="0" collapsed="false">
      <c r="A70" s="10" t="n">
        <v>69</v>
      </c>
      <c r="B70" s="8" t="s">
        <v>1003</v>
      </c>
      <c r="C70" s="10" t="n">
        <f aca="false">COUNTIF(Dataset!$E$2:$E$5001,A70)</f>
        <v>12</v>
      </c>
      <c r="D70" s="13" t="s">
        <v>11760</v>
      </c>
      <c r="E70" s="14" t="s">
        <v>11749</v>
      </c>
      <c r="F70" s="14" t="s">
        <v>11750</v>
      </c>
      <c r="G70" s="14" t="s">
        <v>11750</v>
      </c>
      <c r="H70" s="14" t="s">
        <v>11719</v>
      </c>
      <c r="I70" s="14"/>
      <c r="J70" s="13" t="s">
        <v>11717</v>
      </c>
    </row>
    <row r="71" customFormat="false" ht="15" hidden="false" customHeight="true" outlineLevel="0" collapsed="false">
      <c r="A71" s="10" t="n">
        <v>70</v>
      </c>
      <c r="B71" s="8" t="s">
        <v>1017</v>
      </c>
      <c r="C71" s="10" t="n">
        <f aca="false">COUNTIF(Dataset!$E$2:$E$5001,A71)</f>
        <v>12</v>
      </c>
      <c r="D71" s="13" t="s">
        <v>11761</v>
      </c>
      <c r="E71" s="14" t="s">
        <v>11749</v>
      </c>
      <c r="F71" s="14" t="s">
        <v>11750</v>
      </c>
      <c r="G71" s="14" t="s">
        <v>11750</v>
      </c>
      <c r="H71" s="14" t="s">
        <v>11762</v>
      </c>
      <c r="I71" s="14"/>
      <c r="J71" s="13" t="s">
        <v>11717</v>
      </c>
    </row>
    <row r="72" customFormat="false" ht="15" hidden="false" customHeight="true" outlineLevel="0" collapsed="false">
      <c r="A72" s="10" t="n">
        <v>71</v>
      </c>
      <c r="B72" s="8" t="s">
        <v>1031</v>
      </c>
      <c r="C72" s="10" t="n">
        <f aca="false">COUNTIF(Dataset!$E$2:$E$5001,A72)</f>
        <v>12</v>
      </c>
      <c r="D72" s="13" t="s">
        <v>11763</v>
      </c>
      <c r="E72" s="14" t="s">
        <v>11749</v>
      </c>
      <c r="F72" s="14" t="s">
        <v>11750</v>
      </c>
      <c r="G72" s="14" t="s">
        <v>11750</v>
      </c>
      <c r="H72" s="14" t="s">
        <v>11764</v>
      </c>
      <c r="I72" s="14"/>
      <c r="J72" s="13" t="s">
        <v>11717</v>
      </c>
    </row>
    <row r="73" customFormat="false" ht="15" hidden="false" customHeight="true" outlineLevel="0" collapsed="false">
      <c r="A73" s="10" t="n">
        <v>72</v>
      </c>
      <c r="B73" s="8" t="s">
        <v>1045</v>
      </c>
      <c r="C73" s="10" t="n">
        <f aca="false">COUNTIF(Dataset!$E$2:$E$5001,A73)</f>
        <v>12</v>
      </c>
      <c r="D73" s="13" t="s">
        <v>11765</v>
      </c>
      <c r="E73" s="14" t="s">
        <v>11749</v>
      </c>
      <c r="F73" s="14" t="s">
        <v>11749</v>
      </c>
      <c r="G73" s="14" t="s">
        <v>11750</v>
      </c>
      <c r="H73" s="14" t="s">
        <v>11766</v>
      </c>
      <c r="I73" s="14"/>
      <c r="J73" s="13" t="s">
        <v>11717</v>
      </c>
    </row>
    <row r="74" customFormat="false" ht="23.25" hidden="false" customHeight="true" outlineLevel="0" collapsed="false">
      <c r="A74" s="10" t="n">
        <v>73</v>
      </c>
      <c r="B74" s="8" t="s">
        <v>1059</v>
      </c>
      <c r="C74" s="10" t="n">
        <f aca="false">COUNTIF(Dataset!$E$2:$E$5001,A74)</f>
        <v>12</v>
      </c>
      <c r="D74" s="13" t="s">
        <v>11765</v>
      </c>
      <c r="E74" s="14" t="s">
        <v>11749</v>
      </c>
      <c r="F74" s="14" t="s">
        <v>11749</v>
      </c>
      <c r="G74" s="14" t="s">
        <v>11750</v>
      </c>
      <c r="H74" s="14" t="s">
        <v>11767</v>
      </c>
      <c r="I74" s="14"/>
      <c r="J74" s="13" t="s">
        <v>11717</v>
      </c>
    </row>
    <row r="75" customFormat="false" ht="23.25" hidden="false" customHeight="true" outlineLevel="0" collapsed="false">
      <c r="A75" s="10" t="n">
        <v>74</v>
      </c>
      <c r="B75" s="8" t="s">
        <v>1073</v>
      </c>
      <c r="C75" s="10" t="n">
        <f aca="false">COUNTIF(Dataset!$E$2:$E$5001,A75)</f>
        <v>12</v>
      </c>
      <c r="D75" s="13" t="s">
        <v>11768</v>
      </c>
      <c r="E75" s="14" t="s">
        <v>11749</v>
      </c>
      <c r="F75" s="14" t="s">
        <v>11750</v>
      </c>
      <c r="G75" s="14" t="s">
        <v>11750</v>
      </c>
      <c r="H75" s="14" t="s">
        <v>11769</v>
      </c>
      <c r="I75" s="14"/>
      <c r="J75" s="13" t="s">
        <v>11717</v>
      </c>
    </row>
    <row r="76" customFormat="false" ht="15" hidden="false" customHeight="true" outlineLevel="0" collapsed="false">
      <c r="A76" s="10" t="n">
        <v>75</v>
      </c>
      <c r="B76" s="8" t="s">
        <v>1087</v>
      </c>
      <c r="C76" s="10" t="n">
        <f aca="false">COUNTIF(Dataset!$E$2:$E$5001,A76)</f>
        <v>12</v>
      </c>
      <c r="D76" s="13" t="s">
        <v>11770</v>
      </c>
      <c r="E76" s="14" t="s">
        <v>11749</v>
      </c>
      <c r="F76" s="14" t="s">
        <v>11749</v>
      </c>
      <c r="G76" s="14" t="s">
        <v>11750</v>
      </c>
      <c r="H76" s="14" t="s">
        <v>11771</v>
      </c>
      <c r="I76" s="14"/>
      <c r="J76" s="13" t="s">
        <v>11717</v>
      </c>
    </row>
    <row r="77" customFormat="false" ht="23.25" hidden="false" customHeight="true" outlineLevel="0" collapsed="false">
      <c r="A77" s="10" t="n">
        <v>76</v>
      </c>
      <c r="B77" s="8" t="s">
        <v>1101</v>
      </c>
      <c r="C77" s="10" t="n">
        <f aca="false">COUNTIF(Dataset!$E$2:$E$5001,A77)</f>
        <v>12</v>
      </c>
      <c r="D77" s="13" t="s">
        <v>11772</v>
      </c>
      <c r="E77" s="14" t="s">
        <v>11749</v>
      </c>
      <c r="F77" s="14" t="s">
        <v>11750</v>
      </c>
      <c r="G77" s="14" t="s">
        <v>11750</v>
      </c>
      <c r="H77" s="14" t="s">
        <v>11773</v>
      </c>
      <c r="I77" s="14"/>
      <c r="J77" s="13" t="s">
        <v>11717</v>
      </c>
    </row>
    <row r="78" customFormat="false" ht="15" hidden="false" customHeight="true" outlineLevel="0" collapsed="false">
      <c r="A78" s="10" t="n">
        <v>77</v>
      </c>
      <c r="B78" s="8" t="s">
        <v>1115</v>
      </c>
      <c r="C78" s="10" t="n">
        <f aca="false">COUNTIF(Dataset!$E$2:$E$5001,A78)</f>
        <v>12</v>
      </c>
      <c r="D78" s="13" t="s">
        <v>11774</v>
      </c>
      <c r="E78" s="14" t="s">
        <v>11749</v>
      </c>
      <c r="F78" s="14" t="s">
        <v>11775</v>
      </c>
      <c r="G78" s="14" t="s">
        <v>11750</v>
      </c>
      <c r="H78" s="14" t="s">
        <v>11776</v>
      </c>
      <c r="I78" s="14"/>
      <c r="J78" s="13" t="s">
        <v>11717</v>
      </c>
    </row>
    <row r="79" customFormat="false" ht="15" hidden="false" customHeight="true" outlineLevel="0" collapsed="false">
      <c r="A79" s="10" t="n">
        <v>78</v>
      </c>
      <c r="B79" s="8" t="s">
        <v>1129</v>
      </c>
      <c r="C79" s="10" t="n">
        <f aca="false">COUNTIF(Dataset!$E$2:$E$5001,A79)</f>
        <v>12</v>
      </c>
      <c r="D79" s="13" t="s">
        <v>11777</v>
      </c>
      <c r="E79" s="14" t="s">
        <v>11749</v>
      </c>
      <c r="F79" s="14" t="s">
        <v>11775</v>
      </c>
      <c r="G79" s="14" t="s">
        <v>11750</v>
      </c>
      <c r="H79" s="14" t="s">
        <v>11778</v>
      </c>
      <c r="I79" s="14"/>
      <c r="J79" s="13" t="s">
        <v>11717</v>
      </c>
    </row>
    <row r="80" customFormat="false" ht="23.25" hidden="false" customHeight="true" outlineLevel="0" collapsed="false">
      <c r="A80" s="10" t="n">
        <v>79</v>
      </c>
      <c r="B80" s="8" t="s">
        <v>1143</v>
      </c>
      <c r="C80" s="10" t="n">
        <f aca="false">COUNTIF(Dataset!$E$2:$E$5001,A80)</f>
        <v>12</v>
      </c>
      <c r="D80" s="13" t="s">
        <v>11779</v>
      </c>
      <c r="E80" s="14" t="s">
        <v>11749</v>
      </c>
      <c r="F80" s="14" t="s">
        <v>11749</v>
      </c>
      <c r="G80" s="14" t="s">
        <v>11749</v>
      </c>
      <c r="H80" s="14" t="s">
        <v>11780</v>
      </c>
      <c r="I80" s="14"/>
      <c r="J80" s="13" t="s">
        <v>11717</v>
      </c>
    </row>
    <row r="81" customFormat="false" ht="15" hidden="false" customHeight="true" outlineLevel="0" collapsed="false">
      <c r="A81" s="10" t="n">
        <v>80</v>
      </c>
      <c r="B81" s="8" t="s">
        <v>1157</v>
      </c>
      <c r="C81" s="10" t="n">
        <f aca="false">COUNTIF(Dataset!$E$2:$E$5001,A81)</f>
        <v>12</v>
      </c>
      <c r="D81" s="13" t="s">
        <v>11781</v>
      </c>
      <c r="E81" s="14" t="s">
        <v>11749</v>
      </c>
      <c r="F81" s="14" t="s">
        <v>11750</v>
      </c>
      <c r="G81" s="14" t="s">
        <v>11750</v>
      </c>
      <c r="H81" s="14" t="s">
        <v>11782</v>
      </c>
      <c r="I81" s="14"/>
      <c r="J81" s="13" t="s">
        <v>11717</v>
      </c>
    </row>
    <row r="82" customFormat="false" ht="23.25" hidden="false" customHeight="true" outlineLevel="0" collapsed="false">
      <c r="A82" s="10" t="n">
        <v>81</v>
      </c>
      <c r="B82" s="8" t="s">
        <v>1171</v>
      </c>
      <c r="C82" s="10" t="n">
        <f aca="false">COUNTIF(Dataset!$E$2:$E$5001,A82)</f>
        <v>12</v>
      </c>
      <c r="D82" s="13" t="s">
        <v>11760</v>
      </c>
      <c r="E82" s="14" t="s">
        <v>11750</v>
      </c>
      <c r="F82" s="14" t="s">
        <v>11750</v>
      </c>
      <c r="G82" s="14" t="s">
        <v>11750</v>
      </c>
      <c r="H82" s="14" t="s">
        <v>11783</v>
      </c>
      <c r="I82" s="14"/>
      <c r="J82" s="13" t="s">
        <v>11717</v>
      </c>
    </row>
    <row r="83" customFormat="false" ht="15" hidden="false" customHeight="true" outlineLevel="0" collapsed="false">
      <c r="A83" s="10" t="n">
        <v>82</v>
      </c>
      <c r="B83" s="8" t="s">
        <v>1185</v>
      </c>
      <c r="C83" s="10" t="n">
        <f aca="false">COUNTIF(Dataset!$E$2:$E$5001,A83)</f>
        <v>12</v>
      </c>
      <c r="D83" s="13" t="s">
        <v>11784</v>
      </c>
      <c r="E83" s="14" t="s">
        <v>11750</v>
      </c>
      <c r="F83" s="14" t="s">
        <v>11749</v>
      </c>
      <c r="G83" s="14" t="s">
        <v>11785</v>
      </c>
      <c r="H83" s="14" t="s">
        <v>11786</v>
      </c>
      <c r="I83" s="14"/>
      <c r="J83" s="13" t="s">
        <v>11717</v>
      </c>
    </row>
    <row r="84" customFormat="false" ht="23.25" hidden="false" customHeight="true" outlineLevel="0" collapsed="false">
      <c r="A84" s="10" t="n">
        <v>83</v>
      </c>
      <c r="B84" s="8" t="s">
        <v>1199</v>
      </c>
      <c r="C84" s="10" t="n">
        <f aca="false">COUNTIF(Dataset!$E$2:$E$5001,A84)</f>
        <v>12</v>
      </c>
      <c r="D84" s="13" t="s">
        <v>11787</v>
      </c>
      <c r="E84" s="14" t="s">
        <v>11750</v>
      </c>
      <c r="F84" s="14" t="s">
        <v>11749</v>
      </c>
      <c r="G84" s="14" t="s">
        <v>11750</v>
      </c>
      <c r="H84" s="14" t="s">
        <v>11788</v>
      </c>
      <c r="I84" s="14"/>
      <c r="J84" s="13" t="s">
        <v>11717</v>
      </c>
    </row>
    <row r="85" customFormat="false" ht="23.25" hidden="false" customHeight="true" outlineLevel="0" collapsed="false">
      <c r="A85" s="10" t="n">
        <v>84</v>
      </c>
      <c r="B85" s="8" t="s">
        <v>1213</v>
      </c>
      <c r="C85" s="10" t="n">
        <f aca="false">COUNTIF(Dataset!$E$2:$E$5001,A85)</f>
        <v>12</v>
      </c>
      <c r="D85" s="13" t="s">
        <v>11789</v>
      </c>
      <c r="E85" s="14" t="s">
        <v>11750</v>
      </c>
      <c r="F85" s="14" t="s">
        <v>11749</v>
      </c>
      <c r="G85" s="14" t="s">
        <v>11785</v>
      </c>
      <c r="H85" s="14" t="s">
        <v>11790</v>
      </c>
      <c r="I85" s="14"/>
      <c r="J85" s="13" t="s">
        <v>11717</v>
      </c>
    </row>
    <row r="86" customFormat="false" ht="23.25" hidden="false" customHeight="true" outlineLevel="0" collapsed="false">
      <c r="A86" s="10" t="n">
        <v>85</v>
      </c>
      <c r="B86" s="8" t="s">
        <v>1227</v>
      </c>
      <c r="C86" s="10" t="n">
        <f aca="false">COUNTIF(Dataset!$E$2:$E$5001,A86)</f>
        <v>12</v>
      </c>
      <c r="D86" s="13" t="s">
        <v>11791</v>
      </c>
      <c r="E86" s="14" t="s">
        <v>11749</v>
      </c>
      <c r="F86" s="14" t="s">
        <v>11750</v>
      </c>
      <c r="G86" s="14" t="s">
        <v>11750</v>
      </c>
      <c r="H86" s="14" t="s">
        <v>11792</v>
      </c>
      <c r="I86" s="14"/>
      <c r="J86" s="13" t="s">
        <v>11717</v>
      </c>
    </row>
    <row r="87" customFormat="false" ht="15" hidden="false" customHeight="true" outlineLevel="0" collapsed="false">
      <c r="A87" s="10" t="n">
        <v>86</v>
      </c>
      <c r="B87" s="8" t="s">
        <v>1241</v>
      </c>
      <c r="C87" s="10" t="n">
        <f aca="false">COUNTIF(Dataset!$E$2:$E$5001,A87)</f>
        <v>12</v>
      </c>
      <c r="D87" s="13" t="s">
        <v>11711</v>
      </c>
      <c r="E87" s="14" t="s">
        <v>11712</v>
      </c>
      <c r="F87" s="14" t="s">
        <v>11712</v>
      </c>
      <c r="G87" s="14" t="s">
        <v>11712</v>
      </c>
      <c r="H87" s="14"/>
      <c r="I87" s="14"/>
      <c r="J87" s="13" t="s">
        <v>11713</v>
      </c>
    </row>
    <row r="88" customFormat="false" ht="23.25" hidden="false" customHeight="true" outlineLevel="0" collapsed="false">
      <c r="A88" s="10" t="n">
        <v>87</v>
      </c>
      <c r="B88" s="8" t="s">
        <v>1255</v>
      </c>
      <c r="C88" s="10" t="n">
        <f aca="false">COUNTIF(Dataset!$E$2:$E$5001,A88)</f>
        <v>12</v>
      </c>
      <c r="D88" s="13" t="s">
        <v>11760</v>
      </c>
      <c r="E88" s="14" t="s">
        <v>11749</v>
      </c>
      <c r="F88" s="14" t="s">
        <v>11750</v>
      </c>
      <c r="G88" s="14" t="s">
        <v>11750</v>
      </c>
      <c r="H88" s="14" t="s">
        <v>11793</v>
      </c>
      <c r="I88" s="14"/>
      <c r="J88" s="13" t="s">
        <v>11717</v>
      </c>
    </row>
    <row r="89" customFormat="false" ht="15" hidden="false" customHeight="true" outlineLevel="0" collapsed="false">
      <c r="A89" s="10" t="n">
        <v>88</v>
      </c>
      <c r="B89" s="8" t="s">
        <v>1269</v>
      </c>
      <c r="C89" s="10" t="n">
        <f aca="false">COUNTIF(Dataset!$E$2:$E$5001,A89)</f>
        <v>12</v>
      </c>
      <c r="D89" s="13" t="s">
        <v>11794</v>
      </c>
      <c r="E89" s="14" t="s">
        <v>11750</v>
      </c>
      <c r="F89" s="14" t="s">
        <v>11749</v>
      </c>
      <c r="G89" s="14" t="s">
        <v>11785</v>
      </c>
      <c r="H89" s="14" t="s">
        <v>11795</v>
      </c>
      <c r="I89" s="14"/>
      <c r="J89" s="13" t="s">
        <v>11717</v>
      </c>
    </row>
    <row r="90" customFormat="false" ht="15" hidden="false" customHeight="true" outlineLevel="0" collapsed="false">
      <c r="A90" s="10" t="n">
        <v>89</v>
      </c>
      <c r="B90" s="8" t="s">
        <v>1283</v>
      </c>
      <c r="C90" s="10" t="n">
        <f aca="false">COUNTIF(Dataset!$E$2:$E$5001,A90)</f>
        <v>12</v>
      </c>
      <c r="D90" s="13" t="s">
        <v>11796</v>
      </c>
      <c r="E90" s="14" t="s">
        <v>11749</v>
      </c>
      <c r="F90" s="14" t="s">
        <v>11750</v>
      </c>
      <c r="G90" s="14" t="s">
        <v>11750</v>
      </c>
      <c r="H90" s="14" t="s">
        <v>11797</v>
      </c>
      <c r="I90" s="14"/>
      <c r="J90" s="13" t="s">
        <v>11717</v>
      </c>
    </row>
    <row r="91" customFormat="false" ht="23.25" hidden="false" customHeight="true" outlineLevel="0" collapsed="false">
      <c r="A91" s="10" t="n">
        <v>90</v>
      </c>
      <c r="B91" s="8" t="s">
        <v>1297</v>
      </c>
      <c r="C91" s="10" t="n">
        <f aca="false">COUNTIF(Dataset!$E$2:$E$5001,A91)</f>
        <v>12</v>
      </c>
      <c r="D91" s="13" t="s">
        <v>11798</v>
      </c>
      <c r="E91" s="14" t="s">
        <v>11749</v>
      </c>
      <c r="F91" s="14" t="s">
        <v>11750</v>
      </c>
      <c r="G91" s="14" t="s">
        <v>11750</v>
      </c>
      <c r="H91" s="14" t="s">
        <v>11799</v>
      </c>
      <c r="I91" s="14"/>
      <c r="J91" s="13" t="s">
        <v>11717</v>
      </c>
    </row>
    <row r="92" customFormat="false" ht="23.25" hidden="false" customHeight="true" outlineLevel="0" collapsed="false">
      <c r="A92" s="10" t="n">
        <v>91</v>
      </c>
      <c r="B92" s="8" t="s">
        <v>1311</v>
      </c>
      <c r="C92" s="10" t="n">
        <f aca="false">COUNTIF(Dataset!$E$2:$E$5001,A92)</f>
        <v>12</v>
      </c>
      <c r="D92" s="13" t="s">
        <v>11800</v>
      </c>
      <c r="E92" s="14" t="s">
        <v>11749</v>
      </c>
      <c r="F92" s="14" t="s">
        <v>11750</v>
      </c>
      <c r="G92" s="14" t="s">
        <v>11750</v>
      </c>
      <c r="H92" s="14" t="s">
        <v>11801</v>
      </c>
      <c r="I92" s="14"/>
      <c r="J92" s="13" t="s">
        <v>11717</v>
      </c>
    </row>
    <row r="93" customFormat="false" ht="23.25" hidden="false" customHeight="true" outlineLevel="0" collapsed="false">
      <c r="A93" s="10" t="n">
        <v>92</v>
      </c>
      <c r="B93" s="8" t="s">
        <v>1325</v>
      </c>
      <c r="C93" s="10" t="n">
        <f aca="false">COUNTIF(Dataset!$E$2:$E$5001,A93)</f>
        <v>12</v>
      </c>
      <c r="D93" s="13" t="s">
        <v>11760</v>
      </c>
      <c r="E93" s="14" t="s">
        <v>11749</v>
      </c>
      <c r="F93" s="14" t="s">
        <v>11750</v>
      </c>
      <c r="G93" s="14" t="s">
        <v>11750</v>
      </c>
      <c r="H93" s="14" t="s">
        <v>11802</v>
      </c>
      <c r="I93" s="14"/>
      <c r="J93" s="13" t="s">
        <v>11717</v>
      </c>
    </row>
    <row r="94" customFormat="false" ht="23.25" hidden="false" customHeight="true" outlineLevel="0" collapsed="false">
      <c r="A94" s="10" t="n">
        <v>93</v>
      </c>
      <c r="B94" s="8" t="s">
        <v>1339</v>
      </c>
      <c r="C94" s="10" t="n">
        <f aca="false">COUNTIF(Dataset!$E$2:$E$5001,A94)</f>
        <v>12</v>
      </c>
      <c r="D94" s="13" t="s">
        <v>11803</v>
      </c>
      <c r="E94" s="14" t="s">
        <v>11749</v>
      </c>
      <c r="F94" s="14" t="s">
        <v>11749</v>
      </c>
      <c r="G94" s="14" t="s">
        <v>11750</v>
      </c>
      <c r="H94" s="14" t="s">
        <v>11804</v>
      </c>
      <c r="I94" s="14"/>
      <c r="J94" s="13" t="s">
        <v>11717</v>
      </c>
    </row>
    <row r="95" customFormat="false" ht="15" hidden="false" customHeight="true" outlineLevel="0" collapsed="false">
      <c r="A95" s="10" t="n">
        <v>94</v>
      </c>
      <c r="B95" s="8" t="s">
        <v>1353</v>
      </c>
      <c r="C95" s="10" t="n">
        <f aca="false">COUNTIF(Dataset!$E$2:$E$5001,A95)</f>
        <v>12</v>
      </c>
      <c r="D95" s="13" t="s">
        <v>11789</v>
      </c>
      <c r="E95" s="14" t="s">
        <v>11750</v>
      </c>
      <c r="F95" s="14" t="s">
        <v>11749</v>
      </c>
      <c r="G95" s="14" t="s">
        <v>11750</v>
      </c>
      <c r="H95" s="14" t="s">
        <v>11805</v>
      </c>
      <c r="I95" s="14"/>
      <c r="J95" s="13" t="s">
        <v>11717</v>
      </c>
    </row>
    <row r="96" customFormat="false" ht="23.25" hidden="false" customHeight="true" outlineLevel="0" collapsed="false">
      <c r="A96" s="10" t="n">
        <v>95</v>
      </c>
      <c r="B96" s="8" t="s">
        <v>1367</v>
      </c>
      <c r="C96" s="10" t="n">
        <f aca="false">COUNTIF(Dataset!$E$2:$E$5001,A96)</f>
        <v>12</v>
      </c>
      <c r="D96" s="13" t="s">
        <v>11806</v>
      </c>
      <c r="E96" s="14" t="s">
        <v>11749</v>
      </c>
      <c r="F96" s="14" t="s">
        <v>11750</v>
      </c>
      <c r="G96" s="14" t="s">
        <v>11750</v>
      </c>
      <c r="H96" s="14" t="s">
        <v>11719</v>
      </c>
      <c r="I96" s="14"/>
      <c r="J96" s="13" t="s">
        <v>11717</v>
      </c>
    </row>
    <row r="97" customFormat="false" ht="15" hidden="false" customHeight="true" outlineLevel="0" collapsed="false">
      <c r="A97" s="10" t="n">
        <v>96</v>
      </c>
      <c r="B97" s="8" t="s">
        <v>1381</v>
      </c>
      <c r="C97" s="10" t="n">
        <f aca="false">COUNTIF(Dataset!$E$2:$E$5001,A97)</f>
        <v>12</v>
      </c>
      <c r="D97" s="13" t="s">
        <v>11760</v>
      </c>
      <c r="E97" s="14" t="s">
        <v>11749</v>
      </c>
      <c r="F97" s="14" t="s">
        <v>11750</v>
      </c>
      <c r="G97" s="14" t="s">
        <v>11750</v>
      </c>
      <c r="H97" s="14" t="s">
        <v>11807</v>
      </c>
      <c r="I97" s="14"/>
      <c r="J97" s="13" t="s">
        <v>11717</v>
      </c>
    </row>
    <row r="98" customFormat="false" ht="23.25" hidden="false" customHeight="true" outlineLevel="0" collapsed="false">
      <c r="A98" s="10" t="n">
        <v>97</v>
      </c>
      <c r="B98" s="8" t="s">
        <v>1395</v>
      </c>
      <c r="C98" s="10" t="n">
        <f aca="false">COUNTIF(Dataset!$E$2:$E$5001,A98)</f>
        <v>12</v>
      </c>
      <c r="D98" s="13" t="s">
        <v>11787</v>
      </c>
      <c r="E98" s="14" t="s">
        <v>11749</v>
      </c>
      <c r="F98" s="14" t="s">
        <v>11750</v>
      </c>
      <c r="G98" s="14" t="s">
        <v>11750</v>
      </c>
      <c r="H98" s="14" t="s">
        <v>11808</v>
      </c>
      <c r="I98" s="14"/>
      <c r="J98" s="13" t="s">
        <v>11717</v>
      </c>
    </row>
    <row r="99" customFormat="false" ht="15" hidden="false" customHeight="true" outlineLevel="0" collapsed="false">
      <c r="A99" s="10" t="n">
        <v>98</v>
      </c>
      <c r="B99" s="8" t="s">
        <v>1409</v>
      </c>
      <c r="C99" s="10" t="n">
        <f aca="false">COUNTIF(Dataset!$E$2:$E$5001,A99)</f>
        <v>12</v>
      </c>
      <c r="D99" s="13" t="s">
        <v>11758</v>
      </c>
      <c r="E99" s="14" t="s">
        <v>11749</v>
      </c>
      <c r="F99" s="14" t="s">
        <v>11750</v>
      </c>
      <c r="G99" s="14" t="s">
        <v>11750</v>
      </c>
      <c r="H99" s="14" t="s">
        <v>11809</v>
      </c>
      <c r="I99" s="14"/>
      <c r="J99" s="13" t="s">
        <v>11717</v>
      </c>
    </row>
    <row r="100" customFormat="false" ht="15" hidden="false" customHeight="true" outlineLevel="0" collapsed="false">
      <c r="A100" s="10" t="n">
        <v>99</v>
      </c>
      <c r="B100" s="8" t="s">
        <v>1423</v>
      </c>
      <c r="C100" s="10" t="n">
        <f aca="false">COUNTIF(Dataset!$E$2:$E$5001,A100)</f>
        <v>12</v>
      </c>
      <c r="D100" s="13" t="s">
        <v>11810</v>
      </c>
      <c r="E100" s="14" t="s">
        <v>11749</v>
      </c>
      <c r="F100" s="14" t="s">
        <v>11750</v>
      </c>
      <c r="G100" s="14" t="s">
        <v>11750</v>
      </c>
      <c r="H100" s="14" t="s">
        <v>11811</v>
      </c>
      <c r="I100" s="14"/>
      <c r="J100" s="13" t="s">
        <v>11717</v>
      </c>
    </row>
    <row r="101" customFormat="false" ht="15" hidden="false" customHeight="true" outlineLevel="0" collapsed="false">
      <c r="A101" s="10" t="n">
        <v>100</v>
      </c>
      <c r="B101" s="8" t="s">
        <v>1437</v>
      </c>
      <c r="C101" s="10" t="n">
        <f aca="false">COUNTIF(Dataset!$E$2:$E$5001,A101)</f>
        <v>12</v>
      </c>
      <c r="D101" s="13" t="s">
        <v>11711</v>
      </c>
      <c r="E101" s="14" t="s">
        <v>11712</v>
      </c>
      <c r="F101" s="14" t="s">
        <v>11712</v>
      </c>
      <c r="G101" s="14" t="s">
        <v>11712</v>
      </c>
      <c r="H101" s="14"/>
      <c r="I101" s="14"/>
      <c r="J101" s="13" t="s">
        <v>11713</v>
      </c>
    </row>
    <row r="102" customFormat="false" ht="15" hidden="false" customHeight="true" outlineLevel="0" collapsed="false">
      <c r="A102" s="10" t="n">
        <v>101</v>
      </c>
      <c r="B102" s="8" t="s">
        <v>1451</v>
      </c>
      <c r="C102" s="10" t="n">
        <f aca="false">COUNTIF(Dataset!$E$2:$E$5001,A102)</f>
        <v>12</v>
      </c>
      <c r="D102" s="13" t="s">
        <v>11711</v>
      </c>
      <c r="E102" s="14" t="s">
        <v>11712</v>
      </c>
      <c r="F102" s="14" t="s">
        <v>11712</v>
      </c>
      <c r="G102" s="14" t="s">
        <v>11712</v>
      </c>
      <c r="H102" s="14"/>
      <c r="I102" s="14"/>
      <c r="J102" s="13" t="s">
        <v>11713</v>
      </c>
    </row>
    <row r="103" customFormat="false" ht="23.25" hidden="false" customHeight="true" outlineLevel="0" collapsed="false">
      <c r="A103" s="10" t="n">
        <v>102</v>
      </c>
      <c r="B103" s="8" t="s">
        <v>1465</v>
      </c>
      <c r="C103" s="10" t="n">
        <f aca="false">COUNTIF(Dataset!$E$2:$E$5001,A103)</f>
        <v>12</v>
      </c>
      <c r="D103" s="13" t="s">
        <v>11812</v>
      </c>
      <c r="E103" s="14" t="s">
        <v>11749</v>
      </c>
      <c r="F103" s="14" t="s">
        <v>11750</v>
      </c>
      <c r="G103" s="14" t="s">
        <v>11750</v>
      </c>
      <c r="H103" s="14" t="s">
        <v>11813</v>
      </c>
      <c r="I103" s="14"/>
      <c r="J103" s="13" t="s">
        <v>11717</v>
      </c>
    </row>
    <row r="104" customFormat="false" ht="15" hidden="false" customHeight="true" outlineLevel="0" collapsed="false">
      <c r="A104" s="10" t="n">
        <v>103</v>
      </c>
      <c r="B104" s="8" t="s">
        <v>1479</v>
      </c>
      <c r="C104" s="10" t="n">
        <f aca="false">COUNTIF(Dataset!$E$2:$E$5001,A104)</f>
        <v>12</v>
      </c>
      <c r="D104" s="13" t="s">
        <v>11814</v>
      </c>
      <c r="E104" s="14" t="s">
        <v>11749</v>
      </c>
      <c r="F104" s="14" t="s">
        <v>11750</v>
      </c>
      <c r="G104" s="14" t="s">
        <v>11750</v>
      </c>
      <c r="H104" s="14" t="s">
        <v>11815</v>
      </c>
      <c r="I104" s="14"/>
      <c r="J104" s="13" t="s">
        <v>11717</v>
      </c>
    </row>
    <row r="105" customFormat="false" ht="15" hidden="false" customHeight="true" outlineLevel="0" collapsed="false">
      <c r="A105" s="10" t="n">
        <v>104</v>
      </c>
      <c r="B105" s="8" t="s">
        <v>1493</v>
      </c>
      <c r="C105" s="10" t="n">
        <f aca="false">COUNTIF(Dataset!$E$2:$E$5001,A105)</f>
        <v>12</v>
      </c>
      <c r="D105" s="13" t="s">
        <v>11816</v>
      </c>
      <c r="E105" s="14" t="s">
        <v>11749</v>
      </c>
      <c r="F105" s="14" t="s">
        <v>11750</v>
      </c>
      <c r="G105" s="14" t="s">
        <v>11750</v>
      </c>
      <c r="H105" s="14" t="s">
        <v>11817</v>
      </c>
      <c r="I105" s="14"/>
      <c r="J105" s="13" t="s">
        <v>11717</v>
      </c>
    </row>
    <row r="106" customFormat="false" ht="23.25" hidden="false" customHeight="true" outlineLevel="0" collapsed="false">
      <c r="A106" s="10" t="n">
        <v>105</v>
      </c>
      <c r="B106" s="8" t="s">
        <v>1507</v>
      </c>
      <c r="C106" s="10" t="n">
        <f aca="false">COUNTIF(Dataset!$E$2:$E$5001,A106)</f>
        <v>12</v>
      </c>
      <c r="D106" s="13" t="s">
        <v>11818</v>
      </c>
      <c r="E106" s="14" t="s">
        <v>11749</v>
      </c>
      <c r="F106" s="14" t="s">
        <v>11750</v>
      </c>
      <c r="G106" s="14" t="s">
        <v>11750</v>
      </c>
      <c r="H106" s="14" t="s">
        <v>11819</v>
      </c>
      <c r="I106" s="14"/>
      <c r="J106" s="13" t="s">
        <v>11717</v>
      </c>
    </row>
    <row r="107" customFormat="false" ht="15" hidden="false" customHeight="true" outlineLevel="0" collapsed="false">
      <c r="A107" s="10" t="n">
        <v>106</v>
      </c>
      <c r="B107" s="8" t="s">
        <v>1521</v>
      </c>
      <c r="C107" s="10" t="n">
        <f aca="false">COUNTIF(Dataset!$E$2:$E$5001,A107)</f>
        <v>12</v>
      </c>
      <c r="D107" s="13" t="s">
        <v>11820</v>
      </c>
      <c r="E107" s="14" t="s">
        <v>11749</v>
      </c>
      <c r="F107" s="14" t="s">
        <v>11749</v>
      </c>
      <c r="G107" s="14" t="s">
        <v>11750</v>
      </c>
      <c r="H107" s="14" t="s">
        <v>11821</v>
      </c>
      <c r="I107" s="14"/>
      <c r="J107" s="13" t="s">
        <v>11717</v>
      </c>
    </row>
    <row r="108" customFormat="false" ht="15" hidden="false" customHeight="true" outlineLevel="0" collapsed="false">
      <c r="A108" s="10" t="n">
        <v>107</v>
      </c>
      <c r="B108" s="8" t="s">
        <v>1535</v>
      </c>
      <c r="C108" s="10" t="n">
        <f aca="false">COUNTIF(Dataset!$E$2:$E$5001,A108)</f>
        <v>12</v>
      </c>
      <c r="D108" s="13" t="s">
        <v>11822</v>
      </c>
      <c r="E108" s="14" t="s">
        <v>11749</v>
      </c>
      <c r="F108" s="14" t="s">
        <v>11750</v>
      </c>
      <c r="G108" s="14" t="s">
        <v>11750</v>
      </c>
      <c r="H108" s="14" t="s">
        <v>11823</v>
      </c>
      <c r="I108" s="14"/>
      <c r="J108" s="13" t="s">
        <v>11717</v>
      </c>
    </row>
    <row r="109" customFormat="false" ht="15" hidden="false" customHeight="true" outlineLevel="0" collapsed="false">
      <c r="A109" s="10" t="n">
        <v>108</v>
      </c>
      <c r="B109" s="8" t="s">
        <v>1549</v>
      </c>
      <c r="C109" s="10" t="n">
        <f aca="false">COUNTIF(Dataset!$E$2:$E$5001,A109)</f>
        <v>12</v>
      </c>
      <c r="D109" s="13" t="s">
        <v>11760</v>
      </c>
      <c r="E109" s="14" t="s">
        <v>11749</v>
      </c>
      <c r="F109" s="14" t="s">
        <v>11750</v>
      </c>
      <c r="G109" s="14" t="s">
        <v>11750</v>
      </c>
      <c r="H109" s="14" t="s">
        <v>11824</v>
      </c>
      <c r="I109" s="14"/>
      <c r="J109" s="13" t="s">
        <v>11717</v>
      </c>
    </row>
    <row r="110" customFormat="false" ht="15" hidden="false" customHeight="true" outlineLevel="0" collapsed="false">
      <c r="A110" s="10" t="n">
        <v>109</v>
      </c>
      <c r="B110" s="8" t="s">
        <v>1563</v>
      </c>
      <c r="C110" s="10" t="n">
        <f aca="false">COUNTIF(Dataset!$E$2:$E$5001,A110)</f>
        <v>12</v>
      </c>
      <c r="D110" s="13" t="s">
        <v>11825</v>
      </c>
      <c r="E110" s="14" t="s">
        <v>11749</v>
      </c>
      <c r="F110" s="14" t="s">
        <v>11750</v>
      </c>
      <c r="G110" s="14" t="s">
        <v>11750</v>
      </c>
      <c r="H110" s="14" t="s">
        <v>11826</v>
      </c>
      <c r="I110" s="14"/>
      <c r="J110" s="13" t="s">
        <v>11717</v>
      </c>
    </row>
    <row r="111" customFormat="false" ht="15" hidden="false" customHeight="true" outlineLevel="0" collapsed="false">
      <c r="A111" s="10" t="n">
        <v>110</v>
      </c>
      <c r="B111" s="8" t="s">
        <v>1577</v>
      </c>
      <c r="C111" s="10" t="n">
        <f aca="false">COUNTIF(Dataset!$E$2:$E$5001,A111)</f>
        <v>12</v>
      </c>
      <c r="D111" s="13" t="s">
        <v>11827</v>
      </c>
      <c r="E111" s="14" t="s">
        <v>11749</v>
      </c>
      <c r="F111" s="14" t="s">
        <v>11750</v>
      </c>
      <c r="G111" s="14" t="s">
        <v>11785</v>
      </c>
      <c r="H111" s="14" t="s">
        <v>11828</v>
      </c>
      <c r="I111" s="14"/>
      <c r="J111" s="13" t="s">
        <v>11717</v>
      </c>
    </row>
    <row r="112" customFormat="false" ht="15" hidden="false" customHeight="true" outlineLevel="0" collapsed="false">
      <c r="A112" s="10" t="n">
        <v>111</v>
      </c>
      <c r="B112" s="8" t="s">
        <v>1591</v>
      </c>
      <c r="C112" s="10" t="n">
        <f aca="false">COUNTIF(Dataset!$E$2:$E$5001,A112)</f>
        <v>12</v>
      </c>
      <c r="D112" s="13" t="s">
        <v>11829</v>
      </c>
      <c r="E112" s="14" t="s">
        <v>11749</v>
      </c>
      <c r="F112" s="14" t="s">
        <v>11750</v>
      </c>
      <c r="G112" s="14" t="s">
        <v>11750</v>
      </c>
      <c r="H112" s="14" t="s">
        <v>11719</v>
      </c>
      <c r="I112" s="14"/>
      <c r="J112" s="13" t="s">
        <v>11717</v>
      </c>
    </row>
    <row r="113" customFormat="false" ht="15" hidden="false" customHeight="true" outlineLevel="0" collapsed="false">
      <c r="A113" s="10" t="n">
        <v>112</v>
      </c>
      <c r="B113" s="8" t="s">
        <v>1605</v>
      </c>
      <c r="C113" s="10" t="n">
        <f aca="false">COUNTIF(Dataset!$E$2:$E$5001,A113)</f>
        <v>12</v>
      </c>
      <c r="D113" s="13" t="s">
        <v>11830</v>
      </c>
      <c r="E113" s="14" t="s">
        <v>11749</v>
      </c>
      <c r="F113" s="14" t="s">
        <v>11750</v>
      </c>
      <c r="G113" s="14" t="s">
        <v>11750</v>
      </c>
      <c r="H113" s="14" t="s">
        <v>11719</v>
      </c>
      <c r="I113" s="14"/>
      <c r="J113" s="13" t="s">
        <v>11717</v>
      </c>
    </row>
    <row r="114" customFormat="false" ht="15" hidden="false" customHeight="true" outlineLevel="0" collapsed="false">
      <c r="A114" s="10" t="n">
        <v>113</v>
      </c>
      <c r="B114" s="8" t="s">
        <v>1619</v>
      </c>
      <c r="C114" s="10" t="n">
        <f aca="false">COUNTIF(Dataset!$E$2:$E$5001,A114)</f>
        <v>12</v>
      </c>
      <c r="D114" s="13" t="s">
        <v>11831</v>
      </c>
      <c r="E114" s="14" t="s">
        <v>11749</v>
      </c>
      <c r="F114" s="14" t="s">
        <v>11750</v>
      </c>
      <c r="G114" s="14" t="s">
        <v>11750</v>
      </c>
      <c r="H114" s="14" t="s">
        <v>11719</v>
      </c>
      <c r="I114" s="14"/>
      <c r="J114" s="13" t="s">
        <v>11717</v>
      </c>
    </row>
    <row r="115" customFormat="false" ht="15" hidden="false" customHeight="true" outlineLevel="0" collapsed="false">
      <c r="A115" s="10" t="n">
        <v>114</v>
      </c>
      <c r="B115" s="8" t="s">
        <v>1633</v>
      </c>
      <c r="C115" s="10" t="n">
        <f aca="false">COUNTIF(Dataset!$E$2:$E$5001,A115)</f>
        <v>12</v>
      </c>
      <c r="D115" s="13" t="s">
        <v>11711</v>
      </c>
      <c r="E115" s="14" t="s">
        <v>11712</v>
      </c>
      <c r="F115" s="14" t="s">
        <v>11712</v>
      </c>
      <c r="G115" s="14" t="s">
        <v>11712</v>
      </c>
      <c r="H115" s="14"/>
      <c r="I115" s="14"/>
      <c r="J115" s="13" t="s">
        <v>11713</v>
      </c>
    </row>
    <row r="116" customFormat="false" ht="15" hidden="false" customHeight="true" outlineLevel="0" collapsed="false">
      <c r="A116" s="10" t="n">
        <v>115</v>
      </c>
      <c r="B116" s="8" t="s">
        <v>1647</v>
      </c>
      <c r="C116" s="10" t="n">
        <f aca="false">COUNTIF(Dataset!$E$2:$E$5001,A116)</f>
        <v>12</v>
      </c>
      <c r="D116" s="13" t="s">
        <v>11832</v>
      </c>
      <c r="E116" s="14" t="s">
        <v>11750</v>
      </c>
      <c r="F116" s="14" t="s">
        <v>11749</v>
      </c>
      <c r="G116" s="14" t="s">
        <v>11749</v>
      </c>
      <c r="H116" s="14" t="s">
        <v>11833</v>
      </c>
      <c r="I116" s="14"/>
      <c r="J116" s="13" t="s">
        <v>11717</v>
      </c>
    </row>
    <row r="117" customFormat="false" ht="15" hidden="false" customHeight="true" outlineLevel="0" collapsed="false">
      <c r="A117" s="10" t="n">
        <v>116</v>
      </c>
      <c r="B117" s="8" t="s">
        <v>1661</v>
      </c>
      <c r="C117" s="10" t="n">
        <f aca="false">COUNTIF(Dataset!$E$2:$E$5001,A117)</f>
        <v>12</v>
      </c>
      <c r="D117" s="13" t="s">
        <v>11711</v>
      </c>
      <c r="E117" s="14" t="s">
        <v>11712</v>
      </c>
      <c r="F117" s="14" t="s">
        <v>11712</v>
      </c>
      <c r="G117" s="14" t="s">
        <v>11712</v>
      </c>
      <c r="H117" s="14"/>
      <c r="I117" s="14"/>
      <c r="J117" s="13" t="s">
        <v>11713</v>
      </c>
    </row>
    <row r="118" customFormat="false" ht="15" hidden="false" customHeight="true" outlineLevel="0" collapsed="false">
      <c r="A118" s="10" t="n">
        <v>117</v>
      </c>
      <c r="B118" s="8" t="s">
        <v>1675</v>
      </c>
      <c r="C118" s="10" t="n">
        <f aca="false">COUNTIF(Dataset!$E$2:$E$5001,A118)</f>
        <v>12</v>
      </c>
      <c r="D118" s="13" t="s">
        <v>11834</v>
      </c>
      <c r="E118" s="14" t="s">
        <v>11749</v>
      </c>
      <c r="F118" s="14" t="s">
        <v>11749</v>
      </c>
      <c r="G118" s="14" t="s">
        <v>11785</v>
      </c>
      <c r="H118" s="14" t="s">
        <v>11835</v>
      </c>
      <c r="I118" s="14"/>
      <c r="J118" s="13" t="s">
        <v>11717</v>
      </c>
    </row>
    <row r="119" customFormat="false" ht="23.25" hidden="false" customHeight="true" outlineLevel="0" collapsed="false">
      <c r="A119" s="10" t="n">
        <v>118</v>
      </c>
      <c r="B119" s="8" t="s">
        <v>1689</v>
      </c>
      <c r="C119" s="10" t="n">
        <f aca="false">COUNTIF(Dataset!$E$2:$E$5001,A119)</f>
        <v>12</v>
      </c>
      <c r="D119" s="13" t="s">
        <v>11836</v>
      </c>
      <c r="E119" s="14" t="s">
        <v>11749</v>
      </c>
      <c r="F119" s="14" t="s">
        <v>11837</v>
      </c>
      <c r="G119" s="14" t="s">
        <v>11838</v>
      </c>
      <c r="H119" s="14" t="s">
        <v>11839</v>
      </c>
      <c r="I119" s="14"/>
      <c r="J119" s="13" t="s">
        <v>11717</v>
      </c>
    </row>
    <row r="120" customFormat="false" ht="23.25" hidden="false" customHeight="true" outlineLevel="0" collapsed="false">
      <c r="A120" s="10" t="n">
        <v>119</v>
      </c>
      <c r="B120" s="8" t="s">
        <v>1703</v>
      </c>
      <c r="C120" s="10" t="n">
        <f aca="false">COUNTIF(Dataset!$E$2:$E$5001,A120)</f>
        <v>12</v>
      </c>
      <c r="D120" s="13" t="s">
        <v>11840</v>
      </c>
      <c r="E120" s="14" t="s">
        <v>11749</v>
      </c>
      <c r="F120" s="14" t="s">
        <v>11750</v>
      </c>
      <c r="G120" s="14" t="s">
        <v>11750</v>
      </c>
      <c r="H120" s="14" t="s">
        <v>11841</v>
      </c>
      <c r="I120" s="14"/>
      <c r="J120" s="13" t="s">
        <v>11717</v>
      </c>
    </row>
    <row r="121" customFormat="false" ht="23.25" hidden="false" customHeight="true" outlineLevel="0" collapsed="false">
      <c r="A121" s="10" t="n">
        <v>120</v>
      </c>
      <c r="B121" s="8" t="s">
        <v>1717</v>
      </c>
      <c r="C121" s="10" t="n">
        <f aca="false">COUNTIF(Dataset!$E$2:$E$5001,A121)</f>
        <v>12</v>
      </c>
      <c r="D121" s="13" t="s">
        <v>11842</v>
      </c>
      <c r="E121" s="14" t="s">
        <v>11749</v>
      </c>
      <c r="F121" s="14" t="s">
        <v>11750</v>
      </c>
      <c r="G121" s="14" t="s">
        <v>11750</v>
      </c>
      <c r="H121" s="14" t="s">
        <v>11843</v>
      </c>
      <c r="I121" s="14"/>
      <c r="J121" s="13" t="s">
        <v>11717</v>
      </c>
    </row>
    <row r="122" customFormat="false" ht="23.25" hidden="false" customHeight="true" outlineLevel="0" collapsed="false">
      <c r="A122" s="10" t="n">
        <v>121</v>
      </c>
      <c r="B122" s="8" t="s">
        <v>1731</v>
      </c>
      <c r="C122" s="10" t="n">
        <f aca="false">COUNTIF(Dataset!$E$2:$E$5001,A122)</f>
        <v>12</v>
      </c>
      <c r="D122" s="13" t="s">
        <v>11844</v>
      </c>
      <c r="E122" s="14" t="s">
        <v>11749</v>
      </c>
      <c r="F122" s="14" t="s">
        <v>11750</v>
      </c>
      <c r="G122" s="14" t="s">
        <v>11750</v>
      </c>
      <c r="H122" s="14" t="s">
        <v>11845</v>
      </c>
      <c r="I122" s="14"/>
      <c r="J122" s="13" t="s">
        <v>11717</v>
      </c>
    </row>
    <row r="123" customFormat="false" ht="15" hidden="false" customHeight="true" outlineLevel="0" collapsed="false">
      <c r="A123" s="10" t="n">
        <v>122</v>
      </c>
      <c r="B123" s="8" t="s">
        <v>1745</v>
      </c>
      <c r="C123" s="10" t="n">
        <f aca="false">COUNTIF(Dataset!$E$2:$E$5001,A123)</f>
        <v>12</v>
      </c>
      <c r="D123" s="13" t="s">
        <v>11846</v>
      </c>
      <c r="E123" s="14" t="s">
        <v>11750</v>
      </c>
      <c r="F123" s="14" t="s">
        <v>11749</v>
      </c>
      <c r="G123" s="14" t="s">
        <v>11847</v>
      </c>
      <c r="H123" s="14" t="s">
        <v>11848</v>
      </c>
      <c r="I123" s="14"/>
      <c r="J123" s="13" t="s">
        <v>11717</v>
      </c>
    </row>
    <row r="124" customFormat="false" ht="23.25" hidden="false" customHeight="true" outlineLevel="0" collapsed="false">
      <c r="A124" s="10" t="n">
        <v>123</v>
      </c>
      <c r="B124" s="8" t="s">
        <v>1759</v>
      </c>
      <c r="C124" s="10" t="n">
        <f aca="false">COUNTIF(Dataset!$E$2:$E$5001,A124)</f>
        <v>12</v>
      </c>
      <c r="D124" s="13" t="s">
        <v>11760</v>
      </c>
      <c r="E124" s="14" t="s">
        <v>11749</v>
      </c>
      <c r="F124" s="14" t="s">
        <v>11750</v>
      </c>
      <c r="G124" s="14" t="s">
        <v>11750</v>
      </c>
      <c r="H124" s="14" t="s">
        <v>11849</v>
      </c>
      <c r="I124" s="14"/>
      <c r="J124" s="13" t="s">
        <v>11717</v>
      </c>
    </row>
    <row r="125" customFormat="false" ht="15" hidden="false" customHeight="true" outlineLevel="0" collapsed="false">
      <c r="A125" s="10" t="n">
        <v>124</v>
      </c>
      <c r="B125" s="8" t="s">
        <v>1773</v>
      </c>
      <c r="C125" s="10" t="n">
        <f aca="false">COUNTIF(Dataset!$E$2:$E$5001,A125)</f>
        <v>12</v>
      </c>
      <c r="D125" s="13" t="s">
        <v>11850</v>
      </c>
      <c r="E125" s="14" t="s">
        <v>11749</v>
      </c>
      <c r="F125" s="14" t="s">
        <v>11750</v>
      </c>
      <c r="G125" s="14" t="s">
        <v>11750</v>
      </c>
      <c r="H125" s="14" t="s">
        <v>11851</v>
      </c>
      <c r="I125" s="14"/>
      <c r="J125" s="13" t="s">
        <v>11717</v>
      </c>
    </row>
    <row r="126" customFormat="false" ht="15" hidden="false" customHeight="true" outlineLevel="0" collapsed="false">
      <c r="A126" s="10" t="n">
        <v>125</v>
      </c>
      <c r="B126" s="8" t="s">
        <v>1787</v>
      </c>
      <c r="C126" s="10" t="n">
        <f aca="false">COUNTIF(Dataset!$E$2:$E$5001,A126)</f>
        <v>12</v>
      </c>
      <c r="D126" s="13" t="s">
        <v>11852</v>
      </c>
      <c r="E126" s="14" t="s">
        <v>11749</v>
      </c>
      <c r="F126" s="14" t="s">
        <v>11749</v>
      </c>
      <c r="G126" s="14" t="s">
        <v>11785</v>
      </c>
      <c r="H126" s="14" t="s">
        <v>11853</v>
      </c>
      <c r="I126" s="14"/>
      <c r="J126" s="13" t="s">
        <v>11717</v>
      </c>
    </row>
    <row r="127" customFormat="false" ht="15" hidden="false" customHeight="true" outlineLevel="0" collapsed="false">
      <c r="A127" s="10" t="n">
        <v>126</v>
      </c>
      <c r="B127" s="8" t="s">
        <v>1801</v>
      </c>
      <c r="C127" s="10" t="n">
        <f aca="false">COUNTIF(Dataset!$E$2:$E$5001,A127)</f>
        <v>12</v>
      </c>
      <c r="D127" s="13" t="s">
        <v>11854</v>
      </c>
      <c r="E127" s="14" t="s">
        <v>11750</v>
      </c>
      <c r="F127" s="14" t="s">
        <v>11749</v>
      </c>
      <c r="G127" s="14" t="s">
        <v>11749</v>
      </c>
      <c r="H127" s="14" t="s">
        <v>11855</v>
      </c>
      <c r="I127" s="14"/>
      <c r="J127" s="13" t="s">
        <v>11717</v>
      </c>
    </row>
    <row r="128" customFormat="false" ht="15" hidden="false" customHeight="true" outlineLevel="0" collapsed="false">
      <c r="A128" s="10" t="n">
        <v>127</v>
      </c>
      <c r="B128" s="8" t="s">
        <v>1815</v>
      </c>
      <c r="C128" s="10" t="n">
        <f aca="false">COUNTIF(Dataset!$E$2:$E$5001,A128)</f>
        <v>12</v>
      </c>
      <c r="D128" s="13" t="s">
        <v>11856</v>
      </c>
      <c r="E128" s="14" t="s">
        <v>11857</v>
      </c>
      <c r="F128" s="14" t="s">
        <v>11857</v>
      </c>
      <c r="G128" s="14" t="s">
        <v>11857</v>
      </c>
      <c r="H128" s="14" t="s">
        <v>11858</v>
      </c>
      <c r="I128" s="14"/>
      <c r="J128" s="13" t="s">
        <v>11717</v>
      </c>
    </row>
    <row r="129" customFormat="false" ht="15" hidden="false" customHeight="true" outlineLevel="0" collapsed="false">
      <c r="A129" s="10" t="n">
        <v>128</v>
      </c>
      <c r="B129" s="8" t="s">
        <v>1829</v>
      </c>
      <c r="C129" s="10" t="n">
        <f aca="false">COUNTIF(Dataset!$E$2:$E$5001,A129)</f>
        <v>12</v>
      </c>
      <c r="D129" s="13" t="s">
        <v>11711</v>
      </c>
      <c r="E129" s="14" t="s">
        <v>11712</v>
      </c>
      <c r="F129" s="14" t="s">
        <v>11712</v>
      </c>
      <c r="G129" s="14" t="s">
        <v>11712</v>
      </c>
      <c r="H129" s="14"/>
      <c r="I129" s="14"/>
      <c r="J129" s="13" t="s">
        <v>11713</v>
      </c>
    </row>
    <row r="130" customFormat="false" ht="15" hidden="false" customHeight="true" outlineLevel="0" collapsed="false">
      <c r="A130" s="10" t="n">
        <v>129</v>
      </c>
      <c r="B130" s="8" t="s">
        <v>1843</v>
      </c>
      <c r="C130" s="10" t="n">
        <f aca="false">COUNTIF(Dataset!$E$2:$E$5001,A130)</f>
        <v>12</v>
      </c>
      <c r="D130" s="13" t="s">
        <v>11711</v>
      </c>
      <c r="E130" s="14" t="s">
        <v>11712</v>
      </c>
      <c r="F130" s="14" t="s">
        <v>11712</v>
      </c>
      <c r="G130" s="14" t="s">
        <v>11712</v>
      </c>
      <c r="H130" s="14"/>
      <c r="I130" s="14"/>
      <c r="J130" s="13" t="s">
        <v>11713</v>
      </c>
    </row>
    <row r="131" customFormat="false" ht="15" hidden="false" customHeight="true" outlineLevel="0" collapsed="false">
      <c r="A131" s="10" t="n">
        <v>130</v>
      </c>
      <c r="B131" s="8" t="s">
        <v>1857</v>
      </c>
      <c r="C131" s="10" t="n">
        <f aca="false">COUNTIF(Dataset!$E$2:$E$5001,A131)</f>
        <v>12</v>
      </c>
      <c r="D131" s="13" t="s">
        <v>11711</v>
      </c>
      <c r="E131" s="14" t="s">
        <v>11712</v>
      </c>
      <c r="F131" s="14" t="s">
        <v>11712</v>
      </c>
      <c r="G131" s="14" t="s">
        <v>11712</v>
      </c>
      <c r="H131" s="14"/>
      <c r="I131" s="14"/>
      <c r="J131" s="13" t="s">
        <v>11713</v>
      </c>
    </row>
    <row r="132" customFormat="false" ht="23.25" hidden="false" customHeight="true" outlineLevel="0" collapsed="false">
      <c r="A132" s="10" t="n">
        <v>131</v>
      </c>
      <c r="B132" s="8" t="s">
        <v>1871</v>
      </c>
      <c r="C132" s="10" t="n">
        <f aca="false">COUNTIF(Dataset!$E$2:$E$5001,A132)</f>
        <v>12</v>
      </c>
      <c r="D132" s="13" t="s">
        <v>11859</v>
      </c>
      <c r="E132" s="14" t="s">
        <v>11750</v>
      </c>
      <c r="F132" s="14" t="s">
        <v>11749</v>
      </c>
      <c r="G132" s="14" t="s">
        <v>11749</v>
      </c>
      <c r="H132" s="14" t="s">
        <v>11860</v>
      </c>
      <c r="I132" s="14"/>
      <c r="J132" s="13" t="s">
        <v>11717</v>
      </c>
    </row>
    <row r="133" customFormat="false" ht="23.25" hidden="false" customHeight="true" outlineLevel="0" collapsed="false">
      <c r="A133" s="10" t="n">
        <v>132</v>
      </c>
      <c r="B133" s="8" t="s">
        <v>1885</v>
      </c>
      <c r="C133" s="10" t="n">
        <f aca="false">COUNTIF(Dataset!$E$2:$E$5001,A133)</f>
        <v>12</v>
      </c>
      <c r="D133" s="13" t="s">
        <v>11789</v>
      </c>
      <c r="E133" s="14" t="s">
        <v>11749</v>
      </c>
      <c r="F133" s="14" t="s">
        <v>11750</v>
      </c>
      <c r="G133" s="14" t="s">
        <v>11750</v>
      </c>
      <c r="H133" s="14" t="s">
        <v>11861</v>
      </c>
      <c r="I133" s="14"/>
      <c r="J133" s="13" t="s">
        <v>11717</v>
      </c>
    </row>
    <row r="134" customFormat="false" ht="23.25" hidden="false" customHeight="true" outlineLevel="0" collapsed="false">
      <c r="A134" s="10" t="n">
        <v>133</v>
      </c>
      <c r="B134" s="8" t="s">
        <v>1899</v>
      </c>
      <c r="C134" s="10" t="n">
        <f aca="false">COUNTIF(Dataset!$E$2:$E$5001,A134)</f>
        <v>12</v>
      </c>
      <c r="D134" s="13" t="s">
        <v>11789</v>
      </c>
      <c r="E134" s="14" t="s">
        <v>11750</v>
      </c>
      <c r="F134" s="14" t="s">
        <v>11749</v>
      </c>
      <c r="G134" s="14" t="s">
        <v>11749</v>
      </c>
      <c r="H134" s="14" t="s">
        <v>11862</v>
      </c>
      <c r="I134" s="14"/>
      <c r="J134" s="13" t="s">
        <v>11717</v>
      </c>
    </row>
    <row r="135" customFormat="false" ht="23.25" hidden="false" customHeight="true" outlineLevel="0" collapsed="false">
      <c r="A135" s="10" t="n">
        <v>134</v>
      </c>
      <c r="B135" s="8" t="s">
        <v>1913</v>
      </c>
      <c r="C135" s="10" t="n">
        <f aca="false">COUNTIF(Dataset!$E$2:$E$5001,A135)</f>
        <v>12</v>
      </c>
      <c r="D135" s="13" t="s">
        <v>11789</v>
      </c>
      <c r="E135" s="14" t="s">
        <v>11750</v>
      </c>
      <c r="F135" s="14" t="s">
        <v>11749</v>
      </c>
      <c r="G135" s="14" t="s">
        <v>11785</v>
      </c>
      <c r="H135" s="14" t="s">
        <v>11863</v>
      </c>
      <c r="I135" s="14"/>
      <c r="J135" s="13" t="s">
        <v>11717</v>
      </c>
    </row>
    <row r="136" customFormat="false" ht="23.25" hidden="false" customHeight="true" outlineLevel="0" collapsed="false">
      <c r="A136" s="10" t="n">
        <v>135</v>
      </c>
      <c r="B136" s="8" t="s">
        <v>1927</v>
      </c>
      <c r="C136" s="10" t="n">
        <f aca="false">COUNTIF(Dataset!$E$2:$E$5001,A136)</f>
        <v>12</v>
      </c>
      <c r="D136" s="13" t="s">
        <v>11864</v>
      </c>
      <c r="E136" s="14" t="s">
        <v>11750</v>
      </c>
      <c r="F136" s="14" t="s">
        <v>11749</v>
      </c>
      <c r="G136" s="14" t="s">
        <v>11749</v>
      </c>
      <c r="H136" s="14" t="s">
        <v>11865</v>
      </c>
      <c r="I136" s="14"/>
      <c r="J136" s="13" t="s">
        <v>11717</v>
      </c>
    </row>
    <row r="137" customFormat="false" ht="15" hidden="false" customHeight="true" outlineLevel="0" collapsed="false">
      <c r="A137" s="10" t="n">
        <v>136</v>
      </c>
      <c r="B137" s="8" t="s">
        <v>1941</v>
      </c>
      <c r="C137" s="10" t="n">
        <f aca="false">COUNTIF(Dataset!$E$2:$E$5001,A137)</f>
        <v>12</v>
      </c>
      <c r="D137" s="13" t="s">
        <v>11866</v>
      </c>
      <c r="E137" s="14" t="s">
        <v>11750</v>
      </c>
      <c r="F137" s="14" t="s">
        <v>11749</v>
      </c>
      <c r="G137" s="14" t="s">
        <v>11749</v>
      </c>
      <c r="H137" s="14" t="s">
        <v>11867</v>
      </c>
      <c r="I137" s="14"/>
      <c r="J137" s="13" t="s">
        <v>11717</v>
      </c>
    </row>
    <row r="138" customFormat="false" ht="15" hidden="false" customHeight="true" outlineLevel="0" collapsed="false">
      <c r="A138" s="10" t="n">
        <v>137</v>
      </c>
      <c r="B138" s="8" t="s">
        <v>1955</v>
      </c>
      <c r="C138" s="10" t="n">
        <f aca="false">COUNTIF(Dataset!$E$2:$E$5001,A138)</f>
        <v>12</v>
      </c>
      <c r="D138" s="13" t="s">
        <v>11868</v>
      </c>
      <c r="E138" s="14" t="s">
        <v>11749</v>
      </c>
      <c r="F138" s="14" t="s">
        <v>11750</v>
      </c>
      <c r="G138" s="14" t="s">
        <v>11750</v>
      </c>
      <c r="H138" s="14" t="s">
        <v>11869</v>
      </c>
      <c r="I138" s="14"/>
      <c r="J138" s="13" t="s">
        <v>11717</v>
      </c>
    </row>
    <row r="139" customFormat="false" ht="15" hidden="false" customHeight="true" outlineLevel="0" collapsed="false">
      <c r="A139" s="10" t="n">
        <v>138</v>
      </c>
      <c r="B139" s="8" t="s">
        <v>1969</v>
      </c>
      <c r="C139" s="10" t="n">
        <f aca="false">COUNTIF(Dataset!$E$2:$E$5001,A139)</f>
        <v>12</v>
      </c>
      <c r="D139" s="13" t="s">
        <v>11711</v>
      </c>
      <c r="E139" s="14" t="s">
        <v>11712</v>
      </c>
      <c r="F139" s="14" t="s">
        <v>11712</v>
      </c>
      <c r="G139" s="14" t="s">
        <v>11712</v>
      </c>
      <c r="H139" s="14"/>
      <c r="I139" s="14"/>
      <c r="J139" s="13" t="s">
        <v>11713</v>
      </c>
    </row>
    <row r="140" customFormat="false" ht="15" hidden="false" customHeight="true" outlineLevel="0" collapsed="false">
      <c r="A140" s="10" t="n">
        <v>139</v>
      </c>
      <c r="B140" s="8" t="s">
        <v>1983</v>
      </c>
      <c r="C140" s="10" t="n">
        <f aca="false">COUNTIF(Dataset!$E$2:$E$5001,A140)</f>
        <v>12</v>
      </c>
      <c r="D140" s="13" t="s">
        <v>11870</v>
      </c>
      <c r="E140" s="14" t="s">
        <v>11749</v>
      </c>
      <c r="F140" s="14" t="s">
        <v>11750</v>
      </c>
      <c r="G140" s="14" t="s">
        <v>11750</v>
      </c>
      <c r="H140" s="14" t="s">
        <v>11871</v>
      </c>
      <c r="I140" s="14"/>
      <c r="J140" s="13" t="s">
        <v>11717</v>
      </c>
    </row>
    <row r="141" customFormat="false" ht="23.25" hidden="false" customHeight="true" outlineLevel="0" collapsed="false">
      <c r="A141" s="10" t="n">
        <v>140</v>
      </c>
      <c r="B141" s="8" t="s">
        <v>1997</v>
      </c>
      <c r="C141" s="10" t="n">
        <f aca="false">COUNTIF(Dataset!$E$2:$E$5001,A141)</f>
        <v>12</v>
      </c>
      <c r="D141" s="13" t="s">
        <v>11872</v>
      </c>
      <c r="E141" s="14" t="s">
        <v>11749</v>
      </c>
      <c r="F141" s="14" t="s">
        <v>11750</v>
      </c>
      <c r="G141" s="14" t="s">
        <v>11750</v>
      </c>
      <c r="H141" s="14" t="s">
        <v>11873</v>
      </c>
      <c r="I141" s="14"/>
      <c r="J141" s="13" t="s">
        <v>11717</v>
      </c>
    </row>
    <row r="142" customFormat="false" ht="15" hidden="false" customHeight="true" outlineLevel="0" collapsed="false">
      <c r="A142" s="10" t="n">
        <v>141</v>
      </c>
      <c r="B142" s="8" t="s">
        <v>2011</v>
      </c>
      <c r="C142" s="10" t="n">
        <f aca="false">COUNTIF(Dataset!$E$2:$E$5001,A142)</f>
        <v>12</v>
      </c>
      <c r="D142" s="13" t="s">
        <v>11760</v>
      </c>
      <c r="E142" s="14" t="s">
        <v>11749</v>
      </c>
      <c r="F142" s="14" t="s">
        <v>11750</v>
      </c>
      <c r="G142" s="14" t="s">
        <v>11750</v>
      </c>
      <c r="H142" s="14" t="s">
        <v>11874</v>
      </c>
      <c r="I142" s="14"/>
      <c r="J142" s="13" t="s">
        <v>11717</v>
      </c>
    </row>
    <row r="143" customFormat="false" ht="23.25" hidden="false" customHeight="true" outlineLevel="0" collapsed="false">
      <c r="A143" s="10" t="n">
        <v>142</v>
      </c>
      <c r="B143" s="8" t="s">
        <v>2025</v>
      </c>
      <c r="C143" s="10" t="n">
        <f aca="false">COUNTIF(Dataset!$E$2:$E$5001,A143)</f>
        <v>12</v>
      </c>
      <c r="D143" s="13" t="s">
        <v>11875</v>
      </c>
      <c r="E143" s="14" t="s">
        <v>11749</v>
      </c>
      <c r="F143" s="14" t="s">
        <v>11750</v>
      </c>
      <c r="G143" s="14" t="s">
        <v>11750</v>
      </c>
      <c r="H143" s="14" t="s">
        <v>11876</v>
      </c>
      <c r="I143" s="14"/>
      <c r="J143" s="13" t="s">
        <v>11717</v>
      </c>
    </row>
    <row r="144" customFormat="false" ht="15" hidden="false" customHeight="true" outlineLevel="0" collapsed="false">
      <c r="A144" s="10" t="n">
        <v>143</v>
      </c>
      <c r="B144" s="8" t="s">
        <v>2039</v>
      </c>
      <c r="C144" s="10" t="n">
        <f aca="false">COUNTIF(Dataset!$E$2:$E$5001,A144)</f>
        <v>12</v>
      </c>
      <c r="D144" s="13" t="s">
        <v>11877</v>
      </c>
      <c r="E144" s="14" t="s">
        <v>11749</v>
      </c>
      <c r="F144" s="14" t="s">
        <v>11750</v>
      </c>
      <c r="G144" s="14" t="s">
        <v>11750</v>
      </c>
      <c r="H144" s="14" t="s">
        <v>11878</v>
      </c>
      <c r="I144" s="14"/>
      <c r="J144" s="13" t="s">
        <v>11717</v>
      </c>
    </row>
    <row r="145" customFormat="false" ht="15" hidden="false" customHeight="true" outlineLevel="0" collapsed="false">
      <c r="A145" s="10" t="n">
        <v>144</v>
      </c>
      <c r="B145" s="8" t="s">
        <v>2053</v>
      </c>
      <c r="C145" s="10" t="n">
        <f aca="false">COUNTIF(Dataset!$E$2:$E$5001,A145)</f>
        <v>12</v>
      </c>
      <c r="D145" s="13" t="s">
        <v>11879</v>
      </c>
      <c r="E145" s="14" t="s">
        <v>11749</v>
      </c>
      <c r="F145" s="14" t="s">
        <v>11750</v>
      </c>
      <c r="G145" s="14" t="s">
        <v>11750</v>
      </c>
      <c r="H145" s="14" t="s">
        <v>11880</v>
      </c>
      <c r="I145" s="14"/>
      <c r="J145" s="13" t="s">
        <v>11717</v>
      </c>
    </row>
    <row r="146" customFormat="false" ht="15" hidden="false" customHeight="true" outlineLevel="0" collapsed="false">
      <c r="A146" s="10" t="n">
        <v>145</v>
      </c>
      <c r="B146" s="8" t="s">
        <v>2067</v>
      </c>
      <c r="C146" s="10" t="n">
        <f aca="false">COUNTIF(Dataset!$E$2:$E$5001,A146)</f>
        <v>12</v>
      </c>
      <c r="D146" s="13" t="s">
        <v>11796</v>
      </c>
      <c r="E146" s="14" t="s">
        <v>11749</v>
      </c>
      <c r="F146" s="14" t="s">
        <v>11750</v>
      </c>
      <c r="G146" s="14" t="s">
        <v>11750</v>
      </c>
      <c r="H146" s="14" t="s">
        <v>11881</v>
      </c>
      <c r="I146" s="14"/>
      <c r="J146" s="13" t="s">
        <v>11717</v>
      </c>
    </row>
    <row r="147" customFormat="false" ht="15" hidden="false" customHeight="true" outlineLevel="0" collapsed="false">
      <c r="A147" s="10" t="n">
        <v>146</v>
      </c>
      <c r="B147" s="8" t="s">
        <v>2081</v>
      </c>
      <c r="C147" s="10" t="n">
        <f aca="false">COUNTIF(Dataset!$E$2:$E$5001,A147)</f>
        <v>12</v>
      </c>
      <c r="D147" s="13" t="s">
        <v>11864</v>
      </c>
      <c r="E147" s="14" t="s">
        <v>11750</v>
      </c>
      <c r="F147" s="14" t="s">
        <v>11749</v>
      </c>
      <c r="G147" s="14" t="s">
        <v>11749</v>
      </c>
      <c r="H147" s="14" t="s">
        <v>11882</v>
      </c>
      <c r="I147" s="14"/>
      <c r="J147" s="13" t="s">
        <v>11717</v>
      </c>
    </row>
    <row r="148" customFormat="false" ht="23.25" hidden="false" customHeight="true" outlineLevel="0" collapsed="false">
      <c r="A148" s="10" t="n">
        <v>147</v>
      </c>
      <c r="B148" s="8" t="s">
        <v>2095</v>
      </c>
      <c r="C148" s="10" t="n">
        <f aca="false">COUNTIF(Dataset!$E$2:$E$5001,A148)</f>
        <v>12</v>
      </c>
      <c r="D148" s="13" t="s">
        <v>11883</v>
      </c>
      <c r="E148" s="14" t="s">
        <v>11749</v>
      </c>
      <c r="F148" s="14" t="s">
        <v>11750</v>
      </c>
      <c r="G148" s="14" t="s">
        <v>11750</v>
      </c>
      <c r="H148" s="14" t="s">
        <v>11884</v>
      </c>
      <c r="I148" s="14"/>
      <c r="J148" s="13" t="s">
        <v>11717</v>
      </c>
    </row>
    <row r="149" customFormat="false" ht="23.25" hidden="false" customHeight="true" outlineLevel="0" collapsed="false">
      <c r="A149" s="10" t="n">
        <v>148</v>
      </c>
      <c r="B149" s="8" t="s">
        <v>2109</v>
      </c>
      <c r="C149" s="10" t="n">
        <f aca="false">COUNTIF(Dataset!$E$2:$E$5001,A149)</f>
        <v>12</v>
      </c>
      <c r="D149" s="13" t="s">
        <v>11796</v>
      </c>
      <c r="E149" s="14" t="s">
        <v>11749</v>
      </c>
      <c r="F149" s="14" t="s">
        <v>11750</v>
      </c>
      <c r="G149" s="14" t="s">
        <v>11750</v>
      </c>
      <c r="H149" s="14" t="s">
        <v>11885</v>
      </c>
      <c r="I149" s="14"/>
      <c r="J149" s="13" t="s">
        <v>11717</v>
      </c>
    </row>
    <row r="150" customFormat="false" ht="23.25" hidden="false" customHeight="true" outlineLevel="0" collapsed="false">
      <c r="A150" s="10" t="n">
        <v>149</v>
      </c>
      <c r="B150" s="8" t="s">
        <v>2123</v>
      </c>
      <c r="C150" s="10" t="n">
        <f aca="false">COUNTIF(Dataset!$E$2:$E$5001,A150)</f>
        <v>12</v>
      </c>
      <c r="D150" s="13" t="s">
        <v>11796</v>
      </c>
      <c r="E150" s="14" t="s">
        <v>11749</v>
      </c>
      <c r="F150" s="14" t="s">
        <v>11750</v>
      </c>
      <c r="G150" s="14" t="s">
        <v>11750</v>
      </c>
      <c r="H150" s="14" t="s">
        <v>11886</v>
      </c>
      <c r="I150" s="14"/>
      <c r="J150" s="13" t="s">
        <v>11717</v>
      </c>
    </row>
    <row r="151" customFormat="false" ht="15" hidden="false" customHeight="true" outlineLevel="0" collapsed="false">
      <c r="A151" s="10" t="n">
        <v>150</v>
      </c>
      <c r="B151" s="8" t="s">
        <v>2137</v>
      </c>
      <c r="C151" s="10" t="n">
        <f aca="false">COUNTIF(Dataset!$E$2:$E$5001,A151)</f>
        <v>12</v>
      </c>
      <c r="D151" s="13" t="s">
        <v>11760</v>
      </c>
      <c r="E151" s="14" t="s">
        <v>11749</v>
      </c>
      <c r="F151" s="14" t="s">
        <v>11750</v>
      </c>
      <c r="G151" s="14" t="s">
        <v>11750</v>
      </c>
      <c r="H151" s="14" t="s">
        <v>11887</v>
      </c>
      <c r="I151" s="14"/>
      <c r="J151" s="13" t="s">
        <v>11717</v>
      </c>
    </row>
    <row r="152" customFormat="false" ht="23.25" hidden="false" customHeight="true" outlineLevel="0" collapsed="false">
      <c r="A152" s="10" t="n">
        <v>151</v>
      </c>
      <c r="B152" s="8" t="s">
        <v>2151</v>
      </c>
      <c r="C152" s="10" t="n">
        <f aca="false">COUNTIF(Dataset!$E$2:$E$5001,A152)</f>
        <v>12</v>
      </c>
      <c r="D152" s="13" t="s">
        <v>11787</v>
      </c>
      <c r="E152" s="14" t="s">
        <v>11749</v>
      </c>
      <c r="F152" s="14" t="s">
        <v>11750</v>
      </c>
      <c r="G152" s="14" t="s">
        <v>11750</v>
      </c>
      <c r="H152" s="14" t="s">
        <v>11888</v>
      </c>
      <c r="I152" s="14"/>
      <c r="J152" s="13" t="s">
        <v>11717</v>
      </c>
    </row>
    <row r="153" customFormat="false" ht="23.25" hidden="false" customHeight="true" outlineLevel="0" collapsed="false">
      <c r="A153" s="10" t="n">
        <v>152</v>
      </c>
      <c r="B153" s="8" t="s">
        <v>2165</v>
      </c>
      <c r="C153" s="10" t="n">
        <f aca="false">COUNTIF(Dataset!$E$2:$E$5001,A153)</f>
        <v>12</v>
      </c>
      <c r="D153" s="13" t="s">
        <v>11889</v>
      </c>
      <c r="E153" s="14" t="s">
        <v>11749</v>
      </c>
      <c r="F153" s="14" t="s">
        <v>11750</v>
      </c>
      <c r="G153" s="14" t="s">
        <v>11750</v>
      </c>
      <c r="H153" s="14" t="s">
        <v>11890</v>
      </c>
      <c r="I153" s="14"/>
      <c r="J153" s="13" t="s">
        <v>11717</v>
      </c>
    </row>
    <row r="154" customFormat="false" ht="23.25" hidden="false" customHeight="true" outlineLevel="0" collapsed="false">
      <c r="A154" s="10" t="n">
        <v>153</v>
      </c>
      <c r="B154" s="8" t="s">
        <v>2179</v>
      </c>
      <c r="C154" s="10" t="n">
        <f aca="false">COUNTIF(Dataset!$E$2:$E$5001,A154)</f>
        <v>12</v>
      </c>
      <c r="D154" s="13" t="s">
        <v>11889</v>
      </c>
      <c r="E154" s="14" t="s">
        <v>11749</v>
      </c>
      <c r="F154" s="14" t="s">
        <v>11750</v>
      </c>
      <c r="G154" s="14" t="s">
        <v>11750</v>
      </c>
      <c r="H154" s="14" t="s">
        <v>11891</v>
      </c>
      <c r="I154" s="14"/>
      <c r="J154" s="13" t="s">
        <v>11717</v>
      </c>
    </row>
    <row r="155" customFormat="false" ht="23.25" hidden="false" customHeight="true" outlineLevel="0" collapsed="false">
      <c r="A155" s="10" t="n">
        <v>154</v>
      </c>
      <c r="B155" s="8" t="s">
        <v>2193</v>
      </c>
      <c r="C155" s="10" t="n">
        <f aca="false">COUNTIF(Dataset!$E$2:$E$5001,A155)</f>
        <v>12</v>
      </c>
      <c r="D155" s="13" t="s">
        <v>11892</v>
      </c>
      <c r="E155" s="14" t="s">
        <v>11749</v>
      </c>
      <c r="F155" s="14" t="s">
        <v>11750</v>
      </c>
      <c r="G155" s="14" t="s">
        <v>11750</v>
      </c>
      <c r="H155" s="14" t="s">
        <v>11893</v>
      </c>
      <c r="I155" s="14"/>
      <c r="J155" s="13" t="s">
        <v>11717</v>
      </c>
    </row>
    <row r="156" customFormat="false" ht="23.25" hidden="false" customHeight="true" outlineLevel="0" collapsed="false">
      <c r="A156" s="10" t="n">
        <v>155</v>
      </c>
      <c r="B156" s="8" t="s">
        <v>2207</v>
      </c>
      <c r="C156" s="10" t="n">
        <f aca="false">COUNTIF(Dataset!$E$2:$E$5001,A156)</f>
        <v>12</v>
      </c>
      <c r="D156" s="13" t="s">
        <v>11892</v>
      </c>
      <c r="E156" s="14" t="s">
        <v>11749</v>
      </c>
      <c r="F156" s="14" t="s">
        <v>11750</v>
      </c>
      <c r="G156" s="14" t="s">
        <v>11750</v>
      </c>
      <c r="H156" s="14" t="s">
        <v>11894</v>
      </c>
      <c r="I156" s="14"/>
      <c r="J156" s="13" t="s">
        <v>11717</v>
      </c>
    </row>
    <row r="157" customFormat="false" ht="23.25" hidden="false" customHeight="true" outlineLevel="0" collapsed="false">
      <c r="A157" s="10" t="n">
        <v>156</v>
      </c>
      <c r="B157" s="8" t="s">
        <v>2221</v>
      </c>
      <c r="C157" s="10" t="n">
        <f aca="false">COUNTIF(Dataset!$E$2:$E$5001,A157)</f>
        <v>12</v>
      </c>
      <c r="D157" s="13" t="s">
        <v>11796</v>
      </c>
      <c r="E157" s="14" t="s">
        <v>11749</v>
      </c>
      <c r="F157" s="14" t="s">
        <v>11750</v>
      </c>
      <c r="G157" s="14" t="s">
        <v>11750</v>
      </c>
      <c r="H157" s="14" t="s">
        <v>11895</v>
      </c>
      <c r="I157" s="14"/>
      <c r="J157" s="13" t="s">
        <v>11717</v>
      </c>
    </row>
    <row r="158" customFormat="false" ht="23.25" hidden="false" customHeight="true" outlineLevel="0" collapsed="false">
      <c r="A158" s="10" t="n">
        <v>157</v>
      </c>
      <c r="B158" s="8" t="s">
        <v>2235</v>
      </c>
      <c r="C158" s="10" t="n">
        <f aca="false">COUNTIF(Dataset!$E$2:$E$5001,A158)</f>
        <v>12</v>
      </c>
      <c r="D158" s="13" t="s">
        <v>11779</v>
      </c>
      <c r="E158" s="14" t="s">
        <v>11749</v>
      </c>
      <c r="F158" s="14" t="s">
        <v>11750</v>
      </c>
      <c r="G158" s="14" t="s">
        <v>11750</v>
      </c>
      <c r="H158" s="14" t="s">
        <v>11896</v>
      </c>
      <c r="I158" s="14"/>
      <c r="J158" s="13" t="s">
        <v>11717</v>
      </c>
    </row>
    <row r="159" customFormat="false" ht="15" hidden="false" customHeight="true" outlineLevel="0" collapsed="false">
      <c r="A159" s="10" t="n">
        <v>158</v>
      </c>
      <c r="B159" s="8" t="s">
        <v>2249</v>
      </c>
      <c r="C159" s="10" t="n">
        <f aca="false">COUNTIF(Dataset!$E$2:$E$5001,A159)</f>
        <v>12</v>
      </c>
      <c r="D159" s="13" t="s">
        <v>11796</v>
      </c>
      <c r="E159" s="14" t="s">
        <v>11749</v>
      </c>
      <c r="F159" s="14" t="s">
        <v>11750</v>
      </c>
      <c r="G159" s="14" t="s">
        <v>11750</v>
      </c>
      <c r="H159" s="14" t="s">
        <v>11897</v>
      </c>
      <c r="I159" s="14"/>
      <c r="J159" s="13" t="s">
        <v>11717</v>
      </c>
    </row>
    <row r="160" customFormat="false" ht="23.25" hidden="false" customHeight="true" outlineLevel="0" collapsed="false">
      <c r="A160" s="10" t="n">
        <v>159</v>
      </c>
      <c r="B160" s="8" t="s">
        <v>2263</v>
      </c>
      <c r="C160" s="10" t="n">
        <f aca="false">COUNTIF(Dataset!$E$2:$E$5001,A160)</f>
        <v>12</v>
      </c>
      <c r="D160" s="13" t="s">
        <v>11796</v>
      </c>
      <c r="E160" s="14" t="s">
        <v>11749</v>
      </c>
      <c r="F160" s="14" t="s">
        <v>11750</v>
      </c>
      <c r="G160" s="14" t="s">
        <v>11750</v>
      </c>
      <c r="H160" s="14" t="s">
        <v>11898</v>
      </c>
      <c r="I160" s="14"/>
      <c r="J160" s="13" t="s">
        <v>11717</v>
      </c>
    </row>
    <row r="161" customFormat="false" ht="23.25" hidden="false" customHeight="true" outlineLevel="0" collapsed="false">
      <c r="A161" s="10" t="n">
        <v>160</v>
      </c>
      <c r="B161" s="8" t="s">
        <v>2277</v>
      </c>
      <c r="C161" s="10" t="n">
        <f aca="false">COUNTIF(Dataset!$E$2:$E$5001,A161)</f>
        <v>12</v>
      </c>
      <c r="D161" s="13" t="s">
        <v>11899</v>
      </c>
      <c r="E161" s="14" t="s">
        <v>11749</v>
      </c>
      <c r="F161" s="14" t="s">
        <v>11750</v>
      </c>
      <c r="G161" s="14" t="s">
        <v>11750</v>
      </c>
      <c r="H161" s="14" t="s">
        <v>11900</v>
      </c>
      <c r="I161" s="14"/>
      <c r="J161" s="13" t="s">
        <v>11717</v>
      </c>
    </row>
    <row r="162" customFormat="false" ht="23.25" hidden="false" customHeight="true" outlineLevel="0" collapsed="false">
      <c r="A162" s="10" t="n">
        <v>161</v>
      </c>
      <c r="B162" s="8" t="s">
        <v>2291</v>
      </c>
      <c r="C162" s="10" t="n">
        <f aca="false">COUNTIF(Dataset!$E$2:$E$5001,A162)</f>
        <v>12</v>
      </c>
      <c r="D162" s="13" t="s">
        <v>11791</v>
      </c>
      <c r="E162" s="14" t="s">
        <v>11749</v>
      </c>
      <c r="F162" s="14" t="s">
        <v>11750</v>
      </c>
      <c r="G162" s="14" t="s">
        <v>11750</v>
      </c>
      <c r="H162" s="14" t="s">
        <v>11901</v>
      </c>
      <c r="I162" s="14"/>
      <c r="J162" s="13" t="s">
        <v>11717</v>
      </c>
    </row>
    <row r="163" customFormat="false" ht="15" hidden="false" customHeight="true" outlineLevel="0" collapsed="false">
      <c r="A163" s="10" t="n">
        <v>162</v>
      </c>
      <c r="B163" s="8" t="s">
        <v>2305</v>
      </c>
      <c r="C163" s="10" t="n">
        <f aca="false">COUNTIF(Dataset!$E$2:$E$5001,A163)</f>
        <v>12</v>
      </c>
      <c r="D163" s="13" t="s">
        <v>11787</v>
      </c>
      <c r="E163" s="14" t="s">
        <v>11749</v>
      </c>
      <c r="F163" s="14" t="s">
        <v>11750</v>
      </c>
      <c r="G163" s="14" t="s">
        <v>11750</v>
      </c>
      <c r="H163" s="14" t="s">
        <v>11902</v>
      </c>
      <c r="I163" s="14"/>
      <c r="J163" s="13" t="s">
        <v>11717</v>
      </c>
    </row>
    <row r="164" customFormat="false" ht="15" hidden="false" customHeight="true" outlineLevel="0" collapsed="false">
      <c r="A164" s="10" t="n">
        <v>163</v>
      </c>
      <c r="B164" s="8" t="s">
        <v>2319</v>
      </c>
      <c r="C164" s="10" t="n">
        <f aca="false">COUNTIF(Dataset!$E$2:$E$5001,A164)</f>
        <v>12</v>
      </c>
      <c r="D164" s="13" t="s">
        <v>11789</v>
      </c>
      <c r="E164" s="14" t="s">
        <v>11749</v>
      </c>
      <c r="F164" s="14" t="s">
        <v>11749</v>
      </c>
      <c r="G164" s="14" t="s">
        <v>11750</v>
      </c>
      <c r="H164" s="14" t="s">
        <v>11903</v>
      </c>
      <c r="I164" s="14"/>
      <c r="J164" s="13" t="s">
        <v>11717</v>
      </c>
    </row>
    <row r="165" customFormat="false" ht="15" hidden="false" customHeight="true" outlineLevel="0" collapsed="false">
      <c r="A165" s="10" t="n">
        <v>164</v>
      </c>
      <c r="B165" s="8" t="s">
        <v>2333</v>
      </c>
      <c r="C165" s="10" t="n">
        <f aca="false">COUNTIF(Dataset!$E$2:$E$5001,A165)</f>
        <v>12</v>
      </c>
      <c r="D165" s="13" t="s">
        <v>11789</v>
      </c>
      <c r="E165" s="14" t="s">
        <v>11749</v>
      </c>
      <c r="F165" s="14" t="s">
        <v>11749</v>
      </c>
      <c r="G165" s="14" t="s">
        <v>11750</v>
      </c>
      <c r="H165" s="14" t="s">
        <v>11904</v>
      </c>
      <c r="I165" s="14"/>
      <c r="J165" s="13" t="s">
        <v>11717</v>
      </c>
    </row>
    <row r="166" customFormat="false" ht="23.25" hidden="false" customHeight="true" outlineLevel="0" collapsed="false">
      <c r="A166" s="10" t="n">
        <v>165</v>
      </c>
      <c r="B166" s="8" t="s">
        <v>2347</v>
      </c>
      <c r="C166" s="10" t="n">
        <f aca="false">COUNTIF(Dataset!$E$2:$E$5001,A166)</f>
        <v>12</v>
      </c>
      <c r="D166" s="13" t="s">
        <v>11905</v>
      </c>
      <c r="E166" s="14" t="s">
        <v>11750</v>
      </c>
      <c r="F166" s="14" t="s">
        <v>11749</v>
      </c>
      <c r="G166" s="14" t="s">
        <v>11750</v>
      </c>
      <c r="H166" s="14" t="s">
        <v>11906</v>
      </c>
      <c r="I166" s="14"/>
      <c r="J166" s="13" t="s">
        <v>11717</v>
      </c>
    </row>
    <row r="167" customFormat="false" ht="23.25" hidden="false" customHeight="true" outlineLevel="0" collapsed="false">
      <c r="A167" s="10" t="n">
        <v>166</v>
      </c>
      <c r="B167" s="8" t="s">
        <v>2361</v>
      </c>
      <c r="C167" s="10" t="n">
        <f aca="false">COUNTIF(Dataset!$E$2:$E$5001,A167)</f>
        <v>12</v>
      </c>
      <c r="D167" s="13" t="s">
        <v>11907</v>
      </c>
      <c r="E167" s="14" t="s">
        <v>11749</v>
      </c>
      <c r="F167" s="14" t="s">
        <v>11749</v>
      </c>
      <c r="G167" s="14" t="s">
        <v>11750</v>
      </c>
      <c r="H167" s="14" t="s">
        <v>11908</v>
      </c>
      <c r="I167" s="14"/>
      <c r="J167" s="13" t="s">
        <v>11717</v>
      </c>
    </row>
    <row r="168" customFormat="false" ht="15" hidden="false" customHeight="true" outlineLevel="0" collapsed="false">
      <c r="A168" s="10" t="n">
        <v>167</v>
      </c>
      <c r="B168" s="8" t="s">
        <v>2375</v>
      </c>
      <c r="C168" s="10" t="n">
        <f aca="false">COUNTIF(Dataset!$E$2:$E$5001,A168)</f>
        <v>12</v>
      </c>
      <c r="D168" s="13" t="s">
        <v>11711</v>
      </c>
      <c r="E168" s="14" t="s">
        <v>11712</v>
      </c>
      <c r="F168" s="14" t="s">
        <v>11712</v>
      </c>
      <c r="G168" s="14" t="s">
        <v>11712</v>
      </c>
      <c r="H168" s="14"/>
      <c r="I168" s="14"/>
      <c r="J168" s="13" t="s">
        <v>11713</v>
      </c>
    </row>
    <row r="169" customFormat="false" ht="23.25" hidden="false" customHeight="true" outlineLevel="0" collapsed="false">
      <c r="A169" s="10" t="n">
        <v>168</v>
      </c>
      <c r="B169" s="8" t="s">
        <v>2389</v>
      </c>
      <c r="C169" s="10" t="n">
        <f aca="false">COUNTIF(Dataset!$E$2:$E$5001,A169)</f>
        <v>12</v>
      </c>
      <c r="D169" s="13" t="s">
        <v>11909</v>
      </c>
      <c r="E169" s="14" t="s">
        <v>11749</v>
      </c>
      <c r="F169" s="14" t="s">
        <v>11749</v>
      </c>
      <c r="G169" s="14" t="s">
        <v>11750</v>
      </c>
      <c r="H169" s="14" t="s">
        <v>11910</v>
      </c>
      <c r="I169" s="14"/>
      <c r="J169" s="13" t="s">
        <v>11717</v>
      </c>
    </row>
    <row r="170" customFormat="false" ht="15" hidden="false" customHeight="true" outlineLevel="0" collapsed="false">
      <c r="A170" s="10" t="n">
        <v>169</v>
      </c>
      <c r="B170" s="8" t="s">
        <v>2403</v>
      </c>
      <c r="C170" s="10" t="n">
        <f aca="false">COUNTIF(Dataset!$E$2:$E$5001,A170)</f>
        <v>12</v>
      </c>
      <c r="D170" s="13" t="s">
        <v>11711</v>
      </c>
      <c r="E170" s="14" t="s">
        <v>11712</v>
      </c>
      <c r="F170" s="14" t="s">
        <v>11712</v>
      </c>
      <c r="G170" s="14" t="s">
        <v>11712</v>
      </c>
      <c r="H170" s="14"/>
      <c r="I170" s="14"/>
      <c r="J170" s="13" t="s">
        <v>11713</v>
      </c>
    </row>
    <row r="171" customFormat="false" ht="15" hidden="false" customHeight="true" outlineLevel="0" collapsed="false">
      <c r="A171" s="10" t="n">
        <v>170</v>
      </c>
      <c r="B171" s="8" t="s">
        <v>2417</v>
      </c>
      <c r="C171" s="10" t="n">
        <f aca="false">COUNTIF(Dataset!$E$2:$E$5001,A171)</f>
        <v>12</v>
      </c>
      <c r="D171" s="13" t="s">
        <v>11711</v>
      </c>
      <c r="E171" s="14" t="s">
        <v>11712</v>
      </c>
      <c r="F171" s="14" t="s">
        <v>11712</v>
      </c>
      <c r="G171" s="14" t="s">
        <v>11712</v>
      </c>
      <c r="H171" s="14"/>
      <c r="I171" s="14"/>
      <c r="J171" s="13" t="s">
        <v>11713</v>
      </c>
    </row>
    <row r="172" customFormat="false" ht="15" hidden="false" customHeight="true" outlineLevel="0" collapsed="false">
      <c r="A172" s="10" t="n">
        <v>171</v>
      </c>
      <c r="B172" s="8" t="s">
        <v>2431</v>
      </c>
      <c r="C172" s="10" t="n">
        <f aca="false">COUNTIF(Dataset!$E$2:$E$5001,A172)</f>
        <v>12</v>
      </c>
      <c r="D172" s="13" t="s">
        <v>11711</v>
      </c>
      <c r="E172" s="14" t="s">
        <v>11712</v>
      </c>
      <c r="F172" s="14" t="s">
        <v>11712</v>
      </c>
      <c r="G172" s="14" t="s">
        <v>11712</v>
      </c>
      <c r="H172" s="14"/>
      <c r="I172" s="14"/>
      <c r="J172" s="13" t="s">
        <v>11713</v>
      </c>
    </row>
    <row r="173" customFormat="false" ht="15" hidden="false" customHeight="true" outlineLevel="0" collapsed="false">
      <c r="A173" s="10" t="n">
        <v>172</v>
      </c>
      <c r="B173" s="8" t="s">
        <v>2445</v>
      </c>
      <c r="C173" s="10" t="n">
        <f aca="false">COUNTIF(Dataset!$E$2:$E$5001,A173)</f>
        <v>12</v>
      </c>
      <c r="D173" s="13" t="s">
        <v>11711</v>
      </c>
      <c r="E173" s="14" t="s">
        <v>11712</v>
      </c>
      <c r="F173" s="14" t="s">
        <v>11712</v>
      </c>
      <c r="G173" s="14" t="s">
        <v>11712</v>
      </c>
      <c r="H173" s="14"/>
      <c r="I173" s="14"/>
      <c r="J173" s="13" t="s">
        <v>11713</v>
      </c>
    </row>
    <row r="174" customFormat="false" ht="15" hidden="false" customHeight="true" outlineLevel="0" collapsed="false">
      <c r="A174" s="10" t="n">
        <v>173</v>
      </c>
      <c r="B174" s="8" t="s">
        <v>2459</v>
      </c>
      <c r="C174" s="10" t="n">
        <f aca="false">COUNTIF(Dataset!$E$2:$E$5001,A174)</f>
        <v>12</v>
      </c>
      <c r="D174" s="13" t="s">
        <v>11911</v>
      </c>
      <c r="E174" s="14" t="s">
        <v>11750</v>
      </c>
      <c r="F174" s="14" t="s">
        <v>11749</v>
      </c>
      <c r="G174" s="14" t="s">
        <v>11750</v>
      </c>
      <c r="H174" s="14" t="s">
        <v>11912</v>
      </c>
      <c r="I174" s="14"/>
      <c r="J174" s="13" t="s">
        <v>11717</v>
      </c>
    </row>
    <row r="175" customFormat="false" ht="23.25" hidden="false" customHeight="true" outlineLevel="0" collapsed="false">
      <c r="A175" s="10" t="n">
        <v>174</v>
      </c>
      <c r="B175" s="8" t="s">
        <v>2473</v>
      </c>
      <c r="C175" s="10" t="n">
        <f aca="false">COUNTIF(Dataset!$E$2:$E$5001,A175)</f>
        <v>12</v>
      </c>
      <c r="D175" s="13" t="s">
        <v>11913</v>
      </c>
      <c r="E175" s="14" t="s">
        <v>11750</v>
      </c>
      <c r="F175" s="14" t="s">
        <v>11749</v>
      </c>
      <c r="G175" s="14" t="s">
        <v>11750</v>
      </c>
      <c r="H175" s="14" t="s">
        <v>11914</v>
      </c>
      <c r="I175" s="14"/>
      <c r="J175" s="13" t="s">
        <v>11717</v>
      </c>
    </row>
    <row r="176" customFormat="false" ht="15" hidden="false" customHeight="true" outlineLevel="0" collapsed="false">
      <c r="A176" s="10" t="n">
        <v>175</v>
      </c>
      <c r="B176" s="8" t="s">
        <v>2487</v>
      </c>
      <c r="C176" s="10" t="n">
        <f aca="false">COUNTIF(Dataset!$E$2:$E$5001,A176)</f>
        <v>12</v>
      </c>
      <c r="D176" s="13" t="s">
        <v>11905</v>
      </c>
      <c r="E176" s="14" t="s">
        <v>11750</v>
      </c>
      <c r="F176" s="14" t="s">
        <v>11749</v>
      </c>
      <c r="G176" s="14" t="s">
        <v>11750</v>
      </c>
      <c r="H176" s="14" t="s">
        <v>11915</v>
      </c>
      <c r="I176" s="14"/>
      <c r="J176" s="13" t="s">
        <v>11717</v>
      </c>
    </row>
    <row r="177" customFormat="false" ht="15" hidden="false" customHeight="true" outlineLevel="0" collapsed="false">
      <c r="A177" s="10" t="n">
        <v>176</v>
      </c>
      <c r="B177" s="8" t="s">
        <v>2501</v>
      </c>
      <c r="C177" s="10" t="n">
        <f aca="false">COUNTIF(Dataset!$E$2:$E$5001,A177)</f>
        <v>12</v>
      </c>
      <c r="D177" s="13" t="s">
        <v>11905</v>
      </c>
      <c r="E177" s="14" t="s">
        <v>11750</v>
      </c>
      <c r="F177" s="14" t="s">
        <v>11749</v>
      </c>
      <c r="G177" s="14" t="s">
        <v>11750</v>
      </c>
      <c r="H177" s="14" t="s">
        <v>11916</v>
      </c>
      <c r="I177" s="14"/>
      <c r="J177" s="13" t="s">
        <v>11717</v>
      </c>
    </row>
    <row r="178" customFormat="false" ht="15" hidden="false" customHeight="true" outlineLevel="0" collapsed="false">
      <c r="A178" s="10" t="n">
        <v>177</v>
      </c>
      <c r="B178" s="8" t="s">
        <v>2515</v>
      </c>
      <c r="C178" s="10" t="n">
        <f aca="false">COUNTIF(Dataset!$E$2:$E$5001,A178)</f>
        <v>12</v>
      </c>
      <c r="D178" s="13" t="s">
        <v>11905</v>
      </c>
      <c r="E178" s="14" t="s">
        <v>11750</v>
      </c>
      <c r="F178" s="14" t="s">
        <v>11749</v>
      </c>
      <c r="G178" s="14" t="s">
        <v>11750</v>
      </c>
      <c r="H178" s="14" t="s">
        <v>11917</v>
      </c>
      <c r="I178" s="14"/>
      <c r="J178" s="13" t="s">
        <v>11717</v>
      </c>
    </row>
    <row r="179" customFormat="false" ht="23.25" hidden="false" customHeight="true" outlineLevel="0" collapsed="false">
      <c r="A179" s="10" t="n">
        <v>178</v>
      </c>
      <c r="B179" s="8" t="s">
        <v>2529</v>
      </c>
      <c r="C179" s="10" t="n">
        <f aca="false">COUNTIF(Dataset!$E$2:$E$5001,A179)</f>
        <v>12</v>
      </c>
      <c r="D179" s="13" t="s">
        <v>11918</v>
      </c>
      <c r="E179" s="14" t="s">
        <v>11749</v>
      </c>
      <c r="F179" s="14" t="s">
        <v>11750</v>
      </c>
      <c r="G179" s="14" t="s">
        <v>11750</v>
      </c>
      <c r="H179" s="14" t="s">
        <v>11919</v>
      </c>
      <c r="I179" s="14"/>
      <c r="J179" s="13" t="s">
        <v>11717</v>
      </c>
    </row>
    <row r="180" customFormat="false" ht="23.25" hidden="false" customHeight="true" outlineLevel="0" collapsed="false">
      <c r="A180" s="10" t="n">
        <v>179</v>
      </c>
      <c r="B180" s="8" t="s">
        <v>2543</v>
      </c>
      <c r="C180" s="10" t="n">
        <f aca="false">COUNTIF(Dataset!$E$2:$E$5001,A180)</f>
        <v>12</v>
      </c>
      <c r="D180" s="13" t="s">
        <v>11796</v>
      </c>
      <c r="E180" s="14" t="s">
        <v>11749</v>
      </c>
      <c r="F180" s="14" t="s">
        <v>11750</v>
      </c>
      <c r="G180" s="14" t="s">
        <v>11750</v>
      </c>
      <c r="H180" s="14" t="s">
        <v>11920</v>
      </c>
      <c r="I180" s="14"/>
      <c r="J180" s="13" t="s">
        <v>11717</v>
      </c>
    </row>
    <row r="181" customFormat="false" ht="23.25" hidden="false" customHeight="true" outlineLevel="0" collapsed="false">
      <c r="A181" s="10" t="n">
        <v>180</v>
      </c>
      <c r="B181" s="8" t="s">
        <v>2557</v>
      </c>
      <c r="C181" s="10" t="n">
        <f aca="false">COUNTIF(Dataset!$E$2:$E$5001,A181)</f>
        <v>12</v>
      </c>
      <c r="D181" s="13" t="s">
        <v>11803</v>
      </c>
      <c r="E181" s="14" t="s">
        <v>11749</v>
      </c>
      <c r="F181" s="14" t="s">
        <v>11750</v>
      </c>
      <c r="G181" s="14" t="s">
        <v>11750</v>
      </c>
      <c r="H181" s="14" t="s">
        <v>11921</v>
      </c>
      <c r="I181" s="14"/>
      <c r="J181" s="13" t="s">
        <v>11717</v>
      </c>
    </row>
    <row r="182" customFormat="false" ht="34.5" hidden="false" customHeight="true" outlineLevel="0" collapsed="false">
      <c r="A182" s="10" t="n">
        <v>181</v>
      </c>
      <c r="B182" s="8" t="s">
        <v>2571</v>
      </c>
      <c r="C182" s="10" t="n">
        <f aca="false">COUNTIF(Dataset!$E$2:$E$5001,A182)</f>
        <v>12</v>
      </c>
      <c r="D182" s="13" t="s">
        <v>11796</v>
      </c>
      <c r="E182" s="14" t="s">
        <v>11749</v>
      </c>
      <c r="F182" s="14" t="s">
        <v>11750</v>
      </c>
      <c r="G182" s="14" t="s">
        <v>11750</v>
      </c>
      <c r="H182" s="14" t="s">
        <v>11922</v>
      </c>
      <c r="I182" s="14"/>
      <c r="J182" s="13" t="s">
        <v>11717</v>
      </c>
    </row>
    <row r="183" customFormat="false" ht="23.25" hidden="false" customHeight="true" outlineLevel="0" collapsed="false">
      <c r="A183" s="10" t="n">
        <v>182</v>
      </c>
      <c r="B183" s="8" t="s">
        <v>2585</v>
      </c>
      <c r="C183" s="10" t="n">
        <f aca="false">COUNTIF(Dataset!$E$2:$E$5001,A183)</f>
        <v>12</v>
      </c>
      <c r="D183" s="13" t="s">
        <v>11905</v>
      </c>
      <c r="E183" s="14" t="s">
        <v>11750</v>
      </c>
      <c r="F183" s="14" t="s">
        <v>11749</v>
      </c>
      <c r="G183" s="14" t="s">
        <v>11750</v>
      </c>
      <c r="H183" s="14" t="s">
        <v>11923</v>
      </c>
      <c r="I183" s="14"/>
      <c r="J183" s="13" t="s">
        <v>11717</v>
      </c>
    </row>
    <row r="184" customFormat="false" ht="34.5" hidden="false" customHeight="true" outlineLevel="0" collapsed="false">
      <c r="A184" s="10" t="n">
        <v>183</v>
      </c>
      <c r="B184" s="8" t="s">
        <v>2599</v>
      </c>
      <c r="C184" s="10" t="n">
        <f aca="false">COUNTIF(Dataset!$E$2:$E$5001,A184)</f>
        <v>12</v>
      </c>
      <c r="D184" s="13" t="s">
        <v>11924</v>
      </c>
      <c r="E184" s="14" t="s">
        <v>11750</v>
      </c>
      <c r="F184" s="14" t="s">
        <v>11749</v>
      </c>
      <c r="G184" s="14" t="s">
        <v>11750</v>
      </c>
      <c r="H184" s="14" t="s">
        <v>11925</v>
      </c>
      <c r="I184" s="14"/>
      <c r="J184" s="13" t="s">
        <v>11717</v>
      </c>
    </row>
    <row r="185" customFormat="false" ht="23.25" hidden="false" customHeight="true" outlineLevel="0" collapsed="false">
      <c r="A185" s="10" t="n">
        <v>184</v>
      </c>
      <c r="B185" s="8" t="s">
        <v>2613</v>
      </c>
      <c r="C185" s="10" t="n">
        <f aca="false">COUNTIF(Dataset!$E$2:$E$5001,A185)</f>
        <v>12</v>
      </c>
      <c r="D185" s="13" t="s">
        <v>11789</v>
      </c>
      <c r="E185" s="14" t="s">
        <v>11750</v>
      </c>
      <c r="F185" s="14" t="s">
        <v>11749</v>
      </c>
      <c r="G185" s="14" t="s">
        <v>11750</v>
      </c>
      <c r="H185" s="14" t="s">
        <v>11926</v>
      </c>
      <c r="I185" s="14"/>
      <c r="J185" s="13" t="s">
        <v>11717</v>
      </c>
    </row>
    <row r="186" customFormat="false" ht="15" hidden="false" customHeight="true" outlineLevel="0" collapsed="false">
      <c r="A186" s="10" t="n">
        <v>185</v>
      </c>
      <c r="B186" s="8" t="s">
        <v>2627</v>
      </c>
      <c r="C186" s="10" t="n">
        <f aca="false">COUNTIF(Dataset!$E$2:$E$5001,A186)</f>
        <v>12</v>
      </c>
      <c r="D186" s="13" t="s">
        <v>11907</v>
      </c>
      <c r="E186" s="14" t="s">
        <v>11750</v>
      </c>
      <c r="F186" s="14" t="s">
        <v>11749</v>
      </c>
      <c r="G186" s="14" t="s">
        <v>11750</v>
      </c>
      <c r="H186" s="14" t="s">
        <v>11927</v>
      </c>
      <c r="I186" s="14"/>
      <c r="J186" s="13" t="s">
        <v>11717</v>
      </c>
    </row>
    <row r="187" customFormat="false" ht="15" hidden="false" customHeight="true" outlineLevel="0" collapsed="false">
      <c r="A187" s="10" t="n">
        <v>186</v>
      </c>
      <c r="B187" s="8" t="s">
        <v>2641</v>
      </c>
      <c r="C187" s="10" t="n">
        <f aca="false">COUNTIF(Dataset!$E$2:$E$5001,A187)</f>
        <v>12</v>
      </c>
      <c r="D187" s="13" t="s">
        <v>11905</v>
      </c>
      <c r="E187" s="14" t="s">
        <v>11750</v>
      </c>
      <c r="F187" s="14" t="s">
        <v>11749</v>
      </c>
      <c r="G187" s="14" t="s">
        <v>11750</v>
      </c>
      <c r="H187" s="14" t="s">
        <v>11928</v>
      </c>
      <c r="I187" s="14"/>
      <c r="J187" s="13" t="s">
        <v>11717</v>
      </c>
    </row>
    <row r="188" customFormat="false" ht="23.25" hidden="false" customHeight="true" outlineLevel="0" collapsed="false">
      <c r="A188" s="10" t="n">
        <v>187</v>
      </c>
      <c r="B188" s="8" t="s">
        <v>2655</v>
      </c>
      <c r="C188" s="10" t="n">
        <f aca="false">COUNTIF(Dataset!$E$2:$E$5001,A188)</f>
        <v>12</v>
      </c>
      <c r="D188" s="13" t="s">
        <v>11787</v>
      </c>
      <c r="E188" s="14" t="s">
        <v>11749</v>
      </c>
      <c r="F188" s="14" t="s">
        <v>11750</v>
      </c>
      <c r="G188" s="14" t="s">
        <v>11750</v>
      </c>
      <c r="H188" s="14" t="s">
        <v>11929</v>
      </c>
      <c r="I188" s="14"/>
      <c r="J188" s="13" t="s">
        <v>11717</v>
      </c>
    </row>
    <row r="189" customFormat="false" ht="15" hidden="false" customHeight="true" outlineLevel="0" collapsed="false">
      <c r="A189" s="10" t="n">
        <v>188</v>
      </c>
      <c r="B189" s="8" t="s">
        <v>2669</v>
      </c>
      <c r="C189" s="10" t="n">
        <f aca="false">COUNTIF(Dataset!$E$2:$E$5001,A189)</f>
        <v>12</v>
      </c>
      <c r="D189" s="13" t="s">
        <v>11787</v>
      </c>
      <c r="E189" s="14" t="s">
        <v>11749</v>
      </c>
      <c r="F189" s="14" t="s">
        <v>11750</v>
      </c>
      <c r="G189" s="14" t="s">
        <v>11750</v>
      </c>
      <c r="H189" s="14" t="s">
        <v>11930</v>
      </c>
      <c r="I189" s="14"/>
      <c r="J189" s="13" t="s">
        <v>11717</v>
      </c>
    </row>
    <row r="190" customFormat="false" ht="15" hidden="false" customHeight="true" outlineLevel="0" collapsed="false">
      <c r="A190" s="10" t="n">
        <v>189</v>
      </c>
      <c r="B190" s="8" t="s">
        <v>2683</v>
      </c>
      <c r="C190" s="10" t="n">
        <f aca="false">COUNTIF(Dataset!$E$2:$E$5001,A190)</f>
        <v>12</v>
      </c>
      <c r="D190" s="13" t="s">
        <v>11931</v>
      </c>
      <c r="E190" s="14" t="s">
        <v>11749</v>
      </c>
      <c r="F190" s="14" t="s">
        <v>11749</v>
      </c>
      <c r="G190" s="14" t="s">
        <v>11750</v>
      </c>
      <c r="H190" s="14" t="s">
        <v>11932</v>
      </c>
      <c r="I190" s="14"/>
      <c r="J190" s="13" t="s">
        <v>11717</v>
      </c>
    </row>
    <row r="191" customFormat="false" ht="23.25" hidden="false" customHeight="true" outlineLevel="0" collapsed="false">
      <c r="A191" s="10" t="n">
        <v>190</v>
      </c>
      <c r="B191" s="8" t="s">
        <v>2697</v>
      </c>
      <c r="C191" s="10" t="n">
        <f aca="false">COUNTIF(Dataset!$E$2:$E$5001,A191)</f>
        <v>12</v>
      </c>
      <c r="D191" s="13" t="s">
        <v>11933</v>
      </c>
      <c r="E191" s="14" t="s">
        <v>11715</v>
      </c>
      <c r="F191" s="14" t="s">
        <v>11715</v>
      </c>
      <c r="G191" s="14" t="s">
        <v>11715</v>
      </c>
      <c r="H191" s="14" t="s">
        <v>11934</v>
      </c>
      <c r="I191" s="14"/>
      <c r="J191" s="13" t="s">
        <v>11717</v>
      </c>
    </row>
    <row r="192" customFormat="false" ht="15" hidden="false" customHeight="true" outlineLevel="0" collapsed="false">
      <c r="A192" s="10" t="n">
        <v>191</v>
      </c>
      <c r="B192" s="8" t="s">
        <v>2711</v>
      </c>
      <c r="C192" s="10" t="n">
        <f aca="false">COUNTIF(Dataset!$E$2:$E$5001,A192)</f>
        <v>12</v>
      </c>
      <c r="D192" s="13" t="s">
        <v>11935</v>
      </c>
      <c r="E192" s="14" t="s">
        <v>11749</v>
      </c>
      <c r="F192" s="14" t="s">
        <v>11749</v>
      </c>
      <c r="G192" s="14" t="s">
        <v>11750</v>
      </c>
      <c r="H192" s="14" t="s">
        <v>11936</v>
      </c>
      <c r="I192" s="14"/>
      <c r="J192" s="13" t="s">
        <v>11717</v>
      </c>
    </row>
    <row r="193" customFormat="false" ht="23.25" hidden="false" customHeight="true" outlineLevel="0" collapsed="false">
      <c r="A193" s="10" t="n">
        <v>192</v>
      </c>
      <c r="B193" s="8" t="s">
        <v>2725</v>
      </c>
      <c r="C193" s="10" t="n">
        <f aca="false">COUNTIF(Dataset!$E$2:$E$5001,A193)</f>
        <v>12</v>
      </c>
      <c r="D193" s="13" t="s">
        <v>11937</v>
      </c>
      <c r="E193" s="14" t="s">
        <v>11750</v>
      </c>
      <c r="F193" s="14" t="s">
        <v>11749</v>
      </c>
      <c r="G193" s="14" t="s">
        <v>11750</v>
      </c>
      <c r="H193" s="14" t="s">
        <v>11938</v>
      </c>
      <c r="I193" s="14"/>
      <c r="J193" s="13" t="s">
        <v>11717</v>
      </c>
    </row>
    <row r="194" customFormat="false" ht="23.25" hidden="false" customHeight="true" outlineLevel="0" collapsed="false">
      <c r="A194" s="10" t="n">
        <v>193</v>
      </c>
      <c r="B194" s="8" t="s">
        <v>2739</v>
      </c>
      <c r="C194" s="10" t="n">
        <f aca="false">COUNTIF(Dataset!$E$2:$E$5001,A194)</f>
        <v>12</v>
      </c>
      <c r="D194" s="13" t="s">
        <v>11905</v>
      </c>
      <c r="E194" s="14" t="s">
        <v>11750</v>
      </c>
      <c r="F194" s="14" t="s">
        <v>11749</v>
      </c>
      <c r="G194" s="14" t="s">
        <v>11750</v>
      </c>
      <c r="H194" s="14" t="s">
        <v>11939</v>
      </c>
      <c r="I194" s="14"/>
      <c r="J194" s="13" t="s">
        <v>11717</v>
      </c>
    </row>
    <row r="195" customFormat="false" ht="15" hidden="false" customHeight="true" outlineLevel="0" collapsed="false">
      <c r="A195" s="10" t="n">
        <v>194</v>
      </c>
      <c r="B195" s="8" t="s">
        <v>2753</v>
      </c>
      <c r="C195" s="10" t="n">
        <f aca="false">COUNTIF(Dataset!$E$2:$E$5001,A195)</f>
        <v>12</v>
      </c>
      <c r="D195" s="13" t="s">
        <v>11866</v>
      </c>
      <c r="E195" s="14" t="s">
        <v>11749</v>
      </c>
      <c r="F195" s="14" t="s">
        <v>11749</v>
      </c>
      <c r="G195" s="14" t="s">
        <v>11750</v>
      </c>
      <c r="H195" s="14" t="s">
        <v>11940</v>
      </c>
      <c r="I195" s="14"/>
      <c r="J195" s="13" t="s">
        <v>11717</v>
      </c>
    </row>
    <row r="196" customFormat="false" ht="23.25" hidden="false" customHeight="true" outlineLevel="0" collapsed="false">
      <c r="A196" s="10" t="n">
        <v>195</v>
      </c>
      <c r="B196" s="8" t="s">
        <v>2767</v>
      </c>
      <c r="C196" s="10" t="n">
        <f aca="false">COUNTIF(Dataset!$E$2:$E$5001,A196)</f>
        <v>12</v>
      </c>
      <c r="D196" s="13" t="s">
        <v>11924</v>
      </c>
      <c r="E196" s="14" t="s">
        <v>11749</v>
      </c>
      <c r="F196" s="14" t="s">
        <v>11750</v>
      </c>
      <c r="G196" s="14" t="s">
        <v>11750</v>
      </c>
      <c r="H196" s="14" t="s">
        <v>11941</v>
      </c>
      <c r="I196" s="14"/>
      <c r="J196" s="13" t="s">
        <v>11717</v>
      </c>
    </row>
    <row r="197" customFormat="false" ht="45.75" hidden="false" customHeight="true" outlineLevel="0" collapsed="false">
      <c r="A197" s="10" t="n">
        <v>196</v>
      </c>
      <c r="B197" s="8" t="s">
        <v>2781</v>
      </c>
      <c r="C197" s="10" t="n">
        <f aca="false">COUNTIF(Dataset!$E$2:$E$5001,A197)</f>
        <v>12</v>
      </c>
      <c r="D197" s="13" t="s">
        <v>11942</v>
      </c>
      <c r="E197" s="14" t="s">
        <v>11749</v>
      </c>
      <c r="F197" s="14" t="s">
        <v>11750</v>
      </c>
      <c r="G197" s="14" t="s">
        <v>11750</v>
      </c>
      <c r="H197" s="14" t="s">
        <v>11943</v>
      </c>
      <c r="I197" s="14"/>
      <c r="J197" s="13" t="s">
        <v>11717</v>
      </c>
    </row>
    <row r="198" customFormat="false" ht="23.25" hidden="false" customHeight="true" outlineLevel="0" collapsed="false">
      <c r="A198" s="10" t="n">
        <v>197</v>
      </c>
      <c r="B198" s="8" t="s">
        <v>2795</v>
      </c>
      <c r="C198" s="10" t="n">
        <f aca="false">COUNTIF(Dataset!$E$2:$E$5001,A198)</f>
        <v>12</v>
      </c>
      <c r="D198" s="13" t="s">
        <v>11944</v>
      </c>
      <c r="E198" s="14" t="s">
        <v>11749</v>
      </c>
      <c r="F198" s="14" t="s">
        <v>11750</v>
      </c>
      <c r="G198" s="14" t="s">
        <v>11750</v>
      </c>
      <c r="H198" s="14" t="s">
        <v>11945</v>
      </c>
      <c r="I198" s="14"/>
      <c r="J198" s="13" t="s">
        <v>11717</v>
      </c>
    </row>
    <row r="199" customFormat="false" ht="23.25" hidden="false" customHeight="true" outlineLevel="0" collapsed="false">
      <c r="A199" s="10" t="n">
        <v>198</v>
      </c>
      <c r="B199" s="8" t="s">
        <v>2809</v>
      </c>
      <c r="C199" s="10" t="n">
        <f aca="false">COUNTIF(Dataset!$E$2:$E$5001,A199)</f>
        <v>12</v>
      </c>
      <c r="D199" s="13" t="s">
        <v>11946</v>
      </c>
      <c r="E199" s="14" t="s">
        <v>11750</v>
      </c>
      <c r="F199" s="14" t="s">
        <v>11749</v>
      </c>
      <c r="G199" s="14" t="s">
        <v>11750</v>
      </c>
      <c r="H199" s="14" t="s">
        <v>11947</v>
      </c>
      <c r="I199" s="14"/>
      <c r="J199" s="13" t="s">
        <v>11717</v>
      </c>
    </row>
    <row r="200" customFormat="false" ht="15" hidden="false" customHeight="true" outlineLevel="0" collapsed="false">
      <c r="A200" s="10" t="n">
        <v>199</v>
      </c>
      <c r="B200" s="8" t="s">
        <v>2823</v>
      </c>
      <c r="C200" s="10" t="n">
        <f aca="false">COUNTIF(Dataset!$E$2:$E$5001,A200)</f>
        <v>12</v>
      </c>
      <c r="D200" s="13" t="s">
        <v>11948</v>
      </c>
      <c r="E200" s="14" t="s">
        <v>11749</v>
      </c>
      <c r="F200" s="14" t="s">
        <v>11749</v>
      </c>
      <c r="G200" s="14" t="s">
        <v>11750</v>
      </c>
      <c r="H200" s="14" t="s">
        <v>11949</v>
      </c>
      <c r="I200" s="14"/>
      <c r="J200" s="13" t="s">
        <v>11717</v>
      </c>
    </row>
    <row r="201" customFormat="false" ht="15" hidden="false" customHeight="true" outlineLevel="0" collapsed="false">
      <c r="A201" s="10" t="n">
        <v>200</v>
      </c>
      <c r="B201" s="8" t="s">
        <v>2837</v>
      </c>
      <c r="C201" s="10" t="n">
        <f aca="false">COUNTIF(Dataset!$E$2:$E$5001,A201)</f>
        <v>12</v>
      </c>
      <c r="D201" s="13" t="s">
        <v>11864</v>
      </c>
      <c r="E201" s="14" t="s">
        <v>11750</v>
      </c>
      <c r="F201" s="14" t="s">
        <v>11749</v>
      </c>
      <c r="G201" s="14" t="s">
        <v>11750</v>
      </c>
      <c r="H201" s="14" t="s">
        <v>11950</v>
      </c>
      <c r="I201" s="14"/>
      <c r="J201" s="13" t="s">
        <v>11717</v>
      </c>
    </row>
    <row r="202" customFormat="false" ht="23.25" hidden="false" customHeight="true" outlineLevel="0" collapsed="false">
      <c r="A202" s="10" t="n">
        <v>201</v>
      </c>
      <c r="B202" s="8" t="s">
        <v>2851</v>
      </c>
      <c r="C202" s="10" t="n">
        <f aca="false">COUNTIF(Dataset!$E$2:$E$5001,A202)</f>
        <v>12</v>
      </c>
      <c r="D202" s="13" t="s">
        <v>11924</v>
      </c>
      <c r="E202" s="14" t="s">
        <v>11750</v>
      </c>
      <c r="F202" s="14" t="s">
        <v>11749</v>
      </c>
      <c r="G202" s="14" t="s">
        <v>11750</v>
      </c>
      <c r="H202" s="14" t="s">
        <v>11951</v>
      </c>
      <c r="I202" s="14"/>
      <c r="J202" s="13" t="s">
        <v>11717</v>
      </c>
    </row>
    <row r="203" customFormat="false" ht="15" hidden="false" customHeight="true" outlineLevel="0" collapsed="false">
      <c r="A203" s="10" t="n">
        <v>202</v>
      </c>
      <c r="B203" s="8" t="s">
        <v>2865</v>
      </c>
      <c r="C203" s="10" t="n">
        <f aca="false">COUNTIF(Dataset!$E$2:$E$5001,A203)</f>
        <v>12</v>
      </c>
      <c r="D203" s="13" t="s">
        <v>11946</v>
      </c>
      <c r="E203" s="14" t="s">
        <v>11750</v>
      </c>
      <c r="F203" s="14" t="s">
        <v>11749</v>
      </c>
      <c r="G203" s="14" t="s">
        <v>11750</v>
      </c>
      <c r="H203" s="14" t="s">
        <v>11952</v>
      </c>
      <c r="I203" s="14"/>
      <c r="J203" s="13" t="s">
        <v>11717</v>
      </c>
    </row>
    <row r="204" customFormat="false" ht="15" hidden="false" customHeight="true" outlineLevel="0" collapsed="false">
      <c r="A204" s="10" t="n">
        <v>203</v>
      </c>
      <c r="B204" s="8" t="s">
        <v>2879</v>
      </c>
      <c r="C204" s="10" t="n">
        <f aca="false">COUNTIF(Dataset!$E$2:$E$5001,A204)</f>
        <v>12</v>
      </c>
      <c r="D204" s="13" t="s">
        <v>11953</v>
      </c>
      <c r="E204" s="14" t="s">
        <v>11750</v>
      </c>
      <c r="F204" s="14" t="s">
        <v>11749</v>
      </c>
      <c r="G204" s="14" t="s">
        <v>11750</v>
      </c>
      <c r="H204" s="14" t="s">
        <v>11954</v>
      </c>
      <c r="I204" s="14"/>
      <c r="J204" s="13" t="s">
        <v>11717</v>
      </c>
    </row>
    <row r="205" customFormat="false" ht="15" hidden="false" customHeight="true" outlineLevel="0" collapsed="false">
      <c r="A205" s="10" t="n">
        <v>204</v>
      </c>
      <c r="B205" s="8" t="s">
        <v>2893</v>
      </c>
      <c r="C205" s="10" t="n">
        <f aca="false">COUNTIF(Dataset!$E$2:$E$5001,A205)</f>
        <v>12</v>
      </c>
      <c r="D205" s="13" t="s">
        <v>11789</v>
      </c>
      <c r="E205" s="14" t="s">
        <v>11749</v>
      </c>
      <c r="F205" s="14" t="s">
        <v>11750</v>
      </c>
      <c r="G205" s="14" t="s">
        <v>11750</v>
      </c>
      <c r="H205" s="14" t="s">
        <v>11955</v>
      </c>
      <c r="I205" s="14"/>
      <c r="J205" s="13" t="s">
        <v>11717</v>
      </c>
    </row>
    <row r="206" customFormat="false" ht="23.25" hidden="false" customHeight="true" outlineLevel="0" collapsed="false">
      <c r="A206" s="10" t="n">
        <v>205</v>
      </c>
      <c r="B206" s="8" t="s">
        <v>2907</v>
      </c>
      <c r="C206" s="10" t="n">
        <f aca="false">COUNTIF(Dataset!$E$2:$E$5001,A206)</f>
        <v>12</v>
      </c>
      <c r="D206" s="13" t="s">
        <v>11909</v>
      </c>
      <c r="E206" s="14" t="s">
        <v>11750</v>
      </c>
      <c r="F206" s="14" t="s">
        <v>11749</v>
      </c>
      <c r="G206" s="14" t="s">
        <v>11750</v>
      </c>
      <c r="H206" s="14" t="s">
        <v>11956</v>
      </c>
      <c r="I206" s="14"/>
      <c r="J206" s="13" t="s">
        <v>11717</v>
      </c>
    </row>
    <row r="207" customFormat="false" ht="23.25" hidden="false" customHeight="true" outlineLevel="0" collapsed="false">
      <c r="A207" s="10" t="n">
        <v>206</v>
      </c>
      <c r="B207" s="8" t="s">
        <v>2921</v>
      </c>
      <c r="C207" s="10" t="n">
        <f aca="false">COUNTIF(Dataset!$E$2:$E$5001,A207)</f>
        <v>12</v>
      </c>
      <c r="D207" s="13" t="s">
        <v>11957</v>
      </c>
      <c r="E207" s="14" t="s">
        <v>11750</v>
      </c>
      <c r="F207" s="14" t="s">
        <v>11749</v>
      </c>
      <c r="G207" s="14" t="s">
        <v>11750</v>
      </c>
      <c r="H207" s="14" t="s">
        <v>11958</v>
      </c>
      <c r="I207" s="14"/>
      <c r="J207" s="13" t="s">
        <v>11717</v>
      </c>
    </row>
    <row r="208" customFormat="false" ht="23.25" hidden="false" customHeight="true" outlineLevel="0" collapsed="false">
      <c r="A208" s="10" t="n">
        <v>207</v>
      </c>
      <c r="B208" s="8" t="s">
        <v>2935</v>
      </c>
      <c r="C208" s="10" t="n">
        <f aca="false">COUNTIF(Dataset!$E$2:$E$5001,A208)</f>
        <v>12</v>
      </c>
      <c r="D208" s="13" t="s">
        <v>11959</v>
      </c>
      <c r="E208" s="14" t="s">
        <v>11750</v>
      </c>
      <c r="F208" s="14" t="s">
        <v>11749</v>
      </c>
      <c r="G208" s="14" t="s">
        <v>11750</v>
      </c>
      <c r="H208" s="14" t="s">
        <v>11960</v>
      </c>
      <c r="I208" s="14"/>
      <c r="J208" s="13" t="s">
        <v>11717</v>
      </c>
    </row>
    <row r="209" customFormat="false" ht="23.25" hidden="false" customHeight="true" outlineLevel="0" collapsed="false">
      <c r="A209" s="10" t="n">
        <v>208</v>
      </c>
      <c r="B209" s="8" t="s">
        <v>2949</v>
      </c>
      <c r="C209" s="10" t="n">
        <f aca="false">COUNTIF(Dataset!$E$2:$E$5001,A209)</f>
        <v>12</v>
      </c>
      <c r="D209" s="13" t="s">
        <v>11961</v>
      </c>
      <c r="E209" s="14" t="s">
        <v>11750</v>
      </c>
      <c r="F209" s="14" t="s">
        <v>11749</v>
      </c>
      <c r="G209" s="14" t="s">
        <v>11750</v>
      </c>
      <c r="H209" s="14" t="s">
        <v>11962</v>
      </c>
      <c r="I209" s="14"/>
      <c r="J209" s="13" t="s">
        <v>11717</v>
      </c>
    </row>
    <row r="210" customFormat="false" ht="23.25" hidden="false" customHeight="true" outlineLevel="0" collapsed="false">
      <c r="A210" s="10" t="n">
        <v>209</v>
      </c>
      <c r="B210" s="8" t="s">
        <v>2963</v>
      </c>
      <c r="C210" s="10" t="n">
        <f aca="false">COUNTIF(Dataset!$E$2:$E$5001,A210)</f>
        <v>12</v>
      </c>
      <c r="D210" s="13" t="s">
        <v>11963</v>
      </c>
      <c r="E210" s="14" t="s">
        <v>11749</v>
      </c>
      <c r="F210" s="14" t="s">
        <v>11750</v>
      </c>
      <c r="G210" s="14" t="s">
        <v>11750</v>
      </c>
      <c r="H210" s="14" t="s">
        <v>11964</v>
      </c>
      <c r="I210" s="14"/>
      <c r="J210" s="13" t="s">
        <v>11717</v>
      </c>
    </row>
    <row r="211" customFormat="false" ht="23.25" hidden="false" customHeight="true" outlineLevel="0" collapsed="false">
      <c r="A211" s="10" t="n">
        <v>210</v>
      </c>
      <c r="B211" s="8" t="s">
        <v>2977</v>
      </c>
      <c r="C211" s="10" t="n">
        <f aca="false">COUNTIF(Dataset!$E$2:$E$5001,A211)</f>
        <v>12</v>
      </c>
      <c r="D211" s="13" t="s">
        <v>11965</v>
      </c>
      <c r="E211" s="14" t="s">
        <v>11750</v>
      </c>
      <c r="F211" s="14" t="s">
        <v>11749</v>
      </c>
      <c r="G211" s="14" t="s">
        <v>11750</v>
      </c>
      <c r="H211" s="14" t="s">
        <v>11966</v>
      </c>
      <c r="I211" s="14"/>
      <c r="J211" s="13" t="s">
        <v>11717</v>
      </c>
    </row>
    <row r="212" customFormat="false" ht="23.25" hidden="false" customHeight="true" outlineLevel="0" collapsed="false">
      <c r="A212" s="10" t="n">
        <v>211</v>
      </c>
      <c r="B212" s="8" t="s">
        <v>2991</v>
      </c>
      <c r="C212" s="10" t="n">
        <f aca="false">COUNTIF(Dataset!$E$2:$E$5001,A212)</f>
        <v>12</v>
      </c>
      <c r="D212" s="13" t="s">
        <v>11967</v>
      </c>
      <c r="E212" s="14" t="s">
        <v>11750</v>
      </c>
      <c r="F212" s="14" t="s">
        <v>11749</v>
      </c>
      <c r="G212" s="14" t="s">
        <v>11750</v>
      </c>
      <c r="H212" s="14" t="s">
        <v>11968</v>
      </c>
      <c r="I212" s="14"/>
      <c r="J212" s="13" t="s">
        <v>11717</v>
      </c>
    </row>
    <row r="213" customFormat="false" ht="15" hidden="false" customHeight="true" outlineLevel="0" collapsed="false">
      <c r="A213" s="10" t="n">
        <v>212</v>
      </c>
      <c r="B213" s="8" t="s">
        <v>3005</v>
      </c>
      <c r="C213" s="10" t="n">
        <f aca="false">COUNTIF(Dataset!$E$2:$E$5001,A213)</f>
        <v>12</v>
      </c>
      <c r="D213" s="13" t="s">
        <v>11969</v>
      </c>
      <c r="E213" s="14" t="s">
        <v>11750</v>
      </c>
      <c r="F213" s="14" t="s">
        <v>11749</v>
      </c>
      <c r="G213" s="14" t="s">
        <v>11750</v>
      </c>
      <c r="H213" s="14" t="s">
        <v>11970</v>
      </c>
      <c r="I213" s="14"/>
      <c r="J213" s="13" t="s">
        <v>11717</v>
      </c>
    </row>
    <row r="214" customFormat="false" ht="23.25" hidden="false" customHeight="true" outlineLevel="0" collapsed="false">
      <c r="A214" s="10" t="n">
        <v>213</v>
      </c>
      <c r="B214" s="8" t="s">
        <v>3019</v>
      </c>
      <c r="C214" s="10" t="n">
        <f aca="false">COUNTIF(Dataset!$E$2:$E$5001,A214)</f>
        <v>12</v>
      </c>
      <c r="D214" s="13" t="s">
        <v>11971</v>
      </c>
      <c r="E214" s="14" t="s">
        <v>11750</v>
      </c>
      <c r="F214" s="14" t="s">
        <v>11749</v>
      </c>
      <c r="G214" s="14" t="s">
        <v>11750</v>
      </c>
      <c r="H214" s="14" t="s">
        <v>11972</v>
      </c>
      <c r="I214" s="14"/>
      <c r="J214" s="13" t="s">
        <v>11717</v>
      </c>
    </row>
    <row r="215" customFormat="false" ht="23.25" hidden="false" customHeight="true" outlineLevel="0" collapsed="false">
      <c r="A215" s="10" t="n">
        <v>214</v>
      </c>
      <c r="B215" s="8" t="s">
        <v>3033</v>
      </c>
      <c r="C215" s="10" t="n">
        <f aca="false">COUNTIF(Dataset!$E$2:$E$5001,A215)</f>
        <v>12</v>
      </c>
      <c r="D215" s="13" t="s">
        <v>11971</v>
      </c>
      <c r="E215" s="14" t="s">
        <v>11750</v>
      </c>
      <c r="F215" s="14" t="s">
        <v>11749</v>
      </c>
      <c r="G215" s="14" t="s">
        <v>11750</v>
      </c>
      <c r="H215" s="14" t="s">
        <v>11973</v>
      </c>
      <c r="I215" s="14"/>
      <c r="J215" s="13" t="s">
        <v>11717</v>
      </c>
    </row>
    <row r="216" customFormat="false" ht="15" hidden="false" customHeight="true" outlineLevel="0" collapsed="false">
      <c r="A216" s="10" t="n">
        <v>215</v>
      </c>
      <c r="B216" s="8" t="s">
        <v>3047</v>
      </c>
      <c r="C216" s="10" t="n">
        <f aca="false">COUNTIF(Dataset!$E$2:$E$5001,A216)</f>
        <v>12</v>
      </c>
      <c r="D216" s="13" t="s">
        <v>11974</v>
      </c>
      <c r="E216" s="14" t="s">
        <v>11750</v>
      </c>
      <c r="F216" s="14" t="s">
        <v>11749</v>
      </c>
      <c r="G216" s="14" t="s">
        <v>11750</v>
      </c>
      <c r="H216" s="14" t="s">
        <v>11975</v>
      </c>
      <c r="I216" s="14"/>
      <c r="J216" s="13" t="s">
        <v>11717</v>
      </c>
    </row>
    <row r="217" customFormat="false" ht="23.25" hidden="false" customHeight="true" outlineLevel="0" collapsed="false">
      <c r="A217" s="10" t="n">
        <v>216</v>
      </c>
      <c r="B217" s="8" t="s">
        <v>3061</v>
      </c>
      <c r="C217" s="10" t="n">
        <f aca="false">COUNTIF(Dataset!$E$2:$E$5001,A217)</f>
        <v>12</v>
      </c>
      <c r="D217" s="13" t="s">
        <v>11791</v>
      </c>
      <c r="E217" s="14" t="s">
        <v>11750</v>
      </c>
      <c r="F217" s="14" t="s">
        <v>11749</v>
      </c>
      <c r="G217" s="14" t="s">
        <v>11750</v>
      </c>
      <c r="H217" s="14" t="s">
        <v>11976</v>
      </c>
      <c r="I217" s="14"/>
      <c r="J217" s="13" t="s">
        <v>11717</v>
      </c>
    </row>
    <row r="218" customFormat="false" ht="23.25" hidden="false" customHeight="true" outlineLevel="0" collapsed="false">
      <c r="A218" s="10" t="n">
        <v>217</v>
      </c>
      <c r="B218" s="8" t="s">
        <v>3075</v>
      </c>
      <c r="C218" s="10" t="n">
        <f aca="false">COUNTIF(Dataset!$E$2:$E$5001,A218)</f>
        <v>12</v>
      </c>
      <c r="D218" s="13" t="s">
        <v>11907</v>
      </c>
      <c r="E218" s="14" t="s">
        <v>11750</v>
      </c>
      <c r="F218" s="14" t="s">
        <v>11749</v>
      </c>
      <c r="G218" s="14" t="s">
        <v>11750</v>
      </c>
      <c r="H218" s="14" t="s">
        <v>11977</v>
      </c>
      <c r="I218" s="14"/>
      <c r="J218" s="13" t="s">
        <v>11717</v>
      </c>
    </row>
    <row r="219" customFormat="false" ht="23.25" hidden="false" customHeight="true" outlineLevel="0" collapsed="false">
      <c r="A219" s="10" t="n">
        <v>218</v>
      </c>
      <c r="B219" s="8" t="s">
        <v>3089</v>
      </c>
      <c r="C219" s="10" t="n">
        <f aca="false">COUNTIF(Dataset!$E$2:$E$5001,A219)</f>
        <v>12</v>
      </c>
      <c r="D219" s="13" t="s">
        <v>11907</v>
      </c>
      <c r="E219" s="14" t="s">
        <v>11750</v>
      </c>
      <c r="F219" s="14" t="s">
        <v>11749</v>
      </c>
      <c r="G219" s="14" t="s">
        <v>11750</v>
      </c>
      <c r="H219" s="14" t="s">
        <v>11978</v>
      </c>
      <c r="I219" s="14"/>
      <c r="J219" s="13" t="s">
        <v>11717</v>
      </c>
    </row>
    <row r="220" customFormat="false" ht="23.25" hidden="false" customHeight="true" outlineLevel="0" collapsed="false">
      <c r="A220" s="10" t="n">
        <v>219</v>
      </c>
      <c r="B220" s="8" t="s">
        <v>3103</v>
      </c>
      <c r="C220" s="10" t="n">
        <f aca="false">COUNTIF(Dataset!$E$2:$E$5001,A220)</f>
        <v>12</v>
      </c>
      <c r="D220" s="13" t="s">
        <v>11866</v>
      </c>
      <c r="E220" s="14" t="s">
        <v>11750</v>
      </c>
      <c r="F220" s="14" t="s">
        <v>11749</v>
      </c>
      <c r="G220" s="14" t="s">
        <v>11750</v>
      </c>
      <c r="H220" s="14" t="s">
        <v>11979</v>
      </c>
      <c r="I220" s="14"/>
      <c r="J220" s="13" t="s">
        <v>11717</v>
      </c>
    </row>
    <row r="221" customFormat="false" ht="23.25" hidden="false" customHeight="true" outlineLevel="0" collapsed="false">
      <c r="A221" s="10" t="n">
        <v>220</v>
      </c>
      <c r="B221" s="8" t="s">
        <v>3117</v>
      </c>
      <c r="C221" s="10" t="n">
        <f aca="false">COUNTIF(Dataset!$E$2:$E$5001,A221)</f>
        <v>12</v>
      </c>
      <c r="D221" s="13" t="s">
        <v>11866</v>
      </c>
      <c r="E221" s="14" t="s">
        <v>11750</v>
      </c>
      <c r="F221" s="14" t="s">
        <v>11749</v>
      </c>
      <c r="G221" s="14" t="s">
        <v>11750</v>
      </c>
      <c r="H221" s="14" t="s">
        <v>11980</v>
      </c>
      <c r="I221" s="14"/>
      <c r="J221" s="13" t="s">
        <v>11717</v>
      </c>
    </row>
    <row r="222" customFormat="false" ht="23.25" hidden="false" customHeight="true" outlineLevel="0" collapsed="false">
      <c r="A222" s="10" t="n">
        <v>221</v>
      </c>
      <c r="B222" s="8" t="s">
        <v>3131</v>
      </c>
      <c r="C222" s="10" t="n">
        <f aca="false">COUNTIF(Dataset!$E$2:$E$5001,A222)</f>
        <v>12</v>
      </c>
      <c r="D222" s="13" t="s">
        <v>11909</v>
      </c>
      <c r="E222" s="14" t="s">
        <v>11750</v>
      </c>
      <c r="F222" s="14" t="s">
        <v>11749</v>
      </c>
      <c r="G222" s="14" t="s">
        <v>11750</v>
      </c>
      <c r="H222" s="14" t="s">
        <v>11981</v>
      </c>
      <c r="I222" s="14"/>
      <c r="J222" s="13" t="s">
        <v>11717</v>
      </c>
    </row>
    <row r="223" customFormat="false" ht="23.25" hidden="false" customHeight="true" outlineLevel="0" collapsed="false">
      <c r="A223" s="10" t="n">
        <v>222</v>
      </c>
      <c r="B223" s="8" t="s">
        <v>3145</v>
      </c>
      <c r="C223" s="10" t="n">
        <f aca="false">COUNTIF(Dataset!$E$2:$E$5001,A223)</f>
        <v>12</v>
      </c>
      <c r="D223" s="13" t="s">
        <v>11982</v>
      </c>
      <c r="E223" s="14" t="s">
        <v>11750</v>
      </c>
      <c r="F223" s="14" t="s">
        <v>11749</v>
      </c>
      <c r="G223" s="14" t="s">
        <v>11750</v>
      </c>
      <c r="H223" s="14" t="s">
        <v>11983</v>
      </c>
      <c r="I223" s="14"/>
      <c r="J223" s="13" t="s">
        <v>11717</v>
      </c>
    </row>
    <row r="224" customFormat="false" ht="23.25" hidden="false" customHeight="true" outlineLevel="0" collapsed="false">
      <c r="A224" s="10" t="n">
        <v>223</v>
      </c>
      <c r="B224" s="8" t="s">
        <v>3159</v>
      </c>
      <c r="C224" s="10" t="n">
        <f aca="false">COUNTIF(Dataset!$E$2:$E$5001,A224)</f>
        <v>12</v>
      </c>
      <c r="D224" s="13" t="s">
        <v>11984</v>
      </c>
      <c r="E224" s="14" t="s">
        <v>11749</v>
      </c>
      <c r="F224" s="14" t="s">
        <v>11749</v>
      </c>
      <c r="G224" s="14" t="s">
        <v>11750</v>
      </c>
      <c r="H224" s="14" t="s">
        <v>11985</v>
      </c>
      <c r="I224" s="14"/>
      <c r="J224" s="13" t="s">
        <v>11717</v>
      </c>
    </row>
    <row r="225" customFormat="false" ht="15" hidden="false" customHeight="true" outlineLevel="0" collapsed="false">
      <c r="A225" s="10" t="n">
        <v>224</v>
      </c>
      <c r="B225" s="8" t="s">
        <v>3173</v>
      </c>
      <c r="C225" s="10" t="n">
        <f aca="false">COUNTIF(Dataset!$E$2:$E$5001,A225)</f>
        <v>12</v>
      </c>
      <c r="D225" s="13" t="s">
        <v>11789</v>
      </c>
      <c r="E225" s="14" t="s">
        <v>11750</v>
      </c>
      <c r="F225" s="14" t="s">
        <v>11749</v>
      </c>
      <c r="G225" s="14" t="s">
        <v>11750</v>
      </c>
      <c r="H225" s="14" t="s">
        <v>11986</v>
      </c>
      <c r="I225" s="14"/>
      <c r="J225" s="13" t="s">
        <v>11717</v>
      </c>
    </row>
    <row r="226" customFormat="false" ht="23.25" hidden="false" customHeight="true" outlineLevel="0" collapsed="false">
      <c r="A226" s="10" t="n">
        <v>225</v>
      </c>
      <c r="B226" s="8" t="s">
        <v>3187</v>
      </c>
      <c r="C226" s="10" t="n">
        <f aca="false">COUNTIF(Dataset!$E$2:$E$5001,A226)</f>
        <v>12</v>
      </c>
      <c r="D226" s="13" t="s">
        <v>11864</v>
      </c>
      <c r="E226" s="14" t="s">
        <v>11750</v>
      </c>
      <c r="F226" s="14" t="s">
        <v>11749</v>
      </c>
      <c r="G226" s="14" t="s">
        <v>11750</v>
      </c>
      <c r="H226" s="14" t="s">
        <v>11987</v>
      </c>
      <c r="I226" s="14"/>
      <c r="J226" s="13" t="s">
        <v>11717</v>
      </c>
    </row>
    <row r="227" customFormat="false" ht="23.25" hidden="false" customHeight="true" outlineLevel="0" collapsed="false">
      <c r="A227" s="10" t="n">
        <v>226</v>
      </c>
      <c r="B227" s="8" t="s">
        <v>3201</v>
      </c>
      <c r="C227" s="10" t="n">
        <f aca="false">COUNTIF(Dataset!$E$2:$E$5001,A227)</f>
        <v>12</v>
      </c>
      <c r="D227" s="13" t="s">
        <v>11988</v>
      </c>
      <c r="E227" s="14" t="s">
        <v>11749</v>
      </c>
      <c r="F227" s="14" t="s">
        <v>11749</v>
      </c>
      <c r="G227" s="14" t="s">
        <v>11750</v>
      </c>
      <c r="H227" s="14" t="s">
        <v>11989</v>
      </c>
      <c r="I227" s="14"/>
      <c r="J227" s="13" t="s">
        <v>11717</v>
      </c>
    </row>
    <row r="228" customFormat="false" ht="15" hidden="false" customHeight="true" outlineLevel="0" collapsed="false">
      <c r="A228" s="10" t="n">
        <v>227</v>
      </c>
      <c r="B228" s="8" t="s">
        <v>3215</v>
      </c>
      <c r="C228" s="10" t="n">
        <f aca="false">COUNTIF(Dataset!$E$2:$E$5001,A228)</f>
        <v>12</v>
      </c>
      <c r="D228" s="13" t="s">
        <v>11711</v>
      </c>
      <c r="E228" s="14" t="s">
        <v>11712</v>
      </c>
      <c r="F228" s="14" t="s">
        <v>11712</v>
      </c>
      <c r="G228" s="14" t="s">
        <v>11712</v>
      </c>
      <c r="H228" s="14"/>
      <c r="I228" s="14"/>
      <c r="J228" s="13" t="s">
        <v>11713</v>
      </c>
    </row>
    <row r="229" customFormat="false" ht="15" hidden="false" customHeight="true" outlineLevel="0" collapsed="false">
      <c r="A229" s="10" t="n">
        <v>228</v>
      </c>
      <c r="B229" s="8" t="s">
        <v>3229</v>
      </c>
      <c r="C229" s="10" t="n">
        <f aca="false">COUNTIF(Dataset!$E$2:$E$5001,A229)</f>
        <v>12</v>
      </c>
      <c r="D229" s="13" t="s">
        <v>11711</v>
      </c>
      <c r="E229" s="14" t="s">
        <v>11712</v>
      </c>
      <c r="F229" s="14" t="s">
        <v>11712</v>
      </c>
      <c r="G229" s="14" t="s">
        <v>11712</v>
      </c>
      <c r="H229" s="14"/>
      <c r="I229" s="14"/>
      <c r="J229" s="13" t="s">
        <v>11713</v>
      </c>
    </row>
    <row r="230" customFormat="false" ht="15" hidden="false" customHeight="true" outlineLevel="0" collapsed="false">
      <c r="A230" s="10" t="n">
        <v>229</v>
      </c>
      <c r="B230" s="8" t="s">
        <v>3243</v>
      </c>
      <c r="C230" s="10" t="n">
        <f aca="false">COUNTIF(Dataset!$E$2:$E$5001,A230)</f>
        <v>12</v>
      </c>
      <c r="D230" s="13" t="s">
        <v>11990</v>
      </c>
      <c r="E230" s="14" t="s">
        <v>11750</v>
      </c>
      <c r="F230" s="14" t="s">
        <v>11749</v>
      </c>
      <c r="G230" s="14" t="s">
        <v>11750</v>
      </c>
      <c r="H230" s="14" t="s">
        <v>11991</v>
      </c>
      <c r="I230" s="14"/>
      <c r="J230" s="13" t="s">
        <v>11717</v>
      </c>
    </row>
    <row r="231" customFormat="false" ht="23.25" hidden="false" customHeight="true" outlineLevel="0" collapsed="false">
      <c r="A231" s="10" t="n">
        <v>230</v>
      </c>
      <c r="B231" s="8" t="s">
        <v>3257</v>
      </c>
      <c r="C231" s="10" t="n">
        <f aca="false">COUNTIF(Dataset!$E$2:$E$5001,A231)</f>
        <v>12</v>
      </c>
      <c r="D231" s="13" t="s">
        <v>11992</v>
      </c>
      <c r="E231" s="14" t="s">
        <v>11750</v>
      </c>
      <c r="F231" s="14" t="s">
        <v>11750</v>
      </c>
      <c r="G231" s="14" t="s">
        <v>11750</v>
      </c>
      <c r="H231" s="14" t="s">
        <v>11993</v>
      </c>
      <c r="I231" s="14"/>
      <c r="J231" s="13" t="s">
        <v>11717</v>
      </c>
    </row>
    <row r="232" customFormat="false" ht="23.25" hidden="false" customHeight="true" outlineLevel="0" collapsed="false">
      <c r="A232" s="10" t="n">
        <v>231</v>
      </c>
      <c r="B232" s="8" t="s">
        <v>3271</v>
      </c>
      <c r="C232" s="10" t="n">
        <f aca="false">COUNTIF(Dataset!$E$2:$E$5001,A232)</f>
        <v>12</v>
      </c>
      <c r="D232" s="13" t="s">
        <v>11994</v>
      </c>
      <c r="E232" s="14" t="s">
        <v>11750</v>
      </c>
      <c r="F232" s="14" t="s">
        <v>11750</v>
      </c>
      <c r="G232" s="14" t="s">
        <v>11750</v>
      </c>
      <c r="H232" s="14" t="s">
        <v>11995</v>
      </c>
      <c r="I232" s="14"/>
      <c r="J232" s="13" t="s">
        <v>11717</v>
      </c>
    </row>
    <row r="233" customFormat="false" ht="15" hidden="false" customHeight="true" outlineLevel="0" collapsed="false">
      <c r="A233" s="10" t="n">
        <v>232</v>
      </c>
      <c r="B233" s="8" t="s">
        <v>3285</v>
      </c>
      <c r="C233" s="10" t="n">
        <f aca="false">COUNTIF(Dataset!$E$2:$E$5001,A233)</f>
        <v>12</v>
      </c>
      <c r="D233" s="13" t="s">
        <v>11996</v>
      </c>
      <c r="E233" s="14" t="s">
        <v>11749</v>
      </c>
      <c r="F233" s="14" t="s">
        <v>11750</v>
      </c>
      <c r="G233" s="14" t="s">
        <v>11750</v>
      </c>
      <c r="H233" s="14" t="s">
        <v>11997</v>
      </c>
      <c r="I233" s="14"/>
      <c r="J233" s="13" t="s">
        <v>11717</v>
      </c>
    </row>
    <row r="234" customFormat="false" ht="15" hidden="false" customHeight="true" outlineLevel="0" collapsed="false">
      <c r="A234" s="10" t="n">
        <v>233</v>
      </c>
      <c r="B234" s="8" t="s">
        <v>3299</v>
      </c>
      <c r="C234" s="10" t="n">
        <f aca="false">COUNTIF(Dataset!$E$2:$E$5001,A234)</f>
        <v>12</v>
      </c>
      <c r="D234" s="13" t="s">
        <v>11998</v>
      </c>
      <c r="E234" s="14" t="s">
        <v>11750</v>
      </c>
      <c r="F234" s="14" t="s">
        <v>11749</v>
      </c>
      <c r="G234" s="14" t="s">
        <v>11750</v>
      </c>
      <c r="H234" s="14" t="s">
        <v>11999</v>
      </c>
      <c r="I234" s="14"/>
      <c r="J234" s="13" t="s">
        <v>11717</v>
      </c>
    </row>
    <row r="235" customFormat="false" ht="15" hidden="false" customHeight="true" outlineLevel="0" collapsed="false">
      <c r="A235" s="10" t="n">
        <v>234</v>
      </c>
      <c r="B235" s="8" t="s">
        <v>3313</v>
      </c>
      <c r="C235" s="10" t="n">
        <f aca="false">COUNTIF(Dataset!$E$2:$E$5001,A235)</f>
        <v>12</v>
      </c>
      <c r="D235" s="13" t="s">
        <v>12000</v>
      </c>
      <c r="E235" s="14" t="s">
        <v>11750</v>
      </c>
      <c r="F235" s="14" t="s">
        <v>11749</v>
      </c>
      <c r="G235" s="14" t="s">
        <v>11750</v>
      </c>
      <c r="H235" s="14" t="s">
        <v>12001</v>
      </c>
      <c r="I235" s="14"/>
      <c r="J235" s="13" t="s">
        <v>11717</v>
      </c>
    </row>
    <row r="236" customFormat="false" ht="15" hidden="false" customHeight="true" outlineLevel="0" collapsed="false">
      <c r="A236" s="10" t="n">
        <v>235</v>
      </c>
      <c r="B236" s="8" t="s">
        <v>3327</v>
      </c>
      <c r="C236" s="10" t="n">
        <f aca="false">COUNTIF(Dataset!$E$2:$E$5001,A236)</f>
        <v>12</v>
      </c>
      <c r="D236" s="13" t="s">
        <v>12000</v>
      </c>
      <c r="E236" s="14" t="s">
        <v>11750</v>
      </c>
      <c r="F236" s="14" t="s">
        <v>11749</v>
      </c>
      <c r="G236" s="14" t="s">
        <v>11750</v>
      </c>
      <c r="H236" s="14" t="s">
        <v>12002</v>
      </c>
      <c r="I236" s="14"/>
      <c r="J236" s="13" t="s">
        <v>11717</v>
      </c>
    </row>
    <row r="237" customFormat="false" ht="23.25" hidden="false" customHeight="true" outlineLevel="0" collapsed="false">
      <c r="A237" s="10" t="n">
        <v>236</v>
      </c>
      <c r="B237" s="8" t="s">
        <v>3341</v>
      </c>
      <c r="C237" s="10" t="n">
        <f aca="false">COUNTIF(Dataset!$E$2:$E$5001,A237)</f>
        <v>12</v>
      </c>
      <c r="D237" s="13" t="s">
        <v>12000</v>
      </c>
      <c r="E237" s="14" t="s">
        <v>11750</v>
      </c>
      <c r="F237" s="14" t="s">
        <v>11749</v>
      </c>
      <c r="G237" s="14" t="s">
        <v>11750</v>
      </c>
      <c r="H237" s="14" t="s">
        <v>12003</v>
      </c>
      <c r="I237" s="14"/>
      <c r="J237" s="13" t="s">
        <v>11717</v>
      </c>
    </row>
    <row r="238" customFormat="false" ht="15" hidden="false" customHeight="true" outlineLevel="0" collapsed="false">
      <c r="A238" s="10" t="n">
        <v>237</v>
      </c>
      <c r="B238" s="8" t="s">
        <v>3355</v>
      </c>
      <c r="C238" s="10" t="n">
        <f aca="false">COUNTIF(Dataset!$E$2:$E$5001,A238)</f>
        <v>12</v>
      </c>
      <c r="D238" s="13" t="s">
        <v>12000</v>
      </c>
      <c r="E238" s="14" t="s">
        <v>11750</v>
      </c>
      <c r="F238" s="14" t="s">
        <v>11749</v>
      </c>
      <c r="G238" s="14" t="s">
        <v>11750</v>
      </c>
      <c r="H238" s="14" t="s">
        <v>12004</v>
      </c>
      <c r="I238" s="14"/>
      <c r="J238" s="13" t="s">
        <v>11717</v>
      </c>
    </row>
    <row r="239" customFormat="false" ht="23.25" hidden="false" customHeight="true" outlineLevel="0" collapsed="false">
      <c r="A239" s="10" t="n">
        <v>238</v>
      </c>
      <c r="B239" s="8" t="s">
        <v>3369</v>
      </c>
      <c r="C239" s="10" t="n">
        <f aca="false">COUNTIF(Dataset!$E$2:$E$5001,A239)</f>
        <v>12</v>
      </c>
      <c r="D239" s="13" t="s">
        <v>12005</v>
      </c>
      <c r="E239" s="14" t="s">
        <v>11750</v>
      </c>
      <c r="F239" s="14" t="s">
        <v>11857</v>
      </c>
      <c r="G239" s="14" t="s">
        <v>11750</v>
      </c>
      <c r="H239" s="14" t="s">
        <v>12006</v>
      </c>
      <c r="I239" s="14"/>
      <c r="J239" s="13" t="s">
        <v>11717</v>
      </c>
    </row>
    <row r="240" customFormat="false" ht="23.25" hidden="false" customHeight="true" outlineLevel="0" collapsed="false">
      <c r="A240" s="10" t="n">
        <v>239</v>
      </c>
      <c r="B240" s="8" t="s">
        <v>3383</v>
      </c>
      <c r="C240" s="10" t="n">
        <f aca="false">COUNTIF(Dataset!$E$2:$E$5001,A240)</f>
        <v>12</v>
      </c>
      <c r="D240" s="13" t="s">
        <v>12007</v>
      </c>
      <c r="E240" s="14" t="s">
        <v>11750</v>
      </c>
      <c r="F240" s="14" t="s">
        <v>11749</v>
      </c>
      <c r="G240" s="14" t="s">
        <v>11750</v>
      </c>
      <c r="H240" s="14" t="s">
        <v>12008</v>
      </c>
      <c r="I240" s="14"/>
      <c r="J240" s="13" t="s">
        <v>11717</v>
      </c>
    </row>
    <row r="241" customFormat="false" ht="23.25" hidden="false" customHeight="true" outlineLevel="0" collapsed="false">
      <c r="A241" s="10" t="n">
        <v>240</v>
      </c>
      <c r="B241" s="8" t="s">
        <v>3397</v>
      </c>
      <c r="C241" s="10" t="n">
        <f aca="false">COUNTIF(Dataset!$E$2:$E$5001,A241)</f>
        <v>12</v>
      </c>
      <c r="D241" s="13" t="s">
        <v>11789</v>
      </c>
      <c r="E241" s="14" t="s">
        <v>11750</v>
      </c>
      <c r="F241" s="14" t="s">
        <v>11749</v>
      </c>
      <c r="G241" s="14" t="s">
        <v>11750</v>
      </c>
      <c r="H241" s="14" t="s">
        <v>12009</v>
      </c>
      <c r="I241" s="14"/>
      <c r="J241" s="13" t="s">
        <v>11717</v>
      </c>
    </row>
    <row r="242" customFormat="false" ht="23.25" hidden="false" customHeight="true" outlineLevel="0" collapsed="false">
      <c r="A242" s="10" t="n">
        <v>241</v>
      </c>
      <c r="B242" s="8" t="s">
        <v>3411</v>
      </c>
      <c r="C242" s="10" t="n">
        <f aca="false">COUNTIF(Dataset!$E$2:$E$5001,A242)</f>
        <v>12</v>
      </c>
      <c r="D242" s="13" t="s">
        <v>11924</v>
      </c>
      <c r="E242" s="14" t="s">
        <v>11750</v>
      </c>
      <c r="F242" s="14" t="s">
        <v>11749</v>
      </c>
      <c r="G242" s="14" t="s">
        <v>11750</v>
      </c>
      <c r="H242" s="14" t="s">
        <v>12010</v>
      </c>
      <c r="I242" s="14"/>
      <c r="J242" s="13" t="s">
        <v>11717</v>
      </c>
    </row>
    <row r="243" customFormat="false" ht="23.25" hidden="false" customHeight="true" outlineLevel="0" collapsed="false">
      <c r="A243" s="10" t="n">
        <v>242</v>
      </c>
      <c r="B243" s="8" t="s">
        <v>3425</v>
      </c>
      <c r="C243" s="10" t="n">
        <f aca="false">COUNTIF(Dataset!$E$2:$E$5001,A243)</f>
        <v>12</v>
      </c>
      <c r="D243" s="13" t="s">
        <v>11924</v>
      </c>
      <c r="E243" s="14" t="s">
        <v>11750</v>
      </c>
      <c r="F243" s="14" t="s">
        <v>11749</v>
      </c>
      <c r="G243" s="14" t="s">
        <v>11750</v>
      </c>
      <c r="H243" s="14" t="s">
        <v>12011</v>
      </c>
      <c r="I243" s="14"/>
      <c r="J243" s="13" t="s">
        <v>11717</v>
      </c>
    </row>
    <row r="244" customFormat="false" ht="23.25" hidden="false" customHeight="true" outlineLevel="0" collapsed="false">
      <c r="A244" s="10" t="n">
        <v>243</v>
      </c>
      <c r="B244" s="8" t="s">
        <v>3439</v>
      </c>
      <c r="C244" s="10" t="n">
        <f aca="false">COUNTIF(Dataset!$E$2:$E$5001,A244)</f>
        <v>12</v>
      </c>
      <c r="D244" s="13" t="s">
        <v>11924</v>
      </c>
      <c r="E244" s="14" t="s">
        <v>11750</v>
      </c>
      <c r="F244" s="14" t="s">
        <v>11749</v>
      </c>
      <c r="G244" s="14" t="s">
        <v>11750</v>
      </c>
      <c r="H244" s="14" t="s">
        <v>12012</v>
      </c>
      <c r="I244" s="14"/>
      <c r="J244" s="13" t="s">
        <v>11717</v>
      </c>
    </row>
    <row r="245" customFormat="false" ht="23.25" hidden="false" customHeight="true" outlineLevel="0" collapsed="false">
      <c r="A245" s="10" t="n">
        <v>244</v>
      </c>
      <c r="B245" s="8" t="s">
        <v>3453</v>
      </c>
      <c r="C245" s="10" t="n">
        <f aca="false">COUNTIF(Dataset!$E$2:$E$5001,A245)</f>
        <v>12</v>
      </c>
      <c r="D245" s="13" t="s">
        <v>11924</v>
      </c>
      <c r="E245" s="14" t="s">
        <v>11750</v>
      </c>
      <c r="F245" s="14" t="s">
        <v>11749</v>
      </c>
      <c r="G245" s="14" t="s">
        <v>11750</v>
      </c>
      <c r="H245" s="14" t="s">
        <v>12013</v>
      </c>
      <c r="I245" s="14"/>
      <c r="J245" s="13" t="s">
        <v>11717</v>
      </c>
    </row>
    <row r="246" customFormat="false" ht="15" hidden="false" customHeight="true" outlineLevel="0" collapsed="false">
      <c r="A246" s="10" t="n">
        <v>245</v>
      </c>
      <c r="B246" s="8" t="s">
        <v>3467</v>
      </c>
      <c r="C246" s="10" t="n">
        <f aca="false">COUNTIF(Dataset!$E$2:$E$5001,A246)</f>
        <v>12</v>
      </c>
      <c r="D246" s="13" t="s">
        <v>11789</v>
      </c>
      <c r="E246" s="14" t="s">
        <v>11750</v>
      </c>
      <c r="F246" s="14" t="s">
        <v>11749</v>
      </c>
      <c r="G246" s="14" t="s">
        <v>11750</v>
      </c>
      <c r="H246" s="14" t="s">
        <v>12014</v>
      </c>
      <c r="I246" s="14"/>
      <c r="J246" s="13" t="s">
        <v>11717</v>
      </c>
    </row>
    <row r="247" customFormat="false" ht="15" hidden="false" customHeight="true" outlineLevel="0" collapsed="false">
      <c r="A247" s="10" t="n">
        <v>246</v>
      </c>
      <c r="B247" s="8" t="s">
        <v>3481</v>
      </c>
      <c r="C247" s="10" t="n">
        <f aca="false">COUNTIF(Dataset!$E$2:$E$5001,A247)</f>
        <v>12</v>
      </c>
      <c r="D247" s="13" t="s">
        <v>11765</v>
      </c>
      <c r="E247" s="14" t="s">
        <v>11750</v>
      </c>
      <c r="F247" s="14" t="s">
        <v>11749</v>
      </c>
      <c r="G247" s="14" t="s">
        <v>11750</v>
      </c>
      <c r="H247" s="14" t="s">
        <v>12015</v>
      </c>
      <c r="I247" s="14"/>
      <c r="J247" s="13" t="s">
        <v>11717</v>
      </c>
    </row>
    <row r="248" customFormat="false" ht="15" hidden="false" customHeight="true" outlineLevel="0" collapsed="false">
      <c r="A248" s="10" t="n">
        <v>247</v>
      </c>
      <c r="B248" s="8" t="s">
        <v>3495</v>
      </c>
      <c r="C248" s="10" t="n">
        <f aca="false">COUNTIF(Dataset!$E$2:$E$5001,A248)</f>
        <v>12</v>
      </c>
      <c r="D248" s="13" t="s">
        <v>11789</v>
      </c>
      <c r="E248" s="14" t="s">
        <v>11750</v>
      </c>
      <c r="F248" s="14" t="s">
        <v>11749</v>
      </c>
      <c r="G248" s="14" t="s">
        <v>11750</v>
      </c>
      <c r="H248" s="14" t="s">
        <v>12016</v>
      </c>
      <c r="I248" s="14"/>
      <c r="J248" s="13" t="s">
        <v>11717</v>
      </c>
    </row>
    <row r="249" customFormat="false" ht="15" hidden="false" customHeight="true" outlineLevel="0" collapsed="false">
      <c r="A249" s="10" t="n">
        <v>248</v>
      </c>
      <c r="B249" s="8" t="s">
        <v>3509</v>
      </c>
      <c r="C249" s="10" t="n">
        <f aca="false">COUNTIF(Dataset!$E$2:$E$5001,A249)</f>
        <v>12</v>
      </c>
      <c r="D249" s="13" t="s">
        <v>12017</v>
      </c>
      <c r="E249" s="14" t="s">
        <v>11750</v>
      </c>
      <c r="F249" s="14" t="s">
        <v>11857</v>
      </c>
      <c r="G249" s="14" t="s">
        <v>11750</v>
      </c>
      <c r="H249" s="14" t="s">
        <v>12018</v>
      </c>
      <c r="I249" s="14"/>
      <c r="J249" s="13" t="s">
        <v>11717</v>
      </c>
    </row>
    <row r="250" customFormat="false" ht="15" hidden="false" customHeight="true" outlineLevel="0" collapsed="false">
      <c r="A250" s="10" t="n">
        <v>249</v>
      </c>
      <c r="B250" s="8" t="s">
        <v>3523</v>
      </c>
      <c r="C250" s="10" t="n">
        <f aca="false">COUNTIF(Dataset!$E$2:$E$5001,A250)</f>
        <v>12</v>
      </c>
      <c r="D250" s="13" t="s">
        <v>12019</v>
      </c>
      <c r="E250" s="14" t="s">
        <v>11750</v>
      </c>
      <c r="F250" s="14" t="s">
        <v>11857</v>
      </c>
      <c r="G250" s="14" t="s">
        <v>11750</v>
      </c>
      <c r="H250" s="14" t="s">
        <v>12020</v>
      </c>
      <c r="I250" s="14"/>
      <c r="J250" s="13" t="s">
        <v>11717</v>
      </c>
    </row>
    <row r="251" customFormat="false" ht="15" hidden="false" customHeight="true" outlineLevel="0" collapsed="false">
      <c r="A251" s="10" t="n">
        <v>250</v>
      </c>
      <c r="B251" s="8" t="s">
        <v>3537</v>
      </c>
      <c r="C251" s="10" t="n">
        <f aca="false">COUNTIF(Dataset!$E$2:$E$5001,A251)</f>
        <v>12</v>
      </c>
      <c r="D251" s="13" t="s">
        <v>12021</v>
      </c>
      <c r="E251" s="14" t="s">
        <v>11750</v>
      </c>
      <c r="F251" s="14" t="s">
        <v>11857</v>
      </c>
      <c r="G251" s="14" t="s">
        <v>11750</v>
      </c>
      <c r="H251" s="14" t="s">
        <v>12022</v>
      </c>
      <c r="I251" s="14"/>
      <c r="J251" s="13" t="s">
        <v>11717</v>
      </c>
    </row>
    <row r="252" customFormat="false" ht="23.25" hidden="false" customHeight="true" outlineLevel="0" collapsed="false">
      <c r="A252" s="10" t="n">
        <v>251</v>
      </c>
      <c r="B252" s="8" t="s">
        <v>3551</v>
      </c>
      <c r="C252" s="10" t="n">
        <f aca="false">COUNTIF(Dataset!$E$2:$E$5001,A252)</f>
        <v>12</v>
      </c>
      <c r="D252" s="13" t="s">
        <v>12023</v>
      </c>
      <c r="E252" s="14" t="s">
        <v>11750</v>
      </c>
      <c r="F252" s="14" t="s">
        <v>11857</v>
      </c>
      <c r="G252" s="14" t="s">
        <v>11750</v>
      </c>
      <c r="H252" s="14" t="s">
        <v>12024</v>
      </c>
      <c r="I252" s="14"/>
      <c r="J252" s="13" t="s">
        <v>11717</v>
      </c>
    </row>
    <row r="253" customFormat="false" ht="15" hidden="false" customHeight="true" outlineLevel="0" collapsed="false">
      <c r="A253" s="10" t="n">
        <v>252</v>
      </c>
      <c r="B253" s="8" t="s">
        <v>3565</v>
      </c>
      <c r="C253" s="10" t="n">
        <f aca="false">COUNTIF(Dataset!$E$2:$E$5001,A253)</f>
        <v>12</v>
      </c>
      <c r="D253" s="13" t="s">
        <v>11789</v>
      </c>
      <c r="E253" s="14" t="s">
        <v>11750</v>
      </c>
      <c r="F253" s="14" t="s">
        <v>11749</v>
      </c>
      <c r="G253" s="14" t="s">
        <v>11750</v>
      </c>
      <c r="H253" s="14" t="s">
        <v>12025</v>
      </c>
      <c r="I253" s="14"/>
      <c r="J253" s="13" t="s">
        <v>11717</v>
      </c>
    </row>
    <row r="254" customFormat="false" ht="23.25" hidden="false" customHeight="true" outlineLevel="0" collapsed="false">
      <c r="A254" s="10" t="n">
        <v>253</v>
      </c>
      <c r="B254" s="8" t="s">
        <v>3579</v>
      </c>
      <c r="C254" s="10" t="n">
        <f aca="false">COUNTIF(Dataset!$E$2:$E$5001,A254)</f>
        <v>12</v>
      </c>
      <c r="D254" s="13" t="s">
        <v>12026</v>
      </c>
      <c r="E254" s="14" t="s">
        <v>11750</v>
      </c>
      <c r="F254" s="14" t="s">
        <v>11857</v>
      </c>
      <c r="G254" s="14" t="s">
        <v>11750</v>
      </c>
      <c r="H254" s="14" t="s">
        <v>12027</v>
      </c>
      <c r="I254" s="14"/>
      <c r="J254" s="13" t="s">
        <v>11717</v>
      </c>
    </row>
    <row r="255" customFormat="false" ht="15" hidden="false" customHeight="true" outlineLevel="0" collapsed="false">
      <c r="A255" s="10" t="n">
        <v>254</v>
      </c>
      <c r="B255" s="8" t="s">
        <v>3593</v>
      </c>
      <c r="C255" s="10" t="n">
        <f aca="false">COUNTIF(Dataset!$E$2:$E$5001,A255)</f>
        <v>12</v>
      </c>
      <c r="D255" s="13" t="s">
        <v>12028</v>
      </c>
      <c r="E255" s="14" t="s">
        <v>11749</v>
      </c>
      <c r="F255" s="14" t="s">
        <v>11750</v>
      </c>
      <c r="G255" s="14" t="s">
        <v>11750</v>
      </c>
      <c r="H255" s="14" t="s">
        <v>12029</v>
      </c>
      <c r="I255" s="14"/>
      <c r="J255" s="13" t="s">
        <v>11717</v>
      </c>
    </row>
    <row r="256" customFormat="false" ht="23.25" hidden="false" customHeight="true" outlineLevel="0" collapsed="false">
      <c r="A256" s="10" t="n">
        <v>255</v>
      </c>
      <c r="B256" s="8" t="s">
        <v>3607</v>
      </c>
      <c r="C256" s="10" t="n">
        <f aca="false">COUNTIF(Dataset!$E$2:$E$5001,A256)</f>
        <v>12</v>
      </c>
      <c r="D256" s="13" t="s">
        <v>11789</v>
      </c>
      <c r="E256" s="14" t="s">
        <v>11750</v>
      </c>
      <c r="F256" s="14" t="s">
        <v>11749</v>
      </c>
      <c r="G256" s="14" t="s">
        <v>11750</v>
      </c>
      <c r="H256" s="14" t="s">
        <v>12030</v>
      </c>
      <c r="I256" s="14"/>
      <c r="J256" s="13" t="s">
        <v>11717</v>
      </c>
    </row>
    <row r="257" customFormat="false" ht="23.25" hidden="false" customHeight="true" outlineLevel="0" collapsed="false">
      <c r="A257" s="10" t="n">
        <v>256</v>
      </c>
      <c r="B257" s="8" t="s">
        <v>3621</v>
      </c>
      <c r="C257" s="10" t="n">
        <f aca="false">COUNTIF(Dataset!$E$2:$E$5001,A257)</f>
        <v>12</v>
      </c>
      <c r="D257" s="13" t="s">
        <v>11924</v>
      </c>
      <c r="E257" s="14" t="s">
        <v>11750</v>
      </c>
      <c r="F257" s="14" t="s">
        <v>11749</v>
      </c>
      <c r="G257" s="14" t="s">
        <v>11750</v>
      </c>
      <c r="H257" s="14" t="s">
        <v>12031</v>
      </c>
      <c r="I257" s="14"/>
      <c r="J257" s="13" t="s">
        <v>11717</v>
      </c>
    </row>
    <row r="258" customFormat="false" ht="23.25" hidden="false" customHeight="true" outlineLevel="0" collapsed="false">
      <c r="A258" s="10" t="n">
        <v>257</v>
      </c>
      <c r="B258" s="8" t="s">
        <v>3635</v>
      </c>
      <c r="C258" s="10" t="n">
        <f aca="false">COUNTIF(Dataset!$E$2:$E$5001,A258)</f>
        <v>12</v>
      </c>
      <c r="D258" s="13" t="s">
        <v>11803</v>
      </c>
      <c r="E258" s="14" t="s">
        <v>11750</v>
      </c>
      <c r="F258" s="14" t="s">
        <v>11749</v>
      </c>
      <c r="G258" s="14" t="s">
        <v>11750</v>
      </c>
      <c r="H258" s="14" t="s">
        <v>12032</v>
      </c>
      <c r="I258" s="14"/>
      <c r="J258" s="13" t="s">
        <v>11717</v>
      </c>
    </row>
    <row r="259" customFormat="false" ht="23.25" hidden="false" customHeight="true" outlineLevel="0" collapsed="false">
      <c r="A259" s="10" t="n">
        <v>258</v>
      </c>
      <c r="B259" s="8" t="s">
        <v>3649</v>
      </c>
      <c r="C259" s="10" t="n">
        <f aca="false">COUNTIF(Dataset!$E$2:$E$5001,A259)</f>
        <v>12</v>
      </c>
      <c r="D259" s="13" t="s">
        <v>11803</v>
      </c>
      <c r="E259" s="14" t="s">
        <v>11750</v>
      </c>
      <c r="F259" s="14" t="s">
        <v>11749</v>
      </c>
      <c r="G259" s="14" t="s">
        <v>11750</v>
      </c>
      <c r="H259" s="14" t="s">
        <v>12033</v>
      </c>
      <c r="I259" s="14"/>
      <c r="J259" s="13" t="s">
        <v>11717</v>
      </c>
    </row>
    <row r="260" customFormat="false" ht="23.25" hidden="false" customHeight="true" outlineLevel="0" collapsed="false">
      <c r="A260" s="10" t="n">
        <v>259</v>
      </c>
      <c r="B260" s="8" t="s">
        <v>3663</v>
      </c>
      <c r="C260" s="10" t="n">
        <f aca="false">COUNTIF(Dataset!$E$2:$E$5001,A260)</f>
        <v>12</v>
      </c>
      <c r="D260" s="13" t="s">
        <v>12034</v>
      </c>
      <c r="E260" s="14" t="s">
        <v>11750</v>
      </c>
      <c r="F260" s="14" t="s">
        <v>11857</v>
      </c>
      <c r="G260" s="14" t="s">
        <v>11750</v>
      </c>
      <c r="H260" s="14" t="s">
        <v>12035</v>
      </c>
      <c r="I260" s="14"/>
      <c r="J260" s="13" t="s">
        <v>11717</v>
      </c>
    </row>
    <row r="261" customFormat="false" ht="23.25" hidden="false" customHeight="true" outlineLevel="0" collapsed="false">
      <c r="A261" s="10" t="n">
        <v>260</v>
      </c>
      <c r="B261" s="8" t="s">
        <v>3677</v>
      </c>
      <c r="C261" s="10" t="n">
        <f aca="false">COUNTIF(Dataset!$E$2:$E$5001,A261)</f>
        <v>12</v>
      </c>
      <c r="D261" s="13" t="s">
        <v>12036</v>
      </c>
      <c r="E261" s="14" t="s">
        <v>11750</v>
      </c>
      <c r="F261" s="14" t="s">
        <v>11857</v>
      </c>
      <c r="G261" s="14" t="s">
        <v>11750</v>
      </c>
      <c r="H261" s="14" t="s">
        <v>12037</v>
      </c>
      <c r="I261" s="14"/>
      <c r="J261" s="13" t="s">
        <v>11717</v>
      </c>
    </row>
    <row r="262" customFormat="false" ht="23.25" hidden="false" customHeight="true" outlineLevel="0" collapsed="false">
      <c r="A262" s="10" t="n">
        <v>261</v>
      </c>
      <c r="B262" s="8" t="s">
        <v>3691</v>
      </c>
      <c r="C262" s="10" t="n">
        <f aca="false">COUNTIF(Dataset!$E$2:$E$5001,A262)</f>
        <v>12</v>
      </c>
      <c r="D262" s="13" t="s">
        <v>12038</v>
      </c>
      <c r="E262" s="14" t="s">
        <v>11750</v>
      </c>
      <c r="F262" s="14" t="s">
        <v>11749</v>
      </c>
      <c r="G262" s="14" t="s">
        <v>11750</v>
      </c>
      <c r="H262" s="14" t="s">
        <v>12039</v>
      </c>
      <c r="I262" s="14"/>
      <c r="J262" s="13" t="s">
        <v>11717</v>
      </c>
    </row>
    <row r="263" customFormat="false" ht="23.25" hidden="false" customHeight="true" outlineLevel="0" collapsed="false">
      <c r="A263" s="10" t="n">
        <v>262</v>
      </c>
      <c r="B263" s="8" t="s">
        <v>3705</v>
      </c>
      <c r="C263" s="10" t="n">
        <f aca="false">COUNTIF(Dataset!$E$2:$E$5001,A263)</f>
        <v>12</v>
      </c>
      <c r="D263" s="13" t="s">
        <v>11789</v>
      </c>
      <c r="E263" s="14" t="s">
        <v>11750</v>
      </c>
      <c r="F263" s="14" t="s">
        <v>11749</v>
      </c>
      <c r="G263" s="14" t="s">
        <v>11750</v>
      </c>
      <c r="H263" s="14" t="s">
        <v>12040</v>
      </c>
      <c r="I263" s="14"/>
      <c r="J263" s="13" t="s">
        <v>11717</v>
      </c>
    </row>
    <row r="264" customFormat="false" ht="23.25" hidden="false" customHeight="true" outlineLevel="0" collapsed="false">
      <c r="A264" s="10" t="n">
        <v>263</v>
      </c>
      <c r="B264" s="8" t="s">
        <v>3719</v>
      </c>
      <c r="C264" s="10" t="n">
        <f aca="false">COUNTIF(Dataset!$E$2:$E$5001,A264)</f>
        <v>12</v>
      </c>
      <c r="D264" s="13" t="s">
        <v>12041</v>
      </c>
      <c r="E264" s="14" t="s">
        <v>11750</v>
      </c>
      <c r="F264" s="14" t="s">
        <v>11857</v>
      </c>
      <c r="G264" s="14" t="s">
        <v>11750</v>
      </c>
      <c r="H264" s="14" t="s">
        <v>12042</v>
      </c>
      <c r="I264" s="14"/>
      <c r="J264" s="13" t="s">
        <v>11717</v>
      </c>
    </row>
    <row r="265" customFormat="false" ht="23.25" hidden="false" customHeight="true" outlineLevel="0" collapsed="false">
      <c r="A265" s="10" t="n">
        <v>264</v>
      </c>
      <c r="B265" s="8" t="s">
        <v>3733</v>
      </c>
      <c r="C265" s="10" t="n">
        <f aca="false">COUNTIF(Dataset!$E$2:$E$5001,A265)</f>
        <v>12</v>
      </c>
      <c r="D265" s="13" t="s">
        <v>12043</v>
      </c>
      <c r="E265" s="14" t="s">
        <v>11750</v>
      </c>
      <c r="F265" s="14" t="s">
        <v>11857</v>
      </c>
      <c r="G265" s="14" t="s">
        <v>11750</v>
      </c>
      <c r="H265" s="14" t="s">
        <v>12044</v>
      </c>
      <c r="I265" s="14"/>
      <c r="J265" s="13" t="s">
        <v>11717</v>
      </c>
    </row>
    <row r="266" customFormat="false" ht="23.25" hidden="false" customHeight="true" outlineLevel="0" collapsed="false">
      <c r="A266" s="10" t="n">
        <v>265</v>
      </c>
      <c r="B266" s="8" t="s">
        <v>3747</v>
      </c>
      <c r="C266" s="10" t="n">
        <f aca="false">COUNTIF(Dataset!$E$2:$E$5001,A266)</f>
        <v>12</v>
      </c>
      <c r="D266" s="13" t="s">
        <v>11907</v>
      </c>
      <c r="E266" s="14" t="s">
        <v>11750</v>
      </c>
      <c r="F266" s="14" t="s">
        <v>11749</v>
      </c>
      <c r="G266" s="14" t="s">
        <v>11750</v>
      </c>
      <c r="H266" s="14" t="s">
        <v>12045</v>
      </c>
      <c r="I266" s="14"/>
      <c r="J266" s="13" t="s">
        <v>11717</v>
      </c>
    </row>
    <row r="267" customFormat="false" ht="15" hidden="false" customHeight="true" outlineLevel="0" collapsed="false">
      <c r="A267" s="10" t="n">
        <v>266</v>
      </c>
      <c r="B267" s="8" t="s">
        <v>3761</v>
      </c>
      <c r="C267" s="10" t="n">
        <f aca="false">COUNTIF(Dataset!$E$2:$E$5001,A267)</f>
        <v>12</v>
      </c>
      <c r="D267" s="13" t="s">
        <v>12046</v>
      </c>
      <c r="E267" s="14" t="s">
        <v>11750</v>
      </c>
      <c r="F267" s="14" t="s">
        <v>11750</v>
      </c>
      <c r="G267" s="14" t="s">
        <v>11750</v>
      </c>
      <c r="H267" s="14" t="s">
        <v>12047</v>
      </c>
      <c r="I267" s="14"/>
      <c r="J267" s="13" t="s">
        <v>11717</v>
      </c>
    </row>
    <row r="268" customFormat="false" ht="23.25" hidden="false" customHeight="true" outlineLevel="0" collapsed="false">
      <c r="A268" s="10" t="n">
        <v>267</v>
      </c>
      <c r="B268" s="8" t="s">
        <v>3775</v>
      </c>
      <c r="C268" s="10" t="n">
        <f aca="false">COUNTIF(Dataset!$E$2:$E$5001,A268)</f>
        <v>12</v>
      </c>
      <c r="D268" s="13" t="s">
        <v>11971</v>
      </c>
      <c r="E268" s="14" t="s">
        <v>11750</v>
      </c>
      <c r="F268" s="14" t="s">
        <v>11749</v>
      </c>
      <c r="G268" s="14" t="s">
        <v>11750</v>
      </c>
      <c r="H268" s="14" t="s">
        <v>12048</v>
      </c>
      <c r="I268" s="14"/>
      <c r="J268" s="13" t="s">
        <v>11717</v>
      </c>
    </row>
    <row r="269" customFormat="false" ht="15" hidden="false" customHeight="true" outlineLevel="0" collapsed="false">
      <c r="A269" s="10" t="n">
        <v>268</v>
      </c>
      <c r="B269" s="8" t="s">
        <v>3789</v>
      </c>
      <c r="C269" s="10" t="n">
        <f aca="false">COUNTIF(Dataset!$E$2:$E$5001,A269)</f>
        <v>12</v>
      </c>
      <c r="D269" s="13" t="s">
        <v>11789</v>
      </c>
      <c r="E269" s="14" t="s">
        <v>11750</v>
      </c>
      <c r="F269" s="14" t="s">
        <v>11749</v>
      </c>
      <c r="G269" s="14" t="s">
        <v>11750</v>
      </c>
      <c r="H269" s="14" t="s">
        <v>12049</v>
      </c>
      <c r="I269" s="14"/>
      <c r="J269" s="13" t="s">
        <v>11717</v>
      </c>
    </row>
    <row r="270" customFormat="false" ht="23.25" hidden="false" customHeight="true" outlineLevel="0" collapsed="false">
      <c r="A270" s="10" t="n">
        <v>269</v>
      </c>
      <c r="B270" s="8" t="s">
        <v>3803</v>
      </c>
      <c r="C270" s="10" t="n">
        <f aca="false">COUNTIF(Dataset!$E$2:$E$5001,A270)</f>
        <v>12</v>
      </c>
      <c r="D270" s="13" t="s">
        <v>11988</v>
      </c>
      <c r="E270" s="14" t="s">
        <v>11750</v>
      </c>
      <c r="F270" s="14" t="s">
        <v>11749</v>
      </c>
      <c r="G270" s="14" t="s">
        <v>11750</v>
      </c>
      <c r="H270" s="14" t="s">
        <v>12050</v>
      </c>
      <c r="I270" s="14"/>
      <c r="J270" s="13" t="s">
        <v>11717</v>
      </c>
    </row>
    <row r="271" customFormat="false" ht="15" hidden="false" customHeight="true" outlineLevel="0" collapsed="false">
      <c r="A271" s="10" t="n">
        <v>270</v>
      </c>
      <c r="B271" s="8" t="s">
        <v>3817</v>
      </c>
      <c r="C271" s="10" t="n">
        <f aca="false">COUNTIF(Dataset!$E$2:$E$5001,A271)</f>
        <v>12</v>
      </c>
      <c r="D271" s="13" t="s">
        <v>11711</v>
      </c>
      <c r="E271" s="14" t="s">
        <v>11712</v>
      </c>
      <c r="F271" s="14" t="s">
        <v>11712</v>
      </c>
      <c r="G271" s="14" t="s">
        <v>11712</v>
      </c>
      <c r="H271" s="14"/>
      <c r="I271" s="14"/>
      <c r="J271" s="13" t="s">
        <v>11713</v>
      </c>
    </row>
    <row r="272" customFormat="false" ht="23.25" hidden="false" customHeight="true" outlineLevel="0" collapsed="false">
      <c r="A272" s="10" t="n">
        <v>271</v>
      </c>
      <c r="B272" s="8" t="s">
        <v>3831</v>
      </c>
      <c r="C272" s="10" t="n">
        <f aca="false">COUNTIF(Dataset!$E$2:$E$5001,A272)</f>
        <v>12</v>
      </c>
      <c r="D272" s="13" t="s">
        <v>11907</v>
      </c>
      <c r="E272" s="14" t="s">
        <v>11749</v>
      </c>
      <c r="F272" s="14" t="s">
        <v>11749</v>
      </c>
      <c r="G272" s="14" t="s">
        <v>11750</v>
      </c>
      <c r="H272" s="14" t="s">
        <v>12051</v>
      </c>
      <c r="I272" s="14"/>
      <c r="J272" s="13" t="s">
        <v>11717</v>
      </c>
    </row>
    <row r="273" customFormat="false" ht="23.25" hidden="false" customHeight="true" outlineLevel="0" collapsed="false">
      <c r="A273" s="10" t="n">
        <v>272</v>
      </c>
      <c r="B273" s="8" t="s">
        <v>3845</v>
      </c>
      <c r="C273" s="10" t="n">
        <f aca="false">COUNTIF(Dataset!$E$2:$E$5001,A273)</f>
        <v>12</v>
      </c>
      <c r="D273" s="13" t="s">
        <v>11789</v>
      </c>
      <c r="E273" s="14" t="s">
        <v>11749</v>
      </c>
      <c r="F273" s="14" t="s">
        <v>11749</v>
      </c>
      <c r="G273" s="14" t="s">
        <v>11750</v>
      </c>
      <c r="H273" s="14" t="s">
        <v>12052</v>
      </c>
      <c r="I273" s="14"/>
      <c r="J273" s="13" t="s">
        <v>11717</v>
      </c>
    </row>
    <row r="274" customFormat="false" ht="15" hidden="false" customHeight="true" outlineLevel="0" collapsed="false">
      <c r="A274" s="10" t="n">
        <v>273</v>
      </c>
      <c r="B274" s="8" t="s">
        <v>3859</v>
      </c>
      <c r="C274" s="10" t="n">
        <f aca="false">COUNTIF(Dataset!$E$2:$E$5001,A274)</f>
        <v>12</v>
      </c>
      <c r="D274" s="13" t="s">
        <v>11907</v>
      </c>
      <c r="E274" s="14" t="s">
        <v>11749</v>
      </c>
      <c r="F274" s="14" t="s">
        <v>11749</v>
      </c>
      <c r="G274" s="14" t="s">
        <v>11750</v>
      </c>
      <c r="H274" s="14" t="s">
        <v>12053</v>
      </c>
      <c r="I274" s="14"/>
      <c r="J274" s="13" t="s">
        <v>11717</v>
      </c>
    </row>
    <row r="275" customFormat="false" ht="15" hidden="false" customHeight="true" outlineLevel="0" collapsed="false">
      <c r="A275" s="10" t="n">
        <v>274</v>
      </c>
      <c r="B275" s="8" t="s">
        <v>3873</v>
      </c>
      <c r="C275" s="10" t="n">
        <f aca="false">COUNTIF(Dataset!$E$2:$E$5001,A275)</f>
        <v>12</v>
      </c>
      <c r="D275" s="13" t="s">
        <v>11907</v>
      </c>
      <c r="E275" s="14" t="s">
        <v>11750</v>
      </c>
      <c r="F275" s="14" t="s">
        <v>11749</v>
      </c>
      <c r="G275" s="14" t="s">
        <v>11750</v>
      </c>
      <c r="H275" s="14" t="s">
        <v>12054</v>
      </c>
      <c r="I275" s="14"/>
      <c r="J275" s="13" t="s">
        <v>11717</v>
      </c>
    </row>
    <row r="276" customFormat="false" ht="15" hidden="false" customHeight="true" outlineLevel="0" collapsed="false">
      <c r="A276" s="10" t="n">
        <v>275</v>
      </c>
      <c r="B276" s="8" t="s">
        <v>3887</v>
      </c>
      <c r="C276" s="10" t="n">
        <f aca="false">COUNTIF(Dataset!$E$2:$E$5001,A276)</f>
        <v>12</v>
      </c>
      <c r="D276" s="13" t="s">
        <v>11907</v>
      </c>
      <c r="E276" s="14" t="s">
        <v>11750</v>
      </c>
      <c r="F276" s="14" t="s">
        <v>11749</v>
      </c>
      <c r="G276" s="14" t="s">
        <v>11750</v>
      </c>
      <c r="H276" s="14" t="s">
        <v>12055</v>
      </c>
      <c r="I276" s="14"/>
      <c r="J276" s="13" t="s">
        <v>11717</v>
      </c>
    </row>
    <row r="277" customFormat="false" ht="15" hidden="false" customHeight="true" outlineLevel="0" collapsed="false">
      <c r="A277" s="10" t="n">
        <v>276</v>
      </c>
      <c r="B277" s="8" t="s">
        <v>3901</v>
      </c>
      <c r="C277" s="10" t="n">
        <f aca="false">COUNTIF(Dataset!$E$2:$E$5001,A277)</f>
        <v>12</v>
      </c>
      <c r="D277" s="13" t="s">
        <v>11907</v>
      </c>
      <c r="E277" s="14" t="s">
        <v>11750</v>
      </c>
      <c r="F277" s="14" t="s">
        <v>11749</v>
      </c>
      <c r="G277" s="14" t="s">
        <v>11750</v>
      </c>
      <c r="H277" s="14" t="s">
        <v>12056</v>
      </c>
      <c r="I277" s="14"/>
      <c r="J277" s="13" t="s">
        <v>11717</v>
      </c>
    </row>
    <row r="278" customFormat="false" ht="15" hidden="false" customHeight="true" outlineLevel="0" collapsed="false">
      <c r="A278" s="10" t="n">
        <v>277</v>
      </c>
      <c r="B278" s="8" t="s">
        <v>3915</v>
      </c>
      <c r="C278" s="10" t="n">
        <f aca="false">COUNTIF(Dataset!$E$2:$E$5001,A278)</f>
        <v>12</v>
      </c>
      <c r="D278" s="13" t="s">
        <v>11907</v>
      </c>
      <c r="E278" s="14" t="s">
        <v>11750</v>
      </c>
      <c r="F278" s="14" t="s">
        <v>11749</v>
      </c>
      <c r="G278" s="14" t="s">
        <v>11750</v>
      </c>
      <c r="H278" s="14" t="s">
        <v>12057</v>
      </c>
      <c r="I278" s="14"/>
      <c r="J278" s="13" t="s">
        <v>11717</v>
      </c>
    </row>
    <row r="279" customFormat="false" ht="15" hidden="false" customHeight="true" outlineLevel="0" collapsed="false">
      <c r="A279" s="10" t="n">
        <v>278</v>
      </c>
      <c r="B279" s="8" t="s">
        <v>3929</v>
      </c>
      <c r="C279" s="10" t="n">
        <f aca="false">COUNTIF(Dataset!$E$2:$E$5001,A279)</f>
        <v>12</v>
      </c>
      <c r="D279" s="13" t="s">
        <v>11907</v>
      </c>
      <c r="E279" s="14" t="s">
        <v>11750</v>
      </c>
      <c r="F279" s="14" t="s">
        <v>11749</v>
      </c>
      <c r="G279" s="14" t="s">
        <v>11750</v>
      </c>
      <c r="H279" s="14" t="s">
        <v>12058</v>
      </c>
      <c r="I279" s="14"/>
      <c r="J279" s="13" t="s">
        <v>11717</v>
      </c>
    </row>
    <row r="280" customFormat="false" ht="15" hidden="false" customHeight="true" outlineLevel="0" collapsed="false">
      <c r="A280" s="10" t="n">
        <v>279</v>
      </c>
      <c r="B280" s="8" t="s">
        <v>3943</v>
      </c>
      <c r="C280" s="10" t="n">
        <f aca="false">COUNTIF(Dataset!$E$2:$E$5001,A280)</f>
        <v>12</v>
      </c>
      <c r="D280" s="13" t="s">
        <v>11909</v>
      </c>
      <c r="E280" s="14" t="s">
        <v>11750</v>
      </c>
      <c r="F280" s="14" t="s">
        <v>11749</v>
      </c>
      <c r="G280" s="14" t="s">
        <v>11750</v>
      </c>
      <c r="H280" s="14" t="s">
        <v>12059</v>
      </c>
      <c r="I280" s="14"/>
      <c r="J280" s="13" t="s">
        <v>11717</v>
      </c>
    </row>
    <row r="281" customFormat="false" ht="15" hidden="false" customHeight="true" outlineLevel="0" collapsed="false">
      <c r="A281" s="10" t="n">
        <v>280</v>
      </c>
      <c r="B281" s="8" t="s">
        <v>3957</v>
      </c>
      <c r="C281" s="10" t="n">
        <f aca="false">COUNTIF(Dataset!$E$2:$E$5001,A281)</f>
        <v>12</v>
      </c>
      <c r="D281" s="13" t="s">
        <v>11905</v>
      </c>
      <c r="E281" s="14" t="s">
        <v>11750</v>
      </c>
      <c r="F281" s="14" t="s">
        <v>11749</v>
      </c>
      <c r="G281" s="14" t="s">
        <v>11750</v>
      </c>
      <c r="H281" s="14" t="s">
        <v>12060</v>
      </c>
      <c r="I281" s="14"/>
      <c r="J281" s="13" t="s">
        <v>11717</v>
      </c>
    </row>
    <row r="282" customFormat="false" ht="15" hidden="false" customHeight="true" outlineLevel="0" collapsed="false">
      <c r="A282" s="10" t="n">
        <v>281</v>
      </c>
      <c r="B282" s="8" t="s">
        <v>3971</v>
      </c>
      <c r="C282" s="10" t="n">
        <f aca="false">COUNTIF(Dataset!$E$2:$E$5001,A282)</f>
        <v>12</v>
      </c>
      <c r="D282" s="13" t="s">
        <v>12061</v>
      </c>
      <c r="E282" s="14" t="s">
        <v>11749</v>
      </c>
      <c r="F282" s="14" t="s">
        <v>11749</v>
      </c>
      <c r="G282" s="14" t="s">
        <v>11750</v>
      </c>
      <c r="H282" s="14" t="s">
        <v>12062</v>
      </c>
      <c r="I282" s="14"/>
      <c r="J282" s="13" t="s">
        <v>11717</v>
      </c>
    </row>
    <row r="283" customFormat="false" ht="15" hidden="false" customHeight="true" outlineLevel="0" collapsed="false">
      <c r="A283" s="10" t="n">
        <v>282</v>
      </c>
      <c r="B283" s="8" t="s">
        <v>3985</v>
      </c>
      <c r="C283" s="10" t="n">
        <f aca="false">COUNTIF(Dataset!$E$2:$E$5001,A283)</f>
        <v>12</v>
      </c>
      <c r="D283" s="13" t="s">
        <v>11907</v>
      </c>
      <c r="E283" s="14" t="s">
        <v>11749</v>
      </c>
      <c r="F283" s="14" t="s">
        <v>11749</v>
      </c>
      <c r="G283" s="14" t="s">
        <v>11750</v>
      </c>
      <c r="H283" s="14" t="s">
        <v>12063</v>
      </c>
      <c r="I283" s="14"/>
      <c r="J283" s="13" t="s">
        <v>11717</v>
      </c>
    </row>
    <row r="284" customFormat="false" ht="15" hidden="false" customHeight="true" outlineLevel="0" collapsed="false">
      <c r="A284" s="10" t="n">
        <v>283</v>
      </c>
      <c r="B284" s="8" t="s">
        <v>3999</v>
      </c>
      <c r="C284" s="10" t="n">
        <f aca="false">COUNTIF(Dataset!$E$2:$E$5001,A284)</f>
        <v>12</v>
      </c>
      <c r="D284" s="13" t="s">
        <v>11803</v>
      </c>
      <c r="E284" s="14" t="s">
        <v>11749</v>
      </c>
      <c r="F284" s="14" t="s">
        <v>11749</v>
      </c>
      <c r="G284" s="14" t="s">
        <v>11750</v>
      </c>
      <c r="H284" s="14" t="s">
        <v>12064</v>
      </c>
      <c r="I284" s="14"/>
      <c r="J284" s="13" t="s">
        <v>11717</v>
      </c>
    </row>
    <row r="285" customFormat="false" ht="23.25" hidden="false" customHeight="true" outlineLevel="0" collapsed="false">
      <c r="A285" s="10" t="n">
        <v>284</v>
      </c>
      <c r="B285" s="8" t="s">
        <v>4013</v>
      </c>
      <c r="C285" s="10" t="n">
        <f aca="false">COUNTIF(Dataset!$E$2:$E$5001,A285)</f>
        <v>12</v>
      </c>
      <c r="D285" s="13" t="s">
        <v>11907</v>
      </c>
      <c r="E285" s="14" t="s">
        <v>11749</v>
      </c>
      <c r="F285" s="14" t="s">
        <v>11749</v>
      </c>
      <c r="G285" s="14" t="s">
        <v>11750</v>
      </c>
      <c r="H285" s="14" t="s">
        <v>12065</v>
      </c>
      <c r="I285" s="14"/>
      <c r="J285" s="13" t="s">
        <v>11717</v>
      </c>
    </row>
    <row r="286" customFormat="false" ht="15" hidden="false" customHeight="true" outlineLevel="0" collapsed="false">
      <c r="A286" s="10" t="n">
        <v>285</v>
      </c>
      <c r="B286" s="8" t="s">
        <v>4027</v>
      </c>
      <c r="C286" s="10" t="n">
        <f aca="false">COUNTIF(Dataset!$E$2:$E$5001,A286)</f>
        <v>12</v>
      </c>
      <c r="D286" s="13" t="s">
        <v>11905</v>
      </c>
      <c r="E286" s="14" t="s">
        <v>11750</v>
      </c>
      <c r="F286" s="14" t="s">
        <v>11749</v>
      </c>
      <c r="G286" s="14" t="s">
        <v>11750</v>
      </c>
      <c r="H286" s="14" t="s">
        <v>12066</v>
      </c>
      <c r="I286" s="14"/>
      <c r="J286" s="13" t="s">
        <v>11717</v>
      </c>
    </row>
    <row r="287" customFormat="false" ht="15" hidden="false" customHeight="true" outlineLevel="0" collapsed="false">
      <c r="A287" s="10" t="n">
        <v>286</v>
      </c>
      <c r="B287" s="8" t="s">
        <v>4041</v>
      </c>
      <c r="C287" s="10" t="n">
        <f aca="false">COUNTIF(Dataset!$E$2:$E$5001,A287)</f>
        <v>12</v>
      </c>
      <c r="D287" s="13" t="s">
        <v>11907</v>
      </c>
      <c r="E287" s="14" t="s">
        <v>11749</v>
      </c>
      <c r="F287" s="14" t="s">
        <v>11749</v>
      </c>
      <c r="G287" s="14" t="s">
        <v>11750</v>
      </c>
      <c r="H287" s="14" t="s">
        <v>12067</v>
      </c>
      <c r="I287" s="14"/>
      <c r="J287" s="13" t="s">
        <v>11717</v>
      </c>
    </row>
    <row r="288" customFormat="false" ht="23.25" hidden="false" customHeight="true" outlineLevel="0" collapsed="false">
      <c r="A288" s="10" t="n">
        <v>287</v>
      </c>
      <c r="B288" s="8" t="s">
        <v>4055</v>
      </c>
      <c r="C288" s="10" t="n">
        <f aca="false">COUNTIF(Dataset!$E$2:$E$5001,A288)</f>
        <v>12</v>
      </c>
      <c r="D288" s="13" t="s">
        <v>11907</v>
      </c>
      <c r="E288" s="14" t="s">
        <v>11749</v>
      </c>
      <c r="F288" s="14" t="s">
        <v>11749</v>
      </c>
      <c r="G288" s="14" t="s">
        <v>11750</v>
      </c>
      <c r="H288" s="14" t="s">
        <v>12068</v>
      </c>
      <c r="I288" s="14"/>
      <c r="J288" s="13" t="s">
        <v>11717</v>
      </c>
    </row>
    <row r="289" customFormat="false" ht="15" hidden="false" customHeight="true" outlineLevel="0" collapsed="false">
      <c r="A289" s="10" t="n">
        <v>288</v>
      </c>
      <c r="B289" s="8" t="s">
        <v>4069</v>
      </c>
      <c r="C289" s="10" t="n">
        <f aca="false">COUNTIF(Dataset!$E$2:$E$5001,A289)</f>
        <v>12</v>
      </c>
      <c r="D289" s="13" t="s">
        <v>12069</v>
      </c>
      <c r="E289" s="14" t="s">
        <v>11749</v>
      </c>
      <c r="F289" s="14" t="s">
        <v>11749</v>
      </c>
      <c r="G289" s="14" t="s">
        <v>11750</v>
      </c>
      <c r="H289" s="14" t="s">
        <v>12070</v>
      </c>
      <c r="I289" s="14"/>
      <c r="J289" s="13" t="s">
        <v>11717</v>
      </c>
    </row>
    <row r="290" customFormat="false" ht="15" hidden="false" customHeight="true" outlineLevel="0" collapsed="false">
      <c r="A290" s="10" t="n">
        <v>289</v>
      </c>
      <c r="B290" s="8" t="s">
        <v>4083</v>
      </c>
      <c r="C290" s="10" t="n">
        <f aca="false">COUNTIF(Dataset!$E$2:$E$5001,A290)</f>
        <v>12</v>
      </c>
      <c r="D290" s="13" t="s">
        <v>11907</v>
      </c>
      <c r="E290" s="14" t="s">
        <v>11749</v>
      </c>
      <c r="F290" s="14" t="s">
        <v>11749</v>
      </c>
      <c r="G290" s="14" t="s">
        <v>11750</v>
      </c>
      <c r="H290" s="14" t="s">
        <v>12071</v>
      </c>
      <c r="I290" s="14"/>
      <c r="J290" s="13" t="s">
        <v>11717</v>
      </c>
    </row>
    <row r="291" customFormat="false" ht="23.25" hidden="false" customHeight="true" outlineLevel="0" collapsed="false">
      <c r="A291" s="10" t="n">
        <v>290</v>
      </c>
      <c r="B291" s="8" t="s">
        <v>4097</v>
      </c>
      <c r="C291" s="10" t="n">
        <f aca="false">COUNTIF(Dataset!$E$2:$E$5001,A291)</f>
        <v>12</v>
      </c>
      <c r="D291" s="13" t="s">
        <v>11907</v>
      </c>
      <c r="E291" s="14" t="s">
        <v>11749</v>
      </c>
      <c r="F291" s="14" t="s">
        <v>11749</v>
      </c>
      <c r="G291" s="14" t="s">
        <v>11750</v>
      </c>
      <c r="H291" s="14" t="s">
        <v>12072</v>
      </c>
      <c r="I291" s="14"/>
      <c r="J291" s="13" t="s">
        <v>11717</v>
      </c>
    </row>
    <row r="292" customFormat="false" ht="15" hidden="false" customHeight="true" outlineLevel="0" collapsed="false">
      <c r="A292" s="10" t="n">
        <v>291</v>
      </c>
      <c r="B292" s="8" t="s">
        <v>4111</v>
      </c>
      <c r="C292" s="10" t="n">
        <f aca="false">COUNTIF(Dataset!$E$2:$E$5001,A292)</f>
        <v>12</v>
      </c>
      <c r="D292" s="13" t="s">
        <v>11907</v>
      </c>
      <c r="E292" s="14" t="s">
        <v>11749</v>
      </c>
      <c r="F292" s="14" t="s">
        <v>11749</v>
      </c>
      <c r="G292" s="14" t="s">
        <v>11750</v>
      </c>
      <c r="H292" s="14" t="s">
        <v>12073</v>
      </c>
      <c r="I292" s="14"/>
      <c r="J292" s="13" t="s">
        <v>11717</v>
      </c>
    </row>
    <row r="293" customFormat="false" ht="23.25" hidden="false" customHeight="true" outlineLevel="0" collapsed="false">
      <c r="A293" s="10" t="n">
        <v>292</v>
      </c>
      <c r="B293" s="8" t="s">
        <v>4125</v>
      </c>
      <c r="C293" s="10" t="n">
        <f aca="false">COUNTIF(Dataset!$E$2:$E$5001,A293)</f>
        <v>12</v>
      </c>
      <c r="D293" s="13" t="s">
        <v>11905</v>
      </c>
      <c r="E293" s="14" t="s">
        <v>11750</v>
      </c>
      <c r="F293" s="14" t="s">
        <v>11749</v>
      </c>
      <c r="G293" s="14" t="s">
        <v>11750</v>
      </c>
      <c r="H293" s="14" t="s">
        <v>12074</v>
      </c>
      <c r="I293" s="14"/>
      <c r="J293" s="13" t="s">
        <v>11717</v>
      </c>
    </row>
    <row r="294" customFormat="false" ht="15" hidden="false" customHeight="true" outlineLevel="0" collapsed="false">
      <c r="A294" s="10" t="n">
        <v>293</v>
      </c>
      <c r="B294" s="8" t="s">
        <v>4139</v>
      </c>
      <c r="C294" s="10" t="n">
        <f aca="false">COUNTIF(Dataset!$E$2:$E$5001,A294)</f>
        <v>12</v>
      </c>
      <c r="D294" s="13" t="s">
        <v>11907</v>
      </c>
      <c r="E294" s="14" t="s">
        <v>11750</v>
      </c>
      <c r="F294" s="14" t="s">
        <v>11749</v>
      </c>
      <c r="G294" s="14" t="s">
        <v>11750</v>
      </c>
      <c r="H294" s="14" t="s">
        <v>12075</v>
      </c>
      <c r="I294" s="14"/>
      <c r="J294" s="13" t="s">
        <v>11717</v>
      </c>
    </row>
    <row r="295" customFormat="false" ht="15" hidden="false" customHeight="true" outlineLevel="0" collapsed="false">
      <c r="A295" s="10" t="n">
        <v>294</v>
      </c>
      <c r="B295" s="8" t="s">
        <v>4153</v>
      </c>
      <c r="C295" s="10" t="n">
        <f aca="false">COUNTIF(Dataset!$E$2:$E$5001,A295)</f>
        <v>12</v>
      </c>
      <c r="D295" s="13" t="s">
        <v>12076</v>
      </c>
      <c r="E295" s="14" t="s">
        <v>11749</v>
      </c>
      <c r="F295" s="14" t="s">
        <v>11775</v>
      </c>
      <c r="G295" s="14" t="s">
        <v>11750</v>
      </c>
      <c r="H295" s="14" t="s">
        <v>12077</v>
      </c>
      <c r="I295" s="14"/>
      <c r="J295" s="13" t="s">
        <v>11717</v>
      </c>
    </row>
    <row r="296" customFormat="false" ht="15" hidden="false" customHeight="true" outlineLevel="0" collapsed="false">
      <c r="A296" s="10" t="n">
        <v>295</v>
      </c>
      <c r="B296" s="8" t="s">
        <v>4167</v>
      </c>
      <c r="C296" s="10" t="n">
        <f aca="false">COUNTIF(Dataset!$E$2:$E$5001,A296)</f>
        <v>12</v>
      </c>
      <c r="D296" s="13" t="s">
        <v>12078</v>
      </c>
      <c r="E296" s="14" t="s">
        <v>11749</v>
      </c>
      <c r="F296" s="14" t="s">
        <v>11775</v>
      </c>
      <c r="G296" s="14" t="s">
        <v>11750</v>
      </c>
      <c r="H296" s="14" t="s">
        <v>12079</v>
      </c>
      <c r="I296" s="14"/>
      <c r="J296" s="13" t="s">
        <v>11717</v>
      </c>
    </row>
    <row r="297" customFormat="false" ht="15" hidden="false" customHeight="true" outlineLevel="0" collapsed="false">
      <c r="A297" s="10" t="n">
        <v>296</v>
      </c>
      <c r="B297" s="8" t="s">
        <v>4181</v>
      </c>
      <c r="C297" s="10" t="n">
        <f aca="false">COUNTIF(Dataset!$E$2:$E$5001,A297)</f>
        <v>12</v>
      </c>
      <c r="D297" s="13" t="s">
        <v>11909</v>
      </c>
      <c r="E297" s="14" t="s">
        <v>11749</v>
      </c>
      <c r="F297" s="14" t="s">
        <v>11749</v>
      </c>
      <c r="G297" s="14" t="s">
        <v>11750</v>
      </c>
      <c r="H297" s="14" t="s">
        <v>12080</v>
      </c>
      <c r="I297" s="14"/>
      <c r="J297" s="13" t="s">
        <v>11717</v>
      </c>
    </row>
    <row r="298" customFormat="false" ht="15" hidden="false" customHeight="true" outlineLevel="0" collapsed="false">
      <c r="A298" s="10" t="n">
        <v>297</v>
      </c>
      <c r="B298" s="8" t="s">
        <v>4195</v>
      </c>
      <c r="C298" s="10" t="n">
        <f aca="false">COUNTIF(Dataset!$E$2:$E$5001,A298)</f>
        <v>12</v>
      </c>
      <c r="D298" s="13" t="s">
        <v>11907</v>
      </c>
      <c r="E298" s="14" t="s">
        <v>11749</v>
      </c>
      <c r="F298" s="14" t="s">
        <v>11749</v>
      </c>
      <c r="G298" s="14" t="s">
        <v>11750</v>
      </c>
      <c r="H298" s="14" t="s">
        <v>12081</v>
      </c>
      <c r="I298" s="14"/>
      <c r="J298" s="13" t="s">
        <v>11717</v>
      </c>
    </row>
    <row r="299" customFormat="false" ht="23.25" hidden="false" customHeight="true" outlineLevel="0" collapsed="false">
      <c r="A299" s="10" t="n">
        <v>298</v>
      </c>
      <c r="B299" s="8" t="s">
        <v>4209</v>
      </c>
      <c r="C299" s="10" t="n">
        <f aca="false">COUNTIF(Dataset!$E$2:$E$5001,A299)</f>
        <v>12</v>
      </c>
      <c r="D299" s="13" t="s">
        <v>11789</v>
      </c>
      <c r="E299" s="14" t="s">
        <v>11750</v>
      </c>
      <c r="F299" s="14" t="s">
        <v>11749</v>
      </c>
      <c r="G299" s="14" t="s">
        <v>11750</v>
      </c>
      <c r="H299" s="14" t="s">
        <v>12082</v>
      </c>
      <c r="I299" s="14"/>
      <c r="J299" s="13" t="s">
        <v>11717</v>
      </c>
    </row>
    <row r="300" customFormat="false" ht="23.25" hidden="false" customHeight="true" outlineLevel="0" collapsed="false">
      <c r="A300" s="10" t="n">
        <v>299</v>
      </c>
      <c r="B300" s="8" t="s">
        <v>4223</v>
      </c>
      <c r="C300" s="10" t="n">
        <f aca="false">COUNTIF(Dataset!$E$2:$E$5001,A300)</f>
        <v>12</v>
      </c>
      <c r="D300" s="13" t="s">
        <v>11924</v>
      </c>
      <c r="E300" s="14" t="s">
        <v>11749</v>
      </c>
      <c r="F300" s="14" t="s">
        <v>11750</v>
      </c>
      <c r="G300" s="14" t="s">
        <v>11750</v>
      </c>
      <c r="H300" s="14" t="s">
        <v>12083</v>
      </c>
      <c r="I300" s="14"/>
      <c r="J300" s="13" t="s">
        <v>11717</v>
      </c>
    </row>
    <row r="301" customFormat="false" ht="15" hidden="false" customHeight="true" outlineLevel="0" collapsed="false">
      <c r="A301" s="10" t="n">
        <v>300</v>
      </c>
      <c r="B301" s="8" t="s">
        <v>4237</v>
      </c>
      <c r="C301" s="10" t="n">
        <f aca="false">COUNTIF(Dataset!$E$2:$E$5001,A301)</f>
        <v>12</v>
      </c>
      <c r="D301" s="13" t="s">
        <v>11864</v>
      </c>
      <c r="E301" s="14" t="s">
        <v>11749</v>
      </c>
      <c r="F301" s="14" t="s">
        <v>11749</v>
      </c>
      <c r="G301" s="14" t="s">
        <v>11750</v>
      </c>
      <c r="H301" s="14" t="s">
        <v>12084</v>
      </c>
      <c r="I301" s="14"/>
      <c r="J301" s="13" t="s">
        <v>11717</v>
      </c>
    </row>
    <row r="302" customFormat="false" ht="15" hidden="false" customHeight="true" outlineLevel="0" collapsed="false">
      <c r="A302" s="10" t="n">
        <v>301</v>
      </c>
      <c r="B302" s="8" t="s">
        <v>4251</v>
      </c>
      <c r="C302" s="10" t="n">
        <f aca="false">COUNTIF(Dataset!$E$2:$E$5001,A302)</f>
        <v>12</v>
      </c>
      <c r="D302" s="13" t="s">
        <v>11864</v>
      </c>
      <c r="E302" s="14" t="s">
        <v>11749</v>
      </c>
      <c r="F302" s="14" t="s">
        <v>11749</v>
      </c>
      <c r="G302" s="14" t="s">
        <v>11750</v>
      </c>
      <c r="H302" s="14" t="s">
        <v>12085</v>
      </c>
      <c r="I302" s="14"/>
      <c r="J302" s="13" t="s">
        <v>11717</v>
      </c>
    </row>
    <row r="303" customFormat="false" ht="23.25" hidden="false" customHeight="true" outlineLevel="0" collapsed="false">
      <c r="A303" s="10" t="n">
        <v>302</v>
      </c>
      <c r="B303" s="8" t="s">
        <v>4265</v>
      </c>
      <c r="C303" s="10" t="n">
        <f aca="false">COUNTIF(Dataset!$E$2:$E$5001,A303)</f>
        <v>12</v>
      </c>
      <c r="D303" s="13" t="s">
        <v>11864</v>
      </c>
      <c r="E303" s="14" t="s">
        <v>11750</v>
      </c>
      <c r="F303" s="14" t="s">
        <v>11749</v>
      </c>
      <c r="G303" s="14" t="s">
        <v>11749</v>
      </c>
      <c r="H303" s="14" t="s">
        <v>12086</v>
      </c>
      <c r="I303" s="14"/>
      <c r="J303" s="13" t="s">
        <v>11717</v>
      </c>
    </row>
    <row r="304" customFormat="false" ht="15" hidden="false" customHeight="true" outlineLevel="0" collapsed="false">
      <c r="A304" s="10" t="n">
        <v>303</v>
      </c>
      <c r="B304" s="8" t="s">
        <v>4279</v>
      </c>
      <c r="C304" s="10" t="n">
        <f aca="false">COUNTIF(Dataset!$E$2:$E$5001,A304)</f>
        <v>12</v>
      </c>
      <c r="D304" s="13" t="s">
        <v>12087</v>
      </c>
      <c r="E304" s="14" t="s">
        <v>11749</v>
      </c>
      <c r="F304" s="14" t="s">
        <v>11750</v>
      </c>
      <c r="G304" s="14" t="s">
        <v>11785</v>
      </c>
      <c r="H304" s="14" t="s">
        <v>12088</v>
      </c>
      <c r="I304" s="14"/>
      <c r="J304" s="13" t="s">
        <v>11717</v>
      </c>
    </row>
    <row r="305" customFormat="false" ht="15" hidden="false" customHeight="true" outlineLevel="0" collapsed="false">
      <c r="A305" s="10" t="n">
        <v>304</v>
      </c>
      <c r="B305" s="8" t="s">
        <v>4293</v>
      </c>
      <c r="C305" s="10" t="n">
        <f aca="false">COUNTIF(Dataset!$E$2:$E$5001,A305)</f>
        <v>12</v>
      </c>
      <c r="D305" s="13" t="s">
        <v>11791</v>
      </c>
      <c r="E305" s="14" t="s">
        <v>11749</v>
      </c>
      <c r="F305" s="14" t="s">
        <v>11750</v>
      </c>
      <c r="G305" s="14" t="s">
        <v>11750</v>
      </c>
      <c r="H305" s="14" t="s">
        <v>11719</v>
      </c>
      <c r="I305" s="14"/>
      <c r="J305" s="13" t="s">
        <v>11717</v>
      </c>
    </row>
    <row r="306" customFormat="false" ht="23.25" hidden="false" customHeight="true" outlineLevel="0" collapsed="false">
      <c r="A306" s="10" t="n">
        <v>305</v>
      </c>
      <c r="B306" s="8" t="s">
        <v>4307</v>
      </c>
      <c r="C306" s="10" t="n">
        <f aca="false">COUNTIF(Dataset!$E$2:$E$5001,A306)</f>
        <v>12</v>
      </c>
      <c r="D306" s="13" t="s">
        <v>11787</v>
      </c>
      <c r="E306" s="14" t="s">
        <v>11749</v>
      </c>
      <c r="F306" s="14" t="s">
        <v>11750</v>
      </c>
      <c r="G306" s="14" t="s">
        <v>11785</v>
      </c>
      <c r="H306" s="14" t="s">
        <v>12089</v>
      </c>
      <c r="I306" s="14"/>
      <c r="J306" s="13" t="s">
        <v>11717</v>
      </c>
    </row>
    <row r="307" customFormat="false" ht="23.25" hidden="false" customHeight="true" outlineLevel="0" collapsed="false">
      <c r="A307" s="10" t="n">
        <v>306</v>
      </c>
      <c r="B307" s="8" t="s">
        <v>4321</v>
      </c>
      <c r="C307" s="10" t="n">
        <f aca="false">COUNTIF(Dataset!$E$2:$E$5001,A307)</f>
        <v>12</v>
      </c>
      <c r="D307" s="13" t="s">
        <v>11787</v>
      </c>
      <c r="E307" s="14" t="s">
        <v>11749</v>
      </c>
      <c r="F307" s="14" t="s">
        <v>11750</v>
      </c>
      <c r="G307" s="14" t="s">
        <v>11785</v>
      </c>
      <c r="H307" s="14" t="s">
        <v>12090</v>
      </c>
      <c r="I307" s="14"/>
      <c r="J307" s="13" t="s">
        <v>11717</v>
      </c>
    </row>
    <row r="308" customFormat="false" ht="23.25" hidden="false" customHeight="true" outlineLevel="0" collapsed="false">
      <c r="A308" s="10" t="n">
        <v>307</v>
      </c>
      <c r="B308" s="8" t="s">
        <v>4335</v>
      </c>
      <c r="C308" s="10" t="n">
        <f aca="false">COUNTIF(Dataset!$E$2:$E$5001,A308)</f>
        <v>12</v>
      </c>
      <c r="D308" s="13" t="s">
        <v>12091</v>
      </c>
      <c r="E308" s="14" t="s">
        <v>11749</v>
      </c>
      <c r="F308" s="14" t="s">
        <v>11750</v>
      </c>
      <c r="G308" s="14" t="s">
        <v>11750</v>
      </c>
      <c r="H308" s="14" t="s">
        <v>12092</v>
      </c>
      <c r="I308" s="14"/>
      <c r="J308" s="13" t="s">
        <v>11717</v>
      </c>
    </row>
    <row r="309" customFormat="false" ht="15" hidden="false" customHeight="true" outlineLevel="0" collapsed="false">
      <c r="A309" s="10" t="n">
        <v>308</v>
      </c>
      <c r="B309" s="8" t="s">
        <v>4349</v>
      </c>
      <c r="C309" s="10" t="n">
        <f aca="false">COUNTIF(Dataset!$E$2:$E$5001,A309)</f>
        <v>12</v>
      </c>
      <c r="D309" s="13" t="s">
        <v>12093</v>
      </c>
      <c r="E309" s="14" t="s">
        <v>11749</v>
      </c>
      <c r="F309" s="14" t="s">
        <v>11750</v>
      </c>
      <c r="G309" s="14" t="s">
        <v>11750</v>
      </c>
      <c r="H309" s="14" t="s">
        <v>12094</v>
      </c>
      <c r="I309" s="14"/>
      <c r="J309" s="13" t="s">
        <v>11717</v>
      </c>
    </row>
    <row r="310" customFormat="false" ht="15" hidden="false" customHeight="true" outlineLevel="0" collapsed="false">
      <c r="A310" s="10" t="n">
        <v>309</v>
      </c>
      <c r="B310" s="8" t="s">
        <v>4363</v>
      </c>
      <c r="C310" s="10" t="n">
        <f aca="false">COUNTIF(Dataset!$E$2:$E$5001,A310)</f>
        <v>12</v>
      </c>
      <c r="D310" s="13" t="s">
        <v>12095</v>
      </c>
      <c r="E310" s="14" t="s">
        <v>11749</v>
      </c>
      <c r="F310" s="14" t="s">
        <v>11750</v>
      </c>
      <c r="G310" s="14" t="s">
        <v>11750</v>
      </c>
      <c r="H310" s="14" t="s">
        <v>12096</v>
      </c>
      <c r="I310" s="14"/>
      <c r="J310" s="13" t="s">
        <v>11717</v>
      </c>
    </row>
    <row r="311" customFormat="false" ht="15" hidden="false" customHeight="true" outlineLevel="0" collapsed="false">
      <c r="A311" s="10" t="n">
        <v>310</v>
      </c>
      <c r="B311" s="8" t="s">
        <v>4377</v>
      </c>
      <c r="C311" s="10" t="n">
        <f aca="false">COUNTIF(Dataset!$E$2:$E$5001,A311)</f>
        <v>12</v>
      </c>
      <c r="D311" s="13" t="s">
        <v>12097</v>
      </c>
      <c r="E311" s="14" t="s">
        <v>11749</v>
      </c>
      <c r="F311" s="14" t="s">
        <v>11750</v>
      </c>
      <c r="G311" s="14" t="s">
        <v>11750</v>
      </c>
      <c r="H311" s="14" t="s">
        <v>12098</v>
      </c>
      <c r="I311" s="14"/>
      <c r="J311" s="13" t="s">
        <v>11717</v>
      </c>
    </row>
    <row r="312" customFormat="false" ht="23.25" hidden="false" customHeight="true" outlineLevel="0" collapsed="false">
      <c r="A312" s="10" t="n">
        <v>311</v>
      </c>
      <c r="B312" s="8" t="s">
        <v>4391</v>
      </c>
      <c r="C312" s="10" t="n">
        <f aca="false">COUNTIF(Dataset!$E$2:$E$5001,A312)</f>
        <v>12</v>
      </c>
      <c r="D312" s="13" t="s">
        <v>12099</v>
      </c>
      <c r="E312" s="14" t="s">
        <v>11749</v>
      </c>
      <c r="F312" s="14" t="s">
        <v>11750</v>
      </c>
      <c r="G312" s="14" t="s">
        <v>11750</v>
      </c>
      <c r="H312" s="14" t="s">
        <v>12100</v>
      </c>
      <c r="I312" s="14"/>
      <c r="J312" s="13" t="s">
        <v>11717</v>
      </c>
    </row>
    <row r="313" customFormat="false" ht="23.25" hidden="false" customHeight="true" outlineLevel="0" collapsed="false">
      <c r="A313" s="10" t="n">
        <v>312</v>
      </c>
      <c r="B313" s="8" t="s">
        <v>4405</v>
      </c>
      <c r="C313" s="10" t="n">
        <f aca="false">COUNTIF(Dataset!$E$2:$E$5001,A313)</f>
        <v>12</v>
      </c>
      <c r="D313" s="13" t="s">
        <v>12099</v>
      </c>
      <c r="E313" s="14" t="s">
        <v>11749</v>
      </c>
      <c r="F313" s="14" t="s">
        <v>11750</v>
      </c>
      <c r="G313" s="14" t="s">
        <v>11750</v>
      </c>
      <c r="H313" s="14" t="s">
        <v>12101</v>
      </c>
      <c r="I313" s="14"/>
      <c r="J313" s="13" t="s">
        <v>11717</v>
      </c>
    </row>
    <row r="314" customFormat="false" ht="15" hidden="false" customHeight="true" outlineLevel="0" collapsed="false">
      <c r="A314" s="10" t="n">
        <v>313</v>
      </c>
      <c r="B314" s="8" t="s">
        <v>4419</v>
      </c>
      <c r="C314" s="10" t="n">
        <f aca="false">COUNTIF(Dataset!$E$2:$E$5001,A314)</f>
        <v>12</v>
      </c>
      <c r="D314" s="13" t="s">
        <v>12102</v>
      </c>
      <c r="E314" s="14" t="s">
        <v>11749</v>
      </c>
      <c r="F314" s="14" t="s">
        <v>11750</v>
      </c>
      <c r="G314" s="14" t="s">
        <v>11750</v>
      </c>
      <c r="H314" s="14" t="s">
        <v>12103</v>
      </c>
      <c r="I314" s="14"/>
      <c r="J314" s="13" t="s">
        <v>11717</v>
      </c>
    </row>
    <row r="315" customFormat="false" ht="15" hidden="false" customHeight="true" outlineLevel="0" collapsed="false">
      <c r="A315" s="10" t="n">
        <v>314</v>
      </c>
      <c r="B315" s="8" t="s">
        <v>4433</v>
      </c>
      <c r="C315" s="10" t="n">
        <f aca="false">COUNTIF(Dataset!$E$2:$E$5001,A315)</f>
        <v>12</v>
      </c>
      <c r="D315" s="13" t="s">
        <v>12104</v>
      </c>
      <c r="E315" s="14" t="s">
        <v>11750</v>
      </c>
      <c r="F315" s="14" t="s">
        <v>11749</v>
      </c>
      <c r="G315" s="14" t="s">
        <v>11785</v>
      </c>
      <c r="H315" s="14" t="s">
        <v>12105</v>
      </c>
      <c r="I315" s="14"/>
      <c r="J315" s="13" t="s">
        <v>11717</v>
      </c>
    </row>
    <row r="316" customFormat="false" ht="23.25" hidden="false" customHeight="true" outlineLevel="0" collapsed="false">
      <c r="A316" s="10" t="n">
        <v>315</v>
      </c>
      <c r="B316" s="8" t="s">
        <v>4447</v>
      </c>
      <c r="C316" s="10" t="n">
        <f aca="false">COUNTIF(Dataset!$E$2:$E$5001,A316)</f>
        <v>12</v>
      </c>
      <c r="D316" s="13" t="s">
        <v>12106</v>
      </c>
      <c r="E316" s="14" t="s">
        <v>11750</v>
      </c>
      <c r="F316" s="14" t="s">
        <v>11750</v>
      </c>
      <c r="G316" s="14" t="s">
        <v>11785</v>
      </c>
      <c r="H316" s="14" t="s">
        <v>12107</v>
      </c>
      <c r="I316" s="14"/>
      <c r="J316" s="13" t="s">
        <v>11717</v>
      </c>
    </row>
    <row r="317" customFormat="false" ht="15" hidden="false" customHeight="true" outlineLevel="0" collapsed="false">
      <c r="A317" s="10" t="n">
        <v>316</v>
      </c>
      <c r="B317" s="8" t="s">
        <v>4461</v>
      </c>
      <c r="C317" s="10" t="n">
        <f aca="false">COUNTIF(Dataset!$E$2:$E$5001,A317)</f>
        <v>12</v>
      </c>
      <c r="D317" s="13" t="s">
        <v>12108</v>
      </c>
      <c r="E317" s="14" t="s">
        <v>11749</v>
      </c>
      <c r="F317" s="14" t="s">
        <v>11750</v>
      </c>
      <c r="G317" s="14" t="s">
        <v>11785</v>
      </c>
      <c r="H317" s="14" t="s">
        <v>12109</v>
      </c>
      <c r="I317" s="14"/>
      <c r="J317" s="13" t="s">
        <v>11717</v>
      </c>
    </row>
    <row r="318" customFormat="false" ht="15" hidden="false" customHeight="true" outlineLevel="0" collapsed="false">
      <c r="A318" s="10" t="n">
        <v>317</v>
      </c>
      <c r="B318" s="8" t="s">
        <v>4475</v>
      </c>
      <c r="C318" s="10" t="n">
        <f aca="false">COUNTIF(Dataset!$E$2:$E$5001,A318)</f>
        <v>12</v>
      </c>
      <c r="D318" s="13" t="s">
        <v>11711</v>
      </c>
      <c r="E318" s="14" t="s">
        <v>11712</v>
      </c>
      <c r="F318" s="14" t="s">
        <v>11712</v>
      </c>
      <c r="G318" s="14" t="s">
        <v>11712</v>
      </c>
      <c r="H318" s="14"/>
      <c r="I318" s="14"/>
      <c r="J318" s="13" t="s">
        <v>11713</v>
      </c>
    </row>
    <row r="319" customFormat="false" ht="15" hidden="false" customHeight="true" outlineLevel="0" collapsed="false">
      <c r="A319" s="10" t="n">
        <v>318</v>
      </c>
      <c r="B319" s="8" t="s">
        <v>4489</v>
      </c>
      <c r="C319" s="10" t="n">
        <f aca="false">COUNTIF(Dataset!$E$2:$E$5001,A319)</f>
        <v>12</v>
      </c>
      <c r="D319" s="13" t="s">
        <v>12110</v>
      </c>
      <c r="E319" s="14" t="s">
        <v>11749</v>
      </c>
      <c r="F319" s="14" t="s">
        <v>11750</v>
      </c>
      <c r="G319" s="14" t="s">
        <v>11785</v>
      </c>
      <c r="H319" s="14" t="s">
        <v>12111</v>
      </c>
      <c r="I319" s="14"/>
      <c r="J319" s="13" t="s">
        <v>11717</v>
      </c>
    </row>
    <row r="320" customFormat="false" ht="15" hidden="false" customHeight="true" outlineLevel="0" collapsed="false">
      <c r="A320" s="10" t="n">
        <v>319</v>
      </c>
      <c r="B320" s="8" t="s">
        <v>4503</v>
      </c>
      <c r="C320" s="10" t="n">
        <f aca="false">COUNTIF(Dataset!$E$2:$E$5001,A320)</f>
        <v>12</v>
      </c>
      <c r="D320" s="13" t="s">
        <v>12112</v>
      </c>
      <c r="E320" s="14" t="s">
        <v>11749</v>
      </c>
      <c r="F320" s="14" t="s">
        <v>11749</v>
      </c>
      <c r="G320" s="14" t="s">
        <v>11785</v>
      </c>
      <c r="H320" s="14" t="s">
        <v>12113</v>
      </c>
      <c r="I320" s="14"/>
      <c r="J320" s="13" t="s">
        <v>11717</v>
      </c>
    </row>
    <row r="321" customFormat="false" ht="23.25" hidden="false" customHeight="true" outlineLevel="0" collapsed="false">
      <c r="A321" s="10" t="n">
        <v>320</v>
      </c>
      <c r="B321" s="8" t="s">
        <v>4517</v>
      </c>
      <c r="C321" s="10" t="n">
        <f aca="false">COUNTIF(Dataset!$E$2:$E$5001,A321)</f>
        <v>12</v>
      </c>
      <c r="D321" s="13" t="s">
        <v>11789</v>
      </c>
      <c r="E321" s="14" t="s">
        <v>11750</v>
      </c>
      <c r="F321" s="14" t="s">
        <v>11749</v>
      </c>
      <c r="G321" s="14" t="s">
        <v>11785</v>
      </c>
      <c r="H321" s="14" t="s">
        <v>12114</v>
      </c>
      <c r="I321" s="14"/>
      <c r="J321" s="13" t="s">
        <v>11717</v>
      </c>
    </row>
    <row r="322" customFormat="false" ht="23.25" hidden="false" customHeight="true" outlineLevel="0" collapsed="false">
      <c r="A322" s="10" t="n">
        <v>321</v>
      </c>
      <c r="B322" s="8" t="s">
        <v>4531</v>
      </c>
      <c r="C322" s="10" t="n">
        <f aca="false">COUNTIF(Dataset!$E$2:$E$5001,A322)</f>
        <v>12</v>
      </c>
      <c r="D322" s="13" t="s">
        <v>11789</v>
      </c>
      <c r="E322" s="14" t="s">
        <v>11750</v>
      </c>
      <c r="F322" s="14" t="s">
        <v>11749</v>
      </c>
      <c r="G322" s="14" t="s">
        <v>11785</v>
      </c>
      <c r="H322" s="14" t="s">
        <v>12115</v>
      </c>
      <c r="I322" s="14"/>
      <c r="J322" s="13" t="s">
        <v>11717</v>
      </c>
    </row>
    <row r="323" customFormat="false" ht="23.25" hidden="false" customHeight="true" outlineLevel="0" collapsed="false">
      <c r="A323" s="10" t="n">
        <v>322</v>
      </c>
      <c r="B323" s="8" t="s">
        <v>4545</v>
      </c>
      <c r="C323" s="10" t="n">
        <f aca="false">COUNTIF(Dataset!$E$2:$E$5001,A323)</f>
        <v>12</v>
      </c>
      <c r="D323" s="13" t="s">
        <v>11789</v>
      </c>
      <c r="E323" s="14" t="s">
        <v>11750</v>
      </c>
      <c r="F323" s="14" t="s">
        <v>11749</v>
      </c>
      <c r="G323" s="14" t="s">
        <v>11785</v>
      </c>
      <c r="H323" s="14" t="s">
        <v>12116</v>
      </c>
      <c r="I323" s="14"/>
      <c r="J323" s="13" t="s">
        <v>11717</v>
      </c>
    </row>
    <row r="324" customFormat="false" ht="23.25" hidden="false" customHeight="true" outlineLevel="0" collapsed="false">
      <c r="A324" s="10" t="n">
        <v>323</v>
      </c>
      <c r="B324" s="8" t="s">
        <v>4559</v>
      </c>
      <c r="C324" s="10" t="n">
        <f aca="false">COUNTIF(Dataset!$E$2:$E$5001,A324)</f>
        <v>12</v>
      </c>
      <c r="D324" s="13" t="s">
        <v>11789</v>
      </c>
      <c r="E324" s="14" t="s">
        <v>11750</v>
      </c>
      <c r="F324" s="14" t="s">
        <v>11749</v>
      </c>
      <c r="G324" s="14" t="s">
        <v>11785</v>
      </c>
      <c r="H324" s="14" t="s">
        <v>12117</v>
      </c>
      <c r="I324" s="14"/>
      <c r="J324" s="13" t="s">
        <v>11717</v>
      </c>
    </row>
    <row r="325" customFormat="false" ht="15" hidden="false" customHeight="true" outlineLevel="0" collapsed="false">
      <c r="A325" s="10" t="n">
        <v>324</v>
      </c>
      <c r="B325" s="8" t="s">
        <v>4573</v>
      </c>
      <c r="C325" s="10" t="n">
        <f aca="false">COUNTIF(Dataset!$E$2:$E$5001,A325)</f>
        <v>12</v>
      </c>
      <c r="D325" s="13" t="s">
        <v>12118</v>
      </c>
      <c r="E325" s="14" t="s">
        <v>11857</v>
      </c>
      <c r="F325" s="14" t="s">
        <v>11857</v>
      </c>
      <c r="G325" s="14" t="s">
        <v>11857</v>
      </c>
      <c r="H325" s="14" t="s">
        <v>12119</v>
      </c>
      <c r="I325" s="14"/>
      <c r="J325" s="13" t="s">
        <v>11717</v>
      </c>
    </row>
    <row r="326" customFormat="false" ht="15" hidden="false" customHeight="true" outlineLevel="0" collapsed="false">
      <c r="A326" s="10" t="n">
        <v>325</v>
      </c>
      <c r="B326" s="8" t="s">
        <v>4587</v>
      </c>
      <c r="C326" s="10" t="n">
        <f aca="false">COUNTIF(Dataset!$E$2:$E$5001,A326)</f>
        <v>12</v>
      </c>
      <c r="D326" s="13" t="s">
        <v>12120</v>
      </c>
      <c r="E326" s="14" t="s">
        <v>11749</v>
      </c>
      <c r="F326" s="14" t="s">
        <v>11749</v>
      </c>
      <c r="G326" s="14" t="s">
        <v>11750</v>
      </c>
      <c r="H326" s="14" t="s">
        <v>12121</v>
      </c>
      <c r="I326" s="14"/>
      <c r="J326" s="13" t="s">
        <v>11717</v>
      </c>
    </row>
    <row r="327" customFormat="false" ht="23.25" hidden="false" customHeight="true" outlineLevel="0" collapsed="false">
      <c r="A327" s="10" t="n">
        <v>326</v>
      </c>
      <c r="B327" s="8" t="s">
        <v>4601</v>
      </c>
      <c r="C327" s="10" t="n">
        <f aca="false">COUNTIF(Dataset!$E$2:$E$5001,A327)</f>
        <v>12</v>
      </c>
      <c r="D327" s="13" t="s">
        <v>12122</v>
      </c>
      <c r="E327" s="14" t="s">
        <v>11857</v>
      </c>
      <c r="F327" s="14" t="s">
        <v>11857</v>
      </c>
      <c r="G327" s="14" t="s">
        <v>11857</v>
      </c>
      <c r="H327" s="14" t="s">
        <v>12123</v>
      </c>
      <c r="I327" s="14"/>
      <c r="J327" s="13" t="s">
        <v>11717</v>
      </c>
    </row>
    <row r="328" customFormat="false" ht="23.25" hidden="false" customHeight="true" outlineLevel="0" collapsed="false">
      <c r="A328" s="10" t="n">
        <v>327</v>
      </c>
      <c r="B328" s="8" t="s">
        <v>4615</v>
      </c>
      <c r="C328" s="10" t="n">
        <f aca="false">COUNTIF(Dataset!$E$2:$E$5001,A328)</f>
        <v>12</v>
      </c>
      <c r="D328" s="13" t="s">
        <v>11796</v>
      </c>
      <c r="E328" s="14" t="s">
        <v>11749</v>
      </c>
      <c r="F328" s="14" t="s">
        <v>11750</v>
      </c>
      <c r="G328" s="14" t="s">
        <v>11750</v>
      </c>
      <c r="H328" s="14" t="s">
        <v>12124</v>
      </c>
      <c r="I328" s="14"/>
      <c r="J328" s="13" t="s">
        <v>11717</v>
      </c>
    </row>
    <row r="329" customFormat="false" ht="23.25" hidden="false" customHeight="true" outlineLevel="0" collapsed="false">
      <c r="A329" s="10" t="n">
        <v>328</v>
      </c>
      <c r="B329" s="8" t="s">
        <v>4629</v>
      </c>
      <c r="C329" s="10" t="n">
        <f aca="false">COUNTIF(Dataset!$E$2:$E$5001,A329)</f>
        <v>12</v>
      </c>
      <c r="D329" s="13" t="s">
        <v>11760</v>
      </c>
      <c r="E329" s="14" t="s">
        <v>11749</v>
      </c>
      <c r="F329" s="14" t="s">
        <v>11750</v>
      </c>
      <c r="G329" s="14" t="s">
        <v>11750</v>
      </c>
      <c r="H329" s="14" t="s">
        <v>12125</v>
      </c>
      <c r="I329" s="14"/>
      <c r="J329" s="13" t="s">
        <v>11717</v>
      </c>
    </row>
    <row r="330" customFormat="false" ht="15" hidden="false" customHeight="true" outlineLevel="0" collapsed="false">
      <c r="A330" s="10" t="n">
        <v>329</v>
      </c>
      <c r="B330" s="8" t="s">
        <v>4643</v>
      </c>
      <c r="C330" s="10" t="n">
        <f aca="false">COUNTIF(Dataset!$E$2:$E$5001,A330)</f>
        <v>12</v>
      </c>
      <c r="D330" s="13" t="s">
        <v>12126</v>
      </c>
      <c r="E330" s="14" t="s">
        <v>11750</v>
      </c>
      <c r="F330" s="14" t="s">
        <v>11749</v>
      </c>
      <c r="G330" s="14" t="s">
        <v>11749</v>
      </c>
      <c r="H330" s="14" t="s">
        <v>12127</v>
      </c>
      <c r="I330" s="14"/>
      <c r="J330" s="13" t="s">
        <v>11717</v>
      </c>
    </row>
    <row r="331" customFormat="false" ht="15" hidden="false" customHeight="true" outlineLevel="0" collapsed="false">
      <c r="A331" s="10" t="n">
        <v>330</v>
      </c>
      <c r="B331" s="8" t="s">
        <v>4657</v>
      </c>
      <c r="C331" s="10" t="n">
        <f aca="false">COUNTIF(Dataset!$E$2:$E$5001,A331)</f>
        <v>12</v>
      </c>
      <c r="D331" s="13" t="s">
        <v>12128</v>
      </c>
      <c r="E331" s="14" t="s">
        <v>11712</v>
      </c>
      <c r="F331" s="14" t="s">
        <v>11712</v>
      </c>
      <c r="G331" s="14" t="s">
        <v>11712</v>
      </c>
      <c r="H331" s="14" t="s">
        <v>12129</v>
      </c>
      <c r="I331" s="14"/>
      <c r="J331" s="13" t="s">
        <v>11717</v>
      </c>
    </row>
    <row r="332" customFormat="false" ht="15" hidden="false" customHeight="true" outlineLevel="0" collapsed="false">
      <c r="A332" s="10" t="n">
        <v>331</v>
      </c>
      <c r="B332" s="8" t="s">
        <v>4671</v>
      </c>
      <c r="C332" s="10" t="n">
        <f aca="false">COUNTIF(Dataset!$E$2:$E$5001,A332)</f>
        <v>12</v>
      </c>
      <c r="D332" s="13" t="s">
        <v>12130</v>
      </c>
      <c r="E332" s="14" t="s">
        <v>11857</v>
      </c>
      <c r="F332" s="14" t="s">
        <v>11857</v>
      </c>
      <c r="G332" s="14" t="s">
        <v>11750</v>
      </c>
      <c r="H332" s="14" t="s">
        <v>12131</v>
      </c>
      <c r="I332" s="14"/>
      <c r="J332" s="13" t="s">
        <v>11717</v>
      </c>
    </row>
    <row r="333" customFormat="false" ht="15" hidden="false" customHeight="true" outlineLevel="0" collapsed="false">
      <c r="A333" s="10" t="n">
        <v>332</v>
      </c>
      <c r="B333" s="8" t="s">
        <v>4685</v>
      </c>
      <c r="C333" s="10" t="n">
        <f aca="false">COUNTIF(Dataset!$E$2:$E$5001,A333)</f>
        <v>12</v>
      </c>
      <c r="D333" s="13" t="s">
        <v>12132</v>
      </c>
      <c r="E333" s="14" t="s">
        <v>11749</v>
      </c>
      <c r="F333" s="14" t="s">
        <v>11750</v>
      </c>
      <c r="G333" s="14" t="s">
        <v>11750</v>
      </c>
      <c r="H333" s="14" t="s">
        <v>12133</v>
      </c>
      <c r="I333" s="14"/>
      <c r="J333" s="13" t="s">
        <v>11717</v>
      </c>
    </row>
    <row r="334" customFormat="false" ht="23.25" hidden="false" customHeight="true" outlineLevel="0" collapsed="false">
      <c r="A334" s="10" t="n">
        <v>333</v>
      </c>
      <c r="B334" s="8" t="s">
        <v>4699</v>
      </c>
      <c r="C334" s="10" t="n">
        <f aca="false">COUNTIF(Dataset!$E$2:$E$5001,A334)</f>
        <v>12</v>
      </c>
      <c r="D334" s="13" t="s">
        <v>11787</v>
      </c>
      <c r="E334" s="14" t="s">
        <v>11749</v>
      </c>
      <c r="F334" s="14" t="s">
        <v>11750</v>
      </c>
      <c r="G334" s="14" t="s">
        <v>11750</v>
      </c>
      <c r="H334" s="14" t="s">
        <v>12134</v>
      </c>
      <c r="I334" s="14"/>
      <c r="J334" s="13" t="s">
        <v>11717</v>
      </c>
    </row>
    <row r="335" customFormat="false" ht="23.25" hidden="false" customHeight="true" outlineLevel="0" collapsed="false">
      <c r="A335" s="10" t="n">
        <v>334</v>
      </c>
      <c r="B335" s="8" t="s">
        <v>4713</v>
      </c>
      <c r="C335" s="10" t="n">
        <f aca="false">COUNTIF(Dataset!$E$2:$E$5001,A335)</f>
        <v>12</v>
      </c>
      <c r="D335" s="13" t="s">
        <v>12135</v>
      </c>
      <c r="E335" s="14" t="s">
        <v>11750</v>
      </c>
      <c r="F335" s="14" t="s">
        <v>11749</v>
      </c>
      <c r="G335" s="14" t="s">
        <v>11750</v>
      </c>
      <c r="H335" s="14" t="s">
        <v>12136</v>
      </c>
      <c r="I335" s="14"/>
      <c r="J335" s="13" t="s">
        <v>11717</v>
      </c>
    </row>
    <row r="336" customFormat="false" ht="15" hidden="false" customHeight="true" outlineLevel="0" collapsed="false">
      <c r="A336" s="10" t="n">
        <v>335</v>
      </c>
      <c r="B336" s="8" t="s">
        <v>4727</v>
      </c>
      <c r="C336" s="10" t="n">
        <f aca="false">COUNTIF(Dataset!$E$2:$E$5001,A336)</f>
        <v>12</v>
      </c>
      <c r="D336" s="13" t="s">
        <v>11711</v>
      </c>
      <c r="E336" s="14" t="s">
        <v>11712</v>
      </c>
      <c r="F336" s="14" t="s">
        <v>11712</v>
      </c>
      <c r="G336" s="14" t="s">
        <v>11712</v>
      </c>
      <c r="H336" s="14"/>
      <c r="I336" s="14"/>
      <c r="J336" s="13" t="s">
        <v>11713</v>
      </c>
    </row>
    <row r="337" customFormat="false" ht="15" hidden="false" customHeight="true" outlineLevel="0" collapsed="false">
      <c r="A337" s="10" t="n">
        <v>336</v>
      </c>
      <c r="B337" s="8" t="s">
        <v>4741</v>
      </c>
      <c r="C337" s="10" t="n">
        <f aca="false">COUNTIF(Dataset!$E$2:$E$5001,A337)</f>
        <v>12</v>
      </c>
      <c r="D337" s="13" t="s">
        <v>12137</v>
      </c>
      <c r="E337" s="14" t="s">
        <v>11750</v>
      </c>
      <c r="F337" s="14" t="s">
        <v>11749</v>
      </c>
      <c r="G337" s="14" t="s">
        <v>11750</v>
      </c>
      <c r="H337" s="14" t="s">
        <v>12138</v>
      </c>
      <c r="I337" s="14"/>
      <c r="J337" s="13" t="s">
        <v>11717</v>
      </c>
    </row>
    <row r="338" customFormat="false" ht="15" hidden="false" customHeight="true" outlineLevel="0" collapsed="false">
      <c r="A338" s="10" t="n">
        <v>337</v>
      </c>
      <c r="B338" s="8" t="s">
        <v>4755</v>
      </c>
      <c r="C338" s="10" t="n">
        <f aca="false">COUNTIF(Dataset!$E$2:$E$5001,A338)</f>
        <v>12</v>
      </c>
      <c r="D338" s="13" t="s">
        <v>11787</v>
      </c>
      <c r="E338" s="14" t="s">
        <v>11750</v>
      </c>
      <c r="F338" s="14" t="s">
        <v>11750</v>
      </c>
      <c r="G338" s="14" t="s">
        <v>11750</v>
      </c>
      <c r="H338" s="14" t="s">
        <v>12139</v>
      </c>
      <c r="I338" s="14"/>
      <c r="J338" s="13" t="s">
        <v>11717</v>
      </c>
    </row>
    <row r="339" customFormat="false" ht="15" hidden="false" customHeight="true" outlineLevel="0" collapsed="false">
      <c r="A339" s="10" t="n">
        <v>338</v>
      </c>
      <c r="B339" s="8" t="s">
        <v>4769</v>
      </c>
      <c r="C339" s="10" t="n">
        <f aca="false">COUNTIF(Dataset!$E$2:$E$5001,A339)</f>
        <v>12</v>
      </c>
      <c r="D339" s="13" t="s">
        <v>11889</v>
      </c>
      <c r="E339" s="14" t="s">
        <v>11749</v>
      </c>
      <c r="F339" s="14" t="s">
        <v>11750</v>
      </c>
      <c r="G339" s="14" t="s">
        <v>11750</v>
      </c>
      <c r="H339" s="14" t="s">
        <v>12140</v>
      </c>
      <c r="I339" s="14"/>
      <c r="J339" s="13" t="s">
        <v>11717</v>
      </c>
    </row>
    <row r="340" customFormat="false" ht="34.5" hidden="false" customHeight="true" outlineLevel="0" collapsed="false">
      <c r="A340" s="10" t="n">
        <v>339</v>
      </c>
      <c r="B340" s="8" t="s">
        <v>4783</v>
      </c>
      <c r="C340" s="10" t="n">
        <f aca="false">COUNTIF(Dataset!$E$2:$E$5001,A340)</f>
        <v>12</v>
      </c>
      <c r="D340" s="13" t="s">
        <v>12141</v>
      </c>
      <c r="E340" s="14" t="s">
        <v>11857</v>
      </c>
      <c r="F340" s="14" t="s">
        <v>11750</v>
      </c>
      <c r="G340" s="14" t="s">
        <v>11750</v>
      </c>
      <c r="H340" s="14" t="s">
        <v>12142</v>
      </c>
      <c r="I340" s="14"/>
      <c r="J340" s="13" t="s">
        <v>11717</v>
      </c>
    </row>
    <row r="341" customFormat="false" ht="23.25" hidden="false" customHeight="true" outlineLevel="0" collapsed="false">
      <c r="A341" s="10" t="n">
        <v>340</v>
      </c>
      <c r="B341" s="8" t="s">
        <v>4797</v>
      </c>
      <c r="C341" s="10" t="n">
        <f aca="false">COUNTIF(Dataset!$E$2:$E$5001,A341)</f>
        <v>12</v>
      </c>
      <c r="D341" s="13" t="s">
        <v>12143</v>
      </c>
      <c r="E341" s="14" t="s">
        <v>11857</v>
      </c>
      <c r="F341" s="14" t="s">
        <v>11857</v>
      </c>
      <c r="G341" s="14" t="s">
        <v>11750</v>
      </c>
      <c r="H341" s="14" t="s">
        <v>12144</v>
      </c>
      <c r="I341" s="14"/>
      <c r="J341" s="13" t="s">
        <v>11717</v>
      </c>
    </row>
    <row r="342" customFormat="false" ht="23.25" hidden="false" customHeight="true" outlineLevel="0" collapsed="false">
      <c r="A342" s="10" t="n">
        <v>341</v>
      </c>
      <c r="B342" s="8" t="s">
        <v>4811</v>
      </c>
      <c r="C342" s="10" t="n">
        <f aca="false">COUNTIF(Dataset!$E$2:$E$5001,A342)</f>
        <v>12</v>
      </c>
      <c r="D342" s="13" t="s">
        <v>12145</v>
      </c>
      <c r="E342" s="14" t="s">
        <v>11857</v>
      </c>
      <c r="F342" s="14" t="s">
        <v>11750</v>
      </c>
      <c r="G342" s="14" t="s">
        <v>11750</v>
      </c>
      <c r="H342" s="14" t="s">
        <v>12146</v>
      </c>
      <c r="I342" s="14"/>
      <c r="J342" s="13" t="s">
        <v>11717</v>
      </c>
    </row>
    <row r="343" customFormat="false" ht="34.5" hidden="false" customHeight="true" outlineLevel="0" collapsed="false">
      <c r="A343" s="10" t="n">
        <v>342</v>
      </c>
      <c r="B343" s="8" t="s">
        <v>4825</v>
      </c>
      <c r="C343" s="10" t="n">
        <f aca="false">COUNTIF(Dataset!$E$2:$E$5001,A343)</f>
        <v>12</v>
      </c>
      <c r="D343" s="13" t="s">
        <v>12147</v>
      </c>
      <c r="E343" s="14" t="s">
        <v>11857</v>
      </c>
      <c r="F343" s="14" t="s">
        <v>11750</v>
      </c>
      <c r="G343" s="14" t="s">
        <v>11750</v>
      </c>
      <c r="H343" s="14" t="s">
        <v>12148</v>
      </c>
      <c r="I343" s="14"/>
      <c r="J343" s="13" t="s">
        <v>11717</v>
      </c>
    </row>
    <row r="344" customFormat="false" ht="23.25" hidden="false" customHeight="true" outlineLevel="0" collapsed="false">
      <c r="A344" s="10" t="n">
        <v>343</v>
      </c>
      <c r="B344" s="8" t="s">
        <v>4839</v>
      </c>
      <c r="C344" s="10" t="n">
        <f aca="false">COUNTIF(Dataset!$E$2:$E$5001,A344)</f>
        <v>12</v>
      </c>
      <c r="D344" s="13" t="s">
        <v>11889</v>
      </c>
      <c r="E344" s="14" t="s">
        <v>11857</v>
      </c>
      <c r="F344" s="14" t="s">
        <v>11750</v>
      </c>
      <c r="G344" s="14" t="s">
        <v>11750</v>
      </c>
      <c r="H344" s="14" t="s">
        <v>12149</v>
      </c>
      <c r="I344" s="14"/>
      <c r="J344" s="13" t="s">
        <v>11717</v>
      </c>
    </row>
    <row r="345" customFormat="false" ht="15" hidden="false" customHeight="true" outlineLevel="0" collapsed="false">
      <c r="A345" s="10" t="n">
        <v>344</v>
      </c>
      <c r="B345" s="8" t="s">
        <v>4853</v>
      </c>
      <c r="C345" s="10" t="n">
        <f aca="false">COUNTIF(Dataset!$E$2:$E$5001,A345)</f>
        <v>12</v>
      </c>
      <c r="D345" s="13" t="s">
        <v>11803</v>
      </c>
      <c r="E345" s="14" t="s">
        <v>11750</v>
      </c>
      <c r="F345" s="14" t="s">
        <v>11749</v>
      </c>
      <c r="G345" s="14" t="s">
        <v>11750</v>
      </c>
      <c r="H345" s="14" t="s">
        <v>12150</v>
      </c>
      <c r="I345" s="14"/>
      <c r="J345" s="13" t="s">
        <v>11717</v>
      </c>
    </row>
    <row r="346" customFormat="false" ht="15" hidden="false" customHeight="true" outlineLevel="0" collapsed="false">
      <c r="A346" s="10" t="n">
        <v>345</v>
      </c>
      <c r="B346" s="8" t="s">
        <v>4867</v>
      </c>
      <c r="C346" s="10" t="n">
        <f aca="false">COUNTIF(Dataset!$E$2:$E$5001,A346)</f>
        <v>12</v>
      </c>
      <c r="D346" s="13" t="s">
        <v>11711</v>
      </c>
      <c r="E346" s="14" t="s">
        <v>11712</v>
      </c>
      <c r="F346" s="14" t="s">
        <v>11712</v>
      </c>
      <c r="G346" s="14" t="s">
        <v>11712</v>
      </c>
      <c r="H346" s="14"/>
      <c r="I346" s="14"/>
      <c r="J346" s="13" t="s">
        <v>11713</v>
      </c>
    </row>
    <row r="347" customFormat="false" ht="23.25" hidden="false" customHeight="true" outlineLevel="0" collapsed="false">
      <c r="A347" s="10" t="n">
        <v>346</v>
      </c>
      <c r="B347" s="8" t="s">
        <v>4881</v>
      </c>
      <c r="C347" s="10" t="n">
        <f aca="false">COUNTIF(Dataset!$E$2:$E$5001,A347)</f>
        <v>12</v>
      </c>
      <c r="D347" s="13" t="s">
        <v>11864</v>
      </c>
      <c r="E347" s="14" t="s">
        <v>11750</v>
      </c>
      <c r="F347" s="14" t="s">
        <v>11749</v>
      </c>
      <c r="G347" s="14" t="s">
        <v>11750</v>
      </c>
      <c r="H347" s="14" t="s">
        <v>12151</v>
      </c>
      <c r="I347" s="14"/>
      <c r="J347" s="13" t="s">
        <v>11717</v>
      </c>
    </row>
    <row r="348" customFormat="false" ht="15" hidden="false" customHeight="true" outlineLevel="0" collapsed="false">
      <c r="A348" s="10" t="n">
        <v>347</v>
      </c>
      <c r="B348" s="8" t="s">
        <v>4895</v>
      </c>
      <c r="C348" s="10" t="n">
        <f aca="false">COUNTIF(Dataset!$E$2:$E$5001,A348)</f>
        <v>12</v>
      </c>
      <c r="D348" s="13" t="s">
        <v>11789</v>
      </c>
      <c r="E348" s="14" t="s">
        <v>11750</v>
      </c>
      <c r="F348" s="14" t="s">
        <v>11749</v>
      </c>
      <c r="G348" s="14" t="s">
        <v>11750</v>
      </c>
      <c r="H348" s="14" t="s">
        <v>12152</v>
      </c>
      <c r="I348" s="14"/>
      <c r="J348" s="13" t="s">
        <v>11717</v>
      </c>
    </row>
    <row r="349" customFormat="false" ht="23.25" hidden="false" customHeight="true" outlineLevel="0" collapsed="false">
      <c r="A349" s="10" t="n">
        <v>348</v>
      </c>
      <c r="B349" s="8" t="s">
        <v>4909</v>
      </c>
      <c r="C349" s="10" t="n">
        <f aca="false">COUNTIF(Dataset!$E$2:$E$5001,A349)</f>
        <v>12</v>
      </c>
      <c r="D349" s="13" t="s">
        <v>11924</v>
      </c>
      <c r="E349" s="14" t="s">
        <v>11750</v>
      </c>
      <c r="F349" s="14" t="s">
        <v>11749</v>
      </c>
      <c r="G349" s="14" t="s">
        <v>11750</v>
      </c>
      <c r="H349" s="14" t="s">
        <v>12153</v>
      </c>
      <c r="I349" s="14"/>
      <c r="J349" s="13" t="s">
        <v>11717</v>
      </c>
    </row>
    <row r="350" customFormat="false" ht="15" hidden="false" customHeight="true" outlineLevel="0" collapsed="false">
      <c r="A350" s="10" t="n">
        <v>349</v>
      </c>
      <c r="B350" s="8" t="s">
        <v>4923</v>
      </c>
      <c r="C350" s="10" t="n">
        <f aca="false">COUNTIF(Dataset!$E$2:$E$5001,A350)</f>
        <v>12</v>
      </c>
      <c r="D350" s="13" t="s">
        <v>11864</v>
      </c>
      <c r="E350" s="14" t="s">
        <v>11750</v>
      </c>
      <c r="F350" s="14" t="s">
        <v>11749</v>
      </c>
      <c r="G350" s="14" t="s">
        <v>11750</v>
      </c>
      <c r="H350" s="14" t="s">
        <v>12154</v>
      </c>
      <c r="I350" s="14"/>
      <c r="J350" s="13" t="s">
        <v>11717</v>
      </c>
    </row>
    <row r="351" customFormat="false" ht="23.25" hidden="false" customHeight="true" outlineLevel="0" collapsed="false">
      <c r="A351" s="10" t="n">
        <v>350</v>
      </c>
      <c r="B351" s="8" t="s">
        <v>4937</v>
      </c>
      <c r="C351" s="10" t="n">
        <f aca="false">COUNTIF(Dataset!$E$2:$E$5001,A351)</f>
        <v>12</v>
      </c>
      <c r="D351" s="13" t="s">
        <v>11924</v>
      </c>
      <c r="E351" s="14" t="s">
        <v>11750</v>
      </c>
      <c r="F351" s="14" t="s">
        <v>11749</v>
      </c>
      <c r="G351" s="14" t="s">
        <v>11750</v>
      </c>
      <c r="H351" s="14" t="s">
        <v>12155</v>
      </c>
      <c r="I351" s="14"/>
      <c r="J351" s="13" t="s">
        <v>11717</v>
      </c>
    </row>
    <row r="352" customFormat="false" ht="15" hidden="false" customHeight="true" outlineLevel="0" collapsed="false">
      <c r="A352" s="10" t="n">
        <v>351</v>
      </c>
      <c r="B352" s="8" t="s">
        <v>4951</v>
      </c>
      <c r="C352" s="10" t="n">
        <f aca="false">COUNTIF(Dataset!$E$2:$E$5001,A352)</f>
        <v>12</v>
      </c>
      <c r="D352" s="13" t="s">
        <v>12156</v>
      </c>
      <c r="E352" s="14" t="s">
        <v>11750</v>
      </c>
      <c r="F352" s="14" t="s">
        <v>11749</v>
      </c>
      <c r="G352" s="14" t="s">
        <v>11749</v>
      </c>
      <c r="H352" s="14" t="s">
        <v>12157</v>
      </c>
      <c r="I352" s="14"/>
      <c r="J352" s="13" t="s">
        <v>11717</v>
      </c>
    </row>
    <row r="353" customFormat="false" ht="15" hidden="false" customHeight="true" outlineLevel="0" collapsed="false">
      <c r="A353" s="10" t="n">
        <v>352</v>
      </c>
      <c r="B353" s="8" t="s">
        <v>4965</v>
      </c>
      <c r="C353" s="10" t="n">
        <f aca="false">COUNTIF(Dataset!$E$2:$E$5001,A353)</f>
        <v>12</v>
      </c>
      <c r="D353" s="13" t="s">
        <v>11789</v>
      </c>
      <c r="E353" s="14" t="s">
        <v>11750</v>
      </c>
      <c r="F353" s="14" t="s">
        <v>11749</v>
      </c>
      <c r="G353" s="14" t="s">
        <v>11749</v>
      </c>
      <c r="H353" s="14" t="s">
        <v>12158</v>
      </c>
      <c r="I353" s="14"/>
      <c r="J353" s="13" t="s">
        <v>11717</v>
      </c>
    </row>
    <row r="354" customFormat="false" ht="15" hidden="false" customHeight="true" outlineLevel="0" collapsed="false">
      <c r="A354" s="10" t="n">
        <v>353</v>
      </c>
      <c r="B354" s="8" t="s">
        <v>4979</v>
      </c>
      <c r="C354" s="10" t="n">
        <f aca="false">COUNTIF(Dataset!$E$2:$E$5001,A354)</f>
        <v>12</v>
      </c>
      <c r="D354" s="13" t="s">
        <v>12159</v>
      </c>
      <c r="E354" s="14" t="s">
        <v>11749</v>
      </c>
      <c r="F354" s="14" t="s">
        <v>11750</v>
      </c>
      <c r="G354" s="14" t="s">
        <v>11750</v>
      </c>
      <c r="H354" s="14" t="s">
        <v>12160</v>
      </c>
      <c r="I354" s="14"/>
      <c r="J354" s="13" t="s">
        <v>11717</v>
      </c>
    </row>
    <row r="355" customFormat="false" ht="23.25" hidden="false" customHeight="true" outlineLevel="0" collapsed="false">
      <c r="A355" s="10" t="n">
        <v>354</v>
      </c>
      <c r="B355" s="8" t="s">
        <v>4993</v>
      </c>
      <c r="C355" s="10" t="n">
        <f aca="false">COUNTIF(Dataset!$E$2:$E$5001,A355)</f>
        <v>12</v>
      </c>
      <c r="D355" s="13" t="s">
        <v>11864</v>
      </c>
      <c r="E355" s="14" t="s">
        <v>11750</v>
      </c>
      <c r="F355" s="14" t="s">
        <v>11749</v>
      </c>
      <c r="G355" s="14" t="s">
        <v>11749</v>
      </c>
      <c r="H355" s="14" t="s">
        <v>12161</v>
      </c>
      <c r="I355" s="14"/>
      <c r="J355" s="13" t="s">
        <v>11717</v>
      </c>
    </row>
    <row r="356" customFormat="false" ht="15" hidden="false" customHeight="true" outlineLevel="0" collapsed="false">
      <c r="A356" s="10" t="n">
        <v>355</v>
      </c>
      <c r="B356" s="8" t="s">
        <v>5007</v>
      </c>
      <c r="C356" s="10" t="n">
        <f aca="false">COUNTIF(Dataset!$E$2:$E$5001,A356)</f>
        <v>12</v>
      </c>
      <c r="D356" s="13" t="s">
        <v>12162</v>
      </c>
      <c r="E356" s="14" t="s">
        <v>11750</v>
      </c>
      <c r="F356" s="14" t="s">
        <v>11749</v>
      </c>
      <c r="G356" s="14" t="s">
        <v>11750</v>
      </c>
      <c r="H356" s="14" t="s">
        <v>12163</v>
      </c>
      <c r="I356" s="14"/>
      <c r="J356" s="13" t="s">
        <v>11717</v>
      </c>
    </row>
    <row r="357" customFormat="false" ht="15" hidden="false" customHeight="true" outlineLevel="0" collapsed="false">
      <c r="A357" s="10" t="n">
        <v>356</v>
      </c>
      <c r="B357" s="8" t="s">
        <v>5021</v>
      </c>
      <c r="C357" s="10" t="n">
        <f aca="false">COUNTIF(Dataset!$E$2:$E$5001,A357)</f>
        <v>12</v>
      </c>
      <c r="D357" s="13" t="s">
        <v>12164</v>
      </c>
      <c r="E357" s="14" t="s">
        <v>11750</v>
      </c>
      <c r="F357" s="14" t="s">
        <v>11749</v>
      </c>
      <c r="G357" s="14" t="s">
        <v>11749</v>
      </c>
      <c r="H357" s="14" t="s">
        <v>12165</v>
      </c>
      <c r="I357" s="14"/>
      <c r="J357" s="13" t="s">
        <v>11717</v>
      </c>
    </row>
    <row r="358" customFormat="false" ht="23.25" hidden="false" customHeight="true" outlineLevel="0" collapsed="false">
      <c r="A358" s="10" t="n">
        <v>357</v>
      </c>
      <c r="B358" s="8" t="s">
        <v>5035</v>
      </c>
      <c r="C358" s="10" t="n">
        <f aca="false">COUNTIF(Dataset!$E$2:$E$5001,A358)</f>
        <v>12</v>
      </c>
      <c r="D358" s="13" t="s">
        <v>11909</v>
      </c>
      <c r="E358" s="14" t="s">
        <v>11750</v>
      </c>
      <c r="F358" s="14" t="s">
        <v>11749</v>
      </c>
      <c r="G358" s="14" t="s">
        <v>11749</v>
      </c>
      <c r="H358" s="14" t="s">
        <v>12166</v>
      </c>
      <c r="I358" s="14"/>
      <c r="J358" s="13" t="s">
        <v>11717</v>
      </c>
    </row>
    <row r="359" customFormat="false" ht="15" hidden="false" customHeight="true" outlineLevel="0" collapsed="false">
      <c r="A359" s="10" t="n">
        <v>358</v>
      </c>
      <c r="B359" s="8" t="s">
        <v>5049</v>
      </c>
      <c r="C359" s="10" t="n">
        <f aca="false">COUNTIF(Dataset!$E$2:$E$5001,A359)</f>
        <v>12</v>
      </c>
      <c r="D359" s="13" t="s">
        <v>11711</v>
      </c>
      <c r="E359" s="14" t="s">
        <v>11712</v>
      </c>
      <c r="F359" s="14" t="s">
        <v>11712</v>
      </c>
      <c r="G359" s="14" t="s">
        <v>11712</v>
      </c>
      <c r="H359" s="14"/>
      <c r="I359" s="14"/>
      <c r="J359" s="13" t="s">
        <v>11713</v>
      </c>
    </row>
    <row r="360" customFormat="false" ht="15" hidden="false" customHeight="true" outlineLevel="0" collapsed="false">
      <c r="A360" s="10" t="n">
        <v>359</v>
      </c>
      <c r="B360" s="8" t="s">
        <v>10065</v>
      </c>
      <c r="C360" s="10" t="n">
        <f aca="false">COUNTIF(Dataset!$E$2:$E$5001,A360)</f>
        <v>6</v>
      </c>
      <c r="D360" s="13" t="s">
        <v>12167</v>
      </c>
      <c r="E360" s="14" t="s">
        <v>11712</v>
      </c>
      <c r="F360" s="14" t="s">
        <v>11712</v>
      </c>
      <c r="G360" s="14" t="s">
        <v>11712</v>
      </c>
      <c r="H360" s="14"/>
      <c r="I360" s="14"/>
      <c r="J360" s="13" t="s">
        <v>12168</v>
      </c>
    </row>
    <row r="361" customFormat="false" ht="15" hidden="false" customHeight="true" outlineLevel="0" collapsed="false">
      <c r="A361" s="10" t="n">
        <v>360</v>
      </c>
      <c r="B361" s="8" t="s">
        <v>10079</v>
      </c>
      <c r="C361" s="10" t="n">
        <f aca="false">COUNTIF(Dataset!$E$2:$E$5001,A361)</f>
        <v>6</v>
      </c>
      <c r="D361" s="13" t="s">
        <v>12167</v>
      </c>
      <c r="E361" s="14" t="s">
        <v>11712</v>
      </c>
      <c r="F361" s="14" t="s">
        <v>11712</v>
      </c>
      <c r="G361" s="14" t="s">
        <v>11712</v>
      </c>
      <c r="H361" s="14"/>
      <c r="I361" s="14"/>
      <c r="J361" s="13" t="s">
        <v>12168</v>
      </c>
    </row>
    <row r="362" customFormat="false" ht="15" hidden="false" customHeight="true" outlineLevel="0" collapsed="false">
      <c r="A362" s="10" t="n">
        <v>361</v>
      </c>
      <c r="B362" s="8" t="s">
        <v>10093</v>
      </c>
      <c r="C362" s="10" t="n">
        <f aca="false">COUNTIF(Dataset!$E$2:$E$5001,A362)</f>
        <v>6</v>
      </c>
      <c r="D362" s="13" t="s">
        <v>12167</v>
      </c>
      <c r="E362" s="14" t="s">
        <v>11712</v>
      </c>
      <c r="F362" s="14" t="s">
        <v>11712</v>
      </c>
      <c r="G362" s="14" t="s">
        <v>11712</v>
      </c>
      <c r="H362" s="14"/>
      <c r="I362" s="14"/>
      <c r="J362" s="13" t="s">
        <v>12168</v>
      </c>
    </row>
    <row r="363" customFormat="false" ht="23.25" hidden="false" customHeight="true" outlineLevel="0" collapsed="false">
      <c r="A363" s="10" t="n">
        <v>362</v>
      </c>
      <c r="B363" s="8" t="s">
        <v>10107</v>
      </c>
      <c r="C363" s="10" t="n">
        <f aca="false">COUNTIF(Dataset!$E$2:$E$5001,A363)</f>
        <v>6</v>
      </c>
      <c r="D363" s="13" t="s">
        <v>12167</v>
      </c>
      <c r="E363" s="14" t="s">
        <v>11712</v>
      </c>
      <c r="F363" s="14" t="s">
        <v>11712</v>
      </c>
      <c r="G363" s="14" t="s">
        <v>11712</v>
      </c>
      <c r="H363" s="14"/>
      <c r="I363" s="14"/>
      <c r="J363" s="13" t="s">
        <v>12168</v>
      </c>
    </row>
    <row r="364" customFormat="false" ht="23.25" hidden="false" customHeight="true" outlineLevel="0" collapsed="false">
      <c r="A364" s="10" t="n">
        <v>363</v>
      </c>
      <c r="B364" s="8" t="s">
        <v>10121</v>
      </c>
      <c r="C364" s="10" t="n">
        <f aca="false">COUNTIF(Dataset!$E$2:$E$5001,A364)</f>
        <v>6</v>
      </c>
      <c r="D364" s="13" t="s">
        <v>12167</v>
      </c>
      <c r="E364" s="14" t="s">
        <v>11712</v>
      </c>
      <c r="F364" s="14" t="s">
        <v>11712</v>
      </c>
      <c r="G364" s="14" t="s">
        <v>11712</v>
      </c>
      <c r="H364" s="14"/>
      <c r="I364" s="14"/>
      <c r="J364" s="13" t="s">
        <v>12168</v>
      </c>
    </row>
    <row r="365" customFormat="false" ht="23.25" hidden="false" customHeight="true" outlineLevel="0" collapsed="false">
      <c r="A365" s="10" t="n">
        <v>364</v>
      </c>
      <c r="B365" s="8" t="s">
        <v>10135</v>
      </c>
      <c r="C365" s="10" t="n">
        <f aca="false">COUNTIF(Dataset!$E$2:$E$5001,A365)</f>
        <v>6</v>
      </c>
      <c r="D365" s="13" t="s">
        <v>12167</v>
      </c>
      <c r="E365" s="14" t="s">
        <v>11712</v>
      </c>
      <c r="F365" s="14" t="s">
        <v>11712</v>
      </c>
      <c r="G365" s="14" t="s">
        <v>11712</v>
      </c>
      <c r="H365" s="14"/>
      <c r="I365" s="14"/>
      <c r="J365" s="13" t="s">
        <v>12168</v>
      </c>
    </row>
    <row r="366" customFormat="false" ht="23.25" hidden="false" customHeight="true" outlineLevel="0" collapsed="false">
      <c r="A366" s="10" t="n">
        <v>365</v>
      </c>
      <c r="B366" s="8" t="s">
        <v>10149</v>
      </c>
      <c r="C366" s="10" t="n">
        <f aca="false">COUNTIF(Dataset!$E$2:$E$5001,A366)</f>
        <v>6</v>
      </c>
      <c r="D366" s="13" t="s">
        <v>12167</v>
      </c>
      <c r="E366" s="14" t="s">
        <v>11712</v>
      </c>
      <c r="F366" s="14" t="s">
        <v>11712</v>
      </c>
      <c r="G366" s="14" t="s">
        <v>11712</v>
      </c>
      <c r="H366" s="14"/>
      <c r="I366" s="14"/>
      <c r="J366" s="13" t="s">
        <v>12168</v>
      </c>
    </row>
    <row r="367" customFormat="false" ht="15" hidden="false" customHeight="true" outlineLevel="0" collapsed="false">
      <c r="A367" s="10" t="n">
        <v>366</v>
      </c>
      <c r="B367" s="8" t="s">
        <v>10163</v>
      </c>
      <c r="C367" s="10" t="n">
        <f aca="false">COUNTIF(Dataset!$E$2:$E$5001,A367)</f>
        <v>6</v>
      </c>
      <c r="D367" s="13" t="s">
        <v>12167</v>
      </c>
      <c r="E367" s="14" t="s">
        <v>11712</v>
      </c>
      <c r="F367" s="14" t="s">
        <v>11712</v>
      </c>
      <c r="G367" s="14" t="s">
        <v>11712</v>
      </c>
      <c r="H367" s="14"/>
      <c r="I367" s="14"/>
      <c r="J367" s="13" t="s">
        <v>12168</v>
      </c>
    </row>
    <row r="368" customFormat="false" ht="23.25" hidden="false" customHeight="true" outlineLevel="0" collapsed="false">
      <c r="A368" s="10" t="n">
        <v>367</v>
      </c>
      <c r="B368" s="8" t="s">
        <v>10177</v>
      </c>
      <c r="C368" s="10" t="n">
        <f aca="false">COUNTIF(Dataset!$E$2:$E$5001,A368)</f>
        <v>6</v>
      </c>
      <c r="D368" s="13" t="s">
        <v>12167</v>
      </c>
      <c r="E368" s="14" t="s">
        <v>11712</v>
      </c>
      <c r="F368" s="14" t="s">
        <v>11712</v>
      </c>
      <c r="G368" s="14" t="s">
        <v>11712</v>
      </c>
      <c r="H368" s="14"/>
      <c r="I368" s="14"/>
      <c r="J368" s="13" t="s">
        <v>12168</v>
      </c>
    </row>
    <row r="369" customFormat="false" ht="23.25" hidden="false" customHeight="true" outlineLevel="0" collapsed="false">
      <c r="A369" s="10" t="n">
        <v>368</v>
      </c>
      <c r="B369" s="8" t="s">
        <v>10191</v>
      </c>
      <c r="C369" s="10" t="n">
        <f aca="false">COUNTIF(Dataset!$E$2:$E$5001,A369)</f>
        <v>6</v>
      </c>
      <c r="D369" s="13" t="s">
        <v>12167</v>
      </c>
      <c r="E369" s="14" t="s">
        <v>11712</v>
      </c>
      <c r="F369" s="14" t="s">
        <v>11712</v>
      </c>
      <c r="G369" s="14" t="s">
        <v>11712</v>
      </c>
      <c r="H369" s="14"/>
      <c r="I369" s="14"/>
      <c r="J369" s="13" t="s">
        <v>12168</v>
      </c>
    </row>
    <row r="370" customFormat="false" ht="23.25" hidden="false" customHeight="true" outlineLevel="0" collapsed="false">
      <c r="A370" s="10" t="n">
        <v>369</v>
      </c>
      <c r="B370" s="8" t="s">
        <v>10205</v>
      </c>
      <c r="C370" s="10" t="n">
        <f aca="false">COUNTIF(Dataset!$E$2:$E$5001,A370)</f>
        <v>6</v>
      </c>
      <c r="D370" s="13" t="s">
        <v>12167</v>
      </c>
      <c r="E370" s="14" t="s">
        <v>11712</v>
      </c>
      <c r="F370" s="14" t="s">
        <v>11712</v>
      </c>
      <c r="G370" s="14" t="s">
        <v>11712</v>
      </c>
      <c r="H370" s="14"/>
      <c r="I370" s="14"/>
      <c r="J370" s="13" t="s">
        <v>12168</v>
      </c>
    </row>
    <row r="371" customFormat="false" ht="15" hidden="false" customHeight="true" outlineLevel="0" collapsed="false">
      <c r="A371" s="10" t="n">
        <v>370</v>
      </c>
      <c r="B371" s="8" t="s">
        <v>10219</v>
      </c>
      <c r="C371" s="10" t="n">
        <f aca="false">COUNTIF(Dataset!$E$2:$E$5001,A371)</f>
        <v>6</v>
      </c>
      <c r="D371" s="13" t="s">
        <v>12167</v>
      </c>
      <c r="E371" s="14" t="s">
        <v>11712</v>
      </c>
      <c r="F371" s="14" t="s">
        <v>11712</v>
      </c>
      <c r="G371" s="14" t="s">
        <v>11712</v>
      </c>
      <c r="H371" s="14"/>
      <c r="I371" s="14"/>
      <c r="J371" s="13" t="s">
        <v>12168</v>
      </c>
    </row>
    <row r="372" customFormat="false" ht="23.25" hidden="false" customHeight="true" outlineLevel="0" collapsed="false">
      <c r="A372" s="10" t="n">
        <v>371</v>
      </c>
      <c r="B372" s="8" t="s">
        <v>10233</v>
      </c>
      <c r="C372" s="10" t="n">
        <f aca="false">COUNTIF(Dataset!$E$2:$E$5001,A372)</f>
        <v>6</v>
      </c>
      <c r="D372" s="13" t="s">
        <v>12167</v>
      </c>
      <c r="E372" s="14" t="s">
        <v>11712</v>
      </c>
      <c r="F372" s="14" t="s">
        <v>11712</v>
      </c>
      <c r="G372" s="14" t="s">
        <v>11712</v>
      </c>
      <c r="H372" s="14"/>
      <c r="I372" s="14"/>
      <c r="J372" s="13" t="s">
        <v>12168</v>
      </c>
    </row>
    <row r="373" customFormat="false" ht="15" hidden="false" customHeight="true" outlineLevel="0" collapsed="false">
      <c r="A373" s="10" t="n">
        <v>372</v>
      </c>
      <c r="B373" s="8" t="s">
        <v>10247</v>
      </c>
      <c r="C373" s="10" t="n">
        <f aca="false">COUNTIF(Dataset!$E$2:$E$5001,A373)</f>
        <v>6</v>
      </c>
      <c r="D373" s="13" t="s">
        <v>12167</v>
      </c>
      <c r="E373" s="14" t="s">
        <v>11712</v>
      </c>
      <c r="F373" s="14" t="s">
        <v>11712</v>
      </c>
      <c r="G373" s="14" t="s">
        <v>11712</v>
      </c>
      <c r="H373" s="14"/>
      <c r="I373" s="14"/>
      <c r="J373" s="13" t="s">
        <v>12168</v>
      </c>
    </row>
    <row r="374" customFormat="false" ht="23.25" hidden="false" customHeight="true" outlineLevel="0" collapsed="false">
      <c r="A374" s="10" t="n">
        <v>373</v>
      </c>
      <c r="B374" s="8" t="s">
        <v>10261</v>
      </c>
      <c r="C374" s="10" t="n">
        <f aca="false">COUNTIF(Dataset!$E$2:$E$5001,A374)</f>
        <v>6</v>
      </c>
      <c r="D374" s="13" t="s">
        <v>12167</v>
      </c>
      <c r="E374" s="14" t="s">
        <v>11712</v>
      </c>
      <c r="F374" s="14" t="s">
        <v>11712</v>
      </c>
      <c r="G374" s="14" t="s">
        <v>11712</v>
      </c>
      <c r="H374" s="14"/>
      <c r="I374" s="14"/>
      <c r="J374" s="13" t="s">
        <v>12168</v>
      </c>
    </row>
    <row r="375" customFormat="false" ht="23.25" hidden="false" customHeight="true" outlineLevel="0" collapsed="false">
      <c r="A375" s="10" t="n">
        <v>374</v>
      </c>
      <c r="B375" s="8" t="s">
        <v>10275</v>
      </c>
      <c r="C375" s="10" t="n">
        <f aca="false">COUNTIF(Dataset!$E$2:$E$5001,A375)</f>
        <v>6</v>
      </c>
      <c r="D375" s="13" t="s">
        <v>12167</v>
      </c>
      <c r="E375" s="14" t="s">
        <v>11712</v>
      </c>
      <c r="F375" s="14" t="s">
        <v>11712</v>
      </c>
      <c r="G375" s="14" t="s">
        <v>11712</v>
      </c>
      <c r="H375" s="14"/>
      <c r="I375" s="14"/>
      <c r="J375" s="13" t="s">
        <v>12168</v>
      </c>
    </row>
    <row r="376" customFormat="false" ht="23.25" hidden="false" customHeight="true" outlineLevel="0" collapsed="false">
      <c r="A376" s="10" t="n">
        <v>375</v>
      </c>
      <c r="B376" s="8" t="s">
        <v>10289</v>
      </c>
      <c r="C376" s="10" t="n">
        <f aca="false">COUNTIF(Dataset!$E$2:$E$5001,A376)</f>
        <v>6</v>
      </c>
      <c r="D376" s="13" t="s">
        <v>12167</v>
      </c>
      <c r="E376" s="14" t="s">
        <v>11712</v>
      </c>
      <c r="F376" s="14" t="s">
        <v>11712</v>
      </c>
      <c r="G376" s="14" t="s">
        <v>11712</v>
      </c>
      <c r="H376" s="14"/>
      <c r="I376" s="14"/>
      <c r="J376" s="13" t="s">
        <v>12168</v>
      </c>
    </row>
    <row r="377" customFormat="false" ht="23.25" hidden="false" customHeight="true" outlineLevel="0" collapsed="false">
      <c r="A377" s="10" t="n">
        <v>376</v>
      </c>
      <c r="B377" s="8" t="s">
        <v>10303</v>
      </c>
      <c r="C377" s="10" t="n">
        <f aca="false">COUNTIF(Dataset!$E$2:$E$5001,A377)</f>
        <v>6</v>
      </c>
      <c r="D377" s="13" t="s">
        <v>12167</v>
      </c>
      <c r="E377" s="14" t="s">
        <v>11712</v>
      </c>
      <c r="F377" s="14" t="s">
        <v>11712</v>
      </c>
      <c r="G377" s="14" t="s">
        <v>11712</v>
      </c>
      <c r="H377" s="14"/>
      <c r="I377" s="14"/>
      <c r="J377" s="13" t="s">
        <v>12168</v>
      </c>
    </row>
    <row r="378" customFormat="false" ht="23.25" hidden="false" customHeight="true" outlineLevel="0" collapsed="false">
      <c r="A378" s="10" t="n">
        <v>377</v>
      </c>
      <c r="B378" s="8" t="s">
        <v>10317</v>
      </c>
      <c r="C378" s="10" t="n">
        <f aca="false">COUNTIF(Dataset!$E$2:$E$5001,A378)</f>
        <v>6</v>
      </c>
      <c r="D378" s="13" t="s">
        <v>12167</v>
      </c>
      <c r="E378" s="14" t="s">
        <v>11712</v>
      </c>
      <c r="F378" s="14" t="s">
        <v>11712</v>
      </c>
      <c r="G378" s="14" t="s">
        <v>11712</v>
      </c>
      <c r="H378" s="14"/>
      <c r="I378" s="14"/>
      <c r="J378" s="13" t="s">
        <v>12168</v>
      </c>
    </row>
    <row r="379" customFormat="false" ht="23.25" hidden="false" customHeight="true" outlineLevel="0" collapsed="false">
      <c r="A379" s="10" t="n">
        <v>378</v>
      </c>
      <c r="B379" s="8" t="s">
        <v>10331</v>
      </c>
      <c r="C379" s="10" t="n">
        <f aca="false">COUNTIF(Dataset!$E$2:$E$5001,A379)</f>
        <v>6</v>
      </c>
      <c r="D379" s="13" t="s">
        <v>12167</v>
      </c>
      <c r="E379" s="14" t="s">
        <v>11712</v>
      </c>
      <c r="F379" s="14" t="s">
        <v>11712</v>
      </c>
      <c r="G379" s="14" t="s">
        <v>11712</v>
      </c>
      <c r="H379" s="14"/>
      <c r="I379" s="14"/>
      <c r="J379" s="13" t="s">
        <v>12168</v>
      </c>
    </row>
    <row r="380" customFormat="false" ht="15" hidden="false" customHeight="true" outlineLevel="0" collapsed="false">
      <c r="A380" s="10" t="n">
        <v>379</v>
      </c>
      <c r="B380" s="8" t="s">
        <v>10345</v>
      </c>
      <c r="C380" s="10" t="n">
        <f aca="false">COUNTIF(Dataset!$E$2:$E$5001,A380)</f>
        <v>6</v>
      </c>
      <c r="D380" s="13" t="s">
        <v>12167</v>
      </c>
      <c r="E380" s="14" t="s">
        <v>11712</v>
      </c>
      <c r="F380" s="14" t="s">
        <v>11712</v>
      </c>
      <c r="G380" s="14" t="s">
        <v>11712</v>
      </c>
      <c r="H380" s="14"/>
      <c r="I380" s="14"/>
      <c r="J380" s="13" t="s">
        <v>12168</v>
      </c>
    </row>
    <row r="381" customFormat="false" ht="15" hidden="false" customHeight="true" outlineLevel="0" collapsed="false">
      <c r="A381" s="10" t="n">
        <v>380</v>
      </c>
      <c r="B381" s="8" t="s">
        <v>10359</v>
      </c>
      <c r="C381" s="10" t="n">
        <f aca="false">COUNTIF(Dataset!$E$2:$E$5001,A381)</f>
        <v>6</v>
      </c>
      <c r="D381" s="13" t="s">
        <v>12167</v>
      </c>
      <c r="E381" s="14" t="s">
        <v>11712</v>
      </c>
      <c r="F381" s="14" t="s">
        <v>11712</v>
      </c>
      <c r="G381" s="14" t="s">
        <v>11712</v>
      </c>
      <c r="H381" s="14"/>
      <c r="I381" s="14"/>
      <c r="J381" s="13" t="s">
        <v>12168</v>
      </c>
    </row>
    <row r="382" customFormat="false" ht="15" hidden="false" customHeight="true" outlineLevel="0" collapsed="false">
      <c r="A382" s="10" t="n">
        <v>381</v>
      </c>
      <c r="B382" s="8" t="s">
        <v>10373</v>
      </c>
      <c r="C382" s="10" t="n">
        <f aca="false">COUNTIF(Dataset!$E$2:$E$5001,A382)</f>
        <v>6</v>
      </c>
      <c r="D382" s="13" t="s">
        <v>12167</v>
      </c>
      <c r="E382" s="14" t="s">
        <v>11712</v>
      </c>
      <c r="F382" s="14" t="s">
        <v>11712</v>
      </c>
      <c r="G382" s="14" t="s">
        <v>11712</v>
      </c>
      <c r="H382" s="14"/>
      <c r="I382" s="14"/>
      <c r="J382" s="13" t="s">
        <v>12168</v>
      </c>
    </row>
    <row r="383" customFormat="false" ht="15" hidden="false" customHeight="true" outlineLevel="0" collapsed="false">
      <c r="A383" s="10" t="n">
        <v>382</v>
      </c>
      <c r="B383" s="8" t="s">
        <v>10387</v>
      </c>
      <c r="C383" s="10" t="n">
        <f aca="false">COUNTIF(Dataset!$E$2:$E$5001,A383)</f>
        <v>6</v>
      </c>
      <c r="D383" s="13" t="s">
        <v>12167</v>
      </c>
      <c r="E383" s="14" t="s">
        <v>11712</v>
      </c>
      <c r="F383" s="14" t="s">
        <v>11712</v>
      </c>
      <c r="G383" s="14" t="s">
        <v>11712</v>
      </c>
      <c r="H383" s="14"/>
      <c r="I383" s="14"/>
      <c r="J383" s="13" t="s">
        <v>12168</v>
      </c>
    </row>
    <row r="384" customFormat="false" ht="15" hidden="false" customHeight="true" outlineLevel="0" collapsed="false">
      <c r="A384" s="10" t="n">
        <v>383</v>
      </c>
      <c r="B384" s="8" t="s">
        <v>10401</v>
      </c>
      <c r="C384" s="10" t="n">
        <f aca="false">COUNTIF(Dataset!$E$2:$E$5001,A384)</f>
        <v>6</v>
      </c>
      <c r="D384" s="13" t="s">
        <v>12167</v>
      </c>
      <c r="E384" s="14" t="s">
        <v>11712</v>
      </c>
      <c r="F384" s="14" t="s">
        <v>11712</v>
      </c>
      <c r="G384" s="14" t="s">
        <v>11712</v>
      </c>
      <c r="H384" s="14"/>
      <c r="I384" s="14"/>
      <c r="J384" s="13" t="s">
        <v>12168</v>
      </c>
    </row>
    <row r="385" customFormat="false" ht="15" hidden="false" customHeight="true" outlineLevel="0" collapsed="false">
      <c r="A385" s="10" t="n">
        <v>384</v>
      </c>
      <c r="B385" s="8" t="s">
        <v>10415</v>
      </c>
      <c r="C385" s="10" t="n">
        <f aca="false">COUNTIF(Dataset!$E$2:$E$5001,A385)</f>
        <v>6</v>
      </c>
      <c r="D385" s="13" t="s">
        <v>12167</v>
      </c>
      <c r="E385" s="14" t="s">
        <v>11712</v>
      </c>
      <c r="F385" s="14" t="s">
        <v>11712</v>
      </c>
      <c r="G385" s="14" t="s">
        <v>11712</v>
      </c>
      <c r="H385" s="14"/>
      <c r="I385" s="14"/>
      <c r="J385" s="13" t="s">
        <v>12168</v>
      </c>
    </row>
    <row r="386" customFormat="false" ht="23.25" hidden="false" customHeight="true" outlineLevel="0" collapsed="false">
      <c r="A386" s="10" t="n">
        <v>385</v>
      </c>
      <c r="B386" s="8" t="s">
        <v>10429</v>
      </c>
      <c r="C386" s="10" t="n">
        <f aca="false">COUNTIF(Dataset!$E$2:$E$5001,A386)</f>
        <v>6</v>
      </c>
      <c r="D386" s="13" t="s">
        <v>12167</v>
      </c>
      <c r="E386" s="14" t="s">
        <v>11712</v>
      </c>
      <c r="F386" s="14" t="s">
        <v>11712</v>
      </c>
      <c r="G386" s="14" t="s">
        <v>11712</v>
      </c>
      <c r="H386" s="14"/>
      <c r="I386" s="14"/>
      <c r="J386" s="13" t="s">
        <v>12168</v>
      </c>
    </row>
    <row r="387" customFormat="false" ht="23.25" hidden="false" customHeight="true" outlineLevel="0" collapsed="false">
      <c r="A387" s="10" t="n">
        <v>386</v>
      </c>
      <c r="B387" s="8" t="s">
        <v>10443</v>
      </c>
      <c r="C387" s="10" t="n">
        <f aca="false">COUNTIF(Dataset!$E$2:$E$5001,A387)</f>
        <v>6</v>
      </c>
      <c r="D387" s="13" t="s">
        <v>12167</v>
      </c>
      <c r="E387" s="14" t="s">
        <v>11712</v>
      </c>
      <c r="F387" s="14" t="s">
        <v>11712</v>
      </c>
      <c r="G387" s="14" t="s">
        <v>11712</v>
      </c>
      <c r="H387" s="14"/>
      <c r="I387" s="14"/>
      <c r="J387" s="13" t="s">
        <v>12168</v>
      </c>
    </row>
    <row r="388" customFormat="false" ht="15" hidden="false" customHeight="true" outlineLevel="0" collapsed="false">
      <c r="A388" s="10" t="n">
        <v>387</v>
      </c>
      <c r="B388" s="8" t="s">
        <v>10457</v>
      </c>
      <c r="C388" s="10" t="n">
        <f aca="false">COUNTIF(Dataset!$E$2:$E$5001,A388)</f>
        <v>6</v>
      </c>
      <c r="D388" s="13" t="s">
        <v>12167</v>
      </c>
      <c r="E388" s="14" t="s">
        <v>11712</v>
      </c>
      <c r="F388" s="14" t="s">
        <v>11712</v>
      </c>
      <c r="G388" s="14" t="s">
        <v>11712</v>
      </c>
      <c r="H388" s="14"/>
      <c r="I388" s="14"/>
      <c r="J388" s="13" t="s">
        <v>12168</v>
      </c>
    </row>
    <row r="389" customFormat="false" ht="23.25" hidden="false" customHeight="true" outlineLevel="0" collapsed="false">
      <c r="A389" s="10" t="n">
        <v>388</v>
      </c>
      <c r="B389" s="8" t="s">
        <v>10471</v>
      </c>
      <c r="C389" s="10" t="n">
        <f aca="false">COUNTIF(Dataset!$E$2:$E$5001,A389)</f>
        <v>6</v>
      </c>
      <c r="D389" s="13" t="s">
        <v>12167</v>
      </c>
      <c r="E389" s="14" t="s">
        <v>11712</v>
      </c>
      <c r="F389" s="14" t="s">
        <v>11712</v>
      </c>
      <c r="G389" s="14" t="s">
        <v>11712</v>
      </c>
      <c r="H389" s="14"/>
      <c r="I389" s="14"/>
      <c r="J389" s="13" t="s">
        <v>12168</v>
      </c>
    </row>
    <row r="390" customFormat="false" ht="23.25" hidden="false" customHeight="true" outlineLevel="0" collapsed="false">
      <c r="A390" s="10" t="n">
        <v>389</v>
      </c>
      <c r="B390" s="8" t="s">
        <v>10485</v>
      </c>
      <c r="C390" s="10" t="n">
        <f aca="false">COUNTIF(Dataset!$E$2:$E$5001,A390)</f>
        <v>6</v>
      </c>
      <c r="D390" s="13" t="s">
        <v>12167</v>
      </c>
      <c r="E390" s="14" t="s">
        <v>11712</v>
      </c>
      <c r="F390" s="14" t="s">
        <v>11712</v>
      </c>
      <c r="G390" s="14" t="s">
        <v>11712</v>
      </c>
      <c r="H390" s="14"/>
      <c r="I390" s="14"/>
      <c r="J390" s="13" t="s">
        <v>12168</v>
      </c>
    </row>
    <row r="391" customFormat="false" ht="23.25" hidden="false" customHeight="true" outlineLevel="0" collapsed="false">
      <c r="A391" s="10" t="n">
        <v>390</v>
      </c>
      <c r="B391" s="8" t="s">
        <v>10499</v>
      </c>
      <c r="C391" s="10" t="n">
        <f aca="false">COUNTIF(Dataset!$E$2:$E$5001,A391)</f>
        <v>6</v>
      </c>
      <c r="D391" s="13" t="s">
        <v>12167</v>
      </c>
      <c r="E391" s="14" t="s">
        <v>11712</v>
      </c>
      <c r="F391" s="14" t="s">
        <v>11712</v>
      </c>
      <c r="G391" s="14" t="s">
        <v>11712</v>
      </c>
      <c r="H391" s="14"/>
      <c r="I391" s="14"/>
      <c r="J391" s="13" t="s">
        <v>12168</v>
      </c>
    </row>
    <row r="392" customFormat="false" ht="23.25" hidden="false" customHeight="true" outlineLevel="0" collapsed="false">
      <c r="A392" s="10" t="n">
        <v>391</v>
      </c>
      <c r="B392" s="8" t="s">
        <v>10513</v>
      </c>
      <c r="C392" s="10" t="n">
        <f aca="false">COUNTIF(Dataset!$E$2:$E$5001,A392)</f>
        <v>6</v>
      </c>
      <c r="D392" s="13" t="s">
        <v>12167</v>
      </c>
      <c r="E392" s="14" t="s">
        <v>11712</v>
      </c>
      <c r="F392" s="14" t="s">
        <v>11712</v>
      </c>
      <c r="G392" s="14" t="s">
        <v>11712</v>
      </c>
      <c r="H392" s="14"/>
      <c r="I392" s="14"/>
      <c r="J392" s="13" t="s">
        <v>12168</v>
      </c>
    </row>
    <row r="393" customFormat="false" ht="15" hidden="false" customHeight="true" outlineLevel="0" collapsed="false">
      <c r="A393" s="10" t="n">
        <v>392</v>
      </c>
      <c r="B393" s="8" t="s">
        <v>10527</v>
      </c>
      <c r="C393" s="10" t="n">
        <f aca="false">COUNTIF(Dataset!$E$2:$E$5001,A393)</f>
        <v>6</v>
      </c>
      <c r="D393" s="13" t="s">
        <v>12167</v>
      </c>
      <c r="E393" s="14" t="s">
        <v>11712</v>
      </c>
      <c r="F393" s="14" t="s">
        <v>11712</v>
      </c>
      <c r="G393" s="14" t="s">
        <v>11712</v>
      </c>
      <c r="H393" s="14"/>
      <c r="I393" s="14"/>
      <c r="J393" s="13" t="s">
        <v>12168</v>
      </c>
    </row>
    <row r="394" customFormat="false" ht="15" hidden="false" customHeight="true" outlineLevel="0" collapsed="false">
      <c r="A394" s="10" t="n">
        <v>393</v>
      </c>
      <c r="B394" s="8" t="s">
        <v>10541</v>
      </c>
      <c r="C394" s="10" t="n">
        <f aca="false">COUNTIF(Dataset!$E$2:$E$5001,A394)</f>
        <v>6</v>
      </c>
      <c r="D394" s="13" t="s">
        <v>12167</v>
      </c>
      <c r="E394" s="14" t="s">
        <v>11712</v>
      </c>
      <c r="F394" s="14" t="s">
        <v>11712</v>
      </c>
      <c r="G394" s="14" t="s">
        <v>11712</v>
      </c>
      <c r="H394" s="14"/>
      <c r="I394" s="14"/>
      <c r="J394" s="13" t="s">
        <v>12168</v>
      </c>
    </row>
    <row r="395" customFormat="false" ht="23.25" hidden="false" customHeight="true" outlineLevel="0" collapsed="false">
      <c r="A395" s="10" t="n">
        <v>394</v>
      </c>
      <c r="B395" s="8" t="s">
        <v>10555</v>
      </c>
      <c r="C395" s="10" t="n">
        <f aca="false">COUNTIF(Dataset!$E$2:$E$5001,A395)</f>
        <v>6</v>
      </c>
      <c r="D395" s="13" t="s">
        <v>12167</v>
      </c>
      <c r="E395" s="14" t="s">
        <v>11712</v>
      </c>
      <c r="F395" s="14" t="s">
        <v>11712</v>
      </c>
      <c r="G395" s="14" t="s">
        <v>11712</v>
      </c>
      <c r="H395" s="14"/>
      <c r="I395" s="14"/>
      <c r="J395" s="13" t="s">
        <v>12168</v>
      </c>
    </row>
    <row r="396" customFormat="false" ht="15" hidden="false" customHeight="true" outlineLevel="0" collapsed="false">
      <c r="A396" s="10" t="n">
        <v>395</v>
      </c>
      <c r="B396" s="8" t="s">
        <v>10569</v>
      </c>
      <c r="C396" s="10" t="n">
        <f aca="false">COUNTIF(Dataset!$E$2:$E$5001,A396)</f>
        <v>6</v>
      </c>
      <c r="D396" s="13" t="s">
        <v>12167</v>
      </c>
      <c r="E396" s="14" t="s">
        <v>11712</v>
      </c>
      <c r="F396" s="14" t="s">
        <v>11712</v>
      </c>
      <c r="G396" s="14" t="s">
        <v>11712</v>
      </c>
      <c r="H396" s="14"/>
      <c r="I396" s="14"/>
      <c r="J396" s="13" t="s">
        <v>12168</v>
      </c>
    </row>
    <row r="397" customFormat="false" ht="15" hidden="false" customHeight="true" outlineLevel="0" collapsed="false">
      <c r="A397" s="10" t="n">
        <v>396</v>
      </c>
      <c r="B397" s="8" t="s">
        <v>10583</v>
      </c>
      <c r="C397" s="10" t="n">
        <f aca="false">COUNTIF(Dataset!$E$2:$E$5001,A397)</f>
        <v>6</v>
      </c>
      <c r="D397" s="13" t="s">
        <v>12167</v>
      </c>
      <c r="E397" s="14" t="s">
        <v>11712</v>
      </c>
      <c r="F397" s="14" t="s">
        <v>11712</v>
      </c>
      <c r="G397" s="14" t="s">
        <v>11712</v>
      </c>
      <c r="H397" s="14"/>
      <c r="I397" s="14"/>
      <c r="J397" s="13" t="s">
        <v>12168</v>
      </c>
    </row>
    <row r="398" customFormat="false" ht="15" hidden="false" customHeight="true" outlineLevel="0" collapsed="false">
      <c r="A398" s="10" t="n">
        <v>397</v>
      </c>
      <c r="B398" s="8" t="s">
        <v>10597</v>
      </c>
      <c r="C398" s="10" t="n">
        <f aca="false">COUNTIF(Dataset!$E$2:$E$5001,A398)</f>
        <v>6</v>
      </c>
      <c r="D398" s="13" t="s">
        <v>12167</v>
      </c>
      <c r="E398" s="14" t="s">
        <v>11712</v>
      </c>
      <c r="F398" s="14" t="s">
        <v>11712</v>
      </c>
      <c r="G398" s="14" t="s">
        <v>11712</v>
      </c>
      <c r="H398" s="14"/>
      <c r="I398" s="14"/>
      <c r="J398" s="13" t="s">
        <v>12168</v>
      </c>
    </row>
    <row r="399" customFormat="false" ht="15" hidden="false" customHeight="true" outlineLevel="0" collapsed="false">
      <c r="A399" s="10" t="n">
        <v>398</v>
      </c>
      <c r="B399" s="8" t="s">
        <v>10611</v>
      </c>
      <c r="C399" s="10" t="n">
        <f aca="false">COUNTIF(Dataset!$E$2:$E$5001,A399)</f>
        <v>6</v>
      </c>
      <c r="D399" s="13" t="s">
        <v>12167</v>
      </c>
      <c r="E399" s="14" t="s">
        <v>11712</v>
      </c>
      <c r="F399" s="14" t="s">
        <v>11712</v>
      </c>
      <c r="G399" s="14" t="s">
        <v>11712</v>
      </c>
      <c r="H399" s="14"/>
      <c r="I399" s="14"/>
      <c r="J399" s="13" t="s">
        <v>12168</v>
      </c>
    </row>
    <row r="400" customFormat="false" ht="15" hidden="false" customHeight="true" outlineLevel="0" collapsed="false">
      <c r="A400" s="10" t="n">
        <v>399</v>
      </c>
      <c r="B400" s="8" t="s">
        <v>10625</v>
      </c>
      <c r="C400" s="10" t="n">
        <f aca="false">COUNTIF(Dataset!$E$2:$E$5001,A400)</f>
        <v>6</v>
      </c>
      <c r="D400" s="13" t="s">
        <v>12167</v>
      </c>
      <c r="E400" s="14" t="s">
        <v>11712</v>
      </c>
      <c r="F400" s="14" t="s">
        <v>11712</v>
      </c>
      <c r="G400" s="14" t="s">
        <v>11712</v>
      </c>
      <c r="H400" s="14"/>
      <c r="I400" s="14"/>
      <c r="J400" s="13" t="s">
        <v>12168</v>
      </c>
    </row>
    <row r="401" customFormat="false" ht="15" hidden="false" customHeight="true" outlineLevel="0" collapsed="false">
      <c r="A401" s="10" t="n">
        <v>400</v>
      </c>
      <c r="B401" s="8" t="s">
        <v>10639</v>
      </c>
      <c r="C401" s="10" t="n">
        <f aca="false">COUNTIF(Dataset!$E$2:$E$5001,A401)</f>
        <v>6</v>
      </c>
      <c r="D401" s="13" t="s">
        <v>12167</v>
      </c>
      <c r="E401" s="14" t="s">
        <v>11712</v>
      </c>
      <c r="F401" s="14" t="s">
        <v>11712</v>
      </c>
      <c r="G401" s="14" t="s">
        <v>11712</v>
      </c>
      <c r="H401" s="14"/>
      <c r="I401" s="14"/>
      <c r="J401" s="13" t="s">
        <v>12168</v>
      </c>
    </row>
    <row r="402" customFormat="false" ht="23.25" hidden="false" customHeight="true" outlineLevel="0" collapsed="false">
      <c r="A402" s="10" t="n">
        <v>401</v>
      </c>
      <c r="B402" s="8" t="s">
        <v>10653</v>
      </c>
      <c r="C402" s="10" t="n">
        <f aca="false">COUNTIF(Dataset!$E$2:$E$5001,A402)</f>
        <v>6</v>
      </c>
      <c r="D402" s="13" t="s">
        <v>12167</v>
      </c>
      <c r="E402" s="14" t="s">
        <v>11712</v>
      </c>
      <c r="F402" s="14" t="s">
        <v>11712</v>
      </c>
      <c r="G402" s="14" t="s">
        <v>11712</v>
      </c>
      <c r="H402" s="14"/>
      <c r="I402" s="14"/>
      <c r="J402" s="13" t="s">
        <v>12168</v>
      </c>
    </row>
    <row r="403" customFormat="false" ht="15" hidden="false" customHeight="true" outlineLevel="0" collapsed="false">
      <c r="A403" s="10" t="n">
        <v>402</v>
      </c>
      <c r="B403" s="8" t="s">
        <v>10667</v>
      </c>
      <c r="C403" s="10" t="n">
        <f aca="false">COUNTIF(Dataset!$E$2:$E$5001,A403)</f>
        <v>6</v>
      </c>
      <c r="D403" s="13" t="s">
        <v>12167</v>
      </c>
      <c r="E403" s="14" t="s">
        <v>11712</v>
      </c>
      <c r="F403" s="14" t="s">
        <v>11712</v>
      </c>
      <c r="G403" s="14" t="s">
        <v>11712</v>
      </c>
      <c r="H403" s="14"/>
      <c r="I403" s="14"/>
      <c r="J403" s="13" t="s">
        <v>12168</v>
      </c>
    </row>
    <row r="404" customFormat="false" ht="15" hidden="false" customHeight="true" outlineLevel="0" collapsed="false">
      <c r="A404" s="10" t="n">
        <v>403</v>
      </c>
      <c r="B404" s="8" t="s">
        <v>10681</v>
      </c>
      <c r="C404" s="10" t="n">
        <f aca="false">COUNTIF(Dataset!$E$2:$E$5001,A404)</f>
        <v>6</v>
      </c>
      <c r="D404" s="13" t="s">
        <v>12167</v>
      </c>
      <c r="E404" s="14" t="s">
        <v>11712</v>
      </c>
      <c r="F404" s="14" t="s">
        <v>11712</v>
      </c>
      <c r="G404" s="14" t="s">
        <v>11712</v>
      </c>
      <c r="H404" s="14"/>
      <c r="I404" s="14"/>
      <c r="J404" s="13" t="s">
        <v>12168</v>
      </c>
    </row>
    <row r="405" customFormat="false" ht="23.25" hidden="false" customHeight="true" outlineLevel="0" collapsed="false">
      <c r="A405" s="10" t="n">
        <v>404</v>
      </c>
      <c r="B405" s="8" t="s">
        <v>10695</v>
      </c>
      <c r="C405" s="10" t="n">
        <f aca="false">COUNTIF(Dataset!$E$2:$E$5001,A405)</f>
        <v>6</v>
      </c>
      <c r="D405" s="13" t="s">
        <v>12167</v>
      </c>
      <c r="E405" s="14" t="s">
        <v>11712</v>
      </c>
      <c r="F405" s="14" t="s">
        <v>11712</v>
      </c>
      <c r="G405" s="14" t="s">
        <v>11712</v>
      </c>
      <c r="H405" s="14"/>
      <c r="I405" s="14"/>
      <c r="J405" s="13" t="s">
        <v>12168</v>
      </c>
    </row>
    <row r="406" customFormat="false" ht="15" hidden="false" customHeight="true" outlineLevel="0" collapsed="false">
      <c r="A406" s="10" t="n">
        <v>405</v>
      </c>
      <c r="B406" s="8" t="s">
        <v>10709</v>
      </c>
      <c r="C406" s="10" t="n">
        <f aca="false">COUNTIF(Dataset!$E$2:$E$5001,A406)</f>
        <v>6</v>
      </c>
      <c r="D406" s="13" t="s">
        <v>12167</v>
      </c>
      <c r="E406" s="14" t="s">
        <v>11712</v>
      </c>
      <c r="F406" s="14" t="s">
        <v>11712</v>
      </c>
      <c r="G406" s="14" t="s">
        <v>11712</v>
      </c>
      <c r="H406" s="14"/>
      <c r="I406" s="14"/>
      <c r="J406" s="13" t="s">
        <v>12168</v>
      </c>
    </row>
    <row r="407" customFormat="false" ht="23.25" hidden="false" customHeight="true" outlineLevel="0" collapsed="false">
      <c r="A407" s="10" t="n">
        <v>406</v>
      </c>
      <c r="B407" s="8" t="s">
        <v>10723</v>
      </c>
      <c r="C407" s="10" t="n">
        <f aca="false">COUNTIF(Dataset!$E$2:$E$5001,A407)</f>
        <v>6</v>
      </c>
      <c r="D407" s="13" t="s">
        <v>12167</v>
      </c>
      <c r="E407" s="14" t="s">
        <v>11712</v>
      </c>
      <c r="F407" s="14" t="s">
        <v>11712</v>
      </c>
      <c r="G407" s="14" t="s">
        <v>11712</v>
      </c>
      <c r="H407" s="14"/>
      <c r="I407" s="14"/>
      <c r="J407" s="13" t="s">
        <v>12168</v>
      </c>
    </row>
    <row r="408" customFormat="false" ht="23.25" hidden="false" customHeight="true" outlineLevel="0" collapsed="false">
      <c r="A408" s="10" t="n">
        <v>407</v>
      </c>
      <c r="B408" s="8" t="s">
        <v>10737</v>
      </c>
      <c r="C408" s="10" t="n">
        <f aca="false">COUNTIF(Dataset!$E$2:$E$5001,A408)</f>
        <v>6</v>
      </c>
      <c r="D408" s="13" t="s">
        <v>12167</v>
      </c>
      <c r="E408" s="14" t="s">
        <v>11712</v>
      </c>
      <c r="F408" s="14" t="s">
        <v>11712</v>
      </c>
      <c r="G408" s="14" t="s">
        <v>11712</v>
      </c>
      <c r="H408" s="14"/>
      <c r="I408" s="14"/>
      <c r="J408" s="13" t="s">
        <v>12168</v>
      </c>
    </row>
    <row r="409" customFormat="false" ht="23.25" hidden="false" customHeight="true" outlineLevel="0" collapsed="false">
      <c r="A409" s="10" t="n">
        <v>408</v>
      </c>
      <c r="B409" s="8" t="s">
        <v>10751</v>
      </c>
      <c r="C409" s="10" t="n">
        <f aca="false">COUNTIF(Dataset!$E$2:$E$5001,A409)</f>
        <v>6</v>
      </c>
      <c r="D409" s="13" t="s">
        <v>12167</v>
      </c>
      <c r="E409" s="14" t="s">
        <v>11712</v>
      </c>
      <c r="F409" s="14" t="s">
        <v>11712</v>
      </c>
      <c r="G409" s="14" t="s">
        <v>11712</v>
      </c>
      <c r="H409" s="14"/>
      <c r="I409" s="14"/>
      <c r="J409" s="13" t="s">
        <v>12168</v>
      </c>
    </row>
    <row r="410" customFormat="false" ht="23.25" hidden="false" customHeight="true" outlineLevel="0" collapsed="false">
      <c r="A410" s="10" t="n">
        <v>409</v>
      </c>
      <c r="B410" s="8" t="s">
        <v>10765</v>
      </c>
      <c r="C410" s="10" t="n">
        <f aca="false">COUNTIF(Dataset!$E$2:$E$5001,A410)</f>
        <v>6</v>
      </c>
      <c r="D410" s="13" t="s">
        <v>12167</v>
      </c>
      <c r="E410" s="14" t="s">
        <v>11712</v>
      </c>
      <c r="F410" s="14" t="s">
        <v>11712</v>
      </c>
      <c r="G410" s="14" t="s">
        <v>11712</v>
      </c>
      <c r="H410" s="14"/>
      <c r="I410" s="14"/>
      <c r="J410" s="13" t="s">
        <v>12168</v>
      </c>
    </row>
    <row r="411" customFormat="false" ht="23.25" hidden="false" customHeight="true" outlineLevel="0" collapsed="false">
      <c r="A411" s="10" t="n">
        <v>410</v>
      </c>
      <c r="B411" s="8" t="s">
        <v>10779</v>
      </c>
      <c r="C411" s="10" t="n">
        <f aca="false">COUNTIF(Dataset!$E$2:$E$5001,A411)</f>
        <v>6</v>
      </c>
      <c r="D411" s="13" t="s">
        <v>12167</v>
      </c>
      <c r="E411" s="14" t="s">
        <v>11712</v>
      </c>
      <c r="F411" s="14" t="s">
        <v>11712</v>
      </c>
      <c r="G411" s="14" t="s">
        <v>11712</v>
      </c>
      <c r="H411" s="14"/>
      <c r="I411" s="14"/>
      <c r="J411" s="13" t="s">
        <v>12168</v>
      </c>
    </row>
    <row r="412" customFormat="false" ht="15" hidden="false" customHeight="true" outlineLevel="0" collapsed="false">
      <c r="A412" s="10" t="n">
        <v>411</v>
      </c>
      <c r="B412" s="8" t="s">
        <v>10793</v>
      </c>
      <c r="C412" s="10" t="n">
        <f aca="false">COUNTIF(Dataset!$E$2:$E$5001,A412)</f>
        <v>6</v>
      </c>
      <c r="D412" s="13" t="s">
        <v>12167</v>
      </c>
      <c r="E412" s="14" t="s">
        <v>11712</v>
      </c>
      <c r="F412" s="14" t="s">
        <v>11712</v>
      </c>
      <c r="G412" s="14" t="s">
        <v>11712</v>
      </c>
      <c r="H412" s="14"/>
      <c r="I412" s="14"/>
      <c r="J412" s="13" t="s">
        <v>12168</v>
      </c>
    </row>
    <row r="413" customFormat="false" ht="23.25" hidden="false" customHeight="true" outlineLevel="0" collapsed="false">
      <c r="A413" s="10" t="n">
        <v>412</v>
      </c>
      <c r="B413" s="8" t="s">
        <v>10807</v>
      </c>
      <c r="C413" s="10" t="n">
        <f aca="false">COUNTIF(Dataset!$E$2:$E$5001,A413)</f>
        <v>6</v>
      </c>
      <c r="D413" s="13" t="s">
        <v>12167</v>
      </c>
      <c r="E413" s="14" t="s">
        <v>11712</v>
      </c>
      <c r="F413" s="14" t="s">
        <v>11712</v>
      </c>
      <c r="G413" s="14" t="s">
        <v>11712</v>
      </c>
      <c r="H413" s="14"/>
      <c r="I413" s="14"/>
      <c r="J413" s="13" t="s">
        <v>12168</v>
      </c>
    </row>
    <row r="414" customFormat="false" ht="15" hidden="false" customHeight="true" outlineLevel="0" collapsed="false">
      <c r="A414" s="10" t="n">
        <v>413</v>
      </c>
      <c r="B414" s="8" t="s">
        <v>10821</v>
      </c>
      <c r="C414" s="10" t="n">
        <f aca="false">COUNTIF(Dataset!$E$2:$E$5001,A414)</f>
        <v>6</v>
      </c>
      <c r="D414" s="13" t="s">
        <v>12167</v>
      </c>
      <c r="E414" s="14" t="s">
        <v>11712</v>
      </c>
      <c r="F414" s="14" t="s">
        <v>11712</v>
      </c>
      <c r="G414" s="14" t="s">
        <v>11712</v>
      </c>
      <c r="H414" s="14"/>
      <c r="I414" s="14"/>
      <c r="J414" s="13" t="s">
        <v>12168</v>
      </c>
    </row>
    <row r="415" customFormat="false" ht="23.25" hidden="false" customHeight="true" outlineLevel="0" collapsed="false">
      <c r="A415" s="10" t="n">
        <v>414</v>
      </c>
      <c r="B415" s="8" t="s">
        <v>10835</v>
      </c>
      <c r="C415" s="10" t="n">
        <f aca="false">COUNTIF(Dataset!$E$2:$E$5001,A415)</f>
        <v>6</v>
      </c>
      <c r="D415" s="13" t="s">
        <v>12167</v>
      </c>
      <c r="E415" s="14" t="s">
        <v>11712</v>
      </c>
      <c r="F415" s="14" t="s">
        <v>11712</v>
      </c>
      <c r="G415" s="14" t="s">
        <v>11712</v>
      </c>
      <c r="H415" s="14"/>
      <c r="I415" s="14"/>
      <c r="J415" s="13" t="s">
        <v>12168</v>
      </c>
    </row>
    <row r="416" customFormat="false" ht="15" hidden="false" customHeight="true" outlineLevel="0" collapsed="false">
      <c r="A416" s="10" t="n">
        <v>415</v>
      </c>
      <c r="B416" s="8" t="s">
        <v>10849</v>
      </c>
      <c r="C416" s="10" t="n">
        <f aca="false">COUNTIF(Dataset!$E$2:$E$5001,A416)</f>
        <v>6</v>
      </c>
      <c r="D416" s="13" t="s">
        <v>12167</v>
      </c>
      <c r="E416" s="14" t="s">
        <v>11712</v>
      </c>
      <c r="F416" s="14" t="s">
        <v>11712</v>
      </c>
      <c r="G416" s="14" t="s">
        <v>11712</v>
      </c>
      <c r="H416" s="14"/>
      <c r="I416" s="14"/>
      <c r="J416" s="13" t="s">
        <v>12168</v>
      </c>
    </row>
    <row r="417" customFormat="false" ht="15" hidden="false" customHeight="true" outlineLevel="0" collapsed="false">
      <c r="A417" s="10" t="n">
        <v>416</v>
      </c>
      <c r="B417" s="8" t="s">
        <v>10863</v>
      </c>
      <c r="C417" s="10" t="n">
        <f aca="false">COUNTIF(Dataset!$E$2:$E$5001,A417)</f>
        <v>6</v>
      </c>
      <c r="D417" s="13" t="s">
        <v>12167</v>
      </c>
      <c r="E417" s="14" t="s">
        <v>11712</v>
      </c>
      <c r="F417" s="14" t="s">
        <v>11712</v>
      </c>
      <c r="G417" s="14" t="s">
        <v>11712</v>
      </c>
      <c r="H417" s="14"/>
      <c r="I417" s="14"/>
      <c r="J417" s="13" t="s">
        <v>12168</v>
      </c>
    </row>
    <row r="418" customFormat="false" ht="15" hidden="false" customHeight="true" outlineLevel="0" collapsed="false">
      <c r="A418" s="10" t="n">
        <v>417</v>
      </c>
      <c r="B418" s="8" t="s">
        <v>10877</v>
      </c>
      <c r="C418" s="10" t="n">
        <f aca="false">COUNTIF(Dataset!$E$2:$E$5001,A418)</f>
        <v>6</v>
      </c>
      <c r="D418" s="13" t="s">
        <v>12167</v>
      </c>
      <c r="E418" s="14" t="s">
        <v>11712</v>
      </c>
      <c r="F418" s="14" t="s">
        <v>11712</v>
      </c>
      <c r="G418" s="14" t="s">
        <v>11712</v>
      </c>
      <c r="H418" s="14"/>
      <c r="I418" s="14"/>
      <c r="J418" s="13" t="s">
        <v>12168</v>
      </c>
    </row>
    <row r="419" customFormat="false" ht="15" hidden="false" customHeight="true" outlineLevel="0" collapsed="false">
      <c r="A419" s="10" t="n">
        <v>418</v>
      </c>
      <c r="B419" s="8" t="s">
        <v>10891</v>
      </c>
      <c r="C419" s="10" t="n">
        <f aca="false">COUNTIF(Dataset!$E$2:$E$5001,A419)</f>
        <v>6</v>
      </c>
      <c r="D419" s="13" t="s">
        <v>12167</v>
      </c>
      <c r="E419" s="14" t="s">
        <v>11712</v>
      </c>
      <c r="F419" s="14" t="s">
        <v>11712</v>
      </c>
      <c r="G419" s="14" t="s">
        <v>11712</v>
      </c>
      <c r="H419" s="14"/>
      <c r="I419" s="14"/>
      <c r="J419" s="13" t="s">
        <v>12168</v>
      </c>
    </row>
    <row r="420" customFormat="false" ht="15" hidden="false" customHeight="true" outlineLevel="0" collapsed="false">
      <c r="A420" s="10" t="n">
        <v>419</v>
      </c>
      <c r="B420" s="8" t="s">
        <v>10905</v>
      </c>
      <c r="C420" s="10" t="n">
        <f aca="false">COUNTIF(Dataset!$E$2:$E$5001,A420)</f>
        <v>6</v>
      </c>
      <c r="D420" s="13" t="s">
        <v>12167</v>
      </c>
      <c r="E420" s="14" t="s">
        <v>11712</v>
      </c>
      <c r="F420" s="14" t="s">
        <v>11712</v>
      </c>
      <c r="G420" s="14" t="s">
        <v>11712</v>
      </c>
      <c r="H420" s="14"/>
      <c r="I420" s="14"/>
      <c r="J420" s="13" t="s">
        <v>12168</v>
      </c>
    </row>
    <row r="421" customFormat="false" ht="23.25" hidden="false" customHeight="true" outlineLevel="0" collapsed="false">
      <c r="A421" s="10" t="n">
        <v>420</v>
      </c>
      <c r="B421" s="8" t="s">
        <v>10919</v>
      </c>
      <c r="C421" s="10" t="n">
        <f aca="false">COUNTIF(Dataset!$E$2:$E$5001,A421)</f>
        <v>6</v>
      </c>
      <c r="D421" s="13" t="s">
        <v>12167</v>
      </c>
      <c r="E421" s="14" t="s">
        <v>11712</v>
      </c>
      <c r="F421" s="14" t="s">
        <v>11712</v>
      </c>
      <c r="G421" s="14" t="s">
        <v>11712</v>
      </c>
      <c r="H421" s="14"/>
      <c r="I421" s="14"/>
      <c r="J421" s="13" t="s">
        <v>12168</v>
      </c>
    </row>
    <row r="422" customFormat="false" ht="15" hidden="false" customHeight="true" outlineLevel="0" collapsed="false">
      <c r="A422" s="10" t="n">
        <v>421</v>
      </c>
      <c r="B422" s="8" t="s">
        <v>10933</v>
      </c>
      <c r="C422" s="10" t="n">
        <f aca="false">COUNTIF(Dataset!$E$2:$E$5001,A422)</f>
        <v>6</v>
      </c>
      <c r="D422" s="13" t="s">
        <v>12167</v>
      </c>
      <c r="E422" s="14" t="s">
        <v>11712</v>
      </c>
      <c r="F422" s="14" t="s">
        <v>11712</v>
      </c>
      <c r="G422" s="14" t="s">
        <v>11712</v>
      </c>
      <c r="H422" s="14"/>
      <c r="I422" s="14"/>
      <c r="J422" s="13" t="s">
        <v>12168</v>
      </c>
    </row>
    <row r="423" customFormat="false" ht="15" hidden="false" customHeight="true" outlineLevel="0" collapsed="false">
      <c r="A423" s="10" t="n">
        <v>422</v>
      </c>
      <c r="B423" s="8" t="s">
        <v>10947</v>
      </c>
      <c r="C423" s="10" t="n">
        <f aca="false">COUNTIF(Dataset!$E$2:$E$5001,A423)</f>
        <v>6</v>
      </c>
      <c r="D423" s="13" t="s">
        <v>12167</v>
      </c>
      <c r="E423" s="14" t="s">
        <v>11712</v>
      </c>
      <c r="F423" s="14" t="s">
        <v>11712</v>
      </c>
      <c r="G423" s="14" t="s">
        <v>11712</v>
      </c>
      <c r="H423" s="14"/>
      <c r="I423" s="14"/>
      <c r="J423" s="13" t="s">
        <v>12168</v>
      </c>
    </row>
    <row r="424" customFormat="false" ht="15" hidden="false" customHeight="true" outlineLevel="0" collapsed="false">
      <c r="A424" s="10" t="n">
        <v>423</v>
      </c>
      <c r="B424" s="8" t="s">
        <v>10961</v>
      </c>
      <c r="C424" s="10" t="n">
        <f aca="false">COUNTIF(Dataset!$E$2:$E$5001,A424)</f>
        <v>6</v>
      </c>
      <c r="D424" s="13" t="s">
        <v>12167</v>
      </c>
      <c r="E424" s="14" t="s">
        <v>11712</v>
      </c>
      <c r="F424" s="14" t="s">
        <v>11712</v>
      </c>
      <c r="G424" s="14" t="s">
        <v>11712</v>
      </c>
      <c r="H424" s="14"/>
      <c r="I424" s="14"/>
      <c r="J424" s="13" t="s">
        <v>12168</v>
      </c>
    </row>
    <row r="425" customFormat="false" ht="15" hidden="false" customHeight="true" outlineLevel="0" collapsed="false">
      <c r="A425" s="10" t="n">
        <v>424</v>
      </c>
      <c r="B425" s="8" t="s">
        <v>10975</v>
      </c>
      <c r="C425" s="10" t="n">
        <f aca="false">COUNTIF(Dataset!$E$2:$E$5001,A425)</f>
        <v>6</v>
      </c>
      <c r="D425" s="13" t="s">
        <v>12167</v>
      </c>
      <c r="E425" s="14" t="s">
        <v>11712</v>
      </c>
      <c r="F425" s="14" t="s">
        <v>11712</v>
      </c>
      <c r="G425" s="14" t="s">
        <v>11712</v>
      </c>
      <c r="H425" s="14"/>
      <c r="I425" s="14"/>
      <c r="J425" s="13" t="s">
        <v>12168</v>
      </c>
    </row>
    <row r="426" customFormat="false" ht="15" hidden="false" customHeight="true" outlineLevel="0" collapsed="false">
      <c r="A426" s="10" t="n">
        <v>425</v>
      </c>
      <c r="B426" s="8" t="s">
        <v>10989</v>
      </c>
      <c r="C426" s="10" t="n">
        <f aca="false">COUNTIF(Dataset!$E$2:$E$5001,A426)</f>
        <v>6</v>
      </c>
      <c r="D426" s="13" t="s">
        <v>12167</v>
      </c>
      <c r="E426" s="14" t="s">
        <v>11712</v>
      </c>
      <c r="F426" s="14" t="s">
        <v>11712</v>
      </c>
      <c r="G426" s="14" t="s">
        <v>11712</v>
      </c>
      <c r="H426" s="14"/>
      <c r="I426" s="14"/>
      <c r="J426" s="13" t="s">
        <v>12168</v>
      </c>
    </row>
    <row r="427" customFormat="false" ht="23.25" hidden="false" customHeight="true" outlineLevel="0" collapsed="false">
      <c r="A427" s="10" t="n">
        <v>426</v>
      </c>
      <c r="B427" s="8" t="s">
        <v>11003</v>
      </c>
      <c r="C427" s="10" t="n">
        <f aca="false">COUNTIF(Dataset!$E$2:$E$5001,A427)</f>
        <v>6</v>
      </c>
      <c r="D427" s="13" t="s">
        <v>12167</v>
      </c>
      <c r="E427" s="14" t="s">
        <v>11712</v>
      </c>
      <c r="F427" s="14" t="s">
        <v>11712</v>
      </c>
      <c r="G427" s="14" t="s">
        <v>11712</v>
      </c>
      <c r="H427" s="14"/>
      <c r="I427" s="14"/>
      <c r="J427" s="13" t="s">
        <v>12168</v>
      </c>
    </row>
    <row r="428" customFormat="false" ht="15" hidden="false" customHeight="true" outlineLevel="0" collapsed="false">
      <c r="A428" s="10" t="n">
        <v>427</v>
      </c>
      <c r="B428" s="8" t="s">
        <v>11017</v>
      </c>
      <c r="C428" s="10" t="n">
        <f aca="false">COUNTIF(Dataset!$E$2:$E$5001,A428)</f>
        <v>6</v>
      </c>
      <c r="D428" s="13" t="s">
        <v>12167</v>
      </c>
      <c r="E428" s="14" t="s">
        <v>11712</v>
      </c>
      <c r="F428" s="14" t="s">
        <v>11712</v>
      </c>
      <c r="G428" s="14" t="s">
        <v>11712</v>
      </c>
      <c r="H428" s="14"/>
      <c r="I428" s="14"/>
      <c r="J428" s="13" t="s">
        <v>12168</v>
      </c>
    </row>
    <row r="429" customFormat="false" ht="15" hidden="false" customHeight="true" outlineLevel="0" collapsed="false">
      <c r="A429" s="10" t="n">
        <v>428</v>
      </c>
      <c r="B429" s="8" t="s">
        <v>11031</v>
      </c>
      <c r="C429" s="10" t="n">
        <f aca="false">COUNTIF(Dataset!$E$2:$E$5001,A429)</f>
        <v>6</v>
      </c>
      <c r="D429" s="13" t="s">
        <v>12167</v>
      </c>
      <c r="E429" s="14" t="s">
        <v>11712</v>
      </c>
      <c r="F429" s="14" t="s">
        <v>11712</v>
      </c>
      <c r="G429" s="14" t="s">
        <v>11712</v>
      </c>
      <c r="H429" s="14"/>
      <c r="I429" s="14"/>
      <c r="J429" s="13" t="s">
        <v>12168</v>
      </c>
    </row>
    <row r="430" customFormat="false" ht="23.25" hidden="false" customHeight="true" outlineLevel="0" collapsed="false">
      <c r="A430" s="10" t="n">
        <v>429</v>
      </c>
      <c r="B430" s="8" t="s">
        <v>11045</v>
      </c>
      <c r="C430" s="10" t="n">
        <f aca="false">COUNTIF(Dataset!$E$2:$E$5001,A430)</f>
        <v>6</v>
      </c>
      <c r="D430" s="13" t="s">
        <v>12167</v>
      </c>
      <c r="E430" s="14" t="s">
        <v>11712</v>
      </c>
      <c r="F430" s="14" t="s">
        <v>11712</v>
      </c>
      <c r="G430" s="14" t="s">
        <v>11712</v>
      </c>
      <c r="H430" s="14"/>
      <c r="I430" s="14"/>
      <c r="J430" s="13" t="s">
        <v>12168</v>
      </c>
    </row>
    <row r="431" customFormat="false" ht="23.25" hidden="false" customHeight="true" outlineLevel="0" collapsed="false">
      <c r="A431" s="10" t="n">
        <v>430</v>
      </c>
      <c r="B431" s="8" t="s">
        <v>11059</v>
      </c>
      <c r="C431" s="10" t="n">
        <f aca="false">COUNTIF(Dataset!$E$2:$E$5001,A431)</f>
        <v>6</v>
      </c>
      <c r="D431" s="13" t="s">
        <v>12167</v>
      </c>
      <c r="E431" s="14" t="s">
        <v>11712</v>
      </c>
      <c r="F431" s="14" t="s">
        <v>11712</v>
      </c>
      <c r="G431" s="14" t="s">
        <v>11712</v>
      </c>
      <c r="H431" s="14"/>
      <c r="I431" s="14"/>
      <c r="J431" s="13" t="s">
        <v>12168</v>
      </c>
    </row>
    <row r="432" customFormat="false" ht="15" hidden="false" customHeight="true" outlineLevel="0" collapsed="false">
      <c r="A432" s="10" t="n">
        <v>431</v>
      </c>
      <c r="B432" s="8" t="s">
        <v>11073</v>
      </c>
      <c r="C432" s="10" t="n">
        <f aca="false">COUNTIF(Dataset!$E$2:$E$5001,A432)</f>
        <v>6</v>
      </c>
      <c r="D432" s="13" t="s">
        <v>12167</v>
      </c>
      <c r="E432" s="14" t="s">
        <v>11712</v>
      </c>
      <c r="F432" s="14" t="s">
        <v>11712</v>
      </c>
      <c r="G432" s="14" t="s">
        <v>11712</v>
      </c>
      <c r="H432" s="14"/>
      <c r="I432" s="14"/>
      <c r="J432" s="13" t="s">
        <v>12168</v>
      </c>
    </row>
    <row r="433" customFormat="false" ht="23.25" hidden="false" customHeight="true" outlineLevel="0" collapsed="false">
      <c r="A433" s="10" t="n">
        <v>432</v>
      </c>
      <c r="B433" s="8" t="s">
        <v>11087</v>
      </c>
      <c r="C433" s="10" t="n">
        <f aca="false">COUNTIF(Dataset!$E$2:$E$5001,A433)</f>
        <v>6</v>
      </c>
      <c r="D433" s="13" t="s">
        <v>12167</v>
      </c>
      <c r="E433" s="14" t="s">
        <v>11712</v>
      </c>
      <c r="F433" s="14" t="s">
        <v>11712</v>
      </c>
      <c r="G433" s="14" t="s">
        <v>11712</v>
      </c>
      <c r="H433" s="14"/>
      <c r="I433" s="14"/>
      <c r="J433" s="13" t="s">
        <v>12168</v>
      </c>
    </row>
    <row r="434" customFormat="false" ht="23.25" hidden="false" customHeight="true" outlineLevel="0" collapsed="false">
      <c r="A434" s="10" t="n">
        <v>433</v>
      </c>
      <c r="B434" s="8" t="s">
        <v>11101</v>
      </c>
      <c r="C434" s="10" t="n">
        <f aca="false">COUNTIF(Dataset!$E$2:$E$5001,A434)</f>
        <v>6</v>
      </c>
      <c r="D434" s="13" t="s">
        <v>12167</v>
      </c>
      <c r="E434" s="14" t="s">
        <v>11712</v>
      </c>
      <c r="F434" s="14" t="s">
        <v>11712</v>
      </c>
      <c r="G434" s="14" t="s">
        <v>11712</v>
      </c>
      <c r="H434" s="14"/>
      <c r="I434" s="14"/>
      <c r="J434" s="13" t="s">
        <v>12168</v>
      </c>
    </row>
    <row r="435" customFormat="false" ht="15" hidden="false" customHeight="true" outlineLevel="0" collapsed="false">
      <c r="A435" s="10" t="n">
        <v>434</v>
      </c>
      <c r="B435" s="8" t="s">
        <v>11115</v>
      </c>
      <c r="C435" s="10" t="n">
        <f aca="false">COUNTIF(Dataset!$E$2:$E$5001,A435)</f>
        <v>6</v>
      </c>
      <c r="D435" s="13" t="s">
        <v>12167</v>
      </c>
      <c r="E435" s="14" t="s">
        <v>11712</v>
      </c>
      <c r="F435" s="14" t="s">
        <v>11712</v>
      </c>
      <c r="G435" s="14" t="s">
        <v>11712</v>
      </c>
      <c r="H435" s="14"/>
      <c r="I435" s="14"/>
      <c r="J435" s="13" t="s">
        <v>12168</v>
      </c>
    </row>
    <row r="436" customFormat="false" ht="15" hidden="false" customHeight="true" outlineLevel="0" collapsed="false">
      <c r="A436" s="10" t="n">
        <v>435</v>
      </c>
      <c r="B436" s="8" t="s">
        <v>11129</v>
      </c>
      <c r="C436" s="10" t="n">
        <f aca="false">COUNTIF(Dataset!$E$2:$E$5001,A436)</f>
        <v>6</v>
      </c>
      <c r="D436" s="13" t="s">
        <v>12167</v>
      </c>
      <c r="E436" s="14" t="s">
        <v>11712</v>
      </c>
      <c r="F436" s="14" t="s">
        <v>11712</v>
      </c>
      <c r="G436" s="14" t="s">
        <v>11712</v>
      </c>
      <c r="H436" s="14"/>
      <c r="I436" s="14"/>
      <c r="J436" s="13" t="s">
        <v>12168</v>
      </c>
    </row>
    <row r="437" customFormat="false" ht="15" hidden="false" customHeight="true" outlineLevel="0" collapsed="false">
      <c r="A437" s="10" t="n">
        <v>436</v>
      </c>
      <c r="B437" s="8" t="s">
        <v>11143</v>
      </c>
      <c r="C437" s="10" t="n">
        <f aca="false">COUNTIF(Dataset!$E$2:$E$5001,A437)</f>
        <v>6</v>
      </c>
      <c r="D437" s="13" t="s">
        <v>12167</v>
      </c>
      <c r="E437" s="14" t="s">
        <v>11712</v>
      </c>
      <c r="F437" s="14" t="s">
        <v>11712</v>
      </c>
      <c r="G437" s="14" t="s">
        <v>11712</v>
      </c>
      <c r="H437" s="14"/>
      <c r="I437" s="14"/>
      <c r="J437" s="13" t="s">
        <v>12168</v>
      </c>
    </row>
    <row r="438" customFormat="false" ht="15" hidden="false" customHeight="true" outlineLevel="0" collapsed="false">
      <c r="A438" s="10" t="n">
        <v>437</v>
      </c>
      <c r="B438" s="8" t="s">
        <v>11157</v>
      </c>
      <c r="C438" s="10" t="n">
        <f aca="false">COUNTIF(Dataset!$E$2:$E$5001,A438)</f>
        <v>6</v>
      </c>
      <c r="D438" s="13" t="s">
        <v>12167</v>
      </c>
      <c r="E438" s="14" t="s">
        <v>11712</v>
      </c>
      <c r="F438" s="14" t="s">
        <v>11712</v>
      </c>
      <c r="G438" s="14" t="s">
        <v>11712</v>
      </c>
      <c r="H438" s="14"/>
      <c r="I438" s="14"/>
      <c r="J438" s="13" t="s">
        <v>12168</v>
      </c>
    </row>
    <row r="439" customFormat="false" ht="15" hidden="false" customHeight="true" outlineLevel="0" collapsed="false">
      <c r="A439" s="10" t="n">
        <v>438</v>
      </c>
      <c r="B439" s="8" t="s">
        <v>11171</v>
      </c>
      <c r="C439" s="10" t="n">
        <f aca="false">COUNTIF(Dataset!$E$2:$E$5001,A439)</f>
        <v>6</v>
      </c>
      <c r="D439" s="13" t="s">
        <v>12167</v>
      </c>
      <c r="E439" s="14" t="s">
        <v>11712</v>
      </c>
      <c r="F439" s="14" t="s">
        <v>11712</v>
      </c>
      <c r="G439" s="14" t="s">
        <v>11712</v>
      </c>
      <c r="H439" s="14"/>
      <c r="I439" s="14"/>
      <c r="J439" s="13" t="s">
        <v>12168</v>
      </c>
    </row>
    <row r="440" customFormat="false" ht="15" hidden="false" customHeight="true" outlineLevel="0" collapsed="false">
      <c r="A440" s="10" t="n">
        <v>439</v>
      </c>
      <c r="B440" s="8" t="s">
        <v>11185</v>
      </c>
      <c r="C440" s="10" t="n">
        <f aca="false">COUNTIF(Dataset!$E$2:$E$5001,A440)</f>
        <v>6</v>
      </c>
      <c r="D440" s="13" t="s">
        <v>12167</v>
      </c>
      <c r="E440" s="14" t="s">
        <v>11712</v>
      </c>
      <c r="F440" s="14" t="s">
        <v>11712</v>
      </c>
      <c r="G440" s="14" t="s">
        <v>11712</v>
      </c>
      <c r="H440" s="14"/>
      <c r="I440" s="14"/>
      <c r="J440" s="13" t="s">
        <v>12168</v>
      </c>
    </row>
    <row r="441" customFormat="false" ht="15" hidden="false" customHeight="true" outlineLevel="0" collapsed="false">
      <c r="A441" s="10" t="n">
        <v>440</v>
      </c>
      <c r="B441" s="8" t="s">
        <v>11199</v>
      </c>
      <c r="C441" s="10" t="n">
        <f aca="false">COUNTIF(Dataset!$E$2:$E$5001,A441)</f>
        <v>6</v>
      </c>
      <c r="D441" s="13" t="s">
        <v>12167</v>
      </c>
      <c r="E441" s="14" t="s">
        <v>11712</v>
      </c>
      <c r="F441" s="14" t="s">
        <v>11712</v>
      </c>
      <c r="G441" s="14" t="s">
        <v>11712</v>
      </c>
      <c r="H441" s="14"/>
      <c r="I441" s="14"/>
      <c r="J441" s="13" t="s">
        <v>12168</v>
      </c>
    </row>
    <row r="442" customFormat="false" ht="15" hidden="false" customHeight="true" outlineLevel="0" collapsed="false">
      <c r="A442" s="10" t="n">
        <v>441</v>
      </c>
      <c r="B442" s="8" t="s">
        <v>11213</v>
      </c>
      <c r="C442" s="10" t="n">
        <f aca="false">COUNTIF(Dataset!$E$2:$E$5001,A442)</f>
        <v>6</v>
      </c>
      <c r="D442" s="13" t="s">
        <v>12167</v>
      </c>
      <c r="E442" s="14" t="s">
        <v>11712</v>
      </c>
      <c r="F442" s="14" t="s">
        <v>11712</v>
      </c>
      <c r="G442" s="14" t="s">
        <v>11712</v>
      </c>
      <c r="H442" s="14"/>
      <c r="I442" s="14"/>
      <c r="J442" s="13" t="s">
        <v>12168</v>
      </c>
    </row>
    <row r="443" customFormat="false" ht="15" hidden="false" customHeight="true" outlineLevel="0" collapsed="false">
      <c r="A443" s="10" t="n">
        <v>442</v>
      </c>
      <c r="B443" s="8" t="s">
        <v>11227</v>
      </c>
      <c r="C443" s="10" t="n">
        <f aca="false">COUNTIF(Dataset!$E$2:$E$5001,A443)</f>
        <v>6</v>
      </c>
      <c r="D443" s="13" t="s">
        <v>12167</v>
      </c>
      <c r="E443" s="14" t="s">
        <v>11712</v>
      </c>
      <c r="F443" s="14" t="s">
        <v>11712</v>
      </c>
      <c r="G443" s="14" t="s">
        <v>11712</v>
      </c>
      <c r="H443" s="14"/>
      <c r="I443" s="14"/>
      <c r="J443" s="13" t="s">
        <v>12168</v>
      </c>
    </row>
    <row r="444" customFormat="false" ht="23.25" hidden="false" customHeight="true" outlineLevel="0" collapsed="false">
      <c r="A444" s="10" t="n">
        <v>443</v>
      </c>
      <c r="B444" s="8" t="s">
        <v>11241</v>
      </c>
      <c r="C444" s="10" t="n">
        <f aca="false">COUNTIF(Dataset!$E$2:$E$5001,A444)</f>
        <v>6</v>
      </c>
      <c r="D444" s="13" t="s">
        <v>12167</v>
      </c>
      <c r="E444" s="14" t="s">
        <v>11712</v>
      </c>
      <c r="F444" s="14" t="s">
        <v>11712</v>
      </c>
      <c r="G444" s="14" t="s">
        <v>11712</v>
      </c>
      <c r="H444" s="14"/>
      <c r="I444" s="14"/>
      <c r="J444" s="13" t="s">
        <v>12168</v>
      </c>
    </row>
    <row r="445" customFormat="false" ht="15" hidden="false" customHeight="true" outlineLevel="0" collapsed="false">
      <c r="A445" s="10" t="n">
        <v>444</v>
      </c>
      <c r="B445" s="8" t="s">
        <v>11255</v>
      </c>
      <c r="C445" s="10" t="n">
        <f aca="false">COUNTIF(Dataset!$E$2:$E$5001,A445)</f>
        <v>6</v>
      </c>
      <c r="D445" s="13" t="s">
        <v>12167</v>
      </c>
      <c r="E445" s="14" t="s">
        <v>11712</v>
      </c>
      <c r="F445" s="14" t="s">
        <v>11712</v>
      </c>
      <c r="G445" s="14" t="s">
        <v>11712</v>
      </c>
      <c r="H445" s="14"/>
      <c r="I445" s="14"/>
      <c r="J445" s="13" t="s">
        <v>12168</v>
      </c>
    </row>
    <row r="446" customFormat="false" ht="15" hidden="false" customHeight="true" outlineLevel="0" collapsed="false">
      <c r="A446" s="10" t="n">
        <v>445</v>
      </c>
      <c r="B446" s="8" t="s">
        <v>11269</v>
      </c>
      <c r="C446" s="10" t="n">
        <f aca="false">COUNTIF(Dataset!$E$2:$E$5001,A446)</f>
        <v>6</v>
      </c>
      <c r="D446" s="13" t="s">
        <v>12167</v>
      </c>
      <c r="E446" s="14" t="s">
        <v>11712</v>
      </c>
      <c r="F446" s="14" t="s">
        <v>11712</v>
      </c>
      <c r="G446" s="14" t="s">
        <v>11712</v>
      </c>
      <c r="H446" s="14"/>
      <c r="I446" s="14"/>
      <c r="J446" s="13" t="s">
        <v>12168</v>
      </c>
    </row>
    <row r="447" customFormat="false" ht="15" hidden="false" customHeight="true" outlineLevel="0" collapsed="false">
      <c r="A447" s="10" t="n">
        <v>446</v>
      </c>
      <c r="B447" s="8" t="s">
        <v>11283</v>
      </c>
      <c r="C447" s="10" t="n">
        <f aca="false">COUNTIF(Dataset!$E$2:$E$5001,A447)</f>
        <v>6</v>
      </c>
      <c r="D447" s="13" t="s">
        <v>12167</v>
      </c>
      <c r="E447" s="14" t="s">
        <v>11712</v>
      </c>
      <c r="F447" s="14" t="s">
        <v>11712</v>
      </c>
      <c r="G447" s="14" t="s">
        <v>11712</v>
      </c>
      <c r="H447" s="14"/>
      <c r="I447" s="14"/>
      <c r="J447" s="13" t="s">
        <v>12168</v>
      </c>
    </row>
    <row r="448" customFormat="false" ht="15" hidden="false" customHeight="true" outlineLevel="0" collapsed="false">
      <c r="A448" s="10" t="n">
        <v>447</v>
      </c>
      <c r="B448" s="8" t="s">
        <v>11297</v>
      </c>
      <c r="C448" s="10" t="n">
        <f aca="false">COUNTIF(Dataset!$E$2:$E$5001,A448)</f>
        <v>6</v>
      </c>
      <c r="D448" s="13" t="s">
        <v>12167</v>
      </c>
      <c r="E448" s="14" t="s">
        <v>11712</v>
      </c>
      <c r="F448" s="14" t="s">
        <v>11712</v>
      </c>
      <c r="G448" s="14" t="s">
        <v>11712</v>
      </c>
      <c r="H448" s="14"/>
      <c r="I448" s="14"/>
      <c r="J448" s="13" t="s">
        <v>12168</v>
      </c>
    </row>
    <row r="449" customFormat="false" ht="23.25" hidden="false" customHeight="true" outlineLevel="0" collapsed="false">
      <c r="A449" s="10" t="n">
        <v>448</v>
      </c>
      <c r="B449" s="8" t="s">
        <v>11311</v>
      </c>
      <c r="C449" s="10" t="n">
        <f aca="false">COUNTIF(Dataset!$E$2:$E$5001,A449)</f>
        <v>6</v>
      </c>
      <c r="D449" s="13" t="s">
        <v>12167</v>
      </c>
      <c r="E449" s="14" t="s">
        <v>11712</v>
      </c>
      <c r="F449" s="14" t="s">
        <v>11712</v>
      </c>
      <c r="G449" s="14" t="s">
        <v>11712</v>
      </c>
      <c r="H449" s="14"/>
      <c r="I449" s="14"/>
      <c r="J449" s="13" t="s">
        <v>12168</v>
      </c>
    </row>
    <row r="450" customFormat="false" ht="15" hidden="false" customHeight="true" outlineLevel="0" collapsed="false">
      <c r="A450" s="10" t="n">
        <v>449</v>
      </c>
      <c r="B450" s="8" t="s">
        <v>11325</v>
      </c>
      <c r="C450" s="10" t="n">
        <f aca="false">COUNTIF(Dataset!$E$2:$E$5001,A450)</f>
        <v>6</v>
      </c>
      <c r="D450" s="13" t="s">
        <v>12167</v>
      </c>
      <c r="E450" s="14" t="s">
        <v>11712</v>
      </c>
      <c r="F450" s="14" t="s">
        <v>11712</v>
      </c>
      <c r="G450" s="14" t="s">
        <v>11712</v>
      </c>
      <c r="H450" s="14"/>
      <c r="I450" s="14"/>
      <c r="J450" s="13" t="s">
        <v>12168</v>
      </c>
    </row>
    <row r="451" customFormat="false" ht="15" hidden="false" customHeight="true" outlineLevel="0" collapsed="false">
      <c r="A451" s="10" t="n">
        <v>450</v>
      </c>
      <c r="B451" s="8" t="s">
        <v>11339</v>
      </c>
      <c r="C451" s="10" t="n">
        <f aca="false">COUNTIF(Dataset!$E$2:$E$5001,A451)</f>
        <v>6</v>
      </c>
      <c r="D451" s="13" t="s">
        <v>12167</v>
      </c>
      <c r="E451" s="14" t="s">
        <v>11712</v>
      </c>
      <c r="F451" s="14" t="s">
        <v>11712</v>
      </c>
      <c r="G451" s="14" t="s">
        <v>11712</v>
      </c>
      <c r="H451" s="14"/>
      <c r="I451" s="14"/>
      <c r="J451" s="13" t="s">
        <v>12168</v>
      </c>
    </row>
    <row r="452" customFormat="false" ht="23.25" hidden="false" customHeight="true" outlineLevel="0" collapsed="false">
      <c r="A452" s="10" t="n">
        <v>451</v>
      </c>
      <c r="B452" s="8" t="s">
        <v>11353</v>
      </c>
      <c r="C452" s="10" t="n">
        <f aca="false">COUNTIF(Dataset!$E$2:$E$5001,A452)</f>
        <v>6</v>
      </c>
      <c r="D452" s="13" t="s">
        <v>12167</v>
      </c>
      <c r="E452" s="14" t="s">
        <v>11712</v>
      </c>
      <c r="F452" s="14" t="s">
        <v>11712</v>
      </c>
      <c r="G452" s="14" t="s">
        <v>11712</v>
      </c>
      <c r="H452" s="14"/>
      <c r="I452" s="14"/>
      <c r="J452" s="13" t="s">
        <v>12168</v>
      </c>
    </row>
    <row r="453" customFormat="false" ht="15" hidden="false" customHeight="true" outlineLevel="0" collapsed="false">
      <c r="A453" s="10" t="n">
        <v>452</v>
      </c>
      <c r="B453" s="8" t="s">
        <v>11367</v>
      </c>
      <c r="C453" s="10" t="n">
        <f aca="false">COUNTIF(Dataset!$E$2:$E$5001,A453)</f>
        <v>6</v>
      </c>
      <c r="D453" s="13" t="s">
        <v>12167</v>
      </c>
      <c r="E453" s="14" t="s">
        <v>11712</v>
      </c>
      <c r="F453" s="14" t="s">
        <v>11712</v>
      </c>
      <c r="G453" s="14" t="s">
        <v>11712</v>
      </c>
      <c r="H453" s="14"/>
      <c r="I453" s="14"/>
      <c r="J453" s="13" t="s">
        <v>12168</v>
      </c>
    </row>
    <row r="454" customFormat="false" ht="15" hidden="false" customHeight="true" outlineLevel="0" collapsed="false">
      <c r="A454" s="10" t="n">
        <v>453</v>
      </c>
      <c r="B454" s="8" t="s">
        <v>11381</v>
      </c>
      <c r="C454" s="10" t="n">
        <f aca="false">COUNTIF(Dataset!$E$2:$E$5001,A454)</f>
        <v>6</v>
      </c>
      <c r="D454" s="13" t="s">
        <v>12167</v>
      </c>
      <c r="E454" s="14" t="s">
        <v>11712</v>
      </c>
      <c r="F454" s="14" t="s">
        <v>11712</v>
      </c>
      <c r="G454" s="14" t="s">
        <v>11712</v>
      </c>
      <c r="H454" s="14"/>
      <c r="I454" s="14"/>
      <c r="J454" s="13" t="s">
        <v>12168</v>
      </c>
    </row>
    <row r="455" customFormat="false" ht="15" hidden="false" customHeight="true" outlineLevel="0" collapsed="false">
      <c r="A455" s="10" t="n">
        <v>454</v>
      </c>
      <c r="B455" s="8" t="s">
        <v>11395</v>
      </c>
      <c r="C455" s="10" t="n">
        <f aca="false">COUNTIF(Dataset!$E$2:$E$5001,A455)</f>
        <v>6</v>
      </c>
      <c r="D455" s="13" t="s">
        <v>12167</v>
      </c>
      <c r="E455" s="14" t="s">
        <v>11712</v>
      </c>
      <c r="F455" s="14" t="s">
        <v>11712</v>
      </c>
      <c r="G455" s="14" t="s">
        <v>11712</v>
      </c>
      <c r="H455" s="14"/>
      <c r="I455" s="14"/>
      <c r="J455" s="13" t="s">
        <v>12168</v>
      </c>
    </row>
    <row r="456" customFormat="false" ht="23.25" hidden="false" customHeight="true" outlineLevel="0" collapsed="false">
      <c r="A456" s="10" t="n">
        <v>455</v>
      </c>
      <c r="B456" s="8" t="s">
        <v>11409</v>
      </c>
      <c r="C456" s="10" t="n">
        <f aca="false">COUNTIF(Dataset!$E$2:$E$5001,A456)</f>
        <v>6</v>
      </c>
      <c r="D456" s="13" t="s">
        <v>12167</v>
      </c>
      <c r="E456" s="14" t="s">
        <v>11712</v>
      </c>
      <c r="F456" s="14" t="s">
        <v>11712</v>
      </c>
      <c r="G456" s="14" t="s">
        <v>11712</v>
      </c>
      <c r="H456" s="14"/>
      <c r="I456" s="14"/>
      <c r="J456" s="13" t="s">
        <v>12168</v>
      </c>
    </row>
    <row r="457" customFormat="false" ht="15" hidden="false" customHeight="true" outlineLevel="0" collapsed="false">
      <c r="A457" s="10" t="n">
        <v>456</v>
      </c>
      <c r="B457" s="8" t="s">
        <v>11423</v>
      </c>
      <c r="C457" s="10" t="n">
        <f aca="false">COUNTIF(Dataset!$E$2:$E$5001,A457)</f>
        <v>6</v>
      </c>
      <c r="D457" s="13" t="s">
        <v>12167</v>
      </c>
      <c r="E457" s="14" t="s">
        <v>11712</v>
      </c>
      <c r="F457" s="14" t="s">
        <v>11712</v>
      </c>
      <c r="G457" s="14" t="s">
        <v>11712</v>
      </c>
      <c r="H457" s="14"/>
      <c r="I457" s="14"/>
      <c r="J457" s="13" t="s">
        <v>12168</v>
      </c>
    </row>
    <row r="458" customFormat="false" ht="15" hidden="false" customHeight="true" outlineLevel="0" collapsed="false">
      <c r="A458" s="10" t="n">
        <v>457</v>
      </c>
      <c r="B458" s="8" t="s">
        <v>11437</v>
      </c>
      <c r="C458" s="10" t="n">
        <f aca="false">COUNTIF(Dataset!$E$2:$E$5001,A458)</f>
        <v>6</v>
      </c>
      <c r="D458" s="13" t="s">
        <v>12167</v>
      </c>
      <c r="E458" s="14" t="s">
        <v>11712</v>
      </c>
      <c r="F458" s="14" t="s">
        <v>11712</v>
      </c>
      <c r="G458" s="14" t="s">
        <v>11712</v>
      </c>
      <c r="H458" s="14"/>
      <c r="I458" s="14"/>
      <c r="J458" s="13" t="s">
        <v>12168</v>
      </c>
    </row>
    <row r="459" customFormat="false" ht="15" hidden="false" customHeight="true" outlineLevel="0" collapsed="false">
      <c r="A459" s="10" t="n">
        <v>458</v>
      </c>
      <c r="B459" s="8" t="s">
        <v>11451</v>
      </c>
      <c r="C459" s="10" t="n">
        <f aca="false">COUNTIF(Dataset!$E$2:$E$5001,A459)</f>
        <v>6</v>
      </c>
      <c r="D459" s="13" t="s">
        <v>12167</v>
      </c>
      <c r="E459" s="14" t="s">
        <v>11712</v>
      </c>
      <c r="F459" s="14" t="s">
        <v>11712</v>
      </c>
      <c r="G459" s="14" t="s">
        <v>11712</v>
      </c>
      <c r="H459" s="14"/>
      <c r="I459" s="14"/>
      <c r="J459" s="13" t="s">
        <v>12168</v>
      </c>
    </row>
    <row r="460" customFormat="false" ht="15" hidden="false" customHeight="true" outlineLevel="0" collapsed="false">
      <c r="A460" s="10" t="n">
        <v>459</v>
      </c>
      <c r="B460" s="8" t="s">
        <v>11465</v>
      </c>
      <c r="C460" s="10" t="n">
        <f aca="false">COUNTIF(Dataset!$E$2:$E$5001,A460)</f>
        <v>6</v>
      </c>
      <c r="D460" s="13" t="s">
        <v>12167</v>
      </c>
      <c r="E460" s="14" t="s">
        <v>11712</v>
      </c>
      <c r="F460" s="14" t="s">
        <v>11712</v>
      </c>
      <c r="G460" s="14" t="s">
        <v>11712</v>
      </c>
      <c r="H460" s="14"/>
      <c r="I460" s="14"/>
      <c r="J460" s="13" t="s">
        <v>12168</v>
      </c>
    </row>
    <row r="461" customFormat="false" ht="15" hidden="false" customHeight="true" outlineLevel="0" collapsed="false">
      <c r="A461" s="10" t="n">
        <v>460</v>
      </c>
      <c r="B461" s="8" t="s">
        <v>11479</v>
      </c>
      <c r="C461" s="10" t="n">
        <f aca="false">COUNTIF(Dataset!$E$2:$E$5001,A461)</f>
        <v>6</v>
      </c>
      <c r="D461" s="13" t="s">
        <v>12167</v>
      </c>
      <c r="E461" s="14" t="s">
        <v>11712</v>
      </c>
      <c r="F461" s="14" t="s">
        <v>11712</v>
      </c>
      <c r="G461" s="14" t="s">
        <v>11712</v>
      </c>
      <c r="H461" s="14"/>
      <c r="I461" s="14"/>
      <c r="J461" s="13" t="s">
        <v>12168</v>
      </c>
    </row>
    <row r="462" customFormat="false" ht="15" hidden="false" customHeight="true" outlineLevel="0" collapsed="false">
      <c r="A462" s="10" t="n">
        <v>461</v>
      </c>
      <c r="B462" s="8" t="s">
        <v>11493</v>
      </c>
      <c r="C462" s="10" t="n">
        <f aca="false">COUNTIF(Dataset!$E$2:$E$5001,A462)</f>
        <v>6</v>
      </c>
      <c r="D462" s="13" t="s">
        <v>12167</v>
      </c>
      <c r="E462" s="14" t="s">
        <v>11712</v>
      </c>
      <c r="F462" s="14" t="s">
        <v>11712</v>
      </c>
      <c r="G462" s="14" t="s">
        <v>11712</v>
      </c>
      <c r="H462" s="14"/>
      <c r="I462" s="14"/>
      <c r="J462" s="13" t="s">
        <v>12168</v>
      </c>
    </row>
    <row r="463" customFormat="false" ht="15" hidden="false" customHeight="true" outlineLevel="0" collapsed="false">
      <c r="A463" s="10" t="n">
        <v>462</v>
      </c>
      <c r="B463" s="8" t="s">
        <v>11507</v>
      </c>
      <c r="C463" s="10" t="n">
        <f aca="false">COUNTIF(Dataset!$E$2:$E$5001,A463)</f>
        <v>6</v>
      </c>
      <c r="D463" s="13" t="s">
        <v>12167</v>
      </c>
      <c r="E463" s="14" t="s">
        <v>11712</v>
      </c>
      <c r="F463" s="14" t="s">
        <v>11712</v>
      </c>
      <c r="G463" s="14" t="s">
        <v>11712</v>
      </c>
      <c r="H463" s="14"/>
      <c r="I463" s="14"/>
      <c r="J463" s="13" t="s">
        <v>12168</v>
      </c>
    </row>
    <row r="464" customFormat="false" ht="23.25" hidden="false" customHeight="true" outlineLevel="0" collapsed="false">
      <c r="A464" s="10" t="n">
        <v>463</v>
      </c>
      <c r="B464" s="8" t="s">
        <v>11521</v>
      </c>
      <c r="C464" s="10" t="n">
        <f aca="false">COUNTIF(Dataset!$E$2:$E$5001,A464)</f>
        <v>6</v>
      </c>
      <c r="D464" s="13" t="s">
        <v>12167</v>
      </c>
      <c r="E464" s="14" t="s">
        <v>11712</v>
      </c>
      <c r="F464" s="14" t="s">
        <v>11712</v>
      </c>
      <c r="G464" s="14" t="s">
        <v>11712</v>
      </c>
      <c r="H464" s="14"/>
      <c r="I464" s="14"/>
      <c r="J464" s="13" t="s">
        <v>12168</v>
      </c>
    </row>
    <row r="465" customFormat="false" ht="15" hidden="false" customHeight="true" outlineLevel="0" collapsed="false">
      <c r="A465" s="10" t="n">
        <v>464</v>
      </c>
      <c r="B465" s="8" t="s">
        <v>11535</v>
      </c>
      <c r="C465" s="10" t="n">
        <f aca="false">COUNTIF(Dataset!$E$2:$E$5001,A465)</f>
        <v>6</v>
      </c>
      <c r="D465" s="13" t="s">
        <v>12167</v>
      </c>
      <c r="E465" s="14" t="s">
        <v>11712</v>
      </c>
      <c r="F465" s="14" t="s">
        <v>11712</v>
      </c>
      <c r="G465" s="14" t="s">
        <v>11712</v>
      </c>
      <c r="H465" s="14"/>
      <c r="I465" s="14"/>
      <c r="J465" s="13" t="s">
        <v>12168</v>
      </c>
    </row>
    <row r="466" customFormat="false" ht="15" hidden="false" customHeight="true" outlineLevel="0" collapsed="false">
      <c r="A466" s="10" t="n">
        <v>465</v>
      </c>
      <c r="B466" s="8" t="s">
        <v>11549</v>
      </c>
      <c r="C466" s="10" t="n">
        <f aca="false">COUNTIF(Dataset!$E$2:$E$5001,A466)</f>
        <v>6</v>
      </c>
      <c r="D466" s="13" t="s">
        <v>12167</v>
      </c>
      <c r="E466" s="14" t="s">
        <v>11712</v>
      </c>
      <c r="F466" s="14" t="s">
        <v>11712</v>
      </c>
      <c r="G466" s="14" t="s">
        <v>11712</v>
      </c>
      <c r="H466" s="14"/>
      <c r="I466" s="14"/>
      <c r="J466" s="13" t="s">
        <v>12168</v>
      </c>
    </row>
    <row r="467" customFormat="false" ht="15" hidden="false" customHeight="true" outlineLevel="0" collapsed="false">
      <c r="A467" s="10" t="n">
        <v>466</v>
      </c>
      <c r="B467" s="8" t="s">
        <v>11563</v>
      </c>
      <c r="C467" s="10" t="n">
        <f aca="false">COUNTIF(Dataset!$E$2:$E$5001,A467)</f>
        <v>6</v>
      </c>
      <c r="D467" s="13" t="s">
        <v>12167</v>
      </c>
      <c r="E467" s="14" t="s">
        <v>11712</v>
      </c>
      <c r="F467" s="14" t="s">
        <v>11712</v>
      </c>
      <c r="G467" s="14" t="s">
        <v>11712</v>
      </c>
      <c r="H467" s="14"/>
      <c r="I467" s="14"/>
      <c r="J467" s="13" t="s">
        <v>12168</v>
      </c>
    </row>
    <row r="468" customFormat="false" ht="23.25" hidden="false" customHeight="true" outlineLevel="0" collapsed="false">
      <c r="A468" s="10" t="n">
        <v>467</v>
      </c>
      <c r="B468" s="8" t="s">
        <v>11577</v>
      </c>
      <c r="C468" s="10" t="n">
        <f aca="false">COUNTIF(Dataset!$E$2:$E$5001,A468)</f>
        <v>6</v>
      </c>
      <c r="D468" s="13" t="s">
        <v>12167</v>
      </c>
      <c r="E468" s="14" t="s">
        <v>11712</v>
      </c>
      <c r="F468" s="14" t="s">
        <v>11712</v>
      </c>
      <c r="G468" s="14" t="s">
        <v>11712</v>
      </c>
      <c r="H468" s="14"/>
      <c r="I468" s="14"/>
      <c r="J468" s="13" t="s">
        <v>12168</v>
      </c>
    </row>
    <row r="469" customFormat="false" ht="23.25" hidden="false" customHeight="true" outlineLevel="0" collapsed="false">
      <c r="A469" s="10" t="n">
        <v>468</v>
      </c>
      <c r="B469" s="8" t="s">
        <v>9197</v>
      </c>
      <c r="C469" s="10" t="n">
        <f aca="false">COUNTIF(Dataset!$E$2:$E$5001,A469)</f>
        <v>6</v>
      </c>
      <c r="D469" s="13" t="s">
        <v>12167</v>
      </c>
      <c r="E469" s="14" t="s">
        <v>11712</v>
      </c>
      <c r="F469" s="14" t="s">
        <v>11712</v>
      </c>
      <c r="G469" s="14" t="s">
        <v>11712</v>
      </c>
      <c r="H469" s="14"/>
      <c r="I469" s="14"/>
      <c r="J469" s="13" t="s">
        <v>12168</v>
      </c>
    </row>
    <row r="470" customFormat="false" ht="15" hidden="false" customHeight="true" outlineLevel="0" collapsed="false">
      <c r="A470" s="10" t="n">
        <v>469</v>
      </c>
      <c r="B470" s="8" t="s">
        <v>5118</v>
      </c>
      <c r="C470" s="10" t="n">
        <f aca="false">COUNTIF(Dataset!$E$2:$E$5001,A470)</f>
        <v>6</v>
      </c>
      <c r="D470" s="13" t="s">
        <v>12167</v>
      </c>
      <c r="E470" s="14" t="s">
        <v>11712</v>
      </c>
      <c r="F470" s="14" t="s">
        <v>11712</v>
      </c>
      <c r="G470" s="14" t="s">
        <v>11712</v>
      </c>
      <c r="H470" s="14"/>
      <c r="I470" s="14"/>
      <c r="J470" s="13" t="s">
        <v>12168</v>
      </c>
    </row>
    <row r="471" customFormat="false" ht="15" hidden="false" customHeight="true" outlineLevel="0" collapsed="false">
      <c r="A471" s="10" t="n">
        <v>470</v>
      </c>
      <c r="B471" s="8" t="s">
        <v>11617</v>
      </c>
      <c r="C471" s="10" t="n">
        <f aca="false">COUNTIF(Dataset!$E$2:$E$5001,A471)</f>
        <v>6</v>
      </c>
      <c r="D471" s="13" t="s">
        <v>12167</v>
      </c>
      <c r="E471" s="14" t="s">
        <v>11712</v>
      </c>
      <c r="F471" s="14" t="s">
        <v>11712</v>
      </c>
      <c r="G471" s="14" t="s">
        <v>11712</v>
      </c>
      <c r="H471" s="14"/>
      <c r="I471" s="14"/>
      <c r="J471" s="13" t="s">
        <v>12168</v>
      </c>
    </row>
    <row r="472" customFormat="false" ht="15" hidden="false" customHeight="true" outlineLevel="0" collapsed="false">
      <c r="A472" s="10" t="n">
        <v>471</v>
      </c>
      <c r="B472" s="8" t="s">
        <v>11631</v>
      </c>
      <c r="C472" s="10" t="n">
        <f aca="false">COUNTIF(Dataset!$E$2:$E$5001,A472)</f>
        <v>6</v>
      </c>
      <c r="D472" s="13" t="s">
        <v>12167</v>
      </c>
      <c r="E472" s="14" t="s">
        <v>11712</v>
      </c>
      <c r="F472" s="14" t="s">
        <v>11712</v>
      </c>
      <c r="G472" s="14" t="s">
        <v>11712</v>
      </c>
      <c r="H472" s="14"/>
      <c r="I472" s="14"/>
      <c r="J472" s="13" t="s">
        <v>12168</v>
      </c>
    </row>
    <row r="473" customFormat="false" ht="15" hidden="false" customHeight="true" outlineLevel="0" collapsed="false">
      <c r="A473" s="10" t="n">
        <v>472</v>
      </c>
      <c r="B473" s="8" t="s">
        <v>11645</v>
      </c>
      <c r="C473" s="10" t="n">
        <f aca="false">COUNTIF(Dataset!$E$2:$E$5001,A473)</f>
        <v>6</v>
      </c>
      <c r="D473" s="13" t="s">
        <v>12167</v>
      </c>
      <c r="E473" s="14" t="s">
        <v>11712</v>
      </c>
      <c r="F473" s="14" t="s">
        <v>11712</v>
      </c>
      <c r="G473" s="14" t="s">
        <v>11712</v>
      </c>
      <c r="H473" s="14"/>
      <c r="I473" s="14"/>
      <c r="J473" s="13" t="s">
        <v>12168</v>
      </c>
    </row>
    <row r="474" customFormat="false" ht="15" hidden="false" customHeight="true" outlineLevel="0" collapsed="false">
      <c r="A474" s="10" t="n">
        <v>473</v>
      </c>
      <c r="B474" s="8" t="s">
        <v>11659</v>
      </c>
      <c r="C474" s="10" t="n">
        <f aca="false">COUNTIF(Dataset!$E$2:$E$5001,A474)</f>
        <v>6</v>
      </c>
      <c r="D474" s="13" t="s">
        <v>12167</v>
      </c>
      <c r="E474" s="14" t="s">
        <v>11712</v>
      </c>
      <c r="F474" s="14" t="s">
        <v>11712</v>
      </c>
      <c r="G474" s="14" t="s">
        <v>11712</v>
      </c>
      <c r="H474" s="14"/>
      <c r="I474" s="14"/>
      <c r="J474" s="13" t="s">
        <v>12168</v>
      </c>
    </row>
    <row r="475" customFormat="false" ht="15" hidden="false" customHeight="true" outlineLevel="0" collapsed="false">
      <c r="A475" s="10" t="n">
        <v>474</v>
      </c>
      <c r="B475" s="8" t="s">
        <v>11673</v>
      </c>
      <c r="C475" s="10" t="n">
        <f aca="false">COUNTIF(Dataset!$E$2:$E$5001,A475)</f>
        <v>6</v>
      </c>
      <c r="D475" s="13" t="s">
        <v>12167</v>
      </c>
      <c r="E475" s="14" t="s">
        <v>11712</v>
      </c>
      <c r="F475" s="14" t="s">
        <v>11712</v>
      </c>
      <c r="G475" s="14" t="s">
        <v>11712</v>
      </c>
      <c r="H475" s="14"/>
      <c r="I475" s="14"/>
      <c r="J475" s="13" t="s">
        <v>12168</v>
      </c>
    </row>
    <row r="476" customFormat="false" ht="23.25" hidden="false" customHeight="true" outlineLevel="0" collapsed="false">
      <c r="A476" s="10" t="n">
        <v>475</v>
      </c>
      <c r="B476" s="8" t="s">
        <v>11687</v>
      </c>
      <c r="C476" s="10" t="n">
        <f aca="false">COUNTIF(Dataset!$E$2:$E$5001,A476)</f>
        <v>6</v>
      </c>
      <c r="D476" s="13" t="s">
        <v>12167</v>
      </c>
      <c r="E476" s="14" t="s">
        <v>11712</v>
      </c>
      <c r="F476" s="14" t="s">
        <v>11712</v>
      </c>
      <c r="G476" s="14" t="s">
        <v>11712</v>
      </c>
      <c r="H476" s="14"/>
      <c r="I476" s="14"/>
      <c r="J476" s="13" t="s">
        <v>12168</v>
      </c>
    </row>
    <row r="477" customFormat="false" ht="23.25" hidden="false" customHeight="true" outlineLevel="0" collapsed="false">
      <c r="A477" s="10" t="n">
        <v>476</v>
      </c>
      <c r="B477" s="8" t="s">
        <v>11701</v>
      </c>
      <c r="C477" s="10" t="n">
        <f aca="false">COUNTIF(Dataset!$E$2:$E$5001,A477)</f>
        <v>2</v>
      </c>
      <c r="D477" s="13" t="s">
        <v>12167</v>
      </c>
      <c r="E477" s="14" t="s">
        <v>11712</v>
      </c>
      <c r="F477" s="14" t="s">
        <v>11712</v>
      </c>
      <c r="G477" s="14" t="s">
        <v>11712</v>
      </c>
      <c r="H477" s="14"/>
      <c r="I477" s="14"/>
      <c r="J477" s="13" t="s">
        <v>12168</v>
      </c>
    </row>
  </sheetData>
  <autoFilter ref="A1:J477"/>
  <dataValidations count="3">
    <dataValidation allowBlank="true" errorStyle="stop" operator="between" showDropDown="false" showErrorMessage="false" showInputMessage="false" sqref="E2:F477" type="list">
      <formula1>"Yes,No,N/A"</formula1>
      <formula2>0</formula2>
    </dataValidation>
    <dataValidation allowBlank="true" errorStyle="stop" operator="between" showDropDown="false" showErrorMessage="false" showInputMessage="false" sqref="G2:G477" type="list">
      <formula1>"Yes,No,With court permission,N/A"</formula1>
      <formula2>0</formula2>
    </dataValidation>
    <dataValidation allowBlank="true" errorStyle="stop" operator="between" showDropDown="false" showErrorMessage="false" showInputMessage="false" sqref="I2:I47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2026-09-30T06:52:30Z</dcterms:created>
  <dc:creator/>
  <dc:description/>
  <dc:language>en-US</dc:language>
  <cp:lastModifiedBy/>
  <dcterms:modified xsi:type="dcterms:W3CDTF">2026-10-08T07:03:56Z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